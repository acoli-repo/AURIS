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<sst xmlns="http://schemas.openxmlformats.org/spreadsheetml/2006/main" count="13546" uniqueCount="2897">
  <si>
    <t>ID</t>
  </si>
  <si>
    <t>PRED_ID</t>
  </si>
  <si>
    <t>MARKER_AUTO</t>
  </si>
  <si>
    <t>PREDICATE</t>
  </si>
  <si>
    <t>TEXT</t>
  </si>
  <si>
    <t>SENTENCE</t>
  </si>
  <si>
    <t>MARKER</t>
  </si>
  <si>
    <t>TARGET</t>
  </si>
  <si>
    <t>RELATION</t>
  </si>
  <si>
    <t>COMMENT</t>
  </si>
  <si>
    <t>1</t>
  </si>
  <si>
    <t>_</t>
  </si>
  <si>
    <t>Chris</t>
  </si>
  <si>
    <t>Chris Anderson :</t>
  </si>
  <si>
    <t>file://conllu/it/teddy-1319.conllu#s1_0</t>
  </si>
  <si>
    <t>2</t>
  </si>
  <si>
    <t>diritto</t>
  </si>
  <si>
    <t>I diritti dei di i cittadini , il futuro di Internet .</t>
  </si>
  <si>
    <t>file://conllu/it/teddy-1319.conllu#s2_0</t>
  </si>
  <si>
    <t>3</t>
  </si>
  <si>
    <t>dare</t>
  </si>
  <si>
    <t>Vorrei dare il benvenuto sul su il palco di TED all' a l' uomo che sta dietro quelle rivelazioni , Ed Snowden .</t>
  </si>
  <si>
    <t>file://conllu/it/teddy-1319.conllu#s3_0</t>
  </si>
  <si>
    <t>4</t>
  </si>
  <si>
    <t>applauso</t>
  </si>
  <si>
    <t>( Applausi ) Ed si trova in una località remota da qualche parte in Russia e dal da il suo portatile controlla un bot quindi riesce a vedere quello che vede il bot.</t>
  </si>
  <si>
    <t>file://conllu/it/teddy-1319.conllu#s4_0</t>
  </si>
  <si>
    <t>5</t>
  </si>
  <si>
    <t>benvenere</t>
  </si>
  <si>
    <t>Ed , benvenuto sul su il palcoscenico di TED .</t>
  </si>
  <si>
    <t>file://conllu/it/teddy-1319.conllu#s5_0</t>
  </si>
  <si>
    <t>6</t>
  </si>
  <si>
    <t>riuscire</t>
  </si>
  <si>
    <t>Che cosa riesci a vedere , in realtà ?</t>
  </si>
  <si>
    <t>file://conllu/it/teddy-1319.conllu#s6_0</t>
  </si>
  <si>
    <t>7</t>
  </si>
  <si>
    <t>Edward</t>
  </si>
  <si>
    <t>Edward Snowden :</t>
  </si>
  <si>
    <t>file://conllu/it/teddy-1319.conllu#s7_0</t>
  </si>
  <si>
    <t>8</t>
  </si>
  <si>
    <t>Ah , io riesco a vedere tutti .</t>
  </si>
  <si>
    <t>file://conllu/it/teddy-1319.conllu#s8_0</t>
  </si>
  <si>
    <t>9</t>
  </si>
  <si>
    <t>essere (essere cosa)</t>
  </si>
  <si>
    <t>È una cosa incredibile .</t>
  </si>
  <si>
    <t>file://conllu/it/teddy-1319.conllu#s9_0</t>
  </si>
  <si>
    <t>10</t>
  </si>
  <si>
    <t>risate</t>
  </si>
  <si>
    <t>( Risate ) CA :</t>
  </si>
  <si>
    <t>file://conllu/it/teddy-1319.conllu#s10_0</t>
  </si>
  <si>
    <t>11</t>
  </si>
  <si>
    <t>avere</t>
  </si>
  <si>
    <t>Ed , ho delle di le domande da farti .</t>
  </si>
  <si>
    <t>file://conllu/it/teddy-1319.conllu#s11_0</t>
  </si>
  <si>
    <t>12</t>
  </si>
  <si>
    <t>definire</t>
  </si>
  <si>
    <t>Sei stato definito in molti modi negli in gli ultimi mesi .</t>
  </si>
  <si>
    <t>file://conllu/it/teddy-1319.conllu#s12_0</t>
  </si>
  <si>
    <t>13</t>
  </si>
  <si>
    <t>chiamare</t>
  </si>
  <si>
    <t>Ti hanno chiamato informatore , traditore , eroe .</t>
  </si>
  <si>
    <t>file://conllu/it/teddy-1319.conllu#s13_0</t>
  </si>
  <si>
    <t>14</t>
  </si>
  <si>
    <t>essere (essere quale)</t>
  </si>
  <si>
    <t>Quali sono le parole che useresti per descrivere te stesso .</t>
  </si>
  <si>
    <t>file://conllu/it/teddy-1319.conllu#s14_0</t>
  </si>
  <si>
    <t>15</t>
  </si>
  <si>
    <t>es</t>
  </si>
  <si>
    <t>ES :</t>
  </si>
  <si>
    <t>file://conllu/it/teddy-1319.conllu#s15_0</t>
  </si>
  <si>
    <t>16</t>
  </si>
  <si>
    <t>ma?</t>
  </si>
  <si>
    <t>essere (essere sapere)</t>
  </si>
  <si>
    <t>Ma sai , tutti quelli che sono coinvolti in questo dibattito erano alle a le prese con me , la mia personalità e il modo di descrivermi .</t>
  </si>
  <si>
    <t>file://conllu/it/teddy-1319.conllu#s16_0</t>
  </si>
  <si>
    <t>17</t>
  </si>
  <si>
    <t>essere (essere questo)</t>
  </si>
  <si>
    <t>Ma a pensarci pensar ci bene , non è questa la domanda con la quale dovremmo confrontarci confrontar ci .</t>
  </si>
  <si>
    <t>file://conllu/it/teddy-1319.conllu#s17_0</t>
  </si>
  <si>
    <t>18</t>
  </si>
  <si>
    <t>in realtà?</t>
  </si>
  <si>
    <t>importare</t>
  </si>
  <si>
    <t>Chi sono , in realtà , non importa affatto .</t>
  </si>
  <si>
    <t>file://conllu/it/teddy-1319.conllu#s18_0</t>
  </si>
  <si>
    <t>19</t>
  </si>
  <si>
    <t>se?</t>
  </si>
  <si>
    <t>essere (essere persona)</t>
  </si>
  <si>
    <t>Se io sono la persona peggiore del di il mondo , potete odiarmi e voltare pagine .</t>
  </si>
  <si>
    <t>file://conllu/it/teddy-1319.conllu#s19_0</t>
  </si>
  <si>
    <t>20</t>
  </si>
  <si>
    <t>essere (essere problema)</t>
  </si>
  <si>
    <t>Quello che conta veramente qui sono i problemi .</t>
  </si>
  <si>
    <t>file://conllu/it/teddy-1319.conllu#s20_0</t>
  </si>
  <si>
    <t>21</t>
  </si>
  <si>
    <t>essere (essere tipo)</t>
  </si>
  <si>
    <t>Quello che conta veramente è il tipo di governo che vogliamo , il tipo di Internet che vogliamo , il tipo di rapporto tra gli individui e le società .</t>
  </si>
  <si>
    <t>file://conllu/it/teddy-1319.conllu#s21_0</t>
  </si>
  <si>
    <t>22</t>
  </si>
  <si>
    <t>e?</t>
  </si>
  <si>
    <t>essere (essere direzione)</t>
  </si>
  <si>
    <t>Questa è la direzione verso la quale , io spero , il dibattito procederà e l' abbiamo visto incrementarsi incrementar si nel in il tempo .</t>
  </si>
  <si>
    <t>file://conllu/it/teddy-1319.conllu#s22_0</t>
  </si>
  <si>
    <t>23</t>
  </si>
  <si>
    <t>descrivere (descrivere usare)</t>
  </si>
  <si>
    <t>Se dovessi descrivere me stesso , non userei la parola &amp;quot; eroe . &amp;quot;</t>
  </si>
  <si>
    <t>file://conllu/it/teddy-1319.conllu#s23_0</t>
  </si>
  <si>
    <t>24</t>
  </si>
  <si>
    <t>usare</t>
  </si>
  <si>
    <t>Non userei &amp;quot; patriota &amp;quot; e nemmeno &amp;quot; traditore . &amp;quot;</t>
  </si>
  <si>
    <t>file://conllu/it/teddy-1319.conllu#s24_0</t>
  </si>
  <si>
    <t>25</t>
  </si>
  <si>
    <t>dire</t>
  </si>
  <si>
    <t>Direi che sono un Americano e un cittadino , come tutti gli altri .</t>
  </si>
  <si>
    <t>file://conllu/it/teddy-1319.conllu#s25_0</t>
  </si>
  <si>
    <t>26</t>
  </si>
  <si>
    <t>circa</t>
  </si>
  <si>
    <t>CA :</t>
  </si>
  <si>
    <t>file://conllu/it/teddy-1319.conllu#s26_0</t>
  </si>
  <si>
    <t>27</t>
  </si>
  <si>
    <t>per?</t>
  </si>
  <si>
    <t>fornire</t>
  </si>
  <si>
    <t>Tanto per fornire un contesto a quelli che non conoscono tutta la storia...</t>
  </si>
  <si>
    <t>file://conllu/it/teddy-1319.conllu#s27_0</t>
  </si>
  <si>
    <t>28</t>
  </si>
  <si>
    <t>anno</t>
  </si>
  <si>
    <t>l' anno scorso , di questi tempi , tu eri di stanza alle a le Hawaii e lavoravi come consulente per la National Security Agency .</t>
  </si>
  <si>
    <t>file://conllu/it/teddy-1319.conllu#s28_0</t>
  </si>
  <si>
    <t>29</t>
  </si>
  <si>
    <t>accesso</t>
  </si>
  <si>
    <t>In qualità di amministratore di sistema , avevi accesso ai a i loro sistemi , e hai cominciato a rivelare alcuni documenti riservati ad alcuni giornalisti selezionati con cura aprendo la strada alle a le rivelazioni di giugno .</t>
  </si>
  <si>
    <t>file://conllu/it/teddy-1319.conllu#s29_0</t>
  </si>
  <si>
    <t>30</t>
  </si>
  <si>
    <t>spingere</t>
  </si>
  <si>
    <t>Cosa ti ha spinto a farlo far lo ?</t>
  </si>
  <si>
    <t>file://conllu/it/teddy-1319.conllu#s30_0</t>
  </si>
  <si>
    <t>31</t>
  </si>
  <si>
    <t>quando?</t>
  </si>
  <si>
    <t>vedere</t>
  </si>
  <si>
    <t>ES : Sai , mentre ero alle a le Hawaii , e negli in gli anni precedenti , quando lavoravo nella in la comunità dell' di l' Intelligence , ho visto molte cose che mi hanno turbato .</t>
  </si>
  <si>
    <t>file://conllu/it/teddy-1319.conllu#s31_0</t>
  </si>
  <si>
    <t>32</t>
  </si>
  <si>
    <t>fare</t>
  </si>
  <si>
    <t>Noi facciamo molte cose buone nella in la comunità dell' di l' intelligence , cose che devono essere fatte e cose che sono di aiuto a tutti .</t>
  </si>
  <si>
    <t>file://conllu/it/teddy-1319.conllu#s32_0</t>
  </si>
  <si>
    <t>33</t>
  </si>
  <si>
    <t>anche?</t>
  </si>
  <si>
    <t>essere</t>
  </si>
  <si>
    <t>Ma ci sono anche cose che si spingono troppo oltre .</t>
  </si>
  <si>
    <t>file://conllu/it/teddy-1319.conllu#s33_0</t>
  </si>
  <si>
    <t>34</t>
  </si>
  <si>
    <t>Ci sono cose che non dovrebbero essere fatte , decisioni che venivano prese in segreto delle di le quali l' opinione pubblica non era a conoscenza , non vi era il consenso dell' di l' opinione pubblica e neanche i nostri rappresentanti di governo erano a conoscenza di questi programmi .</t>
  </si>
  <si>
    <t>file://conllu/it/teddy-1319.conllu#s34_0</t>
  </si>
  <si>
    <t>35</t>
  </si>
  <si>
    <t>pensare</t>
  </si>
  <si>
    <t>Quando sono veramente arrivato ad avere difficoltà con questi problemi , ho pensato come posso fare questa cosa nel in il modo più responsabile possibile in modo da avere il massimo beneficio per il pubblico e riducendo al a il minimo i rischi ?</t>
  </si>
  <si>
    <t>file://conllu/it/teddy-1319.conllu#s35_0</t>
  </si>
  <si>
    <t>36</t>
  </si>
  <si>
    <t>E fra tutte le soluzioni che mi venivano in mente , quella di andare al a il Congresso , in un momento in cui non c' erano leggi , non c' era alcuna protezione legale per un' impiegato del di il settore privato , un dipendente a contratto dell' di l' Intelligence come me , presentava il rischio che io fossi seppellito insieme alle a le informazioni e il pubblico non avrebbe mai saputo .</t>
  </si>
  <si>
    <t>file://conllu/it/teddy-1319.conllu#s36_0</t>
  </si>
  <si>
    <t>37</t>
  </si>
  <si>
    <t>Ma se il Primo Emendamento della di la Costituzione degli di gli Stati Uniti ci garantisce la libertà di stampa , un motivo c' è ed è quello di consentire alla a la stampa di opposizione , di sfidare il governo , ma anche di lavorare insieme al a il governo , per creare un dialogo e discutere su come sia possibile informare l' opinione pubblica su questioni di vitale importanza senza mettere a rischio la nostra sicurezza nazionale .</t>
  </si>
  <si>
    <t>file://conllu/it/teddy-1319.conllu#s37_0</t>
  </si>
  <si>
    <t>38</t>
  </si>
  <si>
    <t>Lavorando insieme ai a i giornalisti , restituendo tutte le mie informazioni al a il popolo americano , piuttosto che fare affidamento su me stesso per prendere le decisioni riguardanti la pubblicazione , abbiamo avuto un vivace dibattito con un profondo coinvolgimento da parte del di il governo che penso abbia apportato un beneficio generale .</t>
  </si>
  <si>
    <t>file://conllu/it/teddy-1319.conllu#s38_0</t>
  </si>
  <si>
    <t>39</t>
  </si>
  <si>
    <t>materializzare</t>
  </si>
  <si>
    <t>E quei rischi preannunciati , i rischi che erano stati enfatizzati dal da il governo non si sono mai materializzati .</t>
  </si>
  <si>
    <t>file://conllu/it/teddy-1319.conllu#s39_0</t>
  </si>
  <si>
    <t>40</t>
  </si>
  <si>
    <t>Non ci sono state prove , neanche di una singola istanza di danno specifico e per questo motivo , mi sento a mio agio con le decisioni che ho preso .</t>
  </si>
  <si>
    <t>file://conllu/it/teddy-1319.conllu#s40_0</t>
  </si>
  <si>
    <t>41</t>
  </si>
  <si>
    <t>file://conllu/it/teddy-1319.conllu#s41_0</t>
  </si>
  <si>
    <t>42</t>
  </si>
  <si>
    <t>volere (volere mostrare)</t>
  </si>
  <si>
    <t>Vorrei mostrare al a il pubblico qualche esempio delle di le tue rivelazioni .</t>
  </si>
  <si>
    <t>file://conllu/it/teddy-1319.conllu#s42_0</t>
  </si>
  <si>
    <t>43</t>
  </si>
  <si>
    <t>Se si potesse vedere una diapositiva , Ed non so se tu riesci a vedere , le diapositive sono qui .</t>
  </si>
  <si>
    <t>file://conllu/it/teddy-1319.conllu#s43_0</t>
  </si>
  <si>
    <t>44</t>
  </si>
  <si>
    <t>essere (essere diapositiva)</t>
  </si>
  <si>
    <t>Questa è una diapositiva del di il programma PRISM , e forse tu potresti dire al a il pubblico cosa è stato oggetto della di la rivelazione .</t>
  </si>
  <si>
    <t>file://conllu/it/teddy-1319.conllu#s44_0</t>
  </si>
  <si>
    <t>45</t>
  </si>
  <si>
    <t>file://conllu/it/teddy-1319.conllu#s45_0</t>
  </si>
  <si>
    <t>46</t>
  </si>
  <si>
    <t>Il modo migliore per comprendere il PRISM , dal da il momento che ci sono state alcune controversie , è dire che cosa il PRISM non è .</t>
  </si>
  <si>
    <t>file://conllu/it/teddy-1319.conllu#s46_0</t>
  </si>
  <si>
    <t>48</t>
  </si>
  <si>
    <t>dicere</t>
  </si>
  <si>
    <t>In fondo , dicevano , sono soltanto metadati e parlano di un' autorità giuridica specifica , il Paragrafo 215 del di il Patriot Act , che consente una sorta di intercettazioni senza mandato , sorveglianza massiva dei di i tabulati telefonici di tutto il Paese , cose del di il genere..</t>
  </si>
  <si>
    <t>file://conllu/it/teddy-1319.conllu#s48_0</t>
  </si>
  <si>
    <t>49</t>
  </si>
  <si>
    <t>.</t>
  </si>
  <si>
    <t>file://conllu/it/teddy-1319.conllu#s49_0</t>
  </si>
  <si>
    <t>50</t>
  </si>
  <si>
    <t>parlare (parlare parlare)</t>
  </si>
  <si>
    <t>con chi si parla quando si parla , luoghi in cui si viaggia .</t>
  </si>
  <si>
    <t>file://conllu/it/teddy-1319.conllu#s50_0</t>
  </si>
  <si>
    <t>51</t>
  </si>
  <si>
    <t>essere (essere evento)</t>
  </si>
  <si>
    <t>Questi sono tutti eventi da metadati .</t>
  </si>
  <si>
    <t>file://conllu/it/teddy-1319.conllu#s51_0</t>
  </si>
  <si>
    <t>52</t>
  </si>
  <si>
    <t>riguardare</t>
  </si>
  <si>
    <t>PRISM riguarda il contenuto .</t>
  </si>
  <si>
    <t>file://conllu/it/teddy-1319.conllu#s52_0</t>
  </si>
  <si>
    <t>53</t>
  </si>
  <si>
    <t>essere (essere programma)</t>
  </si>
  <si>
    <t>È un programma attraverso il quale il governo potrebbe fare pressione sulle su le aziende americane , incaricandole di fare il lavoro sporco per la NSA .</t>
  </si>
  <si>
    <t>file://conllu/it/teddy-1319.conllu#s53_0</t>
  </si>
  <si>
    <t>54</t>
  </si>
  <si>
    <t>nonostante?</t>
  </si>
  <si>
    <t>opporre</t>
  </si>
  <si>
    <t>E nonostante alcune di queste aziende abbiano opposto resistenza , anche se alcune credo che Yahoo fosse una di queste hanno fatto causa , hanno perso tutte quante perché nessuna è stata giudicata nel in il corso di una pubblica udienza .</t>
  </si>
  <si>
    <t>file://conllu/it/teddy-1319.conllu#s54_0</t>
  </si>
  <si>
    <t>55</t>
  </si>
  <si>
    <t>solo?</t>
  </si>
  <si>
    <t>giudicare</t>
  </si>
  <si>
    <t>Sono state giudicate solo da un tribunale segreto .</t>
  </si>
  <si>
    <t>file://conllu/it/teddy-1319.conllu#s55_0</t>
  </si>
  <si>
    <t>56</t>
  </si>
  <si>
    <t>E alcune delle di le cose che abbiamo visto , cose inerenti il PRISM , sono per me fonte di grande preoccupazione ; c' è stato un punto della di la discussione al a il governo degli di gli Stati Uniti in cui è stato detto che 15 giudici federali hanno esaminato questi programmi e li hanno trovati legittimi , ma quello che non è stato detto è che si trattava di giudici segreti di un tribunale segreto , basato su una interpretazione segreta della di la legge che ha valutato 34 000 richieste di mandato in oltre 33 anni , e in 33 anni ha respinto solo 11 richieste da parte del di il governo .</t>
  </si>
  <si>
    <t>file://conllu/it/teddy-1319.conllu#s56_0</t>
  </si>
  <si>
    <t>57</t>
  </si>
  <si>
    <t>Non è a queste persone che vogliamo spetti la decisione su quale dovrebbe essere il ruolo delle di le aziende americane in una Rete libera e aperta .</t>
  </si>
  <si>
    <t>file://conllu/it/teddy-1319.conllu#s57_0</t>
  </si>
  <si>
    <t>58</t>
  </si>
  <si>
    <t>file://conllu/it/teddy-1319.conllu#s58_0</t>
  </si>
  <si>
    <t>59</t>
  </si>
  <si>
    <t>mostrare</t>
  </si>
  <si>
    <t>La diapositiva che stiamo proiettando mostra le date in cui diverse aziende tecnologiche , società di Internet , si presume abbiano aderito al a il programma , e da quando sia iniziata la raccolta dei di i loro dati .</t>
  </si>
  <si>
    <t>file://conllu/it/teddy-1319.conllu#s59_0</t>
  </si>
  <si>
    <t>60</t>
  </si>
  <si>
    <t>negare</t>
  </si>
  <si>
    <t>Queste aziende hanno negato di aver collaborato con la NSA .</t>
  </si>
  <si>
    <t>file://conllu/it/teddy-1319.conllu#s60_0</t>
  </si>
  <si>
    <t>61</t>
  </si>
  <si>
    <t>raccogliere</t>
  </si>
  <si>
    <t>In che modo quei dati sono stati raccolti dalla da la NSA ?</t>
  </si>
  <si>
    <t>file://conllu/it/teddy-1319.conllu#s61_0</t>
  </si>
  <si>
    <t>62</t>
  </si>
  <si>
    <t>file://conllu/it/teddy-1319.conllu#s62_0</t>
  </si>
  <si>
    <t>63</t>
  </si>
  <si>
    <t>esatto</t>
  </si>
  <si>
    <t>Esatto .</t>
  </si>
  <si>
    <t>file://conllu/it/teddy-1319.conllu#s63_0</t>
  </si>
  <si>
    <t>64</t>
  </si>
  <si>
    <t>dunque?</t>
  </si>
  <si>
    <t>parlare</t>
  </si>
  <si>
    <t>Dunque , le diapositive della di la NSA parlano di accesso diretto .</t>
  </si>
  <si>
    <t>file://conllu/it/teddy-1319.conllu#s64_0</t>
  </si>
  <si>
    <t>65</t>
  </si>
  <si>
    <t>significare</t>
  </si>
  <si>
    <t>Per un analista della di la NSA vero e proprio , per uno come me che lavorava come analista per i servizi segreti , concentrandosi concentrando si sui su i cyber hacker cinesi e cose del di il genere , alle a le Hawaii , questo significa che i dati provengono direttamente dai da i server di quelle aziende .</t>
  </si>
  <si>
    <t>file://conllu/it/teddy-1319.conllu#s65_0</t>
  </si>
  <si>
    <t>66</t>
  </si>
  <si>
    <t>volere (volere dire)</t>
  </si>
  <si>
    <t>Non vuol dire che ci sia un gruppo di rappresentanti dell' di l' azienda seduto in una stanza fumosa con la NSA a fare amicizia e a prendere accordi dietro le quinte sul su il modo in cui fornire questo materiale .</t>
  </si>
  <si>
    <t>file://conllu/it/teddy-1319.conllu#s66_0</t>
  </si>
  <si>
    <t>67</t>
  </si>
  <si>
    <t>gestire</t>
  </si>
  <si>
    <t>Ciascuna azienda lo gestisce in modi diversi .</t>
  </si>
  <si>
    <t>file://conllu/it/teddy-1319.conllu#s67_0</t>
  </si>
  <si>
    <t>68</t>
  </si>
  <si>
    <t>essere (essere responsabile)</t>
  </si>
  <si>
    <t>Alcuni sono responsabili .</t>
  </si>
  <si>
    <t>file://conllu/it/teddy-1319.conllu#s68_0</t>
  </si>
  <si>
    <t>69</t>
  </si>
  <si>
    <t>essere (essere meno)</t>
  </si>
  <si>
    <t>Altri lo sono meno .</t>
  </si>
  <si>
    <t>file://conllu/it/teddy-1319.conllu#s69_0</t>
  </si>
  <si>
    <t>70</t>
  </si>
  <si>
    <t>parlare (parlare sapere)</t>
  </si>
  <si>
    <t>Ma in linea di massima , quando si parla del di il modo in cui le informazioni vengono fornite , si sa che provengono dalle da le compagnie stesse .</t>
  </si>
  <si>
    <t>file://conllu/it/teddy-1319.conllu#s70_0</t>
  </si>
  <si>
    <t>71</t>
  </si>
  <si>
    <t>rubare</t>
  </si>
  <si>
    <t>Non viene rubata dalle da le linee .</t>
  </si>
  <si>
    <t>file://conllu/it/teddy-1319.conllu#s71_0</t>
  </si>
  <si>
    <t>72</t>
  </si>
  <si>
    <t>bisognare</t>
  </si>
  <si>
    <t>Ma bisogna ricordare una cosa importante :</t>
  </si>
  <si>
    <t>file://conllu/it/teddy-1319.conllu#s72_0</t>
  </si>
  <si>
    <t>73</t>
  </si>
  <si>
    <t>rifiutare</t>
  </si>
  <si>
    <t>anche quando le aziende si sono rifiutate , e hanno preteso che si agisse attraverso un regolare mandato , che si procedesse in modo da avere qualche tipo di controllo legittimo effettivo , una sorta di punto d' appoggio per la cessione dei di i dati degli di gli utenti , abbiamo visto le storie pubblicate sul su il Washington post l' anno scorso , alle a le quali , tra l' altro , non ci si riferiva come ai a i fatti PRISM , che parlavano di un' irruzione da parte dell' di l' NSA nei in i centri interni per la comunicazione dei di i dati di Google e di Yahoo .</t>
  </si>
  <si>
    <t>file://conllu/it/teddy-1319.conllu#s73_0</t>
  </si>
  <si>
    <t>74</t>
  </si>
  <si>
    <t>essere (essere soddisfare)</t>
  </si>
  <si>
    <t>Quindi , anche se queste aziende cooperano in modo obbligato ma almeno , si spera , legittimo con l' NSA , l' NSA non è soddisfatta , ragion per cui , è necessario che le nostre aziende lavorino intensamente per offrire garanzie circa le loro intenzioni non solo di rappresentare gli interessi degli di gli utenti , ma anche di difendere i loro diritti .</t>
  </si>
  <si>
    <t>file://conllu/it/teddy-1319.conllu#s74_0</t>
  </si>
  <si>
    <t>75</t>
  </si>
  <si>
    <t>vedere (vedere pensare)</t>
  </si>
  <si>
    <t>Penso che nel in il corso dell' di l' anno passato abbiamo visto le aziende menzionate nelle in le diapositive PRISM compiere grandi passi in questa direzione e io le esorto a continuare .</t>
  </si>
  <si>
    <t>file://conllu/it/teddy-1319.conllu#s75_0</t>
  </si>
  <si>
    <t>76</t>
  </si>
  <si>
    <t>file://conllu/it/teddy-1319.conllu#s76_0</t>
  </si>
  <si>
    <t>77</t>
  </si>
  <si>
    <t>Cos' altro potrebbero fare ?</t>
  </si>
  <si>
    <t>file://conllu/it/teddy-1319.conllu#s77_0</t>
  </si>
  <si>
    <t>78</t>
  </si>
  <si>
    <t>file://conllu/it/teddy-1319.conllu#s78_0</t>
  </si>
  <si>
    <t>79</t>
  </si>
  <si>
    <t>essere (essere abilitazione)</t>
  </si>
  <si>
    <t>La cosa più importante che un' azienda Internet americana possa fare oggi , subito , senza bisogno di consultare avvocati , per proteggere i diritti degli di gli utenti di tutto il mondo , è l' abilitazione della di la crittografia SSL su ogni pagina visitata .</t>
  </si>
  <si>
    <t>file://conllu/it/teddy-1319.conllu#s79_0</t>
  </si>
  <si>
    <t>80</t>
  </si>
  <si>
    <t>perché?</t>
  </si>
  <si>
    <t>essere (essere importante)</t>
  </si>
  <si>
    <t>Questo è importante perché se oggi vai a guardarti una copia di &amp;quot; 1984 &amp;quot; su Amazon.com , l' NSA ha accesso a questo dato , e così i servizi segreti di Russia , Cina , Francia , Germania e Andorra .</t>
  </si>
  <si>
    <t>file://conllu/it/teddy-1319.conllu#s80_0</t>
  </si>
  <si>
    <t>81</t>
  </si>
  <si>
    <t>Tutti hanno accesso a questo dato perché non è criptato .</t>
  </si>
  <si>
    <t>file://conllu/it/teddy-1319.conllu#s81_0</t>
  </si>
  <si>
    <t>82</t>
  </si>
  <si>
    <t>essere (essere biblioteca)</t>
  </si>
  <si>
    <t>Amazon.com è la biblioteca del di il mondo ma non solo non supporta la crittografia come impostazione predefinita , non si può neanche scegliere di usare la crittografia durante la navigazione attraverso i libri .</t>
  </si>
  <si>
    <t>file://conllu/it/teddy-1319.conllu#s82_0</t>
  </si>
  <si>
    <t>83</t>
  </si>
  <si>
    <t>Questa è una cosa che va cambiata , non solo per Amazon , non intendo discriminare loro in particolare , ma sono un ottimo esempio .</t>
  </si>
  <si>
    <t>file://conllu/it/teddy-1319.conllu#s83_0</t>
  </si>
  <si>
    <t>84</t>
  </si>
  <si>
    <t>acquisire</t>
  </si>
  <si>
    <t>Tutte le aziende devono acquisire l' abitudine della di la navigazione criptata come impostazione predefinita per tutti gli utenti che non hanno preso alcun provvedimento né scelto alcun metodo specifico di propria iniziativa .</t>
  </si>
  <si>
    <t>file://conllu/it/teddy-1319.conllu#s84_0</t>
  </si>
  <si>
    <t>85</t>
  </si>
  <si>
    <t>accrescere</t>
  </si>
  <si>
    <t>Questo accrescerà la privacy e i diritti degli di gli utenti di tutto il mondo .</t>
  </si>
  <si>
    <t>file://conllu/it/teddy-1319.conllu#s85_0</t>
  </si>
  <si>
    <t>86</t>
  </si>
  <si>
    <t>file://conllu/it/teddy-1319.conllu#s86_0</t>
  </si>
  <si>
    <t>87</t>
  </si>
  <si>
    <t>venere</t>
  </si>
  <si>
    <t>Ed , vieni con me da questa parte del di il palcoscenico .</t>
  </si>
  <si>
    <t>file://conllu/it/teddy-1319.conllu#s87_0</t>
  </si>
  <si>
    <t>88</t>
  </si>
  <si>
    <t>volere (volere fartire)</t>
  </si>
  <si>
    <t>Voglio farti vedere la prossima diapositiva .</t>
  </si>
  <si>
    <t>file://conllu/it/teddy-1319.conllu#s88_0</t>
  </si>
  <si>
    <t>89</t>
  </si>
  <si>
    <t>Questo è un programma che si chiama Boundless Informant [ Informatore Illimitato ] .</t>
  </si>
  <si>
    <t>file://conllu/it/teddy-1319.conllu#s89_0</t>
  </si>
  <si>
    <t>90</t>
  </si>
  <si>
    <t>Che cos' è ?</t>
  </si>
  <si>
    <t>file://conllu/it/teddy-1319.conllu#s90_0</t>
  </si>
  <si>
    <t>91</t>
  </si>
  <si>
    <t>file://conllu/it/teddy-1319.conllu#s91_0</t>
  </si>
  <si>
    <t>92</t>
  </si>
  <si>
    <t>Devo dare atto all' a l' NSA di aver usato un nome molto appropriato in questo caso .</t>
  </si>
  <si>
    <t>file://conllu/it/teddy-1319.conllu#s92_0</t>
  </si>
  <si>
    <t>93</t>
  </si>
  <si>
    <t>essere (essere uno)</t>
  </si>
  <si>
    <t>È uno dei di i criptonimi dell' di l' NSA che preferisco .</t>
  </si>
  <si>
    <t>file://conllu/it/teddy-1319.conllu#s93_0</t>
  </si>
  <si>
    <t>94</t>
  </si>
  <si>
    <t>Boundless Informant è un programma che l' NSA ha tenuto nascosto al a il Congresso .</t>
  </si>
  <si>
    <t>file://conllu/it/teddy-1319.conllu#s94_0</t>
  </si>
  <si>
    <t>95</t>
  </si>
  <si>
    <t>chiedere</t>
  </si>
  <si>
    <t>In precedenza , il Congresso aveva chiesto all' a l' NSA se avesse la capacità di dare una stima , sia pur approssimativa , del di il volume di comunicazioni intercettate in America .</t>
  </si>
  <si>
    <t>file://conllu/it/teddy-1319.conllu#s95_0</t>
  </si>
  <si>
    <t>96</t>
  </si>
  <si>
    <t>rispodere</t>
  </si>
  <si>
    <t>Loro risposero di no .</t>
  </si>
  <si>
    <t>file://conllu/it/teddy-1319.conllu#s96_0</t>
  </si>
  <si>
    <t>97</t>
  </si>
  <si>
    <t>Dissero che non tracciavano quel tipo di statistiche , che non potevano farlo far lo .</t>
  </si>
  <si>
    <t>file://conllu/it/teddy-1319.conllu#s97_0</t>
  </si>
  <si>
    <t>98</t>
  </si>
  <si>
    <t>essere (essere violazione)</t>
  </si>
  <si>
    <t>Non potevano dire quante comunicazioni intercettavano in tutto il mondo perché farlo far lo sarebbe stato una violazione della di la privacy .</t>
  </si>
  <si>
    <t>file://conllu/it/teddy-1319.conllu#s98_0</t>
  </si>
  <si>
    <t>99</t>
  </si>
  <si>
    <t>apprezzo</t>
  </si>
  <si>
    <t>Certamente , apprezzo questo tipo di sensibilità da parte loro , ma la verità è che guardando questa diapositiva , non solo si vede che loro ne hanno la capacità , ma che quella capacità esiste già , è già presente .</t>
  </si>
  <si>
    <t>file://conllu/it/teddy-1319.conllu#s99_0</t>
  </si>
  <si>
    <t>100</t>
  </si>
  <si>
    <t>L' NSA ha un proprio formato interno per i dati che rintraccia entrambi gli estremi di una comunicazione , e nel in il caso che questa comunicazione provenga dall' da l' America , è possibile informare immediatamente il Congresso sul su il numero di comunicazioni di questo tipo occorse nella in la giornata di oggi .</t>
  </si>
  <si>
    <t>file://conllu/it/teddy-1319.conllu#s100_0</t>
  </si>
  <si>
    <t>101</t>
  </si>
  <si>
    <t>Boundless Informant ci dice che in America viene intercettato un numero di comunicazioni riguardante gli americani maggiore di quello delle di le comunicazioni in Russia , riguardanti cittadini russi .</t>
  </si>
  <si>
    <t>file://conllu/it/teddy-1319.conllu#s101_0</t>
  </si>
  <si>
    <t>102</t>
  </si>
  <si>
    <t>credere</t>
  </si>
  <si>
    <t>Non credo che questo sia lo scopo principale per un' agenzia d' intelligence .</t>
  </si>
  <si>
    <t>file://conllu/it/teddy-1319.conllu#s102_0</t>
  </si>
  <si>
    <t>103</t>
  </si>
  <si>
    <t>file://conllu/it/teddy-1319.conllu#s103_0</t>
  </si>
  <si>
    <t>104</t>
  </si>
  <si>
    <t>Ed , c' è stata una storia che è esplosa sul su il Washington Post , che pure ha avuto origine dai da i tuoi dati .</t>
  </si>
  <si>
    <t>file://conllu/it/teddy-1319.conllu#s104_0</t>
  </si>
  <si>
    <t>105</t>
  </si>
  <si>
    <t>Il titolo dice :</t>
  </si>
  <si>
    <t>file://conllu/it/teddy-1319.conllu#s105_0</t>
  </si>
  <si>
    <t>106</t>
  </si>
  <si>
    <t>vìolare</t>
  </si>
  <si>
    <t>&amp;quot; L' NSA vìola le regole della di la privacy migliaia di volte all' a l' anno . &amp;quot; Raccontaci .</t>
  </si>
  <si>
    <t>file://conllu/it/teddy-1319.conllu#s106_0</t>
  </si>
  <si>
    <t>107</t>
  </si>
  <si>
    <t>file://conllu/it/teddy-1319.conllu#s107_0</t>
  </si>
  <si>
    <t>108</t>
  </si>
  <si>
    <t>parlare (parlare sentire)</t>
  </si>
  <si>
    <t>Ne abbiamo sentito parlare nella in la testimonianza al a il Congresso l' anno scorso , è stata una cosa sorprendente per chi , come me , veniva dall' da l' NSA , aveva visto i documenti interni veri e ne conosceva il contenuto , vedere dei di i funzionari che testimoniavano sotto giuramento che non era stato commesso alcun abuso , non c' era stata nessuna violazione delle di le regole dell' di l' NSA , quando invece ci aspettavamo questi sviluppi .</t>
  </si>
  <si>
    <t>file://conllu/it/teddy-1319.conllu#s108_0</t>
  </si>
  <si>
    <t>109</t>
  </si>
  <si>
    <t>Ma la cosa particolarmente interessante relativa al a il fatto che l' NSA ha violato le proprie regole , le sue stesse leggi migliaia di volte in un anno , è che include un evento che da solo , uno tra i 2776 eventi , ha riguardato più di 3000 persone .</t>
  </si>
  <si>
    <t>file://conllu/it/teddy-1319.conllu#s109_0</t>
  </si>
  <si>
    <t>110</t>
  </si>
  <si>
    <t>intercettato</t>
  </si>
  <si>
    <t>In un' altra occorrenza , hanno intercettato per errore tutte le chiamate verso Washington D.C.</t>
  </si>
  <si>
    <t>file://conllu/it/teddy-1319.conllu#s110_0</t>
  </si>
  <si>
    <t>111</t>
  </si>
  <si>
    <t>In tutto ciò , la cosa straordinaria è che questo verbale , che non ricevette all' a l' epoca molta considerazione , non solo contava 2776 abusi , ma il presidente della di la Commissione Servizi Segreti del di il Senato , Dianne Feinstein , non aveva visto il verbale fino al a il momento in cui il Washington Post l' aveva contattata chiedendole chiedendo le di commentare sul su il resoconto .</t>
  </si>
  <si>
    <t>file://conllu/it/teddy-1319.conllu#s111_0</t>
  </si>
  <si>
    <t>112</t>
  </si>
  <si>
    <t>allora?</t>
  </si>
  <si>
    <t>vedere (vedere richiedere)</t>
  </si>
  <si>
    <t>Solo allora , lei richiese una copia all' a l' NSA e la ricevette , ma non l' aveva mai visto prima .</t>
  </si>
  <si>
    <t>file://conllu/it/teddy-1319.conllu#s112_0</t>
  </si>
  <si>
    <t>113</t>
  </si>
  <si>
    <t>Cosa ci dice questo sul su il tipo di vigilanza presente nei in i servizi segreti americani , dove il presidente della di la Commissione Servizi Segreti del di il Senato non ha idea che le regole vengono violate migliaia di volte all' a l' anno ?</t>
  </si>
  <si>
    <t>file://conllu/it/teddy-1319.conllu#s113_0</t>
  </si>
  <si>
    <t>114</t>
  </si>
  <si>
    <t>file://conllu/it/teddy-1319.conllu#s114_0</t>
  </si>
  <si>
    <t>115</t>
  </si>
  <si>
    <t>Ed , una sola risposta a tutto questo dibattito è : perché dovremmo preoccuparci preoccupar ci di tutta questa sorveglianza ?</t>
  </si>
  <si>
    <t>file://conllu/it/teddy-1319.conllu#s115_0</t>
  </si>
  <si>
    <t>116</t>
  </si>
  <si>
    <t>intendere</t>
  </si>
  <si>
    <t>Intendo dire , se non ho fatto nulla di male , non ho nulla di cui preoccuparmi .</t>
  </si>
  <si>
    <t>file://conllu/it/teddy-1319.conllu#s116_0</t>
  </si>
  <si>
    <t>117</t>
  </si>
  <si>
    <t>Cosa c' è di sbagliato in questo ?</t>
  </si>
  <si>
    <t>file://conllu/it/teddy-1319.conllu#s117_0</t>
  </si>
  <si>
    <t>118</t>
  </si>
  <si>
    <t>stare</t>
  </si>
  <si>
    <t>ES : Beh , per prima cosa , stai rinunciando ai a i tuoi diritti .</t>
  </si>
  <si>
    <t>file://conllu/it/teddy-1319.conllu#s118_0</t>
  </si>
  <si>
    <t>119</t>
  </si>
  <si>
    <t>come?</t>
  </si>
  <si>
    <t>È come se dicessi , sai , non credo che ne avrò bisogno , ho deciso di fidarmi fidar mi , sai , me ne sbarazzerò perché non ha molta importanza , quella gente farà la cosa giusta .</t>
  </si>
  <si>
    <t>file://conllu/it/teddy-1319.conllu#s119_0</t>
  </si>
  <si>
    <t>120</t>
  </si>
  <si>
    <t>I nostri diritti hanno importanza perché non si può mai sapere quando potremmo averne aver ne bisogno .</t>
  </si>
  <si>
    <t>file://conllu/it/teddy-1319.conllu#s120_0</t>
  </si>
  <si>
    <t>121</t>
  </si>
  <si>
    <t>inoltre?</t>
  </si>
  <si>
    <t>E inoltre , fanno parte della di la nostra identità culturale , non soltanto in America , ma in tutte le società occidentali e nelle in le società democratiche di tutto il mondo .</t>
  </si>
  <si>
    <t>file://conllu/it/teddy-1319.conllu#s121_0</t>
  </si>
  <si>
    <t>122</t>
  </si>
  <si>
    <t>alzare</t>
  </si>
  <si>
    <t>Le persone devono poter alzare il ricevitore e chiamare le loro famiglie , devono poter mandare un messaggio di testo a quelli che amano , devono poter comprare un libro online , devono poter viaggiare in treno o comprare un biglietto aereo senza chiedersi chieder si come questi eventi appariranno agli a gli occhi di un agente governativo , magari neanche del di il loro paese , negli in gli anni futuri , come saranno male interpretati e cosa si potrebbe mai pensare delle di le loro intenzioni .</t>
  </si>
  <si>
    <t>file://conllu/it/teddy-1319.conllu#s122_0</t>
  </si>
  <si>
    <t>123</t>
  </si>
  <si>
    <t>Noi abbiamo il diritto alla a la privacy .</t>
  </si>
  <si>
    <t>file://conllu/it/teddy-1319.conllu#s123_0</t>
  </si>
  <si>
    <t>124</t>
  </si>
  <si>
    <t>essere (essere tentazione)</t>
  </si>
  <si>
    <t>Abbiamo bisogno di mandati fondati su possibili cause o su qualche tipo di sospetto individuale perché riconosciamo che affidare a chiunque , a qualunque autorità governativa , la totalità della di la comunicazione umana segretamente e senza supervisione è semplicemente una tentazione troppo grande per essere ignorata .</t>
  </si>
  <si>
    <t>file://conllu/it/teddy-1319.conllu#s124_0</t>
  </si>
  <si>
    <t>125</t>
  </si>
  <si>
    <t>file://conllu/it/teddy-1319.conllu#s125_0</t>
  </si>
  <si>
    <t>126</t>
  </si>
  <si>
    <t>essere (essere furioso)</t>
  </si>
  <si>
    <t>Alcune persone sono furiose per quello che hai fatto .</t>
  </si>
  <si>
    <t>file://conllu/it/teddy-1319.conllu#s126_0</t>
  </si>
  <si>
    <t>127</t>
  </si>
  <si>
    <t>sentire</t>
  </si>
  <si>
    <t>Ho sentito di recente una citazione di Dick Cheney che afferma che se Julian Assange era il morso di una pulce , Edward Snowden è il leone che ha staccato la testa al a il cane .</t>
  </si>
  <si>
    <t>file://conllu/it/teddy-1319.conllu#s127_0</t>
  </si>
  <si>
    <t>128</t>
  </si>
  <si>
    <t>Lui pensa che tu abbia commesso uno dei di i peggiori tradimenti della di la storia americana .</t>
  </si>
  <si>
    <t>file://conllu/it/teddy-1319.conllu#s128_0</t>
  </si>
  <si>
    <t>129</t>
  </si>
  <si>
    <t>Che cosa diresti a persone che la pensano così ?</t>
  </si>
  <si>
    <t>file://conllu/it/teddy-1319.conllu#s129_0</t>
  </si>
  <si>
    <t>130</t>
  </si>
  <si>
    <t>ES : Dick Cheney , te lo raccomando quello .</t>
  </si>
  <si>
    <t>file://conllu/it/teddy-1319.conllu#s130_0</t>
  </si>
  <si>
    <t>131</t>
  </si>
  <si>
    <t>grazie</t>
  </si>
  <si>
    <t>( Risate ) Grazie .</t>
  </si>
  <si>
    <t>file://conllu/it/teddy-1319.conllu#s131_0</t>
  </si>
  <si>
    <t>132</t>
  </si>
  <si>
    <t>dire (dire pensare)</t>
  </si>
  <si>
    <t>Penso che sia incredibile , perché all' a l' epoca in cui Julian Assange svolgeva il suo straordinario lavoro , Dick Cheney diceva che avrebbe causato la fine dei di i governi che i cieli stavano per incendiarsi incendiar si e i mari sarebbero evaporati e ora dice che è un morso di pulce .</t>
  </si>
  <si>
    <t>file://conllu/it/teddy-1319.conllu#s132_0</t>
  </si>
  <si>
    <t>133</t>
  </si>
  <si>
    <t>quindi?</t>
  </si>
  <si>
    <t>Quindi c' è da guardare con sospetto questo tipo di affermazioni esagerate di danni alla a la sicurezza nazionale da parte di questo tipo di funzionari .</t>
  </si>
  <si>
    <t>file://conllu/it/teddy-1319.conllu#s133_0</t>
  </si>
  <si>
    <t>134</t>
  </si>
  <si>
    <t>supporre</t>
  </si>
  <si>
    <t>Ma supponiamo che vi siano persone che ci credono veramente .</t>
  </si>
  <si>
    <t>file://conllu/it/teddy-1319.conllu#s134_0</t>
  </si>
  <si>
    <t>135</t>
  </si>
  <si>
    <t>Direi che in qualche modo hanno una concezione ristretta della di la sicurezza nazionale .</t>
  </si>
  <si>
    <t>file://conllu/it/teddy-1319.conllu#s135_0</t>
  </si>
  <si>
    <t>136</t>
  </si>
  <si>
    <t>mettere</t>
  </si>
  <si>
    <t>Le prerogative di persone come Dick Cheney mettono a rischio la sicurezza nazionale .</t>
  </si>
  <si>
    <t>file://conllu/it/teddy-1319.conllu#s136_0</t>
  </si>
  <si>
    <t>137</t>
  </si>
  <si>
    <t>coincidere</t>
  </si>
  <si>
    <t>L' interesse pubblico non coincide sempre con l' interesse della di la nazione .</t>
  </si>
  <si>
    <t>file://conllu/it/teddy-1319.conllu#s137_0</t>
  </si>
  <si>
    <t>138</t>
  </si>
  <si>
    <t>Entrare in guerra contro popoli che non sono nostri nemici , in luoghi che non sono per noi una minaccia non ci mette al a il sicuro e questo vale sia per l' Iraq sia per Internet .</t>
  </si>
  <si>
    <t>file://conllu/it/teddy-1319.conllu#s138_0</t>
  </si>
  <si>
    <t>139</t>
  </si>
  <si>
    <t>essere (essere nemico)</t>
  </si>
  <si>
    <t>Internet non è il nemico .</t>
  </si>
  <si>
    <t>file://conllu/it/teddy-1319.conllu#s139_0</t>
  </si>
  <si>
    <t>140</t>
  </si>
  <si>
    <t>L' economia non è il nemico .</t>
  </si>
  <si>
    <t>file://conllu/it/teddy-1319.conllu#s140_0</t>
  </si>
  <si>
    <t>141</t>
  </si>
  <si>
    <t>impresa</t>
  </si>
  <si>
    <t>Le imprese americane , le imprese cinesi e ogni altra azienda là fuori fa parte della di la nostra società .</t>
  </si>
  <si>
    <t>file://conllu/it/teddy-1319.conllu#s141_0</t>
  </si>
  <si>
    <t>142</t>
  </si>
  <si>
    <t>Fa parte del di il nostro mondo interconnesso .</t>
  </si>
  <si>
    <t>file://conllu/it/teddy-1319.conllu#s142_0</t>
  </si>
  <si>
    <t>143</t>
  </si>
  <si>
    <t>Ci sono legami di fratellanza che ci legano , e se distruggiamo questi legami minando le norme , la sicurezza , le modalità di comportamento , che le nazioni e i cittadini di tutto il mondo si aspettano che rispettiamo .</t>
  </si>
  <si>
    <t>file://conllu/it/teddy-1319.conllu#s143_0</t>
  </si>
  <si>
    <t>144</t>
  </si>
  <si>
    <t>file://conllu/it/teddy-1319.conllu#s144_0</t>
  </si>
  <si>
    <t>145</t>
  </si>
  <si>
    <t>sostenere</t>
  </si>
  <si>
    <t>Ma si sostiene che tu abbia rubato 1,7 milioni di documenti .</t>
  </si>
  <si>
    <t>file://conllu/it/teddy-1319.conllu#s145_0</t>
  </si>
  <si>
    <t>146</t>
  </si>
  <si>
    <t>parere</t>
  </si>
  <si>
    <t>Pare che solo poche centinaia di questi siano stati finora condivisi con i giornalisti .</t>
  </si>
  <si>
    <t>file://conllu/it/teddy-1319.conllu#s146_0</t>
  </si>
  <si>
    <t>147</t>
  </si>
  <si>
    <t>aspettare</t>
  </si>
  <si>
    <t>Dobbiamo aspettarci aspettar ci altre rivelazioni ?</t>
  </si>
  <si>
    <t>file://conllu/it/teddy-1319.conllu#s147_0</t>
  </si>
  <si>
    <t>148</t>
  </si>
  <si>
    <t>file://conllu/it/teddy-1319.conllu#s148_0</t>
  </si>
  <si>
    <t>149</t>
  </si>
  <si>
    <t>Ci sono senz' altro altre rivelazioni .</t>
  </si>
  <si>
    <t>file://conllu/it/teddy-1319.conllu#s149_0</t>
  </si>
  <si>
    <t>150</t>
  </si>
  <si>
    <t>Non credo vi sia dubbio che alcuni dei di i resoconti più importanti devono ancora venire .</t>
  </si>
  <si>
    <t>file://conllu/it/teddy-1319.conllu#s150_0</t>
  </si>
  <si>
    <t>151</t>
  </si>
  <si>
    <t>file://conllu/it/teddy-1319.conllu#s151_0</t>
  </si>
  <si>
    <t>152</t>
  </si>
  <si>
    <t>Vieni</t>
  </si>
  <si>
    <t>Vieni qui perché ora voglio farti una domanda su questa rivelazione in particolare .</t>
  </si>
  <si>
    <t>file://conllu/it/teddy-1319.conllu#s152_0</t>
  </si>
  <si>
    <t>153</t>
  </si>
  <si>
    <t>Vieni a dare un' occhiata qui .</t>
  </si>
  <si>
    <t>file://conllu/it/teddy-1319.conllu#s153_0</t>
  </si>
  <si>
    <t>154</t>
  </si>
  <si>
    <t>essere (essere storia)</t>
  </si>
  <si>
    <t>Questa è una storia che credo sia , per i patiti della di la tecnologia presenti , la cosa più sconvolgente che abbiano sentito negli in gli ultimi mesi .</t>
  </si>
  <si>
    <t>file://conllu/it/teddy-1319.conllu#s154_0</t>
  </si>
  <si>
    <t>155</t>
  </si>
  <si>
    <t>trattare</t>
  </si>
  <si>
    <t>Si tratta di un programma che si chiama &amp;quot; Bullrun , &amp;quot; Puoi spiegarci spiegar ci che cos' è ?</t>
  </si>
  <si>
    <t>file://conllu/it/teddy-1319.conllu#s155_0</t>
  </si>
  <si>
    <t>156</t>
  </si>
  <si>
    <t>ES : Allora , Bullrun , e qui dobbiamo di nuovo ringraziare l' NSA per il suo candore , è un programma che deve il nome a una battaglia della di la Guerra Civile .</t>
  </si>
  <si>
    <t>file://conllu/it/teddy-1319.conllu#s156_0</t>
  </si>
  <si>
    <t>157</t>
  </si>
  <si>
    <t>La controparte britannica si chiama Edgehill , che è una battaglia della di la guerra civile del di il Regno Unito .</t>
  </si>
  <si>
    <t>file://conllu/it/teddy-1319.conllu#s157_0</t>
  </si>
  <si>
    <t>158</t>
  </si>
  <si>
    <t>mirare</t>
  </si>
  <si>
    <t>Il motivo per cui hanno questo nome è perché mirano alla a la nostra infrastruttura .</t>
  </si>
  <si>
    <t>file://conllu/it/teddy-1319.conllu#s158_0</t>
  </si>
  <si>
    <t>159</t>
  </si>
  <si>
    <t>Sono programmi attraverso i quali l' NSA svia volutamente le aziende partner .</t>
  </si>
  <si>
    <t>file://conllu/it/teddy-1319.conllu#s159_0</t>
  </si>
  <si>
    <t>160</t>
  </si>
  <si>
    <t>Dicono alle a le aziende partner che si tratta di norme di sicurezza .</t>
  </si>
  <si>
    <t>file://conllu/it/teddy-1319.conllu#s160_0</t>
  </si>
  <si>
    <t>161</t>
  </si>
  <si>
    <t>Dicono cose tipo , ehi , abbiamo bisogno della di la vostra collaborazione per proteggere i vostri sistemi , ma in realtà poi danno cattivi consigli a queste aziende al a il fine di minare la sicurezza dei di i loro servizi .</t>
  </si>
  <si>
    <t>file://conllu/it/teddy-1319.conllu#s161_0</t>
  </si>
  <si>
    <t>162</t>
  </si>
  <si>
    <t>Costruiscere</t>
  </si>
  <si>
    <t>Costruiscono delle di le porte di accesso non autorizzate che non solo possono essere sfruttate dall' da l' NSA , ma che chiunque altro abbia tempo e denaro da impiegare per cercarle cercar le , può usare per accedere alle a le comunicazioni mondiali .</t>
  </si>
  <si>
    <t>file://conllu/it/teddy-1319.conllu#s162_0</t>
  </si>
  <si>
    <t>163</t>
  </si>
  <si>
    <t>essere (essere pericoloso)</t>
  </si>
  <si>
    <t>E questo è veramente pericoloso perché se perdiamo anche un solo protocollo , se non possiamo fidarci fidar ci di cose come l' SSL , che viene specificamente preso di mira dal da il programma Bullrun , vivremo in un mondo meno sicuro in generale .</t>
  </si>
  <si>
    <t>file://conllu/it/teddy-1319.conllu#s163_0</t>
  </si>
  <si>
    <t>164</t>
  </si>
  <si>
    <t>essere (essere grado)</t>
  </si>
  <si>
    <t>Non saremo in grado di accedere ai a i nostri conti online e ai a i siti di e commerce senza dover temere che altri possano monitorare quelle comunicazioni o sovvertirle sovvertir le per fini propri .</t>
  </si>
  <si>
    <t>file://conllu/it/teddy-1319.conllu#s164_0</t>
  </si>
  <si>
    <t>165</t>
  </si>
  <si>
    <t>file://conllu/it/teddy-1319.conllu#s165_0</t>
  </si>
  <si>
    <t>166</t>
  </si>
  <si>
    <t>esporre</t>
  </si>
  <si>
    <t>E quelle stesse decisioni , espongono virtualmente l' America agli a gli attacchi informatici provenienti da altre fonti ?</t>
  </si>
  <si>
    <t>file://conllu/it/teddy-1319.conllu#s166_0</t>
  </si>
  <si>
    <t>167</t>
  </si>
  <si>
    <t>file://conllu/it/teddy-1319.conllu#s167_0</t>
  </si>
  <si>
    <t>168</t>
  </si>
  <si>
    <t>sì</t>
  </si>
  <si>
    <t>Assolutamente sì .</t>
  </si>
  <si>
    <t>file://conllu/it/teddy-1319.conllu#s168_0</t>
  </si>
  <si>
    <t>169</t>
  </si>
  <si>
    <t>essere (essere fatto)</t>
  </si>
  <si>
    <t>Uno dei di i problemi , una delle di le pericolose eredità dell' di l' era post 11 settembre è il fatto che l' NSA ha storicamente coperto due funzioni .</t>
  </si>
  <si>
    <t>file://conllu/it/teddy-1319.conllu#s169_0</t>
  </si>
  <si>
    <t>170</t>
  </si>
  <si>
    <t>incaricare</t>
  </si>
  <si>
    <t>Sono stati incaricati di operazioni offensive , cioè hacking , ma anche di operazioni di difesa , e per tradizione hanno sempre dato la priorità alla a la difesa sulla su la base del di il semplice principio che i segreti americani hanno un valore maggiore .</t>
  </si>
  <si>
    <t>file://conllu/it/teddy-1319.conllu#s170_0</t>
  </si>
  <si>
    <t>171</t>
  </si>
  <si>
    <t>Se violiamo il sistema informatico di un' impresa cinese e rubiamo i suoi segreti , o se facciamo altrettanto in un ufficio del di il governo a Berlino , ha meno valore , agli a gli occhi del di il popolo americano , che non fare in modo che i cinesi non possano avere accesso ai a i nostri segreti .</t>
  </si>
  <si>
    <t>file://conllu/it/teddy-1319.conllu#s171_0</t>
  </si>
  <si>
    <t>172</t>
  </si>
  <si>
    <t>Quindi , riducendo la sicurezza delle di le nostre comunicazioni , non solo stanno mettendo a rischio il mondo , ma stanno mettendo a rischio l' America in modo fondamentale perché la proprietà intellettuale è la base , il fondamento della di la nostra economia , e se mettiamo a rischio questo per carenza di sicurezza , ne pagheremo le conseguenze per anni .</t>
  </si>
  <si>
    <t>file://conllu/it/teddy-1319.conllu#s172_0</t>
  </si>
  <si>
    <t>173</t>
  </si>
  <si>
    <t>file://conllu/it/teddy-1319.conllu#s173_0</t>
  </si>
  <si>
    <t>174</t>
  </si>
  <si>
    <t>calcolare</t>
  </si>
  <si>
    <t>Ma loro hanno calcolato che ne valeva la pena , faceva parte della di la difesa dell' di l' America contro il terrorismo .</t>
  </si>
  <si>
    <t>file://conllu/it/teddy-1319.conllu#s174_0</t>
  </si>
  <si>
    <t>175</t>
  </si>
  <si>
    <t>essere (essere prezzo)</t>
  </si>
  <si>
    <t>È sicuramente un prezzo che vale la pena di pagare .</t>
  </si>
  <si>
    <t>file://conllu/it/teddy-1319.conllu#s175_0</t>
  </si>
  <si>
    <t>176</t>
  </si>
  <si>
    <t>comprendere</t>
  </si>
  <si>
    <t>ES : Beh , se si guarda ai a i risultati di questi programmi nel in il fermare il terrorismo , si comprende che è infondato ma non dovete credermi creder mi sulla su la parola , perché nella in la prima udienza pubblica , il primo giudice federale che ha esaminato questo caso , al a il di fuori del di il regime di segretezza , ha definito questi programmi orwelliani e verosimilmente incostituzionali .</t>
  </si>
  <si>
    <t>file://conllu/it/teddy-1319.conllu#s176_0</t>
  </si>
  <si>
    <t>177</t>
  </si>
  <si>
    <t>affermare</t>
  </si>
  <si>
    <t>Il Congresso , che ha accesso alle a le informazioni su questi fatti e ora più che mai desidera averne aver ne , ha predisposto progetti di legge per una riforma della di la materia e due comitati indipendenti della di la Casa Bianca che hanno esaminato tutte le prove segrete , ha affermato che questi programmi non hanno mai fermato un solo attacco terroristico rivelatosi rivelato si imminente negli in gli Stati Uniti .</t>
  </si>
  <si>
    <t>file://conllu/it/teddy-1319.conllu#s177_0</t>
  </si>
  <si>
    <t>178</t>
  </si>
  <si>
    <t>fermare</t>
  </si>
  <si>
    <t>Allora , stiamo veramente fermando il terrorismo ?</t>
  </si>
  <si>
    <t>file://conllu/it/teddy-1319.conllu#s178_0</t>
  </si>
  <si>
    <t>179</t>
  </si>
  <si>
    <t>Tutti questi programmi , hanno qualche valore ?</t>
  </si>
  <si>
    <t>file://conllu/it/teddy-1319.conllu#s179_0</t>
  </si>
  <si>
    <t>180</t>
  </si>
  <si>
    <t>pure?</t>
  </si>
  <si>
    <t>Io dico di no e così pure le tre autorità del di il governo americano .</t>
  </si>
  <si>
    <t>file://conllu/it/teddy-1319.conllu#s180_0</t>
  </si>
  <si>
    <t>181</t>
  </si>
  <si>
    <t>file://conllu/it/teddy-1319.conllu#s181_0</t>
  </si>
  <si>
    <t>182</t>
  </si>
  <si>
    <t>volere (volere dire pensare)</t>
  </si>
  <si>
    <t>Si ma voglio dire , tu pensi che esista per loro una motivazione più profonda della di la guerra al a il terrorismo ?</t>
  </si>
  <si>
    <t>file://conllu/it/teddy-1319.conllu#s182_0</t>
  </si>
  <si>
    <t>183</t>
  </si>
  <si>
    <t>ripetere (ripetere sentire)</t>
  </si>
  <si>
    <t>ES : Scusa , non ho sentito bene , puoi ripetere ?</t>
  </si>
  <si>
    <t>file://conllu/it/teddy-1319.conllu#s183_0</t>
  </si>
  <si>
    <t>184</t>
  </si>
  <si>
    <t>CA : Scusa .</t>
  </si>
  <si>
    <t>file://conllu/it/teddy-1319.conllu#s184_0</t>
  </si>
  <si>
    <t>185</t>
  </si>
  <si>
    <t>Pensi che per loro esista una motivazione più profonda della di la guerra contro il terrorismo ?</t>
  </si>
  <si>
    <t>file://conllu/it/teddy-1319.conllu#s185_0</t>
  </si>
  <si>
    <t>186</t>
  </si>
  <si>
    <t>si</t>
  </si>
  <si>
    <t>ES : Si .</t>
  </si>
  <si>
    <t>file://conllu/it/teddy-1319.conllu#s186_0</t>
  </si>
  <si>
    <t>187</t>
  </si>
  <si>
    <t>La morale della di la favola è che il terrorismo è sempre stato quello che nel in il mondo dei di i servizi segreti chiameremmo una copertura per l' azione .</t>
  </si>
  <si>
    <t>file://conllu/it/teddy-1319.conllu#s187_0</t>
  </si>
  <si>
    <t>188</t>
  </si>
  <si>
    <t>essere (essere qualcosa)</t>
  </si>
  <si>
    <t>Il terrorismo è qualcosa che provoca una risposta emotiva che permette alle a le persone di razionalizzare , autorizzando poteri e programmi che altrimenti non cederebbero .</t>
  </si>
  <si>
    <t>file://conllu/it/teddy-1319.conllu#s188_0</t>
  </si>
  <si>
    <t>189</t>
  </si>
  <si>
    <t>Per programmi tipo Bullrun e Edgehill , l' NSA ha chiesto l' autorizzazione fin dagli da gli anni '90 .</t>
  </si>
  <si>
    <t>file://conllu/it/teddy-1319.conllu#s189_0</t>
  </si>
  <si>
    <t>190</t>
  </si>
  <si>
    <t>Chiedere</t>
  </si>
  <si>
    <t>Chiesero all' a l' FBI di andare al a il Congresso e di perorare la causa .</t>
  </si>
  <si>
    <t>file://conllu/it/teddy-1319.conllu#s190_0</t>
  </si>
  <si>
    <t>191</t>
  </si>
  <si>
    <t>andare</t>
  </si>
  <si>
    <t>L' FBI andò al a il Congresso e promosse l' idea .</t>
  </si>
  <si>
    <t>file://conllu/it/teddy-1319.conllu#s191_0</t>
  </si>
  <si>
    <t>192</t>
  </si>
  <si>
    <t>Ma il Congresso e il popolo Americano risposero di no .</t>
  </si>
  <si>
    <t>file://conllu/it/teddy-1319.conllu#s192_0</t>
  </si>
  <si>
    <t>193</t>
  </si>
  <si>
    <t>Rispodere</t>
  </si>
  <si>
    <t>Risposero che non valeva la pena rischiare per la nostra economia .</t>
  </si>
  <si>
    <t>file://conllu/it/teddy-1319.conllu#s193_0</t>
  </si>
  <si>
    <t>194</t>
  </si>
  <si>
    <t>Sostenevano che avrebbe arrecato alla a la nostra società danni troppo ingenti che non avrebbero giustificato i guadagni .</t>
  </si>
  <si>
    <t>file://conllu/it/teddy-1319.conllu#s194_0</t>
  </si>
  <si>
    <t>195</t>
  </si>
  <si>
    <t>usare (usare vedere usare)</t>
  </si>
  <si>
    <t>Ma poi , nell' in l' era post 11 / 9 , abbiamo visto che è stata usata la segretezza e il terrorismo è stato usato come pretesto per avviare in segreto questi programmi senza interpellare il Congresso , senza interpellare il popolo americano ed è proprio da questo tipo di governo a porte chiuse che dobbiamo proteggerci protegger ci , perché ci rende meno sicuri e non offre alcun valore .</t>
  </si>
  <si>
    <t>file://conllu/it/teddy-1319.conllu#s195_0</t>
  </si>
  <si>
    <t>196</t>
  </si>
  <si>
    <t>file://conllu/it/teddy-1319.conllu#s196_0</t>
  </si>
  <si>
    <t>197</t>
  </si>
  <si>
    <t>OK , vieni qui con me un attimo perché ho una domanda più personale da farti .</t>
  </si>
  <si>
    <t>file://conllu/it/teddy-1319.conllu#s197_0</t>
  </si>
  <si>
    <t>198</t>
  </si>
  <si>
    <t>A proposito di terrore , molti potrebbero pensare che la situazione in cui ti trovi adesso in Russia , sia terribile .</t>
  </si>
  <si>
    <t>file://conllu/it/teddy-1319.conllu#s198_0</t>
  </si>
  <si>
    <t>199</t>
  </si>
  <si>
    <t>Tu ovviamente hai sentito cosa è successo , come è stato trattato Bradley Manning , ora Chelsea Manning , e c' era una storia su Buzzfeed secondo cui ci sono persone negli in gli ambienti dei di i servizi segreti che vogliono la tua morte .</t>
  </si>
  <si>
    <t>file://conllu/it/teddy-1319.conllu#s199_0</t>
  </si>
  <si>
    <t>200</t>
  </si>
  <si>
    <t>affrontare</t>
  </si>
  <si>
    <t>Come affronti tutto questo ?</t>
  </si>
  <si>
    <t>file://conllu/it/teddy-1319.conllu#s200_0</t>
  </si>
  <si>
    <t>201</t>
  </si>
  <si>
    <t>Come stai affrontando la paura ?</t>
  </si>
  <si>
    <t>file://conllu/it/teddy-1319.conllu#s201_0</t>
  </si>
  <si>
    <t>202</t>
  </si>
  <si>
    <t>file://conllu/it/teddy-1319.conllu#s202_0</t>
  </si>
  <si>
    <t>203</t>
  </si>
  <si>
    <t>essere (essere mistero)</t>
  </si>
  <si>
    <t>Non è un mistero che ci siano dei di i governi che vogliono vedermi veder mi morto .</t>
  </si>
  <si>
    <t>file://conllu/it/teddy-1319.conllu#s203_0</t>
  </si>
  <si>
    <t>204</t>
  </si>
  <si>
    <t>chiarire</t>
  </si>
  <si>
    <t>Ho chiarito più di una volta che ogni giorno vado a dormire pensando a quello che posso fare per il popolo americano .</t>
  </si>
  <si>
    <t>file://conllu/it/teddy-1319.conllu#s204_0</t>
  </si>
  <si>
    <t>205</t>
  </si>
  <si>
    <t>nuocere</t>
  </si>
  <si>
    <t>Io non voglio nuocere al a il governo del di il mio Paese .</t>
  </si>
  <si>
    <t>file://conllu/it/teddy-1319.conllu#s205_0</t>
  </si>
  <si>
    <t>206</t>
  </si>
  <si>
    <t>volere (volere aiutare)</t>
  </si>
  <si>
    <t>Io voglio aiutarlo aiutar lo , ma il fatto che loro siano disposti a ignorare completamente il giusto processo , a dichiarare la colpevolezza senza vedere neanche una prova , queste sono cose alle a le quali dobbiamo opporci come società e dire : ehi , questo non è giusto .</t>
  </si>
  <si>
    <t>file://conllu/it/teddy-1319.conllu#s206_0</t>
  </si>
  <si>
    <t>207</t>
  </si>
  <si>
    <t>Non bisognerebbe minacciare i dissidenti .</t>
  </si>
  <si>
    <t>file://conllu/it/teddy-1319.conllu#s207_0</t>
  </si>
  <si>
    <t>208</t>
  </si>
  <si>
    <t>criminalizzare</t>
  </si>
  <si>
    <t>Non si dovrebbe criminalizzare il giornalismo .</t>
  </si>
  <si>
    <t>file://conllu/it/teddy-1319.conllu#s208_0</t>
  </si>
  <si>
    <t>209</t>
  </si>
  <si>
    <t>essere (essere felice)</t>
  </si>
  <si>
    <t>E qualunque cosa io debba fare per vedere la fine di questo , sono felice di farla far la nonostante i rischi .</t>
  </si>
  <si>
    <t>file://conllu/it/teddy-1319.conllu#s209_0</t>
  </si>
  <si>
    <t>210</t>
  </si>
  <si>
    <t>file://conllu/it/teddy-1319.conllu#s210_0</t>
  </si>
  <si>
    <t>211</t>
  </si>
  <si>
    <t>piaceere</t>
  </si>
  <si>
    <t>Dunque , mi piacerebbe davvero avere un riscontro dal da il pubblico in sala , perché so che ci sono reazioni molto diverse a Edward Snowden .</t>
  </si>
  <si>
    <t>file://conllu/it/teddy-1319.conllu#s211_0</t>
  </si>
  <si>
    <t>212</t>
  </si>
  <si>
    <t>Supponiamo di avere a disposizione queste due scelte , giusto ?</t>
  </si>
  <si>
    <t>file://conllu/it/teddy-1319.conllu#s212_0</t>
  </si>
  <si>
    <t>213</t>
  </si>
  <si>
    <t>Possiamo pensare che quello che lui ha fatto sia essenzialmente un atto sconsiderato che ha messo in pericolo l' America oppure possiamo vederlo veder lo come un atto in sostanza eroico che si volgerà a favore dell' di l' America e del di il mondo in una prospettiva a lungo termine ?</t>
  </si>
  <si>
    <t>file://conllu/it/teddy-1319.conllu#s213_0</t>
  </si>
  <si>
    <t>214</t>
  </si>
  <si>
    <t>essere (essere scelta)</t>
  </si>
  <si>
    <t>Queste sono le due scelte che vi do .</t>
  </si>
  <si>
    <t>file://conllu/it/teddy-1319.conllu#s214_0</t>
  </si>
  <si>
    <t>215</t>
  </si>
  <si>
    <t>essere (essere curioso)</t>
  </si>
  <si>
    <t>Sono curioso di vedere chi voterà per la prima ipotesi , che sia stato un atto sconsiderato ?</t>
  </si>
  <si>
    <t>file://conllu/it/teddy-1319.conllu#s215_0</t>
  </si>
  <si>
    <t>216</t>
  </si>
  <si>
    <t>Vedo alzarsi alzar si alcune mani .</t>
  </si>
  <si>
    <t>file://conllu/it/teddy-1319.conllu#s216_0</t>
  </si>
  <si>
    <t>217</t>
  </si>
  <si>
    <t>Si alzano alcune mani .</t>
  </si>
  <si>
    <t>file://conllu/it/teddy-1319.conllu#s217_0</t>
  </si>
  <si>
    <t>218</t>
  </si>
  <si>
    <t>essere (essere difficile)</t>
  </si>
  <si>
    <t>È difficile alzare la mano quando la persona è proprio qui presente , ma le vedo .</t>
  </si>
  <si>
    <t>file://conllu/it/teddy-1319.conllu#s218_0</t>
  </si>
  <si>
    <t>219</t>
  </si>
  <si>
    <t>file://conllu/it/teddy-1319.conllu#s219_0</t>
  </si>
  <si>
    <t>220</t>
  </si>
  <si>
    <t>Io vi vedo .</t>
  </si>
  <si>
    <t>file://conllu/it/teddy-1319.conllu#s220_0</t>
  </si>
  <si>
    <t>221</t>
  </si>
  <si>
    <t>file://conllu/it/teddy-1319.conllu#s221_0</t>
  </si>
  <si>
    <t>222</t>
  </si>
  <si>
    <t>scegliere</t>
  </si>
  <si>
    <t>E chi sceglie la seconda ipotesi , che si tratti di un atto in sostanza eroico ?</t>
  </si>
  <si>
    <t>file://conllu/it/teddy-1319.conllu#s222_0</t>
  </si>
  <si>
    <t>223</t>
  </si>
  <si>
    <t>essere (essere giusto)</t>
  </si>
  <si>
    <t>( Applausi ) ( Grida di incoraggiamento ) Penso sia giusto dire che ci sono un sacco di persone che non hanno alzato la mano e credo stiano ancora riflettendo su questo , perché mi sembra che il dibattito su di te non si divide lungo le linee politiche tradizionali .</t>
  </si>
  <si>
    <t>file://conllu/it/teddy-1319.conllu#s223_0</t>
  </si>
  <si>
    <t>224</t>
  </si>
  <si>
    <t>Non si tratta di destra o di sinistra , non si tratta di essere filogovernativi o libertari , non è solo questo .</t>
  </si>
  <si>
    <t>file://conllu/it/teddy-1319.conllu#s224_0</t>
  </si>
  <si>
    <t>225</t>
  </si>
  <si>
    <t>In parte si tratta quasi di un problema generazionale .</t>
  </si>
  <si>
    <t>file://conllu/it/teddy-1319.conllu#s225_0</t>
  </si>
  <si>
    <t>226</t>
  </si>
  <si>
    <t>Tu fai parte di una generazione cresciuta con Internet e sembra quasi che tu ti sia sentito offeso a un livello quasi viscerale quando hai visto che è stato fatto qualcosa che , a tuo parere , può danneggiare Internet .</t>
  </si>
  <si>
    <t>file://conllu/it/teddy-1319.conllu#s226_0</t>
  </si>
  <si>
    <t>227</t>
  </si>
  <si>
    <t>C' è qualcosa di vero in questo ?</t>
  </si>
  <si>
    <t>file://conllu/it/teddy-1319.conllu#s227_0</t>
  </si>
  <si>
    <t>228</t>
  </si>
  <si>
    <t>ES : Sì .</t>
  </si>
  <si>
    <t>file://conllu/it/teddy-1319.conllu#s228_0</t>
  </si>
  <si>
    <t>229</t>
  </si>
  <si>
    <t>Penso che sia assolutamente vero .</t>
  </si>
  <si>
    <t>file://conllu/it/teddy-1319.conllu#s229_0</t>
  </si>
  <si>
    <t>230</t>
  </si>
  <si>
    <t>essere (essere questione)</t>
  </si>
  <si>
    <t>Non è una questione di destra o di sinistra .</t>
  </si>
  <si>
    <t>file://conllu/it/teddy-1319.conllu#s230_0</t>
  </si>
  <si>
    <t>231</t>
  </si>
  <si>
    <t>Le nostre libertà di base , e quando dico nostre , non intendo solo degli di gli americani , ma dei di i popoli di tutto il mondo , non è questione di fazioni .</t>
  </si>
  <si>
    <t>file://conllu/it/teddy-1319.conllu#s231_0</t>
  </si>
  <si>
    <t>232</t>
  </si>
  <si>
    <t>Sono cose in cui tutti credono e dipende da tutti noi proteggerle protegger le , da tutti quelli che hanno conosciuto e avuto a loro disposizione una rete Internet libera e aperta , sta a noi salvaguardare quella libertà per le prossime generazioni e se non cambiamo le cose , se non scendiamo in campo per fare i cambiamenti necessari per mantenere sicura la Rete , non solo per noi stessi ma per tutti , allora la perderemo , e sarebbe una perdita terribile , non solo per noi , ma per il mondo intero .</t>
  </si>
  <si>
    <t>file://conllu/it/teddy-1319.conllu#s232_0</t>
  </si>
  <si>
    <t>233</t>
  </si>
  <si>
    <t>file://conllu/it/teddy-1319.conllu#s233_0</t>
  </si>
  <si>
    <t>234</t>
  </si>
  <si>
    <t>dire (dire sentire)</t>
  </si>
  <si>
    <t>Ho sentito dire cose simili negli in gli ultimi tempi dal da il fondatore del di il world wide web , che credo sia qui con noi , Sir Tim Berners Lee .</t>
  </si>
  <si>
    <t>file://conllu/it/teddy-1319.conllu#s234_0</t>
  </si>
  <si>
    <t>235</t>
  </si>
  <si>
    <t>anzi?</t>
  </si>
  <si>
    <t>Anzi , Tim , verresti qui a parlare , abbiamo un microfono per Tim ?</t>
  </si>
  <si>
    <t>file://conllu/it/teddy-1319.conllu#s235_0</t>
  </si>
  <si>
    <t>236</t>
  </si>
  <si>
    <t>Tim</t>
  </si>
  <si>
    <t>Tim , che piacere vederti veder ti .</t>
  </si>
  <si>
    <t>file://conllu/it/teddy-1319.conllu#s236_0</t>
  </si>
  <si>
    <t>237</t>
  </si>
  <si>
    <t>Vieni qui .</t>
  </si>
  <si>
    <t>file://conllu/it/teddy-1319.conllu#s237_0</t>
  </si>
  <si>
    <t>238</t>
  </si>
  <si>
    <t>Da che parte stai tu , a proposito , traditore o eroe ?</t>
  </si>
  <si>
    <t>file://conllu/it/teddy-1319.conllu#s238_0</t>
  </si>
  <si>
    <t>239</t>
  </si>
  <si>
    <t>Io ho una mia teoria , ma.. .</t>
  </si>
  <si>
    <t>file://conllu/it/teddy-1319.conllu#s239_0</t>
  </si>
  <si>
    <t>240</t>
  </si>
  <si>
    <t>Tim Berners-Lee :</t>
  </si>
  <si>
    <t>file://conllu/it/teddy-1319.conllu#s240_0</t>
  </si>
  <si>
    <t>241</t>
  </si>
  <si>
    <t>Ho dato risposte molto più lunghe a questa domanda , ma eroe , se devo scegliere tra le due .</t>
  </si>
  <si>
    <t>file://conllu/it/teddy-1319.conllu#s241_0</t>
  </si>
  <si>
    <t>242</t>
  </si>
  <si>
    <t>leggere (leggere credere)</t>
  </si>
  <si>
    <t>CA : Ed , credo che tu abbia letto la proposta di cui Sir Tim ha parlato , quella di una nuova Magna Carta per la riconquista di Internet .</t>
  </si>
  <si>
    <t>file://conllu/it/teddy-1319.conllu#s242_0</t>
  </si>
  <si>
    <t>243</t>
  </si>
  <si>
    <t>La cosa ha senso secondo te ?</t>
  </si>
  <si>
    <t>file://conllu/it/teddy-1319.conllu#s243_0</t>
  </si>
  <si>
    <t>244</t>
  </si>
  <si>
    <t>ES : Assolutamente sì .</t>
  </si>
  <si>
    <t>file://conllu/it/teddy-1319.conllu#s244_0</t>
  </si>
  <si>
    <t>245</t>
  </si>
  <si>
    <t>sebbene?</t>
  </si>
  <si>
    <t>Voglio dire , la mia generazione , io stesso , siamo cresciuti non solo pensando a Internet , ma dentro la Rete , e sebbene non mi sarei mai aspettato di avere occasione di difenderla difender la in maniera tanto diretta e pratica e di impersonarla impersonar la in questo modo inconsueto , quasi come un avatar , credo ci sia qualcosa di poetico nel in il fatto che uno dei di i figli di Internet si sia di fatto avvicinato a Internet come risultato della di la sua espressione politica .</t>
  </si>
  <si>
    <t>file://conllu/it/teddy-1319.conllu#s245_0</t>
  </si>
  <si>
    <t>246</t>
  </si>
  <si>
    <t>E credo che una Magna Carta per Internet sia esattamente quello che ci vuole .</t>
  </si>
  <si>
    <t>file://conllu/it/teddy-1319.conllu#s246_0</t>
  </si>
  <si>
    <t>247</t>
  </si>
  <si>
    <t>Abbiamo bisogno di codificare i nostri valori non solo per iscritto , ma nella in la struttura di Internet , ed è una cosa nella in la quale spero e invito tutti quelli che ci ascoltano , non solo qui a Vancouver ma in tutto il mondo , ad aderire e a partecipare .</t>
  </si>
  <si>
    <t>file://conllu/it/teddy-1319.conllu#s247_0</t>
  </si>
  <si>
    <t>248</t>
  </si>
  <si>
    <t>file://conllu/it/teddy-1319.conllu#s248_0</t>
  </si>
  <si>
    <t>249</t>
  </si>
  <si>
    <t>Hai una domanda da fare a Ed ?</t>
  </si>
  <si>
    <t>file://conllu/it/teddy-1319.conllu#s249_0</t>
  </si>
  <si>
    <t>250</t>
  </si>
  <si>
    <t>TBL : Beh , due domande , una domanda di carattere generale CA : Ed , riesci a sentirci sentir ci ancora ?</t>
  </si>
  <si>
    <t>file://conllu/it/teddy-1319.conllu#s250_0</t>
  </si>
  <si>
    <t>251</t>
  </si>
  <si>
    <t>file://conllu/it/teddy-1319.conllu#s251_0</t>
  </si>
  <si>
    <t>252</t>
  </si>
  <si>
    <t>Sì , sì vi sento .</t>
  </si>
  <si>
    <t>file://conllu/it/teddy-1319.conllu#s252_0</t>
  </si>
  <si>
    <t>253</t>
  </si>
  <si>
    <t>tornare</t>
  </si>
  <si>
    <t>CA : Oh , è tornato .</t>
  </si>
  <si>
    <t>file://conllu/it/teddy-1319.conllu#s253_0</t>
  </si>
  <si>
    <t>254</t>
  </si>
  <si>
    <t>TBL</t>
  </si>
  <si>
    <t>TBL :</t>
  </si>
  <si>
    <t>file://conllu/it/teddy-1319.conllu#s254_0</t>
  </si>
  <si>
    <t>255</t>
  </si>
  <si>
    <t>disturbare</t>
  </si>
  <si>
    <t>L' intercettazione della di la tua linea è stata disturbata per un momento .</t>
  </si>
  <si>
    <t>file://conllu/it/teddy-1319.conllu#s255_0</t>
  </si>
  <si>
    <t>256</t>
  </si>
  <si>
    <t>file://conllu/it/teddy-1319.conllu#s256_0</t>
  </si>
  <si>
    <t>257</t>
  </si>
  <si>
    <t>Sì , è il problema dell' di l' NSA.</t>
  </si>
  <si>
    <t>file://conllu/it/teddy-1319.conllu#s257_0</t>
  </si>
  <si>
    <t>258</t>
  </si>
  <si>
    <t>TBL : Allora , dopo gli ultimi 25 anni , facendo un passo indietro e fermandosi fermando si a riflettere , quale pensi sia stata la cosa migliore da ottenere da tutte le discussioni fatte sul su il tipo di rete che vorremmo ?</t>
  </si>
  <si>
    <t>file://conllu/it/teddy-1319.conllu#s258_0</t>
  </si>
  <si>
    <t>259</t>
  </si>
  <si>
    <t>e</t>
  </si>
  <si>
    <t>ED :</t>
  </si>
  <si>
    <t>file://conllu/it/teddy-1319.conllu#s259_0</t>
  </si>
  <si>
    <t>260</t>
  </si>
  <si>
    <t>Quando pensiamo in termini di dove possiamo arrivare , penso sia una questione il cui unico vero limite è quello che siamo disposti a metterci metter ci dentro .</t>
  </si>
  <si>
    <t>file://conllu/it/teddy-1319.conllu#s260_0</t>
  </si>
  <si>
    <t>261</t>
  </si>
  <si>
    <t>Penso che la rete che abbiamo avuto nel in il passato fosse esattamente ciò di cui avevamo bisogno , non solo come nazione , ma come popolazione mondiale e con la cooperazione , con l' impegno non solo delle di le parti tecniche della di la società , ma , come hai detto tu , degli di gli utenti , di tutti quelli che nel in il mondo contribuiscono attraverso Internet , attraverso i social media , da quelli che controllano solo il meteo , a quelli che invece vi si affidano ogni giorno come parte della di la loro vita , per proteggerli protegger li .</t>
  </si>
  <si>
    <t>file://conllu/it/teddy-1319.conllu#s261_0</t>
  </si>
  <si>
    <t>262</t>
  </si>
  <si>
    <t>sperare</t>
  </si>
  <si>
    <t>Non solo avremo l' Internet che abbiamo avuto , ma un Internet migliore , un presente migliore , qualcosa che possiamo usare per costruire un futuro che sarà non solo migliore di quanto potessimo sperare ma da tutto ciò che avremmo potuto immaginare .</t>
  </si>
  <si>
    <t>file://conllu/it/teddy-1319.conllu#s262_0</t>
  </si>
  <si>
    <t>263</t>
  </si>
  <si>
    <t>fondare</t>
  </si>
  <si>
    <t>CA : TED è stato fondato 30 anni fa , nel in il 1984 .</t>
  </si>
  <si>
    <t>file://conllu/it/teddy-1319.conllu#s263_0</t>
  </si>
  <si>
    <t>264</t>
  </si>
  <si>
    <t>da allora?</t>
  </si>
  <si>
    <t>Da allora molte cose sono state dette sulla su la falsariga del di il fatto che George Orwell , in realtà si sbagliava .</t>
  </si>
  <si>
    <t>file://conllu/it/teddy-1319.conllu#s264_0</t>
  </si>
  <si>
    <t>265</t>
  </si>
  <si>
    <t>essere (essere fratello)</t>
  </si>
  <si>
    <t>Non è il Grande Fratello che ci guarda .</t>
  </si>
  <si>
    <t>file://conllu/it/teddy-1319.conllu#s265_0</t>
  </si>
  <si>
    <t>266</t>
  </si>
  <si>
    <t>Adesso siamo noi che , attraverso il potere della di la rete e della di la trasparenza , guardiamo il Grande Fratello .</t>
  </si>
  <si>
    <t>file://conllu/it/teddy-1319.conllu#s266_0</t>
  </si>
  <si>
    <t>267</t>
  </si>
  <si>
    <t>colpire</t>
  </si>
  <si>
    <t>Le tue rivelazioni in qualche modo hanno colpito al a il cuore questa visione piuttosto ottimistica , ma tu credi che si possa fare ancora qualcosa in questa direzione .</t>
  </si>
  <si>
    <t>file://conllu/it/teddy-1319.conllu#s267_0</t>
  </si>
  <si>
    <t>268</t>
  </si>
  <si>
    <t>E anche tu lo pensi .</t>
  </si>
  <si>
    <t>file://conllu/it/teddy-1319.conllu#s268_0</t>
  </si>
  <si>
    <t>269</t>
  </si>
  <si>
    <t>ipotizzare</t>
  </si>
  <si>
    <t>ES : Giusto , si può ipotizzare che i poteri del di il Grande Fratello siano cresciuti enormemente .</t>
  </si>
  <si>
    <t>file://conllu/it/teddy-1319.conllu#s269_0</t>
  </si>
  <si>
    <t>270</t>
  </si>
  <si>
    <t>C' è stato un recente articolo giuridico a Yale che ha stabilito un certo principio detto Bankston Soltani , che dice che la nostra aspettativa di privacy viene violata ogni volta che le capacità di sorveglianza governative diminuiscono di costo di un unità di misura , e , ogni volta che ciò accade , c' è bisogno di rivisitare e riequilibrare il nostro diritto alla a la privacy .</t>
  </si>
  <si>
    <t>file://conllu/it/teddy-1319.conllu#s270_0</t>
  </si>
  <si>
    <t>271</t>
  </si>
  <si>
    <t>accadere</t>
  </si>
  <si>
    <t>Ora , questo non accade da quando i poteri di sorveglianza governativa sono aumentati di diverse unità di misura , ed ecco perché oggi abbiamo i problemi che abbiamo , ma c' è ancora speranza , perchè anche il potere degli di gli individui è stato accresciuto dalla da la tecnologia .</t>
  </si>
  <si>
    <t>file://conllu/it/teddy-1319.conllu#s271_0</t>
  </si>
  <si>
    <t>272</t>
  </si>
  <si>
    <t>essere (essere prova)</t>
  </si>
  <si>
    <t>Io sono la prova vivente che un individuo può lottare testa a testa contro il più potente degli di gli avversari e contro le più potenti agenzie di intelligence del di il mondo e vincere .</t>
  </si>
  <si>
    <t>file://conllu/it/teddy-1319.conllu#s272_0</t>
  </si>
  <si>
    <t>273</t>
  </si>
  <si>
    <t>Questa è una cosa che ci dà speranza e che dobbiamo continuare a costruire per renderla render la accessibile non solo ai a i tecnici ma ai a i comuni cittadini di tutto il mondo .</t>
  </si>
  <si>
    <t>file://conllu/it/teddy-1319.conllu#s273_0</t>
  </si>
  <si>
    <t>274</t>
  </si>
  <si>
    <t>essere (essere crimine)</t>
  </si>
  <si>
    <t>Il giornalismo non è un crimine , la comunicazione non è un crimine , e noi non dovremmo essere controllati nelle in le nostre attività quotidiane .</t>
  </si>
  <si>
    <t>file://conllu/it/teddy-1319.conllu#s274_0</t>
  </si>
  <si>
    <t>275</t>
  </si>
  <si>
    <t>file://conllu/it/teddy-1319.conllu#s275_0</t>
  </si>
  <si>
    <t>276</t>
  </si>
  <si>
    <t>essere (essere sicuro)</t>
  </si>
  <si>
    <t>Non sono sicuro di sapere come si stringe la mano a un bot ma immagino che questa sia la mano .</t>
  </si>
  <si>
    <t>file://conllu/it/teddy-1319.conllu#s276_0</t>
  </si>
  <si>
    <t>277</t>
  </si>
  <si>
    <t>file://conllu/it/teddy-1319.conllu#s277_0</t>
  </si>
  <si>
    <t>278</t>
  </si>
  <si>
    <t>arrivare</t>
  </si>
  <si>
    <t>Ci arriveremo molto presto .</t>
  </si>
  <si>
    <t>file://conllu/it/teddy-1319.conllu#s278_0</t>
  </si>
  <si>
    <t>279</t>
  </si>
  <si>
    <t>file://conllu/it/teddy-1319.conllu#s279_0</t>
  </si>
  <si>
    <t>280</t>
  </si>
  <si>
    <t>piacere</t>
  </si>
  <si>
    <t>Piacere di conoscerti , e spero che vediate bene il mio fascio di elettroni come io vedo le vostre immagini , ragazzi .</t>
  </si>
  <si>
    <t>file://conllu/it/teddy-1319.conllu#s280_0</t>
  </si>
  <si>
    <t>281</t>
  </si>
  <si>
    <t>CA : Grazie , Tim .</t>
  </si>
  <si>
    <t>file://conllu/it/teddy-1319.conllu#s281_0</t>
  </si>
  <si>
    <t>282</t>
  </si>
  <si>
    <t>Di recente il New York Times ha chiesto l' amnistia per te .</t>
  </si>
  <si>
    <t>file://conllu/it/teddy-1319.conllu#s282_0</t>
  </si>
  <si>
    <t>283</t>
  </si>
  <si>
    <t>possibilità</t>
  </si>
  <si>
    <t>Consideri la possibilità di ritornare in America ?</t>
  </si>
  <si>
    <t>file://conllu/it/teddy-1319.conllu#s283_0</t>
  </si>
  <si>
    <t>284</t>
  </si>
  <si>
    <t>ES : Certamente .</t>
  </si>
  <si>
    <t>file://conllu/it/teddy-1319.conllu#s284_0</t>
  </si>
  <si>
    <t>285</t>
  </si>
  <si>
    <t>Non c' è alcun dubbio , i principi alla a la base di questo progetto sono stati l' interesse pubblico e i principi che sottendono l' istituzione giornalistica negli in gli Stati Uniti e in tutto il mondo , e ritengo che se la stampa ora sostiene questi principi , è una cosa che doveva accadere , è un argomento potente , ma non è l' argomento finale , penso che sia qualcosa che debba decidere il pubblico .</t>
  </si>
  <si>
    <t>file://conllu/it/teddy-1319.conllu#s285_0</t>
  </si>
  <si>
    <t>286</t>
  </si>
  <si>
    <t>lasciare</t>
  </si>
  <si>
    <t>Ma allo a lo stesso tempo , il governo ha lasciato intendere di volere qualche tipo di accordo , vogliono che io comprometta i giornalisti con i quali ho lavorato , per ritornare , ma io voglio mettere bene in chiaro che io non ho fatto questo per salvarmi .</t>
  </si>
  <si>
    <t>file://conllu/it/teddy-1319.conllu#s286_0</t>
  </si>
  <si>
    <t>287</t>
  </si>
  <si>
    <t>L' ho fatto perché era la cosa giusta , e non smetterò di fare il mio lavoro nell' in l' interesse pubblico solo per il mio beneficio personale .</t>
  </si>
  <si>
    <t>file://conllu/it/teddy-1319.conllu#s287_0</t>
  </si>
  <si>
    <t>288</t>
  </si>
  <si>
    <t>file://conllu/it/teddy-1319.conllu#s288_0</t>
  </si>
  <si>
    <t>290</t>
  </si>
  <si>
    <t>Sono curioso , dimmi , cosa si prova ?</t>
  </si>
  <si>
    <t>file://conllu/it/teddy-1319.conllu#s290_0</t>
  </si>
  <si>
    <t>291</t>
  </si>
  <si>
    <t>file://conllu/it/teddy-1319.conllu#s291_0</t>
  </si>
  <si>
    <t>292</t>
  </si>
  <si>
    <t>essere (essere diverso)</t>
  </si>
  <si>
    <t>Il Canada è diverso da come me lo aspettavo .</t>
  </si>
  <si>
    <t>file://conllu/it/teddy-1319.conllu#s292_0</t>
  </si>
  <si>
    <t>293</t>
  </si>
  <si>
    <t>caldo</t>
  </si>
  <si>
    <t>Molto più caldo .</t>
  </si>
  <si>
    <t>file://conllu/it/teddy-1319.conllu#s293_0</t>
  </si>
  <si>
    <t>294</t>
  </si>
  <si>
    <t>essere (essere idea)</t>
  </si>
  <si>
    <t>CA : A TED , la mission è &amp;quot; idee degne di essere diffuse . &amp;quot;</t>
  </si>
  <si>
    <t>file://conllu/it/teddy-1319.conllu#s294_0</t>
  </si>
  <si>
    <t>295</t>
  </si>
  <si>
    <t>essere (essere qual)</t>
  </si>
  <si>
    <t>Se tu potessi racchiuderla racchiuder la in una sola idea , qual è la tua idea degna di essere diffusa qui , proprio in questo momento ?</t>
  </si>
  <si>
    <t>file://conllu/it/teddy-1319.conllu#s295_0</t>
  </si>
  <si>
    <t>296</t>
  </si>
  <si>
    <t>file://conllu/it/teddy-1319.conllu#s296_0</t>
  </si>
  <si>
    <t>297</t>
  </si>
  <si>
    <t>Direi che l' anno scorso è stato un monito che la democrazia può morire dietro una porta chiusa , ma come individui noi nasciamo dietro quelle stesse porte chiuse , e non dobbiamo rinunciare alla a la nostra privacy in cambio di un buon governo .</t>
  </si>
  <si>
    <t>file://conllu/it/teddy-1319.conllu#s297_0</t>
  </si>
  <si>
    <t>298</t>
  </si>
  <si>
    <t>rinunciare</t>
  </si>
  <si>
    <t>Non dobbiamo rinunciare alla a la nostra libertà per avere la sicurezza .</t>
  </si>
  <si>
    <t>file://conllu/it/teddy-1319.conllu#s298_0</t>
  </si>
  <si>
    <t>299</t>
  </si>
  <si>
    <t>Io credo che lavorando insieme possiamo avere entrambi , un governo aperto e una vita privata e non vedo l' ora di lavorare con tutti , in tutto il mondo , per vedere cosa succederà .</t>
  </si>
  <si>
    <t>file://conllu/it/teddy-1319.conllu#s299_0</t>
  </si>
  <si>
    <t>300</t>
  </si>
  <si>
    <t>Grazie mille .</t>
  </si>
  <si>
    <t>file://conllu/it/teddy-1319.conllu#s300_0</t>
  </si>
  <si>
    <t>301</t>
  </si>
  <si>
    <t>file://conllu/it/teddy-1319.conllu#s301_0</t>
  </si>
  <si>
    <t>302</t>
  </si>
  <si>
    <t>te</t>
  </si>
  <si>
    <t>Ed , grazie a te .</t>
  </si>
  <si>
    <t>file://conllu/it/teddy-1319.conllu#s302_0</t>
  </si>
  <si>
    <t>WORD</t>
  </si>
  <si>
    <t>GR</t>
  </si>
  <si>
    <t>NP_TYPE</t>
  </si>
  <si>
    <t>REF_AUTO</t>
  </si>
  <si>
    <t>COREF</t>
  </si>
  <si>
    <t>REF</t>
  </si>
  <si>
    <t>IS</t>
  </si>
  <si>
    <t>CB</t>
  </si>
  <si>
    <t>GR_ANTE</t>
  </si>
  <si>
    <t>REF_DIST</t>
  </si>
  <si>
    <t>REF_DIST_ANTE</t>
  </si>
  <si>
    <t># text = Chris Anderson:</t>
  </si>
  <si>
    <t>other</t>
  </si>
  <si>
    <t>ne</t>
  </si>
  <si>
    <t>?OLD</t>
  </si>
  <si>
    <t>Anderson</t>
  </si>
  <si>
    <t>:</t>
  </si>
  <si>
    <t># text = I diritti dei cittadini, il futuro di Internet.</t>
  </si>
  <si>
    <t>I</t>
  </si>
  <si>
    <t>diritti</t>
  </si>
  <si>
    <t>def-np.poss</t>
  </si>
  <si>
    <t>di</t>
  </si>
  <si>
    <t>i</t>
  </si>
  <si>
    <t>cittadini</t>
  </si>
  <si>
    <t>def-np.the</t>
  </si>
  <si>
    <t>,</t>
  </si>
  <si>
    <t>il</t>
  </si>
  <si>
    <t>futuro</t>
  </si>
  <si>
    <t>Internet</t>
  </si>
  <si>
    <t>other_2</t>
  </si>
  <si>
    <t># text = Vorrei dare il benvenuto sul palco di TED all'uomo che sta dietro quelle rivelazioni, Ed Snowden.</t>
  </si>
  <si>
    <t>Vorrei</t>
  </si>
  <si>
    <t>benvenuto</t>
  </si>
  <si>
    <t>OBJ</t>
  </si>
  <si>
    <t>su</t>
  </si>
  <si>
    <t>palco</t>
  </si>
  <si>
    <t>TED</t>
  </si>
  <si>
    <t>a</t>
  </si>
  <si>
    <t>l'</t>
  </si>
  <si>
    <t>uomo</t>
  </si>
  <si>
    <t>che</t>
  </si>
  <si>
    <t>SBJ_3</t>
  </si>
  <si>
    <t>sta</t>
  </si>
  <si>
    <t>dietro</t>
  </si>
  <si>
    <t>quelle</t>
  </si>
  <si>
    <t>rivelazioni</t>
  </si>
  <si>
    <t>other_3</t>
  </si>
  <si>
    <t>def-np.dem</t>
  </si>
  <si>
    <t>Ed</t>
  </si>
  <si>
    <t>Snowden</t>
  </si>
  <si>
    <t># text = (Applausi) Ed si trova in una località remota da qualche parte in Russia e dal suo portatile controlla un bot quindi riesce a vedere quello che vede il bot.</t>
  </si>
  <si>
    <t>(</t>
  </si>
  <si>
    <t>Applausi</t>
  </si>
  <si>
    <t>)</t>
  </si>
  <si>
    <t>trova</t>
  </si>
  <si>
    <t>in</t>
  </si>
  <si>
    <t>una</t>
  </si>
  <si>
    <t>località</t>
  </si>
  <si>
    <t>indef-np.a</t>
  </si>
  <si>
    <t>remota</t>
  </si>
  <si>
    <t>da</t>
  </si>
  <si>
    <t>qualche</t>
  </si>
  <si>
    <t>parte</t>
  </si>
  <si>
    <t>other_4</t>
  </si>
  <si>
    <t>indef-np</t>
  </si>
  <si>
    <t>Russia</t>
  </si>
  <si>
    <t>suo</t>
  </si>
  <si>
    <t>other_6</t>
  </si>
  <si>
    <t>pron.ppos</t>
  </si>
  <si>
    <t>portatile</t>
  </si>
  <si>
    <t>other_5</t>
  </si>
  <si>
    <t>controlla</t>
  </si>
  <si>
    <t>SBJ_2</t>
  </si>
  <si>
    <t>un</t>
  </si>
  <si>
    <t>bot</t>
  </si>
  <si>
    <t>OBJ_3</t>
  </si>
  <si>
    <t>quindi</t>
  </si>
  <si>
    <t>riesce</t>
  </si>
  <si>
    <t>quello</t>
  </si>
  <si>
    <t>OBJ_4</t>
  </si>
  <si>
    <t>pron.pds</t>
  </si>
  <si>
    <t>SBJ_6</t>
  </si>
  <si>
    <t>vede</t>
  </si>
  <si>
    <t>bot.</t>
  </si>
  <si>
    <t>OBJ_6</t>
  </si>
  <si>
    <t># text = Ed, benvenuto sul palcoscenico di TED.</t>
  </si>
  <si>
    <t>palcoscenico</t>
  </si>
  <si>
    <t># text = Che cosa riesci a vedere, in realtà?</t>
  </si>
  <si>
    <t>Che</t>
  </si>
  <si>
    <t>pron.pint</t>
  </si>
  <si>
    <t>cosa</t>
  </si>
  <si>
    <t>riesci</t>
  </si>
  <si>
    <t>realtà</t>
  </si>
  <si>
    <t>indef-np.bare</t>
  </si>
  <si>
    <t>?</t>
  </si>
  <si>
    <t># text = Edward Snowden:</t>
  </si>
  <si>
    <t># text = Ah, io riesco a vedere tutti.</t>
  </si>
  <si>
    <t>Ah</t>
  </si>
  <si>
    <t>io</t>
  </si>
  <si>
    <t>SBJ</t>
  </si>
  <si>
    <t>pron.pper</t>
  </si>
  <si>
    <t>riesco</t>
  </si>
  <si>
    <t>tutti</t>
  </si>
  <si>
    <t>OBJ_2</t>
  </si>
  <si>
    <t>pron.pind</t>
  </si>
  <si>
    <t># text = È una cosa incredibile.</t>
  </si>
  <si>
    <t>È</t>
  </si>
  <si>
    <t>incredibile</t>
  </si>
  <si>
    <t># text = (Risate) CA:</t>
  </si>
  <si>
    <t>Risate</t>
  </si>
  <si>
    <t>CA</t>
  </si>
  <si>
    <t># text = Ed, ho delle domande da farti.</t>
  </si>
  <si>
    <t>ho</t>
  </si>
  <si>
    <t>le</t>
  </si>
  <si>
    <t>domande</t>
  </si>
  <si>
    <t>farti</t>
  </si>
  <si>
    <t># text = Sei stato definito in molti modi negli ultimi mesi.</t>
  </si>
  <si>
    <t>Sei</t>
  </si>
  <si>
    <t>stato</t>
  </si>
  <si>
    <t>definito</t>
  </si>
  <si>
    <t>molti</t>
  </si>
  <si>
    <t>modi</t>
  </si>
  <si>
    <t>gli</t>
  </si>
  <si>
    <t>ultimi</t>
  </si>
  <si>
    <t>mesi</t>
  </si>
  <si>
    <t># text = Ti hanno chiamato informatore, traditore, eroe.</t>
  </si>
  <si>
    <t>Ti</t>
  </si>
  <si>
    <t>hanno</t>
  </si>
  <si>
    <t>chiamato</t>
  </si>
  <si>
    <t>informatore</t>
  </si>
  <si>
    <t>traditore</t>
  </si>
  <si>
    <t>eroe</t>
  </si>
  <si>
    <t># text = Quali sono le parole che useresti per descrivere te stesso.</t>
  </si>
  <si>
    <t>Quali</t>
  </si>
  <si>
    <t>sono</t>
  </si>
  <si>
    <t>parole</t>
  </si>
  <si>
    <t>useresti</t>
  </si>
  <si>
    <t>per</t>
  </si>
  <si>
    <t>descrivere</t>
  </si>
  <si>
    <t>stesso</t>
  </si>
  <si>
    <t># text = ES:</t>
  </si>
  <si>
    <t>ES</t>
  </si>
  <si>
    <t># text = Ma sai, tutti quelli che sono coinvolti in questo dibattito erano alle prese con me, la mia personalità e il modo di descrivermi.</t>
  </si>
  <si>
    <t>Ma</t>
  </si>
  <si>
    <t>sai</t>
  </si>
  <si>
    <t>quelli</t>
  </si>
  <si>
    <t>coinvolti</t>
  </si>
  <si>
    <t>questo</t>
  </si>
  <si>
    <t>dibattito</t>
  </si>
  <si>
    <t>erano</t>
  </si>
  <si>
    <t>prese</t>
  </si>
  <si>
    <t>con</t>
  </si>
  <si>
    <t>me</t>
  </si>
  <si>
    <t>la</t>
  </si>
  <si>
    <t>mia</t>
  </si>
  <si>
    <t>personalità</t>
  </si>
  <si>
    <t>modo</t>
  </si>
  <si>
    <t>descrivermi</t>
  </si>
  <si>
    <t># text = Ma a pensarci bene, non è questa la domanda con la quale dovremmo confrontarci.</t>
  </si>
  <si>
    <t>pensar</t>
  </si>
  <si>
    <t>ci</t>
  </si>
  <si>
    <t>bene</t>
  </si>
  <si>
    <t>non</t>
  </si>
  <si>
    <t>è</t>
  </si>
  <si>
    <t>questa</t>
  </si>
  <si>
    <t>domanda</t>
  </si>
  <si>
    <t>quale</t>
  </si>
  <si>
    <t>dovremmo</t>
  </si>
  <si>
    <t>confrontar</t>
  </si>
  <si>
    <t># text = Chi sono, in realtà, non importa affatto.</t>
  </si>
  <si>
    <t>Chi</t>
  </si>
  <si>
    <t>importa</t>
  </si>
  <si>
    <t>affatto</t>
  </si>
  <si>
    <t># text = Se io sono la persona peggiore del mondo, potete odiarmi e voltare pagine.</t>
  </si>
  <si>
    <t>Se</t>
  </si>
  <si>
    <t>persona</t>
  </si>
  <si>
    <t>peggiore</t>
  </si>
  <si>
    <t>mondo</t>
  </si>
  <si>
    <t>potete</t>
  </si>
  <si>
    <t>odiarmi</t>
  </si>
  <si>
    <t>voltare</t>
  </si>
  <si>
    <t>pagine</t>
  </si>
  <si>
    <t># text = Quello che conta veramente qui sono i problemi.</t>
  </si>
  <si>
    <t>Quello</t>
  </si>
  <si>
    <t>conta</t>
  </si>
  <si>
    <t>veramente</t>
  </si>
  <si>
    <t>qui</t>
  </si>
  <si>
    <t>problemi</t>
  </si>
  <si>
    <t># text = Quello che conta veramente è il tipo di governo che vogliamo, il tipo di Internet che vogliamo, il tipo di rapporto tra gli individui e le società.</t>
  </si>
  <si>
    <t>tipo</t>
  </si>
  <si>
    <t>governo</t>
  </si>
  <si>
    <t>vogliamo</t>
  </si>
  <si>
    <t>rapporto</t>
  </si>
  <si>
    <t>tra</t>
  </si>
  <si>
    <t>individui</t>
  </si>
  <si>
    <t>società</t>
  </si>
  <si>
    <t># text = Questa è la direzione verso la quale, io spero, il dibattito procederà e l'abbiamo visto incrementarsi nel tempo.</t>
  </si>
  <si>
    <t>Questa</t>
  </si>
  <si>
    <t>direzione</t>
  </si>
  <si>
    <t>verso</t>
  </si>
  <si>
    <t>spero</t>
  </si>
  <si>
    <t>procederà</t>
  </si>
  <si>
    <t>abbiamo</t>
  </si>
  <si>
    <t>visto</t>
  </si>
  <si>
    <t>incrementar</t>
  </si>
  <si>
    <t>tempo</t>
  </si>
  <si>
    <t>--</t>
  </si>
  <si>
    <t># text = Se dovessi descrivere me stesso, non userei la parola "eroe."</t>
  </si>
  <si>
    <t>dovessi</t>
  </si>
  <si>
    <t>userei</t>
  </si>
  <si>
    <t>parola</t>
  </si>
  <si>
    <t>&amp;quot;</t>
  </si>
  <si>
    <t># text = Non userei "patriota" e nemmeno "traditore."</t>
  </si>
  <si>
    <t>Non</t>
  </si>
  <si>
    <t>patriota</t>
  </si>
  <si>
    <t>nemmeno</t>
  </si>
  <si>
    <t>indef-np.quant</t>
  </si>
  <si>
    <t># text = Direi che sono un Americano e un cittadino, come tutti gli altri.</t>
  </si>
  <si>
    <t>Direi</t>
  </si>
  <si>
    <t>Americano</t>
  </si>
  <si>
    <t>cittadino</t>
  </si>
  <si>
    <t>come</t>
  </si>
  <si>
    <t>altri</t>
  </si>
  <si>
    <t># text = CA:</t>
  </si>
  <si>
    <t># text = Tanto per fornire un contesto a quelli che non conoscono tutta la storia...</t>
  </si>
  <si>
    <t>Tanto</t>
  </si>
  <si>
    <t>contesto</t>
  </si>
  <si>
    <t>SBJ_4</t>
  </si>
  <si>
    <t>conoscono</t>
  </si>
  <si>
    <t>tutta</t>
  </si>
  <si>
    <t>storia...</t>
  </si>
  <si>
    <t># text = l'anno scorso, di questi tempi, tu eri di stanza alle Hawaii e lavoravi come consulente per la National Security Agency.</t>
  </si>
  <si>
    <t>scorso</t>
  </si>
  <si>
    <t>questi</t>
  </si>
  <si>
    <t>tempi</t>
  </si>
  <si>
    <t>tu</t>
  </si>
  <si>
    <t>eri</t>
  </si>
  <si>
    <t>stanza</t>
  </si>
  <si>
    <t>Hawaii</t>
  </si>
  <si>
    <t>lavoravi</t>
  </si>
  <si>
    <t>consulente</t>
  </si>
  <si>
    <t>National</t>
  </si>
  <si>
    <t>Security</t>
  </si>
  <si>
    <t>Agency</t>
  </si>
  <si>
    <t># text = In qualità di amministratore di sistema, avevi accesso ai loro sistemi, e hai cominciato a rivelare alcuni documenti riservati ad alcuni giornalisti selezionati con cura aprendo la strada alle rivelazioni di giugno.</t>
  </si>
  <si>
    <t>In</t>
  </si>
  <si>
    <t>qualità</t>
  </si>
  <si>
    <t>amministratore</t>
  </si>
  <si>
    <t>sistema</t>
  </si>
  <si>
    <t>avevi</t>
  </si>
  <si>
    <t>loro</t>
  </si>
  <si>
    <t>sistemi</t>
  </si>
  <si>
    <t>hai</t>
  </si>
  <si>
    <t>cominciato</t>
  </si>
  <si>
    <t>rivelare</t>
  </si>
  <si>
    <t>alcuni</t>
  </si>
  <si>
    <t>documenti</t>
  </si>
  <si>
    <t>riservati</t>
  </si>
  <si>
    <t>ad</t>
  </si>
  <si>
    <t>giornalisti</t>
  </si>
  <si>
    <t>selezionati</t>
  </si>
  <si>
    <t>cura</t>
  </si>
  <si>
    <t>aprendo</t>
  </si>
  <si>
    <t>strada</t>
  </si>
  <si>
    <t>giugno</t>
  </si>
  <si>
    <t># text = Cosa ti ha spinto a farlo?</t>
  </si>
  <si>
    <t>Cosa</t>
  </si>
  <si>
    <t>ti</t>
  </si>
  <si>
    <t>ha</t>
  </si>
  <si>
    <t>spinto</t>
  </si>
  <si>
    <t>far</t>
  </si>
  <si>
    <t>lo</t>
  </si>
  <si>
    <t># text = ES: Sai, mentre ero alle Hawaii, e negli anni precedenti, quando lavoravo nella comunità dell'Intelligence, ho visto molte cose che mi hanno turbato.</t>
  </si>
  <si>
    <t>Sai</t>
  </si>
  <si>
    <t>mentre</t>
  </si>
  <si>
    <t>ero</t>
  </si>
  <si>
    <t>anni</t>
  </si>
  <si>
    <t>precedenti</t>
  </si>
  <si>
    <t>quando</t>
  </si>
  <si>
    <t>lavoravo</t>
  </si>
  <si>
    <t>comunità</t>
  </si>
  <si>
    <t>Intelligence</t>
  </si>
  <si>
    <t>molte</t>
  </si>
  <si>
    <t>cose</t>
  </si>
  <si>
    <t>mi</t>
  </si>
  <si>
    <t>turbato</t>
  </si>
  <si>
    <t># text = Noi facciamo molte cose buone nella comunità dell'intelligence, cose che devono essere fatte e cose che sono di aiuto a tutti.</t>
  </si>
  <si>
    <t>Noi</t>
  </si>
  <si>
    <t>facciamo</t>
  </si>
  <si>
    <t>buone</t>
  </si>
  <si>
    <t>intelligence</t>
  </si>
  <si>
    <t>devono</t>
  </si>
  <si>
    <t>fatte</t>
  </si>
  <si>
    <t>aiuto</t>
  </si>
  <si>
    <t># text = Ma ci sono anche cose che si spingono troppo oltre.</t>
  </si>
  <si>
    <t>anche</t>
  </si>
  <si>
    <t>spingono</t>
  </si>
  <si>
    <t>troppo</t>
  </si>
  <si>
    <t>oltre</t>
  </si>
  <si>
    <t># text = Ci sono cose che non dovrebbero essere fatte, decisioni che venivano prese in segreto delle quali l'opinione pubblica non era a conoscenza, non vi era il consenso dell'opinione pubblica e neanche i nostri rappresentanti di governo erano a conoscenza di questi programmi.</t>
  </si>
  <si>
    <t>Ci</t>
  </si>
  <si>
    <t>dovrebbero</t>
  </si>
  <si>
    <t>decisioni</t>
  </si>
  <si>
    <t>SBJ_5</t>
  </si>
  <si>
    <t>venivano</t>
  </si>
  <si>
    <t>segreto</t>
  </si>
  <si>
    <t>quali</t>
  </si>
  <si>
    <t>opinione</t>
  </si>
  <si>
    <t>SBJ_7</t>
  </si>
  <si>
    <t>pubblica</t>
  </si>
  <si>
    <t>era</t>
  </si>
  <si>
    <t>conoscenza</t>
  </si>
  <si>
    <t>vi</t>
  </si>
  <si>
    <t>consenso</t>
  </si>
  <si>
    <t>neanche</t>
  </si>
  <si>
    <t>nostri</t>
  </si>
  <si>
    <t>rappresentanti</t>
  </si>
  <si>
    <t>programmi</t>
  </si>
  <si>
    <t># text = Quando sono veramente arrivato ad avere difficoltà con questi problemi, ho pensato come posso fare questa cosa nel modo più responsabile possibile in modo da avere il massimo beneficio per il pubblico e riducendo al minimo i rischi?</t>
  </si>
  <si>
    <t>Quando</t>
  </si>
  <si>
    <t>arrivato</t>
  </si>
  <si>
    <t>difficoltà</t>
  </si>
  <si>
    <t>pensato</t>
  </si>
  <si>
    <t>posso</t>
  </si>
  <si>
    <t>più</t>
  </si>
  <si>
    <t>responsabile</t>
  </si>
  <si>
    <t>possibile</t>
  </si>
  <si>
    <t>massimo</t>
  </si>
  <si>
    <t>beneficio</t>
  </si>
  <si>
    <t>pubblico</t>
  </si>
  <si>
    <t>riducendo</t>
  </si>
  <si>
    <t>minimo</t>
  </si>
  <si>
    <t>rischi</t>
  </si>
  <si>
    <t># text = E fra tutte le soluzioni che mi venivano in mente, quella di andare al Congresso, in un momento in cui non c'erano leggi, non c'era alcuna protezione legale per un'impiegato del settore privato, un dipendente a contratto dell'Intelligence come me, presentava il rischio che io fossi seppellito insieme alle informazioni e il pubblico non avrebbe mai saputo.</t>
  </si>
  <si>
    <t>E</t>
  </si>
  <si>
    <t>fra</t>
  </si>
  <si>
    <t>tutte</t>
  </si>
  <si>
    <t>soluzioni</t>
  </si>
  <si>
    <t>mente</t>
  </si>
  <si>
    <t>quella</t>
  </si>
  <si>
    <t>Congresso</t>
  </si>
  <si>
    <t>momento</t>
  </si>
  <si>
    <t>cui</t>
  </si>
  <si>
    <t>c'</t>
  </si>
  <si>
    <t>leggi</t>
  </si>
  <si>
    <t>alcuna</t>
  </si>
  <si>
    <t>protezione</t>
  </si>
  <si>
    <t>legale</t>
  </si>
  <si>
    <t>un'</t>
  </si>
  <si>
    <t>impiegato</t>
  </si>
  <si>
    <t>settore</t>
  </si>
  <si>
    <t>privato</t>
  </si>
  <si>
    <t>dipendente</t>
  </si>
  <si>
    <t>contratto</t>
  </si>
  <si>
    <t>presentava</t>
  </si>
  <si>
    <t>rischio</t>
  </si>
  <si>
    <t>fossi</t>
  </si>
  <si>
    <t>seppellito</t>
  </si>
  <si>
    <t>insieme</t>
  </si>
  <si>
    <t>informazioni</t>
  </si>
  <si>
    <t>avrebbe</t>
  </si>
  <si>
    <t>mai</t>
  </si>
  <si>
    <t>saputo</t>
  </si>
  <si>
    <t># text = Ma se il Primo Emendamento della Costituzione degli Stati Uniti ci garantisce la libertà di stampa, un motivo c'è ed è quello di consentire alla stampa di opposizione, di sfidare il governo, ma anche di lavorare insieme al governo, per creare un dialogo e discutere su come sia possibile informare l'opinione pubblica su questioni di vitale importanza senza mettere a rischio la nostra sicurezza nazionale.</t>
  </si>
  <si>
    <t>se</t>
  </si>
  <si>
    <t>Primo</t>
  </si>
  <si>
    <t>Emendamento</t>
  </si>
  <si>
    <t>Costituzione</t>
  </si>
  <si>
    <t>Stati</t>
  </si>
  <si>
    <t>Uniti</t>
  </si>
  <si>
    <t>garantisce</t>
  </si>
  <si>
    <t>libertà</t>
  </si>
  <si>
    <t>stampa</t>
  </si>
  <si>
    <t>motivo</t>
  </si>
  <si>
    <t>ed</t>
  </si>
  <si>
    <t>consentire</t>
  </si>
  <si>
    <t>opposizione</t>
  </si>
  <si>
    <t>sfidare</t>
  </si>
  <si>
    <t>ma</t>
  </si>
  <si>
    <t>lavorare</t>
  </si>
  <si>
    <t>creare</t>
  </si>
  <si>
    <t>dialogo</t>
  </si>
  <si>
    <t>discutere</t>
  </si>
  <si>
    <t>sia</t>
  </si>
  <si>
    <t>informare</t>
  </si>
  <si>
    <t>OBJ_8</t>
  </si>
  <si>
    <t>questioni</t>
  </si>
  <si>
    <t>other_8</t>
  </si>
  <si>
    <t>vitale</t>
  </si>
  <si>
    <t>importanza</t>
  </si>
  <si>
    <t>other_9</t>
  </si>
  <si>
    <t>senza</t>
  </si>
  <si>
    <t>nostra</t>
  </si>
  <si>
    <t>other_10</t>
  </si>
  <si>
    <t>sicurezza</t>
  </si>
  <si>
    <t>OBJ_9</t>
  </si>
  <si>
    <t>nazionale</t>
  </si>
  <si>
    <t># text = Lavorando insieme ai giornalisti, restituendo tutte le mie informazioni al popolo americano, piuttosto che fare affidamento su me stesso per prendere le decisioni riguardanti la pubblicazione, abbiamo avuto un vivace dibattito con un profondo coinvolgimento da parte del governo che penso abbia apportato un beneficio generale.</t>
  </si>
  <si>
    <t>Lavorando</t>
  </si>
  <si>
    <t>restituendo</t>
  </si>
  <si>
    <t>mie</t>
  </si>
  <si>
    <t>popolo</t>
  </si>
  <si>
    <t>americano</t>
  </si>
  <si>
    <t>piuttosto</t>
  </si>
  <si>
    <t>affidamento</t>
  </si>
  <si>
    <t>prendere</t>
  </si>
  <si>
    <t>riguardanti</t>
  </si>
  <si>
    <t>pubblicazione</t>
  </si>
  <si>
    <t>avuto</t>
  </si>
  <si>
    <t>vivace</t>
  </si>
  <si>
    <t>profondo</t>
  </si>
  <si>
    <t>coinvolgimento</t>
  </si>
  <si>
    <t>penso</t>
  </si>
  <si>
    <t>abbia</t>
  </si>
  <si>
    <t>apportato</t>
  </si>
  <si>
    <t>generale</t>
  </si>
  <si>
    <t># text = E quei rischi preannunciati, i rischi che erano stati enfatizzati dal governo non si sono mai materializzati.</t>
  </si>
  <si>
    <t>quei</t>
  </si>
  <si>
    <t>preannunciati</t>
  </si>
  <si>
    <t>stati</t>
  </si>
  <si>
    <t>enfatizzati</t>
  </si>
  <si>
    <t>materializzati</t>
  </si>
  <si>
    <t># text = Non ci sono state prove, neanche di una singola istanza di danno specifico e per questo motivo, mi sento a mio agio con le decisioni che ho preso.</t>
  </si>
  <si>
    <t>state</t>
  </si>
  <si>
    <t>prove</t>
  </si>
  <si>
    <t>singola</t>
  </si>
  <si>
    <t>istanza</t>
  </si>
  <si>
    <t>danno</t>
  </si>
  <si>
    <t>specifico</t>
  </si>
  <si>
    <t>OBJ_5</t>
  </si>
  <si>
    <t>sento</t>
  </si>
  <si>
    <t>mio</t>
  </si>
  <si>
    <t>agio</t>
  </si>
  <si>
    <t>OBJ_7</t>
  </si>
  <si>
    <t>preso</t>
  </si>
  <si>
    <t># text = Vorrei mostrare al pubblico qualche esempio delle tue rivelazioni.</t>
  </si>
  <si>
    <t>esempio</t>
  </si>
  <si>
    <t>tue</t>
  </si>
  <si>
    <t># text = Se si potesse vedere una diapositiva, Ed non so se tu riesci a vedere, le diapositive sono qui.</t>
  </si>
  <si>
    <t>potesse</t>
  </si>
  <si>
    <t>diapositiva</t>
  </si>
  <si>
    <t>so</t>
  </si>
  <si>
    <t>diapositive</t>
  </si>
  <si>
    <t># text = Questa è una diapositiva del programma PRISM, e forse tu potresti dire al pubblico cosa è stato oggetto della rivelazione.</t>
  </si>
  <si>
    <t>programma</t>
  </si>
  <si>
    <t>PRISM</t>
  </si>
  <si>
    <t>forse</t>
  </si>
  <si>
    <t>potresti</t>
  </si>
  <si>
    <t>oggetto</t>
  </si>
  <si>
    <t>rivelazione</t>
  </si>
  <si>
    <t># text = Il modo migliore per comprendere il PRISM, dal momento che ci sono state alcune controversie, è dire che cosa il PRISM non è.</t>
  </si>
  <si>
    <t>Il</t>
  </si>
  <si>
    <t>migliore</t>
  </si>
  <si>
    <t>alcune</t>
  </si>
  <si>
    <t>controversie</t>
  </si>
  <si>
    <t># text = Negli Stati Uniti, gran parte del dibattito si è svolta sui metadati.</t>
  </si>
  <si>
    <t>gran</t>
  </si>
  <si>
    <t>svolta</t>
  </si>
  <si>
    <t>metadati</t>
  </si>
  <si>
    <t># text = In fondo, dicevano, sono soltanto metadati e parlano di un'autorità giuridica specifica, il Paragrafo 215 del Patriot Act, che consente una sorta di intercettazioni senza mandato, sorveglianza massiva dei tabulati telefonici di tutto il Paese, cose del genere..</t>
  </si>
  <si>
    <t>fondo</t>
  </si>
  <si>
    <t>dicevano</t>
  </si>
  <si>
    <t>soltanto</t>
  </si>
  <si>
    <t>parlano</t>
  </si>
  <si>
    <t>autorità</t>
  </si>
  <si>
    <t>giuridica</t>
  </si>
  <si>
    <t>specifica</t>
  </si>
  <si>
    <t>Paragrafo</t>
  </si>
  <si>
    <t>Patriot</t>
  </si>
  <si>
    <t>Act</t>
  </si>
  <si>
    <t>consente</t>
  </si>
  <si>
    <t>sorta</t>
  </si>
  <si>
    <t>intercettazioni</t>
  </si>
  <si>
    <t>mandato</t>
  </si>
  <si>
    <t>sorveglianza</t>
  </si>
  <si>
    <t>massiva</t>
  </si>
  <si>
    <t>tabulati</t>
  </si>
  <si>
    <t>other_7</t>
  </si>
  <si>
    <t>telefonici</t>
  </si>
  <si>
    <t>tutto</t>
  </si>
  <si>
    <t>Paese</t>
  </si>
  <si>
    <t>genere..</t>
  </si>
  <si>
    <t># text = .</t>
  </si>
  <si>
    <t># text = con chi si parla quando si parla, luoghi in cui si viaggia.</t>
  </si>
  <si>
    <t>chi</t>
  </si>
  <si>
    <t>parla</t>
  </si>
  <si>
    <t>luoghi</t>
  </si>
  <si>
    <t>viaggia</t>
  </si>
  <si>
    <t># text = Questi sono tutti eventi da metadati.</t>
  </si>
  <si>
    <t>Questi</t>
  </si>
  <si>
    <t>eventi</t>
  </si>
  <si>
    <t># text = PRISM riguarda il contenuto.</t>
  </si>
  <si>
    <t>riguarda</t>
  </si>
  <si>
    <t>contenuto</t>
  </si>
  <si>
    <t># text = È un programma attraverso il quale il governo potrebbe fare pressione sulle aziende americane, incaricandole di fare il lavoro sporco per la NSA.</t>
  </si>
  <si>
    <t>attraverso</t>
  </si>
  <si>
    <t>potrebbe</t>
  </si>
  <si>
    <t>pressione</t>
  </si>
  <si>
    <t>aziende</t>
  </si>
  <si>
    <t>americane</t>
  </si>
  <si>
    <t>incaricandole</t>
  </si>
  <si>
    <t>lavoro</t>
  </si>
  <si>
    <t>sporco</t>
  </si>
  <si>
    <t>NSA</t>
  </si>
  <si>
    <t># text = E nonostante alcune di queste aziende abbiano opposto resistenza, anche se alcune - credo che Yahoo fosse una di queste - hanno fatto causa, hanno perso tutte quante perché nessuna è stata giudicata nel corso di una pubblica udienza.</t>
  </si>
  <si>
    <t>nonostante</t>
  </si>
  <si>
    <t>queste</t>
  </si>
  <si>
    <t>abbiano</t>
  </si>
  <si>
    <t>opposto</t>
  </si>
  <si>
    <t>resistenza</t>
  </si>
  <si>
    <t>credo</t>
  </si>
  <si>
    <t>Yahoo</t>
  </si>
  <si>
    <t>fosse</t>
  </si>
  <si>
    <t>fatto</t>
  </si>
  <si>
    <t>causa</t>
  </si>
  <si>
    <t>perso</t>
  </si>
  <si>
    <t>quante</t>
  </si>
  <si>
    <t>perché</t>
  </si>
  <si>
    <t>nessuna</t>
  </si>
  <si>
    <t>stata</t>
  </si>
  <si>
    <t>giudicata</t>
  </si>
  <si>
    <t>corso</t>
  </si>
  <si>
    <t>udienza</t>
  </si>
  <si>
    <t># text = Sono state giudicate solo da un tribunale segreto.</t>
  </si>
  <si>
    <t>Sono</t>
  </si>
  <si>
    <t>giudicate</t>
  </si>
  <si>
    <t>solo</t>
  </si>
  <si>
    <t>tribunale</t>
  </si>
  <si>
    <t># text = E alcune delle cose che abbiamo visto, cose inerenti il PRISM, sono per me fonte di grande preoccupazione; c'è stato un punto della discussione al governo degli Stati Uniti in cui è stato detto che 15 giudici federali hanno esaminato questi programmi e li hanno trovati legittimi, ma quello che non è stato detto è che si trattava di giudici segreti di un tribunale segreto, basato su una interpretazione segreta della legge che ha valutato 34 000 richieste di mandato in oltre 33 anni, e in 33 anni ha respinto solo 11 richieste da parte del governo.</t>
  </si>
  <si>
    <t>inerenti</t>
  </si>
  <si>
    <t>fonte</t>
  </si>
  <si>
    <t>grande</t>
  </si>
  <si>
    <t>preoccupazione</t>
  </si>
  <si>
    <t>;</t>
  </si>
  <si>
    <t>punto</t>
  </si>
  <si>
    <t>discussione</t>
  </si>
  <si>
    <t>detto</t>
  </si>
  <si>
    <t>giudici</t>
  </si>
  <si>
    <t>federali</t>
  </si>
  <si>
    <t>esaminato</t>
  </si>
  <si>
    <t>li</t>
  </si>
  <si>
    <t>trovati</t>
  </si>
  <si>
    <t>legittimi</t>
  </si>
  <si>
    <t>trattava</t>
  </si>
  <si>
    <t>segreti</t>
  </si>
  <si>
    <t>basato</t>
  </si>
  <si>
    <t>interpretazione</t>
  </si>
  <si>
    <t>segreta</t>
  </si>
  <si>
    <t>legge</t>
  </si>
  <si>
    <t>SBJ_12</t>
  </si>
  <si>
    <t>valutato</t>
  </si>
  <si>
    <t>000</t>
  </si>
  <si>
    <t>richieste</t>
  </si>
  <si>
    <t>OBJ_12</t>
  </si>
  <si>
    <t>other_13</t>
  </si>
  <si>
    <t>other_12</t>
  </si>
  <si>
    <t>respinto</t>
  </si>
  <si>
    <t># text = Non è a queste persone che vogliamo spetti la decisione su quale dovrebbe essere il ruolo delle aziende americane in una Rete libera e aperta.</t>
  </si>
  <si>
    <t>persone</t>
  </si>
  <si>
    <t>spetti</t>
  </si>
  <si>
    <t>decisione</t>
  </si>
  <si>
    <t>dovrebbe</t>
  </si>
  <si>
    <t>ruolo</t>
  </si>
  <si>
    <t>Rete</t>
  </si>
  <si>
    <t>libera</t>
  </si>
  <si>
    <t>aperta</t>
  </si>
  <si>
    <t># text = La diapositiva che stiamo proiettando mostra le date in cui diverse aziende tecnologiche, società di Internet, si presume abbiano aderito al programma, e da quando sia iniziata la raccolta dei loro dati.</t>
  </si>
  <si>
    <t>La</t>
  </si>
  <si>
    <t>stiamo</t>
  </si>
  <si>
    <t>proiettando</t>
  </si>
  <si>
    <t>mostra</t>
  </si>
  <si>
    <t>date</t>
  </si>
  <si>
    <t>diverse</t>
  </si>
  <si>
    <t>tecnologiche</t>
  </si>
  <si>
    <t>presume</t>
  </si>
  <si>
    <t>aderito</t>
  </si>
  <si>
    <t>iniziata</t>
  </si>
  <si>
    <t>raccolta</t>
  </si>
  <si>
    <t>dati</t>
  </si>
  <si>
    <t># text = Queste aziende hanno negato di aver collaborato con la NSA.</t>
  </si>
  <si>
    <t>Queste</t>
  </si>
  <si>
    <t>negato</t>
  </si>
  <si>
    <t>aver</t>
  </si>
  <si>
    <t>collaborato</t>
  </si>
  <si>
    <t># text = In che modo quei dati sono stati raccolti dalla NSA?</t>
  </si>
  <si>
    <t>raccolti</t>
  </si>
  <si>
    <t># text = Esatto.</t>
  </si>
  <si>
    <t>Esatto</t>
  </si>
  <si>
    <t># text = Dunque, le diapositive della NSA parlano di accesso diretto.</t>
  </si>
  <si>
    <t>Dunque</t>
  </si>
  <si>
    <t>diretto</t>
  </si>
  <si>
    <t># text = Per un analista della NSA vero e proprio, per uno come me che lavorava come analista per i servizi segreti, concentrandosi sui cyber-hacker cinesi e cose del genere, alle Hawaii, questo significa che i dati provengono direttamente dai server di quelle aziende.</t>
  </si>
  <si>
    <t>Per</t>
  </si>
  <si>
    <t>analista</t>
  </si>
  <si>
    <t>vero</t>
  </si>
  <si>
    <t>proprio</t>
  </si>
  <si>
    <t>uno</t>
  </si>
  <si>
    <t>lavorava</t>
  </si>
  <si>
    <t>servizi</t>
  </si>
  <si>
    <t>concentrando</t>
  </si>
  <si>
    <t>cyber</t>
  </si>
  <si>
    <t>hacker</t>
  </si>
  <si>
    <t>cinesi</t>
  </si>
  <si>
    <t>genere</t>
  </si>
  <si>
    <t>significa</t>
  </si>
  <si>
    <t>provengono</t>
  </si>
  <si>
    <t>direttamente</t>
  </si>
  <si>
    <t>server</t>
  </si>
  <si>
    <t># text = Non vuol dire che ci sia un gruppo di rappresentanti dell'azienda seduto in una stanza fumosa con la NSA a fare amicizia e a prendere accordi dietro le quinte sul modo in cui fornire questo materiale.</t>
  </si>
  <si>
    <t>vuol</t>
  </si>
  <si>
    <t>gruppo</t>
  </si>
  <si>
    <t>azienda</t>
  </si>
  <si>
    <t>seduto</t>
  </si>
  <si>
    <t>fumosa</t>
  </si>
  <si>
    <t>amicizia</t>
  </si>
  <si>
    <t>accordi</t>
  </si>
  <si>
    <t>quinte</t>
  </si>
  <si>
    <t>materiale</t>
  </si>
  <si>
    <t># text = Ciascuna azienda lo gestisce in modi diversi.</t>
  </si>
  <si>
    <t>Ciascuna</t>
  </si>
  <si>
    <t>gestisce</t>
  </si>
  <si>
    <t>diversi</t>
  </si>
  <si>
    <t># text = Alcuni sono responsabili.</t>
  </si>
  <si>
    <t>Alcuni</t>
  </si>
  <si>
    <t>responsabili</t>
  </si>
  <si>
    <t># text = Altri lo sono meno.</t>
  </si>
  <si>
    <t>Altri</t>
  </si>
  <si>
    <t>meno</t>
  </si>
  <si>
    <t># text = Ma in linea di massima, quando si parla del modo in cui le informazioni vengono fornite, si sa che provengono dalle compagnie stesse.</t>
  </si>
  <si>
    <t>linea</t>
  </si>
  <si>
    <t>massima</t>
  </si>
  <si>
    <t>vengono</t>
  </si>
  <si>
    <t>fornite</t>
  </si>
  <si>
    <t>sa</t>
  </si>
  <si>
    <t>compagnie</t>
  </si>
  <si>
    <t>stesse</t>
  </si>
  <si>
    <t># text = Non viene rubata dalle linee.</t>
  </si>
  <si>
    <t>viene</t>
  </si>
  <si>
    <t>rubata</t>
  </si>
  <si>
    <t>linee</t>
  </si>
  <si>
    <t># text = Ma bisogna ricordare una cosa importante:</t>
  </si>
  <si>
    <t>bisogna</t>
  </si>
  <si>
    <t>ricordare</t>
  </si>
  <si>
    <t>importante</t>
  </si>
  <si>
    <t># text = anche quando le aziende si sono rifiutate, e hanno preteso che si agisse attraverso un regolare mandato, che si procedesse in modo da avere qualche tipo di controllo legittimo effettivo, una sorta di punto d'appoggio per la cessione dei dati degli utenti, abbiamo visto le storie pubblicate sul Washington post l'anno scorso, alle quali, tra l'altro, non ci si riferiva come ai fatti PRISM, che parlavano di un'irruzione da parte dell'NSA nei centri interni per la comunicazione dei dati di Google e di Yahoo.</t>
  </si>
  <si>
    <t>rifiutate</t>
  </si>
  <si>
    <t>preteso</t>
  </si>
  <si>
    <t>agisse</t>
  </si>
  <si>
    <t>regolare</t>
  </si>
  <si>
    <t>procedesse</t>
  </si>
  <si>
    <t>controllo</t>
  </si>
  <si>
    <t>legittimo</t>
  </si>
  <si>
    <t>effettivo</t>
  </si>
  <si>
    <t>d'</t>
  </si>
  <si>
    <t>appoggio</t>
  </si>
  <si>
    <t>cessione</t>
  </si>
  <si>
    <t>utenti</t>
  </si>
  <si>
    <t>storie</t>
  </si>
  <si>
    <t>pubblicate</t>
  </si>
  <si>
    <t>Washington</t>
  </si>
  <si>
    <t>post</t>
  </si>
  <si>
    <t>altro</t>
  </si>
  <si>
    <t>riferiva</t>
  </si>
  <si>
    <t>fatti</t>
  </si>
  <si>
    <t>parlavano</t>
  </si>
  <si>
    <t>irruzione</t>
  </si>
  <si>
    <t>centri</t>
  </si>
  <si>
    <t>interni</t>
  </si>
  <si>
    <t>comunicazione</t>
  </si>
  <si>
    <t>Google</t>
  </si>
  <si>
    <t># text = Quindi, anche se queste aziende cooperano in modo obbligato ma almeno, si spera, legittimo con l'NSA, l'NSA non è soddisfatta, ragion per cui, è necessario che le nostre aziende lavorino intensamente per offrire garanzie circa le loro intenzioni non solo di rappresentare gli interessi degli utenti, ma anche di difendere i loro diritti.</t>
  </si>
  <si>
    <t>Quindi</t>
  </si>
  <si>
    <t>cooperano</t>
  </si>
  <si>
    <t>obbligato</t>
  </si>
  <si>
    <t>almeno</t>
  </si>
  <si>
    <t>spera</t>
  </si>
  <si>
    <t>soddisfatta</t>
  </si>
  <si>
    <t>ragion</t>
  </si>
  <si>
    <t>necessario</t>
  </si>
  <si>
    <t>nostre</t>
  </si>
  <si>
    <t>lavorino</t>
  </si>
  <si>
    <t>intensamente</t>
  </si>
  <si>
    <t>offrire</t>
  </si>
  <si>
    <t>garanzie</t>
  </si>
  <si>
    <t>intenzioni</t>
  </si>
  <si>
    <t>rappresentare</t>
  </si>
  <si>
    <t>interessi</t>
  </si>
  <si>
    <t>difendere</t>
  </si>
  <si>
    <t># text = Penso che nel corso dell'anno passato abbiamo visto le aziende menzionate nelle diapositive PRISM compiere grandi passi in questa direzione e io le esorto a continuare.</t>
  </si>
  <si>
    <t>Penso</t>
  </si>
  <si>
    <t>passato</t>
  </si>
  <si>
    <t>menzionate</t>
  </si>
  <si>
    <t>compiere</t>
  </si>
  <si>
    <t>grandi</t>
  </si>
  <si>
    <t>passi</t>
  </si>
  <si>
    <t>esorto</t>
  </si>
  <si>
    <t>continuare</t>
  </si>
  <si>
    <t># text = Cos'altro potrebbero fare?</t>
  </si>
  <si>
    <t>Cos'</t>
  </si>
  <si>
    <t>potrebbero</t>
  </si>
  <si>
    <t># text = La cosa più importante che un'azienda Internet americana possa fare oggi, subito, senza bisogno di consultare avvocati, per proteggere i diritti degli utenti di tutto il mondo, è l'abilitazione della crittografia SSL su ogni pagina visitata.</t>
  </si>
  <si>
    <t>americana</t>
  </si>
  <si>
    <t>possa</t>
  </si>
  <si>
    <t>oggi</t>
  </si>
  <si>
    <t>subito</t>
  </si>
  <si>
    <t>bisogno</t>
  </si>
  <si>
    <t>consultare</t>
  </si>
  <si>
    <t>avvocati</t>
  </si>
  <si>
    <t>proteggere</t>
  </si>
  <si>
    <t>abilitazione</t>
  </si>
  <si>
    <t>crittografia</t>
  </si>
  <si>
    <t>SSL</t>
  </si>
  <si>
    <t>ogni</t>
  </si>
  <si>
    <t>pagina</t>
  </si>
  <si>
    <t>visitata</t>
  </si>
  <si>
    <t># text = Questo è importante perché se oggi vai a guardarti una copia di "1984" su Amazon.com, l'NSA ha accesso a questo dato, e così i servizi segreti di Russia, Cina, Francia, Germania e Andorra.</t>
  </si>
  <si>
    <t>Questo</t>
  </si>
  <si>
    <t>vai</t>
  </si>
  <si>
    <t>guardarti</t>
  </si>
  <si>
    <t>copia</t>
  </si>
  <si>
    <t>1984</t>
  </si>
  <si>
    <t>Amazon.com</t>
  </si>
  <si>
    <t>dato</t>
  </si>
  <si>
    <t>così</t>
  </si>
  <si>
    <t>Cina</t>
  </si>
  <si>
    <t>Francia</t>
  </si>
  <si>
    <t>Germania</t>
  </si>
  <si>
    <t>Andorra</t>
  </si>
  <si>
    <t># text = Tutti hanno accesso a questo dato perché non è criptato.</t>
  </si>
  <si>
    <t>Tutti</t>
  </si>
  <si>
    <t>criptato</t>
  </si>
  <si>
    <t># text = Amazon.com è la biblioteca del mondo ma non solo non supporta la crittografia come impostazione predefinita, non si può neanche scegliere di usare la crittografia durante la navigazione attraverso i libri.</t>
  </si>
  <si>
    <t>biblioteca</t>
  </si>
  <si>
    <t>supporta</t>
  </si>
  <si>
    <t>impostazione</t>
  </si>
  <si>
    <t>predefinita</t>
  </si>
  <si>
    <t>può</t>
  </si>
  <si>
    <t>durante</t>
  </si>
  <si>
    <t>navigazione</t>
  </si>
  <si>
    <t>libri</t>
  </si>
  <si>
    <t># text = Questa è una cosa che va cambiata, non solo per Amazon, non intendo discriminare loro in particolare, ma sono un ottimo esempio.</t>
  </si>
  <si>
    <t>va</t>
  </si>
  <si>
    <t>cambiata</t>
  </si>
  <si>
    <t>Amazon</t>
  </si>
  <si>
    <t>intendo</t>
  </si>
  <si>
    <t>discriminare</t>
  </si>
  <si>
    <t>particolare</t>
  </si>
  <si>
    <t>ottimo</t>
  </si>
  <si>
    <t># text = Tutte le aziende devono acquisire l'abitudine della navigazione criptata come impostazione predefinita per tutti gli utenti che non hanno preso alcun provvedimento né scelto alcun metodo specifico di propria iniziativa.</t>
  </si>
  <si>
    <t>Tutte</t>
  </si>
  <si>
    <t>abitudine</t>
  </si>
  <si>
    <t>criptata</t>
  </si>
  <si>
    <t>alcun</t>
  </si>
  <si>
    <t>provvedimento</t>
  </si>
  <si>
    <t>né</t>
  </si>
  <si>
    <t>scelto</t>
  </si>
  <si>
    <t>metodo</t>
  </si>
  <si>
    <t>propria</t>
  </si>
  <si>
    <t>iniziativa</t>
  </si>
  <si>
    <t># text = Questo accrescerà la privacy e i diritti degli utenti di tutto il mondo.</t>
  </si>
  <si>
    <t>accrescerà</t>
  </si>
  <si>
    <t>privacy</t>
  </si>
  <si>
    <t># text = Ed, vieni con me da questa parte del palcoscenico.</t>
  </si>
  <si>
    <t>vieni</t>
  </si>
  <si>
    <t># text = Voglio farti vedere la prossima diapositiva.</t>
  </si>
  <si>
    <t>Voglio</t>
  </si>
  <si>
    <t>prossima</t>
  </si>
  <si>
    <t># text = Questo è un programma che si chiama Boundless Informant [Informatore Illimitato].</t>
  </si>
  <si>
    <t>chiama</t>
  </si>
  <si>
    <t>Boundless</t>
  </si>
  <si>
    <t>Informant</t>
  </si>
  <si>
    <t>[</t>
  </si>
  <si>
    <t>Informatore</t>
  </si>
  <si>
    <t>Illimitato</t>
  </si>
  <si>
    <t>]</t>
  </si>
  <si>
    <t># text = Che cos'è?</t>
  </si>
  <si>
    <t>cos'</t>
  </si>
  <si>
    <t># text = Devo dare atto all'NSA di aver usato un nome molto appropriato in questo caso.</t>
  </si>
  <si>
    <t>Devo</t>
  </si>
  <si>
    <t>atto</t>
  </si>
  <si>
    <t>usato</t>
  </si>
  <si>
    <t>nome</t>
  </si>
  <si>
    <t>molto</t>
  </si>
  <si>
    <t>appropriato</t>
  </si>
  <si>
    <t>caso</t>
  </si>
  <si>
    <t># text = È uno dei criptonimi dell'NSA che preferisco.</t>
  </si>
  <si>
    <t>criptonimi</t>
  </si>
  <si>
    <t>preferisco</t>
  </si>
  <si>
    <t># text = Boundless Informant è un programma che l'NSA ha tenuto nascosto al Congresso.</t>
  </si>
  <si>
    <t>tenuto</t>
  </si>
  <si>
    <t>nascosto</t>
  </si>
  <si>
    <t># text = In precedenza, il Congresso aveva chiesto all'NSA se avesse la capacità di dare una stima, sia pur approssimativa, del volume di comunicazioni intercettate in America.</t>
  </si>
  <si>
    <t>precedenza</t>
  </si>
  <si>
    <t>aveva</t>
  </si>
  <si>
    <t>chiesto</t>
  </si>
  <si>
    <t>avesse</t>
  </si>
  <si>
    <t>capacità</t>
  </si>
  <si>
    <t>stima</t>
  </si>
  <si>
    <t>pur</t>
  </si>
  <si>
    <t>approssimativa</t>
  </si>
  <si>
    <t>volume</t>
  </si>
  <si>
    <t>comunicazioni</t>
  </si>
  <si>
    <t>intercettate</t>
  </si>
  <si>
    <t>America</t>
  </si>
  <si>
    <t># text = Loro risposero di no.</t>
  </si>
  <si>
    <t>Loro</t>
  </si>
  <si>
    <t>risposero</t>
  </si>
  <si>
    <t>no</t>
  </si>
  <si>
    <t># text = Dissero che non tracciavano quel tipo di statistiche, che non potevano farlo.</t>
  </si>
  <si>
    <t>Dissero</t>
  </si>
  <si>
    <t>tracciavano</t>
  </si>
  <si>
    <t>quel</t>
  </si>
  <si>
    <t>statistiche</t>
  </si>
  <si>
    <t>potevano</t>
  </si>
  <si>
    <t># text = Non potevano dire quante comunicazioni intercettavano in tutto il mondo perché farlo sarebbe stato una violazione della privacy.</t>
  </si>
  <si>
    <t>intercettavano</t>
  </si>
  <si>
    <t>sarebbe</t>
  </si>
  <si>
    <t>violazione</t>
  </si>
  <si>
    <t># text = Certamente, apprezzo questo tipo di sensibilità da parte loro, ma la verità è che guardando questa diapositiva, non solo si vede che loro ne hanno la capacità, ma che quella capacità esiste già, è già presente.</t>
  </si>
  <si>
    <t>Certamente</t>
  </si>
  <si>
    <t>sensibilità</t>
  </si>
  <si>
    <t>verità</t>
  </si>
  <si>
    <t>guardando</t>
  </si>
  <si>
    <t>esiste</t>
  </si>
  <si>
    <t>già</t>
  </si>
  <si>
    <t>presente</t>
  </si>
  <si>
    <t># text = L'NSA ha un proprio formato interno per i dati che rintraccia entrambi gli estremi di una comunicazione, e nel caso che questa comunicazione provenga dall'America, è possibile informare immediatamente il Congresso sul numero di comunicazioni di questo tipo occorse nella giornata di oggi.</t>
  </si>
  <si>
    <t>L'</t>
  </si>
  <si>
    <t>formato</t>
  </si>
  <si>
    <t>interno</t>
  </si>
  <si>
    <t>rintraccia</t>
  </si>
  <si>
    <t>entrambi</t>
  </si>
  <si>
    <t>estremi</t>
  </si>
  <si>
    <t>provenga</t>
  </si>
  <si>
    <t>immediatamente</t>
  </si>
  <si>
    <t>numero</t>
  </si>
  <si>
    <t>occorse</t>
  </si>
  <si>
    <t>giornata</t>
  </si>
  <si>
    <t># text = Boundless Informant ci dice che in America viene intercettato un numero di comunicazioni riguardante gli americani maggiore di quello delle comunicazioni in Russia, riguardanti cittadini russi.</t>
  </si>
  <si>
    <t>dice</t>
  </si>
  <si>
    <t>riguardante</t>
  </si>
  <si>
    <t>americani</t>
  </si>
  <si>
    <t>maggiore</t>
  </si>
  <si>
    <t>russi</t>
  </si>
  <si>
    <t># text = Non credo che questo sia lo scopo principale per un'agenzia d'intelligence.</t>
  </si>
  <si>
    <t>scopo</t>
  </si>
  <si>
    <t>principale</t>
  </si>
  <si>
    <t>agenzia</t>
  </si>
  <si>
    <t># text = Ed, c'è stata una storia che è esplosa sul Washington Post, che pure ha avuto origine dai tuoi dati.</t>
  </si>
  <si>
    <t>storia</t>
  </si>
  <si>
    <t>esplosa</t>
  </si>
  <si>
    <t>Post</t>
  </si>
  <si>
    <t>pure</t>
  </si>
  <si>
    <t>origine</t>
  </si>
  <si>
    <t>tuoi</t>
  </si>
  <si>
    <t># text = Il titolo dice:</t>
  </si>
  <si>
    <t>titolo</t>
  </si>
  <si>
    <t># text = "L'NSA vìola le regole della privacy migliaia di volte all'anno." Raccontaci.</t>
  </si>
  <si>
    <t>vìola</t>
  </si>
  <si>
    <t>regole</t>
  </si>
  <si>
    <t>migliaia</t>
  </si>
  <si>
    <t>volte</t>
  </si>
  <si>
    <t>Raccontaci</t>
  </si>
  <si>
    <t># text = Ne abbiamo sentito parlare nella testimonianza al Congresso l'anno scorso, è stata una cosa sorprendente per chi, come me, veniva dall'NSA, aveva visto i documenti interni veri e ne conosceva il contenuto, vedere dei funzionari che testimoniavano sotto giuramento che non era stato commesso alcun abuso, non c'era stata nessuna violazione delle regole dell'NSA, quando invece ci aspettavamo questi sviluppi.</t>
  </si>
  <si>
    <t>Ne</t>
  </si>
  <si>
    <t>sentito</t>
  </si>
  <si>
    <t>testimonianza</t>
  </si>
  <si>
    <t>sorprendente</t>
  </si>
  <si>
    <t>veniva</t>
  </si>
  <si>
    <t>veri</t>
  </si>
  <si>
    <t>conosceva</t>
  </si>
  <si>
    <t>funzionari</t>
  </si>
  <si>
    <t>SBJ_8</t>
  </si>
  <si>
    <t>testimoniavano</t>
  </si>
  <si>
    <t>sotto</t>
  </si>
  <si>
    <t>giuramento</t>
  </si>
  <si>
    <t>SBJ_10</t>
  </si>
  <si>
    <t>commesso</t>
  </si>
  <si>
    <t>abuso</t>
  </si>
  <si>
    <t>SBJ_11</t>
  </si>
  <si>
    <t>invece</t>
  </si>
  <si>
    <t>aspettavamo</t>
  </si>
  <si>
    <t>sviluppi</t>
  </si>
  <si>
    <t># text = Ma la cosa particolarmente interessante relativa al fatto che l'NSA ha violato le proprie regole, le sue stesse leggi migliaia di volte in un anno, è che include un evento che da solo, uno tra i 2776 eventi, ha riguardato più di 3000 persone.</t>
  </si>
  <si>
    <t>particolarmente</t>
  </si>
  <si>
    <t>interessante</t>
  </si>
  <si>
    <t>relativa</t>
  </si>
  <si>
    <t>violato</t>
  </si>
  <si>
    <t>proprie</t>
  </si>
  <si>
    <t>sue</t>
  </si>
  <si>
    <t>include</t>
  </si>
  <si>
    <t>evento</t>
  </si>
  <si>
    <t>2776</t>
  </si>
  <si>
    <t>riguardato</t>
  </si>
  <si>
    <t>3000</t>
  </si>
  <si>
    <t># text = In un'altra occorrenza, hanno intercettato per errore tutte le chiamate verso Washington D.C.</t>
  </si>
  <si>
    <t>altra</t>
  </si>
  <si>
    <t>occorrenza</t>
  </si>
  <si>
    <t>errore</t>
  </si>
  <si>
    <t>chiamate</t>
  </si>
  <si>
    <t>D.C.</t>
  </si>
  <si>
    <t># text = In tutto ciò, la cosa straordinaria è che questo verbale, che non ricevette all'epoca molta considerazione, non solo contava 2776 abusi, ma il presidente della Commissione Servizi Segreti del Senato, Dianne Feinstein, non aveva visto il verbale fino al momento in cui il Washington Post l'aveva contattata chiedendole di commentare sul resoconto.</t>
  </si>
  <si>
    <t>ciò</t>
  </si>
  <si>
    <t>straordinaria</t>
  </si>
  <si>
    <t>verbale</t>
  </si>
  <si>
    <t>ricevette</t>
  </si>
  <si>
    <t>epoca</t>
  </si>
  <si>
    <t>molta</t>
  </si>
  <si>
    <t>considerazione</t>
  </si>
  <si>
    <t>contava</t>
  </si>
  <si>
    <t>abusi</t>
  </si>
  <si>
    <t>presidente</t>
  </si>
  <si>
    <t>Commissione</t>
  </si>
  <si>
    <t>Servizi</t>
  </si>
  <si>
    <t>Segreti</t>
  </si>
  <si>
    <t>Senato</t>
  </si>
  <si>
    <t>Dianne</t>
  </si>
  <si>
    <t>Feinstein</t>
  </si>
  <si>
    <t>fino</t>
  </si>
  <si>
    <t>contattata</t>
  </si>
  <si>
    <t>chiedendo</t>
  </si>
  <si>
    <t>commentare</t>
  </si>
  <si>
    <t>resoconto</t>
  </si>
  <si>
    <t># text = Solo allora, lei richiese una copia all'NSA e la ricevette, ma non l'aveva mai visto prima.</t>
  </si>
  <si>
    <t>Solo</t>
  </si>
  <si>
    <t>allora</t>
  </si>
  <si>
    <t>lei</t>
  </si>
  <si>
    <t>richiese</t>
  </si>
  <si>
    <t>prima</t>
  </si>
  <si>
    <t># text = Cosa ci dice questo sul tipo di vigilanza presente nei servizi segreti americani, dove il presidente della Commissione Servizi Segreti del Senato non ha idea che le regole vengono violate migliaia di volte all'anno?</t>
  </si>
  <si>
    <t>vigilanza</t>
  </si>
  <si>
    <t>dove</t>
  </si>
  <si>
    <t>idea</t>
  </si>
  <si>
    <t>violate</t>
  </si>
  <si>
    <t># text = Ed, una sola risposta a tutto questo dibattito è: perché dovremmo preoccuparci di tutta questa sorveglianza?</t>
  </si>
  <si>
    <t>sola</t>
  </si>
  <si>
    <t>risposta</t>
  </si>
  <si>
    <t>preoccupar</t>
  </si>
  <si>
    <t># text = Intendo dire, se non ho fatto nulla di male, non ho nulla di cui preoccuparmi.</t>
  </si>
  <si>
    <t>Intendo</t>
  </si>
  <si>
    <t>nulla</t>
  </si>
  <si>
    <t>male</t>
  </si>
  <si>
    <t>preoccuparmi</t>
  </si>
  <si>
    <t># text = Cosa c'è di sbagliato in questo?</t>
  </si>
  <si>
    <t>sbagliato</t>
  </si>
  <si>
    <t># text = ES: Beh, per prima cosa, stai rinunciando ai tuoi diritti.</t>
  </si>
  <si>
    <t>Beh</t>
  </si>
  <si>
    <t>stai</t>
  </si>
  <si>
    <t>rinunciando</t>
  </si>
  <si>
    <t># text = È come se dicessi, sai, non credo che ne avrò bisogno, ho deciso di fidarmi, sai, me ne sbarazzerò perché non ha molta importanza, quella gente farà la cosa giusta.</t>
  </si>
  <si>
    <t>dicessi</t>
  </si>
  <si>
    <t>avrò</t>
  </si>
  <si>
    <t>deciso</t>
  </si>
  <si>
    <t>fidar</t>
  </si>
  <si>
    <t>sbarazzerò</t>
  </si>
  <si>
    <t>gente</t>
  </si>
  <si>
    <t>farà</t>
  </si>
  <si>
    <t>giusta</t>
  </si>
  <si>
    <t># text = I nostri diritti hanno importanza perché non si può mai sapere quando potremmo averne bisogno.</t>
  </si>
  <si>
    <t>sapere</t>
  </si>
  <si>
    <t>potremmo</t>
  </si>
  <si>
    <t># text = E inoltre, fanno parte della nostra identità culturale, non soltanto in America, ma in tutte le società occidentali e nelle società democratiche di tutto il mondo.</t>
  </si>
  <si>
    <t>inoltre</t>
  </si>
  <si>
    <t>fanno</t>
  </si>
  <si>
    <t>identità</t>
  </si>
  <si>
    <t>culturale</t>
  </si>
  <si>
    <t>occidentali</t>
  </si>
  <si>
    <t>democratiche</t>
  </si>
  <si>
    <t># text = Le persone devono poter alzare il ricevitore e chiamare le loro famiglie, devono poter mandare un messaggio di testo a quelli che amano, devono poter comprare un libro online, devono poter viaggiare in treno o comprare un biglietto aereo senza chiedersi come questi eventi appariranno agli occhi di un agente governativo, magari neanche del loro paese, negli anni futuri, come saranno male interpretati e cosa si potrebbe mai pensare delle loro intenzioni.</t>
  </si>
  <si>
    <t>Le</t>
  </si>
  <si>
    <t>poter</t>
  </si>
  <si>
    <t>ricevitore</t>
  </si>
  <si>
    <t>famiglie</t>
  </si>
  <si>
    <t>mandare</t>
  </si>
  <si>
    <t>messaggio</t>
  </si>
  <si>
    <t>testo</t>
  </si>
  <si>
    <t>amano</t>
  </si>
  <si>
    <t>comprare</t>
  </si>
  <si>
    <t>libro</t>
  </si>
  <si>
    <t>online</t>
  </si>
  <si>
    <t>viaggiare</t>
  </si>
  <si>
    <t>treno</t>
  </si>
  <si>
    <t>o</t>
  </si>
  <si>
    <t>biglietto</t>
  </si>
  <si>
    <t>aereo</t>
  </si>
  <si>
    <t>chieder</t>
  </si>
  <si>
    <t>appariranno</t>
  </si>
  <si>
    <t>occhi</t>
  </si>
  <si>
    <t>agente</t>
  </si>
  <si>
    <t>governativo</t>
  </si>
  <si>
    <t>magari</t>
  </si>
  <si>
    <t>paese</t>
  </si>
  <si>
    <t>futuri</t>
  </si>
  <si>
    <t>saranno</t>
  </si>
  <si>
    <t>interpretati</t>
  </si>
  <si>
    <t># text = Noi abbiamo il diritto alla privacy.</t>
  </si>
  <si>
    <t># text = Abbiamo bisogno di mandati fondati su possibili cause o su qualche tipo di sospetto individuale perché riconosciamo che affidare a chiunque, a qualunque autorità governativa, la totalità della comunicazione umana segretamente e senza supervisione è semplicemente una tentazione troppo grande per essere ignorata.</t>
  </si>
  <si>
    <t>Abbiamo</t>
  </si>
  <si>
    <t>mandati</t>
  </si>
  <si>
    <t>fondati</t>
  </si>
  <si>
    <t>possibili</t>
  </si>
  <si>
    <t>cause</t>
  </si>
  <si>
    <t>sospetto</t>
  </si>
  <si>
    <t>individuale</t>
  </si>
  <si>
    <t>riconosciamo</t>
  </si>
  <si>
    <t>affidare</t>
  </si>
  <si>
    <t>chiunque</t>
  </si>
  <si>
    <t>qualunque</t>
  </si>
  <si>
    <t>governativa</t>
  </si>
  <si>
    <t>totalità</t>
  </si>
  <si>
    <t>umana</t>
  </si>
  <si>
    <t>segretamente</t>
  </si>
  <si>
    <t>supervisione</t>
  </si>
  <si>
    <t>semplicemente</t>
  </si>
  <si>
    <t>tentazione</t>
  </si>
  <si>
    <t>ignorata</t>
  </si>
  <si>
    <t># text = Alcune persone sono furiose per quello che hai fatto.</t>
  </si>
  <si>
    <t>Alcune</t>
  </si>
  <si>
    <t>furiose</t>
  </si>
  <si>
    <t># text = Ho sentito di recente una citazione di Dick Cheney che afferma che se Julian Assange era il morso di una pulce, Edward Snowden è il leone che ha staccato la testa al cane.</t>
  </si>
  <si>
    <t>Ho</t>
  </si>
  <si>
    <t>recente</t>
  </si>
  <si>
    <t>citazione</t>
  </si>
  <si>
    <t>Dick</t>
  </si>
  <si>
    <t>Cheney</t>
  </si>
  <si>
    <t>afferma</t>
  </si>
  <si>
    <t>Julian</t>
  </si>
  <si>
    <t>Assange</t>
  </si>
  <si>
    <t>morso</t>
  </si>
  <si>
    <t>pulce</t>
  </si>
  <si>
    <t>leone</t>
  </si>
  <si>
    <t>staccato</t>
  </si>
  <si>
    <t>testa</t>
  </si>
  <si>
    <t>cane</t>
  </si>
  <si>
    <t># text = Lui pensa che tu abbia commesso uno dei peggiori tradimenti della storia americana.</t>
  </si>
  <si>
    <t>Lui</t>
  </si>
  <si>
    <t>pensa</t>
  </si>
  <si>
    <t>peggiori</t>
  </si>
  <si>
    <t>tradimenti</t>
  </si>
  <si>
    <t># text = Che cosa diresti a persone che la pensano così?</t>
  </si>
  <si>
    <t>diresti</t>
  </si>
  <si>
    <t>pensano</t>
  </si>
  <si>
    <t># text = ES: Dick Cheney, te lo raccomando quello.</t>
  </si>
  <si>
    <t>raccomando</t>
  </si>
  <si>
    <t># text = (Risate) Grazie.</t>
  </si>
  <si>
    <t>Grazie</t>
  </si>
  <si>
    <t># text = Penso che sia incredibile, perché all'epoca in cui Julian Assange svolgeva il suo straordinario lavoro, Dick Cheney diceva che avrebbe causato la fine dei governi che i cieli stavano per incendiarsi e i mari sarebbero evaporati e ora dice che è un morso di pulce.</t>
  </si>
  <si>
    <t>svolgeva</t>
  </si>
  <si>
    <t>straordinario</t>
  </si>
  <si>
    <t>diceva</t>
  </si>
  <si>
    <t>causato</t>
  </si>
  <si>
    <t>fine</t>
  </si>
  <si>
    <t>governi</t>
  </si>
  <si>
    <t>cieli</t>
  </si>
  <si>
    <t>stavano</t>
  </si>
  <si>
    <t>incendiar</t>
  </si>
  <si>
    <t>mari</t>
  </si>
  <si>
    <t>sarebbero</t>
  </si>
  <si>
    <t>evaporati</t>
  </si>
  <si>
    <t>ora</t>
  </si>
  <si>
    <t># text = Quindi c'è da guardare con sospetto questo tipo di affermazioni esagerate di danni alla sicurezza nazionale da parte di questo tipo di funzionari.</t>
  </si>
  <si>
    <t>guardare</t>
  </si>
  <si>
    <t>affermazioni</t>
  </si>
  <si>
    <t>esagerate</t>
  </si>
  <si>
    <t>danni</t>
  </si>
  <si>
    <t># text = Ma supponiamo che vi siano persone che ci credono veramente.</t>
  </si>
  <si>
    <t>supponiamo</t>
  </si>
  <si>
    <t>siano</t>
  </si>
  <si>
    <t>credono</t>
  </si>
  <si>
    <t># text = Direi che in qualche modo hanno una concezione ristretta della sicurezza nazionale.</t>
  </si>
  <si>
    <t>concezione</t>
  </si>
  <si>
    <t>ristretta</t>
  </si>
  <si>
    <t># text = Le prerogative di persone come Dick Cheney mettono a rischio la sicurezza nazionale.</t>
  </si>
  <si>
    <t>prerogative</t>
  </si>
  <si>
    <t>mettono</t>
  </si>
  <si>
    <t># text = L'interesse pubblico non coincide sempre con l'interesse della nazione.</t>
  </si>
  <si>
    <t>interesse</t>
  </si>
  <si>
    <t>coincide</t>
  </si>
  <si>
    <t>sempre</t>
  </si>
  <si>
    <t>nazione</t>
  </si>
  <si>
    <t># text = Entrare in guerra contro popoli che non sono nostri nemici, in luoghi che non sono per noi una minaccia non ci mette al sicuro e questo vale sia per l'Iraq sia per Internet.</t>
  </si>
  <si>
    <t>Entrare</t>
  </si>
  <si>
    <t>guerra</t>
  </si>
  <si>
    <t>contro</t>
  </si>
  <si>
    <t>popoli</t>
  </si>
  <si>
    <t>nemici</t>
  </si>
  <si>
    <t>noi</t>
  </si>
  <si>
    <t>minaccia</t>
  </si>
  <si>
    <t>mette</t>
  </si>
  <si>
    <t>sicuro</t>
  </si>
  <si>
    <t>vale</t>
  </si>
  <si>
    <t>Iraq</t>
  </si>
  <si>
    <t># text = Internet non è il nemico.</t>
  </si>
  <si>
    <t>nemico</t>
  </si>
  <si>
    <t># text = L'economia non è il nemico.</t>
  </si>
  <si>
    <t>economia</t>
  </si>
  <si>
    <t># text = Le imprese americane, le imprese cinesi e ogni altra azienda là fuori fa parte della nostra società.</t>
  </si>
  <si>
    <t>imprese</t>
  </si>
  <si>
    <t>là</t>
  </si>
  <si>
    <t>fuori</t>
  </si>
  <si>
    <t>fa</t>
  </si>
  <si>
    <t># text = Fa parte del nostro mondo interconnesso.</t>
  </si>
  <si>
    <t>Fa</t>
  </si>
  <si>
    <t>nostro</t>
  </si>
  <si>
    <t>interconnesso</t>
  </si>
  <si>
    <t># text = Ci sono legami di fratellanza che ci legano, e se distruggiamo questi legami minando le norme, la sicurezza, le modalità di comportamento, che le nazioni e i cittadini di tutto il mondo si aspettano che rispettiamo.</t>
  </si>
  <si>
    <t>legami</t>
  </si>
  <si>
    <t>fratellanza</t>
  </si>
  <si>
    <t>legano</t>
  </si>
  <si>
    <t>distruggiamo</t>
  </si>
  <si>
    <t>minando</t>
  </si>
  <si>
    <t>norme</t>
  </si>
  <si>
    <t>modalità</t>
  </si>
  <si>
    <t>comportamento</t>
  </si>
  <si>
    <t>nazioni</t>
  </si>
  <si>
    <t>aspettano</t>
  </si>
  <si>
    <t>rispettiamo</t>
  </si>
  <si>
    <t># text = Ma si sostiene che tu abbia rubato 1,7 milioni di documenti.</t>
  </si>
  <si>
    <t>sostiene</t>
  </si>
  <si>
    <t>rubato</t>
  </si>
  <si>
    <t>1,7</t>
  </si>
  <si>
    <t>milioni</t>
  </si>
  <si>
    <t># text = Pare che solo poche centinaia di questi siano stati finora condivisi con i giornalisti.</t>
  </si>
  <si>
    <t>Pare</t>
  </si>
  <si>
    <t>poche</t>
  </si>
  <si>
    <t>centinaia</t>
  </si>
  <si>
    <t>finora</t>
  </si>
  <si>
    <t>condivisi</t>
  </si>
  <si>
    <t># text = Dobbiamo aspettarci altre rivelazioni?</t>
  </si>
  <si>
    <t>Dobbiamo</t>
  </si>
  <si>
    <t>aspettar</t>
  </si>
  <si>
    <t>altre</t>
  </si>
  <si>
    <t># text = Ci sono senz'altro altre rivelazioni.</t>
  </si>
  <si>
    <t>senz'</t>
  </si>
  <si>
    <t># text = Non credo vi sia dubbio che alcuni dei resoconti più importanti devono ancora venire.</t>
  </si>
  <si>
    <t>dubbio</t>
  </si>
  <si>
    <t>resoconti</t>
  </si>
  <si>
    <t>importanti</t>
  </si>
  <si>
    <t>ancora</t>
  </si>
  <si>
    <t>venire</t>
  </si>
  <si>
    <t># text = Vieni qui perché ora voglio farti una domanda su questa rivelazione in particolare.</t>
  </si>
  <si>
    <t>voglio</t>
  </si>
  <si>
    <t># text = Vieni a dare un'occhiata qui.</t>
  </si>
  <si>
    <t>occhiata</t>
  </si>
  <si>
    <t># text = Questa è una storia che credo sia, per i patiti della tecnologia presenti, la cosa più sconvolgente che abbiano sentito negli ultimi mesi.</t>
  </si>
  <si>
    <t>patiti</t>
  </si>
  <si>
    <t>tecnologia</t>
  </si>
  <si>
    <t>presenti</t>
  </si>
  <si>
    <t>sconvolgente</t>
  </si>
  <si>
    <t># text = Si tratta di un programma che si chiama "Bullrun," Puoi spiegarci che cos'è?</t>
  </si>
  <si>
    <t>Si</t>
  </si>
  <si>
    <t>tratta</t>
  </si>
  <si>
    <t>Bullrun</t>
  </si>
  <si>
    <t>Puoi</t>
  </si>
  <si>
    <t>spiegar</t>
  </si>
  <si>
    <t># text = ES: Allora, Bullrun, e qui dobbiamo di nuovo ringraziare l'NSA per il suo candore, è un programma che deve il nome a una battaglia della Guerra Civile.</t>
  </si>
  <si>
    <t>Allora</t>
  </si>
  <si>
    <t>dobbiamo</t>
  </si>
  <si>
    <t>nuovo</t>
  </si>
  <si>
    <t>ringraziare</t>
  </si>
  <si>
    <t>candore</t>
  </si>
  <si>
    <t>deve</t>
  </si>
  <si>
    <t>battaglia</t>
  </si>
  <si>
    <t>Guerra</t>
  </si>
  <si>
    <t>Civile</t>
  </si>
  <si>
    <t># text = La controparte britannica si chiama Edgehill, che è una battaglia della guerra civile del Regno Unito.</t>
  </si>
  <si>
    <t>controparte</t>
  </si>
  <si>
    <t>britannica</t>
  </si>
  <si>
    <t>Edgehill</t>
  </si>
  <si>
    <t>civile</t>
  </si>
  <si>
    <t>Regno</t>
  </si>
  <si>
    <t>Unito</t>
  </si>
  <si>
    <t># text = Il motivo per cui hanno questo nome è perché mirano alla nostra infrastruttura.</t>
  </si>
  <si>
    <t>mirano</t>
  </si>
  <si>
    <t>infrastruttura</t>
  </si>
  <si>
    <t># text = Sono programmi attraverso i quali l'NSA svia volutamente le aziende partner.</t>
  </si>
  <si>
    <t>svia</t>
  </si>
  <si>
    <t>volutamente</t>
  </si>
  <si>
    <t>partner</t>
  </si>
  <si>
    <t># text = Dicono alle aziende partner che si tratta di norme di sicurezza.</t>
  </si>
  <si>
    <t>Dicono</t>
  </si>
  <si>
    <t># text = Dicono cose tipo, ehi, abbiamo bisogno della vostra collaborazione per proteggere i vostri sistemi, ma in realtà poi danno cattivi consigli a queste aziende al fine di minare la sicurezza dei loro servizi.</t>
  </si>
  <si>
    <t>ehi</t>
  </si>
  <si>
    <t>vostra</t>
  </si>
  <si>
    <t>collaborazione</t>
  </si>
  <si>
    <t>vostri</t>
  </si>
  <si>
    <t>poi</t>
  </si>
  <si>
    <t>cattivi</t>
  </si>
  <si>
    <t>consigli</t>
  </si>
  <si>
    <t>minare</t>
  </si>
  <si>
    <t># text = Costruiscono delle porte di accesso non autorizzate che non solo possono essere sfruttate dall'NSA, ma che chiunque altro abbia tempo e denaro da impiegare per cercarle, può usare per accedere alle comunicazioni mondiali.</t>
  </si>
  <si>
    <t>Costruiscono</t>
  </si>
  <si>
    <t>porte</t>
  </si>
  <si>
    <t>autorizzate</t>
  </si>
  <si>
    <t>possono</t>
  </si>
  <si>
    <t>sfruttate</t>
  </si>
  <si>
    <t>denaro</t>
  </si>
  <si>
    <t>impiegare</t>
  </si>
  <si>
    <t>cercar</t>
  </si>
  <si>
    <t>accedere</t>
  </si>
  <si>
    <t>mondiali</t>
  </si>
  <si>
    <t># text = E questo è veramente pericoloso perché se perdiamo anche un solo protocollo, se non possiamo fidarci di cose come l'SSL, che viene specificamente preso di mira dal programma Bullrun, vivremo in un mondo meno sicuro in generale.</t>
  </si>
  <si>
    <t>pericoloso</t>
  </si>
  <si>
    <t>perdiamo</t>
  </si>
  <si>
    <t>protocollo</t>
  </si>
  <si>
    <t>possiamo</t>
  </si>
  <si>
    <t>specificamente</t>
  </si>
  <si>
    <t>mira</t>
  </si>
  <si>
    <t>vivremo</t>
  </si>
  <si>
    <t># text = Non saremo in grado di accedere ai nostri conti online e ai siti di e-commerce senza dover temere che altri possano monitorare quelle comunicazioni o sovvertirle per fini propri.</t>
  </si>
  <si>
    <t>saremo</t>
  </si>
  <si>
    <t>grado</t>
  </si>
  <si>
    <t>conti</t>
  </si>
  <si>
    <t>siti</t>
  </si>
  <si>
    <t>commerce</t>
  </si>
  <si>
    <t>dover</t>
  </si>
  <si>
    <t>temere</t>
  </si>
  <si>
    <t>possano</t>
  </si>
  <si>
    <t>monitorare</t>
  </si>
  <si>
    <t>sovvertir</t>
  </si>
  <si>
    <t>fini</t>
  </si>
  <si>
    <t>propri</t>
  </si>
  <si>
    <t># text = E quelle stesse decisioni, espongono virtualmente l'America agli attacchi informatici provenienti da altre fonti?</t>
  </si>
  <si>
    <t>espongono</t>
  </si>
  <si>
    <t>virtualmente</t>
  </si>
  <si>
    <t>attacchi</t>
  </si>
  <si>
    <t>informatici</t>
  </si>
  <si>
    <t>provenienti</t>
  </si>
  <si>
    <t>fonti</t>
  </si>
  <si>
    <t># text = Assolutamente sì.</t>
  </si>
  <si>
    <t>Assolutamente</t>
  </si>
  <si>
    <t># text = Uno dei problemi, una delle pericolose eredità dell'era post 11 settembre è il fatto che l'NSA ha storicamente coperto due funzioni.</t>
  </si>
  <si>
    <t>Uno</t>
  </si>
  <si>
    <t>pericolose</t>
  </si>
  <si>
    <t>eredità</t>
  </si>
  <si>
    <t>settembre</t>
  </si>
  <si>
    <t>storicamente</t>
  </si>
  <si>
    <t>coperto</t>
  </si>
  <si>
    <t>due</t>
  </si>
  <si>
    <t>funzioni</t>
  </si>
  <si>
    <t># text = Sono stati incaricati di operazioni offensive, cioè hacking, ma anche di operazioni di difesa, e per tradizione hanno sempre dato la priorità alla difesa sulla base del semplice principio che i segreti americani hanno un valore maggiore.</t>
  </si>
  <si>
    <t>incaricati</t>
  </si>
  <si>
    <t>operazioni</t>
  </si>
  <si>
    <t>offensive</t>
  </si>
  <si>
    <t>cioè</t>
  </si>
  <si>
    <t>hacking</t>
  </si>
  <si>
    <t>difesa</t>
  </si>
  <si>
    <t>tradizione</t>
  </si>
  <si>
    <t>priorità</t>
  </si>
  <si>
    <t>base</t>
  </si>
  <si>
    <t>semplice</t>
  </si>
  <si>
    <t>principio</t>
  </si>
  <si>
    <t>valore</t>
  </si>
  <si>
    <t># text = Se violiamo il sistema informatico di un'impresa cinese e rubiamo i suoi segreti, o se facciamo altrettanto in un ufficio del governo a Berlino, ha meno valore, agli occhi del popolo americano, che non fare in modo che i cinesi non possano avere accesso ai nostri segreti.</t>
  </si>
  <si>
    <t>violiamo</t>
  </si>
  <si>
    <t>informatico</t>
  </si>
  <si>
    <t>cinese</t>
  </si>
  <si>
    <t>rubiamo</t>
  </si>
  <si>
    <t>suoi</t>
  </si>
  <si>
    <t>altrettanto</t>
  </si>
  <si>
    <t>ufficio</t>
  </si>
  <si>
    <t>Berlino</t>
  </si>
  <si>
    <t># text = Quindi, riducendo la sicurezza delle nostre comunicazioni, non solo stanno mettendo a rischio il mondo, ma stanno mettendo a rischio l'America in modo fondamentale perché la proprietà intellettuale è la base, il fondamento della nostra economia, e se mettiamo a rischio questo per carenza di sicurezza, ne pagheremo le conseguenze per anni.</t>
  </si>
  <si>
    <t>stanno</t>
  </si>
  <si>
    <t>mettendo</t>
  </si>
  <si>
    <t>fondamentale</t>
  </si>
  <si>
    <t>proprietà</t>
  </si>
  <si>
    <t>intellettuale</t>
  </si>
  <si>
    <t>fondamento</t>
  </si>
  <si>
    <t>mettiamo</t>
  </si>
  <si>
    <t>carenza</t>
  </si>
  <si>
    <t>pagheremo</t>
  </si>
  <si>
    <t>conseguenze</t>
  </si>
  <si>
    <t># text = Ma loro hanno calcolato che ne valeva la pena, faceva parte della difesa dell'America contro il terrorismo.</t>
  </si>
  <si>
    <t>calcolato</t>
  </si>
  <si>
    <t>valeva</t>
  </si>
  <si>
    <t>pena</t>
  </si>
  <si>
    <t>faceva</t>
  </si>
  <si>
    <t>terrorismo</t>
  </si>
  <si>
    <t># text = È sicuramente un prezzo che vale la pena di pagare.</t>
  </si>
  <si>
    <t>sicuramente</t>
  </si>
  <si>
    <t>prezzo</t>
  </si>
  <si>
    <t>pagare</t>
  </si>
  <si>
    <t># text = ES: Beh, se si guarda ai risultati di questi programmi nel fermare il terrorismo, si comprende che è infondato ma non dovete credermi sulla parola, perché nella prima udienza pubblica, il primo giudice federale che ha esaminato questo caso, al di fuori del regime di segretezza, ha definito questi programmi orwelliani e verosimilmente incostituzionali.</t>
  </si>
  <si>
    <t>guarda</t>
  </si>
  <si>
    <t>risultati</t>
  </si>
  <si>
    <t>comprende</t>
  </si>
  <si>
    <t>infondato</t>
  </si>
  <si>
    <t>dovete</t>
  </si>
  <si>
    <t>creder</t>
  </si>
  <si>
    <t>primo</t>
  </si>
  <si>
    <t>giudice</t>
  </si>
  <si>
    <t>federale</t>
  </si>
  <si>
    <t>regime</t>
  </si>
  <si>
    <t>segretezza</t>
  </si>
  <si>
    <t>orwelliani</t>
  </si>
  <si>
    <t>verosimilmente</t>
  </si>
  <si>
    <t>incostituzionali</t>
  </si>
  <si>
    <t># text = Il Congresso, che ha accesso alle informazioni su questi fatti e ora più che mai desidera averne, ha predisposto progetti di legge per una riforma della materia e due comitati indipendenti della Casa Bianca che hanno esaminato tutte le prove segrete, ha affermato che questi programmi non hanno mai fermato un solo attacco terroristico rivelatosi imminente negli Stati Uniti.</t>
  </si>
  <si>
    <t>desidera</t>
  </si>
  <si>
    <t>predisposto</t>
  </si>
  <si>
    <t>progetti</t>
  </si>
  <si>
    <t>riforma</t>
  </si>
  <si>
    <t>materia</t>
  </si>
  <si>
    <t>comitati</t>
  </si>
  <si>
    <t>indipendenti</t>
  </si>
  <si>
    <t>Casa</t>
  </si>
  <si>
    <t>Bianca</t>
  </si>
  <si>
    <t>SBJ_9</t>
  </si>
  <si>
    <t>segrete</t>
  </si>
  <si>
    <t>affermato</t>
  </si>
  <si>
    <t>fermato</t>
  </si>
  <si>
    <t>attacco</t>
  </si>
  <si>
    <t>terroristico</t>
  </si>
  <si>
    <t>rivelato</t>
  </si>
  <si>
    <t>imminente</t>
  </si>
  <si>
    <t># text = Allora, stiamo veramente fermando il terrorismo?</t>
  </si>
  <si>
    <t>fermando</t>
  </si>
  <si>
    <t># text = Tutti questi programmi, hanno qualche valore?</t>
  </si>
  <si>
    <t># text = Io dico di no e così pure le tre autorità del governo americano.</t>
  </si>
  <si>
    <t>Io</t>
  </si>
  <si>
    <t>dico</t>
  </si>
  <si>
    <t>tre</t>
  </si>
  <si>
    <t># text = Si ma voglio dire, tu pensi che esista per loro una motivazione più profonda della guerra al terrorismo?</t>
  </si>
  <si>
    <t>pensi</t>
  </si>
  <si>
    <t>esista</t>
  </si>
  <si>
    <t>motivazione</t>
  </si>
  <si>
    <t>profonda</t>
  </si>
  <si>
    <t># text = ES: Scusa, non ho sentito bene, puoi ripetere?</t>
  </si>
  <si>
    <t>Scusa</t>
  </si>
  <si>
    <t>puoi</t>
  </si>
  <si>
    <t>ripetere</t>
  </si>
  <si>
    <t># text = CA: Scusa.</t>
  </si>
  <si>
    <t># text = Pensi che per loro esista una motivazione più profonda della guerra contro il terrorismo?</t>
  </si>
  <si>
    <t>Pensi</t>
  </si>
  <si>
    <t># text = ES: Si.</t>
  </si>
  <si>
    <t># text = La morale della favola è che il terrorismo è sempre stato quello che nel mondo dei servizi segreti chiameremmo una copertura per l'azione.</t>
  </si>
  <si>
    <t>morale</t>
  </si>
  <si>
    <t>favola</t>
  </si>
  <si>
    <t>chiameremmo</t>
  </si>
  <si>
    <t>copertura</t>
  </si>
  <si>
    <t>azione</t>
  </si>
  <si>
    <t># text = Il terrorismo è qualcosa che provoca una risposta emotiva che permette alle persone di razionalizzare, autorizzando poteri e programmi che altrimenti non cederebbero.</t>
  </si>
  <si>
    <t>qualcosa</t>
  </si>
  <si>
    <t>provoca</t>
  </si>
  <si>
    <t>emotiva</t>
  </si>
  <si>
    <t>permette</t>
  </si>
  <si>
    <t>razionalizzare</t>
  </si>
  <si>
    <t>autorizzando</t>
  </si>
  <si>
    <t>poteri</t>
  </si>
  <si>
    <t>altrimenti</t>
  </si>
  <si>
    <t>cederebbero</t>
  </si>
  <si>
    <t># text = Per programmi tipo Bullrun e Edgehill, l'NSA ha chiesto l'autorizzazione fin dagli anni '90.</t>
  </si>
  <si>
    <t>autorizzazione</t>
  </si>
  <si>
    <t>fin</t>
  </si>
  <si>
    <t>'90</t>
  </si>
  <si>
    <t># text = Chiesero all'FBI di andare al Congresso e di perorare la causa.</t>
  </si>
  <si>
    <t>Chiesero</t>
  </si>
  <si>
    <t>FBI</t>
  </si>
  <si>
    <t>perorare</t>
  </si>
  <si>
    <t># text = L'FBI andò al Congresso e promosse l'idea.</t>
  </si>
  <si>
    <t>andò</t>
  </si>
  <si>
    <t>promosse</t>
  </si>
  <si>
    <t># text = Ma il Congresso e il popolo Americano risposero di no.</t>
  </si>
  <si>
    <t># text = Risposero che non valeva la pena rischiare per la nostra economia.</t>
  </si>
  <si>
    <t>Risposero</t>
  </si>
  <si>
    <t>rischiare</t>
  </si>
  <si>
    <t># text = Sostenevano che avrebbe arrecato alla nostra società danni troppo ingenti che non avrebbero giustificato i guadagni.</t>
  </si>
  <si>
    <t>Sostenevano</t>
  </si>
  <si>
    <t>arrecato</t>
  </si>
  <si>
    <t>ingenti</t>
  </si>
  <si>
    <t>avrebbero</t>
  </si>
  <si>
    <t>giustificato</t>
  </si>
  <si>
    <t>guadagni</t>
  </si>
  <si>
    <t># text = Ma poi, nell'era post 11/9, abbiamo visto che è stata usata la segretezza e il terrorismo è stato usato come pretesto per avviare in segreto questi programmi senza interpellare il Congresso, senza interpellare il popolo americano ed è proprio da questo tipo di governo a porte chiuse che dobbiamo proteggerci, perché ci rende meno sicuri e non offre alcun valore.</t>
  </si>
  <si>
    <t>/</t>
  </si>
  <si>
    <t>usata</t>
  </si>
  <si>
    <t>pretesto</t>
  </si>
  <si>
    <t>avviare</t>
  </si>
  <si>
    <t>interpellare</t>
  </si>
  <si>
    <t>chiuse</t>
  </si>
  <si>
    <t>protegger</t>
  </si>
  <si>
    <t>rende</t>
  </si>
  <si>
    <t>sicuri</t>
  </si>
  <si>
    <t>offre</t>
  </si>
  <si>
    <t># text = OK, vieni qui con me un attimo perché ho una domanda più personale da farti.</t>
  </si>
  <si>
    <t>OK</t>
  </si>
  <si>
    <t>attimo</t>
  </si>
  <si>
    <t>personale</t>
  </si>
  <si>
    <t># text = A proposito di terrore, molti potrebbero pensare che la situazione in cui ti trovi adesso in Russia, sia terribile.</t>
  </si>
  <si>
    <t>A</t>
  </si>
  <si>
    <t>proposito</t>
  </si>
  <si>
    <t>terrore</t>
  </si>
  <si>
    <t>situazione</t>
  </si>
  <si>
    <t>trovi</t>
  </si>
  <si>
    <t>adesso</t>
  </si>
  <si>
    <t>terribile</t>
  </si>
  <si>
    <t># text = Tu ovviamente hai sentito cosa è successo, come è stato trattato Bradley Manning, ora Chelsea Manning, e c'era una storia su Buzzfeed secondo cui ci sono persone negli ambienti dei servizi segreti che vogliono la tua morte.</t>
  </si>
  <si>
    <t>Tu</t>
  </si>
  <si>
    <t>ovviamente</t>
  </si>
  <si>
    <t>successo</t>
  </si>
  <si>
    <t>trattato</t>
  </si>
  <si>
    <t>Bradley</t>
  </si>
  <si>
    <t>Manning</t>
  </si>
  <si>
    <t>Chelsea</t>
  </si>
  <si>
    <t>Buzzfeed</t>
  </si>
  <si>
    <t>secondo</t>
  </si>
  <si>
    <t>ambienti</t>
  </si>
  <si>
    <t>vogliono</t>
  </si>
  <si>
    <t>tua</t>
  </si>
  <si>
    <t>morte</t>
  </si>
  <si>
    <t># text = Come affronti tutto questo?</t>
  </si>
  <si>
    <t>Come</t>
  </si>
  <si>
    <t>affronti</t>
  </si>
  <si>
    <t># text = Come stai affrontando la paura?</t>
  </si>
  <si>
    <t>affrontando</t>
  </si>
  <si>
    <t>paura</t>
  </si>
  <si>
    <t># text = Non è un mistero che ci siano dei governi che vogliono vedermi morto.</t>
  </si>
  <si>
    <t>mistero</t>
  </si>
  <si>
    <t>veder</t>
  </si>
  <si>
    <t>morto</t>
  </si>
  <si>
    <t># text = Ho chiarito più di una volta che ogni giorno vado a dormire pensando a quello che posso fare per il popolo americano.</t>
  </si>
  <si>
    <t>chiarito</t>
  </si>
  <si>
    <t>volta</t>
  </si>
  <si>
    <t>giorno</t>
  </si>
  <si>
    <t>vado</t>
  </si>
  <si>
    <t>dormire</t>
  </si>
  <si>
    <t>pensando</t>
  </si>
  <si>
    <t># text = Io non voglio nuocere al governo del mio Paese.</t>
  </si>
  <si>
    <t># text = Io voglio aiutarlo, ma il fatto che loro siano disposti a ignorare completamente il giusto processo, a dichiarare la colpevolezza senza vedere neanche una prova, queste sono cose alle quali dobbiamo opporci come società e dire: ehi, questo non è giusto.</t>
  </si>
  <si>
    <t>aiutar</t>
  </si>
  <si>
    <t>disposti</t>
  </si>
  <si>
    <t>ignorare</t>
  </si>
  <si>
    <t>completamente</t>
  </si>
  <si>
    <t>giusto</t>
  </si>
  <si>
    <t>processo</t>
  </si>
  <si>
    <t>dichiarare</t>
  </si>
  <si>
    <t>colpevolezza</t>
  </si>
  <si>
    <t>prova</t>
  </si>
  <si>
    <t>opporci</t>
  </si>
  <si>
    <t># text = Non bisognerebbe minacciare i dissidenti.</t>
  </si>
  <si>
    <t>bisognerebbe</t>
  </si>
  <si>
    <t>minacciare</t>
  </si>
  <si>
    <t>dissidenti</t>
  </si>
  <si>
    <t># text = Non si dovrebbe criminalizzare il giornalismo.</t>
  </si>
  <si>
    <t>giornalismo</t>
  </si>
  <si>
    <t># text = E qualunque cosa io debba fare per vedere la fine di questo, sono felice di farla nonostante i rischi.</t>
  </si>
  <si>
    <t>debba</t>
  </si>
  <si>
    <t>felice</t>
  </si>
  <si>
    <t># text = Dunque, mi piacerebbe davvero avere un riscontro dal pubblico in sala, perché so che ci sono reazioni molto diverse a Edward Snowden.</t>
  </si>
  <si>
    <t>piacerebbe</t>
  </si>
  <si>
    <t>davvero</t>
  </si>
  <si>
    <t>riscontro</t>
  </si>
  <si>
    <t>sala</t>
  </si>
  <si>
    <t>reazioni</t>
  </si>
  <si>
    <t># text = Supponiamo di avere a disposizione queste due scelte, giusto?</t>
  </si>
  <si>
    <t>Supponiamo</t>
  </si>
  <si>
    <t>disposizione</t>
  </si>
  <si>
    <t>scelte</t>
  </si>
  <si>
    <t># text = Possiamo pensare che quello che lui ha fatto sia essenzialmente un atto sconsiderato che ha messo in pericolo l'America oppure possiamo vederlo come un atto in sostanza eroico che si volgerà a favore dell'America e del mondo in una prospettiva a lungo termine?</t>
  </si>
  <si>
    <t>Possiamo</t>
  </si>
  <si>
    <t>lui</t>
  </si>
  <si>
    <t>essenzialmente</t>
  </si>
  <si>
    <t>sconsiderato</t>
  </si>
  <si>
    <t>messo</t>
  </si>
  <si>
    <t>pericolo</t>
  </si>
  <si>
    <t>oppure</t>
  </si>
  <si>
    <t>sostanza</t>
  </si>
  <si>
    <t>eroico</t>
  </si>
  <si>
    <t>volgerà</t>
  </si>
  <si>
    <t>favore</t>
  </si>
  <si>
    <t>prospettiva</t>
  </si>
  <si>
    <t>lungo</t>
  </si>
  <si>
    <t>termine</t>
  </si>
  <si>
    <t># text = Queste sono le due scelte che vi do.</t>
  </si>
  <si>
    <t>do</t>
  </si>
  <si>
    <t># text = Sono curioso di vedere chi voterà per la prima ipotesi, che sia stato un atto sconsiderato?</t>
  </si>
  <si>
    <t>curioso</t>
  </si>
  <si>
    <t>voterà</t>
  </si>
  <si>
    <t>ipotesi</t>
  </si>
  <si>
    <t># text = Vedo alzarsi alcune mani.</t>
  </si>
  <si>
    <t>Vedo</t>
  </si>
  <si>
    <t>alzar</t>
  </si>
  <si>
    <t>mani</t>
  </si>
  <si>
    <t># text = Si alzano alcune mani.</t>
  </si>
  <si>
    <t>alzano</t>
  </si>
  <si>
    <t># text = È difficile alzare la mano quando la persona è proprio qui presente, ma le vedo.</t>
  </si>
  <si>
    <t>difficile</t>
  </si>
  <si>
    <t>mano</t>
  </si>
  <si>
    <t>vedo</t>
  </si>
  <si>
    <t># text = Io vi vedo.</t>
  </si>
  <si>
    <t># text = E chi sceglie la seconda ipotesi, che si tratti di un atto in sostanza eroico?</t>
  </si>
  <si>
    <t>sceglie</t>
  </si>
  <si>
    <t>seconda</t>
  </si>
  <si>
    <t>tratti</t>
  </si>
  <si>
    <t># text = (Applausi) (Grida di incoraggiamento) Penso sia giusto dire che ci sono un sacco di persone che non hanno alzato la mano e credo stiano ancora riflettendo su questo, perché mi sembra che il dibattito su di te non si divide lungo le linee politiche tradizionali.</t>
  </si>
  <si>
    <t>Grida</t>
  </si>
  <si>
    <t>incoraggiamento</t>
  </si>
  <si>
    <t>sacco</t>
  </si>
  <si>
    <t>alzato</t>
  </si>
  <si>
    <t>stiano</t>
  </si>
  <si>
    <t>riflettendo</t>
  </si>
  <si>
    <t>sembra</t>
  </si>
  <si>
    <t>divide</t>
  </si>
  <si>
    <t>politiche</t>
  </si>
  <si>
    <t>tradizionali</t>
  </si>
  <si>
    <t># text = Non si tratta di destra o di sinistra, non si tratta di essere filogovernativi o libertari, non è solo questo.</t>
  </si>
  <si>
    <t>destra</t>
  </si>
  <si>
    <t>sinistra</t>
  </si>
  <si>
    <t>filogovernativi</t>
  </si>
  <si>
    <t>libertari</t>
  </si>
  <si>
    <t># text = In parte si tratta quasi di un problema generazionale.</t>
  </si>
  <si>
    <t>quasi</t>
  </si>
  <si>
    <t>problema</t>
  </si>
  <si>
    <t>generazionale</t>
  </si>
  <si>
    <t># text = Tu fai parte di una generazione cresciuta con Internet e sembra quasi che tu ti sia sentito offeso a un livello quasi viscerale quando hai visto che è stato fatto qualcosa che, a tuo parere, può danneggiare Internet.</t>
  </si>
  <si>
    <t>fai</t>
  </si>
  <si>
    <t>generazione</t>
  </si>
  <si>
    <t>cresciuta</t>
  </si>
  <si>
    <t>offeso</t>
  </si>
  <si>
    <t>livello</t>
  </si>
  <si>
    <t>viscerale</t>
  </si>
  <si>
    <t>tuo</t>
  </si>
  <si>
    <t>danneggiare</t>
  </si>
  <si>
    <t># text = C'è qualcosa di vero in questo?</t>
  </si>
  <si>
    <t>C'</t>
  </si>
  <si>
    <t># text = ES: Sì.</t>
  </si>
  <si>
    <t>Sì</t>
  </si>
  <si>
    <t># text = Penso che sia assolutamente vero.</t>
  </si>
  <si>
    <t>assolutamente</t>
  </si>
  <si>
    <t># text = Non è una questione di destra o di sinistra.</t>
  </si>
  <si>
    <t>questione</t>
  </si>
  <si>
    <t># text = Le nostre libertà di base, e quando dico nostre, non intendo solo degli americani, ma dei popoli di tutto il mondo, non è questione di fazioni.</t>
  </si>
  <si>
    <t>fazioni</t>
  </si>
  <si>
    <t># text = Sono cose in cui tutti credono e dipende da tutti noi proteggerle, da tutti quelli che hanno conosciuto e avuto a loro disposizione una rete Internet libera e aperta, sta a noi salvaguardare quella libertà per le prossime generazioni e se non cambiamo le cose, se non scendiamo in campo per fare i cambiamenti necessari per mantenere sicura la Rete, non solo per noi stessi ma per tutti, allora la perderemo, e sarebbe una perdita terribile, non solo per noi, ma per il mondo intero.</t>
  </si>
  <si>
    <t>dipende</t>
  </si>
  <si>
    <t>conosciuto</t>
  </si>
  <si>
    <t>rete</t>
  </si>
  <si>
    <t>salvaguardare</t>
  </si>
  <si>
    <t>prossime</t>
  </si>
  <si>
    <t>generazioni</t>
  </si>
  <si>
    <t>cambiamo</t>
  </si>
  <si>
    <t>scendiamo</t>
  </si>
  <si>
    <t>campo</t>
  </si>
  <si>
    <t>cambiamenti</t>
  </si>
  <si>
    <t>necessari</t>
  </si>
  <si>
    <t>mantenere</t>
  </si>
  <si>
    <t>sicura</t>
  </si>
  <si>
    <t>stessi</t>
  </si>
  <si>
    <t>perderemo</t>
  </si>
  <si>
    <t>perdita</t>
  </si>
  <si>
    <t>intero</t>
  </si>
  <si>
    <t># text = Ho sentito dire cose simili negli ultimi tempi dal fondatore del world wide web, che credo sia qui con noi, Sir Tim Berners-Lee.</t>
  </si>
  <si>
    <t>simili</t>
  </si>
  <si>
    <t>fondatore</t>
  </si>
  <si>
    <t>world</t>
  </si>
  <si>
    <t>wide</t>
  </si>
  <si>
    <t>web</t>
  </si>
  <si>
    <t>Sir</t>
  </si>
  <si>
    <t>Berners</t>
  </si>
  <si>
    <t>Lee</t>
  </si>
  <si>
    <t># text = Anzi, Tim, verresti qui a parlare, abbiamo un microfono per Tim?</t>
  </si>
  <si>
    <t>Anzi</t>
  </si>
  <si>
    <t>verresti</t>
  </si>
  <si>
    <t>microfono</t>
  </si>
  <si>
    <t># text = Tim, che piacere vederti.</t>
  </si>
  <si>
    <t># text = Vieni qui.</t>
  </si>
  <si>
    <t># text = Da che parte stai tu, a proposito, traditore o eroe?</t>
  </si>
  <si>
    <t>Da</t>
  </si>
  <si>
    <t># text = Io ho una mia teoria, ma...</t>
  </si>
  <si>
    <t>teoria</t>
  </si>
  <si>
    <t>ma..</t>
  </si>
  <si>
    <t># text = Tim Berners-Lee:</t>
  </si>
  <si>
    <t>Berners-Lee</t>
  </si>
  <si>
    <t># text = Ho dato risposte molto più lunghe a questa domanda, ma eroe, se devo scegliere tra le due.</t>
  </si>
  <si>
    <t>risposte</t>
  </si>
  <si>
    <t>lunghe</t>
  </si>
  <si>
    <t>devo</t>
  </si>
  <si>
    <t># text = CA: Ed, credo che tu abbia letto la proposta di cui Sir Tim ha parlato, quella di una nuova Magna Carta per la riconquista di Internet.</t>
  </si>
  <si>
    <t>letto</t>
  </si>
  <si>
    <t>proposta</t>
  </si>
  <si>
    <t>parlato</t>
  </si>
  <si>
    <t>nuova</t>
  </si>
  <si>
    <t>Magna</t>
  </si>
  <si>
    <t>Carta</t>
  </si>
  <si>
    <t>riconquista</t>
  </si>
  <si>
    <t># text = La cosa ha senso secondo te?</t>
  </si>
  <si>
    <t>senso</t>
  </si>
  <si>
    <t># text = ES: Assolutamente sì.</t>
  </si>
  <si>
    <t># text = Voglio dire, la mia generazione, io stesso, siamo cresciuti non solo pensando a Internet, ma dentro la Rete, e sebbene non mi sarei mai aspettato di avere occasione di difenderla in maniera tanto diretta e pratica e di impersonarla in questo modo inconsueto, quasi come un avatar, credo ci sia qualcosa di poetico nel fatto che uno dei figli di Internet si sia di fatto avvicinato a Internet come risultato della sua espressione politica.</t>
  </si>
  <si>
    <t>siamo</t>
  </si>
  <si>
    <t>cresciuti</t>
  </si>
  <si>
    <t>dentro</t>
  </si>
  <si>
    <t>sebbene</t>
  </si>
  <si>
    <t>sarei</t>
  </si>
  <si>
    <t>aspettato</t>
  </si>
  <si>
    <t>occasione</t>
  </si>
  <si>
    <t>difender</t>
  </si>
  <si>
    <t>maniera</t>
  </si>
  <si>
    <t>tanto</t>
  </si>
  <si>
    <t>diretta</t>
  </si>
  <si>
    <t>pratica</t>
  </si>
  <si>
    <t>impersonar</t>
  </si>
  <si>
    <t>inconsueto</t>
  </si>
  <si>
    <t>avatar</t>
  </si>
  <si>
    <t>poetico</t>
  </si>
  <si>
    <t>figli</t>
  </si>
  <si>
    <t>avvicinato</t>
  </si>
  <si>
    <t>risultato</t>
  </si>
  <si>
    <t>sua</t>
  </si>
  <si>
    <t>espressione</t>
  </si>
  <si>
    <t>politica</t>
  </si>
  <si>
    <t># text = E credo che una Magna Carta per Internet sia esattamente quello che ci vuole.</t>
  </si>
  <si>
    <t>esattamente</t>
  </si>
  <si>
    <t>vuole</t>
  </si>
  <si>
    <t># text = Abbiamo bisogno di codificare i nostri valori non solo per iscritto, ma nella struttura di Internet, ed è una cosa nella quale spero e invito tutti quelli che ci ascoltano, non solo qui a Vancouver ma in tutto il mondo, ad aderire e a partecipare.</t>
  </si>
  <si>
    <t>codificare</t>
  </si>
  <si>
    <t>valori</t>
  </si>
  <si>
    <t>iscritto</t>
  </si>
  <si>
    <t>struttura</t>
  </si>
  <si>
    <t>invito</t>
  </si>
  <si>
    <t>ascoltano</t>
  </si>
  <si>
    <t>Vancouver</t>
  </si>
  <si>
    <t>aderire</t>
  </si>
  <si>
    <t>partecipare</t>
  </si>
  <si>
    <t># text = Hai una domanda da fare a Ed?</t>
  </si>
  <si>
    <t>Hai</t>
  </si>
  <si>
    <t># text = TBL: Beh, due domande, una domanda di carattere generale - CA: Ed, riesci a sentirci ancora?</t>
  </si>
  <si>
    <t>carattere</t>
  </si>
  <si>
    <t>sentir</t>
  </si>
  <si>
    <t># text = Sì, sì vi sento.</t>
  </si>
  <si>
    <t># text = CA: Oh, è tornato.</t>
  </si>
  <si>
    <t>Oh</t>
  </si>
  <si>
    <t>tornato</t>
  </si>
  <si>
    <t># text = TBL:</t>
  </si>
  <si>
    <t># text = L'intercettazione della tua linea è stata disturbata per un momento.</t>
  </si>
  <si>
    <t>intercettazione</t>
  </si>
  <si>
    <t>disturbata</t>
  </si>
  <si>
    <t># text = Sì, è il problema dell'NSA.</t>
  </si>
  <si>
    <t>NSA.</t>
  </si>
  <si>
    <t># text = TBL: Allora, dopo gli ultimi 25 anni, facendo un passo indietro e fermandosi a riflettere, quale pensi sia stata la cosa migliore da ottenere da tutte le discussioni fatte sul tipo di rete che vorremmo?</t>
  </si>
  <si>
    <t>dopo</t>
  </si>
  <si>
    <t>facendo</t>
  </si>
  <si>
    <t>passo</t>
  </si>
  <si>
    <t>indietro</t>
  </si>
  <si>
    <t>riflettere</t>
  </si>
  <si>
    <t>ottenere</t>
  </si>
  <si>
    <t>discussioni</t>
  </si>
  <si>
    <t>vorremmo</t>
  </si>
  <si>
    <t># text = ED:</t>
  </si>
  <si>
    <t>ED</t>
  </si>
  <si>
    <t># text = Quando pensiamo in termini di dove possiamo arrivare, penso sia una questione il cui unico vero limite è quello che siamo disposti a metterci dentro.</t>
  </si>
  <si>
    <t>pensiamo</t>
  </si>
  <si>
    <t>termini</t>
  </si>
  <si>
    <t>unico</t>
  </si>
  <si>
    <t>limite</t>
  </si>
  <si>
    <t>metter</t>
  </si>
  <si>
    <t># text = Penso che la rete che abbiamo avuto nel passato fosse esattamente ciò di cui avevamo bisogno, non solo come nazione, ma come popolazione mondiale e con la cooperazione, con l'impegno non solo delle parti tecniche della società, ma, come hai detto tu, degli utenti, di tutti quelli che nel mondo contribuiscono attraverso Internet, attraverso i social media, da quelli che controllano solo il meteo, a quelli che invece vi si affidano ogni giorno come parte della loro vita, per proteggerli.</t>
  </si>
  <si>
    <t>avevamo</t>
  </si>
  <si>
    <t>popolazione</t>
  </si>
  <si>
    <t>mondiale</t>
  </si>
  <si>
    <t>cooperazione</t>
  </si>
  <si>
    <t>impegno</t>
  </si>
  <si>
    <t>parti</t>
  </si>
  <si>
    <t>tecniche</t>
  </si>
  <si>
    <t>contribuiscono</t>
  </si>
  <si>
    <t>social</t>
  </si>
  <si>
    <t>media</t>
  </si>
  <si>
    <t>other_11</t>
  </si>
  <si>
    <t>SBJ_13</t>
  </si>
  <si>
    <t>controllano</t>
  </si>
  <si>
    <t>meteo</t>
  </si>
  <si>
    <t>OBJ_13</t>
  </si>
  <si>
    <t>affidano</t>
  </si>
  <si>
    <t>vita</t>
  </si>
  <si>
    <t># text = Non solo avremo l'Internet che abbiamo avuto, ma un Internet migliore, un presente migliore, qualcosa che possiamo usare per costruire un futuro che sarà non solo migliore di quanto potessimo sperare ma da tutto ciò che avremmo potuto immaginare.</t>
  </si>
  <si>
    <t>avremo</t>
  </si>
  <si>
    <t>costruire</t>
  </si>
  <si>
    <t>sarà</t>
  </si>
  <si>
    <t>quanto</t>
  </si>
  <si>
    <t>potessimo</t>
  </si>
  <si>
    <t>avremmo</t>
  </si>
  <si>
    <t>potuto</t>
  </si>
  <si>
    <t>immaginare</t>
  </si>
  <si>
    <t># text = CA: TED è stato fondato 30 anni fa, nel 1984.</t>
  </si>
  <si>
    <t>fondato</t>
  </si>
  <si>
    <t># text = Da allora molte cose sono state dette sulla falsariga del fatto che George Orwell, in realtà si sbagliava.</t>
  </si>
  <si>
    <t>dette</t>
  </si>
  <si>
    <t>falsariga</t>
  </si>
  <si>
    <t>George</t>
  </si>
  <si>
    <t>Orwell</t>
  </si>
  <si>
    <t>sbagliava</t>
  </si>
  <si>
    <t># text = Non è il Grande Fratello che ci guarda.</t>
  </si>
  <si>
    <t>Grande</t>
  </si>
  <si>
    <t>Fratello</t>
  </si>
  <si>
    <t># text = Adesso siamo noi che, attraverso il potere della rete e della trasparenza, guardiamo il Grande Fratello.</t>
  </si>
  <si>
    <t>Adesso</t>
  </si>
  <si>
    <t>potere</t>
  </si>
  <si>
    <t>trasparenza</t>
  </si>
  <si>
    <t>guardiamo</t>
  </si>
  <si>
    <t># text = Le tue rivelazioni in qualche modo hanno colpito al cuore questa visione piuttosto ottimistica, ma tu credi che si possa fare ancora qualcosa in questa direzione.</t>
  </si>
  <si>
    <t>colpito</t>
  </si>
  <si>
    <t>cuore</t>
  </si>
  <si>
    <t>visione</t>
  </si>
  <si>
    <t>ottimistica</t>
  </si>
  <si>
    <t>credi</t>
  </si>
  <si>
    <t># text = E anche tu lo pensi.</t>
  </si>
  <si>
    <t># text = ES: Giusto, si può ipotizzare che i poteri del Grande Fratello siano cresciuti enormemente.</t>
  </si>
  <si>
    <t>Giusto</t>
  </si>
  <si>
    <t>enormemente</t>
  </si>
  <si>
    <t># text = C'è stato un recente articolo giuridico a Yale che ha stabilito un certo principio detto Bankston-Soltani, che dice che la nostra aspettativa di privacy viene violata ogni volta che le capacità di sorveglianza governative diminuiscono di costo di un unità di misura, e, ogni volta che ciò accade, c'è bisogno di rivisitare e riequilibrare il nostro diritto alla privacy.</t>
  </si>
  <si>
    <t>articolo</t>
  </si>
  <si>
    <t>giuridico</t>
  </si>
  <si>
    <t>Yale</t>
  </si>
  <si>
    <t>stabilito</t>
  </si>
  <si>
    <t>certo</t>
  </si>
  <si>
    <t>Bankston</t>
  </si>
  <si>
    <t>Soltani</t>
  </si>
  <si>
    <t>aspettativa</t>
  </si>
  <si>
    <t>violata</t>
  </si>
  <si>
    <t>governative</t>
  </si>
  <si>
    <t>diminuiscono</t>
  </si>
  <si>
    <t>costo</t>
  </si>
  <si>
    <t>unità</t>
  </si>
  <si>
    <t>misura</t>
  </si>
  <si>
    <t>accade</t>
  </si>
  <si>
    <t>rivisitare</t>
  </si>
  <si>
    <t>riequilibrare</t>
  </si>
  <si>
    <t>OBJ_11</t>
  </si>
  <si>
    <t># text = Ora, questo non accade da quando i poteri di sorveglianza governativa sono aumentati di diverse unità di misura, ed ecco perché oggi abbiamo i problemi che abbiamo, ma c'è ancora speranza, perchè anche il potere degli individui è stato accresciuto dalla tecnologia.</t>
  </si>
  <si>
    <t>Ora</t>
  </si>
  <si>
    <t>aumentati</t>
  </si>
  <si>
    <t>ecco</t>
  </si>
  <si>
    <t>speranza</t>
  </si>
  <si>
    <t>perchè</t>
  </si>
  <si>
    <t>accresciuto</t>
  </si>
  <si>
    <t># text = Io sono la prova vivente che un individuo può lottare testa a testa contro il più potente degli avversari e contro le più potenti agenzie di intelligence del mondo e vincere.</t>
  </si>
  <si>
    <t>vivente</t>
  </si>
  <si>
    <t>individuo</t>
  </si>
  <si>
    <t>lottare</t>
  </si>
  <si>
    <t>potente</t>
  </si>
  <si>
    <t>avversari</t>
  </si>
  <si>
    <t>potenti</t>
  </si>
  <si>
    <t>agenzie</t>
  </si>
  <si>
    <t>vincere</t>
  </si>
  <si>
    <t># text = Questa è una cosa che ci dà speranza e che dobbiamo continuare a costruire per renderla accessibile non solo ai tecnici ma ai comuni cittadini di tutto il mondo.</t>
  </si>
  <si>
    <t>dà</t>
  </si>
  <si>
    <t>render</t>
  </si>
  <si>
    <t>accessibile</t>
  </si>
  <si>
    <t>tecnici</t>
  </si>
  <si>
    <t>comuni</t>
  </si>
  <si>
    <t># text = Il giornalismo non è un crimine, la comunicazione non è un crimine, e noi non dovremmo essere controllati nelle nostre attività quotidiane.</t>
  </si>
  <si>
    <t>crimine</t>
  </si>
  <si>
    <t>controllati</t>
  </si>
  <si>
    <t>attività</t>
  </si>
  <si>
    <t>quotidiane</t>
  </si>
  <si>
    <t># text = Non sono sicuro di sapere come si stringe la mano a un bot ma immagino che questa sia la mano.</t>
  </si>
  <si>
    <t>stringe</t>
  </si>
  <si>
    <t>immagino</t>
  </si>
  <si>
    <t># text = Ci arriveremo molto presto.</t>
  </si>
  <si>
    <t>arriveremo</t>
  </si>
  <si>
    <t>presto</t>
  </si>
  <si>
    <t># text = Piacere di conoscerti, e spero che vediate bene il mio fascio di elettroni come io vedo le vostre immagini, ragazzi.</t>
  </si>
  <si>
    <t>Piacere</t>
  </si>
  <si>
    <t>conoscerti</t>
  </si>
  <si>
    <t>vediate</t>
  </si>
  <si>
    <t>fascio</t>
  </si>
  <si>
    <t>elettroni</t>
  </si>
  <si>
    <t>vostre</t>
  </si>
  <si>
    <t>immagini</t>
  </si>
  <si>
    <t>ragazzi</t>
  </si>
  <si>
    <t># text = CA: Grazie, Tim.</t>
  </si>
  <si>
    <t># text = Di recente il New York Times ha chiesto l'amnistia per te.</t>
  </si>
  <si>
    <t>Di</t>
  </si>
  <si>
    <t>New</t>
  </si>
  <si>
    <t>York</t>
  </si>
  <si>
    <t>Times</t>
  </si>
  <si>
    <t>amnistia</t>
  </si>
  <si>
    <t># text = Consideri la possibilità di ritornare in America?</t>
  </si>
  <si>
    <t>Consideri</t>
  </si>
  <si>
    <t>ritornare</t>
  </si>
  <si>
    <t># text = ES: Certamente.</t>
  </si>
  <si>
    <t># text = Non c'è alcun dubbio, i principi alla base di questo progetto sono stati l'interesse pubblico e i principi che sottendono l'istituzione giornalistica negli Stati Uniti e in tutto il mondo, e ritengo che se la stampa ora sostiene questi principi, è una cosa che doveva accadere, è un argomento potente, ma non è l'argomento finale, penso che sia qualcosa che debba decidere il pubblico.</t>
  </si>
  <si>
    <t>principi</t>
  </si>
  <si>
    <t>progetto</t>
  </si>
  <si>
    <t>sottendono</t>
  </si>
  <si>
    <t>istituzione</t>
  </si>
  <si>
    <t>giornalistica</t>
  </si>
  <si>
    <t>ritengo</t>
  </si>
  <si>
    <t>doveva</t>
  </si>
  <si>
    <t>argomento</t>
  </si>
  <si>
    <t>finale</t>
  </si>
  <si>
    <t>decidere</t>
  </si>
  <si>
    <t># text = Ma allo stesso tempo, il governo ha lasciato intendere di volere qualche tipo di accordo, vogliono che io comprometta i giornalisti con i quali ho lavorato, per ritornare, ma io voglio mettere bene in chiaro che io non ho fatto questo per salvarmi.</t>
  </si>
  <si>
    <t>lasciato</t>
  </si>
  <si>
    <t>volere</t>
  </si>
  <si>
    <t>accordo</t>
  </si>
  <si>
    <t>comprometta</t>
  </si>
  <si>
    <t>lavorato</t>
  </si>
  <si>
    <t>chiaro</t>
  </si>
  <si>
    <t>salvarmi</t>
  </si>
  <si>
    <t># text = L'ho fatto perché era la cosa giusta, e non smetterò di fare il mio lavoro nell'interesse pubblico solo per il mio beneficio personale.</t>
  </si>
  <si>
    <t>smetterò</t>
  </si>
  <si>
    <t># text = Nel frattempo, grazie a Internet e alla sua tecnologia, sei di nuovo qui in Nord America, non proprio gli Stati Uniti, in Canada, in questa forma.</t>
  </si>
  <si>
    <t>frattempo</t>
  </si>
  <si>
    <t>sei</t>
  </si>
  <si>
    <t>Nord</t>
  </si>
  <si>
    <t>Canada</t>
  </si>
  <si>
    <t>forma</t>
  </si>
  <si>
    <t># text = Sono curioso, dimmi, cosa si prova?</t>
  </si>
  <si>
    <t>dimmi</t>
  </si>
  <si>
    <t># text = Il Canada è diverso da come me lo aspettavo.</t>
  </si>
  <si>
    <t>diverso</t>
  </si>
  <si>
    <t>aspettavo</t>
  </si>
  <si>
    <t># text = Molto più caldo.</t>
  </si>
  <si>
    <t>Molto</t>
  </si>
  <si>
    <t># text = CA: A TED, la mission è "idee degne di essere diffuse."</t>
  </si>
  <si>
    <t>mission</t>
  </si>
  <si>
    <t>idee</t>
  </si>
  <si>
    <t>degne</t>
  </si>
  <si>
    <t>diffuse</t>
  </si>
  <si>
    <t># text = Se tu potessi racchiuderla in una sola idea, qual è la tua idea degna di essere diffusa qui, proprio in questo momento?</t>
  </si>
  <si>
    <t>potessi</t>
  </si>
  <si>
    <t>racchiuder</t>
  </si>
  <si>
    <t>qual</t>
  </si>
  <si>
    <t>degna</t>
  </si>
  <si>
    <t>diffusa</t>
  </si>
  <si>
    <t># text = Direi che l'anno scorso è stato un monito che la democrazia può morire dietro una porta chiusa, ma come individui noi nasciamo dietro quelle stesse porte chiuse, e non dobbiamo rinunciare alla nostra privacy in cambio di un buon governo.</t>
  </si>
  <si>
    <t>monito</t>
  </si>
  <si>
    <t>democrazia</t>
  </si>
  <si>
    <t>morire</t>
  </si>
  <si>
    <t>porta</t>
  </si>
  <si>
    <t>chiusa</t>
  </si>
  <si>
    <t>nasciamo</t>
  </si>
  <si>
    <t>cambio</t>
  </si>
  <si>
    <t>buon</t>
  </si>
  <si>
    <t># text = Non dobbiamo rinunciare alla nostra libertà per avere la sicurezza.</t>
  </si>
  <si>
    <t># text = Io credo che lavorando insieme possiamo avere entrambi, un governo aperto e una vita privata e non vedo l'ora di lavorare con tutti, in tutto il mondo, per vedere cosa succederà.</t>
  </si>
  <si>
    <t>lavorando</t>
  </si>
  <si>
    <t>aperto</t>
  </si>
  <si>
    <t>privata</t>
  </si>
  <si>
    <t>OBJ_10</t>
  </si>
  <si>
    <t>succederà</t>
  </si>
  <si>
    <t># text = Grazie mille.</t>
  </si>
  <si>
    <t>mille</t>
  </si>
  <si>
    <t># text = Ed, grazie a 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</si>
</sst>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15</v>
      </c>
      <c r="C3" s="6" t="s">
        <v>11</v>
      </c>
      <c r="D3" s="7" t="s">
        <v>16</v>
      </c>
      <c r="E3" s="8" t="s">
        <v>17</v>
      </c>
      <c r="F3" s="6" t="s">
        <v>18</v>
      </c>
      <c r="G3" s="9">
        <f>IF(A3=1,"_",IF(C3="_","???",C3))</f>
        <v/>
      </c>
      <c r="H3" s="10" t="s">
        <v>11</v>
      </c>
      <c r="I3" s="11" t="s">
        <v>11</v>
      </c>
      <c r="J3" s="12"/>
    </row>
    <row r="4" spans="1:10" ht="60" customHeight="1">
      <c r="A4" s="6" t="s">
        <v>19</v>
      </c>
      <c r="B4" s="6" t="s">
        <v>15</v>
      </c>
      <c r="C4" s="6" t="s">
        <v>11</v>
      </c>
      <c r="D4" s="7" t="s">
        <v>20</v>
      </c>
      <c r="E4" s="8" t="s">
        <v>21</v>
      </c>
      <c r="F4" s="6" t="s">
        <v>22</v>
      </c>
      <c r="G4" s="9">
        <f>IF(A4=1,"_",IF(C4="_","???",C4))</f>
        <v/>
      </c>
      <c r="H4" s="10" t="s">
        <v>11</v>
      </c>
      <c r="I4" s="11" t="s">
        <v>11</v>
      </c>
      <c r="J4" s="12"/>
    </row>
    <row r="5" spans="1:10" ht="60" customHeight="1">
      <c r="A5" s="6" t="s">
        <v>23</v>
      </c>
      <c r="B5" s="6" t="s">
        <v>15</v>
      </c>
      <c r="C5" s="6" t="s">
        <v>11</v>
      </c>
      <c r="D5" s="7" t="s">
        <v>24</v>
      </c>
      <c r="E5" s="8" t="s">
        <v>25</v>
      </c>
      <c r="F5" s="6" t="s">
        <v>26</v>
      </c>
      <c r="G5" s="9">
        <f>IF(A5=1,"_",IF(C5="_","???",C5))</f>
        <v/>
      </c>
      <c r="H5" s="10" t="s">
        <v>11</v>
      </c>
      <c r="I5" s="11" t="s">
        <v>11</v>
      </c>
      <c r="J5" s="12"/>
    </row>
    <row r="6" spans="1:10" ht="60" customHeight="1">
      <c r="A6" s="6" t="s">
        <v>27</v>
      </c>
      <c r="B6" s="6" t="s">
        <v>19</v>
      </c>
      <c r="C6" s="6" t="s">
        <v>11</v>
      </c>
      <c r="D6" s="7" t="s">
        <v>28</v>
      </c>
      <c r="E6" s="8" t="s">
        <v>29</v>
      </c>
      <c r="F6" s="6" t="s">
        <v>30</v>
      </c>
      <c r="G6" s="9">
        <f>IF(A6=1,"_",IF(C6="_","???",C6))</f>
        <v/>
      </c>
      <c r="H6" s="10" t="s">
        <v>11</v>
      </c>
      <c r="I6" s="11" t="s">
        <v>11</v>
      </c>
      <c r="J6" s="12"/>
    </row>
    <row r="7" spans="1:10" ht="60" customHeight="1">
      <c r="A7" s="6" t="s">
        <v>31</v>
      </c>
      <c r="B7" s="6" t="s">
        <v>19</v>
      </c>
      <c r="C7" s="6" t="s">
        <v>11</v>
      </c>
      <c r="D7" s="7" t="s">
        <v>32</v>
      </c>
      <c r="E7" s="8" t="s">
        <v>33</v>
      </c>
      <c r="F7" s="6" t="s">
        <v>34</v>
      </c>
      <c r="G7" s="9">
        <f>IF(A7=1,"_",IF(C7="_","???",C7))</f>
        <v/>
      </c>
      <c r="H7" s="10" t="s">
        <v>11</v>
      </c>
      <c r="I7" s="11" t="s">
        <v>11</v>
      </c>
      <c r="J7" s="12"/>
    </row>
    <row r="8" spans="1:10" ht="60" customHeight="1">
      <c r="A8" s="6" t="s">
        <v>35</v>
      </c>
      <c r="B8" s="6" t="s">
        <v>10</v>
      </c>
      <c r="C8" s="6" t="s">
        <v>11</v>
      </c>
      <c r="D8" s="7" t="s">
        <v>36</v>
      </c>
      <c r="E8" s="8" t="s">
        <v>37</v>
      </c>
      <c r="F8" s="6" t="s">
        <v>38</v>
      </c>
      <c r="G8" s="9">
        <f>IF(A8=1,"_",IF(C8="_","???",C8))</f>
        <v/>
      </c>
      <c r="H8" s="10" t="s">
        <v>11</v>
      </c>
      <c r="I8" s="11" t="s">
        <v>11</v>
      </c>
      <c r="J8" s="12"/>
    </row>
    <row r="9" spans="1:10" ht="60" customHeight="1">
      <c r="A9" s="6" t="s">
        <v>39</v>
      </c>
      <c r="B9" s="6" t="s">
        <v>23</v>
      </c>
      <c r="C9" s="6" t="s">
        <v>11</v>
      </c>
      <c r="D9" s="7" t="s">
        <v>32</v>
      </c>
      <c r="E9" s="8" t="s">
        <v>40</v>
      </c>
      <c r="F9" s="6" t="s">
        <v>41</v>
      </c>
      <c r="G9" s="9">
        <f>IF(A9=1,"_",IF(C9="_","???",C9))</f>
        <v/>
      </c>
      <c r="H9" s="10" t="s">
        <v>11</v>
      </c>
      <c r="I9" s="11" t="s">
        <v>11</v>
      </c>
      <c r="J9" s="12"/>
    </row>
    <row r="10" spans="1:10" ht="60" customHeight="1">
      <c r="A10" s="6" t="s">
        <v>42</v>
      </c>
      <c r="B10" s="6" t="s">
        <v>10</v>
      </c>
      <c r="C10" s="6" t="s">
        <v>11</v>
      </c>
      <c r="D10" s="7" t="s">
        <v>43</v>
      </c>
      <c r="E10" s="8" t="s">
        <v>44</v>
      </c>
      <c r="F10" s="6" t="s">
        <v>45</v>
      </c>
      <c r="G10" s="9">
        <f>IF(A10=1,"_",IF(C10="_","???",C10))</f>
        <v/>
      </c>
      <c r="H10" s="10" t="s">
        <v>11</v>
      </c>
      <c r="I10" s="11" t="s">
        <v>11</v>
      </c>
      <c r="J10" s="12"/>
    </row>
    <row r="11" spans="1:10" ht="60" customHeight="1">
      <c r="A11" s="6" t="s">
        <v>46</v>
      </c>
      <c r="B11" s="6" t="s">
        <v>15</v>
      </c>
      <c r="C11" s="6" t="s">
        <v>11</v>
      </c>
      <c r="D11" s="7" t="s">
        <v>47</v>
      </c>
      <c r="E11" s="8" t="s">
        <v>48</v>
      </c>
      <c r="F11" s="6" t="s">
        <v>49</v>
      </c>
      <c r="G11" s="9">
        <f>IF(A11=1,"_",IF(C11="_","???",C11))</f>
        <v/>
      </c>
      <c r="H11" s="10" t="s">
        <v>11</v>
      </c>
      <c r="I11" s="11" t="s">
        <v>11</v>
      </c>
      <c r="J11" s="12"/>
    </row>
    <row r="12" spans="1:10" ht="60" customHeight="1">
      <c r="A12" s="6" t="s">
        <v>50</v>
      </c>
      <c r="B12" s="6" t="s">
        <v>19</v>
      </c>
      <c r="C12" s="6" t="s">
        <v>11</v>
      </c>
      <c r="D12" s="7" t="s">
        <v>51</v>
      </c>
      <c r="E12" s="8" t="s">
        <v>52</v>
      </c>
      <c r="F12" s="6" t="s">
        <v>53</v>
      </c>
      <c r="G12" s="9">
        <f>IF(A12=1,"_",IF(C12="_","???",C12))</f>
        <v/>
      </c>
      <c r="H12" s="10" t="s">
        <v>11</v>
      </c>
      <c r="I12" s="11" t="s">
        <v>11</v>
      </c>
      <c r="J12" s="12"/>
    </row>
    <row r="13" spans="1:10" ht="60" customHeight="1">
      <c r="A13" s="6" t="s">
        <v>54</v>
      </c>
      <c r="B13" s="6" t="s">
        <v>19</v>
      </c>
      <c r="C13" s="6" t="s">
        <v>11</v>
      </c>
      <c r="D13" s="7" t="s">
        <v>55</v>
      </c>
      <c r="E13" s="8" t="s">
        <v>56</v>
      </c>
      <c r="F13" s="6" t="s">
        <v>57</v>
      </c>
      <c r="G13" s="9">
        <f>IF(A13=1,"_",IF(C13="_","???",C13))</f>
        <v/>
      </c>
      <c r="H13" s="10" t="s">
        <v>11</v>
      </c>
      <c r="I13" s="11" t="s">
        <v>11</v>
      </c>
      <c r="J13" s="12"/>
    </row>
    <row r="14" spans="1:10" ht="60" customHeight="1">
      <c r="A14" s="6" t="s">
        <v>58</v>
      </c>
      <c r="B14" s="6" t="s">
        <v>19</v>
      </c>
      <c r="C14" s="6" t="s">
        <v>11</v>
      </c>
      <c r="D14" s="7" t="s">
        <v>59</v>
      </c>
      <c r="E14" s="8" t="s">
        <v>60</v>
      </c>
      <c r="F14" s="6" t="s">
        <v>61</v>
      </c>
      <c r="G14" s="9">
        <f>IF(A14=1,"_",IF(C14="_","???",C14))</f>
        <v/>
      </c>
      <c r="H14" s="10" t="s">
        <v>11</v>
      </c>
      <c r="I14" s="11" t="s">
        <v>11</v>
      </c>
      <c r="J14" s="12"/>
    </row>
    <row r="15" spans="1:10" ht="60" customHeight="1">
      <c r="A15" s="6" t="s">
        <v>62</v>
      </c>
      <c r="B15" s="6" t="s">
        <v>15</v>
      </c>
      <c r="C15" s="6" t="s">
        <v>11</v>
      </c>
      <c r="D15" s="7" t="s">
        <v>63</v>
      </c>
      <c r="E15" s="8" t="s">
        <v>64</v>
      </c>
      <c r="F15" s="6" t="s">
        <v>65</v>
      </c>
      <c r="G15" s="9">
        <f>IF(A15=1,"_",IF(C15="_","???",C15))</f>
        <v/>
      </c>
      <c r="H15" s="10" t="s">
        <v>11</v>
      </c>
      <c r="I15" s="11" t="s">
        <v>11</v>
      </c>
      <c r="J15" s="12"/>
    </row>
    <row r="16" spans="1:10" ht="60" customHeight="1">
      <c r="A16" s="6" t="s">
        <v>66</v>
      </c>
      <c r="B16" s="6" t="s">
        <v>10</v>
      </c>
      <c r="C16" s="6" t="s">
        <v>11</v>
      </c>
      <c r="D16" s="7" t="s">
        <v>67</v>
      </c>
      <c r="E16" s="8" t="s">
        <v>68</v>
      </c>
      <c r="F16" s="6" t="s">
        <v>69</v>
      </c>
      <c r="G16" s="9">
        <f>IF(A16=1,"_",IF(C16="_","???",C16))</f>
        <v/>
      </c>
      <c r="H16" s="10" t="s">
        <v>11</v>
      </c>
      <c r="I16" s="11" t="s">
        <v>11</v>
      </c>
      <c r="J16" s="12"/>
    </row>
    <row r="17" spans="1:10" ht="60" customHeight="1">
      <c r="A17" s="6" t="s">
        <v>70</v>
      </c>
      <c r="B17" s="6" t="s">
        <v>54</v>
      </c>
      <c r="C17" s="6" t="s">
        <v>71</v>
      </c>
      <c r="D17" s="7" t="s">
        <v>72</v>
      </c>
      <c r="E17" s="8" t="s">
        <v>73</v>
      </c>
      <c r="F17" s="6" t="s">
        <v>74</v>
      </c>
      <c r="G17" s="9">
        <f>IF(A17=1,"_",IF(C17="_","???",C17))</f>
        <v/>
      </c>
      <c r="H17" s="10" t="s">
        <v>11</v>
      </c>
      <c r="I17" s="11" t="s">
        <v>11</v>
      </c>
      <c r="J17" s="12"/>
    </row>
    <row r="18" spans="1:10" ht="60" customHeight="1">
      <c r="A18" s="6" t="s">
        <v>75</v>
      </c>
      <c r="B18" s="6" t="s">
        <v>39</v>
      </c>
      <c r="C18" s="6" t="s">
        <v>71</v>
      </c>
      <c r="D18" s="7" t="s">
        <v>76</v>
      </c>
      <c r="E18" s="8" t="s">
        <v>77</v>
      </c>
      <c r="F18" s="6" t="s">
        <v>78</v>
      </c>
      <c r="G18" s="9">
        <f>IF(A18=1,"_",IF(C18="_","???",C18))</f>
        <v/>
      </c>
      <c r="H18" s="10" t="s">
        <v>11</v>
      </c>
      <c r="I18" s="11" t="s">
        <v>11</v>
      </c>
      <c r="J18" s="12"/>
    </row>
    <row r="19" spans="1:10" ht="60" customHeight="1">
      <c r="A19" s="6" t="s">
        <v>79</v>
      </c>
      <c r="B19" s="6" t="s">
        <v>39</v>
      </c>
      <c r="C19" s="6" t="s">
        <v>80</v>
      </c>
      <c r="D19" s="7" t="s">
        <v>81</v>
      </c>
      <c r="E19" s="8" t="s">
        <v>82</v>
      </c>
      <c r="F19" s="6" t="s">
        <v>83</v>
      </c>
      <c r="G19" s="9">
        <f>IF(A19=1,"_",IF(C19="_","???",C19))</f>
        <v/>
      </c>
      <c r="H19" s="10" t="s">
        <v>11</v>
      </c>
      <c r="I19" s="11" t="s">
        <v>11</v>
      </c>
      <c r="J19" s="12"/>
    </row>
    <row r="20" spans="1:10" ht="60" customHeight="1">
      <c r="A20" s="6" t="s">
        <v>84</v>
      </c>
      <c r="B20" s="6" t="s">
        <v>19</v>
      </c>
      <c r="C20" s="6" t="s">
        <v>85</v>
      </c>
      <c r="D20" s="7" t="s">
        <v>86</v>
      </c>
      <c r="E20" s="8" t="s">
        <v>87</v>
      </c>
      <c r="F20" s="6" t="s">
        <v>88</v>
      </c>
      <c r="G20" s="9">
        <f>IF(A20=1,"_",IF(C20="_","???",C20))</f>
        <v/>
      </c>
      <c r="H20" s="10" t="s">
        <v>11</v>
      </c>
      <c r="I20" s="11" t="s">
        <v>11</v>
      </c>
      <c r="J20" s="12"/>
    </row>
    <row r="21" spans="1:10" ht="60" customHeight="1">
      <c r="A21" s="6" t="s">
        <v>89</v>
      </c>
      <c r="B21" s="6" t="s">
        <v>31</v>
      </c>
      <c r="C21" s="6" t="s">
        <v>11</v>
      </c>
      <c r="D21" s="7" t="s">
        <v>90</v>
      </c>
      <c r="E21" s="8" t="s">
        <v>91</v>
      </c>
      <c r="F21" s="6" t="s">
        <v>92</v>
      </c>
      <c r="G21" s="9">
        <f>IF(A21=1,"_",IF(C21="_","???",C21))</f>
        <v/>
      </c>
      <c r="H21" s="10" t="s">
        <v>11</v>
      </c>
      <c r="I21" s="11" t="s">
        <v>11</v>
      </c>
      <c r="J21" s="12"/>
    </row>
    <row r="22" spans="1:10" ht="60" customHeight="1">
      <c r="A22" s="6" t="s">
        <v>93</v>
      </c>
      <c r="B22" s="6" t="s">
        <v>27</v>
      </c>
      <c r="C22" s="6" t="s">
        <v>11</v>
      </c>
      <c r="D22" s="7" t="s">
        <v>94</v>
      </c>
      <c r="E22" s="8" t="s">
        <v>95</v>
      </c>
      <c r="F22" s="6" t="s">
        <v>96</v>
      </c>
      <c r="G22" s="9">
        <f>IF(A22=1,"_",IF(C22="_","???",C22))</f>
        <v/>
      </c>
      <c r="H22" s="10" t="s">
        <v>11</v>
      </c>
      <c r="I22" s="11" t="s">
        <v>11</v>
      </c>
      <c r="J22" s="12"/>
    </row>
    <row r="23" spans="1:10" ht="60" customHeight="1">
      <c r="A23" s="6" t="s">
        <v>97</v>
      </c>
      <c r="B23" s="6" t="s">
        <v>15</v>
      </c>
      <c r="C23" s="6" t="s">
        <v>98</v>
      </c>
      <c r="D23" s="7" t="s">
        <v>99</v>
      </c>
      <c r="E23" s="8" t="s">
        <v>100</v>
      </c>
      <c r="F23" s="6" t="s">
        <v>101</v>
      </c>
      <c r="G23" s="9">
        <f>IF(A23=1,"_",IF(C23="_","???",C23))</f>
        <v/>
      </c>
      <c r="H23" s="10" t="s">
        <v>11</v>
      </c>
      <c r="I23" s="11" t="s">
        <v>11</v>
      </c>
      <c r="J23" s="12"/>
    </row>
    <row r="24" spans="1:10" ht="60" customHeight="1">
      <c r="A24" s="6" t="s">
        <v>102</v>
      </c>
      <c r="B24" s="6" t="s">
        <v>19</v>
      </c>
      <c r="C24" s="6" t="s">
        <v>85</v>
      </c>
      <c r="D24" s="7" t="s">
        <v>103</v>
      </c>
      <c r="E24" s="8" t="s">
        <v>104</v>
      </c>
      <c r="F24" s="6" t="s">
        <v>105</v>
      </c>
      <c r="G24" s="9">
        <f>IF(A24=1,"_",IF(C24="_","???",C24))</f>
        <v/>
      </c>
      <c r="H24" s="10" t="s">
        <v>11</v>
      </c>
      <c r="I24" s="11" t="s">
        <v>11</v>
      </c>
      <c r="J24" s="12"/>
    </row>
    <row r="25" spans="1:10" ht="60" customHeight="1">
      <c r="A25" s="6" t="s">
        <v>106</v>
      </c>
      <c r="B25" s="6" t="s">
        <v>15</v>
      </c>
      <c r="C25" s="6" t="s">
        <v>98</v>
      </c>
      <c r="D25" s="7" t="s">
        <v>107</v>
      </c>
      <c r="E25" s="8" t="s">
        <v>108</v>
      </c>
      <c r="F25" s="6" t="s">
        <v>109</v>
      </c>
      <c r="G25" s="9">
        <f>IF(A25=1,"_",IF(C25="_","???",C25))</f>
        <v/>
      </c>
      <c r="H25" s="10" t="s">
        <v>11</v>
      </c>
      <c r="I25" s="11" t="s">
        <v>11</v>
      </c>
      <c r="J25" s="12"/>
    </row>
    <row r="26" spans="1:10" ht="60" customHeight="1">
      <c r="A26" s="6" t="s">
        <v>110</v>
      </c>
      <c r="B26" s="6" t="s">
        <v>10</v>
      </c>
      <c r="C26" s="6" t="s">
        <v>98</v>
      </c>
      <c r="D26" s="7" t="s">
        <v>111</v>
      </c>
      <c r="E26" s="8" t="s">
        <v>112</v>
      </c>
      <c r="F26" s="6" t="s">
        <v>113</v>
      </c>
      <c r="G26" s="9">
        <f>IF(A26=1,"_",IF(C26="_","???",C26))</f>
        <v/>
      </c>
      <c r="H26" s="10" t="s">
        <v>11</v>
      </c>
      <c r="I26" s="11" t="s">
        <v>11</v>
      </c>
      <c r="J26" s="12"/>
    </row>
    <row r="27" spans="1:10" ht="60" customHeight="1">
      <c r="A27" s="6" t="s">
        <v>114</v>
      </c>
      <c r="B27" s="6" t="s">
        <v>10</v>
      </c>
      <c r="C27" s="6" t="s">
        <v>11</v>
      </c>
      <c r="D27" s="7" t="s">
        <v>115</v>
      </c>
      <c r="E27" s="8" t="s">
        <v>116</v>
      </c>
      <c r="F27" s="6" t="s">
        <v>117</v>
      </c>
      <c r="G27" s="9">
        <f>IF(A27=1,"_",IF(C27="_","???",C27))</f>
        <v/>
      </c>
      <c r="H27" s="10" t="s">
        <v>11</v>
      </c>
      <c r="I27" s="11" t="s">
        <v>11</v>
      </c>
      <c r="J27" s="12"/>
    </row>
    <row r="28" spans="1:10" ht="60" customHeight="1">
      <c r="A28" s="6" t="s">
        <v>118</v>
      </c>
      <c r="B28" s="6" t="s">
        <v>19</v>
      </c>
      <c r="C28" s="6" t="s">
        <v>119</v>
      </c>
      <c r="D28" s="7" t="s">
        <v>120</v>
      </c>
      <c r="E28" s="8" t="s">
        <v>121</v>
      </c>
      <c r="F28" s="6" t="s">
        <v>122</v>
      </c>
      <c r="G28" s="9">
        <f>IF(A28=1,"_",IF(C28="_","???",C28))</f>
        <v/>
      </c>
      <c r="H28" s="10" t="s">
        <v>11</v>
      </c>
      <c r="I28" s="11" t="s">
        <v>11</v>
      </c>
      <c r="J28" s="12"/>
    </row>
    <row r="29" spans="1:10" ht="60" customHeight="1">
      <c r="A29" s="6" t="s">
        <v>123</v>
      </c>
      <c r="B29" s="6" t="s">
        <v>15</v>
      </c>
      <c r="C29" s="6" t="s">
        <v>11</v>
      </c>
      <c r="D29" s="7" t="s">
        <v>124</v>
      </c>
      <c r="E29" s="8" t="s">
        <v>125</v>
      </c>
      <c r="F29" s="6" t="s">
        <v>126</v>
      </c>
      <c r="G29" s="9">
        <f>IF(A29=1,"_",IF(C29="_","???",C29))</f>
        <v/>
      </c>
      <c r="H29" s="10" t="s">
        <v>11</v>
      </c>
      <c r="I29" s="11" t="s">
        <v>11</v>
      </c>
      <c r="J29" s="12"/>
    </row>
    <row r="30" spans="1:10" ht="60" customHeight="1">
      <c r="A30" s="6" t="s">
        <v>127</v>
      </c>
      <c r="B30" s="6" t="s">
        <v>42</v>
      </c>
      <c r="C30" s="6" t="s">
        <v>98</v>
      </c>
      <c r="D30" s="7" t="s">
        <v>128</v>
      </c>
      <c r="E30" s="8" t="s">
        <v>129</v>
      </c>
      <c r="F30" s="6" t="s">
        <v>130</v>
      </c>
      <c r="G30" s="9">
        <f>IF(A30=1,"_",IF(C30="_","???",C30))</f>
        <v/>
      </c>
      <c r="H30" s="10" t="s">
        <v>11</v>
      </c>
      <c r="I30" s="11" t="s">
        <v>11</v>
      </c>
      <c r="J30" s="12"/>
    </row>
    <row r="31" spans="1:10" ht="60" customHeight="1">
      <c r="A31" s="6" t="s">
        <v>131</v>
      </c>
      <c r="B31" s="6" t="s">
        <v>23</v>
      </c>
      <c r="C31" s="6" t="s">
        <v>11</v>
      </c>
      <c r="D31" s="7" t="s">
        <v>132</v>
      </c>
      <c r="E31" s="8" t="s">
        <v>133</v>
      </c>
      <c r="F31" s="6" t="s">
        <v>134</v>
      </c>
      <c r="G31" s="9">
        <f>IF(A31=1,"_",IF(C31="_","???",C31))</f>
        <v/>
      </c>
      <c r="H31" s="10" t="s">
        <v>11</v>
      </c>
      <c r="I31" s="11" t="s">
        <v>11</v>
      </c>
      <c r="J31" s="12"/>
    </row>
    <row r="32" spans="1:10" ht="60" customHeight="1">
      <c r="A32" s="6" t="s">
        <v>135</v>
      </c>
      <c r="B32" s="6" t="s">
        <v>118</v>
      </c>
      <c r="C32" s="6" t="s">
        <v>136</v>
      </c>
      <c r="D32" s="7" t="s">
        <v>137</v>
      </c>
      <c r="E32" s="8" t="s">
        <v>138</v>
      </c>
      <c r="F32" s="6" t="s">
        <v>139</v>
      </c>
      <c r="G32" s="9">
        <f>IF(A32=1,"_",IF(C32="_","???",C32))</f>
        <v/>
      </c>
      <c r="H32" s="10" t="s">
        <v>11</v>
      </c>
      <c r="I32" s="11" t="s">
        <v>11</v>
      </c>
      <c r="J32" s="12"/>
    </row>
    <row r="33" spans="1:10" ht="60" customHeight="1">
      <c r="A33" s="6" t="s">
        <v>140</v>
      </c>
      <c r="B33" s="6" t="s">
        <v>15</v>
      </c>
      <c r="C33" s="6" t="s">
        <v>11</v>
      </c>
      <c r="D33" s="7" t="s">
        <v>141</v>
      </c>
      <c r="E33" s="8" t="s">
        <v>142</v>
      </c>
      <c r="F33" s="6" t="s">
        <v>143</v>
      </c>
      <c r="G33" s="9">
        <f>IF(A33=1,"_",IF(C33="_","???",C33))</f>
        <v/>
      </c>
      <c r="H33" s="10" t="s">
        <v>11</v>
      </c>
      <c r="I33" s="11" t="s">
        <v>11</v>
      </c>
      <c r="J33" s="12"/>
    </row>
    <row r="34" spans="1:10" ht="60" customHeight="1">
      <c r="A34" s="6" t="s">
        <v>144</v>
      </c>
      <c r="B34" s="6" t="s">
        <v>19</v>
      </c>
      <c r="C34" s="6" t="s">
        <v>145</v>
      </c>
      <c r="D34" s="7" t="s">
        <v>146</v>
      </c>
      <c r="E34" s="8" t="s">
        <v>147</v>
      </c>
      <c r="F34" s="6" t="s">
        <v>148</v>
      </c>
      <c r="G34" s="9">
        <f>IF(A34=1,"_",IF(C34="_","???",C34))</f>
        <v/>
      </c>
      <c r="H34" s="10" t="s">
        <v>11</v>
      </c>
      <c r="I34" s="11" t="s">
        <v>11</v>
      </c>
      <c r="J34" s="12"/>
    </row>
    <row r="35" spans="1:10" ht="60" customHeight="1">
      <c r="A35" s="6" t="s">
        <v>149</v>
      </c>
      <c r="B35" s="6" t="s">
        <v>15</v>
      </c>
      <c r="C35" s="6" t="s">
        <v>11</v>
      </c>
      <c r="D35" s="7" t="s">
        <v>146</v>
      </c>
      <c r="E35" s="8" t="s">
        <v>150</v>
      </c>
      <c r="F35" s="6" t="s">
        <v>151</v>
      </c>
      <c r="G35" s="9">
        <f>IF(A35=1,"_",IF(C35="_","???",C35))</f>
        <v/>
      </c>
      <c r="H35" s="10" t="s">
        <v>11</v>
      </c>
      <c r="I35" s="11" t="s">
        <v>11</v>
      </c>
      <c r="J35" s="12"/>
    </row>
    <row r="36" spans="1:10" ht="60" customHeight="1">
      <c r="A36" s="6" t="s">
        <v>152</v>
      </c>
      <c r="B36" s="6" t="s">
        <v>58</v>
      </c>
      <c r="C36" s="6" t="s">
        <v>136</v>
      </c>
      <c r="D36" s="7" t="s">
        <v>153</v>
      </c>
      <c r="E36" s="8" t="s">
        <v>154</v>
      </c>
      <c r="F36" s="6" t="s">
        <v>155</v>
      </c>
      <c r="G36" s="9">
        <f>IF(A36=1,"_",IF(C36="_","???",C36))</f>
        <v/>
      </c>
      <c r="H36" s="10" t="s">
        <v>11</v>
      </c>
      <c r="I36" s="11" t="s">
        <v>11</v>
      </c>
      <c r="J36" s="12"/>
    </row>
    <row r="37" spans="1:10" ht="60" customHeight="1">
      <c r="A37" s="6" t="s">
        <v>156</v>
      </c>
      <c r="B37" s="6" t="s">
        <v>135</v>
      </c>
      <c r="C37" s="6" t="s">
        <v>98</v>
      </c>
      <c r="D37" s="7" t="s">
        <v>146</v>
      </c>
      <c r="E37" s="8" t="s">
        <v>157</v>
      </c>
      <c r="F37" s="6" t="s">
        <v>158</v>
      </c>
      <c r="G37" s="9">
        <f>IF(A37=1,"_",IF(C37="_","???",C37))</f>
        <v/>
      </c>
      <c r="H37" s="10" t="s">
        <v>11</v>
      </c>
      <c r="I37" s="11" t="s">
        <v>11</v>
      </c>
      <c r="J37" s="12"/>
    </row>
    <row r="38" spans="1:10" ht="60" customHeight="1">
      <c r="A38" s="6" t="s">
        <v>159</v>
      </c>
      <c r="B38" s="6" t="s">
        <v>102</v>
      </c>
      <c r="C38" s="6" t="s">
        <v>85</v>
      </c>
      <c r="D38" s="7" t="s">
        <v>146</v>
      </c>
      <c r="E38" s="8" t="s">
        <v>160</v>
      </c>
      <c r="F38" s="6" t="s">
        <v>161</v>
      </c>
      <c r="G38" s="9">
        <f>IF(A38=1,"_",IF(C38="_","???",C38))</f>
        <v/>
      </c>
      <c r="H38" s="10" t="s">
        <v>11</v>
      </c>
      <c r="I38" s="11" t="s">
        <v>11</v>
      </c>
      <c r="J38" s="12"/>
    </row>
    <row r="39" spans="1:10" ht="60" customHeight="1">
      <c r="A39" s="6" t="s">
        <v>162</v>
      </c>
      <c r="B39" s="6" t="s">
        <v>144</v>
      </c>
      <c r="C39" s="6" t="s">
        <v>11</v>
      </c>
      <c r="D39" s="7" t="s">
        <v>51</v>
      </c>
      <c r="E39" s="8" t="s">
        <v>163</v>
      </c>
      <c r="F39" s="6" t="s">
        <v>164</v>
      </c>
      <c r="G39" s="9">
        <f>IF(A39=1,"_",IF(C39="_","???",C39))</f>
        <v/>
      </c>
      <c r="H39" s="10" t="s">
        <v>11</v>
      </c>
      <c r="I39" s="11" t="s">
        <v>11</v>
      </c>
      <c r="J39" s="12"/>
    </row>
    <row r="40" spans="1:10" ht="60" customHeight="1">
      <c r="A40" s="6" t="s">
        <v>165</v>
      </c>
      <c r="B40" s="6" t="s">
        <v>84</v>
      </c>
      <c r="C40" s="6" t="s">
        <v>98</v>
      </c>
      <c r="D40" s="7" t="s">
        <v>166</v>
      </c>
      <c r="E40" s="8" t="s">
        <v>167</v>
      </c>
      <c r="F40" s="6" t="s">
        <v>168</v>
      </c>
      <c r="G40" s="9">
        <f>IF(A40=1,"_",IF(C40="_","???",C40))</f>
        <v/>
      </c>
      <c r="H40" s="10" t="s">
        <v>11</v>
      </c>
      <c r="I40" s="11" t="s">
        <v>11</v>
      </c>
      <c r="J40" s="12"/>
    </row>
    <row r="41" spans="1:10" ht="60" customHeight="1">
      <c r="A41" s="6" t="s">
        <v>169</v>
      </c>
      <c r="B41" s="6" t="s">
        <v>23</v>
      </c>
      <c r="C41" s="6" t="s">
        <v>11</v>
      </c>
      <c r="D41" s="7" t="s">
        <v>146</v>
      </c>
      <c r="E41" s="8" t="s">
        <v>170</v>
      </c>
      <c r="F41" s="6" t="s">
        <v>171</v>
      </c>
      <c r="G41" s="9">
        <f>IF(A41=1,"_",IF(C41="_","???",C41))</f>
        <v/>
      </c>
      <c r="H41" s="10" t="s">
        <v>11</v>
      </c>
      <c r="I41" s="11" t="s">
        <v>11</v>
      </c>
      <c r="J41" s="12"/>
    </row>
    <row r="42" spans="1:10" ht="60" customHeight="1">
      <c r="A42" s="6" t="s">
        <v>172</v>
      </c>
      <c r="B42" s="6" t="s">
        <v>10</v>
      </c>
      <c r="C42" s="6" t="s">
        <v>11</v>
      </c>
      <c r="D42" s="7" t="s">
        <v>115</v>
      </c>
      <c r="E42" s="8" t="s">
        <v>116</v>
      </c>
      <c r="F42" s="6" t="s">
        <v>173</v>
      </c>
      <c r="G42" s="9">
        <f>IF(A42=1,"_",IF(C42="_","???",C42))</f>
        <v/>
      </c>
      <c r="H42" s="10" t="s">
        <v>11</v>
      </c>
      <c r="I42" s="11" t="s">
        <v>11</v>
      </c>
      <c r="J42" s="12"/>
    </row>
    <row r="43" spans="1:10" ht="60" customHeight="1">
      <c r="A43" s="6" t="s">
        <v>174</v>
      </c>
      <c r="B43" s="6" t="s">
        <v>10</v>
      </c>
      <c r="C43" s="6" t="s">
        <v>11</v>
      </c>
      <c r="D43" s="7" t="s">
        <v>175</v>
      </c>
      <c r="E43" s="8" t="s">
        <v>176</v>
      </c>
      <c r="F43" s="6" t="s">
        <v>177</v>
      </c>
      <c r="G43" s="9">
        <f>IF(A43=1,"_",IF(C43="_","???",C43))</f>
        <v/>
      </c>
      <c r="H43" s="10" t="s">
        <v>11</v>
      </c>
      <c r="I43" s="11" t="s">
        <v>11</v>
      </c>
      <c r="J43" s="12"/>
    </row>
    <row r="44" spans="1:10" ht="60" customHeight="1">
      <c r="A44" s="6" t="s">
        <v>178</v>
      </c>
      <c r="B44" s="6" t="s">
        <v>23</v>
      </c>
      <c r="C44" s="6" t="s">
        <v>85</v>
      </c>
      <c r="D44" s="7" t="s">
        <v>137</v>
      </c>
      <c r="E44" s="8" t="s">
        <v>179</v>
      </c>
      <c r="F44" s="6" t="s">
        <v>180</v>
      </c>
      <c r="G44" s="9">
        <f>IF(A44=1,"_",IF(C44="_","???",C44))</f>
        <v/>
      </c>
      <c r="H44" s="10" t="s">
        <v>11</v>
      </c>
      <c r="I44" s="11" t="s">
        <v>11</v>
      </c>
      <c r="J44" s="12"/>
    </row>
    <row r="45" spans="1:10" ht="60" customHeight="1">
      <c r="A45" s="6" t="s">
        <v>181</v>
      </c>
      <c r="B45" s="6" t="s">
        <v>15</v>
      </c>
      <c r="C45" s="6" t="s">
        <v>98</v>
      </c>
      <c r="D45" s="7" t="s">
        <v>182</v>
      </c>
      <c r="E45" s="8" t="s">
        <v>183</v>
      </c>
      <c r="F45" s="6" t="s">
        <v>184</v>
      </c>
      <c r="G45" s="9">
        <f>IF(A45=1,"_",IF(C45="_","???",C45))</f>
        <v/>
      </c>
      <c r="H45" s="10" t="s">
        <v>11</v>
      </c>
      <c r="I45" s="11" t="s">
        <v>11</v>
      </c>
      <c r="J45" s="12"/>
    </row>
    <row r="46" spans="1:10" ht="60" customHeight="1">
      <c r="A46" s="6" t="s">
        <v>185</v>
      </c>
      <c r="B46" s="6" t="s">
        <v>10</v>
      </c>
      <c r="C46" s="6" t="s">
        <v>11</v>
      </c>
      <c r="D46" s="7" t="s">
        <v>67</v>
      </c>
      <c r="E46" s="8" t="s">
        <v>68</v>
      </c>
      <c r="F46" s="6" t="s">
        <v>186</v>
      </c>
      <c r="G46" s="9">
        <f>IF(A46=1,"_",IF(C46="_","???",C46))</f>
        <v/>
      </c>
      <c r="H46" s="10" t="s">
        <v>11</v>
      </c>
      <c r="I46" s="11" t="s">
        <v>11</v>
      </c>
      <c r="J46" s="12"/>
    </row>
    <row r="47" spans="1:10" ht="60" customHeight="1">
      <c r="A47" s="6" t="s">
        <v>187</v>
      </c>
      <c r="B47" s="6" t="s">
        <v>89</v>
      </c>
      <c r="C47" s="6" t="s">
        <v>11</v>
      </c>
      <c r="D47" s="7" t="s">
        <v>111</v>
      </c>
      <c r="E47" s="8" t="s">
        <v>188</v>
      </c>
      <c r="F47" s="6" t="s">
        <v>189</v>
      </c>
      <c r="G47" s="9">
        <f>IF(A47=1,"_",IF(C47="_","???",C47))</f>
        <v/>
      </c>
      <c r="H47" s="10" t="s">
        <v>11</v>
      </c>
      <c r="I47" s="11" t="s">
        <v>11</v>
      </c>
      <c r="J47" s="12"/>
    </row>
    <row r="48" spans="1:10" ht="60" customHeight="1">
      <c r="A48" s="6" t="s">
        <v>190</v>
      </c>
      <c r="B48" s="6" t="s">
        <v>23</v>
      </c>
      <c r="C48" s="6" t="s">
        <v>98</v>
      </c>
      <c r="D48" s="7" t="s">
        <v>191</v>
      </c>
      <c r="E48" s="8" t="s">
        <v>192</v>
      </c>
      <c r="F48" s="6" t="s">
        <v>193</v>
      </c>
      <c r="G48" s="9">
        <f>IF(A48=1,"_",IF(C48="_","???",C48))</f>
        <v/>
      </c>
      <c r="H48" s="10" t="s">
        <v>11</v>
      </c>
      <c r="I48" s="11" t="s">
        <v>11</v>
      </c>
      <c r="J48" s="12"/>
    </row>
    <row r="49" spans="1:10" ht="60" customHeight="1">
      <c r="A49" s="6" t="s">
        <v>194</v>
      </c>
      <c r="B49" s="6" t="s">
        <v>10</v>
      </c>
      <c r="C49" s="6" t="s">
        <v>11</v>
      </c>
      <c r="D49" s="7" t="s">
        <v>195</v>
      </c>
      <c r="E49" s="8" t="s">
        <v>195</v>
      </c>
      <c r="F49" s="6" t="s">
        <v>196</v>
      </c>
      <c r="G49" s="9">
        <f>IF(A49=1,"_",IF(C49="_","???",C49))</f>
        <v/>
      </c>
      <c r="H49" s="10" t="s">
        <v>11</v>
      </c>
      <c r="I49" s="11" t="s">
        <v>11</v>
      </c>
      <c r="J49" s="12"/>
    </row>
    <row r="50" spans="1:10" ht="60" customHeight="1">
      <c r="A50" s="6" t="s">
        <v>197</v>
      </c>
      <c r="B50" s="6" t="s">
        <v>35</v>
      </c>
      <c r="C50" s="6" t="s">
        <v>136</v>
      </c>
      <c r="D50" s="7" t="s">
        <v>198</v>
      </c>
      <c r="E50" s="8" t="s">
        <v>199</v>
      </c>
      <c r="F50" s="6" t="s">
        <v>200</v>
      </c>
      <c r="G50" s="9">
        <f>IF(A50=1,"_",IF(C50="_","???",C50))</f>
        <v/>
      </c>
      <c r="H50" s="10" t="s">
        <v>11</v>
      </c>
      <c r="I50" s="11" t="s">
        <v>11</v>
      </c>
      <c r="J50" s="12"/>
    </row>
    <row r="51" spans="1:10" ht="60" customHeight="1">
      <c r="A51" s="6" t="s">
        <v>201</v>
      </c>
      <c r="B51" s="6" t="s">
        <v>15</v>
      </c>
      <c r="C51" s="6" t="s">
        <v>11</v>
      </c>
      <c r="D51" s="7" t="s">
        <v>202</v>
      </c>
      <c r="E51" s="8" t="s">
        <v>203</v>
      </c>
      <c r="F51" s="6" t="s">
        <v>204</v>
      </c>
      <c r="G51" s="9">
        <f>IF(A51=1,"_",IF(C51="_","???",C51))</f>
        <v/>
      </c>
      <c r="H51" s="10" t="s">
        <v>11</v>
      </c>
      <c r="I51" s="11" t="s">
        <v>11</v>
      </c>
      <c r="J51" s="12"/>
    </row>
    <row r="52" spans="1:10" ht="60" customHeight="1">
      <c r="A52" s="6" t="s">
        <v>205</v>
      </c>
      <c r="B52" s="6" t="s">
        <v>15</v>
      </c>
      <c r="C52" s="6" t="s">
        <v>11</v>
      </c>
      <c r="D52" s="7" t="s">
        <v>206</v>
      </c>
      <c r="E52" s="8" t="s">
        <v>207</v>
      </c>
      <c r="F52" s="6" t="s">
        <v>208</v>
      </c>
      <c r="G52" s="9">
        <f>IF(A52=1,"_",IF(C52="_","???",C52))</f>
        <v/>
      </c>
      <c r="H52" s="10" t="s">
        <v>11</v>
      </c>
      <c r="I52" s="11" t="s">
        <v>11</v>
      </c>
      <c r="J52" s="12"/>
    </row>
    <row r="53" spans="1:10" ht="60" customHeight="1">
      <c r="A53" s="6" t="s">
        <v>209</v>
      </c>
      <c r="B53" s="6" t="s">
        <v>10</v>
      </c>
      <c r="C53" s="6" t="s">
        <v>11</v>
      </c>
      <c r="D53" s="7" t="s">
        <v>210</v>
      </c>
      <c r="E53" s="8" t="s">
        <v>211</v>
      </c>
      <c r="F53" s="6" t="s">
        <v>212</v>
      </c>
      <c r="G53" s="9">
        <f>IF(A53=1,"_",IF(C53="_","???",C53))</f>
        <v/>
      </c>
      <c r="H53" s="10" t="s">
        <v>11</v>
      </c>
      <c r="I53" s="11" t="s">
        <v>11</v>
      </c>
      <c r="J53" s="12"/>
    </row>
    <row r="54" spans="1:10" ht="60" customHeight="1">
      <c r="A54" s="6" t="s">
        <v>213</v>
      </c>
      <c r="B54" s="6" t="s">
        <v>39</v>
      </c>
      <c r="C54" s="6" t="s">
        <v>214</v>
      </c>
      <c r="D54" s="7" t="s">
        <v>215</v>
      </c>
      <c r="E54" s="8" t="s">
        <v>216</v>
      </c>
      <c r="F54" s="6" t="s">
        <v>217</v>
      </c>
      <c r="G54" s="9">
        <f>IF(A54=1,"_",IF(C54="_","???",C54))</f>
        <v/>
      </c>
      <c r="H54" s="10" t="s">
        <v>11</v>
      </c>
      <c r="I54" s="11" t="s">
        <v>11</v>
      </c>
      <c r="J54" s="12"/>
    </row>
    <row r="55" spans="1:10" ht="60" customHeight="1">
      <c r="A55" s="6" t="s">
        <v>218</v>
      </c>
      <c r="B55" s="6" t="s">
        <v>19</v>
      </c>
      <c r="C55" s="6" t="s">
        <v>219</v>
      </c>
      <c r="D55" s="7" t="s">
        <v>220</v>
      </c>
      <c r="E55" s="8" t="s">
        <v>221</v>
      </c>
      <c r="F55" s="6" t="s">
        <v>222</v>
      </c>
      <c r="G55" s="9">
        <f>IF(A55=1,"_",IF(C55="_","???",C55))</f>
        <v/>
      </c>
      <c r="H55" s="10" t="s">
        <v>11</v>
      </c>
      <c r="I55" s="11" t="s">
        <v>11</v>
      </c>
      <c r="J55" s="12"/>
    </row>
    <row r="56" spans="1:10" ht="60" customHeight="1">
      <c r="A56" s="6" t="s">
        <v>223</v>
      </c>
      <c r="B56" s="6" t="s">
        <v>110</v>
      </c>
      <c r="C56" s="6" t="s">
        <v>119</v>
      </c>
      <c r="D56" s="7" t="s">
        <v>146</v>
      </c>
      <c r="E56" s="8" t="s">
        <v>224</v>
      </c>
      <c r="F56" s="6" t="s">
        <v>225</v>
      </c>
      <c r="G56" s="9">
        <f>IF(A56=1,"_",IF(C56="_","???",C56))</f>
        <v/>
      </c>
      <c r="H56" s="10" t="s">
        <v>11</v>
      </c>
      <c r="I56" s="11" t="s">
        <v>11</v>
      </c>
      <c r="J56" s="12"/>
    </row>
    <row r="57" spans="1:10" ht="60" customHeight="1">
      <c r="A57" s="6" t="s">
        <v>226</v>
      </c>
      <c r="B57" s="6" t="s">
        <v>15</v>
      </c>
      <c r="C57" s="6" t="s">
        <v>11</v>
      </c>
      <c r="D57" s="7" t="s">
        <v>146</v>
      </c>
      <c r="E57" s="8" t="s">
        <v>227</v>
      </c>
      <c r="F57" s="6" t="s">
        <v>228</v>
      </c>
      <c r="G57" s="9">
        <f>IF(A57=1,"_",IF(C57="_","???",C57))</f>
        <v/>
      </c>
      <c r="H57" s="10" t="s">
        <v>11</v>
      </c>
      <c r="I57" s="11" t="s">
        <v>11</v>
      </c>
      <c r="J57" s="12"/>
    </row>
    <row r="58" spans="1:10" ht="60" customHeight="1">
      <c r="A58" s="6" t="s">
        <v>229</v>
      </c>
      <c r="B58" s="6" t="s">
        <v>10</v>
      </c>
      <c r="C58" s="6" t="s">
        <v>11</v>
      </c>
      <c r="D58" s="7" t="s">
        <v>115</v>
      </c>
      <c r="E58" s="8" t="s">
        <v>116</v>
      </c>
      <c r="F58" s="6" t="s">
        <v>230</v>
      </c>
      <c r="G58" s="9">
        <f>IF(A58=1,"_",IF(C58="_","???",C58))</f>
        <v/>
      </c>
      <c r="H58" s="10" t="s">
        <v>11</v>
      </c>
      <c r="I58" s="11" t="s">
        <v>11</v>
      </c>
      <c r="J58" s="12"/>
    </row>
    <row r="59" spans="1:10" ht="60" customHeight="1">
      <c r="A59" s="6" t="s">
        <v>231</v>
      </c>
      <c r="B59" s="6" t="s">
        <v>31</v>
      </c>
      <c r="C59" s="6" t="s">
        <v>11</v>
      </c>
      <c r="D59" s="7" t="s">
        <v>232</v>
      </c>
      <c r="E59" s="8" t="s">
        <v>233</v>
      </c>
      <c r="F59" s="6" t="s">
        <v>234</v>
      </c>
      <c r="G59" s="9">
        <f>IF(A59=1,"_",IF(C59="_","???",C59))</f>
        <v/>
      </c>
      <c r="H59" s="10" t="s">
        <v>11</v>
      </c>
      <c r="I59" s="11" t="s">
        <v>11</v>
      </c>
      <c r="J59" s="12"/>
    </row>
    <row r="60" spans="1:10" ht="60" customHeight="1">
      <c r="A60" s="6" t="s">
        <v>235</v>
      </c>
      <c r="B60" s="6" t="s">
        <v>23</v>
      </c>
      <c r="C60" s="6" t="s">
        <v>11</v>
      </c>
      <c r="D60" s="7" t="s">
        <v>236</v>
      </c>
      <c r="E60" s="8" t="s">
        <v>237</v>
      </c>
      <c r="F60" s="6" t="s">
        <v>238</v>
      </c>
      <c r="G60" s="9">
        <f>IF(A60=1,"_",IF(C60="_","???",C60))</f>
        <v/>
      </c>
      <c r="H60" s="10" t="s">
        <v>11</v>
      </c>
      <c r="I60" s="11" t="s">
        <v>11</v>
      </c>
      <c r="J60" s="12"/>
    </row>
    <row r="61" spans="1:10" ht="60" customHeight="1">
      <c r="A61" s="6" t="s">
        <v>239</v>
      </c>
      <c r="B61" s="6" t="s">
        <v>39</v>
      </c>
      <c r="C61" s="6" t="s">
        <v>11</v>
      </c>
      <c r="D61" s="7" t="s">
        <v>240</v>
      </c>
      <c r="E61" s="8" t="s">
        <v>241</v>
      </c>
      <c r="F61" s="6" t="s">
        <v>242</v>
      </c>
      <c r="G61" s="9">
        <f>IF(A61=1,"_",IF(C61="_","???",C61))</f>
        <v/>
      </c>
      <c r="H61" s="10" t="s">
        <v>11</v>
      </c>
      <c r="I61" s="11" t="s">
        <v>11</v>
      </c>
      <c r="J61" s="12"/>
    </row>
    <row r="62" spans="1:10" ht="60" customHeight="1">
      <c r="A62" s="6" t="s">
        <v>243</v>
      </c>
      <c r="B62" s="6" t="s">
        <v>10</v>
      </c>
      <c r="C62" s="6" t="s">
        <v>11</v>
      </c>
      <c r="D62" s="7" t="s">
        <v>67</v>
      </c>
      <c r="E62" s="8" t="s">
        <v>68</v>
      </c>
      <c r="F62" s="6" t="s">
        <v>244</v>
      </c>
      <c r="G62" s="9">
        <f>IF(A62=1,"_",IF(C62="_","???",C62))</f>
        <v/>
      </c>
      <c r="H62" s="10" t="s">
        <v>11</v>
      </c>
      <c r="I62" s="11" t="s">
        <v>11</v>
      </c>
      <c r="J62" s="12"/>
    </row>
    <row r="63" spans="1:10" ht="60" customHeight="1">
      <c r="A63" s="6" t="s">
        <v>245</v>
      </c>
      <c r="B63" s="6" t="s">
        <v>10</v>
      </c>
      <c r="C63" s="6" t="s">
        <v>11</v>
      </c>
      <c r="D63" s="7" t="s">
        <v>246</v>
      </c>
      <c r="E63" s="8" t="s">
        <v>247</v>
      </c>
      <c r="F63" s="6" t="s">
        <v>248</v>
      </c>
      <c r="G63" s="9">
        <f>IF(A63=1,"_",IF(C63="_","???",C63))</f>
        <v/>
      </c>
      <c r="H63" s="10" t="s">
        <v>11</v>
      </c>
      <c r="I63" s="11" t="s">
        <v>11</v>
      </c>
      <c r="J63" s="12"/>
    </row>
    <row r="64" spans="1:10" ht="60" customHeight="1">
      <c r="A64" s="6" t="s">
        <v>249</v>
      </c>
      <c r="B64" s="6" t="s">
        <v>39</v>
      </c>
      <c r="C64" s="6" t="s">
        <v>250</v>
      </c>
      <c r="D64" s="7" t="s">
        <v>251</v>
      </c>
      <c r="E64" s="8" t="s">
        <v>252</v>
      </c>
      <c r="F64" s="6" t="s">
        <v>253</v>
      </c>
      <c r="G64" s="9">
        <f>IF(A64=1,"_",IF(C64="_","???",C64))</f>
        <v/>
      </c>
      <c r="H64" s="10" t="s">
        <v>11</v>
      </c>
      <c r="I64" s="11" t="s">
        <v>11</v>
      </c>
      <c r="J64" s="12"/>
    </row>
    <row r="65" spans="1:10" ht="60" customHeight="1">
      <c r="A65" s="6" t="s">
        <v>254</v>
      </c>
      <c r="B65" s="6" t="s">
        <v>178</v>
      </c>
      <c r="C65" s="6" t="s">
        <v>11</v>
      </c>
      <c r="D65" s="7" t="s">
        <v>255</v>
      </c>
      <c r="E65" s="8" t="s">
        <v>256</v>
      </c>
      <c r="F65" s="6" t="s">
        <v>257</v>
      </c>
      <c r="G65" s="9">
        <f>IF(A65=1,"_",IF(C65="_","???",C65))</f>
        <v/>
      </c>
      <c r="H65" s="10" t="s">
        <v>11</v>
      </c>
      <c r="I65" s="11" t="s">
        <v>11</v>
      </c>
      <c r="J65" s="12"/>
    </row>
    <row r="66" spans="1:10" ht="60" customHeight="1">
      <c r="A66" s="6" t="s">
        <v>258</v>
      </c>
      <c r="B66" s="6" t="s">
        <v>15</v>
      </c>
      <c r="C66" s="6" t="s">
        <v>11</v>
      </c>
      <c r="D66" s="7" t="s">
        <v>259</v>
      </c>
      <c r="E66" s="8" t="s">
        <v>260</v>
      </c>
      <c r="F66" s="6" t="s">
        <v>261</v>
      </c>
      <c r="G66" s="9">
        <f>IF(A66=1,"_",IF(C66="_","???",C66))</f>
        <v/>
      </c>
      <c r="H66" s="10" t="s">
        <v>11</v>
      </c>
      <c r="I66" s="11" t="s">
        <v>11</v>
      </c>
      <c r="J66" s="12"/>
    </row>
    <row r="67" spans="1:10" ht="60" customHeight="1">
      <c r="A67" s="6" t="s">
        <v>262</v>
      </c>
      <c r="B67" s="6" t="s">
        <v>23</v>
      </c>
      <c r="C67" s="6" t="s">
        <v>11</v>
      </c>
      <c r="D67" s="7" t="s">
        <v>263</v>
      </c>
      <c r="E67" s="8" t="s">
        <v>264</v>
      </c>
      <c r="F67" s="6" t="s">
        <v>265</v>
      </c>
      <c r="G67" s="9">
        <f>IF(A67=1,"_",IF(C67="_","???",C67))</f>
        <v/>
      </c>
      <c r="H67" s="10" t="s">
        <v>11</v>
      </c>
      <c r="I67" s="11" t="s">
        <v>11</v>
      </c>
      <c r="J67" s="12"/>
    </row>
    <row r="68" spans="1:10" ht="60" customHeight="1">
      <c r="A68" s="6" t="s">
        <v>266</v>
      </c>
      <c r="B68" s="6" t="s">
        <v>15</v>
      </c>
      <c r="C68" s="6" t="s">
        <v>11</v>
      </c>
      <c r="D68" s="7" t="s">
        <v>267</v>
      </c>
      <c r="E68" s="8" t="s">
        <v>268</v>
      </c>
      <c r="F68" s="6" t="s">
        <v>269</v>
      </c>
      <c r="G68" s="9">
        <f>IF(A68=1,"_",IF(C68="_","???",C68))</f>
        <v/>
      </c>
      <c r="H68" s="10" t="s">
        <v>11</v>
      </c>
      <c r="I68" s="11" t="s">
        <v>11</v>
      </c>
      <c r="J68" s="12"/>
    </row>
    <row r="69" spans="1:10" ht="60" customHeight="1">
      <c r="A69" s="6" t="s">
        <v>270</v>
      </c>
      <c r="B69" s="6" t="s">
        <v>19</v>
      </c>
      <c r="C69" s="6" t="s">
        <v>11</v>
      </c>
      <c r="D69" s="7" t="s">
        <v>271</v>
      </c>
      <c r="E69" s="8" t="s">
        <v>272</v>
      </c>
      <c r="F69" s="6" t="s">
        <v>273</v>
      </c>
      <c r="G69" s="9">
        <f>IF(A69=1,"_",IF(C69="_","???",C69))</f>
        <v/>
      </c>
      <c r="H69" s="10" t="s">
        <v>11</v>
      </c>
      <c r="I69" s="11" t="s">
        <v>11</v>
      </c>
      <c r="J69" s="12"/>
    </row>
    <row r="70" spans="1:10" ht="60" customHeight="1">
      <c r="A70" s="6" t="s">
        <v>274</v>
      </c>
      <c r="B70" s="6" t="s">
        <v>42</v>
      </c>
      <c r="C70" s="6" t="s">
        <v>136</v>
      </c>
      <c r="D70" s="7" t="s">
        <v>275</v>
      </c>
      <c r="E70" s="8" t="s">
        <v>276</v>
      </c>
      <c r="F70" s="6" t="s">
        <v>277</v>
      </c>
      <c r="G70" s="9">
        <f>IF(A70=1,"_",IF(C70="_","???",C70))</f>
        <v/>
      </c>
      <c r="H70" s="10" t="s">
        <v>11</v>
      </c>
      <c r="I70" s="11" t="s">
        <v>11</v>
      </c>
      <c r="J70" s="12"/>
    </row>
    <row r="71" spans="1:10" ht="60" customHeight="1">
      <c r="A71" s="6" t="s">
        <v>278</v>
      </c>
      <c r="B71" s="6" t="s">
        <v>19</v>
      </c>
      <c r="C71" s="6" t="s">
        <v>11</v>
      </c>
      <c r="D71" s="7" t="s">
        <v>279</v>
      </c>
      <c r="E71" s="8" t="s">
        <v>280</v>
      </c>
      <c r="F71" s="6" t="s">
        <v>281</v>
      </c>
      <c r="G71" s="9">
        <f>IF(A71=1,"_",IF(C71="_","???",C71))</f>
        <v/>
      </c>
      <c r="H71" s="10" t="s">
        <v>11</v>
      </c>
      <c r="I71" s="11" t="s">
        <v>11</v>
      </c>
      <c r="J71" s="12"/>
    </row>
    <row r="72" spans="1:10" ht="60" customHeight="1">
      <c r="A72" s="6" t="s">
        <v>282</v>
      </c>
      <c r="B72" s="6" t="s">
        <v>15</v>
      </c>
      <c r="C72" s="6" t="s">
        <v>71</v>
      </c>
      <c r="D72" s="7" t="s">
        <v>283</v>
      </c>
      <c r="E72" s="8" t="s">
        <v>284</v>
      </c>
      <c r="F72" s="6" t="s">
        <v>285</v>
      </c>
      <c r="G72" s="9">
        <f>IF(A72=1,"_",IF(C72="_","???",C72))</f>
        <v/>
      </c>
      <c r="H72" s="10" t="s">
        <v>11</v>
      </c>
      <c r="I72" s="11" t="s">
        <v>11</v>
      </c>
      <c r="J72" s="12"/>
    </row>
    <row r="73" spans="1:10" ht="60" customHeight="1">
      <c r="A73" s="6" t="s">
        <v>286</v>
      </c>
      <c r="B73" s="6" t="s">
        <v>35</v>
      </c>
      <c r="C73" s="6" t="s">
        <v>136</v>
      </c>
      <c r="D73" s="7" t="s">
        <v>287</v>
      </c>
      <c r="E73" s="8" t="s">
        <v>288</v>
      </c>
      <c r="F73" s="6" t="s">
        <v>289</v>
      </c>
      <c r="G73" s="9">
        <f>IF(A73=1,"_",IF(C73="_","???",C73))</f>
        <v/>
      </c>
      <c r="H73" s="10" t="s">
        <v>11</v>
      </c>
      <c r="I73" s="11" t="s">
        <v>11</v>
      </c>
      <c r="J73" s="12"/>
    </row>
    <row r="74" spans="1:10" ht="60" customHeight="1">
      <c r="A74" s="6" t="s">
        <v>290</v>
      </c>
      <c r="B74" s="6" t="s">
        <v>110</v>
      </c>
      <c r="C74" s="6" t="s">
        <v>11</v>
      </c>
      <c r="D74" s="7" t="s">
        <v>291</v>
      </c>
      <c r="E74" s="8" t="s">
        <v>292</v>
      </c>
      <c r="F74" s="6" t="s">
        <v>293</v>
      </c>
      <c r="G74" s="9">
        <f>IF(A74=1,"_",IF(C74="_","???",C74))</f>
        <v/>
      </c>
      <c r="H74" s="10" t="s">
        <v>11</v>
      </c>
      <c r="I74" s="11" t="s">
        <v>11</v>
      </c>
      <c r="J74" s="12"/>
    </row>
    <row r="75" spans="1:10" ht="60" customHeight="1">
      <c r="A75" s="6" t="s">
        <v>294</v>
      </c>
      <c r="B75" s="6" t="s">
        <v>50</v>
      </c>
      <c r="C75" s="6" t="s">
        <v>11</v>
      </c>
      <c r="D75" s="7" t="s">
        <v>295</v>
      </c>
      <c r="E75" s="8" t="s">
        <v>296</v>
      </c>
      <c r="F75" s="6" t="s">
        <v>297</v>
      </c>
      <c r="G75" s="9">
        <f>IF(A75=1,"_",IF(C75="_","???",C75))</f>
        <v/>
      </c>
      <c r="H75" s="10" t="s">
        <v>11</v>
      </c>
      <c r="I75" s="11" t="s">
        <v>11</v>
      </c>
      <c r="J75" s="12"/>
    </row>
    <row r="76" spans="1:10" ht="60" customHeight="1">
      <c r="A76" s="6" t="s">
        <v>298</v>
      </c>
      <c r="B76" s="6" t="s">
        <v>10</v>
      </c>
      <c r="C76" s="6" t="s">
        <v>11</v>
      </c>
      <c r="D76" s="7" t="s">
        <v>115</v>
      </c>
      <c r="E76" s="8" t="s">
        <v>116</v>
      </c>
      <c r="F76" s="6" t="s">
        <v>299</v>
      </c>
      <c r="G76" s="9">
        <f>IF(A76=1,"_",IF(C76="_","???",C76))</f>
        <v/>
      </c>
      <c r="H76" s="10" t="s">
        <v>11</v>
      </c>
      <c r="I76" s="11" t="s">
        <v>11</v>
      </c>
      <c r="J76" s="12"/>
    </row>
    <row r="77" spans="1:10" ht="60" customHeight="1">
      <c r="A77" s="6" t="s">
        <v>300</v>
      </c>
      <c r="B77" s="6" t="s">
        <v>23</v>
      </c>
      <c r="C77" s="6" t="s">
        <v>11</v>
      </c>
      <c r="D77" s="7" t="s">
        <v>141</v>
      </c>
      <c r="E77" s="8" t="s">
        <v>301</v>
      </c>
      <c r="F77" s="6" t="s">
        <v>302</v>
      </c>
      <c r="G77" s="9">
        <f>IF(A77=1,"_",IF(C77="_","???",C77))</f>
        <v/>
      </c>
      <c r="H77" s="10" t="s">
        <v>11</v>
      </c>
      <c r="I77" s="11" t="s">
        <v>11</v>
      </c>
      <c r="J77" s="12"/>
    </row>
    <row r="78" spans="1:10" ht="60" customHeight="1">
      <c r="A78" s="6" t="s">
        <v>303</v>
      </c>
      <c r="B78" s="6" t="s">
        <v>10</v>
      </c>
      <c r="C78" s="6" t="s">
        <v>11</v>
      </c>
      <c r="D78" s="7" t="s">
        <v>67</v>
      </c>
      <c r="E78" s="8" t="s">
        <v>68</v>
      </c>
      <c r="F78" s="6" t="s">
        <v>304</v>
      </c>
      <c r="G78" s="9">
        <f>IF(A78=1,"_",IF(C78="_","???",C78))</f>
        <v/>
      </c>
      <c r="H78" s="10" t="s">
        <v>11</v>
      </c>
      <c r="I78" s="11" t="s">
        <v>11</v>
      </c>
      <c r="J78" s="12"/>
    </row>
    <row r="79" spans="1:10" ht="60" customHeight="1">
      <c r="A79" s="6" t="s">
        <v>305</v>
      </c>
      <c r="B79" s="6" t="s">
        <v>149</v>
      </c>
      <c r="C79" s="6" t="s">
        <v>11</v>
      </c>
      <c r="D79" s="7" t="s">
        <v>306</v>
      </c>
      <c r="E79" s="8" t="s">
        <v>307</v>
      </c>
      <c r="F79" s="6" t="s">
        <v>308</v>
      </c>
      <c r="G79" s="9">
        <f>IF(A79=1,"_",IF(C79="_","???",C79))</f>
        <v/>
      </c>
      <c r="H79" s="10" t="s">
        <v>11</v>
      </c>
      <c r="I79" s="11" t="s">
        <v>11</v>
      </c>
      <c r="J79" s="12"/>
    </row>
    <row r="80" spans="1:10" ht="60" customHeight="1">
      <c r="A80" s="6" t="s">
        <v>309</v>
      </c>
      <c r="B80" s="6" t="s">
        <v>15</v>
      </c>
      <c r="C80" s="6" t="s">
        <v>310</v>
      </c>
      <c r="D80" s="7" t="s">
        <v>311</v>
      </c>
      <c r="E80" s="8" t="s">
        <v>312</v>
      </c>
      <c r="F80" s="6" t="s">
        <v>313</v>
      </c>
      <c r="G80" s="9">
        <f>IF(A80=1,"_",IF(C80="_","???",C80))</f>
        <v/>
      </c>
      <c r="H80" s="10" t="s">
        <v>11</v>
      </c>
      <c r="I80" s="11" t="s">
        <v>11</v>
      </c>
      <c r="J80" s="12"/>
    </row>
    <row r="81" spans="1:10" ht="60" customHeight="1">
      <c r="A81" s="6" t="s">
        <v>314</v>
      </c>
      <c r="B81" s="6" t="s">
        <v>15</v>
      </c>
      <c r="C81" s="6" t="s">
        <v>310</v>
      </c>
      <c r="D81" s="7" t="s">
        <v>51</v>
      </c>
      <c r="E81" s="8" t="s">
        <v>315</v>
      </c>
      <c r="F81" s="6" t="s">
        <v>316</v>
      </c>
      <c r="G81" s="9">
        <f>IF(A81=1,"_",IF(C81="_","???",C81))</f>
        <v/>
      </c>
      <c r="H81" s="10" t="s">
        <v>11</v>
      </c>
      <c r="I81" s="11" t="s">
        <v>11</v>
      </c>
      <c r="J81" s="12"/>
    </row>
    <row r="82" spans="1:10" ht="60" customHeight="1">
      <c r="A82" s="6" t="s">
        <v>317</v>
      </c>
      <c r="B82" s="6" t="s">
        <v>15</v>
      </c>
      <c r="C82" s="6" t="s">
        <v>219</v>
      </c>
      <c r="D82" s="7" t="s">
        <v>318</v>
      </c>
      <c r="E82" s="8" t="s">
        <v>319</v>
      </c>
      <c r="F82" s="6" t="s">
        <v>320</v>
      </c>
      <c r="G82" s="9">
        <f>IF(A82=1,"_",IF(C82="_","???",C82))</f>
        <v/>
      </c>
      <c r="H82" s="10" t="s">
        <v>11</v>
      </c>
      <c r="I82" s="11" t="s">
        <v>11</v>
      </c>
      <c r="J82" s="12"/>
    </row>
    <row r="83" spans="1:10" ht="60" customHeight="1">
      <c r="A83" s="6" t="s">
        <v>321</v>
      </c>
      <c r="B83" s="6" t="s">
        <v>15</v>
      </c>
      <c r="C83" s="6" t="s">
        <v>11</v>
      </c>
      <c r="D83" s="7" t="s">
        <v>43</v>
      </c>
      <c r="E83" s="8" t="s">
        <v>322</v>
      </c>
      <c r="F83" s="6" t="s">
        <v>323</v>
      </c>
      <c r="G83" s="9">
        <f>IF(A83=1,"_",IF(C83="_","???",C83))</f>
        <v/>
      </c>
      <c r="H83" s="10" t="s">
        <v>11</v>
      </c>
      <c r="I83" s="11" t="s">
        <v>11</v>
      </c>
      <c r="J83" s="12"/>
    </row>
    <row r="84" spans="1:10" ht="60" customHeight="1">
      <c r="A84" s="6" t="s">
        <v>324</v>
      </c>
      <c r="B84" s="6" t="s">
        <v>27</v>
      </c>
      <c r="C84" s="6" t="s">
        <v>11</v>
      </c>
      <c r="D84" s="7" t="s">
        <v>325</v>
      </c>
      <c r="E84" s="8" t="s">
        <v>326</v>
      </c>
      <c r="F84" s="6" t="s">
        <v>327</v>
      </c>
      <c r="G84" s="9">
        <f>IF(A84=1,"_",IF(C84="_","???",C84))</f>
        <v/>
      </c>
      <c r="H84" s="10" t="s">
        <v>11</v>
      </c>
      <c r="I84" s="11" t="s">
        <v>11</v>
      </c>
      <c r="J84" s="12"/>
    </row>
    <row r="85" spans="1:10" ht="60" customHeight="1">
      <c r="A85" s="6" t="s">
        <v>328</v>
      </c>
      <c r="B85" s="6" t="s">
        <v>15</v>
      </c>
      <c r="C85" s="6" t="s">
        <v>11</v>
      </c>
      <c r="D85" s="7" t="s">
        <v>329</v>
      </c>
      <c r="E85" s="8" t="s">
        <v>330</v>
      </c>
      <c r="F85" s="6" t="s">
        <v>331</v>
      </c>
      <c r="G85" s="9">
        <f>IF(A85=1,"_",IF(C85="_","???",C85))</f>
        <v/>
      </c>
      <c r="H85" s="10" t="s">
        <v>11</v>
      </c>
      <c r="I85" s="11" t="s">
        <v>11</v>
      </c>
      <c r="J85" s="12"/>
    </row>
    <row r="86" spans="1:10" ht="60" customHeight="1">
      <c r="A86" s="6" t="s">
        <v>332</v>
      </c>
      <c r="B86" s="6" t="s">
        <v>10</v>
      </c>
      <c r="C86" s="6" t="s">
        <v>11</v>
      </c>
      <c r="D86" s="7" t="s">
        <v>115</v>
      </c>
      <c r="E86" s="8" t="s">
        <v>116</v>
      </c>
      <c r="F86" s="6" t="s">
        <v>333</v>
      </c>
      <c r="G86" s="9">
        <f>IF(A86=1,"_",IF(C86="_","???",C86))</f>
        <v/>
      </c>
      <c r="H86" s="10" t="s">
        <v>11</v>
      </c>
      <c r="I86" s="11" t="s">
        <v>11</v>
      </c>
      <c r="J86" s="12"/>
    </row>
    <row r="87" spans="1:10" ht="60" customHeight="1">
      <c r="A87" s="6" t="s">
        <v>334</v>
      </c>
      <c r="B87" s="6" t="s">
        <v>19</v>
      </c>
      <c r="C87" s="6" t="s">
        <v>11</v>
      </c>
      <c r="D87" s="7" t="s">
        <v>335</v>
      </c>
      <c r="E87" s="8" t="s">
        <v>336</v>
      </c>
      <c r="F87" s="6" t="s">
        <v>337</v>
      </c>
      <c r="G87" s="9">
        <f>IF(A87=1,"_",IF(C87="_","???",C87))</f>
        <v/>
      </c>
      <c r="H87" s="10" t="s">
        <v>11</v>
      </c>
      <c r="I87" s="11" t="s">
        <v>11</v>
      </c>
      <c r="J87" s="12"/>
    </row>
    <row r="88" spans="1:10" ht="60" customHeight="1">
      <c r="A88" s="6" t="s">
        <v>338</v>
      </c>
      <c r="B88" s="6" t="s">
        <v>10</v>
      </c>
      <c r="C88" s="6" t="s">
        <v>11</v>
      </c>
      <c r="D88" s="7" t="s">
        <v>339</v>
      </c>
      <c r="E88" s="8" t="s">
        <v>340</v>
      </c>
      <c r="F88" s="6" t="s">
        <v>341</v>
      </c>
      <c r="G88" s="9">
        <f>IF(A88=1,"_",IF(C88="_","???",C88))</f>
        <v/>
      </c>
      <c r="H88" s="10" t="s">
        <v>11</v>
      </c>
      <c r="I88" s="11" t="s">
        <v>11</v>
      </c>
      <c r="J88" s="12"/>
    </row>
    <row r="89" spans="1:10" ht="60" customHeight="1">
      <c r="A89" s="6" t="s">
        <v>342</v>
      </c>
      <c r="B89" s="6" t="s">
        <v>15</v>
      </c>
      <c r="C89" s="6" t="s">
        <v>11</v>
      </c>
      <c r="D89" s="7" t="s">
        <v>210</v>
      </c>
      <c r="E89" s="8" t="s">
        <v>343</v>
      </c>
      <c r="F89" s="6" t="s">
        <v>344</v>
      </c>
      <c r="G89" s="9">
        <f>IF(A89=1,"_",IF(C89="_","???",C89))</f>
        <v/>
      </c>
      <c r="H89" s="10" t="s">
        <v>11</v>
      </c>
      <c r="I89" s="11" t="s">
        <v>11</v>
      </c>
      <c r="J89" s="12"/>
    </row>
    <row r="90" spans="1:10" ht="60" customHeight="1">
      <c r="A90" s="6" t="s">
        <v>345</v>
      </c>
      <c r="B90" s="6" t="s">
        <v>19</v>
      </c>
      <c r="C90" s="6" t="s">
        <v>11</v>
      </c>
      <c r="D90" s="7" t="s">
        <v>146</v>
      </c>
      <c r="E90" s="8" t="s">
        <v>346</v>
      </c>
      <c r="F90" s="6" t="s">
        <v>347</v>
      </c>
      <c r="G90" s="9">
        <f>IF(A90=1,"_",IF(C90="_","???",C90))</f>
        <v/>
      </c>
      <c r="H90" s="10" t="s">
        <v>11</v>
      </c>
      <c r="I90" s="11" t="s">
        <v>11</v>
      </c>
      <c r="J90" s="12"/>
    </row>
    <row r="91" spans="1:10" ht="60" customHeight="1">
      <c r="A91" s="6" t="s">
        <v>348</v>
      </c>
      <c r="B91" s="6" t="s">
        <v>10</v>
      </c>
      <c r="C91" s="6" t="s">
        <v>11</v>
      </c>
      <c r="D91" s="7" t="s">
        <v>67</v>
      </c>
      <c r="E91" s="8" t="s">
        <v>68</v>
      </c>
      <c r="F91" s="6" t="s">
        <v>349</v>
      </c>
      <c r="G91" s="9">
        <f>IF(A91=1,"_",IF(C91="_","???",C91))</f>
        <v/>
      </c>
      <c r="H91" s="10" t="s">
        <v>11</v>
      </c>
      <c r="I91" s="11" t="s">
        <v>11</v>
      </c>
      <c r="J91" s="12"/>
    </row>
    <row r="92" spans="1:10" ht="60" customHeight="1">
      <c r="A92" s="6" t="s">
        <v>350</v>
      </c>
      <c r="B92" s="6" t="s">
        <v>15</v>
      </c>
      <c r="C92" s="6" t="s">
        <v>11</v>
      </c>
      <c r="D92" s="7" t="s">
        <v>20</v>
      </c>
      <c r="E92" s="8" t="s">
        <v>351</v>
      </c>
      <c r="F92" s="6" t="s">
        <v>352</v>
      </c>
      <c r="G92" s="9">
        <f>IF(A92=1,"_",IF(C92="_","???",C92))</f>
        <v/>
      </c>
      <c r="H92" s="10" t="s">
        <v>11</v>
      </c>
      <c r="I92" s="11" t="s">
        <v>11</v>
      </c>
      <c r="J92" s="12"/>
    </row>
    <row r="93" spans="1:10" ht="60" customHeight="1">
      <c r="A93" s="6" t="s">
        <v>353</v>
      </c>
      <c r="B93" s="6" t="s">
        <v>10</v>
      </c>
      <c r="C93" s="6" t="s">
        <v>11</v>
      </c>
      <c r="D93" s="7" t="s">
        <v>354</v>
      </c>
      <c r="E93" s="8" t="s">
        <v>355</v>
      </c>
      <c r="F93" s="6" t="s">
        <v>356</v>
      </c>
      <c r="G93" s="9">
        <f>IF(A93=1,"_",IF(C93="_","???",C93))</f>
        <v/>
      </c>
      <c r="H93" s="10" t="s">
        <v>11</v>
      </c>
      <c r="I93" s="11" t="s">
        <v>11</v>
      </c>
      <c r="J93" s="12"/>
    </row>
    <row r="94" spans="1:10" ht="60" customHeight="1">
      <c r="A94" s="6" t="s">
        <v>357</v>
      </c>
      <c r="B94" s="6" t="s">
        <v>19</v>
      </c>
      <c r="C94" s="6" t="s">
        <v>11</v>
      </c>
      <c r="D94" s="7" t="s">
        <v>210</v>
      </c>
      <c r="E94" s="8" t="s">
        <v>358</v>
      </c>
      <c r="F94" s="6" t="s">
        <v>359</v>
      </c>
      <c r="G94" s="9">
        <f>IF(A94=1,"_",IF(C94="_","???",C94))</f>
        <v/>
      </c>
      <c r="H94" s="10" t="s">
        <v>11</v>
      </c>
      <c r="I94" s="11" t="s">
        <v>11</v>
      </c>
      <c r="J94" s="12"/>
    </row>
    <row r="95" spans="1:10" ht="60" customHeight="1">
      <c r="A95" s="6" t="s">
        <v>360</v>
      </c>
      <c r="B95" s="6" t="s">
        <v>35</v>
      </c>
      <c r="C95" s="6" t="s">
        <v>85</v>
      </c>
      <c r="D95" s="7" t="s">
        <v>361</v>
      </c>
      <c r="E95" s="8" t="s">
        <v>362</v>
      </c>
      <c r="F95" s="6" t="s">
        <v>363</v>
      </c>
      <c r="G95" s="9">
        <f>IF(A95=1,"_",IF(C95="_","???",C95))</f>
        <v/>
      </c>
      <c r="H95" s="10" t="s">
        <v>11</v>
      </c>
      <c r="I95" s="11" t="s">
        <v>11</v>
      </c>
      <c r="J95" s="12"/>
    </row>
    <row r="96" spans="1:10" ht="60" customHeight="1">
      <c r="A96" s="6" t="s">
        <v>364</v>
      </c>
      <c r="B96" s="6" t="s">
        <v>15</v>
      </c>
      <c r="C96" s="6" t="s">
        <v>11</v>
      </c>
      <c r="D96" s="7" t="s">
        <v>365</v>
      </c>
      <c r="E96" s="8" t="s">
        <v>366</v>
      </c>
      <c r="F96" s="6" t="s">
        <v>367</v>
      </c>
      <c r="G96" s="9">
        <f>IF(A96=1,"_",IF(C96="_","???",C96))</f>
        <v/>
      </c>
      <c r="H96" s="10" t="s">
        <v>11</v>
      </c>
      <c r="I96" s="11" t="s">
        <v>11</v>
      </c>
      <c r="J96" s="12"/>
    </row>
    <row r="97" spans="1:10" ht="60" customHeight="1">
      <c r="A97" s="6" t="s">
        <v>368</v>
      </c>
      <c r="B97" s="6" t="s">
        <v>10</v>
      </c>
      <c r="C97" s="6" t="s">
        <v>11</v>
      </c>
      <c r="D97" s="7" t="s">
        <v>111</v>
      </c>
      <c r="E97" s="8" t="s">
        <v>369</v>
      </c>
      <c r="F97" s="6" t="s">
        <v>370</v>
      </c>
      <c r="G97" s="9">
        <f>IF(A97=1,"_",IF(C97="_","???",C97))</f>
        <v/>
      </c>
      <c r="H97" s="10" t="s">
        <v>11</v>
      </c>
      <c r="I97" s="11" t="s">
        <v>11</v>
      </c>
      <c r="J97" s="12"/>
    </row>
    <row r="98" spans="1:10" ht="60" customHeight="1">
      <c r="A98" s="6" t="s">
        <v>371</v>
      </c>
      <c r="B98" s="6" t="s">
        <v>66</v>
      </c>
      <c r="C98" s="6" t="s">
        <v>11</v>
      </c>
      <c r="D98" s="7" t="s">
        <v>372</v>
      </c>
      <c r="E98" s="8" t="s">
        <v>373</v>
      </c>
      <c r="F98" s="6" t="s">
        <v>374</v>
      </c>
      <c r="G98" s="9">
        <f>IF(A98=1,"_",IF(C98="_","???",C98))</f>
        <v/>
      </c>
      <c r="H98" s="10" t="s">
        <v>11</v>
      </c>
      <c r="I98" s="11" t="s">
        <v>11</v>
      </c>
      <c r="J98" s="12"/>
    </row>
    <row r="99" spans="1:10" ht="60" customHeight="1">
      <c r="A99" s="6" t="s">
        <v>375</v>
      </c>
      <c r="B99" s="6" t="s">
        <v>19</v>
      </c>
      <c r="C99" s="6" t="s">
        <v>219</v>
      </c>
      <c r="D99" s="7" t="s">
        <v>376</v>
      </c>
      <c r="E99" s="8" t="s">
        <v>377</v>
      </c>
      <c r="F99" s="6" t="s">
        <v>378</v>
      </c>
      <c r="G99" s="9">
        <f>IF(A99=1,"_",IF(C99="_","???",C99))</f>
        <v/>
      </c>
      <c r="H99" s="10" t="s">
        <v>11</v>
      </c>
      <c r="I99" s="11" t="s">
        <v>11</v>
      </c>
      <c r="J99" s="12"/>
    </row>
    <row r="100" spans="1:10" ht="60" customHeight="1">
      <c r="A100" s="6" t="s">
        <v>379</v>
      </c>
      <c r="B100" s="6" t="s">
        <v>19</v>
      </c>
      <c r="C100" s="6" t="s">
        <v>98</v>
      </c>
      <c r="D100" s="7" t="s">
        <v>51</v>
      </c>
      <c r="E100" s="8" t="s">
        <v>380</v>
      </c>
      <c r="F100" s="6" t="s">
        <v>381</v>
      </c>
      <c r="G100" s="9">
        <f>IF(A100=1,"_",IF(C100="_","???",C100))</f>
        <v/>
      </c>
      <c r="H100" s="10" t="s">
        <v>11</v>
      </c>
      <c r="I100" s="11" t="s">
        <v>11</v>
      </c>
      <c r="J100" s="12"/>
    </row>
    <row r="101" spans="1:10" ht="60" customHeight="1">
      <c r="A101" s="6" t="s">
        <v>382</v>
      </c>
      <c r="B101" s="6" t="s">
        <v>23</v>
      </c>
      <c r="C101" s="6" t="s">
        <v>11</v>
      </c>
      <c r="D101" s="7" t="s">
        <v>111</v>
      </c>
      <c r="E101" s="8" t="s">
        <v>383</v>
      </c>
      <c r="F101" s="6" t="s">
        <v>384</v>
      </c>
      <c r="G101" s="9">
        <f>IF(A101=1,"_",IF(C101="_","???",C101))</f>
        <v/>
      </c>
      <c r="H101" s="10" t="s">
        <v>11</v>
      </c>
      <c r="I101" s="11" t="s">
        <v>11</v>
      </c>
      <c r="J101" s="12"/>
    </row>
    <row r="102" spans="1:10" ht="60" customHeight="1">
      <c r="A102" s="6" t="s">
        <v>385</v>
      </c>
      <c r="B102" s="6" t="s">
        <v>15</v>
      </c>
      <c r="C102" s="6" t="s">
        <v>11</v>
      </c>
      <c r="D102" s="7" t="s">
        <v>386</v>
      </c>
      <c r="E102" s="8" t="s">
        <v>387</v>
      </c>
      <c r="F102" s="6" t="s">
        <v>388</v>
      </c>
      <c r="G102" s="9">
        <f>IF(A102=1,"_",IF(C102="_","???",C102))</f>
        <v/>
      </c>
      <c r="H102" s="10" t="s">
        <v>11</v>
      </c>
      <c r="I102" s="11" t="s">
        <v>11</v>
      </c>
      <c r="J102" s="12"/>
    </row>
    <row r="103" spans="1:10" ht="60" customHeight="1">
      <c r="A103" s="6" t="s">
        <v>389</v>
      </c>
      <c r="B103" s="6" t="s">
        <v>10</v>
      </c>
      <c r="C103" s="6" t="s">
        <v>11</v>
      </c>
      <c r="D103" s="7" t="s">
        <v>115</v>
      </c>
      <c r="E103" s="8" t="s">
        <v>116</v>
      </c>
      <c r="F103" s="6" t="s">
        <v>390</v>
      </c>
      <c r="G103" s="9">
        <f>IF(A103=1,"_",IF(C103="_","???",C103))</f>
        <v/>
      </c>
      <c r="H103" s="10" t="s">
        <v>11</v>
      </c>
      <c r="I103" s="11" t="s">
        <v>11</v>
      </c>
      <c r="J103" s="12"/>
    </row>
    <row r="104" spans="1:10" ht="60" customHeight="1">
      <c r="A104" s="6" t="s">
        <v>391</v>
      </c>
      <c r="B104" s="6" t="s">
        <v>27</v>
      </c>
      <c r="C104" s="6" t="s">
        <v>11</v>
      </c>
      <c r="D104" s="7" t="s">
        <v>146</v>
      </c>
      <c r="E104" s="8" t="s">
        <v>392</v>
      </c>
      <c r="F104" s="6" t="s">
        <v>393</v>
      </c>
      <c r="G104" s="9">
        <f>IF(A104=1,"_",IF(C104="_","???",C104))</f>
        <v/>
      </c>
      <c r="H104" s="10" t="s">
        <v>11</v>
      </c>
      <c r="I104" s="11" t="s">
        <v>11</v>
      </c>
      <c r="J104" s="12"/>
    </row>
    <row r="105" spans="1:10" ht="60" customHeight="1">
      <c r="A105" s="6" t="s">
        <v>394</v>
      </c>
      <c r="B105" s="6" t="s">
        <v>19</v>
      </c>
      <c r="C105" s="6" t="s">
        <v>11</v>
      </c>
      <c r="D105" s="7" t="s">
        <v>111</v>
      </c>
      <c r="E105" s="8" t="s">
        <v>395</v>
      </c>
      <c r="F105" s="6" t="s">
        <v>396</v>
      </c>
      <c r="G105" s="9">
        <f>IF(A105=1,"_",IF(C105="_","???",C105))</f>
        <v/>
      </c>
      <c r="H105" s="10" t="s">
        <v>11</v>
      </c>
      <c r="I105" s="11" t="s">
        <v>11</v>
      </c>
      <c r="J105" s="12"/>
    </row>
    <row r="106" spans="1:10" ht="60" customHeight="1">
      <c r="A106" s="6" t="s">
        <v>397</v>
      </c>
      <c r="B106" s="6" t="s">
        <v>23</v>
      </c>
      <c r="C106" s="6" t="s">
        <v>11</v>
      </c>
      <c r="D106" s="7" t="s">
        <v>398</v>
      </c>
      <c r="E106" s="8" t="s">
        <v>399</v>
      </c>
      <c r="F106" s="6" t="s">
        <v>400</v>
      </c>
      <c r="G106" s="9">
        <f>IF(A106=1,"_",IF(C106="_","???",C106))</f>
        <v/>
      </c>
      <c r="H106" s="10" t="s">
        <v>11</v>
      </c>
      <c r="I106" s="11" t="s">
        <v>11</v>
      </c>
      <c r="J106" s="12"/>
    </row>
    <row r="107" spans="1:10" ht="60" customHeight="1">
      <c r="A107" s="6" t="s">
        <v>401</v>
      </c>
      <c r="B107" s="6" t="s">
        <v>10</v>
      </c>
      <c r="C107" s="6" t="s">
        <v>11</v>
      </c>
      <c r="D107" s="7" t="s">
        <v>67</v>
      </c>
      <c r="E107" s="8" t="s">
        <v>68</v>
      </c>
      <c r="F107" s="6" t="s">
        <v>402</v>
      </c>
      <c r="G107" s="9">
        <f>IF(A107=1,"_",IF(C107="_","???",C107))</f>
        <v/>
      </c>
      <c r="H107" s="10" t="s">
        <v>11</v>
      </c>
      <c r="I107" s="11" t="s">
        <v>11</v>
      </c>
      <c r="J107" s="12"/>
    </row>
    <row r="108" spans="1:10" ht="60" customHeight="1">
      <c r="A108" s="6" t="s">
        <v>403</v>
      </c>
      <c r="B108" s="6" t="s">
        <v>23</v>
      </c>
      <c r="C108" s="6" t="s">
        <v>11</v>
      </c>
      <c r="D108" s="7" t="s">
        <v>404</v>
      </c>
      <c r="E108" s="8" t="s">
        <v>405</v>
      </c>
      <c r="F108" s="6" t="s">
        <v>406</v>
      </c>
      <c r="G108" s="9">
        <f>IF(A108=1,"_",IF(C108="_","???",C108))</f>
        <v/>
      </c>
      <c r="H108" s="10" t="s">
        <v>11</v>
      </c>
      <c r="I108" s="11" t="s">
        <v>11</v>
      </c>
      <c r="J108" s="12"/>
    </row>
    <row r="109" spans="1:10" ht="60" customHeight="1">
      <c r="A109" s="6" t="s">
        <v>407</v>
      </c>
      <c r="B109" s="6" t="s">
        <v>131</v>
      </c>
      <c r="C109" s="6" t="s">
        <v>71</v>
      </c>
      <c r="D109" s="7" t="s">
        <v>146</v>
      </c>
      <c r="E109" s="8" t="s">
        <v>408</v>
      </c>
      <c r="F109" s="6" t="s">
        <v>409</v>
      </c>
      <c r="G109" s="9">
        <f>IF(A109=1,"_",IF(C109="_","???",C109))</f>
        <v/>
      </c>
      <c r="H109" s="10" t="s">
        <v>11</v>
      </c>
      <c r="I109" s="11" t="s">
        <v>11</v>
      </c>
      <c r="J109" s="12"/>
    </row>
    <row r="110" spans="1:10" ht="60" customHeight="1">
      <c r="A110" s="6" t="s">
        <v>410</v>
      </c>
      <c r="B110" s="6" t="s">
        <v>35</v>
      </c>
      <c r="C110" s="6" t="s">
        <v>119</v>
      </c>
      <c r="D110" s="7" t="s">
        <v>411</v>
      </c>
      <c r="E110" s="8" t="s">
        <v>412</v>
      </c>
      <c r="F110" s="6" t="s">
        <v>413</v>
      </c>
      <c r="G110" s="9">
        <f>IF(A110=1,"_",IF(C110="_","???",C110))</f>
        <v/>
      </c>
      <c r="H110" s="10" t="s">
        <v>11</v>
      </c>
      <c r="I110" s="11" t="s">
        <v>11</v>
      </c>
      <c r="J110" s="12"/>
    </row>
    <row r="111" spans="1:10" ht="60" customHeight="1">
      <c r="A111" s="6" t="s">
        <v>414</v>
      </c>
      <c r="B111" s="6" t="s">
        <v>39</v>
      </c>
      <c r="C111" s="6" t="s">
        <v>219</v>
      </c>
      <c r="D111" s="7" t="s">
        <v>146</v>
      </c>
      <c r="E111" s="8" t="s">
        <v>415</v>
      </c>
      <c r="F111" s="6" t="s">
        <v>416</v>
      </c>
      <c r="G111" s="9">
        <f>IF(A111=1,"_",IF(C111="_","???",C111))</f>
        <v/>
      </c>
      <c r="H111" s="10" t="s">
        <v>11</v>
      </c>
      <c r="I111" s="11" t="s">
        <v>11</v>
      </c>
      <c r="J111" s="12"/>
    </row>
    <row r="112" spans="1:10" ht="60" customHeight="1">
      <c r="A112" s="6" t="s">
        <v>417</v>
      </c>
      <c r="B112" s="6" t="s">
        <v>89</v>
      </c>
      <c r="C112" s="6" t="s">
        <v>418</v>
      </c>
      <c r="D112" s="7" t="s">
        <v>419</v>
      </c>
      <c r="E112" s="8" t="s">
        <v>420</v>
      </c>
      <c r="F112" s="6" t="s">
        <v>421</v>
      </c>
      <c r="G112" s="9">
        <f>IF(A112=1,"_",IF(C112="_","???",C112))</f>
        <v/>
      </c>
      <c r="H112" s="10" t="s">
        <v>11</v>
      </c>
      <c r="I112" s="11" t="s">
        <v>11</v>
      </c>
      <c r="J112" s="12"/>
    </row>
    <row r="113" spans="1:10" ht="60" customHeight="1">
      <c r="A113" s="6" t="s">
        <v>422</v>
      </c>
      <c r="B113" s="6" t="s">
        <v>19</v>
      </c>
      <c r="C113" s="6" t="s">
        <v>11</v>
      </c>
      <c r="D113" s="7" t="s">
        <v>111</v>
      </c>
      <c r="E113" s="8" t="s">
        <v>423</v>
      </c>
      <c r="F113" s="6" t="s">
        <v>424</v>
      </c>
      <c r="G113" s="9">
        <f>IF(A113=1,"_",IF(C113="_","???",C113))</f>
        <v/>
      </c>
      <c r="H113" s="10" t="s">
        <v>11</v>
      </c>
      <c r="I113" s="11" t="s">
        <v>11</v>
      </c>
      <c r="J113" s="12"/>
    </row>
    <row r="114" spans="1:10" ht="60" customHeight="1">
      <c r="A114" s="6" t="s">
        <v>425</v>
      </c>
      <c r="B114" s="6" t="s">
        <v>10</v>
      </c>
      <c r="C114" s="6" t="s">
        <v>11</v>
      </c>
      <c r="D114" s="7" t="s">
        <v>115</v>
      </c>
      <c r="E114" s="8" t="s">
        <v>116</v>
      </c>
      <c r="F114" s="6" t="s">
        <v>426</v>
      </c>
      <c r="G114" s="9">
        <f>IF(A114=1,"_",IF(C114="_","???",C114))</f>
        <v/>
      </c>
      <c r="H114" s="10" t="s">
        <v>11</v>
      </c>
      <c r="I114" s="11" t="s">
        <v>11</v>
      </c>
      <c r="J114" s="12"/>
    </row>
    <row r="115" spans="1:10" ht="60" customHeight="1">
      <c r="A115" s="6" t="s">
        <v>427</v>
      </c>
      <c r="B115" s="6" t="s">
        <v>46</v>
      </c>
      <c r="C115" s="6" t="s">
        <v>310</v>
      </c>
      <c r="D115" s="7" t="s">
        <v>146</v>
      </c>
      <c r="E115" s="8" t="s">
        <v>428</v>
      </c>
      <c r="F115" s="6" t="s">
        <v>429</v>
      </c>
      <c r="G115" s="9">
        <f>IF(A115=1,"_",IF(C115="_","???",C115))</f>
        <v/>
      </c>
      <c r="H115" s="10" t="s">
        <v>11</v>
      </c>
      <c r="I115" s="11" t="s">
        <v>11</v>
      </c>
      <c r="J115" s="12"/>
    </row>
    <row r="116" spans="1:10" ht="60" customHeight="1">
      <c r="A116" s="6" t="s">
        <v>430</v>
      </c>
      <c r="B116" s="6" t="s">
        <v>10</v>
      </c>
      <c r="C116" s="6" t="s">
        <v>11</v>
      </c>
      <c r="D116" s="7" t="s">
        <v>431</v>
      </c>
      <c r="E116" s="8" t="s">
        <v>432</v>
      </c>
      <c r="F116" s="6" t="s">
        <v>433</v>
      </c>
      <c r="G116" s="9">
        <f>IF(A116=1,"_",IF(C116="_","???",C116))</f>
        <v/>
      </c>
      <c r="H116" s="10" t="s">
        <v>11</v>
      </c>
      <c r="I116" s="11" t="s">
        <v>11</v>
      </c>
      <c r="J116" s="12"/>
    </row>
    <row r="117" spans="1:10" ht="60" customHeight="1">
      <c r="A117" s="6" t="s">
        <v>434</v>
      </c>
      <c r="B117" s="6" t="s">
        <v>19</v>
      </c>
      <c r="C117" s="6" t="s">
        <v>11</v>
      </c>
      <c r="D117" s="7" t="s">
        <v>146</v>
      </c>
      <c r="E117" s="8" t="s">
        <v>435</v>
      </c>
      <c r="F117" s="6" t="s">
        <v>436</v>
      </c>
      <c r="G117" s="9">
        <f>IF(A117=1,"_",IF(C117="_","???",C117))</f>
        <v/>
      </c>
      <c r="H117" s="10" t="s">
        <v>11</v>
      </c>
      <c r="I117" s="11" t="s">
        <v>11</v>
      </c>
      <c r="J117" s="12"/>
    </row>
    <row r="118" spans="1:10" ht="60" customHeight="1">
      <c r="A118" s="6" t="s">
        <v>437</v>
      </c>
      <c r="B118" s="6" t="s">
        <v>42</v>
      </c>
      <c r="C118" s="6" t="s">
        <v>11</v>
      </c>
      <c r="D118" s="7" t="s">
        <v>438</v>
      </c>
      <c r="E118" s="8" t="s">
        <v>439</v>
      </c>
      <c r="F118" s="6" t="s">
        <v>440</v>
      </c>
      <c r="G118" s="9">
        <f>IF(A118=1,"_",IF(C118="_","???",C118))</f>
        <v/>
      </c>
      <c r="H118" s="10" t="s">
        <v>11</v>
      </c>
      <c r="I118" s="11" t="s">
        <v>11</v>
      </c>
      <c r="J118" s="12"/>
    </row>
    <row r="119" spans="1:10" ht="60" customHeight="1">
      <c r="A119" s="6" t="s">
        <v>441</v>
      </c>
      <c r="B119" s="6" t="s">
        <v>10</v>
      </c>
      <c r="C119" s="6" t="s">
        <v>442</v>
      </c>
      <c r="D119" s="7" t="s">
        <v>146</v>
      </c>
      <c r="E119" s="8" t="s">
        <v>443</v>
      </c>
      <c r="F119" s="6" t="s">
        <v>444</v>
      </c>
      <c r="G119" s="9">
        <f>IF(A119=1,"_",IF(C119="_","???",C119))</f>
        <v/>
      </c>
      <c r="H119" s="10" t="s">
        <v>11</v>
      </c>
      <c r="I119" s="11" t="s">
        <v>11</v>
      </c>
      <c r="J119" s="12"/>
    </row>
    <row r="120" spans="1:10" ht="60" customHeight="1">
      <c r="A120" s="6" t="s">
        <v>445</v>
      </c>
      <c r="B120" s="6" t="s">
        <v>23</v>
      </c>
      <c r="C120" s="6" t="s">
        <v>310</v>
      </c>
      <c r="D120" s="7" t="s">
        <v>51</v>
      </c>
      <c r="E120" s="8" t="s">
        <v>446</v>
      </c>
      <c r="F120" s="6" t="s">
        <v>447</v>
      </c>
      <c r="G120" s="9">
        <f>IF(A120=1,"_",IF(C120="_","???",C120))</f>
        <v/>
      </c>
      <c r="H120" s="10" t="s">
        <v>11</v>
      </c>
      <c r="I120" s="11" t="s">
        <v>11</v>
      </c>
      <c r="J120" s="12"/>
    </row>
    <row r="121" spans="1:10" ht="60" customHeight="1">
      <c r="A121" s="6" t="s">
        <v>448</v>
      </c>
      <c r="B121" s="6" t="s">
        <v>23</v>
      </c>
      <c r="C121" s="6" t="s">
        <v>449</v>
      </c>
      <c r="D121" s="7" t="s">
        <v>141</v>
      </c>
      <c r="E121" s="8" t="s">
        <v>450</v>
      </c>
      <c r="F121" s="6" t="s">
        <v>451</v>
      </c>
      <c r="G121" s="9">
        <f>IF(A121=1,"_",IF(C121="_","???",C121))</f>
        <v/>
      </c>
      <c r="H121" s="10" t="s">
        <v>11</v>
      </c>
      <c r="I121" s="11" t="s">
        <v>11</v>
      </c>
      <c r="J121" s="12"/>
    </row>
    <row r="122" spans="1:10" ht="60" customHeight="1">
      <c r="A122" s="6" t="s">
        <v>452</v>
      </c>
      <c r="B122" s="6" t="s">
        <v>27</v>
      </c>
      <c r="C122" s="6" t="s">
        <v>98</v>
      </c>
      <c r="D122" s="7" t="s">
        <v>453</v>
      </c>
      <c r="E122" s="8" t="s">
        <v>454</v>
      </c>
      <c r="F122" s="6" t="s">
        <v>455</v>
      </c>
      <c r="G122" s="9">
        <f>IF(A122=1,"_",IF(C122="_","???",C122))</f>
        <v/>
      </c>
      <c r="H122" s="10" t="s">
        <v>11</v>
      </c>
      <c r="I122" s="11" t="s">
        <v>11</v>
      </c>
      <c r="J122" s="12"/>
    </row>
    <row r="123" spans="1:10" ht="60" customHeight="1">
      <c r="A123" s="6" t="s">
        <v>456</v>
      </c>
      <c r="B123" s="6" t="s">
        <v>15</v>
      </c>
      <c r="C123" s="6" t="s">
        <v>11</v>
      </c>
      <c r="D123" s="7" t="s">
        <v>51</v>
      </c>
      <c r="E123" s="8" t="s">
        <v>457</v>
      </c>
      <c r="F123" s="6" t="s">
        <v>458</v>
      </c>
      <c r="G123" s="9">
        <f>IF(A123=1,"_",IF(C123="_","???",C123))</f>
        <v/>
      </c>
      <c r="H123" s="10" t="s">
        <v>11</v>
      </c>
      <c r="I123" s="11" t="s">
        <v>11</v>
      </c>
      <c r="J123" s="12"/>
    </row>
    <row r="124" spans="1:10" ht="60" customHeight="1">
      <c r="A124" s="6" t="s">
        <v>459</v>
      </c>
      <c r="B124" s="6" t="s">
        <v>162</v>
      </c>
      <c r="C124" s="6" t="s">
        <v>11</v>
      </c>
      <c r="D124" s="7" t="s">
        <v>460</v>
      </c>
      <c r="E124" s="8" t="s">
        <v>461</v>
      </c>
      <c r="F124" s="6" t="s">
        <v>462</v>
      </c>
      <c r="G124" s="9">
        <f>IF(A124=1,"_",IF(C124="_","???",C124))</f>
        <v/>
      </c>
      <c r="H124" s="10" t="s">
        <v>11</v>
      </c>
      <c r="I124" s="11" t="s">
        <v>11</v>
      </c>
      <c r="J124" s="12"/>
    </row>
    <row r="125" spans="1:10" ht="60" customHeight="1">
      <c r="A125" s="6" t="s">
        <v>463</v>
      </c>
      <c r="B125" s="6" t="s">
        <v>10</v>
      </c>
      <c r="C125" s="6" t="s">
        <v>11</v>
      </c>
      <c r="D125" s="7" t="s">
        <v>115</v>
      </c>
      <c r="E125" s="8" t="s">
        <v>116</v>
      </c>
      <c r="F125" s="6" t="s">
        <v>464</v>
      </c>
      <c r="G125" s="9">
        <f>IF(A125=1,"_",IF(C125="_","???",C125))</f>
        <v/>
      </c>
      <c r="H125" s="10" t="s">
        <v>11</v>
      </c>
      <c r="I125" s="11" t="s">
        <v>11</v>
      </c>
      <c r="J125" s="12"/>
    </row>
    <row r="126" spans="1:10" ht="60" customHeight="1">
      <c r="A126" s="6" t="s">
        <v>465</v>
      </c>
      <c r="B126" s="6" t="s">
        <v>19</v>
      </c>
      <c r="C126" s="6" t="s">
        <v>119</v>
      </c>
      <c r="D126" s="7" t="s">
        <v>466</v>
      </c>
      <c r="E126" s="8" t="s">
        <v>467</v>
      </c>
      <c r="F126" s="6" t="s">
        <v>468</v>
      </c>
      <c r="G126" s="9">
        <f>IF(A126=1,"_",IF(C126="_","???",C126))</f>
        <v/>
      </c>
      <c r="H126" s="10" t="s">
        <v>11</v>
      </c>
      <c r="I126" s="11" t="s">
        <v>11</v>
      </c>
      <c r="J126" s="12"/>
    </row>
    <row r="127" spans="1:10" ht="60" customHeight="1">
      <c r="A127" s="6" t="s">
        <v>469</v>
      </c>
      <c r="B127" s="6" t="s">
        <v>15</v>
      </c>
      <c r="C127" s="6" t="s">
        <v>11</v>
      </c>
      <c r="D127" s="7" t="s">
        <v>470</v>
      </c>
      <c r="E127" s="8" t="s">
        <v>471</v>
      </c>
      <c r="F127" s="6" t="s">
        <v>472</v>
      </c>
      <c r="G127" s="9">
        <f>IF(A127=1,"_",IF(C127="_","???",C127))</f>
        <v/>
      </c>
      <c r="H127" s="10" t="s">
        <v>11</v>
      </c>
      <c r="I127" s="11" t="s">
        <v>11</v>
      </c>
      <c r="J127" s="12"/>
    </row>
    <row r="128" spans="1:10" ht="60" customHeight="1">
      <c r="A128" s="6" t="s">
        <v>473</v>
      </c>
      <c r="B128" s="6" t="s">
        <v>15</v>
      </c>
      <c r="C128" s="6" t="s">
        <v>11</v>
      </c>
      <c r="D128" s="7" t="s">
        <v>153</v>
      </c>
      <c r="E128" s="8" t="s">
        <v>474</v>
      </c>
      <c r="F128" s="6" t="s">
        <v>475</v>
      </c>
      <c r="G128" s="9">
        <f>IF(A128=1,"_",IF(C128="_","???",C128))</f>
        <v/>
      </c>
      <c r="H128" s="10" t="s">
        <v>11</v>
      </c>
      <c r="I128" s="11" t="s">
        <v>11</v>
      </c>
      <c r="J128" s="12"/>
    </row>
    <row r="129" spans="1:10" ht="60" customHeight="1">
      <c r="A129" s="6" t="s">
        <v>476</v>
      </c>
      <c r="B129" s="6" t="s">
        <v>19</v>
      </c>
      <c r="C129" s="6" t="s">
        <v>11</v>
      </c>
      <c r="D129" s="7" t="s">
        <v>111</v>
      </c>
      <c r="E129" s="8" t="s">
        <v>477</v>
      </c>
      <c r="F129" s="6" t="s">
        <v>478</v>
      </c>
      <c r="G129" s="9">
        <f>IF(A129=1,"_",IF(C129="_","???",C129))</f>
        <v/>
      </c>
      <c r="H129" s="10" t="s">
        <v>11</v>
      </c>
      <c r="I129" s="11" t="s">
        <v>11</v>
      </c>
      <c r="J129" s="12"/>
    </row>
    <row r="130" spans="1:10" ht="60" customHeight="1">
      <c r="A130" s="6" t="s">
        <v>479</v>
      </c>
      <c r="B130" s="6" t="s">
        <v>10</v>
      </c>
      <c r="C130" s="6" t="s">
        <v>11</v>
      </c>
      <c r="D130" s="7" t="s">
        <v>67</v>
      </c>
      <c r="E130" s="8" t="s">
        <v>480</v>
      </c>
      <c r="F130" s="6" t="s">
        <v>481</v>
      </c>
      <c r="G130" s="9">
        <f>IF(A130=1,"_",IF(C130="_","???",C130))</f>
        <v/>
      </c>
      <c r="H130" s="10" t="s">
        <v>11</v>
      </c>
      <c r="I130" s="11" t="s">
        <v>11</v>
      </c>
      <c r="J130" s="12"/>
    </row>
    <row r="131" spans="1:10" ht="60" customHeight="1">
      <c r="A131" s="6" t="s">
        <v>482</v>
      </c>
      <c r="B131" s="6" t="s">
        <v>23</v>
      </c>
      <c r="C131" s="6" t="s">
        <v>11</v>
      </c>
      <c r="D131" s="7" t="s">
        <v>483</v>
      </c>
      <c r="E131" s="8" t="s">
        <v>484</v>
      </c>
      <c r="F131" s="6" t="s">
        <v>485</v>
      </c>
      <c r="G131" s="9">
        <f>IF(A131=1,"_",IF(C131="_","???",C131))</f>
        <v/>
      </c>
      <c r="H131" s="10" t="s">
        <v>11</v>
      </c>
      <c r="I131" s="11" t="s">
        <v>11</v>
      </c>
      <c r="J131" s="12"/>
    </row>
    <row r="132" spans="1:10" ht="60" customHeight="1">
      <c r="A132" s="6" t="s">
        <v>486</v>
      </c>
      <c r="B132" s="6" t="s">
        <v>97</v>
      </c>
      <c r="C132" s="6" t="s">
        <v>310</v>
      </c>
      <c r="D132" s="7" t="s">
        <v>487</v>
      </c>
      <c r="E132" s="8" t="s">
        <v>488</v>
      </c>
      <c r="F132" s="6" t="s">
        <v>489</v>
      </c>
      <c r="G132" s="9">
        <f>IF(A132=1,"_",IF(C132="_","???",C132))</f>
        <v/>
      </c>
      <c r="H132" s="10" t="s">
        <v>11</v>
      </c>
      <c r="I132" s="11" t="s">
        <v>11</v>
      </c>
      <c r="J132" s="12"/>
    </row>
    <row r="133" spans="1:10" ht="60" customHeight="1">
      <c r="A133" s="6" t="s">
        <v>490</v>
      </c>
      <c r="B133" s="6" t="s">
        <v>19</v>
      </c>
      <c r="C133" s="6" t="s">
        <v>491</v>
      </c>
      <c r="D133" s="7" t="s">
        <v>146</v>
      </c>
      <c r="E133" s="8" t="s">
        <v>492</v>
      </c>
      <c r="F133" s="6" t="s">
        <v>493</v>
      </c>
      <c r="G133" s="9">
        <f>IF(A133=1,"_",IF(C133="_","???",C133))</f>
        <v/>
      </c>
      <c r="H133" s="10" t="s">
        <v>11</v>
      </c>
      <c r="I133" s="11" t="s">
        <v>11</v>
      </c>
      <c r="J133" s="12"/>
    </row>
    <row r="134" spans="1:10" ht="60" customHeight="1">
      <c r="A134" s="6" t="s">
        <v>494</v>
      </c>
      <c r="B134" s="6" t="s">
        <v>15</v>
      </c>
      <c r="C134" s="6" t="s">
        <v>71</v>
      </c>
      <c r="D134" s="7" t="s">
        <v>495</v>
      </c>
      <c r="E134" s="8" t="s">
        <v>496</v>
      </c>
      <c r="F134" s="6" t="s">
        <v>497</v>
      </c>
      <c r="G134" s="9">
        <f>IF(A134=1,"_",IF(C134="_","???",C134))</f>
        <v/>
      </c>
      <c r="H134" s="10" t="s">
        <v>11</v>
      </c>
      <c r="I134" s="11" t="s">
        <v>11</v>
      </c>
      <c r="J134" s="12"/>
    </row>
    <row r="135" spans="1:10" ht="60" customHeight="1">
      <c r="A135" s="6" t="s">
        <v>498</v>
      </c>
      <c r="B135" s="6" t="s">
        <v>10</v>
      </c>
      <c r="C135" s="6" t="s">
        <v>11</v>
      </c>
      <c r="D135" s="7" t="s">
        <v>111</v>
      </c>
      <c r="E135" s="8" t="s">
        <v>499</v>
      </c>
      <c r="F135" s="6" t="s">
        <v>500</v>
      </c>
      <c r="G135" s="9">
        <f>IF(A135=1,"_",IF(C135="_","???",C135))</f>
        <v/>
      </c>
      <c r="H135" s="10" t="s">
        <v>11</v>
      </c>
      <c r="I135" s="11" t="s">
        <v>11</v>
      </c>
      <c r="J135" s="12"/>
    </row>
    <row r="136" spans="1:10" ht="60" customHeight="1">
      <c r="A136" s="6" t="s">
        <v>501</v>
      </c>
      <c r="B136" s="6" t="s">
        <v>39</v>
      </c>
      <c r="C136" s="6" t="s">
        <v>11</v>
      </c>
      <c r="D136" s="7" t="s">
        <v>502</v>
      </c>
      <c r="E136" s="8" t="s">
        <v>503</v>
      </c>
      <c r="F136" s="6" t="s">
        <v>504</v>
      </c>
      <c r="G136" s="9">
        <f>IF(A136=1,"_",IF(C136="_","???",C136))</f>
        <v/>
      </c>
      <c r="H136" s="10" t="s">
        <v>11</v>
      </c>
      <c r="I136" s="11" t="s">
        <v>11</v>
      </c>
      <c r="J136" s="12"/>
    </row>
    <row r="137" spans="1:10" ht="60" customHeight="1">
      <c r="A137" s="6" t="s">
        <v>505</v>
      </c>
      <c r="B137" s="6" t="s">
        <v>27</v>
      </c>
      <c r="C137" s="6" t="s">
        <v>11</v>
      </c>
      <c r="D137" s="7" t="s">
        <v>506</v>
      </c>
      <c r="E137" s="8" t="s">
        <v>507</v>
      </c>
      <c r="F137" s="6" t="s">
        <v>508</v>
      </c>
      <c r="G137" s="9">
        <f>IF(A137=1,"_",IF(C137="_","???",C137))</f>
        <v/>
      </c>
      <c r="H137" s="10" t="s">
        <v>11</v>
      </c>
      <c r="I137" s="11" t="s">
        <v>11</v>
      </c>
      <c r="J137" s="12"/>
    </row>
    <row r="138" spans="1:10" ht="60" customHeight="1">
      <c r="A138" s="6" t="s">
        <v>509</v>
      </c>
      <c r="B138" s="6" t="s">
        <v>102</v>
      </c>
      <c r="C138" s="6" t="s">
        <v>98</v>
      </c>
      <c r="D138" s="7" t="s">
        <v>502</v>
      </c>
      <c r="E138" s="8" t="s">
        <v>510</v>
      </c>
      <c r="F138" s="6" t="s">
        <v>511</v>
      </c>
      <c r="G138" s="9">
        <f>IF(A138=1,"_",IF(C138="_","???",C138))</f>
        <v/>
      </c>
      <c r="H138" s="10" t="s">
        <v>11</v>
      </c>
      <c r="I138" s="11" t="s">
        <v>11</v>
      </c>
      <c r="J138" s="12"/>
    </row>
    <row r="139" spans="1:10" ht="60" customHeight="1">
      <c r="A139" s="6" t="s">
        <v>512</v>
      </c>
      <c r="B139" s="6" t="s">
        <v>19</v>
      </c>
      <c r="C139" s="6" t="s">
        <v>11</v>
      </c>
      <c r="D139" s="7" t="s">
        <v>513</v>
      </c>
      <c r="E139" s="8" t="s">
        <v>514</v>
      </c>
      <c r="F139" s="6" t="s">
        <v>515</v>
      </c>
      <c r="G139" s="9">
        <f>IF(A139=1,"_",IF(C139="_","???",C139))</f>
        <v/>
      </c>
      <c r="H139" s="10" t="s">
        <v>11</v>
      </c>
      <c r="I139" s="11" t="s">
        <v>11</v>
      </c>
      <c r="J139" s="12"/>
    </row>
    <row r="140" spans="1:10" ht="60" customHeight="1">
      <c r="A140" s="6" t="s">
        <v>516</v>
      </c>
      <c r="B140" s="6" t="s">
        <v>23</v>
      </c>
      <c r="C140" s="6" t="s">
        <v>11</v>
      </c>
      <c r="D140" s="7" t="s">
        <v>513</v>
      </c>
      <c r="E140" s="8" t="s">
        <v>517</v>
      </c>
      <c r="F140" s="6" t="s">
        <v>518</v>
      </c>
      <c r="G140" s="9">
        <f>IF(A140=1,"_",IF(C140="_","???",C140))</f>
        <v/>
      </c>
      <c r="H140" s="10" t="s">
        <v>11</v>
      </c>
      <c r="I140" s="11" t="s">
        <v>11</v>
      </c>
      <c r="J140" s="12"/>
    </row>
    <row r="141" spans="1:10" ht="60" customHeight="1">
      <c r="A141" s="6" t="s">
        <v>519</v>
      </c>
      <c r="B141" s="6" t="s">
        <v>15</v>
      </c>
      <c r="C141" s="6" t="s">
        <v>11</v>
      </c>
      <c r="D141" s="7" t="s">
        <v>520</v>
      </c>
      <c r="E141" s="8" t="s">
        <v>521</v>
      </c>
      <c r="F141" s="6" t="s">
        <v>522</v>
      </c>
      <c r="G141" s="9">
        <f>IF(A141=1,"_",IF(C141="_","???",C141))</f>
        <v/>
      </c>
      <c r="H141" s="10" t="s">
        <v>11</v>
      </c>
      <c r="I141" s="11" t="s">
        <v>11</v>
      </c>
      <c r="J141" s="12"/>
    </row>
    <row r="142" spans="1:10" ht="60" customHeight="1">
      <c r="A142" s="6" t="s">
        <v>523</v>
      </c>
      <c r="B142" s="6" t="s">
        <v>10</v>
      </c>
      <c r="C142" s="6" t="s">
        <v>11</v>
      </c>
      <c r="D142" s="7" t="s">
        <v>141</v>
      </c>
      <c r="E142" s="8" t="s">
        <v>524</v>
      </c>
      <c r="F142" s="6" t="s">
        <v>525</v>
      </c>
      <c r="G142" s="9">
        <f>IF(A142=1,"_",IF(C142="_","???",C142))</f>
        <v/>
      </c>
      <c r="H142" s="10" t="s">
        <v>11</v>
      </c>
      <c r="I142" s="11" t="s">
        <v>11</v>
      </c>
      <c r="J142" s="12"/>
    </row>
    <row r="143" spans="1:10" ht="60" customHeight="1">
      <c r="A143" s="6" t="s">
        <v>526</v>
      </c>
      <c r="B143" s="6" t="s">
        <v>15</v>
      </c>
      <c r="C143" s="6" t="s">
        <v>85</v>
      </c>
      <c r="D143" s="7" t="s">
        <v>146</v>
      </c>
      <c r="E143" s="8" t="s">
        <v>527</v>
      </c>
      <c r="F143" s="6" t="s">
        <v>528</v>
      </c>
      <c r="G143" s="9">
        <f>IF(A143=1,"_",IF(C143="_","???",C143))</f>
        <v/>
      </c>
      <c r="H143" s="10" t="s">
        <v>11</v>
      </c>
      <c r="I143" s="11" t="s">
        <v>11</v>
      </c>
      <c r="J143" s="12"/>
    </row>
    <row r="144" spans="1:10" ht="60" customHeight="1">
      <c r="A144" s="6" t="s">
        <v>529</v>
      </c>
      <c r="B144" s="6" t="s">
        <v>10</v>
      </c>
      <c r="C144" s="6" t="s">
        <v>11</v>
      </c>
      <c r="D144" s="7" t="s">
        <v>115</v>
      </c>
      <c r="E144" s="8" t="s">
        <v>116</v>
      </c>
      <c r="F144" s="6" t="s">
        <v>530</v>
      </c>
      <c r="G144" s="9">
        <f>IF(A144=1,"_",IF(C144="_","???",C144))</f>
        <v/>
      </c>
      <c r="H144" s="10" t="s">
        <v>11</v>
      </c>
      <c r="I144" s="11" t="s">
        <v>11</v>
      </c>
      <c r="J144" s="12"/>
    </row>
    <row r="145" spans="1:10" ht="60" customHeight="1">
      <c r="A145" s="6" t="s">
        <v>531</v>
      </c>
      <c r="B145" s="6" t="s">
        <v>19</v>
      </c>
      <c r="C145" s="6" t="s">
        <v>71</v>
      </c>
      <c r="D145" s="7" t="s">
        <v>532</v>
      </c>
      <c r="E145" s="8" t="s">
        <v>533</v>
      </c>
      <c r="F145" s="6" t="s">
        <v>534</v>
      </c>
      <c r="G145" s="9">
        <f>IF(A145=1,"_",IF(C145="_","???",C145))</f>
        <v/>
      </c>
      <c r="H145" s="10" t="s">
        <v>11</v>
      </c>
      <c r="I145" s="11" t="s">
        <v>11</v>
      </c>
      <c r="J145" s="12"/>
    </row>
    <row r="146" spans="1:10" ht="60" customHeight="1">
      <c r="A146" s="6" t="s">
        <v>535</v>
      </c>
      <c r="B146" s="6" t="s">
        <v>10</v>
      </c>
      <c r="C146" s="6" t="s">
        <v>11</v>
      </c>
      <c r="D146" s="7" t="s">
        <v>536</v>
      </c>
      <c r="E146" s="8" t="s">
        <v>537</v>
      </c>
      <c r="F146" s="6" t="s">
        <v>538</v>
      </c>
      <c r="G146" s="9">
        <f>IF(A146=1,"_",IF(C146="_","???",C146))</f>
        <v/>
      </c>
      <c r="H146" s="10" t="s">
        <v>11</v>
      </c>
      <c r="I146" s="11" t="s">
        <v>11</v>
      </c>
      <c r="J146" s="12"/>
    </row>
    <row r="147" spans="1:10" ht="60" customHeight="1">
      <c r="A147" s="6" t="s">
        <v>539</v>
      </c>
      <c r="B147" s="6" t="s">
        <v>15</v>
      </c>
      <c r="C147" s="6" t="s">
        <v>11</v>
      </c>
      <c r="D147" s="7" t="s">
        <v>540</v>
      </c>
      <c r="E147" s="8" t="s">
        <v>541</v>
      </c>
      <c r="F147" s="6" t="s">
        <v>542</v>
      </c>
      <c r="G147" s="9">
        <f>IF(A147=1,"_",IF(C147="_","???",C147))</f>
        <v/>
      </c>
      <c r="H147" s="10" t="s">
        <v>11</v>
      </c>
      <c r="I147" s="11" t="s">
        <v>11</v>
      </c>
      <c r="J147" s="12"/>
    </row>
    <row r="148" spans="1:10" ht="60" customHeight="1">
      <c r="A148" s="6" t="s">
        <v>543</v>
      </c>
      <c r="B148" s="6" t="s">
        <v>10</v>
      </c>
      <c r="C148" s="6" t="s">
        <v>11</v>
      </c>
      <c r="D148" s="7" t="s">
        <v>67</v>
      </c>
      <c r="E148" s="8" t="s">
        <v>68</v>
      </c>
      <c r="F148" s="6" t="s">
        <v>544</v>
      </c>
      <c r="G148" s="9">
        <f>IF(A148=1,"_",IF(C148="_","???",C148))</f>
        <v/>
      </c>
      <c r="H148" s="10" t="s">
        <v>11</v>
      </c>
      <c r="I148" s="11" t="s">
        <v>11</v>
      </c>
      <c r="J148" s="12"/>
    </row>
    <row r="149" spans="1:10" ht="60" customHeight="1">
      <c r="A149" s="6" t="s">
        <v>545</v>
      </c>
      <c r="B149" s="6" t="s">
        <v>15</v>
      </c>
      <c r="C149" s="6" t="s">
        <v>11</v>
      </c>
      <c r="D149" s="7" t="s">
        <v>146</v>
      </c>
      <c r="E149" s="8" t="s">
        <v>546</v>
      </c>
      <c r="F149" s="6" t="s">
        <v>547</v>
      </c>
      <c r="G149" s="9">
        <f>IF(A149=1,"_",IF(C149="_","???",C149))</f>
        <v/>
      </c>
      <c r="H149" s="10" t="s">
        <v>11</v>
      </c>
      <c r="I149" s="11" t="s">
        <v>11</v>
      </c>
      <c r="J149" s="12"/>
    </row>
    <row r="150" spans="1:10" ht="60" customHeight="1">
      <c r="A150" s="6" t="s">
        <v>548</v>
      </c>
      <c r="B150" s="6" t="s">
        <v>23</v>
      </c>
      <c r="C150" s="6" t="s">
        <v>11</v>
      </c>
      <c r="D150" s="7" t="s">
        <v>146</v>
      </c>
      <c r="E150" s="8" t="s">
        <v>549</v>
      </c>
      <c r="F150" s="6" t="s">
        <v>550</v>
      </c>
      <c r="G150" s="9">
        <f>IF(A150=1,"_",IF(C150="_","???",C150))</f>
        <v/>
      </c>
      <c r="H150" s="10" t="s">
        <v>11</v>
      </c>
      <c r="I150" s="11" t="s">
        <v>11</v>
      </c>
      <c r="J150" s="12"/>
    </row>
    <row r="151" spans="1:10" ht="60" customHeight="1">
      <c r="A151" s="6" t="s">
        <v>551</v>
      </c>
      <c r="B151" s="6" t="s">
        <v>10</v>
      </c>
      <c r="C151" s="6" t="s">
        <v>11</v>
      </c>
      <c r="D151" s="7" t="s">
        <v>115</v>
      </c>
      <c r="E151" s="8" t="s">
        <v>116</v>
      </c>
      <c r="F151" s="6" t="s">
        <v>552</v>
      </c>
      <c r="G151" s="9">
        <f>IF(A151=1,"_",IF(C151="_","???",C151))</f>
        <v/>
      </c>
      <c r="H151" s="10" t="s">
        <v>11</v>
      </c>
      <c r="I151" s="11" t="s">
        <v>11</v>
      </c>
      <c r="J151" s="12"/>
    </row>
    <row r="152" spans="1:10" ht="60" customHeight="1">
      <c r="A152" s="6" t="s">
        <v>553</v>
      </c>
      <c r="B152" s="6" t="s">
        <v>10</v>
      </c>
      <c r="C152" s="6" t="s">
        <v>310</v>
      </c>
      <c r="D152" s="7" t="s">
        <v>554</v>
      </c>
      <c r="E152" s="8" t="s">
        <v>555</v>
      </c>
      <c r="F152" s="6" t="s">
        <v>556</v>
      </c>
      <c r="G152" s="9">
        <f>IF(A152=1,"_",IF(C152="_","???",C152))</f>
        <v/>
      </c>
      <c r="H152" s="10" t="s">
        <v>11</v>
      </c>
      <c r="I152" s="11" t="s">
        <v>11</v>
      </c>
      <c r="J152" s="12"/>
    </row>
    <row r="153" spans="1:10" ht="60" customHeight="1">
      <c r="A153" s="6" t="s">
        <v>557</v>
      </c>
      <c r="B153" s="6" t="s">
        <v>10</v>
      </c>
      <c r="C153" s="6" t="s">
        <v>11</v>
      </c>
      <c r="D153" s="7" t="s">
        <v>554</v>
      </c>
      <c r="E153" s="8" t="s">
        <v>558</v>
      </c>
      <c r="F153" s="6" t="s">
        <v>559</v>
      </c>
      <c r="G153" s="9">
        <f>IF(A153=1,"_",IF(C153="_","???",C153))</f>
        <v/>
      </c>
      <c r="H153" s="10" t="s">
        <v>11</v>
      </c>
      <c r="I153" s="11" t="s">
        <v>11</v>
      </c>
      <c r="J153" s="12"/>
    </row>
    <row r="154" spans="1:10" ht="60" customHeight="1">
      <c r="A154" s="6" t="s">
        <v>560</v>
      </c>
      <c r="B154" s="6" t="s">
        <v>15</v>
      </c>
      <c r="C154" s="6" t="s">
        <v>11</v>
      </c>
      <c r="D154" s="7" t="s">
        <v>561</v>
      </c>
      <c r="E154" s="8" t="s">
        <v>562</v>
      </c>
      <c r="F154" s="6" t="s">
        <v>563</v>
      </c>
      <c r="G154" s="9">
        <f>IF(A154=1,"_",IF(C154="_","???",C154))</f>
        <v/>
      </c>
      <c r="H154" s="10" t="s">
        <v>11</v>
      </c>
      <c r="I154" s="11" t="s">
        <v>11</v>
      </c>
      <c r="J154" s="12"/>
    </row>
    <row r="155" spans="1:10" ht="60" customHeight="1">
      <c r="A155" s="6" t="s">
        <v>564</v>
      </c>
      <c r="B155" s="6" t="s">
        <v>15</v>
      </c>
      <c r="C155" s="6" t="s">
        <v>11</v>
      </c>
      <c r="D155" s="7" t="s">
        <v>565</v>
      </c>
      <c r="E155" s="8" t="s">
        <v>566</v>
      </c>
      <c r="F155" s="6" t="s">
        <v>567</v>
      </c>
      <c r="G155" s="9">
        <f>IF(A155=1,"_",IF(C155="_","???",C155))</f>
        <v/>
      </c>
      <c r="H155" s="10" t="s">
        <v>11</v>
      </c>
      <c r="I155" s="11" t="s">
        <v>11</v>
      </c>
      <c r="J155" s="12"/>
    </row>
    <row r="156" spans="1:10" ht="60" customHeight="1">
      <c r="A156" s="6" t="s">
        <v>568</v>
      </c>
      <c r="B156" s="6" t="s">
        <v>89</v>
      </c>
      <c r="C156" s="6" t="s">
        <v>418</v>
      </c>
      <c r="D156" s="7" t="s">
        <v>210</v>
      </c>
      <c r="E156" s="8" t="s">
        <v>569</v>
      </c>
      <c r="F156" s="6" t="s">
        <v>570</v>
      </c>
      <c r="G156" s="9">
        <f>IF(A156=1,"_",IF(C156="_","???",C156))</f>
        <v/>
      </c>
      <c r="H156" s="10" t="s">
        <v>11</v>
      </c>
      <c r="I156" s="11" t="s">
        <v>11</v>
      </c>
      <c r="J156" s="12"/>
    </row>
    <row r="157" spans="1:10" ht="60" customHeight="1">
      <c r="A157" s="6" t="s">
        <v>571</v>
      </c>
      <c r="B157" s="6" t="s">
        <v>27</v>
      </c>
      <c r="C157" s="6" t="s">
        <v>11</v>
      </c>
      <c r="D157" s="7" t="s">
        <v>59</v>
      </c>
      <c r="E157" s="8" t="s">
        <v>572</v>
      </c>
      <c r="F157" s="6" t="s">
        <v>573</v>
      </c>
      <c r="G157" s="9">
        <f>IF(A157=1,"_",IF(C157="_","???",C157))</f>
        <v/>
      </c>
      <c r="H157" s="10" t="s">
        <v>11</v>
      </c>
      <c r="I157" s="11" t="s">
        <v>11</v>
      </c>
      <c r="J157" s="12"/>
    </row>
    <row r="158" spans="1:10" ht="60" customHeight="1">
      <c r="A158" s="6" t="s">
        <v>574</v>
      </c>
      <c r="B158" s="6" t="s">
        <v>46</v>
      </c>
      <c r="C158" s="6" t="s">
        <v>310</v>
      </c>
      <c r="D158" s="7" t="s">
        <v>575</v>
      </c>
      <c r="E158" s="8" t="s">
        <v>576</v>
      </c>
      <c r="F158" s="6" t="s">
        <v>577</v>
      </c>
      <c r="G158" s="9">
        <f>IF(A158=1,"_",IF(C158="_","???",C158))</f>
        <v/>
      </c>
      <c r="H158" s="10" t="s">
        <v>11</v>
      </c>
      <c r="I158" s="11" t="s">
        <v>11</v>
      </c>
      <c r="J158" s="12"/>
    </row>
    <row r="159" spans="1:10" ht="60" customHeight="1">
      <c r="A159" s="6" t="s">
        <v>578</v>
      </c>
      <c r="B159" s="6" t="s">
        <v>10</v>
      </c>
      <c r="C159" s="6" t="s">
        <v>11</v>
      </c>
      <c r="D159" s="7" t="s">
        <v>210</v>
      </c>
      <c r="E159" s="8" t="s">
        <v>579</v>
      </c>
      <c r="F159" s="6" t="s">
        <v>580</v>
      </c>
      <c r="G159" s="9">
        <f>IF(A159=1,"_",IF(C159="_","???",C159))</f>
        <v/>
      </c>
      <c r="H159" s="10" t="s">
        <v>11</v>
      </c>
      <c r="I159" s="11" t="s">
        <v>11</v>
      </c>
      <c r="J159" s="12"/>
    </row>
    <row r="160" spans="1:10" ht="60" customHeight="1">
      <c r="A160" s="6" t="s">
        <v>581</v>
      </c>
      <c r="B160" s="6" t="s">
        <v>10</v>
      </c>
      <c r="C160" s="6" t="s">
        <v>11</v>
      </c>
      <c r="D160" s="7" t="s">
        <v>111</v>
      </c>
      <c r="E160" s="8" t="s">
        <v>582</v>
      </c>
      <c r="F160" s="6" t="s">
        <v>583</v>
      </c>
      <c r="G160" s="9">
        <f>IF(A160=1,"_",IF(C160="_","???",C160))</f>
        <v/>
      </c>
      <c r="H160" s="10" t="s">
        <v>11</v>
      </c>
      <c r="I160" s="11" t="s">
        <v>11</v>
      </c>
      <c r="J160" s="12"/>
    </row>
    <row r="161" spans="1:10" ht="60" customHeight="1">
      <c r="A161" s="6" t="s">
        <v>584</v>
      </c>
      <c r="B161" s="6" t="s">
        <v>10</v>
      </c>
      <c r="C161" s="6" t="s">
        <v>11</v>
      </c>
      <c r="D161" s="7" t="s">
        <v>111</v>
      </c>
      <c r="E161" s="8" t="s">
        <v>585</v>
      </c>
      <c r="F161" s="6" t="s">
        <v>586</v>
      </c>
      <c r="G161" s="9">
        <f>IF(A161=1,"_",IF(C161="_","???",C161))</f>
        <v/>
      </c>
      <c r="H161" s="10" t="s">
        <v>11</v>
      </c>
      <c r="I161" s="11" t="s">
        <v>11</v>
      </c>
      <c r="J161" s="12"/>
    </row>
    <row r="162" spans="1:10" ht="60" customHeight="1">
      <c r="A162" s="6" t="s">
        <v>587</v>
      </c>
      <c r="B162" s="6" t="s">
        <v>10</v>
      </c>
      <c r="C162" s="6" t="s">
        <v>11</v>
      </c>
      <c r="D162" s="7" t="s">
        <v>588</v>
      </c>
      <c r="E162" s="8" t="s">
        <v>589</v>
      </c>
      <c r="F162" s="6" t="s">
        <v>590</v>
      </c>
      <c r="G162" s="9">
        <f>IF(A162=1,"_",IF(C162="_","???",C162))</f>
        <v/>
      </c>
      <c r="H162" s="10" t="s">
        <v>11</v>
      </c>
      <c r="I162" s="11" t="s">
        <v>11</v>
      </c>
      <c r="J162" s="12"/>
    </row>
    <row r="163" spans="1:10" ht="60" customHeight="1">
      <c r="A163" s="6" t="s">
        <v>591</v>
      </c>
      <c r="B163" s="6" t="s">
        <v>19</v>
      </c>
      <c r="C163" s="6" t="s">
        <v>310</v>
      </c>
      <c r="D163" s="7" t="s">
        <v>592</v>
      </c>
      <c r="E163" s="8" t="s">
        <v>593</v>
      </c>
      <c r="F163" s="6" t="s">
        <v>594</v>
      </c>
      <c r="G163" s="9">
        <f>IF(A163=1,"_",IF(C163="_","???",C163))</f>
        <v/>
      </c>
      <c r="H163" s="10" t="s">
        <v>11</v>
      </c>
      <c r="I163" s="11" t="s">
        <v>11</v>
      </c>
      <c r="J163" s="12"/>
    </row>
    <row r="164" spans="1:10" ht="60" customHeight="1">
      <c r="A164" s="6" t="s">
        <v>595</v>
      </c>
      <c r="B164" s="6" t="s">
        <v>15</v>
      </c>
      <c r="C164" s="6" t="s">
        <v>11</v>
      </c>
      <c r="D164" s="7" t="s">
        <v>596</v>
      </c>
      <c r="E164" s="8" t="s">
        <v>597</v>
      </c>
      <c r="F164" s="6" t="s">
        <v>598</v>
      </c>
      <c r="G164" s="9">
        <f>IF(A164=1,"_",IF(C164="_","???",C164))</f>
        <v/>
      </c>
      <c r="H164" s="10" t="s">
        <v>11</v>
      </c>
      <c r="I164" s="11" t="s">
        <v>11</v>
      </c>
      <c r="J164" s="12"/>
    </row>
    <row r="165" spans="1:10" ht="60" customHeight="1">
      <c r="A165" s="6" t="s">
        <v>599</v>
      </c>
      <c r="B165" s="6" t="s">
        <v>10</v>
      </c>
      <c r="C165" s="6" t="s">
        <v>11</v>
      </c>
      <c r="D165" s="7" t="s">
        <v>115</v>
      </c>
      <c r="E165" s="8" t="s">
        <v>116</v>
      </c>
      <c r="F165" s="6" t="s">
        <v>600</v>
      </c>
      <c r="G165" s="9">
        <f>IF(A165=1,"_",IF(C165="_","???",C165))</f>
        <v/>
      </c>
      <c r="H165" s="10" t="s">
        <v>11</v>
      </c>
      <c r="I165" s="11" t="s">
        <v>11</v>
      </c>
      <c r="J165" s="12"/>
    </row>
    <row r="166" spans="1:10" ht="60" customHeight="1">
      <c r="A166" s="6" t="s">
        <v>601</v>
      </c>
      <c r="B166" s="6" t="s">
        <v>31</v>
      </c>
      <c r="C166" s="6" t="s">
        <v>98</v>
      </c>
      <c r="D166" s="7" t="s">
        <v>602</v>
      </c>
      <c r="E166" s="8" t="s">
        <v>603</v>
      </c>
      <c r="F166" s="6" t="s">
        <v>604</v>
      </c>
      <c r="G166" s="9">
        <f>IF(A166=1,"_",IF(C166="_","???",C166))</f>
        <v/>
      </c>
      <c r="H166" s="10" t="s">
        <v>11</v>
      </c>
      <c r="I166" s="11" t="s">
        <v>11</v>
      </c>
      <c r="J166" s="12"/>
    </row>
    <row r="167" spans="1:10" ht="60" customHeight="1">
      <c r="A167" s="6" t="s">
        <v>605</v>
      </c>
      <c r="B167" s="6" t="s">
        <v>10</v>
      </c>
      <c r="C167" s="6" t="s">
        <v>11</v>
      </c>
      <c r="D167" s="7" t="s">
        <v>67</v>
      </c>
      <c r="E167" s="8" t="s">
        <v>68</v>
      </c>
      <c r="F167" s="6" t="s">
        <v>606</v>
      </c>
      <c r="G167" s="9">
        <f>IF(A167=1,"_",IF(C167="_","???",C167))</f>
        <v/>
      </c>
      <c r="H167" s="10" t="s">
        <v>11</v>
      </c>
      <c r="I167" s="11" t="s">
        <v>11</v>
      </c>
      <c r="J167" s="12"/>
    </row>
    <row r="168" spans="1:10" ht="60" customHeight="1">
      <c r="A168" s="6" t="s">
        <v>607</v>
      </c>
      <c r="B168" s="6" t="s">
        <v>15</v>
      </c>
      <c r="C168" s="6" t="s">
        <v>11</v>
      </c>
      <c r="D168" s="7" t="s">
        <v>608</v>
      </c>
      <c r="E168" s="8" t="s">
        <v>609</v>
      </c>
      <c r="F168" s="6" t="s">
        <v>610</v>
      </c>
      <c r="G168" s="9">
        <f>IF(A168=1,"_",IF(C168="_","???",C168))</f>
        <v/>
      </c>
      <c r="H168" s="10" t="s">
        <v>11</v>
      </c>
      <c r="I168" s="11" t="s">
        <v>11</v>
      </c>
      <c r="J168" s="12"/>
    </row>
    <row r="169" spans="1:10" ht="60" customHeight="1">
      <c r="A169" s="6" t="s">
        <v>611</v>
      </c>
      <c r="B169" s="6" t="s">
        <v>75</v>
      </c>
      <c r="C169" s="6" t="s">
        <v>11</v>
      </c>
      <c r="D169" s="7" t="s">
        <v>612</v>
      </c>
      <c r="E169" s="8" t="s">
        <v>613</v>
      </c>
      <c r="F169" s="6" t="s">
        <v>614</v>
      </c>
      <c r="G169" s="9">
        <f>IF(A169=1,"_",IF(C169="_","???",C169))</f>
        <v/>
      </c>
      <c r="H169" s="10" t="s">
        <v>11</v>
      </c>
      <c r="I169" s="11" t="s">
        <v>11</v>
      </c>
      <c r="J169" s="12"/>
    </row>
    <row r="170" spans="1:10" ht="60" customHeight="1">
      <c r="A170" s="6" t="s">
        <v>615</v>
      </c>
      <c r="B170" s="6" t="s">
        <v>19</v>
      </c>
      <c r="C170" s="6" t="s">
        <v>145</v>
      </c>
      <c r="D170" s="7" t="s">
        <v>616</v>
      </c>
      <c r="E170" s="8" t="s">
        <v>617</v>
      </c>
      <c r="F170" s="6" t="s">
        <v>618</v>
      </c>
      <c r="G170" s="9">
        <f>IF(A170=1,"_",IF(C170="_","???",C170))</f>
        <v/>
      </c>
      <c r="H170" s="10" t="s">
        <v>11</v>
      </c>
      <c r="I170" s="11" t="s">
        <v>11</v>
      </c>
      <c r="J170" s="12"/>
    </row>
    <row r="171" spans="1:10" ht="60" customHeight="1">
      <c r="A171" s="6" t="s">
        <v>619</v>
      </c>
      <c r="B171" s="6" t="s">
        <v>127</v>
      </c>
      <c r="C171" s="6" t="s">
        <v>85</v>
      </c>
      <c r="D171" s="7" t="s">
        <v>51</v>
      </c>
      <c r="E171" s="8" t="s">
        <v>620</v>
      </c>
      <c r="F171" s="6" t="s">
        <v>621</v>
      </c>
      <c r="G171" s="9">
        <f>IF(A171=1,"_",IF(C171="_","???",C171))</f>
        <v/>
      </c>
      <c r="H171" s="10" t="s">
        <v>11</v>
      </c>
      <c r="I171" s="11" t="s">
        <v>11</v>
      </c>
      <c r="J171" s="12"/>
    </row>
    <row r="172" spans="1:10" ht="60" customHeight="1">
      <c r="A172" s="6" t="s">
        <v>622</v>
      </c>
      <c r="B172" s="6" t="s">
        <v>62</v>
      </c>
      <c r="C172" s="6" t="s">
        <v>491</v>
      </c>
      <c r="D172" s="7" t="s">
        <v>502</v>
      </c>
      <c r="E172" s="8" t="s">
        <v>623</v>
      </c>
      <c r="F172" s="6" t="s">
        <v>624</v>
      </c>
      <c r="G172" s="9">
        <f>IF(A172=1,"_",IF(C172="_","???",C172))</f>
        <v/>
      </c>
      <c r="H172" s="10" t="s">
        <v>11</v>
      </c>
      <c r="I172" s="11" t="s">
        <v>11</v>
      </c>
      <c r="J172" s="12"/>
    </row>
    <row r="173" spans="1:10" ht="60" customHeight="1">
      <c r="A173" s="6" t="s">
        <v>625</v>
      </c>
      <c r="B173" s="6" t="s">
        <v>10</v>
      </c>
      <c r="C173" s="6" t="s">
        <v>11</v>
      </c>
      <c r="D173" s="7" t="s">
        <v>115</v>
      </c>
      <c r="E173" s="8" t="s">
        <v>116</v>
      </c>
      <c r="F173" s="6" t="s">
        <v>626</v>
      </c>
      <c r="G173" s="9">
        <f>IF(A173=1,"_",IF(C173="_","???",C173))</f>
        <v/>
      </c>
      <c r="H173" s="10" t="s">
        <v>11</v>
      </c>
      <c r="I173" s="11" t="s">
        <v>11</v>
      </c>
      <c r="J173" s="12"/>
    </row>
    <row r="174" spans="1:10" ht="60" customHeight="1">
      <c r="A174" s="6" t="s">
        <v>627</v>
      </c>
      <c r="B174" s="6" t="s">
        <v>23</v>
      </c>
      <c r="C174" s="6" t="s">
        <v>71</v>
      </c>
      <c r="D174" s="7" t="s">
        <v>628</v>
      </c>
      <c r="E174" s="8" t="s">
        <v>629</v>
      </c>
      <c r="F174" s="6" t="s">
        <v>630</v>
      </c>
      <c r="G174" s="9">
        <f>IF(A174=1,"_",IF(C174="_","???",C174))</f>
        <v/>
      </c>
      <c r="H174" s="10" t="s">
        <v>11</v>
      </c>
      <c r="I174" s="11" t="s">
        <v>11</v>
      </c>
      <c r="J174" s="12"/>
    </row>
    <row r="175" spans="1:10" ht="60" customHeight="1">
      <c r="A175" s="6" t="s">
        <v>631</v>
      </c>
      <c r="B175" s="6" t="s">
        <v>10</v>
      </c>
      <c r="C175" s="6" t="s">
        <v>11</v>
      </c>
      <c r="D175" s="7" t="s">
        <v>632</v>
      </c>
      <c r="E175" s="8" t="s">
        <v>633</v>
      </c>
      <c r="F175" s="6" t="s">
        <v>634</v>
      </c>
      <c r="G175" s="9">
        <f>IF(A175=1,"_",IF(C175="_","???",C175))</f>
        <v/>
      </c>
      <c r="H175" s="10" t="s">
        <v>11</v>
      </c>
      <c r="I175" s="11" t="s">
        <v>11</v>
      </c>
      <c r="J175" s="12"/>
    </row>
    <row r="176" spans="1:10" ht="60" customHeight="1">
      <c r="A176" s="6" t="s">
        <v>635</v>
      </c>
      <c r="B176" s="6" t="s">
        <v>93</v>
      </c>
      <c r="C176" s="6" t="s">
        <v>85</v>
      </c>
      <c r="D176" s="7" t="s">
        <v>636</v>
      </c>
      <c r="E176" s="8" t="s">
        <v>637</v>
      </c>
      <c r="F176" s="6" t="s">
        <v>638</v>
      </c>
      <c r="G176" s="9">
        <f>IF(A176=1,"_",IF(C176="_","???",C176))</f>
        <v/>
      </c>
      <c r="H176" s="10" t="s">
        <v>11</v>
      </c>
      <c r="I176" s="11" t="s">
        <v>11</v>
      </c>
      <c r="J176" s="12"/>
    </row>
    <row r="177" spans="1:10" ht="60" customHeight="1">
      <c r="A177" s="6" t="s">
        <v>639</v>
      </c>
      <c r="B177" s="6" t="s">
        <v>197</v>
      </c>
      <c r="C177" s="6" t="s">
        <v>11</v>
      </c>
      <c r="D177" s="7" t="s">
        <v>640</v>
      </c>
      <c r="E177" s="8" t="s">
        <v>641</v>
      </c>
      <c r="F177" s="6" t="s">
        <v>642</v>
      </c>
      <c r="G177" s="9">
        <f>IF(A177=1,"_",IF(C177="_","???",C177))</f>
        <v/>
      </c>
      <c r="H177" s="10" t="s">
        <v>11</v>
      </c>
      <c r="I177" s="11" t="s">
        <v>11</v>
      </c>
      <c r="J177" s="12"/>
    </row>
    <row r="178" spans="1:10" ht="60" customHeight="1">
      <c r="A178" s="6" t="s">
        <v>643</v>
      </c>
      <c r="B178" s="6" t="s">
        <v>27</v>
      </c>
      <c r="C178" s="6" t="s">
        <v>418</v>
      </c>
      <c r="D178" s="7" t="s">
        <v>644</v>
      </c>
      <c r="E178" s="8" t="s">
        <v>645</v>
      </c>
      <c r="F178" s="6" t="s">
        <v>646</v>
      </c>
      <c r="G178" s="9">
        <f>IF(A178=1,"_",IF(C178="_","???",C178))</f>
        <v/>
      </c>
      <c r="H178" s="10" t="s">
        <v>11</v>
      </c>
      <c r="I178" s="11" t="s">
        <v>11</v>
      </c>
      <c r="J178" s="12"/>
    </row>
    <row r="179" spans="1:10" ht="60" customHeight="1">
      <c r="A179" s="6" t="s">
        <v>647</v>
      </c>
      <c r="B179" s="6" t="s">
        <v>27</v>
      </c>
      <c r="C179" s="6" t="s">
        <v>11</v>
      </c>
      <c r="D179" s="7" t="s">
        <v>51</v>
      </c>
      <c r="E179" s="8" t="s">
        <v>648</v>
      </c>
      <c r="F179" s="6" t="s">
        <v>649</v>
      </c>
      <c r="G179" s="9">
        <f>IF(A179=1,"_",IF(C179="_","???",C179))</f>
        <v/>
      </c>
      <c r="H179" s="10" t="s">
        <v>11</v>
      </c>
      <c r="I179" s="11" t="s">
        <v>11</v>
      </c>
      <c r="J179" s="12"/>
    </row>
    <row r="180" spans="1:10" ht="60" customHeight="1">
      <c r="A180" s="6" t="s">
        <v>650</v>
      </c>
      <c r="B180" s="6" t="s">
        <v>15</v>
      </c>
      <c r="C180" s="6" t="s">
        <v>651</v>
      </c>
      <c r="D180" s="7" t="s">
        <v>111</v>
      </c>
      <c r="E180" s="8" t="s">
        <v>652</v>
      </c>
      <c r="F180" s="6" t="s">
        <v>653</v>
      </c>
      <c r="G180" s="9">
        <f>IF(A180=1,"_",IF(C180="_","???",C180))</f>
        <v/>
      </c>
      <c r="H180" s="10" t="s">
        <v>11</v>
      </c>
      <c r="I180" s="11" t="s">
        <v>11</v>
      </c>
      <c r="J180" s="12"/>
    </row>
    <row r="181" spans="1:10" ht="60" customHeight="1">
      <c r="A181" s="6" t="s">
        <v>654</v>
      </c>
      <c r="B181" s="6" t="s">
        <v>10</v>
      </c>
      <c r="C181" s="6" t="s">
        <v>11</v>
      </c>
      <c r="D181" s="7" t="s">
        <v>115</v>
      </c>
      <c r="E181" s="8" t="s">
        <v>116</v>
      </c>
      <c r="F181" s="6" t="s">
        <v>655</v>
      </c>
      <c r="G181" s="9">
        <f>IF(A181=1,"_",IF(C181="_","???",C181))</f>
        <v/>
      </c>
      <c r="H181" s="10" t="s">
        <v>11</v>
      </c>
      <c r="I181" s="11" t="s">
        <v>11</v>
      </c>
      <c r="J181" s="12"/>
    </row>
    <row r="182" spans="1:10" ht="60" customHeight="1">
      <c r="A182" s="6" t="s">
        <v>656</v>
      </c>
      <c r="B182" s="6" t="s">
        <v>19</v>
      </c>
      <c r="C182" s="6" t="s">
        <v>71</v>
      </c>
      <c r="D182" s="7" t="s">
        <v>657</v>
      </c>
      <c r="E182" s="8" t="s">
        <v>658</v>
      </c>
      <c r="F182" s="6" t="s">
        <v>659</v>
      </c>
      <c r="G182" s="9">
        <f>IF(A182=1,"_",IF(C182="_","???",C182))</f>
        <v/>
      </c>
      <c r="H182" s="10" t="s">
        <v>11</v>
      </c>
      <c r="I182" s="11" t="s">
        <v>11</v>
      </c>
      <c r="J182" s="12"/>
    </row>
    <row r="183" spans="1:10" ht="60" customHeight="1">
      <c r="A183" s="6" t="s">
        <v>660</v>
      </c>
      <c r="B183" s="6" t="s">
        <v>50</v>
      </c>
      <c r="C183" s="6" t="s">
        <v>11</v>
      </c>
      <c r="D183" s="7" t="s">
        <v>661</v>
      </c>
      <c r="E183" s="8" t="s">
        <v>662</v>
      </c>
      <c r="F183" s="6" t="s">
        <v>663</v>
      </c>
      <c r="G183" s="9">
        <f>IF(A183=1,"_",IF(C183="_","???",C183))</f>
        <v/>
      </c>
      <c r="H183" s="10" t="s">
        <v>11</v>
      </c>
      <c r="I183" s="11" t="s">
        <v>11</v>
      </c>
      <c r="J183" s="12"/>
    </row>
    <row r="184" spans="1:10" ht="60" customHeight="1">
      <c r="A184" s="6" t="s">
        <v>664</v>
      </c>
      <c r="B184" s="6" t="s">
        <v>10</v>
      </c>
      <c r="C184" s="6" t="s">
        <v>11</v>
      </c>
      <c r="D184" s="7" t="s">
        <v>115</v>
      </c>
      <c r="E184" s="8" t="s">
        <v>665</v>
      </c>
      <c r="F184" s="6" t="s">
        <v>666</v>
      </c>
      <c r="G184" s="9">
        <f>IF(A184=1,"_",IF(C184="_","???",C184))</f>
        <v/>
      </c>
      <c r="H184" s="10" t="s">
        <v>11</v>
      </c>
      <c r="I184" s="11" t="s">
        <v>11</v>
      </c>
      <c r="J184" s="12"/>
    </row>
    <row r="185" spans="1:10" ht="60" customHeight="1">
      <c r="A185" s="6" t="s">
        <v>667</v>
      </c>
      <c r="B185" s="6" t="s">
        <v>10</v>
      </c>
      <c r="C185" s="6" t="s">
        <v>11</v>
      </c>
      <c r="D185" s="7" t="s">
        <v>153</v>
      </c>
      <c r="E185" s="8" t="s">
        <v>668</v>
      </c>
      <c r="F185" s="6" t="s">
        <v>669</v>
      </c>
      <c r="G185" s="9">
        <f>IF(A185=1,"_",IF(C185="_","???",C185))</f>
        <v/>
      </c>
      <c r="H185" s="10" t="s">
        <v>11</v>
      </c>
      <c r="I185" s="11" t="s">
        <v>11</v>
      </c>
      <c r="J185" s="12"/>
    </row>
    <row r="186" spans="1:10" ht="60" customHeight="1">
      <c r="A186" s="6" t="s">
        <v>670</v>
      </c>
      <c r="B186" s="6" t="s">
        <v>19</v>
      </c>
      <c r="C186" s="6" t="s">
        <v>11</v>
      </c>
      <c r="D186" s="7" t="s">
        <v>671</v>
      </c>
      <c r="E186" s="8" t="s">
        <v>672</v>
      </c>
      <c r="F186" s="6" t="s">
        <v>673</v>
      </c>
      <c r="G186" s="9">
        <f>IF(A186=1,"_",IF(C186="_","???",C186))</f>
        <v/>
      </c>
      <c r="H186" s="10" t="s">
        <v>11</v>
      </c>
      <c r="I186" s="11" t="s">
        <v>11</v>
      </c>
      <c r="J186" s="12"/>
    </row>
    <row r="187" spans="1:10" ht="60" customHeight="1">
      <c r="A187" s="6" t="s">
        <v>674</v>
      </c>
      <c r="B187" s="6" t="s">
        <v>31</v>
      </c>
      <c r="C187" s="6" t="s">
        <v>11</v>
      </c>
      <c r="D187" s="7" t="s">
        <v>146</v>
      </c>
      <c r="E187" s="8" t="s">
        <v>675</v>
      </c>
      <c r="F187" s="6" t="s">
        <v>676</v>
      </c>
      <c r="G187" s="9">
        <f>IF(A187=1,"_",IF(C187="_","???",C187))</f>
        <v/>
      </c>
      <c r="H187" s="10" t="s">
        <v>11</v>
      </c>
      <c r="I187" s="11" t="s">
        <v>11</v>
      </c>
      <c r="J187" s="12"/>
    </row>
    <row r="188" spans="1:10" ht="60" customHeight="1">
      <c r="A188" s="6" t="s">
        <v>677</v>
      </c>
      <c r="B188" s="6" t="s">
        <v>19</v>
      </c>
      <c r="C188" s="6" t="s">
        <v>11</v>
      </c>
      <c r="D188" s="7" t="s">
        <v>678</v>
      </c>
      <c r="E188" s="8" t="s">
        <v>679</v>
      </c>
      <c r="F188" s="6" t="s">
        <v>680</v>
      </c>
      <c r="G188" s="9">
        <f>IF(A188=1,"_",IF(C188="_","???",C188))</f>
        <v/>
      </c>
      <c r="H188" s="10" t="s">
        <v>11</v>
      </c>
      <c r="I188" s="11" t="s">
        <v>11</v>
      </c>
      <c r="J188" s="12"/>
    </row>
    <row r="189" spans="1:10" ht="60" customHeight="1">
      <c r="A189" s="6" t="s">
        <v>681</v>
      </c>
      <c r="B189" s="6" t="s">
        <v>50</v>
      </c>
      <c r="C189" s="6" t="s">
        <v>119</v>
      </c>
      <c r="D189" s="7" t="s">
        <v>361</v>
      </c>
      <c r="E189" s="8" t="s">
        <v>682</v>
      </c>
      <c r="F189" s="6" t="s">
        <v>683</v>
      </c>
      <c r="G189" s="9">
        <f>IF(A189=1,"_",IF(C189="_","???",C189))</f>
        <v/>
      </c>
      <c r="H189" s="10" t="s">
        <v>11</v>
      </c>
      <c r="I189" s="11" t="s">
        <v>11</v>
      </c>
      <c r="J189" s="12"/>
    </row>
    <row r="190" spans="1:10" ht="60" customHeight="1">
      <c r="A190" s="6" t="s">
        <v>684</v>
      </c>
      <c r="B190" s="6" t="s">
        <v>10</v>
      </c>
      <c r="C190" s="6" t="s">
        <v>11</v>
      </c>
      <c r="D190" s="7" t="s">
        <v>685</v>
      </c>
      <c r="E190" s="8" t="s">
        <v>686</v>
      </c>
      <c r="F190" s="6" t="s">
        <v>687</v>
      </c>
      <c r="G190" s="9">
        <f>IF(A190=1,"_",IF(C190="_","???",C190))</f>
        <v/>
      </c>
      <c r="H190" s="10" t="s">
        <v>11</v>
      </c>
      <c r="I190" s="11" t="s">
        <v>11</v>
      </c>
      <c r="J190" s="12"/>
    </row>
    <row r="191" spans="1:10" ht="60" customHeight="1">
      <c r="A191" s="6" t="s">
        <v>688</v>
      </c>
      <c r="B191" s="6" t="s">
        <v>19</v>
      </c>
      <c r="C191" s="6" t="s">
        <v>98</v>
      </c>
      <c r="D191" s="7" t="s">
        <v>689</v>
      </c>
      <c r="E191" s="8" t="s">
        <v>690</v>
      </c>
      <c r="F191" s="6" t="s">
        <v>691</v>
      </c>
      <c r="G191" s="9">
        <f>IF(A191=1,"_",IF(C191="_","???",C191))</f>
        <v/>
      </c>
      <c r="H191" s="10" t="s">
        <v>11</v>
      </c>
      <c r="I191" s="11" t="s">
        <v>11</v>
      </c>
      <c r="J191" s="12"/>
    </row>
    <row r="192" spans="1:10" ht="60" customHeight="1">
      <c r="A192" s="6" t="s">
        <v>692</v>
      </c>
      <c r="B192" s="6" t="s">
        <v>39</v>
      </c>
      <c r="C192" s="6" t="s">
        <v>71</v>
      </c>
      <c r="D192" s="7" t="s">
        <v>365</v>
      </c>
      <c r="E192" s="8" t="s">
        <v>693</v>
      </c>
      <c r="F192" s="6" t="s">
        <v>694</v>
      </c>
      <c r="G192" s="9">
        <f>IF(A192=1,"_",IF(C192="_","???",C192))</f>
        <v/>
      </c>
      <c r="H192" s="10" t="s">
        <v>11</v>
      </c>
      <c r="I192" s="11" t="s">
        <v>11</v>
      </c>
      <c r="J192" s="12"/>
    </row>
    <row r="193" spans="1:10" ht="60" customHeight="1">
      <c r="A193" s="6" t="s">
        <v>695</v>
      </c>
      <c r="B193" s="6" t="s">
        <v>10</v>
      </c>
      <c r="C193" s="6" t="s">
        <v>11</v>
      </c>
      <c r="D193" s="7" t="s">
        <v>696</v>
      </c>
      <c r="E193" s="8" t="s">
        <v>697</v>
      </c>
      <c r="F193" s="6" t="s">
        <v>698</v>
      </c>
      <c r="G193" s="9">
        <f>IF(A193=1,"_",IF(C193="_","???",C193))</f>
        <v/>
      </c>
      <c r="H193" s="10" t="s">
        <v>11</v>
      </c>
      <c r="I193" s="11" t="s">
        <v>11</v>
      </c>
      <c r="J193" s="12"/>
    </row>
    <row r="194" spans="1:10" ht="60" customHeight="1">
      <c r="A194" s="6" t="s">
        <v>699</v>
      </c>
      <c r="B194" s="6" t="s">
        <v>10</v>
      </c>
      <c r="C194" s="6" t="s">
        <v>11</v>
      </c>
      <c r="D194" s="7" t="s">
        <v>532</v>
      </c>
      <c r="E194" s="8" t="s">
        <v>700</v>
      </c>
      <c r="F194" s="6" t="s">
        <v>701</v>
      </c>
      <c r="G194" s="9">
        <f>IF(A194=1,"_",IF(C194="_","???",C194))</f>
        <v/>
      </c>
      <c r="H194" s="10" t="s">
        <v>11</v>
      </c>
      <c r="I194" s="11" t="s">
        <v>11</v>
      </c>
      <c r="J194" s="12"/>
    </row>
    <row r="195" spans="1:10" ht="60" customHeight="1">
      <c r="A195" s="6" t="s">
        <v>702</v>
      </c>
      <c r="B195" s="6" t="s">
        <v>75</v>
      </c>
      <c r="C195" s="6" t="s">
        <v>442</v>
      </c>
      <c r="D195" s="7" t="s">
        <v>703</v>
      </c>
      <c r="E195" s="8" t="s">
        <v>704</v>
      </c>
      <c r="F195" s="6" t="s">
        <v>705</v>
      </c>
      <c r="G195" s="9">
        <f>IF(A195=1,"_",IF(C195="_","???",C195))</f>
        <v/>
      </c>
      <c r="H195" s="10" t="s">
        <v>11</v>
      </c>
      <c r="I195" s="11" t="s">
        <v>11</v>
      </c>
      <c r="J195" s="12"/>
    </row>
    <row r="196" spans="1:10" ht="60" customHeight="1">
      <c r="A196" s="6" t="s">
        <v>706</v>
      </c>
      <c r="B196" s="6" t="s">
        <v>10</v>
      </c>
      <c r="C196" s="6" t="s">
        <v>11</v>
      </c>
      <c r="D196" s="7" t="s">
        <v>115</v>
      </c>
      <c r="E196" s="8" t="s">
        <v>116</v>
      </c>
      <c r="F196" s="6" t="s">
        <v>707</v>
      </c>
      <c r="G196" s="9">
        <f>IF(A196=1,"_",IF(C196="_","???",C196))</f>
        <v/>
      </c>
      <c r="H196" s="10" t="s">
        <v>11</v>
      </c>
      <c r="I196" s="11" t="s">
        <v>11</v>
      </c>
      <c r="J196" s="12"/>
    </row>
    <row r="197" spans="1:10" ht="60" customHeight="1">
      <c r="A197" s="6" t="s">
        <v>708</v>
      </c>
      <c r="B197" s="6" t="s">
        <v>19</v>
      </c>
      <c r="C197" s="6" t="s">
        <v>310</v>
      </c>
      <c r="D197" s="7" t="s">
        <v>335</v>
      </c>
      <c r="E197" s="8" t="s">
        <v>709</v>
      </c>
      <c r="F197" s="6" t="s">
        <v>710</v>
      </c>
      <c r="G197" s="9">
        <f>IF(A197=1,"_",IF(C197="_","???",C197))</f>
        <v/>
      </c>
      <c r="H197" s="10" t="s">
        <v>11</v>
      </c>
      <c r="I197" s="11" t="s">
        <v>11</v>
      </c>
      <c r="J197" s="12"/>
    </row>
    <row r="198" spans="1:10" ht="60" customHeight="1">
      <c r="A198" s="6" t="s">
        <v>711</v>
      </c>
      <c r="B198" s="6" t="s">
        <v>39</v>
      </c>
      <c r="C198" s="6" t="s">
        <v>11</v>
      </c>
      <c r="D198" s="7" t="s">
        <v>153</v>
      </c>
      <c r="E198" s="8" t="s">
        <v>712</v>
      </c>
      <c r="F198" s="6" t="s">
        <v>713</v>
      </c>
      <c r="G198" s="9">
        <f>IF(A198=1,"_",IF(C198="_","???",C198))</f>
        <v/>
      </c>
      <c r="H198" s="10" t="s">
        <v>11</v>
      </c>
      <c r="I198" s="11" t="s">
        <v>11</v>
      </c>
      <c r="J198" s="12"/>
    </row>
    <row r="199" spans="1:10" ht="60" customHeight="1">
      <c r="A199" s="6" t="s">
        <v>714</v>
      </c>
      <c r="B199" s="6" t="s">
        <v>23</v>
      </c>
      <c r="C199" s="6" t="s">
        <v>442</v>
      </c>
      <c r="D199" s="7" t="s">
        <v>470</v>
      </c>
      <c r="E199" s="8" t="s">
        <v>715</v>
      </c>
      <c r="F199" s="6" t="s">
        <v>716</v>
      </c>
      <c r="G199" s="9">
        <f>IF(A199=1,"_",IF(C199="_","???",C199))</f>
        <v/>
      </c>
      <c r="H199" s="10" t="s">
        <v>11</v>
      </c>
      <c r="I199" s="11" t="s">
        <v>11</v>
      </c>
      <c r="J199" s="12"/>
    </row>
    <row r="200" spans="1:10" ht="60" customHeight="1">
      <c r="A200" s="6" t="s">
        <v>717</v>
      </c>
      <c r="B200" s="6" t="s">
        <v>15</v>
      </c>
      <c r="C200" s="6" t="s">
        <v>442</v>
      </c>
      <c r="D200" s="7" t="s">
        <v>718</v>
      </c>
      <c r="E200" s="8" t="s">
        <v>719</v>
      </c>
      <c r="F200" s="6" t="s">
        <v>720</v>
      </c>
      <c r="G200" s="9">
        <f>IF(A200=1,"_",IF(C200="_","???",C200))</f>
        <v/>
      </c>
      <c r="H200" s="10" t="s">
        <v>11</v>
      </c>
      <c r="I200" s="11" t="s">
        <v>11</v>
      </c>
      <c r="J200" s="12"/>
    </row>
    <row r="201" spans="1:10" ht="60" customHeight="1">
      <c r="A201" s="6" t="s">
        <v>721</v>
      </c>
      <c r="B201" s="6" t="s">
        <v>19</v>
      </c>
      <c r="C201" s="6" t="s">
        <v>442</v>
      </c>
      <c r="D201" s="7" t="s">
        <v>718</v>
      </c>
      <c r="E201" s="8" t="s">
        <v>722</v>
      </c>
      <c r="F201" s="6" t="s">
        <v>723</v>
      </c>
      <c r="G201" s="9">
        <f>IF(A201=1,"_",IF(C201="_","???",C201))</f>
        <v/>
      </c>
      <c r="H201" s="10" t="s">
        <v>11</v>
      </c>
      <c r="I201" s="11" t="s">
        <v>11</v>
      </c>
      <c r="J201" s="12"/>
    </row>
    <row r="202" spans="1:10" ht="60" customHeight="1">
      <c r="A202" s="6" t="s">
        <v>724</v>
      </c>
      <c r="B202" s="6" t="s">
        <v>10</v>
      </c>
      <c r="C202" s="6" t="s">
        <v>11</v>
      </c>
      <c r="D202" s="7" t="s">
        <v>67</v>
      </c>
      <c r="E202" s="8" t="s">
        <v>68</v>
      </c>
      <c r="F202" s="6" t="s">
        <v>725</v>
      </c>
      <c r="G202" s="9">
        <f>IF(A202=1,"_",IF(C202="_","???",C202))</f>
        <v/>
      </c>
      <c r="H202" s="10" t="s">
        <v>11</v>
      </c>
      <c r="I202" s="11" t="s">
        <v>11</v>
      </c>
      <c r="J202" s="12"/>
    </row>
    <row r="203" spans="1:10" ht="60" customHeight="1">
      <c r="A203" s="6" t="s">
        <v>726</v>
      </c>
      <c r="B203" s="6" t="s">
        <v>15</v>
      </c>
      <c r="C203" s="6" t="s">
        <v>11</v>
      </c>
      <c r="D203" s="7" t="s">
        <v>727</v>
      </c>
      <c r="E203" s="8" t="s">
        <v>728</v>
      </c>
      <c r="F203" s="6" t="s">
        <v>729</v>
      </c>
      <c r="G203" s="9">
        <f>IF(A203=1,"_",IF(C203="_","???",C203))</f>
        <v/>
      </c>
      <c r="H203" s="10" t="s">
        <v>11</v>
      </c>
      <c r="I203" s="11" t="s">
        <v>11</v>
      </c>
      <c r="J203" s="12"/>
    </row>
    <row r="204" spans="1:10" ht="60" customHeight="1">
      <c r="A204" s="6" t="s">
        <v>730</v>
      </c>
      <c r="B204" s="6" t="s">
        <v>15</v>
      </c>
      <c r="C204" s="6" t="s">
        <v>11</v>
      </c>
      <c r="D204" s="7" t="s">
        <v>731</v>
      </c>
      <c r="E204" s="8" t="s">
        <v>732</v>
      </c>
      <c r="F204" s="6" t="s">
        <v>733</v>
      </c>
      <c r="G204" s="9">
        <f>IF(A204=1,"_",IF(C204="_","???",C204))</f>
        <v/>
      </c>
      <c r="H204" s="10" t="s">
        <v>11</v>
      </c>
      <c r="I204" s="11" t="s">
        <v>11</v>
      </c>
      <c r="J204" s="12"/>
    </row>
    <row r="205" spans="1:10" ht="60" customHeight="1">
      <c r="A205" s="6" t="s">
        <v>734</v>
      </c>
      <c r="B205" s="6" t="s">
        <v>23</v>
      </c>
      <c r="C205" s="6" t="s">
        <v>11</v>
      </c>
      <c r="D205" s="7" t="s">
        <v>735</v>
      </c>
      <c r="E205" s="8" t="s">
        <v>736</v>
      </c>
      <c r="F205" s="6" t="s">
        <v>737</v>
      </c>
      <c r="G205" s="9">
        <f>IF(A205=1,"_",IF(C205="_","???",C205))</f>
        <v/>
      </c>
      <c r="H205" s="10" t="s">
        <v>11</v>
      </c>
      <c r="I205" s="11" t="s">
        <v>11</v>
      </c>
      <c r="J205" s="12"/>
    </row>
    <row r="206" spans="1:10" ht="60" customHeight="1">
      <c r="A206" s="6" t="s">
        <v>738</v>
      </c>
      <c r="B206" s="6" t="s">
        <v>15</v>
      </c>
      <c r="C206" s="6" t="s">
        <v>71</v>
      </c>
      <c r="D206" s="7" t="s">
        <v>739</v>
      </c>
      <c r="E206" s="8" t="s">
        <v>740</v>
      </c>
      <c r="F206" s="6" t="s">
        <v>741</v>
      </c>
      <c r="G206" s="9">
        <f>IF(A206=1,"_",IF(C206="_","???",C206))</f>
        <v/>
      </c>
      <c r="H206" s="10" t="s">
        <v>11</v>
      </c>
      <c r="I206" s="11" t="s">
        <v>11</v>
      </c>
      <c r="J206" s="12"/>
    </row>
    <row r="207" spans="1:10" ht="60" customHeight="1">
      <c r="A207" s="6" t="s">
        <v>742</v>
      </c>
      <c r="B207" s="6" t="s">
        <v>15</v>
      </c>
      <c r="C207" s="6" t="s">
        <v>11</v>
      </c>
      <c r="D207" s="7" t="s">
        <v>283</v>
      </c>
      <c r="E207" s="8" t="s">
        <v>743</v>
      </c>
      <c r="F207" s="6" t="s">
        <v>744</v>
      </c>
      <c r="G207" s="9">
        <f>IF(A207=1,"_",IF(C207="_","???",C207))</f>
        <v/>
      </c>
      <c r="H207" s="10" t="s">
        <v>11</v>
      </c>
      <c r="I207" s="11" t="s">
        <v>11</v>
      </c>
      <c r="J207" s="12"/>
    </row>
    <row r="208" spans="1:10" ht="60" customHeight="1">
      <c r="A208" s="6" t="s">
        <v>745</v>
      </c>
      <c r="B208" s="6" t="s">
        <v>23</v>
      </c>
      <c r="C208" s="6" t="s">
        <v>11</v>
      </c>
      <c r="D208" s="7" t="s">
        <v>746</v>
      </c>
      <c r="E208" s="8" t="s">
        <v>747</v>
      </c>
      <c r="F208" s="6" t="s">
        <v>748</v>
      </c>
      <c r="G208" s="9">
        <f>IF(A208=1,"_",IF(C208="_","???",C208))</f>
        <v/>
      </c>
      <c r="H208" s="10" t="s">
        <v>11</v>
      </c>
      <c r="I208" s="11" t="s">
        <v>11</v>
      </c>
      <c r="J208" s="12"/>
    </row>
    <row r="209" spans="1:10" ht="60" customHeight="1">
      <c r="A209" s="6" t="s">
        <v>749</v>
      </c>
      <c r="B209" s="6" t="s">
        <v>62</v>
      </c>
      <c r="C209" s="6" t="s">
        <v>98</v>
      </c>
      <c r="D209" s="7" t="s">
        <v>750</v>
      </c>
      <c r="E209" s="8" t="s">
        <v>751</v>
      </c>
      <c r="F209" s="6" t="s">
        <v>752</v>
      </c>
      <c r="G209" s="9">
        <f>IF(A209=1,"_",IF(C209="_","???",C209))</f>
        <v/>
      </c>
      <c r="H209" s="10" t="s">
        <v>11</v>
      </c>
      <c r="I209" s="11" t="s">
        <v>11</v>
      </c>
      <c r="J209" s="12"/>
    </row>
    <row r="210" spans="1:10" ht="60" customHeight="1">
      <c r="A210" s="6" t="s">
        <v>753</v>
      </c>
      <c r="B210" s="6" t="s">
        <v>10</v>
      </c>
      <c r="C210" s="6" t="s">
        <v>11</v>
      </c>
      <c r="D210" s="7" t="s">
        <v>115</v>
      </c>
      <c r="E210" s="8" t="s">
        <v>116</v>
      </c>
      <c r="F210" s="6" t="s">
        <v>754</v>
      </c>
      <c r="G210" s="9">
        <f>IF(A210=1,"_",IF(C210="_","???",C210))</f>
        <v/>
      </c>
      <c r="H210" s="10" t="s">
        <v>11</v>
      </c>
      <c r="I210" s="11" t="s">
        <v>11</v>
      </c>
      <c r="J210" s="12"/>
    </row>
    <row r="211" spans="1:10" ht="60" customHeight="1">
      <c r="A211" s="6" t="s">
        <v>755</v>
      </c>
      <c r="B211" s="6" t="s">
        <v>23</v>
      </c>
      <c r="C211" s="6" t="s">
        <v>250</v>
      </c>
      <c r="D211" s="7" t="s">
        <v>756</v>
      </c>
      <c r="E211" s="8" t="s">
        <v>757</v>
      </c>
      <c r="F211" s="6" t="s">
        <v>758</v>
      </c>
      <c r="G211" s="9">
        <f>IF(A211=1,"_",IF(C211="_","???",C211))</f>
        <v/>
      </c>
      <c r="H211" s="10" t="s">
        <v>11</v>
      </c>
      <c r="I211" s="11" t="s">
        <v>11</v>
      </c>
      <c r="J211" s="12"/>
    </row>
    <row r="212" spans="1:10" ht="60" customHeight="1">
      <c r="A212" s="6" t="s">
        <v>759</v>
      </c>
      <c r="B212" s="6" t="s">
        <v>10</v>
      </c>
      <c r="C212" s="6" t="s">
        <v>11</v>
      </c>
      <c r="D212" s="7" t="s">
        <v>495</v>
      </c>
      <c r="E212" s="8" t="s">
        <v>760</v>
      </c>
      <c r="F212" s="6" t="s">
        <v>761</v>
      </c>
      <c r="G212" s="9">
        <f>IF(A212=1,"_",IF(C212="_","???",C212))</f>
        <v/>
      </c>
      <c r="H212" s="10" t="s">
        <v>11</v>
      </c>
      <c r="I212" s="11" t="s">
        <v>11</v>
      </c>
      <c r="J212" s="12"/>
    </row>
    <row r="213" spans="1:10" ht="60" customHeight="1">
      <c r="A213" s="6" t="s">
        <v>762</v>
      </c>
      <c r="B213" s="6" t="s">
        <v>15</v>
      </c>
      <c r="C213" s="6" t="s">
        <v>11</v>
      </c>
      <c r="D213" s="7" t="s">
        <v>153</v>
      </c>
      <c r="E213" s="8" t="s">
        <v>763</v>
      </c>
      <c r="F213" s="6" t="s">
        <v>764</v>
      </c>
      <c r="G213" s="9">
        <f>IF(A213=1,"_",IF(C213="_","???",C213))</f>
        <v/>
      </c>
      <c r="H213" s="10" t="s">
        <v>11</v>
      </c>
      <c r="I213" s="11" t="s">
        <v>11</v>
      </c>
      <c r="J213" s="12"/>
    </row>
    <row r="214" spans="1:10" ht="60" customHeight="1">
      <c r="A214" s="6" t="s">
        <v>765</v>
      </c>
      <c r="B214" s="6" t="s">
        <v>15</v>
      </c>
      <c r="C214" s="6" t="s">
        <v>11</v>
      </c>
      <c r="D214" s="7" t="s">
        <v>766</v>
      </c>
      <c r="E214" s="8" t="s">
        <v>767</v>
      </c>
      <c r="F214" s="6" t="s">
        <v>768</v>
      </c>
      <c r="G214" s="9">
        <f>IF(A214=1,"_",IF(C214="_","???",C214))</f>
        <v/>
      </c>
      <c r="H214" s="10" t="s">
        <v>11</v>
      </c>
      <c r="I214" s="11" t="s">
        <v>11</v>
      </c>
      <c r="J214" s="12"/>
    </row>
    <row r="215" spans="1:10" ht="60" customHeight="1">
      <c r="A215" s="6" t="s">
        <v>769</v>
      </c>
      <c r="B215" s="6" t="s">
        <v>10</v>
      </c>
      <c r="C215" s="6" t="s">
        <v>11</v>
      </c>
      <c r="D215" s="7" t="s">
        <v>770</v>
      </c>
      <c r="E215" s="8" t="s">
        <v>771</v>
      </c>
      <c r="F215" s="6" t="s">
        <v>772</v>
      </c>
      <c r="G215" s="9">
        <f>IF(A215=1,"_",IF(C215="_","???",C215))</f>
        <v/>
      </c>
      <c r="H215" s="10" t="s">
        <v>11</v>
      </c>
      <c r="I215" s="11" t="s">
        <v>11</v>
      </c>
      <c r="J215" s="12"/>
    </row>
    <row r="216" spans="1:10" ht="60" customHeight="1">
      <c r="A216" s="6" t="s">
        <v>773</v>
      </c>
      <c r="B216" s="6" t="s">
        <v>10</v>
      </c>
      <c r="C216" s="6" t="s">
        <v>11</v>
      </c>
      <c r="D216" s="7" t="s">
        <v>137</v>
      </c>
      <c r="E216" s="8" t="s">
        <v>774</v>
      </c>
      <c r="F216" s="6" t="s">
        <v>775</v>
      </c>
      <c r="G216" s="9">
        <f>IF(A216=1,"_",IF(C216="_","???",C216))</f>
        <v/>
      </c>
      <c r="H216" s="10" t="s">
        <v>11</v>
      </c>
      <c r="I216" s="11" t="s">
        <v>11</v>
      </c>
      <c r="J216" s="12"/>
    </row>
    <row r="217" spans="1:10" ht="60" customHeight="1">
      <c r="A217" s="6" t="s">
        <v>776</v>
      </c>
      <c r="B217" s="6" t="s">
        <v>15</v>
      </c>
      <c r="C217" s="6" t="s">
        <v>11</v>
      </c>
      <c r="D217" s="7" t="s">
        <v>453</v>
      </c>
      <c r="E217" s="8" t="s">
        <v>777</v>
      </c>
      <c r="F217" s="6" t="s">
        <v>778</v>
      </c>
      <c r="G217" s="9">
        <f>IF(A217=1,"_",IF(C217="_","???",C217))</f>
        <v/>
      </c>
      <c r="H217" s="10" t="s">
        <v>11</v>
      </c>
      <c r="I217" s="11" t="s">
        <v>11</v>
      </c>
      <c r="J217" s="12"/>
    </row>
    <row r="218" spans="1:10" ht="60" customHeight="1">
      <c r="A218" s="6" t="s">
        <v>779</v>
      </c>
      <c r="B218" s="6" t="s">
        <v>10</v>
      </c>
      <c r="C218" s="6" t="s">
        <v>71</v>
      </c>
      <c r="D218" s="7" t="s">
        <v>780</v>
      </c>
      <c r="E218" s="8" t="s">
        <v>781</v>
      </c>
      <c r="F218" s="6" t="s">
        <v>782</v>
      </c>
      <c r="G218" s="9">
        <f>IF(A218=1,"_",IF(C218="_","???",C218))</f>
        <v/>
      </c>
      <c r="H218" s="10" t="s">
        <v>11</v>
      </c>
      <c r="I218" s="11" t="s">
        <v>11</v>
      </c>
      <c r="J218" s="12"/>
    </row>
    <row r="219" spans="1:10" ht="60" customHeight="1">
      <c r="A219" s="6" t="s">
        <v>783</v>
      </c>
      <c r="B219" s="6" t="s">
        <v>10</v>
      </c>
      <c r="C219" s="6" t="s">
        <v>11</v>
      </c>
      <c r="D219" s="7" t="s">
        <v>67</v>
      </c>
      <c r="E219" s="8" t="s">
        <v>68</v>
      </c>
      <c r="F219" s="6" t="s">
        <v>784</v>
      </c>
      <c r="G219" s="9">
        <f>IF(A219=1,"_",IF(C219="_","???",C219))</f>
        <v/>
      </c>
      <c r="H219" s="10" t="s">
        <v>11</v>
      </c>
      <c r="I219" s="11" t="s">
        <v>11</v>
      </c>
      <c r="J219" s="12"/>
    </row>
    <row r="220" spans="1:10" ht="60" customHeight="1">
      <c r="A220" s="6" t="s">
        <v>785</v>
      </c>
      <c r="B220" s="6" t="s">
        <v>19</v>
      </c>
      <c r="C220" s="6" t="s">
        <v>11</v>
      </c>
      <c r="D220" s="7" t="s">
        <v>137</v>
      </c>
      <c r="E220" s="8" t="s">
        <v>786</v>
      </c>
      <c r="F220" s="6" t="s">
        <v>787</v>
      </c>
      <c r="G220" s="9">
        <f>IF(A220=1,"_",IF(C220="_","???",C220))</f>
        <v/>
      </c>
      <c r="H220" s="10" t="s">
        <v>11</v>
      </c>
      <c r="I220" s="11" t="s">
        <v>11</v>
      </c>
      <c r="J220" s="12"/>
    </row>
    <row r="221" spans="1:10" ht="60" customHeight="1">
      <c r="A221" s="6" t="s">
        <v>788</v>
      </c>
      <c r="B221" s="6" t="s">
        <v>10</v>
      </c>
      <c r="C221" s="6" t="s">
        <v>11</v>
      </c>
      <c r="D221" s="7" t="s">
        <v>115</v>
      </c>
      <c r="E221" s="8" t="s">
        <v>116</v>
      </c>
      <c r="F221" s="6" t="s">
        <v>789</v>
      </c>
      <c r="G221" s="9">
        <f>IF(A221=1,"_",IF(C221="_","???",C221))</f>
        <v/>
      </c>
      <c r="H221" s="10" t="s">
        <v>11</v>
      </c>
      <c r="I221" s="11" t="s">
        <v>11</v>
      </c>
      <c r="J221" s="12"/>
    </row>
    <row r="222" spans="1:10" ht="60" customHeight="1">
      <c r="A222" s="6" t="s">
        <v>790</v>
      </c>
      <c r="B222" s="6" t="s">
        <v>19</v>
      </c>
      <c r="C222" s="6" t="s">
        <v>98</v>
      </c>
      <c r="D222" s="7" t="s">
        <v>791</v>
      </c>
      <c r="E222" s="8" t="s">
        <v>792</v>
      </c>
      <c r="F222" s="6" t="s">
        <v>793</v>
      </c>
      <c r="G222" s="9">
        <f>IF(A222=1,"_",IF(C222="_","???",C222))</f>
        <v/>
      </c>
      <c r="H222" s="10" t="s">
        <v>11</v>
      </c>
      <c r="I222" s="11" t="s">
        <v>11</v>
      </c>
      <c r="J222" s="12"/>
    </row>
    <row r="223" spans="1:10" ht="60" customHeight="1">
      <c r="A223" s="6" t="s">
        <v>794</v>
      </c>
      <c r="B223" s="6" t="s">
        <v>46</v>
      </c>
      <c r="C223" s="6" t="s">
        <v>98</v>
      </c>
      <c r="D223" s="7" t="s">
        <v>795</v>
      </c>
      <c r="E223" s="8" t="s">
        <v>796</v>
      </c>
      <c r="F223" s="6" t="s">
        <v>797</v>
      </c>
      <c r="G223" s="9">
        <f>IF(A223=1,"_",IF(C223="_","???",C223))</f>
        <v/>
      </c>
      <c r="H223" s="10" t="s">
        <v>11</v>
      </c>
      <c r="I223" s="11" t="s">
        <v>11</v>
      </c>
      <c r="J223" s="12"/>
    </row>
    <row r="224" spans="1:10" ht="60" customHeight="1">
      <c r="A224" s="6" t="s">
        <v>798</v>
      </c>
      <c r="B224" s="6" t="s">
        <v>54</v>
      </c>
      <c r="C224" s="6" t="s">
        <v>219</v>
      </c>
      <c r="D224" s="7" t="s">
        <v>565</v>
      </c>
      <c r="E224" s="8" t="s">
        <v>799</v>
      </c>
      <c r="F224" s="6" t="s">
        <v>800</v>
      </c>
      <c r="G224" s="9">
        <f>IF(A224=1,"_",IF(C224="_","???",C224))</f>
        <v/>
      </c>
      <c r="H224" s="10" t="s">
        <v>11</v>
      </c>
      <c r="I224" s="11" t="s">
        <v>11</v>
      </c>
      <c r="J224" s="12"/>
    </row>
    <row r="225" spans="1:10" ht="60" customHeight="1">
      <c r="A225" s="6" t="s">
        <v>801</v>
      </c>
      <c r="B225" s="6" t="s">
        <v>23</v>
      </c>
      <c r="C225" s="6" t="s">
        <v>11</v>
      </c>
      <c r="D225" s="7" t="s">
        <v>565</v>
      </c>
      <c r="E225" s="8" t="s">
        <v>802</v>
      </c>
      <c r="F225" s="6" t="s">
        <v>803</v>
      </c>
      <c r="G225" s="9">
        <f>IF(A225=1,"_",IF(C225="_","???",C225))</f>
        <v/>
      </c>
      <c r="H225" s="10" t="s">
        <v>11</v>
      </c>
      <c r="I225" s="11" t="s">
        <v>11</v>
      </c>
      <c r="J225" s="12"/>
    </row>
    <row r="226" spans="1:10" ht="60" customHeight="1">
      <c r="A226" s="6" t="s">
        <v>804</v>
      </c>
      <c r="B226" s="6" t="s">
        <v>15</v>
      </c>
      <c r="C226" s="6" t="s">
        <v>98</v>
      </c>
      <c r="D226" s="7" t="s">
        <v>141</v>
      </c>
      <c r="E226" s="8" t="s">
        <v>805</v>
      </c>
      <c r="F226" s="6" t="s">
        <v>806</v>
      </c>
      <c r="G226" s="9">
        <f>IF(A226=1,"_",IF(C226="_","???",C226))</f>
        <v/>
      </c>
      <c r="H226" s="10" t="s">
        <v>11</v>
      </c>
      <c r="I226" s="11" t="s">
        <v>11</v>
      </c>
      <c r="J226" s="12"/>
    </row>
    <row r="227" spans="1:10" ht="60" customHeight="1">
      <c r="A227" s="6" t="s">
        <v>807</v>
      </c>
      <c r="B227" s="6" t="s">
        <v>15</v>
      </c>
      <c r="C227" s="6" t="s">
        <v>11</v>
      </c>
      <c r="D227" s="7" t="s">
        <v>146</v>
      </c>
      <c r="E227" s="8" t="s">
        <v>808</v>
      </c>
      <c r="F227" s="6" t="s">
        <v>809</v>
      </c>
      <c r="G227" s="9">
        <f>IF(A227=1,"_",IF(C227="_","???",C227))</f>
        <v/>
      </c>
      <c r="H227" s="10" t="s">
        <v>11</v>
      </c>
      <c r="I227" s="11" t="s">
        <v>11</v>
      </c>
      <c r="J227" s="12"/>
    </row>
    <row r="228" spans="1:10" ht="60" customHeight="1">
      <c r="A228" s="6" t="s">
        <v>810</v>
      </c>
      <c r="B228" s="6" t="s">
        <v>19</v>
      </c>
      <c r="C228" s="6" t="s">
        <v>11</v>
      </c>
      <c r="D228" s="7" t="s">
        <v>608</v>
      </c>
      <c r="E228" s="8" t="s">
        <v>811</v>
      </c>
      <c r="F228" s="6" t="s">
        <v>812</v>
      </c>
      <c r="G228" s="9">
        <f>IF(A228=1,"_",IF(C228="_","???",C228))</f>
        <v/>
      </c>
      <c r="H228" s="10" t="s">
        <v>11</v>
      </c>
      <c r="I228" s="11" t="s">
        <v>11</v>
      </c>
      <c r="J228" s="12"/>
    </row>
    <row r="229" spans="1:10" ht="60" customHeight="1">
      <c r="A229" s="6" t="s">
        <v>813</v>
      </c>
      <c r="B229" s="6" t="s">
        <v>10</v>
      </c>
      <c r="C229" s="6" t="s">
        <v>11</v>
      </c>
      <c r="D229" s="7" t="s">
        <v>153</v>
      </c>
      <c r="E229" s="8" t="s">
        <v>814</v>
      </c>
      <c r="F229" s="6" t="s">
        <v>815</v>
      </c>
      <c r="G229" s="9">
        <f>IF(A229=1,"_",IF(C229="_","???",C229))</f>
        <v/>
      </c>
      <c r="H229" s="10" t="s">
        <v>11</v>
      </c>
      <c r="I229" s="11" t="s">
        <v>11</v>
      </c>
      <c r="J229" s="12"/>
    </row>
    <row r="230" spans="1:10" ht="60" customHeight="1">
      <c r="A230" s="6" t="s">
        <v>816</v>
      </c>
      <c r="B230" s="6" t="s">
        <v>15</v>
      </c>
      <c r="C230" s="6" t="s">
        <v>11</v>
      </c>
      <c r="D230" s="7" t="s">
        <v>817</v>
      </c>
      <c r="E230" s="8" t="s">
        <v>818</v>
      </c>
      <c r="F230" s="6" t="s">
        <v>819</v>
      </c>
      <c r="G230" s="9">
        <f>IF(A230=1,"_",IF(C230="_","???",C230))</f>
        <v/>
      </c>
      <c r="H230" s="10" t="s">
        <v>11</v>
      </c>
      <c r="I230" s="11" t="s">
        <v>11</v>
      </c>
      <c r="J230" s="12"/>
    </row>
    <row r="231" spans="1:10" ht="60" customHeight="1">
      <c r="A231" s="6" t="s">
        <v>820</v>
      </c>
      <c r="B231" s="6" t="s">
        <v>42</v>
      </c>
      <c r="C231" s="6" t="s">
        <v>136</v>
      </c>
      <c r="D231" s="7" t="s">
        <v>111</v>
      </c>
      <c r="E231" s="8" t="s">
        <v>821</v>
      </c>
      <c r="F231" s="6" t="s">
        <v>822</v>
      </c>
      <c r="G231" s="9">
        <f>IF(A231=1,"_",IF(C231="_","???",C231))</f>
        <v/>
      </c>
      <c r="H231" s="10" t="s">
        <v>11</v>
      </c>
      <c r="I231" s="11" t="s">
        <v>11</v>
      </c>
      <c r="J231" s="12"/>
    </row>
    <row r="232" spans="1:10" ht="60" customHeight="1">
      <c r="A232" s="6" t="s">
        <v>823</v>
      </c>
      <c r="B232" s="6" t="s">
        <v>144</v>
      </c>
      <c r="C232" s="6" t="s">
        <v>98</v>
      </c>
      <c r="D232" s="7" t="s">
        <v>438</v>
      </c>
      <c r="E232" s="8" t="s">
        <v>824</v>
      </c>
      <c r="F232" s="6" t="s">
        <v>825</v>
      </c>
      <c r="G232" s="9">
        <f>IF(A232=1,"_",IF(C232="_","???",C232))</f>
        <v/>
      </c>
      <c r="H232" s="10" t="s">
        <v>11</v>
      </c>
      <c r="I232" s="11" t="s">
        <v>11</v>
      </c>
      <c r="J232" s="12"/>
    </row>
    <row r="233" spans="1:10" ht="60" customHeight="1">
      <c r="A233" s="6" t="s">
        <v>826</v>
      </c>
      <c r="B233" s="6" t="s">
        <v>10</v>
      </c>
      <c r="C233" s="6" t="s">
        <v>11</v>
      </c>
      <c r="D233" s="7" t="s">
        <v>115</v>
      </c>
      <c r="E233" s="8" t="s">
        <v>116</v>
      </c>
      <c r="F233" s="6" t="s">
        <v>827</v>
      </c>
      <c r="G233" s="9">
        <f>IF(A233=1,"_",IF(C233="_","???",C233))</f>
        <v/>
      </c>
      <c r="H233" s="10" t="s">
        <v>11</v>
      </c>
      <c r="I233" s="11" t="s">
        <v>11</v>
      </c>
      <c r="J233" s="12"/>
    </row>
    <row r="234" spans="1:10" ht="60" customHeight="1">
      <c r="A234" s="6" t="s">
        <v>828</v>
      </c>
      <c r="B234" s="6" t="s">
        <v>19</v>
      </c>
      <c r="C234" s="6" t="s">
        <v>11</v>
      </c>
      <c r="D234" s="7" t="s">
        <v>829</v>
      </c>
      <c r="E234" s="8" t="s">
        <v>830</v>
      </c>
      <c r="F234" s="6" t="s">
        <v>831</v>
      </c>
      <c r="G234" s="9">
        <f>IF(A234=1,"_",IF(C234="_","???",C234))</f>
        <v/>
      </c>
      <c r="H234" s="10" t="s">
        <v>11</v>
      </c>
      <c r="I234" s="11" t="s">
        <v>11</v>
      </c>
      <c r="J234" s="12"/>
    </row>
    <row r="235" spans="1:10" ht="60" customHeight="1">
      <c r="A235" s="6" t="s">
        <v>832</v>
      </c>
      <c r="B235" s="6" t="s">
        <v>46</v>
      </c>
      <c r="C235" s="6" t="s">
        <v>833</v>
      </c>
      <c r="D235" s="7" t="s">
        <v>51</v>
      </c>
      <c r="E235" s="8" t="s">
        <v>834</v>
      </c>
      <c r="F235" s="6" t="s">
        <v>835</v>
      </c>
      <c r="G235" s="9">
        <f>IF(A235=1,"_",IF(C235="_","???",C235))</f>
        <v/>
      </c>
      <c r="H235" s="10" t="s">
        <v>11</v>
      </c>
      <c r="I235" s="11" t="s">
        <v>11</v>
      </c>
      <c r="J235" s="12"/>
    </row>
    <row r="236" spans="1:10" ht="60" customHeight="1">
      <c r="A236" s="6" t="s">
        <v>836</v>
      </c>
      <c r="B236" s="6" t="s">
        <v>10</v>
      </c>
      <c r="C236" s="6" t="s">
        <v>11</v>
      </c>
      <c r="D236" s="7" t="s">
        <v>837</v>
      </c>
      <c r="E236" s="8" t="s">
        <v>838</v>
      </c>
      <c r="F236" s="6" t="s">
        <v>839</v>
      </c>
      <c r="G236" s="9">
        <f>IF(A236=1,"_",IF(C236="_","???",C236))</f>
        <v/>
      </c>
      <c r="H236" s="10" t="s">
        <v>11</v>
      </c>
      <c r="I236" s="11" t="s">
        <v>11</v>
      </c>
      <c r="J236" s="12"/>
    </row>
    <row r="237" spans="1:10" ht="60" customHeight="1">
      <c r="A237" s="6" t="s">
        <v>840</v>
      </c>
      <c r="B237" s="6" t="s">
        <v>10</v>
      </c>
      <c r="C237" s="6" t="s">
        <v>11</v>
      </c>
      <c r="D237" s="7" t="s">
        <v>554</v>
      </c>
      <c r="E237" s="8" t="s">
        <v>841</v>
      </c>
      <c r="F237" s="6" t="s">
        <v>842</v>
      </c>
      <c r="G237" s="9">
        <f>IF(A237=1,"_",IF(C237="_","???",C237))</f>
        <v/>
      </c>
      <c r="H237" s="10" t="s">
        <v>11</v>
      </c>
      <c r="I237" s="11" t="s">
        <v>11</v>
      </c>
      <c r="J237" s="12"/>
    </row>
    <row r="238" spans="1:10" ht="60" customHeight="1">
      <c r="A238" s="6" t="s">
        <v>843</v>
      </c>
      <c r="B238" s="6" t="s">
        <v>23</v>
      </c>
      <c r="C238" s="6" t="s">
        <v>11</v>
      </c>
      <c r="D238" s="7" t="s">
        <v>438</v>
      </c>
      <c r="E238" s="8" t="s">
        <v>844</v>
      </c>
      <c r="F238" s="6" t="s">
        <v>845</v>
      </c>
      <c r="G238" s="9">
        <f>IF(A238=1,"_",IF(C238="_","???",C238))</f>
        <v/>
      </c>
      <c r="H238" s="10" t="s">
        <v>11</v>
      </c>
      <c r="I238" s="11" t="s">
        <v>11</v>
      </c>
      <c r="J238" s="12"/>
    </row>
    <row r="239" spans="1:10" ht="60" customHeight="1">
      <c r="A239" s="6" t="s">
        <v>846</v>
      </c>
      <c r="B239" s="6" t="s">
        <v>15</v>
      </c>
      <c r="C239" s="6" t="s">
        <v>11</v>
      </c>
      <c r="D239" s="7" t="s">
        <v>51</v>
      </c>
      <c r="E239" s="8" t="s">
        <v>847</v>
      </c>
      <c r="F239" s="6" t="s">
        <v>848</v>
      </c>
      <c r="G239" s="9">
        <f>IF(A239=1,"_",IF(C239="_","???",C239))</f>
        <v/>
      </c>
      <c r="H239" s="10" t="s">
        <v>11</v>
      </c>
      <c r="I239" s="11" t="s">
        <v>11</v>
      </c>
      <c r="J239" s="12"/>
    </row>
    <row r="240" spans="1:10" ht="60" customHeight="1">
      <c r="A240" s="6" t="s">
        <v>849</v>
      </c>
      <c r="B240" s="6" t="s">
        <v>10</v>
      </c>
      <c r="C240" s="6" t="s">
        <v>11</v>
      </c>
      <c r="D240" s="7" t="s">
        <v>837</v>
      </c>
      <c r="E240" s="8" t="s">
        <v>850</v>
      </c>
      <c r="F240" s="6" t="s">
        <v>851</v>
      </c>
      <c r="G240" s="9">
        <f>IF(A240=1,"_",IF(C240="_","???",C240))</f>
        <v/>
      </c>
      <c r="H240" s="10" t="s">
        <v>11</v>
      </c>
      <c r="I240" s="11" t="s">
        <v>11</v>
      </c>
      <c r="J240" s="12"/>
    </row>
    <row r="241" spans="1:10" ht="60" customHeight="1">
      <c r="A241" s="6" t="s">
        <v>852</v>
      </c>
      <c r="B241" s="6" t="s">
        <v>15</v>
      </c>
      <c r="C241" s="6" t="s">
        <v>71</v>
      </c>
      <c r="D241" s="7" t="s">
        <v>20</v>
      </c>
      <c r="E241" s="8" t="s">
        <v>853</v>
      </c>
      <c r="F241" s="6" t="s">
        <v>854</v>
      </c>
      <c r="G241" s="9">
        <f>IF(A241=1,"_",IF(C241="_","???",C241))</f>
        <v/>
      </c>
      <c r="H241" s="10" t="s">
        <v>11</v>
      </c>
      <c r="I241" s="11" t="s">
        <v>11</v>
      </c>
      <c r="J241" s="12"/>
    </row>
    <row r="242" spans="1:10" ht="60" customHeight="1">
      <c r="A242" s="6" t="s">
        <v>855</v>
      </c>
      <c r="B242" s="6" t="s">
        <v>42</v>
      </c>
      <c r="C242" s="6" t="s">
        <v>11</v>
      </c>
      <c r="D242" s="7" t="s">
        <v>856</v>
      </c>
      <c r="E242" s="8" t="s">
        <v>857</v>
      </c>
      <c r="F242" s="6" t="s">
        <v>858</v>
      </c>
      <c r="G242" s="9">
        <f>IF(A242=1,"_",IF(C242="_","???",C242))</f>
        <v/>
      </c>
      <c r="H242" s="10" t="s">
        <v>11</v>
      </c>
      <c r="I242" s="11" t="s">
        <v>11</v>
      </c>
      <c r="J242" s="12"/>
    </row>
    <row r="243" spans="1:10" ht="60" customHeight="1">
      <c r="A243" s="6" t="s">
        <v>859</v>
      </c>
      <c r="B243" s="6" t="s">
        <v>19</v>
      </c>
      <c r="C243" s="6" t="s">
        <v>11</v>
      </c>
      <c r="D243" s="7" t="s">
        <v>51</v>
      </c>
      <c r="E243" s="8" t="s">
        <v>860</v>
      </c>
      <c r="F243" s="6" t="s">
        <v>861</v>
      </c>
      <c r="G243" s="9">
        <f>IF(A243=1,"_",IF(C243="_","???",C243))</f>
        <v/>
      </c>
      <c r="H243" s="10" t="s">
        <v>11</v>
      </c>
      <c r="I243" s="11" t="s">
        <v>11</v>
      </c>
      <c r="J243" s="12"/>
    </row>
    <row r="244" spans="1:10" ht="60" customHeight="1">
      <c r="A244" s="6" t="s">
        <v>862</v>
      </c>
      <c r="B244" s="6" t="s">
        <v>10</v>
      </c>
      <c r="C244" s="6" t="s">
        <v>11</v>
      </c>
      <c r="D244" s="7" t="s">
        <v>67</v>
      </c>
      <c r="E244" s="8" t="s">
        <v>863</v>
      </c>
      <c r="F244" s="6" t="s">
        <v>864</v>
      </c>
      <c r="G244" s="9">
        <f>IF(A244=1,"_",IF(C244="_","???",C244))</f>
        <v/>
      </c>
      <c r="H244" s="10" t="s">
        <v>11</v>
      </c>
      <c r="I244" s="11" t="s">
        <v>11</v>
      </c>
      <c r="J244" s="12"/>
    </row>
    <row r="245" spans="1:10" ht="60" customHeight="1">
      <c r="A245" s="6" t="s">
        <v>865</v>
      </c>
      <c r="B245" s="6" t="s">
        <v>10</v>
      </c>
      <c r="C245" s="6" t="s">
        <v>866</v>
      </c>
      <c r="D245" s="7" t="s">
        <v>259</v>
      </c>
      <c r="E245" s="8" t="s">
        <v>867</v>
      </c>
      <c r="F245" s="6" t="s">
        <v>868</v>
      </c>
      <c r="G245" s="9">
        <f>IF(A245=1,"_",IF(C245="_","???",C245))</f>
        <v/>
      </c>
      <c r="H245" s="10" t="s">
        <v>11</v>
      </c>
      <c r="I245" s="11" t="s">
        <v>11</v>
      </c>
      <c r="J245" s="12"/>
    </row>
    <row r="246" spans="1:10" ht="60" customHeight="1">
      <c r="A246" s="6" t="s">
        <v>869</v>
      </c>
      <c r="B246" s="6" t="s">
        <v>15</v>
      </c>
      <c r="C246" s="6" t="s">
        <v>98</v>
      </c>
      <c r="D246" s="7" t="s">
        <v>386</v>
      </c>
      <c r="E246" s="8" t="s">
        <v>870</v>
      </c>
      <c r="F246" s="6" t="s">
        <v>871</v>
      </c>
      <c r="G246" s="9">
        <f>IF(A246=1,"_",IF(C246="_","???",C246))</f>
        <v/>
      </c>
      <c r="H246" s="10" t="s">
        <v>11</v>
      </c>
      <c r="I246" s="11" t="s">
        <v>11</v>
      </c>
      <c r="J246" s="12"/>
    </row>
    <row r="247" spans="1:10" ht="60" customHeight="1">
      <c r="A247" s="6" t="s">
        <v>872</v>
      </c>
      <c r="B247" s="6" t="s">
        <v>10</v>
      </c>
      <c r="C247" s="6" t="s">
        <v>71</v>
      </c>
      <c r="D247" s="7" t="s">
        <v>51</v>
      </c>
      <c r="E247" s="8" t="s">
        <v>873</v>
      </c>
      <c r="F247" s="6" t="s">
        <v>874</v>
      </c>
      <c r="G247" s="9">
        <f>IF(A247=1,"_",IF(C247="_","???",C247))</f>
        <v/>
      </c>
      <c r="H247" s="10" t="s">
        <v>11</v>
      </c>
      <c r="I247" s="11" t="s">
        <v>11</v>
      </c>
      <c r="J247" s="12"/>
    </row>
    <row r="248" spans="1:10" ht="60" customHeight="1">
      <c r="A248" s="6" t="s">
        <v>875</v>
      </c>
      <c r="B248" s="6" t="s">
        <v>10</v>
      </c>
      <c r="C248" s="6" t="s">
        <v>11</v>
      </c>
      <c r="D248" s="7" t="s">
        <v>115</v>
      </c>
      <c r="E248" s="8" t="s">
        <v>116</v>
      </c>
      <c r="F248" s="6" t="s">
        <v>876</v>
      </c>
      <c r="G248" s="9">
        <f>IF(A248=1,"_",IF(C248="_","???",C248))</f>
        <v/>
      </c>
      <c r="H248" s="10" t="s">
        <v>11</v>
      </c>
      <c r="I248" s="11" t="s">
        <v>11</v>
      </c>
      <c r="J248" s="12"/>
    </row>
    <row r="249" spans="1:10" ht="60" customHeight="1">
      <c r="A249" s="6" t="s">
        <v>877</v>
      </c>
      <c r="B249" s="6" t="s">
        <v>10</v>
      </c>
      <c r="C249" s="6" t="s">
        <v>11</v>
      </c>
      <c r="D249" s="7" t="s">
        <v>51</v>
      </c>
      <c r="E249" s="8" t="s">
        <v>878</v>
      </c>
      <c r="F249" s="6" t="s">
        <v>879</v>
      </c>
      <c r="G249" s="9">
        <f>IF(A249=1,"_",IF(C249="_","???",C249))</f>
        <v/>
      </c>
      <c r="H249" s="10" t="s">
        <v>11</v>
      </c>
      <c r="I249" s="11" t="s">
        <v>11</v>
      </c>
      <c r="J249" s="12"/>
    </row>
    <row r="250" spans="1:10" ht="60" customHeight="1">
      <c r="A250" s="6" t="s">
        <v>880</v>
      </c>
      <c r="B250" s="6" t="s">
        <v>79</v>
      </c>
      <c r="C250" s="6" t="s">
        <v>11</v>
      </c>
      <c r="D250" s="7" t="s">
        <v>32</v>
      </c>
      <c r="E250" s="8" t="s">
        <v>881</v>
      </c>
      <c r="F250" s="6" t="s">
        <v>882</v>
      </c>
      <c r="G250" s="9">
        <f>IF(A250=1,"_",IF(C250="_","???",C250))</f>
        <v/>
      </c>
      <c r="H250" s="10" t="s">
        <v>11</v>
      </c>
      <c r="I250" s="11" t="s">
        <v>11</v>
      </c>
      <c r="J250" s="12"/>
    </row>
    <row r="251" spans="1:10" ht="60" customHeight="1">
      <c r="A251" s="6" t="s">
        <v>883</v>
      </c>
      <c r="B251" s="6" t="s">
        <v>10</v>
      </c>
      <c r="C251" s="6" t="s">
        <v>11</v>
      </c>
      <c r="D251" s="7" t="s">
        <v>67</v>
      </c>
      <c r="E251" s="8" t="s">
        <v>68</v>
      </c>
      <c r="F251" s="6" t="s">
        <v>884</v>
      </c>
      <c r="G251" s="9">
        <f>IF(A251=1,"_",IF(C251="_","???",C251))</f>
        <v/>
      </c>
      <c r="H251" s="10" t="s">
        <v>11</v>
      </c>
      <c r="I251" s="11" t="s">
        <v>11</v>
      </c>
      <c r="J251" s="12"/>
    </row>
    <row r="252" spans="1:10" ht="60" customHeight="1">
      <c r="A252" s="6" t="s">
        <v>885</v>
      </c>
      <c r="B252" s="6" t="s">
        <v>27</v>
      </c>
      <c r="C252" s="6" t="s">
        <v>11</v>
      </c>
      <c r="D252" s="7" t="s">
        <v>470</v>
      </c>
      <c r="E252" s="8" t="s">
        <v>886</v>
      </c>
      <c r="F252" s="6" t="s">
        <v>887</v>
      </c>
      <c r="G252" s="9">
        <f>IF(A252=1,"_",IF(C252="_","???",C252))</f>
        <v/>
      </c>
      <c r="H252" s="10" t="s">
        <v>11</v>
      </c>
      <c r="I252" s="11" t="s">
        <v>11</v>
      </c>
      <c r="J252" s="12"/>
    </row>
    <row r="253" spans="1:10" ht="60" customHeight="1">
      <c r="A253" s="6" t="s">
        <v>888</v>
      </c>
      <c r="B253" s="6" t="s">
        <v>31</v>
      </c>
      <c r="C253" s="6" t="s">
        <v>11</v>
      </c>
      <c r="D253" s="7" t="s">
        <v>889</v>
      </c>
      <c r="E253" s="8" t="s">
        <v>890</v>
      </c>
      <c r="F253" s="6" t="s">
        <v>891</v>
      </c>
      <c r="G253" s="9">
        <f>IF(A253=1,"_",IF(C253="_","???",C253))</f>
        <v/>
      </c>
      <c r="H253" s="10" t="s">
        <v>11</v>
      </c>
      <c r="I253" s="11" t="s">
        <v>11</v>
      </c>
      <c r="J253" s="12"/>
    </row>
    <row r="254" spans="1:10" ht="60" customHeight="1">
      <c r="A254" s="6" t="s">
        <v>892</v>
      </c>
      <c r="B254" s="6" t="s">
        <v>10</v>
      </c>
      <c r="C254" s="6" t="s">
        <v>11</v>
      </c>
      <c r="D254" s="7" t="s">
        <v>893</v>
      </c>
      <c r="E254" s="8" t="s">
        <v>894</v>
      </c>
      <c r="F254" s="6" t="s">
        <v>895</v>
      </c>
      <c r="G254" s="9">
        <f>IF(A254=1,"_",IF(C254="_","???",C254))</f>
        <v/>
      </c>
      <c r="H254" s="10" t="s">
        <v>11</v>
      </c>
      <c r="I254" s="11" t="s">
        <v>11</v>
      </c>
      <c r="J254" s="12"/>
    </row>
    <row r="255" spans="1:10" ht="60" customHeight="1">
      <c r="A255" s="6" t="s">
        <v>896</v>
      </c>
      <c r="B255" s="6" t="s">
        <v>42</v>
      </c>
      <c r="C255" s="6" t="s">
        <v>119</v>
      </c>
      <c r="D255" s="7" t="s">
        <v>897</v>
      </c>
      <c r="E255" s="8" t="s">
        <v>898</v>
      </c>
      <c r="F255" s="6" t="s">
        <v>899</v>
      </c>
      <c r="G255" s="9">
        <f>IF(A255=1,"_",IF(C255="_","???",C255))</f>
        <v/>
      </c>
      <c r="H255" s="10" t="s">
        <v>11</v>
      </c>
      <c r="I255" s="11" t="s">
        <v>11</v>
      </c>
      <c r="J255" s="12"/>
    </row>
    <row r="256" spans="1:10" ht="60" customHeight="1">
      <c r="A256" s="6" t="s">
        <v>900</v>
      </c>
      <c r="B256" s="6" t="s">
        <v>10</v>
      </c>
      <c r="C256" s="6" t="s">
        <v>11</v>
      </c>
      <c r="D256" s="7" t="s">
        <v>67</v>
      </c>
      <c r="E256" s="8" t="s">
        <v>68</v>
      </c>
      <c r="F256" s="6" t="s">
        <v>901</v>
      </c>
      <c r="G256" s="9">
        <f>IF(A256=1,"_",IF(C256="_","???",C256))</f>
        <v/>
      </c>
      <c r="H256" s="10" t="s">
        <v>11</v>
      </c>
      <c r="I256" s="11" t="s">
        <v>11</v>
      </c>
      <c r="J256" s="12"/>
    </row>
    <row r="257" spans="1:10" ht="60" customHeight="1">
      <c r="A257" s="6" t="s">
        <v>902</v>
      </c>
      <c r="B257" s="6" t="s">
        <v>19</v>
      </c>
      <c r="C257" s="6" t="s">
        <v>11</v>
      </c>
      <c r="D257" s="7" t="s">
        <v>90</v>
      </c>
      <c r="E257" s="8" t="s">
        <v>903</v>
      </c>
      <c r="F257" s="6" t="s">
        <v>904</v>
      </c>
      <c r="G257" s="9">
        <f>IF(A257=1,"_",IF(C257="_","???",C257))</f>
        <v/>
      </c>
      <c r="H257" s="10" t="s">
        <v>11</v>
      </c>
      <c r="I257" s="11" t="s">
        <v>11</v>
      </c>
      <c r="J257" s="12"/>
    </row>
    <row r="258" spans="1:10" ht="60" customHeight="1">
      <c r="A258" s="6" t="s">
        <v>905</v>
      </c>
      <c r="B258" s="6" t="s">
        <v>50</v>
      </c>
      <c r="C258" s="6" t="s">
        <v>418</v>
      </c>
      <c r="D258" s="7" t="s">
        <v>141</v>
      </c>
      <c r="E258" s="8" t="s">
        <v>906</v>
      </c>
      <c r="F258" s="6" t="s">
        <v>907</v>
      </c>
      <c r="G258" s="9">
        <f>IF(A258=1,"_",IF(C258="_","???",C258))</f>
        <v/>
      </c>
      <c r="H258" s="10" t="s">
        <v>11</v>
      </c>
      <c r="I258" s="11" t="s">
        <v>11</v>
      </c>
      <c r="J258" s="12"/>
    </row>
    <row r="259" spans="1:10" ht="60" customHeight="1">
      <c r="A259" s="6" t="s">
        <v>908</v>
      </c>
      <c r="B259" s="6" t="s">
        <v>10</v>
      </c>
      <c r="C259" s="6" t="s">
        <v>11</v>
      </c>
      <c r="D259" s="7" t="s">
        <v>909</v>
      </c>
      <c r="E259" s="8" t="s">
        <v>910</v>
      </c>
      <c r="F259" s="6" t="s">
        <v>911</v>
      </c>
      <c r="G259" s="9">
        <f>IF(A259=1,"_",IF(C259="_","???",C259))</f>
        <v/>
      </c>
      <c r="H259" s="10" t="s">
        <v>11</v>
      </c>
      <c r="I259" s="11" t="s">
        <v>11</v>
      </c>
      <c r="J259" s="12"/>
    </row>
    <row r="260" spans="1:10" ht="60" customHeight="1">
      <c r="A260" s="6" t="s">
        <v>912</v>
      </c>
      <c r="B260" s="6" t="s">
        <v>50</v>
      </c>
      <c r="C260" s="6" t="s">
        <v>11</v>
      </c>
      <c r="D260" s="7" t="s">
        <v>817</v>
      </c>
      <c r="E260" s="8" t="s">
        <v>913</v>
      </c>
      <c r="F260" s="6" t="s">
        <v>914</v>
      </c>
      <c r="G260" s="9">
        <f>IF(A260=1,"_",IF(C260="_","???",C260))</f>
        <v/>
      </c>
      <c r="H260" s="10" t="s">
        <v>11</v>
      </c>
      <c r="I260" s="11" t="s">
        <v>11</v>
      </c>
      <c r="J260" s="12"/>
    </row>
    <row r="261" spans="1:10" ht="60" customHeight="1">
      <c r="A261" s="6" t="s">
        <v>915</v>
      </c>
      <c r="B261" s="6" t="s">
        <v>10</v>
      </c>
      <c r="C261" s="6" t="s">
        <v>11</v>
      </c>
      <c r="D261" s="7" t="s">
        <v>153</v>
      </c>
      <c r="E261" s="8" t="s">
        <v>916</v>
      </c>
      <c r="F261" s="6" t="s">
        <v>917</v>
      </c>
      <c r="G261" s="9">
        <f>IF(A261=1,"_",IF(C261="_","???",C261))</f>
        <v/>
      </c>
      <c r="H261" s="10" t="s">
        <v>11</v>
      </c>
      <c r="I261" s="11" t="s">
        <v>11</v>
      </c>
      <c r="J261" s="12"/>
    </row>
    <row r="262" spans="1:10" ht="60" customHeight="1">
      <c r="A262" s="6" t="s">
        <v>918</v>
      </c>
      <c r="B262" s="6" t="s">
        <v>152</v>
      </c>
      <c r="C262" s="6" t="s">
        <v>219</v>
      </c>
      <c r="D262" s="7" t="s">
        <v>919</v>
      </c>
      <c r="E262" s="8" t="s">
        <v>920</v>
      </c>
      <c r="F262" s="6" t="s">
        <v>921</v>
      </c>
      <c r="G262" s="9">
        <f>IF(A262=1,"_",IF(C262="_","???",C262))</f>
        <v/>
      </c>
      <c r="H262" s="10" t="s">
        <v>11</v>
      </c>
      <c r="I262" s="11" t="s">
        <v>11</v>
      </c>
      <c r="J262" s="12"/>
    </row>
    <row r="263" spans="1:10" ht="60" customHeight="1">
      <c r="A263" s="6" t="s">
        <v>922</v>
      </c>
      <c r="B263" s="6" t="s">
        <v>31</v>
      </c>
      <c r="C263" s="6" t="s">
        <v>11</v>
      </c>
      <c r="D263" s="7" t="s">
        <v>923</v>
      </c>
      <c r="E263" s="8" t="s">
        <v>924</v>
      </c>
      <c r="F263" s="6" t="s">
        <v>925</v>
      </c>
      <c r="G263" s="9">
        <f>IF(A263=1,"_",IF(C263="_","???",C263))</f>
        <v/>
      </c>
      <c r="H263" s="10" t="s">
        <v>11</v>
      </c>
      <c r="I263" s="11" t="s">
        <v>11</v>
      </c>
      <c r="J263" s="12"/>
    </row>
    <row r="264" spans="1:10" ht="60" customHeight="1">
      <c r="A264" s="6" t="s">
        <v>926</v>
      </c>
      <c r="B264" s="6" t="s">
        <v>35</v>
      </c>
      <c r="C264" s="6" t="s">
        <v>927</v>
      </c>
      <c r="D264" s="7" t="s">
        <v>111</v>
      </c>
      <c r="E264" s="8" t="s">
        <v>928</v>
      </c>
      <c r="F264" s="6" t="s">
        <v>929</v>
      </c>
      <c r="G264" s="9">
        <f>IF(A264=1,"_",IF(C264="_","???",C264))</f>
        <v/>
      </c>
      <c r="H264" s="10" t="s">
        <v>11</v>
      </c>
      <c r="I264" s="11" t="s">
        <v>11</v>
      </c>
      <c r="J264" s="12"/>
    </row>
    <row r="265" spans="1:10" ht="60" customHeight="1">
      <c r="A265" s="6" t="s">
        <v>930</v>
      </c>
      <c r="B265" s="6" t="s">
        <v>15</v>
      </c>
      <c r="C265" s="6" t="s">
        <v>11</v>
      </c>
      <c r="D265" s="7" t="s">
        <v>931</v>
      </c>
      <c r="E265" s="8" t="s">
        <v>932</v>
      </c>
      <c r="F265" s="6" t="s">
        <v>933</v>
      </c>
      <c r="G265" s="9">
        <f>IF(A265=1,"_",IF(C265="_","???",C265))</f>
        <v/>
      </c>
      <c r="H265" s="10" t="s">
        <v>11</v>
      </c>
      <c r="I265" s="11" t="s">
        <v>11</v>
      </c>
      <c r="J265" s="12"/>
    </row>
    <row r="266" spans="1:10" ht="60" customHeight="1">
      <c r="A266" s="6" t="s">
        <v>934</v>
      </c>
      <c r="B266" s="6" t="s">
        <v>15</v>
      </c>
      <c r="C266" s="6" t="s">
        <v>11</v>
      </c>
      <c r="D266" s="7" t="s">
        <v>146</v>
      </c>
      <c r="E266" s="8" t="s">
        <v>935</v>
      </c>
      <c r="F266" s="6" t="s">
        <v>936</v>
      </c>
      <c r="G266" s="9">
        <f>IF(A266=1,"_",IF(C266="_","???",C266))</f>
        <v/>
      </c>
      <c r="H266" s="10" t="s">
        <v>11</v>
      </c>
      <c r="I266" s="11" t="s">
        <v>11</v>
      </c>
      <c r="J266" s="12"/>
    </row>
    <row r="267" spans="1:10" ht="60" customHeight="1">
      <c r="A267" s="6" t="s">
        <v>937</v>
      </c>
      <c r="B267" s="6" t="s">
        <v>39</v>
      </c>
      <c r="C267" s="6" t="s">
        <v>71</v>
      </c>
      <c r="D267" s="7" t="s">
        <v>938</v>
      </c>
      <c r="E267" s="8" t="s">
        <v>939</v>
      </c>
      <c r="F267" s="6" t="s">
        <v>940</v>
      </c>
      <c r="G267" s="9">
        <f>IF(A267=1,"_",IF(C267="_","???",C267))</f>
        <v/>
      </c>
      <c r="H267" s="10" t="s">
        <v>11</v>
      </c>
      <c r="I267" s="11" t="s">
        <v>11</v>
      </c>
      <c r="J267" s="12"/>
    </row>
    <row r="268" spans="1:10" ht="60" customHeight="1">
      <c r="A268" s="6" t="s">
        <v>941</v>
      </c>
      <c r="B268" s="6" t="s">
        <v>27</v>
      </c>
      <c r="C268" s="6" t="s">
        <v>145</v>
      </c>
      <c r="D268" s="7" t="s">
        <v>153</v>
      </c>
      <c r="E268" s="8" t="s">
        <v>942</v>
      </c>
      <c r="F268" s="6" t="s">
        <v>943</v>
      </c>
      <c r="G268" s="9">
        <f>IF(A268=1,"_",IF(C268="_","???",C268))</f>
        <v/>
      </c>
      <c r="H268" s="10" t="s">
        <v>11</v>
      </c>
      <c r="I268" s="11" t="s">
        <v>11</v>
      </c>
      <c r="J268" s="12"/>
    </row>
    <row r="269" spans="1:10" ht="60" customHeight="1">
      <c r="A269" s="6" t="s">
        <v>944</v>
      </c>
      <c r="B269" s="6" t="s">
        <v>35</v>
      </c>
      <c r="C269" s="6" t="s">
        <v>11</v>
      </c>
      <c r="D269" s="7" t="s">
        <v>945</v>
      </c>
      <c r="E269" s="8" t="s">
        <v>946</v>
      </c>
      <c r="F269" s="6" t="s">
        <v>947</v>
      </c>
      <c r="G269" s="9">
        <f>IF(A269=1,"_",IF(C269="_","???",C269))</f>
        <v/>
      </c>
      <c r="H269" s="10" t="s">
        <v>11</v>
      </c>
      <c r="I269" s="11" t="s">
        <v>11</v>
      </c>
      <c r="J269" s="12"/>
    </row>
    <row r="270" spans="1:10" ht="60" customHeight="1">
      <c r="A270" s="6" t="s">
        <v>948</v>
      </c>
      <c r="B270" s="6" t="s">
        <v>19</v>
      </c>
      <c r="C270" s="6" t="s">
        <v>11</v>
      </c>
      <c r="D270" s="7" t="s">
        <v>146</v>
      </c>
      <c r="E270" s="8" t="s">
        <v>949</v>
      </c>
      <c r="F270" s="6" t="s">
        <v>950</v>
      </c>
      <c r="G270" s="9">
        <f>IF(A270=1,"_",IF(C270="_","???",C270))</f>
        <v/>
      </c>
      <c r="H270" s="10" t="s">
        <v>11</v>
      </c>
      <c r="I270" s="11" t="s">
        <v>11</v>
      </c>
      <c r="J270" s="12"/>
    </row>
    <row r="271" spans="1:10" ht="60" customHeight="1">
      <c r="A271" s="6" t="s">
        <v>951</v>
      </c>
      <c r="B271" s="6" t="s">
        <v>27</v>
      </c>
      <c r="C271" s="6" t="s">
        <v>11</v>
      </c>
      <c r="D271" s="7" t="s">
        <v>952</v>
      </c>
      <c r="E271" s="8" t="s">
        <v>953</v>
      </c>
      <c r="F271" s="6" t="s">
        <v>954</v>
      </c>
      <c r="G271" s="9">
        <f>IF(A271=1,"_",IF(C271="_","???",C271))</f>
        <v/>
      </c>
      <c r="H271" s="10" t="s">
        <v>11</v>
      </c>
      <c r="I271" s="11" t="s">
        <v>11</v>
      </c>
      <c r="J271" s="12"/>
    </row>
    <row r="272" spans="1:10" ht="60" customHeight="1">
      <c r="A272" s="6" t="s">
        <v>955</v>
      </c>
      <c r="B272" s="6" t="s">
        <v>15</v>
      </c>
      <c r="C272" s="6" t="s">
        <v>11</v>
      </c>
      <c r="D272" s="7" t="s">
        <v>956</v>
      </c>
      <c r="E272" s="8" t="s">
        <v>957</v>
      </c>
      <c r="F272" s="6" t="s">
        <v>958</v>
      </c>
      <c r="G272" s="9">
        <f>IF(A272=1,"_",IF(C272="_","???",C272))</f>
        <v/>
      </c>
      <c r="H272" s="10" t="s">
        <v>11</v>
      </c>
      <c r="I272" s="11" t="s">
        <v>11</v>
      </c>
      <c r="J272" s="12"/>
    </row>
    <row r="273" spans="1:10" ht="60" customHeight="1">
      <c r="A273" s="6" t="s">
        <v>959</v>
      </c>
      <c r="B273" s="6" t="s">
        <v>15</v>
      </c>
      <c r="C273" s="6" t="s">
        <v>11</v>
      </c>
      <c r="D273" s="7" t="s">
        <v>43</v>
      </c>
      <c r="E273" s="8" t="s">
        <v>960</v>
      </c>
      <c r="F273" s="6" t="s">
        <v>961</v>
      </c>
      <c r="G273" s="9">
        <f>IF(A273=1,"_",IF(C273="_","???",C273))</f>
        <v/>
      </c>
      <c r="H273" s="10" t="s">
        <v>11</v>
      </c>
      <c r="I273" s="11" t="s">
        <v>11</v>
      </c>
      <c r="J273" s="12"/>
    </row>
    <row r="274" spans="1:10" ht="60" customHeight="1">
      <c r="A274" s="6" t="s">
        <v>962</v>
      </c>
      <c r="B274" s="6" t="s">
        <v>23</v>
      </c>
      <c r="C274" s="6" t="s">
        <v>98</v>
      </c>
      <c r="D274" s="7" t="s">
        <v>963</v>
      </c>
      <c r="E274" s="8" t="s">
        <v>964</v>
      </c>
      <c r="F274" s="6" t="s">
        <v>965</v>
      </c>
      <c r="G274" s="9">
        <f>IF(A274=1,"_",IF(C274="_","???",C274))</f>
        <v/>
      </c>
      <c r="H274" s="10" t="s">
        <v>11</v>
      </c>
      <c r="I274" s="11" t="s">
        <v>11</v>
      </c>
      <c r="J274" s="12"/>
    </row>
    <row r="275" spans="1:10" ht="60" customHeight="1">
      <c r="A275" s="6" t="s">
        <v>966</v>
      </c>
      <c r="B275" s="6" t="s">
        <v>10</v>
      </c>
      <c r="C275" s="6" t="s">
        <v>11</v>
      </c>
      <c r="D275" s="7" t="s">
        <v>115</v>
      </c>
      <c r="E275" s="8" t="s">
        <v>116</v>
      </c>
      <c r="F275" s="6" t="s">
        <v>967</v>
      </c>
      <c r="G275" s="9">
        <f>IF(A275=1,"_",IF(C275="_","???",C275))</f>
        <v/>
      </c>
      <c r="H275" s="10" t="s">
        <v>11</v>
      </c>
      <c r="I275" s="11" t="s">
        <v>11</v>
      </c>
      <c r="J275" s="12"/>
    </row>
    <row r="276" spans="1:10" ht="60" customHeight="1">
      <c r="A276" s="6" t="s">
        <v>968</v>
      </c>
      <c r="B276" s="6" t="s">
        <v>15</v>
      </c>
      <c r="C276" s="6" t="s">
        <v>71</v>
      </c>
      <c r="D276" s="7" t="s">
        <v>969</v>
      </c>
      <c r="E276" s="8" t="s">
        <v>970</v>
      </c>
      <c r="F276" s="6" t="s">
        <v>971</v>
      </c>
      <c r="G276" s="9">
        <f>IF(A276=1,"_",IF(C276="_","???",C276))</f>
        <v/>
      </c>
      <c r="H276" s="10" t="s">
        <v>11</v>
      </c>
      <c r="I276" s="11" t="s">
        <v>11</v>
      </c>
      <c r="J276" s="12"/>
    </row>
    <row r="277" spans="1:10" ht="60" customHeight="1">
      <c r="A277" s="6" t="s">
        <v>972</v>
      </c>
      <c r="B277" s="6" t="s">
        <v>10</v>
      </c>
      <c r="C277" s="6" t="s">
        <v>11</v>
      </c>
      <c r="D277" s="7" t="s">
        <v>893</v>
      </c>
      <c r="E277" s="8" t="s">
        <v>894</v>
      </c>
      <c r="F277" s="6" t="s">
        <v>973</v>
      </c>
      <c r="G277" s="9">
        <f>IF(A277=1,"_",IF(C277="_","???",C277))</f>
        <v/>
      </c>
      <c r="H277" s="10" t="s">
        <v>11</v>
      </c>
      <c r="I277" s="11" t="s">
        <v>11</v>
      </c>
      <c r="J277" s="12"/>
    </row>
    <row r="278" spans="1:10" ht="60" customHeight="1">
      <c r="A278" s="6" t="s">
        <v>974</v>
      </c>
      <c r="B278" s="6" t="s">
        <v>15</v>
      </c>
      <c r="C278" s="6" t="s">
        <v>11</v>
      </c>
      <c r="D278" s="7" t="s">
        <v>975</v>
      </c>
      <c r="E278" s="8" t="s">
        <v>976</v>
      </c>
      <c r="F278" s="6" t="s">
        <v>977</v>
      </c>
      <c r="G278" s="9">
        <f>IF(A278=1,"_",IF(C278="_","???",C278))</f>
        <v/>
      </c>
      <c r="H278" s="10" t="s">
        <v>11</v>
      </c>
      <c r="I278" s="11" t="s">
        <v>11</v>
      </c>
      <c r="J278" s="12"/>
    </row>
    <row r="279" spans="1:10" ht="60" customHeight="1">
      <c r="A279" s="6" t="s">
        <v>978</v>
      </c>
      <c r="B279" s="6" t="s">
        <v>10</v>
      </c>
      <c r="C279" s="6" t="s">
        <v>11</v>
      </c>
      <c r="D279" s="7" t="s">
        <v>67</v>
      </c>
      <c r="E279" s="8" t="s">
        <v>68</v>
      </c>
      <c r="F279" s="6" t="s">
        <v>979</v>
      </c>
      <c r="G279" s="9">
        <f>IF(A279=1,"_",IF(C279="_","???",C279))</f>
        <v/>
      </c>
      <c r="H279" s="10" t="s">
        <v>11</v>
      </c>
      <c r="I279" s="11" t="s">
        <v>11</v>
      </c>
      <c r="J279" s="12"/>
    </row>
    <row r="280" spans="1:10" ht="60" customHeight="1">
      <c r="A280" s="6" t="s">
        <v>980</v>
      </c>
      <c r="B280" s="6" t="s">
        <v>10</v>
      </c>
      <c r="C280" s="6" t="s">
        <v>98</v>
      </c>
      <c r="D280" s="7" t="s">
        <v>981</v>
      </c>
      <c r="E280" s="8" t="s">
        <v>982</v>
      </c>
      <c r="F280" s="6" t="s">
        <v>983</v>
      </c>
      <c r="G280" s="9">
        <f>IF(A280=1,"_",IF(C280="_","???",C280))</f>
        <v/>
      </c>
      <c r="H280" s="10" t="s">
        <v>11</v>
      </c>
      <c r="I280" s="11" t="s">
        <v>11</v>
      </c>
      <c r="J280" s="12"/>
    </row>
    <row r="281" spans="1:10" ht="60" customHeight="1">
      <c r="A281" s="6" t="s">
        <v>984</v>
      </c>
      <c r="B281" s="6" t="s">
        <v>10</v>
      </c>
      <c r="C281" s="6" t="s">
        <v>11</v>
      </c>
      <c r="D281" s="7" t="s">
        <v>115</v>
      </c>
      <c r="E281" s="8" t="s">
        <v>985</v>
      </c>
      <c r="F281" s="6" t="s">
        <v>986</v>
      </c>
      <c r="G281" s="9">
        <f>IF(A281=1,"_",IF(C281="_","???",C281))</f>
        <v/>
      </c>
      <c r="H281" s="10" t="s">
        <v>11</v>
      </c>
      <c r="I281" s="11" t="s">
        <v>11</v>
      </c>
      <c r="J281" s="12"/>
    </row>
    <row r="282" spans="1:10" ht="60" customHeight="1">
      <c r="A282" s="6" t="s">
        <v>987</v>
      </c>
      <c r="B282" s="6" t="s">
        <v>39</v>
      </c>
      <c r="C282" s="6" t="s">
        <v>11</v>
      </c>
      <c r="D282" s="7" t="s">
        <v>361</v>
      </c>
      <c r="E282" s="8" t="s">
        <v>988</v>
      </c>
      <c r="F282" s="6" t="s">
        <v>989</v>
      </c>
      <c r="G282" s="9">
        <f>IF(A282=1,"_",IF(C282="_","???",C282))</f>
        <v/>
      </c>
      <c r="H282" s="10" t="s">
        <v>11</v>
      </c>
      <c r="I282" s="11" t="s">
        <v>11</v>
      </c>
      <c r="J282" s="12"/>
    </row>
    <row r="283" spans="1:10" ht="60" customHeight="1">
      <c r="A283" s="6" t="s">
        <v>990</v>
      </c>
      <c r="B283" s="6" t="s">
        <v>19</v>
      </c>
      <c r="C283" s="6" t="s">
        <v>11</v>
      </c>
      <c r="D283" s="7" t="s">
        <v>991</v>
      </c>
      <c r="E283" s="8" t="s">
        <v>992</v>
      </c>
      <c r="F283" s="6" t="s">
        <v>993</v>
      </c>
      <c r="G283" s="9">
        <f>IF(A283=1,"_",IF(C283="_","???",C283))</f>
        <v/>
      </c>
      <c r="H283" s="10" t="s">
        <v>11</v>
      </c>
      <c r="I283" s="11" t="s">
        <v>11</v>
      </c>
      <c r="J283" s="12"/>
    </row>
    <row r="284" spans="1:10" ht="60" customHeight="1">
      <c r="A284" s="6" t="s">
        <v>994</v>
      </c>
      <c r="B284" s="6" t="s">
        <v>10</v>
      </c>
      <c r="C284" s="6" t="s">
        <v>11</v>
      </c>
      <c r="D284" s="7" t="s">
        <v>67</v>
      </c>
      <c r="E284" s="8" t="s">
        <v>995</v>
      </c>
      <c r="F284" s="6" t="s">
        <v>996</v>
      </c>
      <c r="G284" s="9">
        <f>IF(A284=1,"_",IF(C284="_","???",C284))</f>
        <v/>
      </c>
      <c r="H284" s="10" t="s">
        <v>11</v>
      </c>
      <c r="I284" s="11" t="s">
        <v>11</v>
      </c>
      <c r="J284" s="12"/>
    </row>
    <row r="285" spans="1:10" ht="60" customHeight="1">
      <c r="A285" s="6" t="s">
        <v>997</v>
      </c>
      <c r="B285" s="6" t="s">
        <v>266</v>
      </c>
      <c r="C285" s="6" t="s">
        <v>11</v>
      </c>
      <c r="D285" s="7" t="s">
        <v>153</v>
      </c>
      <c r="E285" s="8" t="s">
        <v>998</v>
      </c>
      <c r="F285" s="6" t="s">
        <v>999</v>
      </c>
      <c r="G285" s="9">
        <f>IF(A285=1,"_",IF(C285="_","???",C285))</f>
        <v/>
      </c>
      <c r="H285" s="10" t="s">
        <v>11</v>
      </c>
      <c r="I285" s="11" t="s">
        <v>11</v>
      </c>
      <c r="J285" s="12"/>
    </row>
    <row r="286" spans="1:10" ht="60" customHeight="1">
      <c r="A286" s="6" t="s">
        <v>1000</v>
      </c>
      <c r="B286" s="6" t="s">
        <v>46</v>
      </c>
      <c r="C286" s="6" t="s">
        <v>71</v>
      </c>
      <c r="D286" s="7" t="s">
        <v>1001</v>
      </c>
      <c r="E286" s="8" t="s">
        <v>1002</v>
      </c>
      <c r="F286" s="6" t="s">
        <v>1003</v>
      </c>
      <c r="G286" s="9">
        <f>IF(A286=1,"_",IF(C286="_","???",C286))</f>
        <v/>
      </c>
      <c r="H286" s="10" t="s">
        <v>11</v>
      </c>
      <c r="I286" s="11" t="s">
        <v>11</v>
      </c>
      <c r="J286" s="12"/>
    </row>
    <row r="287" spans="1:10" ht="60" customHeight="1">
      <c r="A287" s="6" t="s">
        <v>1004</v>
      </c>
      <c r="B287" s="6" t="s">
        <v>19</v>
      </c>
      <c r="C287" s="6" t="s">
        <v>310</v>
      </c>
      <c r="D287" s="7" t="s">
        <v>141</v>
      </c>
      <c r="E287" s="8" t="s">
        <v>1005</v>
      </c>
      <c r="F287" s="6" t="s">
        <v>1006</v>
      </c>
      <c r="G287" s="9">
        <f>IF(A287=1,"_",IF(C287="_","???",C287))</f>
        <v/>
      </c>
      <c r="H287" s="10" t="s">
        <v>11</v>
      </c>
      <c r="I287" s="11" t="s">
        <v>11</v>
      </c>
      <c r="J287" s="12"/>
    </row>
    <row r="288" spans="1:10" ht="60" customHeight="1">
      <c r="A288" s="6" t="s">
        <v>1007</v>
      </c>
      <c r="B288" s="6" t="s">
        <v>10</v>
      </c>
      <c r="C288" s="6" t="s">
        <v>11</v>
      </c>
      <c r="D288" s="7" t="s">
        <v>115</v>
      </c>
      <c r="E288" s="8" t="s">
        <v>116</v>
      </c>
      <c r="F288" s="6" t="s">
        <v>1008</v>
      </c>
      <c r="G288" s="9">
        <f>IF(A288=1,"_",IF(C288="_","???",C288))</f>
        <v/>
      </c>
      <c r="H288" s="10" t="s">
        <v>11</v>
      </c>
      <c r="I288" s="11" t="s">
        <v>11</v>
      </c>
      <c r="J288" s="12"/>
    </row>
    <row r="289" spans="1:10" ht="60" customHeight="1">
      <c r="A289" s="6" t="s">
        <v>1009</v>
      </c>
      <c r="B289" s="6" t="s">
        <v>10</v>
      </c>
      <c r="C289" s="6" t="s">
        <v>11</v>
      </c>
      <c r="D289" s="7" t="s">
        <v>770</v>
      </c>
      <c r="E289" s="8" t="s">
        <v>1010</v>
      </c>
      <c r="F289" s="6" t="s">
        <v>1011</v>
      </c>
      <c r="G289" s="9">
        <f>IF(A289=1,"_",IF(C289="_","???",C289))</f>
        <v/>
      </c>
      <c r="H289" s="10" t="s">
        <v>11</v>
      </c>
      <c r="I289" s="11" t="s">
        <v>11</v>
      </c>
      <c r="J289" s="12"/>
    </row>
    <row r="290" spans="1:10" ht="60" customHeight="1">
      <c r="A290" s="6" t="s">
        <v>1012</v>
      </c>
      <c r="B290" s="6" t="s">
        <v>10</v>
      </c>
      <c r="C290" s="6" t="s">
        <v>11</v>
      </c>
      <c r="D290" s="7" t="s">
        <v>67</v>
      </c>
      <c r="E290" s="8" t="s">
        <v>68</v>
      </c>
      <c r="F290" s="6" t="s">
        <v>1013</v>
      </c>
      <c r="G290" s="9">
        <f>IF(A290=1,"_",IF(C290="_","???",C290))</f>
        <v/>
      </c>
      <c r="H290" s="10" t="s">
        <v>11</v>
      </c>
      <c r="I290" s="11" t="s">
        <v>11</v>
      </c>
      <c r="J290" s="12"/>
    </row>
    <row r="291" spans="1:10" ht="60" customHeight="1">
      <c r="A291" s="6" t="s">
        <v>1014</v>
      </c>
      <c r="B291" s="6" t="s">
        <v>19</v>
      </c>
      <c r="C291" s="6" t="s">
        <v>11</v>
      </c>
      <c r="D291" s="7" t="s">
        <v>1015</v>
      </c>
      <c r="E291" s="8" t="s">
        <v>1016</v>
      </c>
      <c r="F291" s="6" t="s">
        <v>1017</v>
      </c>
      <c r="G291" s="9">
        <f>IF(A291=1,"_",IF(C291="_","???",C291))</f>
        <v/>
      </c>
      <c r="H291" s="10" t="s">
        <v>11</v>
      </c>
      <c r="I291" s="11" t="s">
        <v>11</v>
      </c>
      <c r="J291" s="12"/>
    </row>
    <row r="292" spans="1:10" ht="60" customHeight="1">
      <c r="A292" s="6" t="s">
        <v>1018</v>
      </c>
      <c r="B292" s="6" t="s">
        <v>19</v>
      </c>
      <c r="C292" s="6" t="s">
        <v>11</v>
      </c>
      <c r="D292" s="7" t="s">
        <v>1019</v>
      </c>
      <c r="E292" s="8" t="s">
        <v>1020</v>
      </c>
      <c r="F292" s="6" t="s">
        <v>1021</v>
      </c>
      <c r="G292" s="9">
        <f>IF(A292=1,"_",IF(C292="_","???",C292))</f>
        <v/>
      </c>
      <c r="H292" s="10" t="s">
        <v>11</v>
      </c>
      <c r="I292" s="11" t="s">
        <v>11</v>
      </c>
      <c r="J292" s="12"/>
    </row>
    <row r="293" spans="1:10" ht="60" customHeight="1">
      <c r="A293" s="6" t="s">
        <v>1022</v>
      </c>
      <c r="B293" s="6" t="s">
        <v>39</v>
      </c>
      <c r="C293" s="6" t="s">
        <v>11</v>
      </c>
      <c r="D293" s="7" t="s">
        <v>1023</v>
      </c>
      <c r="E293" s="8" t="s">
        <v>1024</v>
      </c>
      <c r="F293" s="6" t="s">
        <v>1025</v>
      </c>
      <c r="G293" s="9">
        <f>IF(A293=1,"_",IF(C293="_","???",C293))</f>
        <v/>
      </c>
      <c r="H293" s="10" t="s">
        <v>11</v>
      </c>
      <c r="I293" s="11" t="s">
        <v>11</v>
      </c>
      <c r="J293" s="12"/>
    </row>
    <row r="294" spans="1:10" ht="60" customHeight="1">
      <c r="A294" s="6" t="s">
        <v>1026</v>
      </c>
      <c r="B294" s="6" t="s">
        <v>54</v>
      </c>
      <c r="C294" s="6" t="s">
        <v>85</v>
      </c>
      <c r="D294" s="7" t="s">
        <v>1027</v>
      </c>
      <c r="E294" s="8" t="s">
        <v>1028</v>
      </c>
      <c r="F294" s="6" t="s">
        <v>1029</v>
      </c>
      <c r="G294" s="9">
        <f>IF(A294=1,"_",IF(C294="_","???",C294))</f>
        <v/>
      </c>
      <c r="H294" s="10" t="s">
        <v>11</v>
      </c>
      <c r="I294" s="11" t="s">
        <v>11</v>
      </c>
      <c r="J294" s="12"/>
    </row>
    <row r="295" spans="1:10" ht="60" customHeight="1">
      <c r="A295" s="6" t="s">
        <v>1030</v>
      </c>
      <c r="B295" s="6" t="s">
        <v>10</v>
      </c>
      <c r="C295" s="6" t="s">
        <v>11</v>
      </c>
      <c r="D295" s="7" t="s">
        <v>67</v>
      </c>
      <c r="E295" s="8" t="s">
        <v>68</v>
      </c>
      <c r="F295" s="6" t="s">
        <v>1031</v>
      </c>
      <c r="G295" s="9">
        <f>IF(A295=1,"_",IF(C295="_","???",C295))</f>
        <v/>
      </c>
      <c r="H295" s="10" t="s">
        <v>11</v>
      </c>
      <c r="I295" s="11" t="s">
        <v>11</v>
      </c>
      <c r="J295" s="12"/>
    </row>
    <row r="296" spans="1:10" ht="60" customHeight="1">
      <c r="A296" s="6" t="s">
        <v>1032</v>
      </c>
      <c r="B296" s="6" t="s">
        <v>10</v>
      </c>
      <c r="C296" s="6" t="s">
        <v>11</v>
      </c>
      <c r="D296" s="7" t="s">
        <v>111</v>
      </c>
      <c r="E296" s="8" t="s">
        <v>1033</v>
      </c>
      <c r="F296" s="6" t="s">
        <v>1034</v>
      </c>
      <c r="G296" s="9">
        <f>IF(A296=1,"_",IF(C296="_","???",C296))</f>
        <v/>
      </c>
      <c r="H296" s="10" t="s">
        <v>11</v>
      </c>
      <c r="I296" s="11" t="s">
        <v>11</v>
      </c>
      <c r="J296" s="12"/>
    </row>
    <row r="297" spans="1:10" ht="60" customHeight="1">
      <c r="A297" s="6" t="s">
        <v>1035</v>
      </c>
      <c r="B297" s="6" t="s">
        <v>19</v>
      </c>
      <c r="C297" s="6" t="s">
        <v>119</v>
      </c>
      <c r="D297" s="7" t="s">
        <v>1036</v>
      </c>
      <c r="E297" s="8" t="s">
        <v>1037</v>
      </c>
      <c r="F297" s="6" t="s">
        <v>1038</v>
      </c>
      <c r="G297" s="9">
        <f>IF(A297=1,"_",IF(C297="_","???",C297))</f>
        <v/>
      </c>
      <c r="H297" s="10" t="s">
        <v>11</v>
      </c>
      <c r="I297" s="11" t="s">
        <v>11</v>
      </c>
      <c r="J297" s="12"/>
    </row>
    <row r="298" spans="1:10" ht="60" customHeight="1">
      <c r="A298" s="6" t="s">
        <v>1039</v>
      </c>
      <c r="B298" s="6" t="s">
        <v>15</v>
      </c>
      <c r="C298" s="6" t="s">
        <v>11</v>
      </c>
      <c r="D298" s="7" t="s">
        <v>386</v>
      </c>
      <c r="E298" s="8" t="s">
        <v>1040</v>
      </c>
      <c r="F298" s="6" t="s">
        <v>1041</v>
      </c>
      <c r="G298" s="9">
        <f>IF(A298=1,"_",IF(C298="_","???",C298))</f>
        <v/>
      </c>
      <c r="H298" s="10" t="s">
        <v>11</v>
      </c>
      <c r="I298" s="11" t="s">
        <v>11</v>
      </c>
      <c r="J298" s="12"/>
    </row>
    <row r="299" spans="1:10" ht="60" customHeight="1">
      <c r="A299" s="6" t="s">
        <v>1042</v>
      </c>
      <c r="B299" s="6" t="s">
        <v>10</v>
      </c>
      <c r="C299" s="6" t="s">
        <v>11</v>
      </c>
      <c r="D299" s="7" t="s">
        <v>483</v>
      </c>
      <c r="E299" s="8" t="s">
        <v>1043</v>
      </c>
      <c r="F299" s="6" t="s">
        <v>1044</v>
      </c>
      <c r="G299" s="9">
        <f>IF(A299=1,"_",IF(C299="_","???",C299))</f>
        <v/>
      </c>
      <c r="H299" s="10" t="s">
        <v>11</v>
      </c>
      <c r="I299" s="11" t="s">
        <v>11</v>
      </c>
      <c r="J299" s="12"/>
    </row>
    <row r="300" spans="1:10" ht="60" customHeight="1">
      <c r="A300" s="6" t="s">
        <v>1045</v>
      </c>
      <c r="B300" s="6" t="s">
        <v>10</v>
      </c>
      <c r="C300" s="6" t="s">
        <v>11</v>
      </c>
      <c r="D300" s="7" t="s">
        <v>115</v>
      </c>
      <c r="E300" s="8" t="s">
        <v>116</v>
      </c>
      <c r="F300" s="6" t="s">
        <v>1046</v>
      </c>
      <c r="G300" s="9">
        <f>IF(A300=1,"_",IF(C300="_","???",C300))</f>
        <v/>
      </c>
      <c r="H300" s="10" t="s">
        <v>11</v>
      </c>
      <c r="I300" s="11" t="s">
        <v>11</v>
      </c>
      <c r="J300" s="12"/>
    </row>
    <row r="301" spans="1:10" ht="60" customHeight="1">
      <c r="A301" s="6" t="s">
        <v>1047</v>
      </c>
      <c r="B301" s="6" t="s">
        <v>27</v>
      </c>
      <c r="C301" s="6" t="s">
        <v>11</v>
      </c>
      <c r="D301" s="7" t="s">
        <v>1048</v>
      </c>
      <c r="E301" s="8" t="s">
        <v>1049</v>
      </c>
      <c r="F301" s="6" t="s">
        <v>1050</v>
      </c>
      <c r="G301" s="9">
        <f>IF(A301=1,"_",IF(C301="_","???",C301))</f>
        <v/>
      </c>
      <c r="H301" s="10" t="s">
        <v>11</v>
      </c>
      <c r="I301" s="11" t="s">
        <v>11</v>
      </c>
      <c r="J30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84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1051</v>
      </c>
      <c r="B1" s="13" t="s">
        <v>1052</v>
      </c>
      <c r="C1" s="13" t="s">
        <v>1053</v>
      </c>
      <c r="D1" s="13" t="s">
        <v>1054</v>
      </c>
      <c r="E1" s="14" t="s">
        <v>1055</v>
      </c>
      <c r="F1" s="15" t="s">
        <v>1056</v>
      </c>
      <c r="G1" s="16" t="s">
        <v>1057</v>
      </c>
      <c r="H1" s="17" t="s">
        <v>1058</v>
      </c>
      <c r="I1" s="18" t="s">
        <v>1059</v>
      </c>
      <c r="J1" s="18" t="s">
        <v>1060</v>
      </c>
      <c r="K1" s="18" t="s">
        <v>1061</v>
      </c>
      <c r="L1" s="19" t="s">
        <v>9</v>
      </c>
    </row>
    <row r="2" spans="1:12">
      <c r="A2" s="20" t="s">
        <v>1062</v>
      </c>
    </row>
    <row r="3" spans="1:12">
      <c r="A3" s="20" t="s">
        <v>12</v>
      </c>
      <c r="B3" s="21" t="s">
        <v>1063</v>
      </c>
      <c r="C3" s="21" t="s">
        <v>1064</v>
      </c>
      <c r="D3" s="21" t="s">
        <v>1065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1066</v>
      </c>
      <c r="B4" s="21" t="s">
        <v>1063</v>
      </c>
      <c r="C4" s="21" t="s">
        <v>1064</v>
      </c>
      <c r="D4" s="21" t="s">
        <v>1065</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1067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1068</v>
      </c>
    </row>
    <row r="8" spans="1:12">
      <c r="A8" s="20" t="s">
        <v>1069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1070</v>
      </c>
      <c r="B9" s="21" t="s">
        <v>1063</v>
      </c>
      <c r="C9" s="21" t="s">
        <v>1071</v>
      </c>
      <c r="D9" s="21" t="s">
        <v>1065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1072</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1073</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1074</v>
      </c>
      <c r="B12" s="21" t="s">
        <v>1063</v>
      </c>
      <c r="C12" s="21" t="s">
        <v>1075</v>
      </c>
      <c r="D12" s="21" t="s">
        <v>1065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1076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1077</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1078</v>
      </c>
      <c r="B15" s="21" t="s">
        <v>1063</v>
      </c>
      <c r="C15" s="21" t="s">
        <v>1071</v>
      </c>
      <c r="D15" s="21" t="s">
        <v>1065</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1072</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1079</v>
      </c>
      <c r="B17" s="21" t="s">
        <v>1080</v>
      </c>
      <c r="C17" s="21" t="s">
        <v>1064</v>
      </c>
      <c r="D17" s="21" t="s">
        <v>1065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195</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row>
    <row r="20" spans="1:12">
      <c r="A20" s="20" t="s">
        <v>1081</v>
      </c>
    </row>
    <row r="21" spans="1:12">
      <c r="A21" s="20" t="s">
        <v>1082</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20</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1077</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1083</v>
      </c>
      <c r="B24" s="21" t="s">
        <v>1084</v>
      </c>
      <c r="C24" s="21" t="s">
        <v>1075</v>
      </c>
      <c r="D24" s="21" t="s">
        <v>1065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1085</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1077</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1086</v>
      </c>
      <c r="B27" s="21" t="s">
        <v>1063</v>
      </c>
      <c r="C27" s="21" t="s">
        <v>1071</v>
      </c>
      <c r="D27" s="21" t="s">
        <v>1065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1072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1087</v>
      </c>
      <c r="B29" s="21" t="s">
        <v>1080</v>
      </c>
      <c r="C29" s="21" t="s">
        <v>1064</v>
      </c>
      <c r="D29" s="21" t="s">
        <v>1065</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1088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1089</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1090</v>
      </c>
      <c r="B32" s="21" t="s">
        <v>1063</v>
      </c>
      <c r="C32" s="21" t="s">
        <v>1075</v>
      </c>
      <c r="D32" s="21" t="s">
        <v>1065</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1091</v>
      </c>
      <c r="B33" s="21" t="s">
        <v>1092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1093</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1094</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1095</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1096</v>
      </c>
      <c r="B37" s="21" t="s">
        <v>1097</v>
      </c>
      <c r="C37" s="21" t="s">
        <v>1098</v>
      </c>
      <c r="D37" s="21" t="s">
        <v>1065</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1076</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1099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1100</v>
      </c>
      <c r="B40" s="21" t="s">
        <v>1080</v>
      </c>
      <c r="C40" s="21" t="s">
        <v>1064</v>
      </c>
      <c r="D40" s="21" t="s">
        <v>1065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195</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row>
    <row r="43" spans="1:12">
      <c r="A43" s="20" t="s">
        <v>1101</v>
      </c>
    </row>
    <row r="44" spans="1:12">
      <c r="A44" s="20" t="s">
        <v>1102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1103</v>
      </c>
      <c r="B45" s="21" t="s">
        <v>1063</v>
      </c>
      <c r="C45" s="21" t="s">
        <v>1064</v>
      </c>
      <c r="D45" s="21" t="s">
        <v>1065</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1104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1099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671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1105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1106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1107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1108</v>
      </c>
      <c r="B52" s="21" t="s">
        <v>1080</v>
      </c>
      <c r="C52" s="21" t="s">
        <v>1109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1110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1111</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1112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1113</v>
      </c>
      <c r="B56" s="21" t="s">
        <v>1114</v>
      </c>
      <c r="C56" s="21" t="s">
        <v>1115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1106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1116</v>
      </c>
      <c r="B58" s="21" t="s">
        <v>1114</v>
      </c>
      <c r="C58" s="21" t="s">
        <v>1064</v>
      </c>
      <c r="D58" s="21" t="s">
        <v>1065</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909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1111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1077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1117</v>
      </c>
      <c r="B62" s="21" t="s">
        <v>1118</v>
      </c>
      <c r="C62" s="21" t="s">
        <v>1119</v>
      </c>
      <c r="D62" s="21" t="s">
        <v>1065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1120</v>
      </c>
      <c r="B63" s="21" t="s">
        <v>1121</v>
      </c>
      <c r="C63" s="21" t="s">
        <v>1075</v>
      </c>
      <c r="D63" s="21" t="s">
        <v>1065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1122</v>
      </c>
      <c r="B64" s="21" t="s">
        <v>1123</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1124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1125</v>
      </c>
      <c r="B66" s="21" t="s">
        <v>1126</v>
      </c>
      <c r="C66" s="21" t="s">
        <v>1109</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1127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1128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1088</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137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1129</v>
      </c>
      <c r="B71" s="21" t="s">
        <v>1130</v>
      </c>
      <c r="C71" s="21" t="s">
        <v>1131</v>
      </c>
      <c r="D71" s="21" t="s">
        <v>1065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1091</v>
      </c>
      <c r="B72" s="21" t="s">
        <v>1132</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1133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1077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1134</v>
      </c>
      <c r="B75" s="21" t="s">
        <v>1135</v>
      </c>
      <c r="C75" s="21" t="s">
        <v>1075</v>
      </c>
      <c r="D75" s="21" t="s">
        <v>1065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row>
    <row r="77" spans="1:12">
      <c r="A77" s="20" t="s">
        <v>1136</v>
      </c>
    </row>
    <row r="78" spans="1:12">
      <c r="A78" s="20" t="s">
        <v>1099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1076</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1083</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1085</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1077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1137</v>
      </c>
      <c r="B83" s="21" t="s">
        <v>1063</v>
      </c>
      <c r="C83" s="21" t="s">
        <v>1071</v>
      </c>
      <c r="D83" s="21" t="s">
        <v>1065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1072</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1087</v>
      </c>
      <c r="B85" s="21" t="s">
        <v>1080</v>
      </c>
      <c r="C85" s="21" t="s">
        <v>1064</v>
      </c>
      <c r="D85" s="21" t="s">
        <v>1065</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195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row>
    <row r="88" spans="1:12">
      <c r="A88" s="20" t="s">
        <v>1138</v>
      </c>
    </row>
    <row r="89" spans="1:12">
      <c r="A89" s="20" t="s">
        <v>1139</v>
      </c>
      <c r="B89" s="21" t="s">
        <v>1080</v>
      </c>
      <c r="C89" s="21" t="s">
        <v>1140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1141</v>
      </c>
      <c r="B90" s="21" t="s">
        <v>1084</v>
      </c>
      <c r="C90" s="21" t="s">
        <v>1115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1142</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1088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137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1076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1106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1143</v>
      </c>
      <c r="B96" s="21" t="s">
        <v>1080</v>
      </c>
      <c r="C96" s="21" t="s">
        <v>1144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1145</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row>
    <row r="99" spans="1:12">
      <c r="A99" s="20" t="s">
        <v>1146</v>
      </c>
    </row>
    <row r="100" spans="1:12">
      <c r="A100" s="20" t="s">
        <v>36</v>
      </c>
      <c r="B100" s="21" t="s">
        <v>1063</v>
      </c>
      <c r="C100" s="21" t="s">
        <v>1064</v>
      </c>
      <c r="D100" s="21" t="s">
        <v>1065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1100</v>
      </c>
      <c r="B101" s="21" t="s">
        <v>1063</v>
      </c>
      <c r="C101" s="21" t="s">
        <v>1064</v>
      </c>
      <c r="D101" s="21" t="s">
        <v>1065</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1067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row>
    <row r="104" spans="1:12">
      <c r="A104" s="20" t="s">
        <v>1147</v>
      </c>
    </row>
    <row r="105" spans="1:12">
      <c r="A105" s="20" t="s">
        <v>1148</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1076</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1149</v>
      </c>
      <c r="B107" s="21" t="s">
        <v>1150</v>
      </c>
      <c r="C107" s="21" t="s">
        <v>1151</v>
      </c>
      <c r="D107" s="21" t="s">
        <v>1065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1152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1088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137</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1153</v>
      </c>
      <c r="B111" s="21" t="s">
        <v>1154</v>
      </c>
      <c r="C111" s="21" t="s">
        <v>1155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195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row>
    <row r="114" spans="1:12">
      <c r="A114" s="20" t="s">
        <v>1156</v>
      </c>
    </row>
    <row r="115" spans="1:12">
      <c r="A115" s="20" t="s">
        <v>1157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1107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1141</v>
      </c>
      <c r="B117" s="21" t="s">
        <v>1063</v>
      </c>
      <c r="C117" s="21" t="s">
        <v>1109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1158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195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row>
    <row r="121" spans="1:12">
      <c r="A121" s="20" t="s">
        <v>1159</v>
      </c>
    </row>
    <row r="122" spans="1:12">
      <c r="A122" s="20" t="s">
        <v>1102</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1160</v>
      </c>
      <c r="B123" s="21" t="s">
        <v>1063</v>
      </c>
      <c r="C123" s="21" t="s">
        <v>1064</v>
      </c>
      <c r="D123" s="21" t="s">
        <v>1065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1104</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1161</v>
      </c>
      <c r="B125" s="21" t="s">
        <v>1063</v>
      </c>
      <c r="C125" s="21" t="s">
        <v>1064</v>
      </c>
      <c r="D125" s="21" t="s">
        <v>1065</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1067</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row>
    <row r="128" spans="1:12">
      <c r="A128" s="20" t="s">
        <v>1162</v>
      </c>
    </row>
    <row r="129" spans="1:12">
      <c r="A129" s="20" t="s">
        <v>1099</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1076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1163</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1072</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1164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1165</v>
      </c>
      <c r="B134" s="21" t="s">
        <v>1063</v>
      </c>
      <c r="C134" s="21" t="s">
        <v>1071</v>
      </c>
      <c r="D134" s="21" t="s">
        <v>1065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1111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1166</v>
      </c>
      <c r="B136" s="21" t="s">
        <v>1080</v>
      </c>
      <c r="C136" s="21" t="s">
        <v>1144</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195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row>
    <row r="139" spans="1:12">
      <c r="A139" s="20" t="s">
        <v>1167</v>
      </c>
    </row>
    <row r="140" spans="1:12">
      <c r="A140" s="20" t="s">
        <v>1168</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1169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1170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1106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1171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1172</v>
      </c>
      <c r="B145" s="21" t="s">
        <v>1063</v>
      </c>
      <c r="C145" s="21" t="s">
        <v>1115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1106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1173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1174</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1175</v>
      </c>
      <c r="B149" s="21" t="s">
        <v>1063</v>
      </c>
      <c r="C149" s="21" t="s">
        <v>1075</v>
      </c>
      <c r="D149" s="21" t="s">
        <v>1065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195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row>
    <row r="152" spans="1:12">
      <c r="A152" s="20" t="s">
        <v>1176</v>
      </c>
    </row>
    <row r="153" spans="1:12">
      <c r="A153" s="20" t="s">
        <v>1177</v>
      </c>
      <c r="B153" s="21" t="s">
        <v>1084</v>
      </c>
      <c r="C153" s="21" t="s">
        <v>1151</v>
      </c>
      <c r="D153" s="21" t="s">
        <v>1065</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1178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1179</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1180</v>
      </c>
      <c r="B156" s="21" t="s">
        <v>1150</v>
      </c>
      <c r="C156" s="21" t="s">
        <v>1144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1076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1181</v>
      </c>
      <c r="B158" s="21" t="s">
        <v>1080</v>
      </c>
      <c r="C158" s="21" t="s">
        <v>1144</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1076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1182</v>
      </c>
      <c r="B160" s="21" t="s">
        <v>1080</v>
      </c>
      <c r="C160" s="21" t="s">
        <v>1144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195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1183</v>
      </c>
    </row>
    <row r="164" spans="1:12">
      <c r="A164" s="20" t="s">
        <v>1184</v>
      </c>
      <c r="B164" s="21" t="s">
        <v>1063</v>
      </c>
      <c r="C164" s="21" t="s">
        <v>1140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1185</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1164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1186</v>
      </c>
      <c r="B167" s="21" t="s">
        <v>1150</v>
      </c>
      <c r="C167" s="21" t="s">
        <v>1075</v>
      </c>
      <c r="D167" s="21" t="s">
        <v>1065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1091</v>
      </c>
      <c r="B168" s="21" t="s">
        <v>1092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1187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1188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1189</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1048</v>
      </c>
      <c r="B172" s="21" t="s">
        <v>1130</v>
      </c>
      <c r="C172" s="21" t="s">
        <v>1151</v>
      </c>
      <c r="D172" s="21" t="s">
        <v>1065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1190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195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row>
    <row r="176" spans="1:12">
      <c r="A176" s="20" t="s">
        <v>1191</v>
      </c>
    </row>
    <row r="177" spans="1:12">
      <c r="A177" s="20" t="s">
        <v>1192</v>
      </c>
      <c r="B177" s="21" t="s">
        <v>1063</v>
      </c>
      <c r="C177" s="21" t="s">
        <v>1064</v>
      </c>
      <c r="D177" s="21" t="s">
        <v>1065</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1067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row>
    <row r="180" spans="1:12">
      <c r="A180" s="20" t="s">
        <v>1193</v>
      </c>
    </row>
    <row r="181" spans="1:12">
      <c r="A181" s="20" t="s">
        <v>1194</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1195</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1076</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1153</v>
      </c>
      <c r="B184" s="21" t="s">
        <v>1080</v>
      </c>
      <c r="C184" s="21" t="s">
        <v>1155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1196</v>
      </c>
      <c r="B185" s="21" t="s">
        <v>1084</v>
      </c>
      <c r="C185" s="21" t="s">
        <v>1131</v>
      </c>
      <c r="D185" s="21" t="s">
        <v>1065</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1091</v>
      </c>
      <c r="B186" s="21" t="s">
        <v>1092</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1185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1197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1106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1198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1199</v>
      </c>
      <c r="B191" s="21" t="s">
        <v>1097</v>
      </c>
      <c r="C191" s="21" t="s">
        <v>1098</v>
      </c>
      <c r="D191" s="21" t="s">
        <v>1065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1200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1088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1164</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1201</v>
      </c>
      <c r="B195" s="21" t="s">
        <v>1063</v>
      </c>
      <c r="C195" s="21" t="s">
        <v>1071</v>
      </c>
      <c r="D195" s="21" t="s">
        <v>1065</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1202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1203</v>
      </c>
      <c r="B197" s="21" t="s">
        <v>1080</v>
      </c>
      <c r="C197" s="21" t="s">
        <v>1151</v>
      </c>
      <c r="D197" s="21" t="s">
        <v>1065</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1076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1204</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1205</v>
      </c>
      <c r="B200" s="21" t="s">
        <v>1080</v>
      </c>
      <c r="C200" s="21" t="s">
        <v>1119</v>
      </c>
      <c r="D200" s="21" t="s">
        <v>1065</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1206</v>
      </c>
      <c r="B201" s="21" t="s">
        <v>1084</v>
      </c>
      <c r="C201" s="21" t="s">
        <v>1075</v>
      </c>
      <c r="D201" s="21" t="s">
        <v>1065</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909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1077</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1207</v>
      </c>
      <c r="B204" s="21" t="s">
        <v>1080</v>
      </c>
      <c r="C204" s="21" t="s">
        <v>1071</v>
      </c>
      <c r="D204" s="21" t="s">
        <v>1065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1072</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1208</v>
      </c>
      <c r="B206" s="21" t="s">
        <v>1097</v>
      </c>
      <c r="C206" s="21" t="s">
        <v>1144</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195</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row>
    <row r="209" spans="1:12">
      <c r="A209" s="20" t="s">
        <v>1209</v>
      </c>
    </row>
    <row r="210" spans="1:12">
      <c r="A210" s="20" t="s">
        <v>1194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1088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1210</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1211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1212</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1076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1213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1214</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1215</v>
      </c>
      <c r="B218" s="21" t="s">
        <v>1063</v>
      </c>
      <c r="C218" s="21" t="s">
        <v>1131</v>
      </c>
      <c r="D218" s="21" t="s">
        <v>1065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1204</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1216</v>
      </c>
      <c r="B220" s="21" t="s">
        <v>1150</v>
      </c>
      <c r="C220" s="21" t="s">
        <v>1075</v>
      </c>
      <c r="D220" s="21" t="s">
        <v>1065</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1202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1204</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1217</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1218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1219</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1211</v>
      </c>
      <c r="B226" s="21" t="s">
        <v>1126</v>
      </c>
      <c r="C226" s="21" t="s">
        <v>1151</v>
      </c>
      <c r="D226" s="21" t="s">
        <v>1065</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195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1220</v>
      </c>
    </row>
    <row r="230" spans="1:12">
      <c r="A230" s="20" t="s">
        <v>1221</v>
      </c>
      <c r="B230" s="21" t="s">
        <v>1150</v>
      </c>
      <c r="C230" s="21" t="s">
        <v>1140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1185</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1076</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1106</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1143</v>
      </c>
      <c r="B234" s="21" t="s">
        <v>1063</v>
      </c>
      <c r="C234" s="21" t="s">
        <v>1144</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1076</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1213</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1222</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1223</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195</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row>
    <row r="241" spans="1:12">
      <c r="A241" s="20" t="s">
        <v>1224</v>
      </c>
    </row>
    <row r="242" spans="1:12">
      <c r="A242" s="20" t="s">
        <v>1225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1149</v>
      </c>
      <c r="B243" s="21" t="s">
        <v>1150</v>
      </c>
      <c r="C243" s="21" t="s">
        <v>1151</v>
      </c>
      <c r="D243" s="21" t="s">
        <v>1065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1185</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1204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1226</v>
      </c>
      <c r="B246" s="21" t="s">
        <v>1063</v>
      </c>
      <c r="C246" s="21" t="s">
        <v>1071</v>
      </c>
      <c r="D246" s="21" t="s">
        <v>1065</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1227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1072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1077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1228</v>
      </c>
      <c r="B250" s="21" t="s">
        <v>1063</v>
      </c>
      <c r="C250" s="21" t="s">
        <v>1075</v>
      </c>
      <c r="D250" s="21" t="s">
        <v>1065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1076</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1229</v>
      </c>
      <c r="B252" s="21" t="s">
        <v>1063</v>
      </c>
      <c r="C252" s="21" t="s">
        <v>1144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1230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909</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1231</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1232</v>
      </c>
      <c r="B256" s="21" t="s">
        <v>1126</v>
      </c>
      <c r="C256" s="21" t="s">
        <v>1144</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195</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row>
    <row r="259" spans="1:12">
      <c r="A259" s="20" t="s">
        <v>1233</v>
      </c>
    </row>
    <row r="260" spans="1:12">
      <c r="A260" s="20" t="s">
        <v>1234</v>
      </c>
      <c r="B260" s="21" t="s">
        <v>1150</v>
      </c>
      <c r="C260" s="21" t="s">
        <v>1131</v>
      </c>
      <c r="D260" s="21" t="s">
        <v>1065</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1091</v>
      </c>
      <c r="B261" s="21" t="s">
        <v>1092</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1235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1236</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1237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1185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1073</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1238</v>
      </c>
      <c r="B267" s="21" t="s">
        <v>1063</v>
      </c>
      <c r="C267" s="21" t="s">
        <v>1075</v>
      </c>
      <c r="D267" s="21" t="s">
        <v>1065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195</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row>
    <row r="270" spans="1:12">
      <c r="A270" s="20" t="s">
        <v>1239</v>
      </c>
    </row>
    <row r="271" spans="1:12">
      <c r="A271" s="20" t="s">
        <v>1234</v>
      </c>
      <c r="B271" s="21" t="s">
        <v>1150</v>
      </c>
      <c r="C271" s="21" t="s">
        <v>1131</v>
      </c>
      <c r="D271" s="21" t="s">
        <v>1065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1091</v>
      </c>
      <c r="B272" s="21" t="s">
        <v>1092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1235</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1236</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1214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1077</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1240</v>
      </c>
      <c r="B277" s="21" t="s">
        <v>1063</v>
      </c>
      <c r="C277" s="21" t="s">
        <v>1071</v>
      </c>
      <c r="D277" s="21" t="s">
        <v>1065</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1072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1241</v>
      </c>
      <c r="B279" s="21" t="s">
        <v>1063</v>
      </c>
      <c r="C279" s="21" t="s">
        <v>1144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1091</v>
      </c>
      <c r="B280" s="21" t="s">
        <v>1092</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1242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1076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1077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1240</v>
      </c>
      <c r="B284" s="21" t="s">
        <v>1063</v>
      </c>
      <c r="C284" s="21" t="s">
        <v>1071</v>
      </c>
      <c r="D284" s="21" t="s">
        <v>1065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1072</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1079</v>
      </c>
      <c r="B286" s="21" t="s">
        <v>1080</v>
      </c>
      <c r="C286" s="21" t="s">
        <v>1064</v>
      </c>
      <c r="D286" s="21" t="s">
        <v>1065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1091</v>
      </c>
      <c r="B287" s="21" t="s">
        <v>1092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1242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1076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1077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1240</v>
      </c>
      <c r="B291" s="21" t="s">
        <v>1126</v>
      </c>
      <c r="C291" s="21" t="s">
        <v>1071</v>
      </c>
      <c r="D291" s="21" t="s">
        <v>1065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1072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1243</v>
      </c>
      <c r="B293" s="21" t="s">
        <v>1114</v>
      </c>
      <c r="C293" s="21" t="s">
        <v>1071</v>
      </c>
      <c r="D293" s="21" t="s">
        <v>1065</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1244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1173</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1245</v>
      </c>
      <c r="B296" s="21" t="s">
        <v>1121</v>
      </c>
      <c r="C296" s="21" t="s">
        <v>1075</v>
      </c>
      <c r="D296" s="21" t="s">
        <v>1065</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909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1164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1246</v>
      </c>
      <c r="B299" s="21" t="s">
        <v>1118</v>
      </c>
      <c r="C299" s="21" t="s">
        <v>1075</v>
      </c>
      <c r="D299" s="21" t="s">
        <v>1065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195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1247</v>
      </c>
    </row>
    <row r="303" spans="1:12">
      <c r="A303" s="20" t="s">
        <v>1248</v>
      </c>
      <c r="B303" s="21" t="s">
        <v>1150</v>
      </c>
      <c r="C303" s="21" t="s">
        <v>1131</v>
      </c>
      <c r="D303" s="21" t="s">
        <v>1065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1214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1204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1249</v>
      </c>
      <c r="B306" s="21" t="s">
        <v>1063</v>
      </c>
      <c r="C306" s="21" t="s">
        <v>1075</v>
      </c>
      <c r="D306" s="21" t="s">
        <v>1065</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1250</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1204</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1217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1076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1149</v>
      </c>
      <c r="B311" s="21" t="s">
        <v>1123</v>
      </c>
      <c r="C311" s="21" t="s">
        <v>1151</v>
      </c>
      <c r="D311" s="21" t="s">
        <v>1065</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1251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1076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1077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1199</v>
      </c>
      <c r="B315" s="21" t="s">
        <v>1123</v>
      </c>
      <c r="C315" s="21" t="s">
        <v>1075</v>
      </c>
      <c r="D315" s="21" t="s">
        <v>1065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1252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909</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1089</v>
      </c>
      <c r="B318" s="21" t="s">
        <v>1154</v>
      </c>
      <c r="C318" s="21" t="s">
        <v>1151</v>
      </c>
      <c r="D318" s="21" t="s">
        <v>1065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1253</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1254</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1255</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671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1106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1077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1256</v>
      </c>
      <c r="B325" s="21" t="s">
        <v>1097</v>
      </c>
      <c r="C325" s="21" t="s">
        <v>1075</v>
      </c>
      <c r="D325" s="21" t="s">
        <v>1065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195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row>
    <row r="328" spans="1:12">
      <c r="A328" s="20" t="s">
        <v>1257</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1258</v>
      </c>
    </row>
    <row r="330" spans="1:12">
      <c r="A330" s="20" t="s">
        <v>1225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1259</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1189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1203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1190</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1076</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1213</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1260</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1204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1261</v>
      </c>
      <c r="B339" s="21" t="s">
        <v>1084</v>
      </c>
      <c r="C339" s="21" t="s">
        <v>1071</v>
      </c>
      <c r="D339" s="21" t="s">
        <v>1065</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1262</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1182</v>
      </c>
      <c r="B341" s="21" t="s">
        <v>1080</v>
      </c>
      <c r="C341" s="21" t="s">
        <v>1144</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195</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1262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row>
    <row r="345" spans="1:12">
      <c r="A345" s="20" t="s">
        <v>1257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1263</v>
      </c>
    </row>
    <row r="347" spans="1:12">
      <c r="A347" s="20" t="s">
        <v>1264</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1260</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1262</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1265</v>
      </c>
      <c r="B350" s="21" t="s">
        <v>1084</v>
      </c>
      <c r="C350" s="21" t="s">
        <v>1144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1262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909</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1266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1262</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1181</v>
      </c>
      <c r="B355" s="21" t="s">
        <v>1063</v>
      </c>
      <c r="C355" s="21" t="s">
        <v>1267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195</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1262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row>
    <row r="359" spans="1:12">
      <c r="A359" s="20" t="s">
        <v>1268</v>
      </c>
    </row>
    <row r="360" spans="1:12">
      <c r="A360" s="20" t="s">
        <v>1269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1091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1185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1124</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1270</v>
      </c>
      <c r="B364" s="21" t="s">
        <v>1063</v>
      </c>
      <c r="C364" s="21" t="s">
        <v>1064</v>
      </c>
      <c r="D364" s="21" t="s">
        <v>1065</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909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1124</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1271</v>
      </c>
      <c r="B367" s="21" t="s">
        <v>1063</v>
      </c>
      <c r="C367" s="21" t="s">
        <v>1071</v>
      </c>
      <c r="D367" s="21" t="s">
        <v>1065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1076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1272</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1153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1173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1273</v>
      </c>
      <c r="B372" s="21" t="s">
        <v>1080</v>
      </c>
      <c r="C372" s="21" t="s">
        <v>1155</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195</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1274</v>
      </c>
    </row>
    <row r="376" spans="1:12">
      <c r="A376" s="20" t="s">
        <v>1161</v>
      </c>
      <c r="B376" s="21" t="s">
        <v>1063</v>
      </c>
      <c r="C376" s="21" t="s">
        <v>1064</v>
      </c>
      <c r="D376" s="21" t="s">
        <v>1065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1067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row>
    <row r="379" spans="1:12">
      <c r="A379" s="20" t="s">
        <v>1275</v>
      </c>
    </row>
    <row r="380" spans="1:12">
      <c r="A380" s="20" t="s">
        <v>1276</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1188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120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1124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1277</v>
      </c>
      <c r="B384" s="21" t="s">
        <v>1084</v>
      </c>
      <c r="C384" s="21" t="s">
        <v>1071</v>
      </c>
      <c r="D384" s="21" t="s">
        <v>1065</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1088</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1196</v>
      </c>
      <c r="B386" s="21" t="s">
        <v>1080</v>
      </c>
      <c r="C386" s="21" t="s">
        <v>1131</v>
      </c>
      <c r="D386" s="21" t="s">
        <v>1065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1091</v>
      </c>
      <c r="B387" s="21" t="s">
        <v>1278</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1213</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1279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1280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1204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1281</v>
      </c>
      <c r="B392" s="21" t="s">
        <v>1130</v>
      </c>
      <c r="C392" s="21" t="s">
        <v>1075</v>
      </c>
      <c r="D392" s="21" t="s">
        <v>1065</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1282</v>
      </c>
    </row>
    <row r="395" spans="1:12">
      <c r="A395" s="20" t="s">
        <v>1089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124</v>
      </c>
      <c r="B396" s="21" t="s">
        <v>1063</v>
      </c>
      <c r="C396" s="21" t="s">
        <v>1071</v>
      </c>
      <c r="D396" s="21" t="s">
        <v>1065</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1283</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1076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1072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1284</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1285</v>
      </c>
      <c r="B401" s="21" t="s">
        <v>1063</v>
      </c>
      <c r="C401" s="21" t="s">
        <v>1098</v>
      </c>
      <c r="D401" s="21" t="s">
        <v>1065</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1076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1286</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1287</v>
      </c>
      <c r="B404" s="21" t="s">
        <v>1080</v>
      </c>
      <c r="C404" s="21" t="s">
        <v>1071</v>
      </c>
      <c r="D404" s="21" t="s">
        <v>1065</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1072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1288</v>
      </c>
      <c r="B406" s="21" t="s">
        <v>1097</v>
      </c>
      <c r="C406" s="21" t="s">
        <v>1144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1088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1164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1289</v>
      </c>
      <c r="B409" s="21" t="s">
        <v>1097</v>
      </c>
      <c r="C409" s="21" t="s">
        <v>1064</v>
      </c>
      <c r="D409" s="21" t="s">
        <v>1065</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909</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1290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1272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1291</v>
      </c>
      <c r="B413" s="21" t="s">
        <v>1114</v>
      </c>
      <c r="C413" s="21" t="s">
        <v>1071</v>
      </c>
      <c r="D413" s="21" t="s">
        <v>1065</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1188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1204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1292</v>
      </c>
      <c r="B416" s="21" t="s">
        <v>1121</v>
      </c>
      <c r="C416" s="21" t="s">
        <v>1064</v>
      </c>
      <c r="D416" s="21" t="s">
        <v>1065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1293</v>
      </c>
      <c r="B417" s="21" t="s">
        <v>1118</v>
      </c>
      <c r="C417" s="21" t="s">
        <v>1064</v>
      </c>
      <c r="D417" s="21" t="s">
        <v>1065</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1294</v>
      </c>
      <c r="B418" s="21" t="s">
        <v>1118</v>
      </c>
      <c r="C418" s="21" t="s">
        <v>1064</v>
      </c>
      <c r="D418" s="21" t="s">
        <v>1065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195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1295</v>
      </c>
    </row>
    <row r="422" spans="1:12">
      <c r="A422" s="20" t="s">
        <v>1296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1297</v>
      </c>
      <c r="B423" s="21" t="s">
        <v>1063</v>
      </c>
      <c r="C423" s="21" t="s">
        <v>1071</v>
      </c>
      <c r="D423" s="21" t="s">
        <v>1065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1072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1298</v>
      </c>
      <c r="B425" s="21" t="s">
        <v>1080</v>
      </c>
      <c r="C425" s="21" t="s">
        <v>1071</v>
      </c>
      <c r="D425" s="21" t="s">
        <v>1065</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1072</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1299</v>
      </c>
      <c r="B427" s="21" t="s">
        <v>1097</v>
      </c>
      <c r="C427" s="21" t="s">
        <v>1144</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1076</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1300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128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1088</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1073</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1301</v>
      </c>
      <c r="B433" s="21" t="s">
        <v>1080</v>
      </c>
      <c r="C433" s="21" t="s">
        <v>1119</v>
      </c>
      <c r="D433" s="21" t="s">
        <v>1065</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1302</v>
      </c>
      <c r="B434" s="21" t="s">
        <v>1063</v>
      </c>
      <c r="C434" s="21" t="s">
        <v>1075</v>
      </c>
      <c r="D434" s="21" t="s">
        <v>1065</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1076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909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1303</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1304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1088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1305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1306</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1307</v>
      </c>
      <c r="B442" s="21" t="s">
        <v>1126</v>
      </c>
      <c r="C442" s="21" t="s">
        <v>1115</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1308</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1309</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1306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1310</v>
      </c>
      <c r="B446" s="21" t="s">
        <v>1097</v>
      </c>
      <c r="C446" s="21" t="s">
        <v>1115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1311</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1202</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1312</v>
      </c>
      <c r="B449" s="21" t="s">
        <v>1097</v>
      </c>
      <c r="C449" s="21" t="s">
        <v>1144</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1313</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1204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1314</v>
      </c>
      <c r="B452" s="21" t="s">
        <v>1130</v>
      </c>
      <c r="C452" s="21" t="s">
        <v>1075</v>
      </c>
      <c r="D452" s="21" t="s">
        <v>1065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1088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1164</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1096</v>
      </c>
      <c r="B455" s="21" t="s">
        <v>1114</v>
      </c>
      <c r="C455" s="21" t="s">
        <v>1071</v>
      </c>
      <c r="D455" s="21" t="s">
        <v>1065</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1072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1315</v>
      </c>
      <c r="B457" s="21" t="s">
        <v>1121</v>
      </c>
      <c r="C457" s="21" t="s">
        <v>1144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195</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row>
    <row r="460" spans="1:12">
      <c r="A460" s="20" t="s">
        <v>1316</v>
      </c>
    </row>
    <row r="461" spans="1:12">
      <c r="A461" s="20" t="s">
        <v>1317</v>
      </c>
      <c r="B461" s="21" t="s">
        <v>1150</v>
      </c>
      <c r="C461" s="21" t="s">
        <v>1140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1318</v>
      </c>
      <c r="B462" s="21" t="s">
        <v>1084</v>
      </c>
      <c r="C462" s="21" t="s">
        <v>1151</v>
      </c>
      <c r="D462" s="21" t="s">
        <v>1065</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1319</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1320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1088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1321</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1322</v>
      </c>
      <c r="B467" s="21" t="s">
        <v>1154</v>
      </c>
      <c r="C467" s="21" t="s">
        <v>1151</v>
      </c>
      <c r="D467" s="21" t="s">
        <v>1065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1145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row>
    <row r="470" spans="1:12">
      <c r="A470" s="20" t="s">
        <v>1323</v>
      </c>
    </row>
    <row r="471" spans="1:12">
      <c r="A471" s="20" t="s">
        <v>1192</v>
      </c>
      <c r="B471" s="21" t="s">
        <v>1063</v>
      </c>
      <c r="C471" s="21" t="s">
        <v>1064</v>
      </c>
      <c r="D471" s="21" t="s">
        <v>1065</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1067</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1324</v>
      </c>
      <c r="B473" s="21" t="s">
        <v>1080</v>
      </c>
      <c r="C473" s="21" t="s">
        <v>1064</v>
      </c>
      <c r="D473" s="21" t="s">
        <v>1065</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1076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1325</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1326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1088</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1164</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1289</v>
      </c>
      <c r="B479" s="21" t="s">
        <v>1080</v>
      </c>
      <c r="C479" s="21" t="s">
        <v>1064</v>
      </c>
      <c r="D479" s="21" t="s">
        <v>1065</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1076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909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1106</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1173</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1327</v>
      </c>
      <c r="B484" s="21" t="s">
        <v>1063</v>
      </c>
      <c r="C484" s="21" t="s">
        <v>1075</v>
      </c>
      <c r="D484" s="21" t="s">
        <v>1065</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1328</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1076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1329</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1330</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1106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1204</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1331</v>
      </c>
      <c r="B491" s="21" t="s">
        <v>1080</v>
      </c>
      <c r="C491" s="21" t="s">
        <v>1071</v>
      </c>
      <c r="D491" s="21" t="s">
        <v>1065</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1072</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1089</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1332</v>
      </c>
      <c r="B494" s="21" t="s">
        <v>1097</v>
      </c>
      <c r="C494" s="21" t="s">
        <v>1064</v>
      </c>
      <c r="D494" s="21" t="s">
        <v>1065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1076</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1163</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1254</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1333</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1334</v>
      </c>
      <c r="B499" s="21" t="s">
        <v>1084</v>
      </c>
      <c r="C499" s="21" t="s">
        <v>1115</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1091</v>
      </c>
      <c r="B500" s="21" t="s">
        <v>1092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1335</v>
      </c>
      <c r="B501" s="21" t="s">
        <v>1126</v>
      </c>
      <c r="C501" s="21" t="s">
        <v>1151</v>
      </c>
      <c r="D501" s="21" t="s">
        <v>1065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1178</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1336</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195</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row>
    <row r="506" spans="1:12">
      <c r="A506" s="20" t="s">
        <v>1337</v>
      </c>
    </row>
    <row r="507" spans="1:12">
      <c r="A507" s="20" t="s">
        <v>1338</v>
      </c>
      <c r="B507" s="21" t="s">
        <v>1150</v>
      </c>
      <c r="C507" s="21" t="s">
        <v>1151</v>
      </c>
      <c r="D507" s="21" t="s">
        <v>1065</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1339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1333</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1334</v>
      </c>
      <c r="B510" s="21" t="s">
        <v>1084</v>
      </c>
      <c r="C510" s="21" t="s">
        <v>1071</v>
      </c>
      <c r="D510" s="21" t="s">
        <v>1065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1340</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1106</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1204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1331</v>
      </c>
      <c r="B514" s="21" t="s">
        <v>1097</v>
      </c>
      <c r="C514" s="21" t="s">
        <v>1071</v>
      </c>
      <c r="D514" s="21" t="s">
        <v>1065</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1072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1089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1341</v>
      </c>
      <c r="B517" s="21" t="s">
        <v>1114</v>
      </c>
      <c r="C517" s="21" t="s">
        <v>1075</v>
      </c>
      <c r="D517" s="21" t="s">
        <v>1065</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1076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1334</v>
      </c>
      <c r="B519" s="21" t="s">
        <v>1080</v>
      </c>
      <c r="C519" s="21" t="s">
        <v>1144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1091</v>
      </c>
      <c r="B520" s="21" t="s">
        <v>1278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1342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146</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1343</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909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1334</v>
      </c>
      <c r="B525" s="21" t="s">
        <v>1114</v>
      </c>
      <c r="C525" s="21" t="s">
        <v>1144</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1091</v>
      </c>
      <c r="B526" s="21" t="s">
        <v>1132</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1185</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1072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1344</v>
      </c>
      <c r="B529" s="21" t="s">
        <v>1121</v>
      </c>
      <c r="C529" s="21" t="s">
        <v>1144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1088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1153</v>
      </c>
      <c r="B531" s="21" t="s">
        <v>1118</v>
      </c>
      <c r="C531" s="21" t="s">
        <v>1155</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195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row>
    <row r="534" spans="1:12">
      <c r="A534" s="20" t="s">
        <v>1345</v>
      </c>
    </row>
    <row r="535" spans="1:12">
      <c r="A535" s="20" t="s">
        <v>1194</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1211</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1185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1346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1334</v>
      </c>
      <c r="B539" s="21" t="s">
        <v>1150</v>
      </c>
      <c r="C539" s="21" t="s">
        <v>1144</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1091</v>
      </c>
      <c r="B540" s="21" t="s">
        <v>1092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671</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1347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1348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1349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195</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row>
    <row r="547" spans="1:12">
      <c r="A547" s="20" t="s">
        <v>1350</v>
      </c>
    </row>
    <row r="548" spans="1:12">
      <c r="A548" s="20" t="s">
        <v>1351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1185</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1334</v>
      </c>
      <c r="B550" s="21" t="s">
        <v>1150</v>
      </c>
      <c r="C550" s="21" t="s">
        <v>1144</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1091</v>
      </c>
      <c r="B551" s="21" t="s">
        <v>1092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1213</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1352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146</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1343</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1076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1353</v>
      </c>
      <c r="B557" s="21" t="s">
        <v>1092</v>
      </c>
      <c r="C557" s="21" t="s">
        <v>1144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1091</v>
      </c>
      <c r="B558" s="21" t="s">
        <v>1354</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1355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1201</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1106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1356</v>
      </c>
      <c r="B562" s="21" t="s">
        <v>1121</v>
      </c>
      <c r="C562" s="21" t="s">
        <v>1144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1072</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1164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1357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1089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1358</v>
      </c>
      <c r="B567" s="21" t="s">
        <v>1359</v>
      </c>
      <c r="C567" s="21" t="s">
        <v>1075</v>
      </c>
      <c r="D567" s="21" t="s">
        <v>1065</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1360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1213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1361</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1088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1362</v>
      </c>
      <c r="B572" s="21" t="s">
        <v>1118</v>
      </c>
      <c r="C572" s="21" t="s">
        <v>1267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1076</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1213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1363</v>
      </c>
      <c r="B575" s="21" t="s">
        <v>1063</v>
      </c>
      <c r="C575" s="21" t="s">
        <v>1151</v>
      </c>
      <c r="D575" s="21" t="s">
        <v>1065</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1361</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1077</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1364</v>
      </c>
      <c r="B578" s="21" t="s">
        <v>1123</v>
      </c>
      <c r="C578" s="21" t="s">
        <v>1071</v>
      </c>
      <c r="D578" s="21" t="s">
        <v>1065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1072</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1089</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1358</v>
      </c>
      <c r="B581" s="21" t="s">
        <v>1097</v>
      </c>
      <c r="C581" s="21" t="s">
        <v>1075</v>
      </c>
      <c r="D581" s="21" t="s">
        <v>1065</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1360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909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1365</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1073</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1366</v>
      </c>
      <c r="B586" s="21" t="s">
        <v>1114</v>
      </c>
      <c r="C586" s="21" t="s">
        <v>1119</v>
      </c>
      <c r="D586" s="21" t="s">
        <v>1065</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1367</v>
      </c>
      <c r="B587" s="21" t="s">
        <v>1097</v>
      </c>
      <c r="C587" s="21" t="s">
        <v>1071</v>
      </c>
      <c r="D587" s="21" t="s">
        <v>1065</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1072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1241</v>
      </c>
      <c r="B589" s="21" t="s">
        <v>1114</v>
      </c>
      <c r="C589" s="21" t="s">
        <v>1144</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1200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1088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1362</v>
      </c>
      <c r="B592" s="21" t="s">
        <v>1063</v>
      </c>
      <c r="C592" s="21" t="s">
        <v>1071</v>
      </c>
      <c r="D592" s="21" t="s">
        <v>1065</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1072</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1284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1368</v>
      </c>
      <c r="B595" s="21" t="s">
        <v>1080</v>
      </c>
      <c r="C595" s="21" t="s">
        <v>1098</v>
      </c>
      <c r="D595" s="21" t="s">
        <v>1065</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195</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row>
    <row r="598" spans="1:12">
      <c r="A598" s="20" t="s">
        <v>1369</v>
      </c>
    </row>
    <row r="599" spans="1:12">
      <c r="A599" s="20" t="s">
        <v>1370</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1185</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1236</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1371</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1309</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51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1372</v>
      </c>
      <c r="B605" s="21" t="s">
        <v>1126</v>
      </c>
      <c r="C605" s="21" t="s">
        <v>1144</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1202</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1284</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1238</v>
      </c>
      <c r="B608" s="21" t="s">
        <v>1097</v>
      </c>
      <c r="C608" s="21" t="s">
        <v>1098</v>
      </c>
      <c r="D608" s="21" t="s">
        <v>1065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1076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1163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1373</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1272</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1374</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141</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1215</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1141</v>
      </c>
      <c r="B616" s="21" t="s">
        <v>1154</v>
      </c>
      <c r="C616" s="21" t="s">
        <v>1098</v>
      </c>
      <c r="D616" s="21" t="s">
        <v>1065</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1106</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1077</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1207</v>
      </c>
      <c r="B619" s="21" t="s">
        <v>1080</v>
      </c>
      <c r="C619" s="21" t="s">
        <v>1075</v>
      </c>
      <c r="D619" s="21" t="s">
        <v>1065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1375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1376</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1377</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1106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1207</v>
      </c>
      <c r="B624" s="21" t="s">
        <v>1063</v>
      </c>
      <c r="C624" s="21" t="s">
        <v>1144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1111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51</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1077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1378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1379</v>
      </c>
      <c r="B629" s="21" t="s">
        <v>1126</v>
      </c>
      <c r="C629" s="21" t="s">
        <v>1075</v>
      </c>
      <c r="D629" s="21" t="s">
        <v>1065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1188</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1077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1380</v>
      </c>
      <c r="B632" s="21" t="s">
        <v>1097</v>
      </c>
      <c r="C632" s="21" t="s">
        <v>1075</v>
      </c>
      <c r="D632" s="21" t="s">
        <v>1065</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909</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1381</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1088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1077</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1382</v>
      </c>
      <c r="B637" s="21" t="s">
        <v>1080</v>
      </c>
      <c r="C637" s="21" t="s">
        <v>1075</v>
      </c>
      <c r="D637" s="21" t="s">
        <v>1065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1073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1383</v>
      </c>
      <c r="B639" s="21" t="s">
        <v>1154</v>
      </c>
      <c r="C639" s="21" t="s">
        <v>1075</v>
      </c>
      <c r="D639" s="21" t="s">
        <v>1065</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1145</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row>
    <row r="642" spans="1:12">
      <c r="A642" s="20" t="s">
        <v>1384</v>
      </c>
    </row>
    <row r="643" spans="1:12">
      <c r="A643" s="20" t="s">
        <v>1385</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1386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1387</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1164</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1388</v>
      </c>
      <c r="B647" s="21" t="s">
        <v>1063</v>
      </c>
      <c r="C647" s="21" t="s">
        <v>1071</v>
      </c>
      <c r="D647" s="21" t="s">
        <v>1065</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1091</v>
      </c>
      <c r="B648" s="21" t="s">
        <v>1092</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1335</v>
      </c>
      <c r="B649" s="21" t="s">
        <v>1126</v>
      </c>
      <c r="C649" s="21" t="s">
        <v>1151</v>
      </c>
      <c r="D649" s="21" t="s">
        <v>1065</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1355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1106</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1389</v>
      </c>
      <c r="B652" s="21" t="s">
        <v>1097</v>
      </c>
      <c r="C652" s="21" t="s">
        <v>1144</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1076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1390</v>
      </c>
      <c r="B654" s="21" t="s">
        <v>1080</v>
      </c>
      <c r="C654" s="21" t="s">
        <v>1131</v>
      </c>
      <c r="D654" s="21" t="s">
        <v>1065</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1072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689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1088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1077</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1391</v>
      </c>
      <c r="B659" s="21" t="s">
        <v>1114</v>
      </c>
      <c r="C659" s="21" t="s">
        <v>1075</v>
      </c>
      <c r="D659" s="21" t="s">
        <v>1065</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1076</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1106</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1124</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1392</v>
      </c>
      <c r="B663" s="21" t="s">
        <v>1063</v>
      </c>
      <c r="C663" s="21" t="s">
        <v>1109</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1106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1393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1213</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1394</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1200</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1395</v>
      </c>
      <c r="B669" s="21" t="s">
        <v>1092</v>
      </c>
      <c r="C669" s="21" t="s">
        <v>1144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1076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1213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1394</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1361</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1396</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1397</v>
      </c>
      <c r="B675" s="21" t="s">
        <v>1150</v>
      </c>
      <c r="C675" s="21" t="s">
        <v>1071</v>
      </c>
      <c r="D675" s="21" t="s">
        <v>1065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1398</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1188</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1399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1400</v>
      </c>
      <c r="B679" s="21" t="s">
        <v>1080</v>
      </c>
      <c r="C679" s="21" t="s">
        <v>1071</v>
      </c>
      <c r="D679" s="21" t="s">
        <v>1065</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1072</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1077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1401</v>
      </c>
      <c r="B682" s="21" t="s">
        <v>1097</v>
      </c>
      <c r="C682" s="21" t="s">
        <v>1075</v>
      </c>
      <c r="D682" s="21" t="s">
        <v>1065</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1402</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1076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1124</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1403</v>
      </c>
      <c r="B686" s="21" t="s">
        <v>1080</v>
      </c>
      <c r="C686" s="21" t="s">
        <v>1071</v>
      </c>
      <c r="D686" s="21" t="s">
        <v>1065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1088</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1404</v>
      </c>
      <c r="B688" s="21" t="s">
        <v>1097</v>
      </c>
      <c r="C688" s="21" t="s">
        <v>1071</v>
      </c>
      <c r="D688" s="21" t="s">
        <v>1065</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1072</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1089</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1332</v>
      </c>
      <c r="B691" s="21" t="s">
        <v>1114</v>
      </c>
      <c r="C691" s="21" t="s">
        <v>1064</v>
      </c>
      <c r="D691" s="21" t="s">
        <v>1065</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1272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1203</v>
      </c>
      <c r="B693" s="21" t="s">
        <v>1097</v>
      </c>
      <c r="C693" s="21" t="s">
        <v>1151</v>
      </c>
      <c r="D693" s="21" t="s">
        <v>1065</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1076</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1405</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1077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1406</v>
      </c>
      <c r="B697" s="21" t="s">
        <v>1154</v>
      </c>
      <c r="C697" s="21" t="s">
        <v>1075</v>
      </c>
      <c r="D697" s="21" t="s">
        <v>1065</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1091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1149</v>
      </c>
      <c r="B699" s="21" t="s">
        <v>1278</v>
      </c>
      <c r="C699" s="21" t="s">
        <v>1151</v>
      </c>
      <c r="D699" s="21" t="s">
        <v>1065</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1407</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1408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1409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1088</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1164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1410</v>
      </c>
      <c r="B705" s="21" t="s">
        <v>1114</v>
      </c>
      <c r="C705" s="21" t="s">
        <v>1075</v>
      </c>
      <c r="D705" s="21" t="s">
        <v>1065</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909</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1077</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1380</v>
      </c>
      <c r="B708" s="21" t="s">
        <v>1121</v>
      </c>
      <c r="C708" s="21" t="s">
        <v>1075</v>
      </c>
      <c r="D708" s="21" t="s">
        <v>1065</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1213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1411</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1412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1413</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195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row>
    <row r="715" spans="1:12">
      <c r="A715" s="20" t="s">
        <v>1414</v>
      </c>
    </row>
    <row r="716" spans="1:12">
      <c r="A716" s="20" t="s">
        <v>1194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1415</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1077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1416</v>
      </c>
      <c r="B719" s="21" t="s">
        <v>1123</v>
      </c>
      <c r="C719" s="21" t="s">
        <v>1064</v>
      </c>
      <c r="D719" s="21" t="s">
        <v>1065</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1417</v>
      </c>
      <c r="B720" s="21" t="s">
        <v>1097</v>
      </c>
      <c r="C720" s="21" t="s">
        <v>1064</v>
      </c>
      <c r="D720" s="21" t="s">
        <v>1065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1072</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1204</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1418</v>
      </c>
      <c r="B723" s="21" t="s">
        <v>1097</v>
      </c>
      <c r="C723" s="21" t="s">
        <v>1071</v>
      </c>
      <c r="D723" s="21" t="s">
        <v>1065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1072</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1173</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1419</v>
      </c>
      <c r="B726" s="21" t="s">
        <v>1114</v>
      </c>
      <c r="C726" s="21" t="s">
        <v>1064</v>
      </c>
      <c r="D726" s="21" t="s">
        <v>1065</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1420</v>
      </c>
      <c r="B727" s="21" t="s">
        <v>1121</v>
      </c>
      <c r="C727" s="21" t="s">
        <v>1064</v>
      </c>
      <c r="D727" s="21" t="s">
        <v>1065</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1211</v>
      </c>
      <c r="B728" s="21" t="s">
        <v>1154</v>
      </c>
      <c r="C728" s="21" t="s">
        <v>1151</v>
      </c>
      <c r="D728" s="21" t="s">
        <v>1065</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1421</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1204</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1422</v>
      </c>
      <c r="B731" s="21" t="s">
        <v>1154</v>
      </c>
      <c r="C731" s="21" t="s">
        <v>1071</v>
      </c>
      <c r="D731" s="21" t="s">
        <v>1065</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1072</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1423</v>
      </c>
      <c r="B733" s="21" t="s">
        <v>1097</v>
      </c>
      <c r="C733" s="21" t="s">
        <v>1144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1076</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1124</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1424</v>
      </c>
      <c r="B736" s="21" t="s">
        <v>1150</v>
      </c>
      <c r="C736" s="21" t="s">
        <v>1109</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1394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1214</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1425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1214</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1129</v>
      </c>
      <c r="B741" s="21" t="s">
        <v>1063</v>
      </c>
      <c r="C741" s="21" t="s">
        <v>1131</v>
      </c>
      <c r="D741" s="21" t="s">
        <v>1065</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1072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1426</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1088</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1204</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1423</v>
      </c>
      <c r="B746" s="21" t="s">
        <v>1097</v>
      </c>
      <c r="C746" s="21" t="s">
        <v>1071</v>
      </c>
      <c r="D746" s="21" t="s">
        <v>1065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1072</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1427</v>
      </c>
      <c r="B748" s="21" t="s">
        <v>1114</v>
      </c>
      <c r="C748" s="21" t="s">
        <v>1144</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1076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1072</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1428</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1077</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1241</v>
      </c>
      <c r="B753" s="21" t="s">
        <v>1130</v>
      </c>
      <c r="C753" s="21" t="s">
        <v>1075</v>
      </c>
      <c r="D753" s="21" t="s">
        <v>1065</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1076</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1429</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1346</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1072</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1430</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1409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1088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1077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1241</v>
      </c>
      <c r="B762" s="21" t="s">
        <v>1121</v>
      </c>
      <c r="C762" s="21" t="s">
        <v>1075</v>
      </c>
      <c r="D762" s="21" t="s">
        <v>1065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1076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1188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1431</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1124</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1432</v>
      </c>
      <c r="B767" s="21" t="s">
        <v>1135</v>
      </c>
      <c r="C767" s="21" t="s">
        <v>1109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909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1433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1085</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1272</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1434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1377</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1435</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1089</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1358</v>
      </c>
      <c r="B776" s="21" t="s">
        <v>1436</v>
      </c>
      <c r="C776" s="21" t="s">
        <v>1075</v>
      </c>
      <c r="D776" s="21" t="s">
        <v>1065</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1360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1085</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1437</v>
      </c>
      <c r="B779" s="21" t="s">
        <v>1438</v>
      </c>
      <c r="C779" s="21" t="s">
        <v>1071</v>
      </c>
      <c r="D779" s="21" t="s">
        <v>1065</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1072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1439</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1440</v>
      </c>
      <c r="B782" s="21" t="s">
        <v>1441</v>
      </c>
      <c r="C782" s="21" t="s">
        <v>1144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1442</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502</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1088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1406</v>
      </c>
      <c r="B786" s="21" t="s">
        <v>1441</v>
      </c>
      <c r="C786" s="21" t="s">
        <v>1144</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1204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1443</v>
      </c>
      <c r="B788" s="21" t="s">
        <v>1444</v>
      </c>
      <c r="C788" s="21" t="s">
        <v>1119</v>
      </c>
      <c r="D788" s="21" t="s">
        <v>1065</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1445</v>
      </c>
      <c r="B789" s="21" t="s">
        <v>1446</v>
      </c>
      <c r="C789" s="21" t="s">
        <v>1075</v>
      </c>
      <c r="D789" s="21" t="s">
        <v>1065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1447</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195</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row>
    <row r="793" spans="1:12">
      <c r="A793" s="20" t="s">
        <v>1448</v>
      </c>
    </row>
    <row r="794" spans="1:12">
      <c r="A794" s="20" t="s">
        <v>1449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1409</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1088</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1073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1310</v>
      </c>
      <c r="B798" s="21" t="s">
        <v>1080</v>
      </c>
      <c r="C798" s="21" t="s">
        <v>1075</v>
      </c>
      <c r="D798" s="21" t="s">
        <v>1065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1076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1450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1387</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1164</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1451</v>
      </c>
      <c r="B803" s="21" t="s">
        <v>1097</v>
      </c>
      <c r="C803" s="21" t="s">
        <v>1119</v>
      </c>
      <c r="D803" s="21" t="s">
        <v>1065</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1410</v>
      </c>
      <c r="B804" s="21" t="s">
        <v>1154</v>
      </c>
      <c r="C804" s="21" t="s">
        <v>1075</v>
      </c>
      <c r="D804" s="21" t="s">
        <v>1065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1088</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1077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1452</v>
      </c>
      <c r="B807" s="21" t="s">
        <v>1080</v>
      </c>
      <c r="C807" s="21" t="s">
        <v>1075</v>
      </c>
      <c r="D807" s="21" t="s">
        <v>1065</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1453</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1076</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1454</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1091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141</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1455</v>
      </c>
      <c r="B813" s="21" t="s">
        <v>1126</v>
      </c>
      <c r="C813" s="21" t="s">
        <v>1071</v>
      </c>
      <c r="D813" s="21" t="s">
        <v>1065</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1085</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1203</v>
      </c>
      <c r="B815" s="21" t="s">
        <v>1114</v>
      </c>
      <c r="C815" s="21" t="s">
        <v>1151</v>
      </c>
      <c r="D815" s="21" t="s">
        <v>1065</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1190</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1188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1456</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1164</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1353</v>
      </c>
      <c r="B820" s="21" t="s">
        <v>1130</v>
      </c>
      <c r="C820" s="21" t="s">
        <v>1075</v>
      </c>
      <c r="D820" s="21" t="s">
        <v>1065</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1457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1204</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1458</v>
      </c>
      <c r="B823" s="21" t="s">
        <v>1135</v>
      </c>
      <c r="C823" s="21" t="s">
        <v>1075</v>
      </c>
      <c r="D823" s="21" t="s">
        <v>1065</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1076</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1253</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1459</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1124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1460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1199</v>
      </c>
      <c r="B829" s="21" t="s">
        <v>1084</v>
      </c>
      <c r="C829" s="21" t="s">
        <v>1109</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1202</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1124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1461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1462</v>
      </c>
      <c r="B833" s="21" t="s">
        <v>1063</v>
      </c>
      <c r="C833" s="21" t="s">
        <v>1071</v>
      </c>
      <c r="D833" s="21" t="s">
        <v>1065</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1111</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1113</v>
      </c>
      <c r="B835" s="21" t="s">
        <v>1080</v>
      </c>
      <c r="C835" s="21" t="s">
        <v>1071</v>
      </c>
      <c r="D835" s="21" t="s">
        <v>1065</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1072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1077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1241</v>
      </c>
      <c r="B838" s="21" t="s">
        <v>1097</v>
      </c>
      <c r="C838" s="21" t="s">
        <v>1075</v>
      </c>
      <c r="D838" s="21" t="s">
        <v>1065</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1091</v>
      </c>
      <c r="B839" s="21" t="s">
        <v>1092</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1463</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1464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1465</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1124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1379</v>
      </c>
      <c r="B844" s="21" t="s">
        <v>1130</v>
      </c>
      <c r="C844" s="21" t="s">
        <v>1109</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1466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195</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row>
    <row r="848" spans="1:12">
      <c r="A848" s="20" t="s">
        <v>1467</v>
      </c>
    </row>
    <row r="849" spans="1:12">
      <c r="A849" s="20" t="s">
        <v>1385</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1468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1383</v>
      </c>
      <c r="B851" s="21" t="s">
        <v>1150</v>
      </c>
      <c r="C851" s="21" t="s">
        <v>1098</v>
      </c>
      <c r="D851" s="21" t="s">
        <v>1065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1469</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1076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1073</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1383</v>
      </c>
      <c r="B855" s="21" t="s">
        <v>1150</v>
      </c>
      <c r="C855" s="21" t="s">
        <v>1075</v>
      </c>
      <c r="D855" s="21" t="s">
        <v>1065</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1091</v>
      </c>
      <c r="B856" s="21" t="s">
        <v>1092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1200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1470</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1471</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1111</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1077</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1241</v>
      </c>
      <c r="B862" s="21" t="s">
        <v>1097</v>
      </c>
      <c r="C862" s="21" t="s">
        <v>1075</v>
      </c>
      <c r="D862" s="21" t="s">
        <v>1065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1213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671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1185</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1412</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1472</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195</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row>
    <row r="870" spans="1:12">
      <c r="A870" s="20" t="s">
        <v>1473</v>
      </c>
    </row>
    <row r="871" spans="1:12">
      <c r="A871" s="20" t="s">
        <v>1264</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1211</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1185</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1474</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1475</v>
      </c>
      <c r="B875" s="21" t="s">
        <v>1150</v>
      </c>
      <c r="C875" s="21" t="s">
        <v>1144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1076</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1365</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1072</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1107</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1476</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1477</v>
      </c>
      <c r="B881" s="21" t="s">
        <v>1063</v>
      </c>
      <c r="C881" s="21" t="s">
        <v>1071</v>
      </c>
      <c r="D881" s="21" t="s">
        <v>1065</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1072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1478</v>
      </c>
      <c r="B883" s="21" t="s">
        <v>1080</v>
      </c>
      <c r="C883" s="21" t="s">
        <v>1144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1479</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909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1188</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1198</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1424</v>
      </c>
      <c r="B888" s="21" t="s">
        <v>1121</v>
      </c>
      <c r="C888" s="21" t="s">
        <v>1098</v>
      </c>
      <c r="D888" s="21" t="s">
        <v>1065</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1076</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1335</v>
      </c>
      <c r="B890" s="21" t="s">
        <v>1480</v>
      </c>
      <c r="C890" s="21" t="s">
        <v>1151</v>
      </c>
      <c r="D890" s="21" t="s">
        <v>1065</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1481</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1088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1482</v>
      </c>
      <c r="B893" s="21" t="s">
        <v>1118</v>
      </c>
      <c r="C893" s="21" t="s">
        <v>1119</v>
      </c>
      <c r="D893" s="21" t="s">
        <v>1065</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1483</v>
      </c>
      <c r="B894" s="21" t="s">
        <v>1121</v>
      </c>
      <c r="C894" s="21" t="s">
        <v>1115</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1202</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1164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1353</v>
      </c>
      <c r="B897" s="21" t="s">
        <v>1121</v>
      </c>
      <c r="C897" s="21" t="s">
        <v>1075</v>
      </c>
      <c r="D897" s="21" t="s">
        <v>1065</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1091</v>
      </c>
      <c r="B898" s="21" t="s">
        <v>1484</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1163</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1485</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195</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row>
    <row r="903" spans="1:12">
      <c r="A903" s="20" t="s">
        <v>1274</v>
      </c>
    </row>
    <row r="904" spans="1:12">
      <c r="A904" s="20" t="s">
        <v>1161</v>
      </c>
      <c r="B904" s="21" t="s">
        <v>1063</v>
      </c>
      <c r="C904" s="21" t="s">
        <v>1064</v>
      </c>
      <c r="D904" s="21" t="s">
        <v>1065</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1067</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row>
    <row r="907" spans="1:12">
      <c r="A907" s="20" t="s">
        <v>1486</v>
      </c>
    </row>
    <row r="908" spans="1:12">
      <c r="A908" s="20" t="s">
        <v>1082</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232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1088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1077</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1380</v>
      </c>
      <c r="B912" s="21" t="s">
        <v>1063</v>
      </c>
      <c r="C912" s="21" t="s">
        <v>1075</v>
      </c>
      <c r="D912" s="21" t="s">
        <v>1065</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1112</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1487</v>
      </c>
      <c r="B914" s="21" t="s">
        <v>1084</v>
      </c>
      <c r="C914" s="21" t="s">
        <v>1071</v>
      </c>
      <c r="D914" s="21" t="s">
        <v>1065</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1072</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1164</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1488</v>
      </c>
      <c r="B917" s="21" t="s">
        <v>1097</v>
      </c>
      <c r="C917" s="21" t="s">
        <v>1119</v>
      </c>
      <c r="D917" s="21" t="s">
        <v>1065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1096</v>
      </c>
      <c r="B918" s="21" t="s">
        <v>1080</v>
      </c>
      <c r="C918" s="21" t="s">
        <v>1075</v>
      </c>
      <c r="D918" s="21" t="s">
        <v>1065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195</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row>
    <row r="921" spans="1:12">
      <c r="A921" s="20" t="s">
        <v>1489</v>
      </c>
    </row>
    <row r="922" spans="1:12">
      <c r="A922" s="20" t="s">
        <v>1225</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671</v>
      </c>
      <c r="B923" s="21" t="s">
        <v>1063</v>
      </c>
      <c r="C923" s="21" t="s">
        <v>1151</v>
      </c>
      <c r="D923" s="21" t="s">
        <v>1065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1490</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137</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1107</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1491</v>
      </c>
      <c r="B927" s="21" t="s">
        <v>1150</v>
      </c>
      <c r="C927" s="21" t="s">
        <v>1109</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1076</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1099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1213</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1492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1415</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1286</v>
      </c>
      <c r="B933" s="21" t="s">
        <v>1278</v>
      </c>
      <c r="C933" s="21" t="s">
        <v>1151</v>
      </c>
      <c r="D933" s="21" t="s">
        <v>1065</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1142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1088</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137</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1076</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1164</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1493</v>
      </c>
      <c r="B939" s="21" t="s">
        <v>1132</v>
      </c>
      <c r="C939" s="21" t="s">
        <v>1075</v>
      </c>
      <c r="D939" s="21" t="s">
        <v>1065</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1185</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1237</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195</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row>
    <row r="944" spans="1:12">
      <c r="A944" s="20" t="s">
        <v>1494</v>
      </c>
    </row>
    <row r="945" spans="1:12">
      <c r="A945" s="20" t="s">
        <v>1248</v>
      </c>
      <c r="B945" s="21" t="s">
        <v>1150</v>
      </c>
      <c r="C945" s="21" t="s">
        <v>1131</v>
      </c>
      <c r="D945" s="21" t="s">
        <v>1065</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1214</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1107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1491</v>
      </c>
      <c r="B948" s="21" t="s">
        <v>1063</v>
      </c>
      <c r="C948" s="21" t="s">
        <v>1071</v>
      </c>
      <c r="D948" s="21" t="s">
        <v>1065</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1072</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1077</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1495</v>
      </c>
      <c r="B951" s="21" t="s">
        <v>1063</v>
      </c>
      <c r="C951" s="21" t="s">
        <v>1071</v>
      </c>
      <c r="D951" s="21" t="s">
        <v>1065</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1496</v>
      </c>
      <c r="B952" s="21" t="s">
        <v>1080</v>
      </c>
      <c r="C952" s="21" t="s">
        <v>1064</v>
      </c>
      <c r="D952" s="21" t="s">
        <v>1065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1076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909</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1497</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1286</v>
      </c>
      <c r="B956" s="21" t="s">
        <v>1123</v>
      </c>
      <c r="C956" s="21" t="s">
        <v>1151</v>
      </c>
      <c r="D956" s="21" t="s">
        <v>1065</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1498</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111</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1088</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1077</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1380</v>
      </c>
      <c r="B961" s="21" t="s">
        <v>1097</v>
      </c>
      <c r="C961" s="21" t="s">
        <v>1075</v>
      </c>
      <c r="D961" s="21" t="s">
        <v>1065</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1141</v>
      </c>
      <c r="B962" s="21" t="s">
        <v>1092</v>
      </c>
      <c r="C962" s="21" t="s">
        <v>1140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1214</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1169</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1499</v>
      </c>
      <c r="B965" s="21" t="s">
        <v>1154</v>
      </c>
      <c r="C965" s="21" t="s">
        <v>1071</v>
      </c>
      <c r="D965" s="21" t="s">
        <v>1065</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1072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1204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1500</v>
      </c>
      <c r="B968" s="21" t="s">
        <v>1097</v>
      </c>
      <c r="C968" s="21" t="s">
        <v>1075</v>
      </c>
      <c r="D968" s="21" t="s">
        <v>1065</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195</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row>
    <row r="971" spans="1:12">
      <c r="A971" s="20" t="s">
        <v>1191</v>
      </c>
    </row>
    <row r="972" spans="1:12">
      <c r="A972" s="20" t="s">
        <v>1192</v>
      </c>
      <c r="B972" s="21" t="s">
        <v>1063</v>
      </c>
      <c r="C972" s="21" t="s">
        <v>1064</v>
      </c>
      <c r="D972" s="21" t="s">
        <v>1065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1067</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row>
    <row r="975" spans="1:12">
      <c r="A975" s="20" t="s">
        <v>1501</v>
      </c>
    </row>
    <row r="976" spans="1:12">
      <c r="A976" s="20" t="s">
        <v>1502</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1207</v>
      </c>
      <c r="B977" s="21" t="s">
        <v>1150</v>
      </c>
      <c r="C977" s="21" t="s">
        <v>1075</v>
      </c>
      <c r="D977" s="21" t="s">
        <v>1065</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1503</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1188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636</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1077</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1496</v>
      </c>
      <c r="B982" s="21" t="s">
        <v>1126</v>
      </c>
      <c r="C982" s="21" t="s">
        <v>1064</v>
      </c>
      <c r="D982" s="21" t="s">
        <v>1065</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1076</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1111</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1077</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1392</v>
      </c>
      <c r="B986" s="21" t="s">
        <v>1063</v>
      </c>
      <c r="C986" s="21" t="s">
        <v>1075</v>
      </c>
      <c r="D986" s="21" t="s">
        <v>1065</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1091</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1211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1185</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1474</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1504</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1505</v>
      </c>
      <c r="B992" s="21" t="s">
        <v>1092</v>
      </c>
      <c r="C992" s="21" t="s">
        <v>1115</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1076</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1214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111</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1091</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1141</v>
      </c>
      <c r="B997" s="21" t="s">
        <v>1154</v>
      </c>
      <c r="C997" s="21" t="s">
        <v>1140</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1077</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1496</v>
      </c>
      <c r="B999" s="21" t="s">
        <v>1123</v>
      </c>
      <c r="C999" s="21" t="s">
        <v>1064</v>
      </c>
      <c r="D999" s="21" t="s">
        <v>1065</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1213</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1214</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195</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row>
    <row r="1004" spans="1:12">
      <c r="A1004" s="20" t="s">
        <v>1506</v>
      </c>
    </row>
    <row r="1005" spans="1:12">
      <c r="A1005" s="20" t="s">
        <v>1296</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1173</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1419</v>
      </c>
      <c r="B1007" s="21" t="s">
        <v>1063</v>
      </c>
      <c r="C1007" s="21" t="s">
        <v>1064</v>
      </c>
      <c r="D1007" s="21" t="s">
        <v>1065</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1420</v>
      </c>
      <c r="B1008" s="21" t="s">
        <v>1080</v>
      </c>
      <c r="C1008" s="21" t="s">
        <v>1064</v>
      </c>
      <c r="D1008" s="21" t="s">
        <v>1065</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1076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1507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1113</v>
      </c>
      <c r="B1011" s="21" t="s">
        <v>1150</v>
      </c>
      <c r="C1011" s="21" t="s">
        <v>1071</v>
      </c>
      <c r="D1011" s="21" t="s">
        <v>1065</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1072</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1077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1199</v>
      </c>
      <c r="B1014" s="21" t="s">
        <v>1080</v>
      </c>
      <c r="C1014" s="21" t="s">
        <v>1075</v>
      </c>
      <c r="D1014" s="21" t="s">
        <v>1065</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671</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1214</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1508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1085</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1073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1509</v>
      </c>
      <c r="B1020" s="21" t="s">
        <v>1063</v>
      </c>
      <c r="C1020" s="21" t="s">
        <v>1075</v>
      </c>
      <c r="D1020" s="21" t="s">
        <v>1065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195</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row>
    <row r="1023" spans="1:12">
      <c r="A1023" s="20" t="s">
        <v>1510</v>
      </c>
    </row>
    <row r="1024" spans="1:12">
      <c r="A1024" s="20" t="s">
        <v>1296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1511</v>
      </c>
      <c r="B1025" s="21" t="s">
        <v>1063</v>
      </c>
      <c r="C1025" s="21" t="s">
        <v>1144</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1076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1512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1076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1185</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1513</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1509</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909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1514</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1072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1399</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1515</v>
      </c>
      <c r="B1036" s="21" t="s">
        <v>1080</v>
      </c>
      <c r="C1036" s="21" t="s">
        <v>1071</v>
      </c>
      <c r="D1036" s="21" t="s">
        <v>1065</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1516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1517</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1076</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1077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1518</v>
      </c>
      <c r="B1041" s="21" t="s">
        <v>1097</v>
      </c>
      <c r="C1041" s="21" t="s">
        <v>1064</v>
      </c>
      <c r="D1041" s="21" t="s">
        <v>1065</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769</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1072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1077</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1519</v>
      </c>
      <c r="B1045" s="21" t="s">
        <v>1114</v>
      </c>
      <c r="C1045" s="21" t="s">
        <v>1064</v>
      </c>
      <c r="D1045" s="21" t="s">
        <v>1065</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1520</v>
      </c>
      <c r="B1046" s="21" t="s">
        <v>1121</v>
      </c>
      <c r="C1046" s="21" t="s">
        <v>1064</v>
      </c>
      <c r="D1046" s="21" t="s">
        <v>1065</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1076</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1091</v>
      </c>
      <c r="B1048" s="21" t="s">
        <v>1278</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1521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1107</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1522</v>
      </c>
      <c r="B1051" s="21" t="s">
        <v>1130</v>
      </c>
      <c r="C1051" s="21" t="s">
        <v>1071</v>
      </c>
      <c r="D1051" s="21" t="s">
        <v>1065</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1072</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1523</v>
      </c>
      <c r="B1053" s="21" t="s">
        <v>1121</v>
      </c>
      <c r="C1053" s="21" t="s">
        <v>1071</v>
      </c>
      <c r="D1053" s="21" t="s">
        <v>1065</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1442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1524</v>
      </c>
      <c r="B1055" s="21" t="s">
        <v>1118</v>
      </c>
      <c r="C1055" s="21" t="s">
        <v>1144</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1076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1525</v>
      </c>
      <c r="B1057" s="21" t="s">
        <v>1118</v>
      </c>
      <c r="C1057" s="21" t="s">
        <v>1071</v>
      </c>
      <c r="D1057" s="21" t="s">
        <v>1065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1526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1072</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1073</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1527</v>
      </c>
      <c r="B1061" s="21" t="s">
        <v>1528</v>
      </c>
      <c r="C1061" s="21" t="s">
        <v>1071</v>
      </c>
      <c r="D1061" s="21" t="s">
        <v>1065</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1529</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1072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1530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1077</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1531</v>
      </c>
      <c r="B1066" s="21" t="s">
        <v>1438</v>
      </c>
      <c r="C1066" s="21" t="s">
        <v>1075</v>
      </c>
      <c r="D1066" s="21" t="s">
        <v>1065</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1076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1334</v>
      </c>
      <c r="B1068" s="21" t="s">
        <v>1121</v>
      </c>
      <c r="C1068" s="21" t="s">
        <v>1071</v>
      </c>
      <c r="D1068" s="21" t="s">
        <v>1065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1072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1077</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1532</v>
      </c>
      <c r="B1071" s="21" t="s">
        <v>1118</v>
      </c>
      <c r="C1071" s="21" t="s">
        <v>1075</v>
      </c>
      <c r="D1071" s="21" t="s">
        <v>1065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row>
    <row r="1073" spans="1:12">
      <c r="A1073" s="20" t="s">
        <v>1533</v>
      </c>
    </row>
    <row r="1074" spans="1:12">
      <c r="A1074" s="20" t="s">
        <v>195</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row>
    <row r="1076" spans="1:12">
      <c r="A1076" s="20" t="s">
        <v>1534</v>
      </c>
    </row>
    <row r="1077" spans="1:12">
      <c r="A1077" s="20" t="s">
        <v>1202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1535</v>
      </c>
      <c r="B1078" s="21" t="s">
        <v>1063</v>
      </c>
      <c r="C1078" s="21" t="s">
        <v>1140</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671</v>
      </c>
      <c r="B1079" s="21" t="s">
        <v>1063</v>
      </c>
      <c r="C1079" s="21" t="s">
        <v>1151</v>
      </c>
      <c r="D1079" s="21" t="s">
        <v>1065</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1536</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1329</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671</v>
      </c>
      <c r="B1082" s="21" t="s">
        <v>1080</v>
      </c>
      <c r="C1082" s="21" t="s">
        <v>1151</v>
      </c>
      <c r="D1082" s="21" t="s">
        <v>1065</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1536</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1076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1537</v>
      </c>
      <c r="B1085" s="21" t="s">
        <v>1154</v>
      </c>
      <c r="C1085" s="21" t="s">
        <v>1144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1106</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1393</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671</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1538</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195</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row>
    <row r="1092" spans="1:12">
      <c r="A1092" s="20" t="s">
        <v>1539</v>
      </c>
    </row>
    <row r="1093" spans="1:12">
      <c r="A1093" s="20" t="s">
        <v>1540</v>
      </c>
      <c r="B1093" s="21" t="s">
        <v>1150</v>
      </c>
      <c r="C1093" s="21" t="s">
        <v>1131</v>
      </c>
      <c r="D1093" s="21" t="s">
        <v>1065</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1185</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1153</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1541</v>
      </c>
      <c r="B1096" s="21" t="s">
        <v>1063</v>
      </c>
      <c r="C1096" s="21" t="s">
        <v>1071</v>
      </c>
      <c r="D1096" s="21" t="s">
        <v>1065</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1111</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1509</v>
      </c>
      <c r="B1098" s="21" t="s">
        <v>1063</v>
      </c>
      <c r="C1098" s="21" t="s">
        <v>1144</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195</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row>
    <row r="1101" spans="1:12">
      <c r="A1101" s="20" t="s">
        <v>1542</v>
      </c>
    </row>
    <row r="1102" spans="1:12">
      <c r="A1102" s="20" t="s">
        <v>1496</v>
      </c>
      <c r="B1102" s="21" t="s">
        <v>1150</v>
      </c>
      <c r="C1102" s="21" t="s">
        <v>1064</v>
      </c>
      <c r="D1102" s="21" t="s">
        <v>1065</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1543</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1077</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1544</v>
      </c>
      <c r="B1105" s="21" t="s">
        <v>1084</v>
      </c>
      <c r="C1105" s="21" t="s">
        <v>1075</v>
      </c>
      <c r="D1105" s="21" t="s">
        <v>1065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195</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row>
    <row r="1108" spans="1:12">
      <c r="A1108" s="20" t="s">
        <v>1545</v>
      </c>
    </row>
    <row r="1109" spans="1:12">
      <c r="A1109" s="20" t="s">
        <v>1157</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1124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1495</v>
      </c>
      <c r="B1111" s="21" t="s">
        <v>1063</v>
      </c>
      <c r="C1111" s="21" t="s">
        <v>1109</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1546</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1077</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1217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1077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1241</v>
      </c>
      <c r="B1116" s="21" t="s">
        <v>1123</v>
      </c>
      <c r="C1116" s="21" t="s">
        <v>1075</v>
      </c>
      <c r="D1116" s="21" t="s">
        <v>1065</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1547</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141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1548</v>
      </c>
      <c r="B1119" s="21" t="s">
        <v>1154</v>
      </c>
      <c r="C1119" s="21" t="s">
        <v>1071</v>
      </c>
      <c r="D1119" s="21" t="s">
        <v>1065</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1085</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1164</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1549</v>
      </c>
      <c r="B1122" s="21" t="s">
        <v>1097</v>
      </c>
      <c r="C1122" s="21" t="s">
        <v>1075</v>
      </c>
      <c r="D1122" s="21" t="s">
        <v>1065</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1550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1076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1551</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1072</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141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1077</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1552</v>
      </c>
      <c r="B1129" s="21" t="s">
        <v>1480</v>
      </c>
      <c r="C1129" s="21" t="s">
        <v>1071</v>
      </c>
      <c r="D1129" s="21" t="s">
        <v>1065</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1553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1188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1204</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1554</v>
      </c>
      <c r="B1133" s="21" t="s">
        <v>1118</v>
      </c>
      <c r="C1133" s="21" t="s">
        <v>1064</v>
      </c>
      <c r="D1133" s="21" t="s">
        <v>1065</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195</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row>
    <row r="1136" spans="1:12">
      <c r="A1136" s="20" t="s">
        <v>1555</v>
      </c>
    </row>
    <row r="1137" spans="1:12">
      <c r="A1137" s="20" t="s">
        <v>1385</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1556</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1504</v>
      </c>
      <c r="B1139" s="21" t="s">
        <v>1063</v>
      </c>
      <c r="C1139" s="21" t="s">
        <v>1155</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1072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1557</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1549</v>
      </c>
      <c r="B1142" s="21" t="s">
        <v>1080</v>
      </c>
      <c r="C1142" s="21" t="s">
        <v>1098</v>
      </c>
      <c r="D1142" s="21" t="s">
        <v>1065</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1558</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1559</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1560</v>
      </c>
      <c r="B1145" s="21" t="s">
        <v>1084</v>
      </c>
      <c r="C1145" s="21" t="s">
        <v>1144</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1076</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1346</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1415</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1504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11</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1561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1091</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1562</v>
      </c>
      <c r="B1153" s="21" t="s">
        <v>1278</v>
      </c>
      <c r="C1153" s="21" t="s">
        <v>1064</v>
      </c>
      <c r="D1153" s="21" t="s">
        <v>1065</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1563</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1107</v>
      </c>
      <c r="B1155" s="21" t="s">
        <v>1097</v>
      </c>
      <c r="C1155" s="21" t="s">
        <v>1155</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1072</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1557</v>
      </c>
      <c r="B1157" s="21" t="s">
        <v>1114</v>
      </c>
      <c r="C1157" s="21" t="s">
        <v>1131</v>
      </c>
      <c r="D1157" s="21" t="s">
        <v>1065</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1178</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1564</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1565</v>
      </c>
      <c r="B1161" s="21" t="s">
        <v>1154</v>
      </c>
      <c r="C1161" s="21" t="s">
        <v>1144</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1076</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1178</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1566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1387</v>
      </c>
      <c r="B1165" s="21" t="s">
        <v>1126</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1567</v>
      </c>
      <c r="B1166" s="21" t="s">
        <v>1121</v>
      </c>
      <c r="C1166" s="21" t="s">
        <v>1140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1568</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1569</v>
      </c>
      <c r="B1168" s="21" t="s">
        <v>1354</v>
      </c>
      <c r="C1168" s="21" t="s">
        <v>1155</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1214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1570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1571</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1106</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1077</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1572</v>
      </c>
      <c r="B1174" s="21" t="s">
        <v>1121</v>
      </c>
      <c r="C1174" s="21" t="s">
        <v>1071</v>
      </c>
      <c r="D1174" s="21" t="s">
        <v>1065</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1072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1107</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1360</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1573</v>
      </c>
      <c r="B1178" s="21" t="s">
        <v>1118</v>
      </c>
      <c r="C1178" s="21" t="s">
        <v>1109</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195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row>
    <row r="1181" spans="1:12">
      <c r="A1181" s="20" t="s">
        <v>1574</v>
      </c>
    </row>
    <row r="1182" spans="1:12">
      <c r="A1182" s="20" t="s">
        <v>1575</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1474</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1576</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1577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1111</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1124</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1578</v>
      </c>
      <c r="B1188" s="21" t="s">
        <v>1063</v>
      </c>
      <c r="C1188" s="21" t="s">
        <v>1109</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1356</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195</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row>
    <row r="1192" spans="1:12">
      <c r="A1192" s="20" t="s">
        <v>1579</v>
      </c>
    </row>
    <row r="1193" spans="1:12">
      <c r="A1193" s="20" t="s">
        <v>1385</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1504</v>
      </c>
      <c r="B1194" s="21" t="s">
        <v>1123</v>
      </c>
      <c r="C1194" s="21" t="s">
        <v>1155</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1072</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1164</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1334</v>
      </c>
      <c r="B1197" s="21" t="s">
        <v>1097</v>
      </c>
      <c r="C1197" s="21" t="s">
        <v>1075</v>
      </c>
      <c r="D1197" s="21" t="s">
        <v>1065</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1091</v>
      </c>
      <c r="B1198" s="21" t="s">
        <v>1480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1253</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1254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1076</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1334</v>
      </c>
      <c r="B1202" s="21" t="s">
        <v>1480</v>
      </c>
      <c r="C1202" s="21" t="s">
        <v>1144</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1580</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1077</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1496</v>
      </c>
      <c r="B1205" s="21" t="s">
        <v>1132</v>
      </c>
      <c r="C1205" s="21" t="s">
        <v>1064</v>
      </c>
      <c r="D1205" s="21" t="s">
        <v>1065</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1076</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1185</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1188</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1203</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1581</v>
      </c>
      <c r="B1210" s="21" t="s">
        <v>1150</v>
      </c>
      <c r="C1210" s="21" t="s">
        <v>1071</v>
      </c>
      <c r="D1210" s="21" t="s">
        <v>1065</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1072</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1582</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1583</v>
      </c>
      <c r="B1213" s="21" t="s">
        <v>1080</v>
      </c>
      <c r="C1213" s="21" t="s">
        <v>1144</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1584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1394</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1214</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1169</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1124</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1585</v>
      </c>
      <c r="B1219" s="21" t="s">
        <v>1150</v>
      </c>
      <c r="C1219" s="21" t="s">
        <v>1071</v>
      </c>
      <c r="D1219" s="21" t="s">
        <v>1065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1072</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1204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1586</v>
      </c>
      <c r="B1222" s="21" t="s">
        <v>1080</v>
      </c>
      <c r="C1222" s="21" t="s">
        <v>1075</v>
      </c>
      <c r="D1222" s="21" t="s">
        <v>1065</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1088</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1077</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1241</v>
      </c>
      <c r="B1225" s="21" t="s">
        <v>1080</v>
      </c>
      <c r="C1225" s="21" t="s">
        <v>1071</v>
      </c>
      <c r="D1225" s="21" t="s">
        <v>1065</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1072</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1173</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1419</v>
      </c>
      <c r="B1228" s="21" t="s">
        <v>1097</v>
      </c>
      <c r="C1228" s="21" t="s">
        <v>1064</v>
      </c>
      <c r="D1228" s="21" t="s">
        <v>1065</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1420</v>
      </c>
      <c r="B1229" s="21" t="s">
        <v>1114</v>
      </c>
      <c r="C1229" s="21" t="s">
        <v>1064</v>
      </c>
      <c r="D1229" s="21" t="s">
        <v>1065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1106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1393</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1214</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1169</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1587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1091</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66</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1588</v>
      </c>
      <c r="B1237" s="21" t="s">
        <v>1278</v>
      </c>
      <c r="C1237" s="21" t="s">
        <v>1267</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1589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1178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1590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1284</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1368</v>
      </c>
      <c r="B1242" s="21" t="s">
        <v>1130</v>
      </c>
      <c r="C1242" s="21" t="s">
        <v>1098</v>
      </c>
      <c r="D1242" s="21" t="s">
        <v>1065</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909</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1591</v>
      </c>
      <c r="B1244" s="21" t="s">
        <v>1480</v>
      </c>
      <c r="C1244" s="21" t="s">
        <v>1151</v>
      </c>
      <c r="D1244" s="21" t="s">
        <v>1065</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1178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1592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1593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1076</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1429</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1129</v>
      </c>
      <c r="B1250" s="21" t="s">
        <v>1097</v>
      </c>
      <c r="C1250" s="21" t="s">
        <v>1131</v>
      </c>
      <c r="D1250" s="21" t="s">
        <v>1065</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1091</v>
      </c>
      <c r="B1251" s="21" t="s">
        <v>1354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1213</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1214</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1169</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1587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1214</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1091</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671</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1594</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1072</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1588</v>
      </c>
      <c r="B1261" s="21" t="s">
        <v>1118</v>
      </c>
      <c r="C1261" s="21" t="s">
        <v>1071</v>
      </c>
      <c r="D1261" s="21" t="s">
        <v>1065</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1595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1072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1124</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1578</v>
      </c>
      <c r="B1265" s="21" t="s">
        <v>1528</v>
      </c>
      <c r="C1265" s="21" t="s">
        <v>1109</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1356</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1076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1596</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1085</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1107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1597</v>
      </c>
      <c r="B1271" s="21" t="s">
        <v>1441</v>
      </c>
      <c r="C1271" s="21" t="s">
        <v>1071</v>
      </c>
      <c r="D1271" s="21" t="s">
        <v>1065</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1598</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1072</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1204</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1599</v>
      </c>
      <c r="B1275" s="21" t="s">
        <v>1444</v>
      </c>
      <c r="C1275" s="21" t="s">
        <v>1075</v>
      </c>
      <c r="D1275" s="21" t="s">
        <v>1065</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1091</v>
      </c>
      <c r="B1276" s="21" t="s">
        <v>1600</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1319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1601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149</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1602</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1603</v>
      </c>
      <c r="B1281" s="21" t="s">
        <v>1604</v>
      </c>
      <c r="C1281" s="21" t="s">
        <v>1071</v>
      </c>
      <c r="D1281" s="21" t="s">
        <v>1065</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1072</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1524</v>
      </c>
      <c r="B1283" s="21" t="s">
        <v>1605</v>
      </c>
      <c r="C1283" s="21" t="s">
        <v>1144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1106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1349</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144</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1327</v>
      </c>
      <c r="B1287" s="21" t="s">
        <v>1606</v>
      </c>
      <c r="C1287" s="21" t="s">
        <v>1267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1076</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909</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1106</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144</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1327</v>
      </c>
      <c r="B1292" s="21" t="s">
        <v>1528</v>
      </c>
      <c r="C1292" s="21" t="s">
        <v>1267</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1319</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1607</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1577</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50</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1603</v>
      </c>
      <c r="B1297" s="21" t="s">
        <v>1484</v>
      </c>
      <c r="C1297" s="21" t="s">
        <v>1071</v>
      </c>
      <c r="D1297" s="21" t="s">
        <v>1065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1111</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1113</v>
      </c>
      <c r="B1299" s="21" t="s">
        <v>1438</v>
      </c>
      <c r="C1299" s="21" t="s">
        <v>1071</v>
      </c>
      <c r="D1299" s="21" t="s">
        <v>1065</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1072</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1077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1241</v>
      </c>
      <c r="B1302" s="21" t="s">
        <v>1441</v>
      </c>
      <c r="C1302" s="21" t="s">
        <v>1075</v>
      </c>
      <c r="D1302" s="21" t="s">
        <v>1065</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195</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row>
    <row r="1305" spans="1:12">
      <c r="A1305" s="20" t="s">
        <v>1608</v>
      </c>
    </row>
    <row r="1306" spans="1:12">
      <c r="A1306" s="20" t="s">
        <v>1264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1214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1088</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1557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1609</v>
      </c>
      <c r="B1310" s="21" t="s">
        <v>1063</v>
      </c>
      <c r="C1310" s="21" t="s">
        <v>1098</v>
      </c>
      <c r="D1310" s="21" t="s">
        <v>1065</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1091</v>
      </c>
      <c r="B1311" s="21" t="s">
        <v>1092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1242</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1610</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1204</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1611</v>
      </c>
      <c r="B1315" s="21" t="s">
        <v>1126</v>
      </c>
      <c r="C1315" s="21" t="s">
        <v>1075</v>
      </c>
      <c r="D1315" s="21" t="s">
        <v>1065</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1085</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1217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1612</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146</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1077</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1613</v>
      </c>
      <c r="B1321" s="21" t="s">
        <v>1114</v>
      </c>
      <c r="C1321" s="21" t="s">
        <v>1071</v>
      </c>
      <c r="D1321" s="21" t="s">
        <v>1065</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1072</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1164</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1549</v>
      </c>
      <c r="B1324" s="21" t="s">
        <v>1121</v>
      </c>
      <c r="C1324" s="21" t="s">
        <v>1075</v>
      </c>
      <c r="D1324" s="21" t="s">
        <v>1065</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1550</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1106</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1107</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1614</v>
      </c>
      <c r="B1328" s="21" t="s">
        <v>1121</v>
      </c>
      <c r="C1328" s="21" t="s">
        <v>1109</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1615</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909</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1616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195</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row>
    <row r="1334" spans="1:12">
      <c r="A1334" s="20" t="s">
        <v>1274</v>
      </c>
    </row>
    <row r="1335" spans="1:12">
      <c r="A1335" s="20" t="s">
        <v>1161</v>
      </c>
      <c r="B1335" s="21" t="s">
        <v>1063</v>
      </c>
      <c r="C1335" s="21" t="s">
        <v>1064</v>
      </c>
      <c r="D1335" s="21" t="s">
        <v>1065</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1067</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row>
    <row r="1338" spans="1:12">
      <c r="A1338" s="20" t="s">
        <v>1617</v>
      </c>
    </row>
    <row r="1339" spans="1:12">
      <c r="A1339" s="20" t="s">
        <v>1618</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1491</v>
      </c>
      <c r="B1340" s="21" t="s">
        <v>1150</v>
      </c>
      <c r="C1340" s="21" t="s">
        <v>1075</v>
      </c>
      <c r="D1340" s="21" t="s">
        <v>1065</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1091</v>
      </c>
      <c r="B1341" s="21" t="s">
        <v>1092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1619</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1620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1621</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1164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1622</v>
      </c>
      <c r="B1346" s="21" t="s">
        <v>1123</v>
      </c>
      <c r="C1346" s="21" t="s">
        <v>1075</v>
      </c>
      <c r="D1346" s="21" t="s">
        <v>1065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1106</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1393</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1623</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1549</v>
      </c>
      <c r="B1350" s="21" t="s">
        <v>1278</v>
      </c>
      <c r="C1350" s="21" t="s">
        <v>1071</v>
      </c>
      <c r="D1350" s="21" t="s">
        <v>1065</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1624</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1076</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1246</v>
      </c>
      <c r="B1353" s="21" t="s">
        <v>1121</v>
      </c>
      <c r="C1353" s="21" t="s">
        <v>1071</v>
      </c>
      <c r="D1353" s="21" t="s">
        <v>1065</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1072</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1079</v>
      </c>
      <c r="B1355" s="21" t="s">
        <v>1118</v>
      </c>
      <c r="C1355" s="21" t="s">
        <v>1064</v>
      </c>
      <c r="D1355" s="21" t="s">
        <v>1065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1076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671</v>
      </c>
      <c r="B1357" s="21" t="s">
        <v>1114</v>
      </c>
      <c r="C1357" s="21" t="s">
        <v>1151</v>
      </c>
      <c r="D1357" s="21" t="s">
        <v>1065</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1625</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1558</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1626</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1088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1077</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1495</v>
      </c>
      <c r="B1363" s="21" t="s">
        <v>1080</v>
      </c>
      <c r="C1363" s="21" t="s">
        <v>1075</v>
      </c>
      <c r="D1363" s="21" t="s">
        <v>1065</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1076</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909</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1111</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1329</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1434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1627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1204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1628</v>
      </c>
      <c r="B1371" s="21" t="s">
        <v>1092</v>
      </c>
      <c r="C1371" s="21" t="s">
        <v>1071</v>
      </c>
      <c r="D1371" s="21" t="s">
        <v>1065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1072</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1073</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1301</v>
      </c>
      <c r="B1374" s="21" t="s">
        <v>1121</v>
      </c>
      <c r="C1374" s="21" t="s">
        <v>1119</v>
      </c>
      <c r="D1374" s="21" t="s">
        <v>1065</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1629</v>
      </c>
      <c r="B1375" s="21" t="s">
        <v>1114</v>
      </c>
      <c r="C1375" s="21" t="s">
        <v>1075</v>
      </c>
      <c r="D1375" s="21" t="s">
        <v>1065</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195</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row>
    <row r="1378" spans="1:12">
      <c r="A1378" s="20" t="s">
        <v>1630</v>
      </c>
    </row>
    <row r="1379" spans="1:12">
      <c r="A1379" s="20" t="s">
        <v>1631</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1549</v>
      </c>
      <c r="B1380" s="21" t="s">
        <v>1150</v>
      </c>
      <c r="C1380" s="21" t="s">
        <v>1098</v>
      </c>
      <c r="D1380" s="21" t="s">
        <v>1065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1178</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1632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1072</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1633</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1634</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1202</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1204</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1554</v>
      </c>
      <c r="B1388" s="21" t="s">
        <v>1080</v>
      </c>
      <c r="C1388" s="21" t="s">
        <v>1064</v>
      </c>
      <c r="D1388" s="21" t="s">
        <v>1065</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195</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row>
    <row r="1391" spans="1:12">
      <c r="A1391" s="20" t="s">
        <v>1635</v>
      </c>
    </row>
    <row r="1392" spans="1:12">
      <c r="A1392" s="20" t="s">
        <v>1296</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1091</v>
      </c>
      <c r="B1393" s="21" t="s">
        <v>1080</v>
      </c>
      <c r="C1393" s="21" t="s">
        <v>1140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1207</v>
      </c>
      <c r="B1394" s="21" t="s">
        <v>1063</v>
      </c>
      <c r="C1394" s="21" t="s">
        <v>1115</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1468</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1629</v>
      </c>
      <c r="B1396" s="21" t="s">
        <v>1150</v>
      </c>
      <c r="C1396" s="21" t="s">
        <v>1098</v>
      </c>
      <c r="D1396" s="21" t="s">
        <v>1065</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1185</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1470</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1636</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1111</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1204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1554</v>
      </c>
      <c r="B1402" s="21" t="s">
        <v>1063</v>
      </c>
      <c r="C1402" s="21" t="s">
        <v>1064</v>
      </c>
      <c r="D1402" s="21" t="s">
        <v>1065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1145</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row>
    <row r="1405" spans="1:12">
      <c r="A1405" s="20" t="s">
        <v>1191</v>
      </c>
    </row>
    <row r="1406" spans="1:12">
      <c r="A1406" s="20" t="s">
        <v>1192</v>
      </c>
      <c r="B1406" s="21" t="s">
        <v>1063</v>
      </c>
      <c r="C1406" s="21" t="s">
        <v>1064</v>
      </c>
      <c r="D1406" s="21" t="s">
        <v>1065</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1067</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row>
    <row r="1409" spans="1:12">
      <c r="A1409" s="20" t="s">
        <v>1637</v>
      </c>
    </row>
    <row r="1410" spans="1:12">
      <c r="A1410" s="20" t="s">
        <v>1638</v>
      </c>
      <c r="B1410" s="21" t="s">
        <v>1063</v>
      </c>
      <c r="C1410" s="21" t="s">
        <v>1144</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195</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row>
    <row r="1413" spans="1:12">
      <c r="A1413" s="20" t="s">
        <v>1639</v>
      </c>
    </row>
    <row r="1414" spans="1:12">
      <c r="A1414" s="20" t="s">
        <v>1640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1076</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1164</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1493</v>
      </c>
      <c r="B1417" s="21" t="s">
        <v>1150</v>
      </c>
      <c r="C1417" s="21" t="s">
        <v>1071</v>
      </c>
      <c r="D1417" s="21" t="s">
        <v>1065</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1072</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1204</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1554</v>
      </c>
      <c r="B1420" s="21" t="s">
        <v>1080</v>
      </c>
      <c r="C1420" s="21" t="s">
        <v>1064</v>
      </c>
      <c r="D1420" s="21" t="s">
        <v>1065</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1514</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1072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128</v>
      </c>
      <c r="B1423" s="21" t="s">
        <v>1063</v>
      </c>
      <c r="C1423" s="21" t="s">
        <v>1144</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1641</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195</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row>
    <row r="1427" spans="1:12">
      <c r="A1427" s="20" t="s">
        <v>1642</v>
      </c>
    </row>
    <row r="1428" spans="1:12">
      <c r="A1428" s="20" t="s">
        <v>1643</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1124</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1644</v>
      </c>
      <c r="B1430" s="21" t="s">
        <v>1080</v>
      </c>
      <c r="C1430" s="21" t="s">
        <v>1071</v>
      </c>
      <c r="D1430" s="21" t="s">
        <v>1065</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1072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1204</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1554</v>
      </c>
      <c r="B1433" s="21" t="s">
        <v>1097</v>
      </c>
      <c r="C1433" s="21" t="s">
        <v>1064</v>
      </c>
      <c r="D1433" s="21" t="s">
        <v>1065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1645</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909</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1646</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1076</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1188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1647</v>
      </c>
      <c r="B1439" s="21" t="s">
        <v>1097</v>
      </c>
      <c r="C1439" s="21" t="s">
        <v>1155</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1272</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1203</v>
      </c>
      <c r="B1441" s="21" t="s">
        <v>1114</v>
      </c>
      <c r="C1441" s="21" t="s">
        <v>1151</v>
      </c>
      <c r="D1441" s="21" t="s">
        <v>1065</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1091</v>
      </c>
      <c r="B1442" s="21" t="s">
        <v>1132</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1648</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1272</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1644</v>
      </c>
      <c r="B1445" s="21" t="s">
        <v>1118</v>
      </c>
      <c r="C1445" s="21" t="s">
        <v>1071</v>
      </c>
      <c r="D1445" s="21" t="s">
        <v>1065</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1188</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1073</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1649</v>
      </c>
      <c r="B1448" s="21" t="s">
        <v>1528</v>
      </c>
      <c r="C1448" s="21" t="s">
        <v>1075</v>
      </c>
      <c r="D1448" s="21" t="s">
        <v>1065</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1595</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1076</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1650</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671</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1085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1073</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1651</v>
      </c>
      <c r="B1455" s="21" t="s">
        <v>1080</v>
      </c>
      <c r="C1455" s="21" t="s">
        <v>1075</v>
      </c>
      <c r="D1455" s="21" t="s">
        <v>1065</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11</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1652</v>
      </c>
      <c r="B1457" s="21" t="s">
        <v>1154</v>
      </c>
      <c r="C1457" s="21" t="s">
        <v>1144</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1653</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909</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1334</v>
      </c>
      <c r="B1460" s="21" t="s">
        <v>1097</v>
      </c>
      <c r="C1460" s="21" t="s">
        <v>1071</v>
      </c>
      <c r="D1460" s="21" t="s">
        <v>1065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1072</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1077</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1654</v>
      </c>
      <c r="B1463" s="21" t="s">
        <v>1114</v>
      </c>
      <c r="C1463" s="21" t="s">
        <v>1075</v>
      </c>
      <c r="D1463" s="21" t="s">
        <v>1065</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1076</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1088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1164</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1289</v>
      </c>
      <c r="B1467" s="21" t="s">
        <v>1080</v>
      </c>
      <c r="C1467" s="21" t="s">
        <v>1064</v>
      </c>
      <c r="D1467" s="21" t="s">
        <v>1065</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1076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1198</v>
      </c>
      <c r="B1469" s="21" t="s">
        <v>1150</v>
      </c>
      <c r="C1469" s="21" t="s">
        <v>1131</v>
      </c>
      <c r="D1469" s="21" t="s">
        <v>1065</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1655</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1091</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1073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1629</v>
      </c>
      <c r="B1473" s="21" t="s">
        <v>1123</v>
      </c>
      <c r="C1473" s="21" t="s">
        <v>1075</v>
      </c>
      <c r="D1473" s="21" t="s">
        <v>1065</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1656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1657</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1111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1073</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1658</v>
      </c>
      <c r="B1478" s="21" t="s">
        <v>1080</v>
      </c>
      <c r="C1478" s="21" t="s">
        <v>1071</v>
      </c>
      <c r="D1478" s="21" t="s">
        <v>1065</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1072</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1095</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1549</v>
      </c>
      <c r="B1481" s="21" t="s">
        <v>1097</v>
      </c>
      <c r="C1481" s="21" t="s">
        <v>1098</v>
      </c>
      <c r="D1481" s="21" t="s">
        <v>1065</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195</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1659</v>
      </c>
    </row>
    <row r="1485" spans="1:12">
      <c r="A1485" s="20" t="s">
        <v>1264</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1660</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111</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1091</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1211</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1434</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1124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1661</v>
      </c>
      <c r="B1492" s="21" t="s">
        <v>1123</v>
      </c>
      <c r="C1492" s="21" t="s">
        <v>1071</v>
      </c>
      <c r="D1492" s="21" t="s">
        <v>1065</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1072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1367</v>
      </c>
      <c r="B1494" s="21" t="s">
        <v>1097</v>
      </c>
      <c r="C1494" s="21" t="s">
        <v>1071</v>
      </c>
      <c r="D1494" s="21" t="s">
        <v>1065</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1072</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1089</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1662</v>
      </c>
      <c r="B1497" s="21" t="s">
        <v>1114</v>
      </c>
      <c r="C1497" s="21" t="s">
        <v>1075</v>
      </c>
      <c r="D1497" s="21" t="s">
        <v>1065</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1663</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1106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1107</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1288</v>
      </c>
      <c r="B1501" s="21" t="s">
        <v>1097</v>
      </c>
      <c r="C1501" s="21" t="s">
        <v>1071</v>
      </c>
      <c r="D1501" s="21" t="s">
        <v>1065</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1664</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1202</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1204</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1554</v>
      </c>
      <c r="B1505" s="21" t="s">
        <v>1114</v>
      </c>
      <c r="C1505" s="21" t="s">
        <v>1064</v>
      </c>
      <c r="D1505" s="21" t="s">
        <v>1065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1088</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141</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1665</v>
      </c>
      <c r="B1508" s="21" t="s">
        <v>1130</v>
      </c>
      <c r="C1508" s="21" t="s">
        <v>1144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909</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1088</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1456</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1666</v>
      </c>
      <c r="B1512" s="21" t="s">
        <v>1480</v>
      </c>
      <c r="C1512" s="21" t="s">
        <v>1071</v>
      </c>
      <c r="D1512" s="21" t="s">
        <v>1065</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1094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1164</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1667</v>
      </c>
      <c r="B1515" s="21" t="s">
        <v>1118</v>
      </c>
      <c r="C1515" s="21" t="s">
        <v>1071</v>
      </c>
      <c r="D1515" s="21" t="s">
        <v>1065</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1085</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1077</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1207</v>
      </c>
      <c r="B1518" s="21" t="s">
        <v>1528</v>
      </c>
      <c r="C1518" s="21" t="s">
        <v>1075</v>
      </c>
      <c r="D1518" s="21" t="s">
        <v>1065</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1106</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1393</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120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1198</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1668</v>
      </c>
      <c r="B1523" s="21" t="s">
        <v>1446</v>
      </c>
      <c r="C1523" s="21" t="s">
        <v>1098</v>
      </c>
      <c r="D1523" s="21" t="s">
        <v>1065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195</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row>
    <row r="1526" spans="1:12">
      <c r="A1526" s="20" t="s">
        <v>1669</v>
      </c>
    </row>
    <row r="1527" spans="1:12">
      <c r="A1527" s="20" t="s">
        <v>1670</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1662</v>
      </c>
      <c r="B1528" s="21" t="s">
        <v>1150</v>
      </c>
      <c r="C1528" s="21" t="s">
        <v>1115</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1322</v>
      </c>
      <c r="B1529" s="21" t="s">
        <v>1084</v>
      </c>
      <c r="C1529" s="21" t="s">
        <v>1151</v>
      </c>
      <c r="D1529" s="21" t="s">
        <v>1065</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1671</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1106</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1172</v>
      </c>
      <c r="B1532" s="21" t="s">
        <v>1063</v>
      </c>
      <c r="C1532" s="21" t="s">
        <v>1144</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1672</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195</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row>
    <row r="1536" spans="1:12">
      <c r="A1536" s="20" t="s">
        <v>1673</v>
      </c>
    </row>
    <row r="1537" spans="1:12">
      <c r="A1537" s="20" t="s">
        <v>1674</v>
      </c>
      <c r="B1537" s="21" t="s">
        <v>1150</v>
      </c>
      <c r="C1537" s="21" t="s">
        <v>1155</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1185</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1675</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195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row>
    <row r="1542" spans="1:12">
      <c r="A1542" s="20" t="s">
        <v>1676</v>
      </c>
    </row>
    <row r="1543" spans="1:12">
      <c r="A1543" s="20" t="s">
        <v>1677</v>
      </c>
      <c r="B1543" s="21" t="s">
        <v>1150</v>
      </c>
      <c r="C1543" s="21" t="s">
        <v>1155</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1322</v>
      </c>
      <c r="B1544" s="21" t="s">
        <v>1084</v>
      </c>
      <c r="C1544" s="21" t="s">
        <v>1151</v>
      </c>
      <c r="D1544" s="21" t="s">
        <v>1065</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1185</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1678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195</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row>
    <row r="1549" spans="1:12">
      <c r="A1549" s="20" t="s">
        <v>1679</v>
      </c>
    </row>
    <row r="1550" spans="1:12">
      <c r="A1550" s="20" t="s">
        <v>1194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1106</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1680</v>
      </c>
      <c r="B1552" s="21" t="s">
        <v>1063</v>
      </c>
      <c r="C1552" s="21" t="s">
        <v>1071</v>
      </c>
      <c r="D1552" s="21" t="s">
        <v>1065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1072</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1681</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1076</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1329</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671</v>
      </c>
      <c r="B1557" s="21" t="s">
        <v>1080</v>
      </c>
      <c r="C1557" s="21" t="s">
        <v>1151</v>
      </c>
      <c r="D1557" s="21" t="s">
        <v>1065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1536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1072</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1077</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1207</v>
      </c>
      <c r="B1561" s="21" t="s">
        <v>1080</v>
      </c>
      <c r="C1561" s="21" t="s">
        <v>1075</v>
      </c>
      <c r="D1561" s="21" t="s">
        <v>1065</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1106</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1393</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1164</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1410</v>
      </c>
      <c r="B1565" s="21" t="s">
        <v>1278</v>
      </c>
      <c r="C1565" s="21" t="s">
        <v>1075</v>
      </c>
      <c r="D1565" s="21" t="s">
        <v>1065</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1682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1683</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1076</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671</v>
      </c>
      <c r="B1569" s="21" t="s">
        <v>1063</v>
      </c>
      <c r="C1569" s="21" t="s">
        <v>1151</v>
      </c>
      <c r="D1569" s="21" t="s">
        <v>1065</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1684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1091</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1656</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1111</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1164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1685</v>
      </c>
      <c r="B1575" s="21" t="s">
        <v>1080</v>
      </c>
      <c r="C1575" s="21" t="s">
        <v>1075</v>
      </c>
      <c r="D1575" s="21" t="s">
        <v>1065</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1686</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195</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row>
    <row r="1579" spans="1:12">
      <c r="A1579" s="20" t="s">
        <v>1687</v>
      </c>
    </row>
    <row r="1580" spans="1:12">
      <c r="A1580" s="20" t="s">
        <v>1264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1688</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1689</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1111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1164</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1690</v>
      </c>
      <c r="B1585" s="21" t="s">
        <v>1063</v>
      </c>
      <c r="C1585" s="21" t="s">
        <v>1075</v>
      </c>
      <c r="D1585" s="21" t="s">
        <v>1065</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195</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row>
    <row r="1588" spans="1:12">
      <c r="A1588" s="20" t="s">
        <v>1691</v>
      </c>
    </row>
    <row r="1589" spans="1:12">
      <c r="A1589" s="20" t="s">
        <v>1194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1692</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1693</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1107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1141</v>
      </c>
      <c r="B1593" s="21" t="s">
        <v>1154</v>
      </c>
      <c r="C1593" s="21" t="s">
        <v>1109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1694</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1067</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row>
    <row r="1597" spans="1:12">
      <c r="A1597" s="20" t="s">
        <v>1695</v>
      </c>
    </row>
    <row r="1598" spans="1:12">
      <c r="A1598" s="20" t="s">
        <v>1346</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1329</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1164</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1549</v>
      </c>
      <c r="B1601" s="21" t="s">
        <v>1150</v>
      </c>
      <c r="C1601" s="21" t="s">
        <v>1075</v>
      </c>
      <c r="D1601" s="21" t="s">
        <v>1065</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671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1185</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1696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1076</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909</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1178</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1697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1091</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671</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1698</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1546</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1124</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1699</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1524</v>
      </c>
      <c r="B1615" s="21" t="s">
        <v>1097</v>
      </c>
      <c r="C1615" s="21" t="s">
        <v>1109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1076</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1091</v>
      </c>
      <c r="B1617" s="21" t="s">
        <v>1278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671</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1700</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1106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1207</v>
      </c>
      <c r="B1621" s="21" t="s">
        <v>1114</v>
      </c>
      <c r="C1621" s="21" t="s">
        <v>1144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1111</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51</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1112</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1240</v>
      </c>
      <c r="B1625" s="21" t="s">
        <v>1480</v>
      </c>
      <c r="C1625" s="21" t="s">
        <v>1071</v>
      </c>
      <c r="D1625" s="21" t="s">
        <v>1065</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1072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1701</v>
      </c>
      <c r="B1627" s="21" t="s">
        <v>1118</v>
      </c>
      <c r="C1627" s="21" t="s">
        <v>1144</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1702</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1703</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1076</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1107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1522</v>
      </c>
      <c r="B1632" s="21" t="s">
        <v>1130</v>
      </c>
      <c r="C1632" s="21" t="s">
        <v>1071</v>
      </c>
      <c r="D1632" s="21" t="s">
        <v>1065</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1072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1585</v>
      </c>
      <c r="B1634" s="21" t="s">
        <v>1121</v>
      </c>
      <c r="C1634" s="21" t="s">
        <v>1071</v>
      </c>
      <c r="D1634" s="21" t="s">
        <v>1065</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1704</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1705</v>
      </c>
      <c r="B1636" s="21" t="s">
        <v>1118</v>
      </c>
      <c r="C1636" s="21" t="s">
        <v>1144</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1188</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1204</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1706</v>
      </c>
      <c r="B1639" s="21" t="s">
        <v>1121</v>
      </c>
      <c r="C1639" s="21" t="s">
        <v>1071</v>
      </c>
      <c r="D1639" s="21" t="s">
        <v>1065</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1072</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1073</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1629</v>
      </c>
      <c r="B1642" s="21" t="s">
        <v>1118</v>
      </c>
      <c r="C1642" s="21" t="s">
        <v>1071</v>
      </c>
      <c r="D1642" s="21" t="s">
        <v>1065</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1072</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1173</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1707</v>
      </c>
      <c r="B1645" s="21" t="s">
        <v>1528</v>
      </c>
      <c r="C1645" s="21" t="s">
        <v>1075</v>
      </c>
      <c r="D1645" s="21" t="s">
        <v>1065</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1076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1253</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1254</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1164</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1708</v>
      </c>
      <c r="B1650" s="21" t="s">
        <v>1480</v>
      </c>
      <c r="C1650" s="21" t="s">
        <v>1075</v>
      </c>
      <c r="D1650" s="21" t="s">
        <v>1065</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1709</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1085</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1077</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1710</v>
      </c>
      <c r="B1654" s="21" t="s">
        <v>1528</v>
      </c>
      <c r="C1654" s="21" t="s">
        <v>1064</v>
      </c>
      <c r="D1654" s="21" t="s">
        <v>1065</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1711</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1089</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124</v>
      </c>
      <c r="B1657" s="21" t="s">
        <v>1528</v>
      </c>
      <c r="C1657" s="21" t="s">
        <v>1075</v>
      </c>
      <c r="D1657" s="21" t="s">
        <v>1065</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1283</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1076</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1088</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1164</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1357</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1076</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1244</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1089</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1712</v>
      </c>
      <c r="B1666" s="21" t="s">
        <v>1118</v>
      </c>
      <c r="C1666" s="21" t="s">
        <v>1155</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1076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1213</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1211</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671</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1713</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1272</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1088</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1073</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1714</v>
      </c>
      <c r="B1675" s="21" t="s">
        <v>1118</v>
      </c>
      <c r="C1675" s="21" t="s">
        <v>1071</v>
      </c>
      <c r="D1675" s="21" t="s">
        <v>1065</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1496</v>
      </c>
      <c r="B1676" s="21" t="s">
        <v>1528</v>
      </c>
      <c r="C1676" s="21" t="s">
        <v>1064</v>
      </c>
      <c r="D1676" s="21" t="s">
        <v>1065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1076</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1091</v>
      </c>
      <c r="B1678" s="21" t="s">
        <v>1132</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1715</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1072</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1399</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1716</v>
      </c>
      <c r="B1682" s="21" t="s">
        <v>1118</v>
      </c>
      <c r="C1682" s="21" t="s">
        <v>1071</v>
      </c>
      <c r="D1682" s="21" t="s">
        <v>1065</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1111</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1113</v>
      </c>
      <c r="B1684" s="21" t="s">
        <v>1528</v>
      </c>
      <c r="C1684" s="21" t="s">
        <v>1071</v>
      </c>
      <c r="D1684" s="21" t="s">
        <v>1065</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1072</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1089</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1554</v>
      </c>
      <c r="B1687" s="21" t="s">
        <v>1438</v>
      </c>
      <c r="C1687" s="21" t="s">
        <v>1064</v>
      </c>
      <c r="D1687" s="21" t="s">
        <v>1065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1106</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1073</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1717</v>
      </c>
      <c r="B1690" s="21" t="s">
        <v>1118</v>
      </c>
      <c r="C1690" s="21" t="s">
        <v>1071</v>
      </c>
      <c r="D1690" s="21" t="s">
        <v>1065</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1718</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1188</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1204</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1719</v>
      </c>
      <c r="B1694" s="21" t="s">
        <v>1528</v>
      </c>
      <c r="C1694" s="21" t="s">
        <v>1071</v>
      </c>
      <c r="D1694" s="21" t="s">
        <v>1065</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1072</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1073</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1629</v>
      </c>
      <c r="B1697" s="21" t="s">
        <v>1438</v>
      </c>
      <c r="C1697" s="21" t="s">
        <v>1071</v>
      </c>
      <c r="D1697" s="21" t="s">
        <v>1065</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1072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1720</v>
      </c>
      <c r="B1699" s="21" t="s">
        <v>1441</v>
      </c>
      <c r="C1699" s="21" t="s">
        <v>1064</v>
      </c>
      <c r="D1699" s="21" t="s">
        <v>1065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909</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1072</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1562</v>
      </c>
      <c r="B1702" s="21" t="s">
        <v>1444</v>
      </c>
      <c r="C1702" s="21" t="s">
        <v>1064</v>
      </c>
      <c r="D1702" s="21" t="s">
        <v>1065</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195</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row>
    <row r="1705" spans="1:12">
      <c r="A1705" s="20" t="s">
        <v>1721</v>
      </c>
    </row>
    <row r="1706" spans="1:12">
      <c r="A1706" s="20" t="s">
        <v>1722</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1076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1346</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1415</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1557</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1549</v>
      </c>
      <c r="B1711" s="21" t="s">
        <v>1092</v>
      </c>
      <c r="C1711" s="21" t="s">
        <v>1098</v>
      </c>
      <c r="D1711" s="21" t="s">
        <v>1065</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1723</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1106</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1207</v>
      </c>
      <c r="B1714" s="21" t="s">
        <v>1097</v>
      </c>
      <c r="C1714" s="21" t="s">
        <v>1144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1724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1429</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1725</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1076</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671</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1726</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1076</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1702</v>
      </c>
      <c r="B1722" s="21" t="s">
        <v>1150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1202</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1089</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1554</v>
      </c>
      <c r="B1725" s="21" t="s">
        <v>1080</v>
      </c>
      <c r="C1725" s="21" t="s">
        <v>1064</v>
      </c>
      <c r="D1725" s="21" t="s">
        <v>1065</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1076</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1089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1554</v>
      </c>
      <c r="B1728" s="21" t="s">
        <v>1097</v>
      </c>
      <c r="C1728" s="21" t="s">
        <v>1064</v>
      </c>
      <c r="D1728" s="21" t="s">
        <v>1065</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1213</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1214</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1727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1076</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1728</v>
      </c>
      <c r="B1733" s="21" t="s">
        <v>1123</v>
      </c>
      <c r="C1733" s="21" t="s">
        <v>1071</v>
      </c>
      <c r="D1733" s="21" t="s">
        <v>1065</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1188</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1393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1076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1214</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1729</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1091</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1164</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1730</v>
      </c>
      <c r="B1741" s="21" t="s">
        <v>1114</v>
      </c>
      <c r="C1741" s="21" t="s">
        <v>1119</v>
      </c>
      <c r="D1741" s="21" t="s">
        <v>1065</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1549</v>
      </c>
      <c r="B1742" s="21" t="s">
        <v>1092</v>
      </c>
      <c r="C1742" s="21" t="s">
        <v>1075</v>
      </c>
      <c r="D1742" s="21" t="s">
        <v>1065</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1731</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1732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1188</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1733</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1734</v>
      </c>
      <c r="B1747" s="21" t="s">
        <v>1130</v>
      </c>
      <c r="C1747" s="21" t="s">
        <v>1144</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115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1164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1301</v>
      </c>
      <c r="B1750" s="21" t="s">
        <v>1121</v>
      </c>
      <c r="C1750" s="21" t="s">
        <v>1119</v>
      </c>
      <c r="D1750" s="21" t="s">
        <v>1065</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1735</v>
      </c>
      <c r="B1751" s="21" t="s">
        <v>1130</v>
      </c>
      <c r="C1751" s="21" t="s">
        <v>1075</v>
      </c>
      <c r="D1751" s="21" t="s">
        <v>1065</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1213</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1577</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1072</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1736</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1173</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1737</v>
      </c>
      <c r="B1757" s="21" t="s">
        <v>1135</v>
      </c>
      <c r="C1757" s="21" t="s">
        <v>1071</v>
      </c>
      <c r="D1757" s="21" t="s">
        <v>1065</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1072</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1173</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1707</v>
      </c>
      <c r="B1760" s="21" t="s">
        <v>1528</v>
      </c>
      <c r="C1760" s="21" t="s">
        <v>1075</v>
      </c>
      <c r="D1760" s="21" t="s">
        <v>1065</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1076</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1429</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1346</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1072</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1738</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1073</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1301</v>
      </c>
      <c r="B1767" s="21" t="s">
        <v>1438</v>
      </c>
      <c r="C1767" s="21" t="s">
        <v>1119</v>
      </c>
      <c r="D1767" s="21" t="s">
        <v>1065</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1070</v>
      </c>
      <c r="B1768" s="21" t="s">
        <v>1484</v>
      </c>
      <c r="C1768" s="21" t="s">
        <v>1075</v>
      </c>
      <c r="D1768" s="21" t="s">
        <v>1065</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195</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row>
    <row r="1771" spans="1:12">
      <c r="A1771" s="20" t="s">
        <v>1739</v>
      </c>
    </row>
    <row r="1772" spans="1:12">
      <c r="A1772" s="20" t="s">
        <v>1740</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1091</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1106</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1077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1572</v>
      </c>
      <c r="B1776" s="21" t="s">
        <v>1080</v>
      </c>
      <c r="C1776" s="21" t="s">
        <v>1071</v>
      </c>
      <c r="D1776" s="21" t="s">
        <v>1065</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1072</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1089</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124</v>
      </c>
      <c r="B1779" s="21" t="s">
        <v>1097</v>
      </c>
      <c r="C1779" s="21" t="s">
        <v>1075</v>
      </c>
      <c r="D1779" s="21" t="s">
        <v>1065</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1741</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1253</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1254</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1164</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1549</v>
      </c>
      <c r="B1784" s="21" t="s">
        <v>1154</v>
      </c>
      <c r="C1784" s="21" t="s">
        <v>1075</v>
      </c>
      <c r="D1784" s="21" t="s">
        <v>1065</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1742</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1106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1164</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1493</v>
      </c>
      <c r="B1788" s="21" t="s">
        <v>1114</v>
      </c>
      <c r="C1788" s="21" t="s">
        <v>1071</v>
      </c>
      <c r="D1788" s="21" t="s">
        <v>1065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1496</v>
      </c>
      <c r="B1789" s="21" t="s">
        <v>1121</v>
      </c>
      <c r="C1789" s="21" t="s">
        <v>1064</v>
      </c>
      <c r="D1789" s="21" t="s">
        <v>1065</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1743</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1744</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1745</v>
      </c>
      <c r="B1792" s="21" t="s">
        <v>1126</v>
      </c>
      <c r="C1792" s="21" t="s">
        <v>1144</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1106</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1215</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1249</v>
      </c>
      <c r="B1795" s="21" t="s">
        <v>1097</v>
      </c>
      <c r="C1795" s="21" t="s">
        <v>1098</v>
      </c>
      <c r="D1795" s="21" t="s">
        <v>1065</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909</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1149</v>
      </c>
      <c r="B1797" s="21" t="s">
        <v>1278</v>
      </c>
      <c r="C1797" s="21" t="s">
        <v>1151</v>
      </c>
      <c r="D1797" s="21" t="s">
        <v>1065</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1164</v>
      </c>
      <c r="B1798" s="21" t="s">
        <v>1130</v>
      </c>
      <c r="C1798" s="21" t="s">
        <v>1151</v>
      </c>
      <c r="D1798" s="21" t="s">
        <v>1065</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1746</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1088</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1747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195</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1274</v>
      </c>
    </row>
    <row r="1805" spans="1:12">
      <c r="A1805" s="20" t="s">
        <v>1161</v>
      </c>
      <c r="B1805" s="21" t="s">
        <v>1063</v>
      </c>
      <c r="C1805" s="21" t="s">
        <v>1064</v>
      </c>
      <c r="D1805" s="21" t="s">
        <v>1065</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1067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row>
    <row r="1808" spans="1:12">
      <c r="A1808" s="20" t="s">
        <v>1748</v>
      </c>
    </row>
    <row r="1809" spans="1:12">
      <c r="A1809" s="20" t="s">
        <v>1749</v>
      </c>
      <c r="B1809" s="21" t="s">
        <v>1084</v>
      </c>
      <c r="C1809" s="21" t="s">
        <v>1151</v>
      </c>
      <c r="D1809" s="21" t="s">
        <v>1065</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1712</v>
      </c>
      <c r="B1810" s="21" t="s">
        <v>1150</v>
      </c>
      <c r="C1810" s="21" t="s">
        <v>1155</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1750</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141</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1145</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row>
    <row r="1815" spans="1:12">
      <c r="A1815" s="20" t="s">
        <v>1191</v>
      </c>
    </row>
    <row r="1816" spans="1:12">
      <c r="A1816" s="20" t="s">
        <v>1192</v>
      </c>
      <c r="B1816" s="21" t="s">
        <v>1063</v>
      </c>
      <c r="C1816" s="21" t="s">
        <v>1064</v>
      </c>
      <c r="D1816" s="21" t="s">
        <v>1065</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1067</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row>
    <row r="1819" spans="1:12">
      <c r="A1819" s="20" t="s">
        <v>1751</v>
      </c>
    </row>
    <row r="1820" spans="1:12">
      <c r="A1820" s="20" t="s">
        <v>1618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1141</v>
      </c>
      <c r="B1821" s="21" t="s">
        <v>1150</v>
      </c>
      <c r="C1821" s="21" t="s">
        <v>1075</v>
      </c>
      <c r="D1821" s="21" t="s">
        <v>1065</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1375</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1694</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1091</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1399</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1662</v>
      </c>
      <c r="B1826" s="21" t="s">
        <v>1092</v>
      </c>
      <c r="C1826" s="21" t="s">
        <v>1071</v>
      </c>
      <c r="D1826" s="21" t="s">
        <v>1065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1079</v>
      </c>
      <c r="B1827" s="21" t="s">
        <v>1114</v>
      </c>
      <c r="C1827" s="21" t="s">
        <v>1064</v>
      </c>
      <c r="D1827" s="21" t="s">
        <v>1065</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1752</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1753</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141</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1754</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1076</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1755</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1076</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1442</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1756</v>
      </c>
      <c r="B1836" s="21" t="s">
        <v>1097</v>
      </c>
      <c r="C1836" s="21" t="s">
        <v>1144</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1072</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1757</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1758</v>
      </c>
      <c r="B1839" s="21" t="s">
        <v>1480</v>
      </c>
      <c r="C1839" s="21" t="s">
        <v>1144</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1076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1188</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1759</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1073</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1070</v>
      </c>
      <c r="B1844" s="21" t="s">
        <v>1135</v>
      </c>
      <c r="C1844" s="21" t="s">
        <v>1071</v>
      </c>
      <c r="D1844" s="21" t="s">
        <v>1065</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1072</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1173</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1707</v>
      </c>
      <c r="B1847" s="21" t="s">
        <v>1528</v>
      </c>
      <c r="C1847" s="21" t="s">
        <v>1071</v>
      </c>
      <c r="D1847" s="21" t="s">
        <v>1065</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1072</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1530</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1077</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1228</v>
      </c>
      <c r="B1851" s="21" t="s">
        <v>1438</v>
      </c>
      <c r="C1851" s="21" t="s">
        <v>1075</v>
      </c>
      <c r="D1851" s="21" t="s">
        <v>1065</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1076</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1214</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1089</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1760</v>
      </c>
      <c r="B1855" s="21" t="s">
        <v>1063</v>
      </c>
      <c r="C1855" s="21" t="s">
        <v>1071</v>
      </c>
      <c r="D1855" s="21" t="s">
        <v>1065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1072</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1204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1761</v>
      </c>
      <c r="B1858" s="21" t="s">
        <v>1063</v>
      </c>
      <c r="C1858" s="21" t="s">
        <v>1071</v>
      </c>
      <c r="D1858" s="21" t="s">
        <v>1065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1762</v>
      </c>
      <c r="B1859" s="21" t="s">
        <v>1080</v>
      </c>
      <c r="C1859" s="21" t="s">
        <v>1064</v>
      </c>
      <c r="D1859" s="21" t="s">
        <v>1065</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1085</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1763</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1764</v>
      </c>
      <c r="B1862" s="21" t="s">
        <v>1063</v>
      </c>
      <c r="C1862" s="21" t="s">
        <v>1115</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1765</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195</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row>
    <row r="1866" spans="1:12">
      <c r="A1866" s="20" t="s">
        <v>1257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1766</v>
      </c>
    </row>
    <row r="1868" spans="1:12">
      <c r="A1868" s="20" t="s">
        <v>1767</v>
      </c>
      <c r="B1868" s="21" t="s">
        <v>1150</v>
      </c>
      <c r="C1868" s="21" t="s">
        <v>1131</v>
      </c>
      <c r="D1868" s="21" t="s">
        <v>1065</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1214</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1694</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1568</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1415</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1754</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1768</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1088</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1769</v>
      </c>
      <c r="B1876" s="21" t="s">
        <v>1097</v>
      </c>
      <c r="C1876" s="21" t="s">
        <v>1144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1107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1770</v>
      </c>
      <c r="B1878" s="21" t="s">
        <v>1080</v>
      </c>
      <c r="C1878" s="21" t="s">
        <v>1071</v>
      </c>
      <c r="D1878" s="21" t="s">
        <v>1065</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1072</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1262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1771</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1262</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1085</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1772</v>
      </c>
      <c r="B1884" s="21" t="s">
        <v>1097</v>
      </c>
      <c r="C1884" s="21" t="s">
        <v>1064</v>
      </c>
      <c r="D1884" s="21" t="s">
        <v>1065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1076</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1089</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1554</v>
      </c>
      <c r="B1887" s="21" t="s">
        <v>1123</v>
      </c>
      <c r="C1887" s="21" t="s">
        <v>1064</v>
      </c>
      <c r="D1887" s="21" t="s">
        <v>1065</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1319</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128</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1088</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1198</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1773</v>
      </c>
      <c r="B1892" s="21" t="s">
        <v>1080</v>
      </c>
      <c r="C1892" s="21" t="s">
        <v>1098</v>
      </c>
      <c r="D1892" s="21" t="s">
        <v>1065</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1076</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909</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1774</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1073</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1649</v>
      </c>
      <c r="B1897" s="21" t="s">
        <v>1080</v>
      </c>
      <c r="C1897" s="21" t="s">
        <v>1071</v>
      </c>
      <c r="D1897" s="21" t="s">
        <v>1065</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1595</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1072</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1116</v>
      </c>
      <c r="B1900" s="21" t="s">
        <v>1097</v>
      </c>
      <c r="C1900" s="21" t="s">
        <v>1064</v>
      </c>
      <c r="D1900" s="21" t="s">
        <v>1065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1076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1775</v>
      </c>
      <c r="B1902" s="21" t="s">
        <v>1114</v>
      </c>
      <c r="C1902" s="21" t="s">
        <v>1064</v>
      </c>
      <c r="D1902" s="21" t="s">
        <v>1065</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1076</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1776</v>
      </c>
      <c r="B1904" s="21" t="s">
        <v>1114</v>
      </c>
      <c r="C1904" s="21" t="s">
        <v>1064</v>
      </c>
      <c r="D1904" s="21" t="s">
        <v>1065</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1076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1777</v>
      </c>
      <c r="B1906" s="21" t="s">
        <v>1114</v>
      </c>
      <c r="C1906" s="21" t="s">
        <v>1064</v>
      </c>
      <c r="D1906" s="21" t="s">
        <v>1065</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909</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1778</v>
      </c>
      <c r="B1908" s="21" t="s">
        <v>1114</v>
      </c>
      <c r="C1908" s="21" t="s">
        <v>1064</v>
      </c>
      <c r="D1908" s="21" t="s">
        <v>1065</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195</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row>
    <row r="1911" spans="1:12">
      <c r="A1911" s="20" t="s">
        <v>1779</v>
      </c>
    </row>
    <row r="1912" spans="1:12">
      <c r="A1912" s="20" t="s">
        <v>1780</v>
      </c>
      <c r="B1912" s="21" t="s">
        <v>1150</v>
      </c>
      <c r="C1912" s="21" t="s">
        <v>1155</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1178</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128</v>
      </c>
      <c r="B1914" s="21" t="s">
        <v>1084</v>
      </c>
      <c r="C1914" s="21" t="s">
        <v>1071</v>
      </c>
      <c r="D1914" s="21" t="s">
        <v>1065</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1088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1198</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1773</v>
      </c>
      <c r="B1917" s="21" t="s">
        <v>1080</v>
      </c>
      <c r="C1917" s="21" t="s">
        <v>1098</v>
      </c>
      <c r="D1917" s="21" t="s">
        <v>1065</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1568</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1213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1214</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1781</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195</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row>
    <row r="1924" spans="1:12">
      <c r="A1924" s="20" t="s">
        <v>1782</v>
      </c>
    </row>
    <row r="1925" spans="1:12">
      <c r="A1925" s="20" t="s">
        <v>1772</v>
      </c>
      <c r="B1925" s="21" t="s">
        <v>1150</v>
      </c>
      <c r="C1925" s="21" t="s">
        <v>1064</v>
      </c>
      <c r="D1925" s="21" t="s">
        <v>1065</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1214</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1204</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1783</v>
      </c>
      <c r="B1928" s="21" t="s">
        <v>1063</v>
      </c>
      <c r="C1928" s="21" t="s">
        <v>1071</v>
      </c>
      <c r="D1928" s="21" t="s">
        <v>1065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1072</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1077</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1228</v>
      </c>
      <c r="B1931" s="21" t="s">
        <v>1063</v>
      </c>
      <c r="C1931" s="21" t="s">
        <v>1075</v>
      </c>
      <c r="D1931" s="21" t="s">
        <v>1065</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1429</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1213</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1577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1213</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1784</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1204</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1761</v>
      </c>
      <c r="B1938" s="21" t="s">
        <v>1154</v>
      </c>
      <c r="C1938" s="21" t="s">
        <v>1071</v>
      </c>
      <c r="D1938" s="21" t="s">
        <v>1065</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1272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1785</v>
      </c>
      <c r="B1940" s="21" t="s">
        <v>1097</v>
      </c>
      <c r="C1940" s="21" t="s">
        <v>1144</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1786</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1076</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1213</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671</v>
      </c>
      <c r="B1944" s="21" t="s">
        <v>1097</v>
      </c>
      <c r="C1944" s="21" t="s">
        <v>1151</v>
      </c>
      <c r="D1944" s="21" t="s">
        <v>1065</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1787</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1365</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791</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1072</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107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1204</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1761</v>
      </c>
      <c r="B1951" s="21" t="s">
        <v>1130</v>
      </c>
      <c r="C1951" s="21" t="s">
        <v>1075</v>
      </c>
      <c r="D1951" s="21" t="s">
        <v>1065</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1788</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1204</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1789</v>
      </c>
      <c r="B1954" s="21" t="s">
        <v>1114</v>
      </c>
      <c r="C1954" s="21" t="s">
        <v>1071</v>
      </c>
      <c r="D1954" s="21" t="s">
        <v>1065</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1546</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1073</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1790</v>
      </c>
      <c r="B1957" s="21" t="s">
        <v>1121</v>
      </c>
      <c r="C1957" s="21" t="s">
        <v>1075</v>
      </c>
      <c r="D1957" s="21" t="s">
        <v>1065</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195</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row>
    <row r="1960" spans="1:12">
      <c r="A1960" s="20" t="s">
        <v>1791</v>
      </c>
    </row>
    <row r="1961" spans="1:12">
      <c r="A1961" s="20" t="s">
        <v>1248</v>
      </c>
      <c r="B1961" s="21" t="s">
        <v>1150</v>
      </c>
      <c r="C1961" s="21" t="s">
        <v>1131</v>
      </c>
      <c r="D1961" s="21" t="s">
        <v>1065</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1214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1107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1141</v>
      </c>
      <c r="B1964" s="21" t="s">
        <v>1063</v>
      </c>
      <c r="C1964" s="21" t="s">
        <v>1109</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1091</v>
      </c>
      <c r="B1965" s="21" t="s">
        <v>1123</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1792</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1793</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1076</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1213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1577</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1188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1794</v>
      </c>
      <c r="B1972" s="21" t="s">
        <v>1080</v>
      </c>
      <c r="C1972" s="21" t="s">
        <v>1064</v>
      </c>
      <c r="D1972" s="21" t="s">
        <v>1065</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1076</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1213</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1795</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1796</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1301</v>
      </c>
      <c r="B1977" s="21" t="s">
        <v>1126</v>
      </c>
      <c r="C1977" s="21" t="s">
        <v>1151</v>
      </c>
      <c r="D1977" s="21" t="s">
        <v>1065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1106</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1797</v>
      </c>
      <c r="B1979" s="21" t="s">
        <v>1097</v>
      </c>
      <c r="C1979" s="21" t="s">
        <v>1144</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1076</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1429</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1185</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1124</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1798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1487</v>
      </c>
      <c r="B1985" s="21" t="s">
        <v>1080</v>
      </c>
      <c r="C1985" s="21" t="s">
        <v>1109</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195</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row>
    <row r="1988" spans="1:12">
      <c r="A1988" s="20" t="s">
        <v>1799</v>
      </c>
    </row>
    <row r="1989" spans="1:12">
      <c r="A1989" s="20" t="s">
        <v>1800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1164</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1549</v>
      </c>
      <c r="B1991" s="21" t="s">
        <v>1150</v>
      </c>
      <c r="C1991" s="21" t="s">
        <v>1075</v>
      </c>
      <c r="D1991" s="21" t="s">
        <v>1065</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1342</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325</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1089</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1801</v>
      </c>
      <c r="B1995" s="21" t="s">
        <v>1084</v>
      </c>
      <c r="C1995" s="21" t="s">
        <v>1071</v>
      </c>
      <c r="D1995" s="21" t="s">
        <v>1065</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1072</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1204</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1789</v>
      </c>
      <c r="B1998" s="21" t="s">
        <v>1080</v>
      </c>
      <c r="C1998" s="21" t="s">
        <v>1075</v>
      </c>
      <c r="D1998" s="21" t="s">
        <v>1065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1802</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1272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1785</v>
      </c>
      <c r="B2001" s="21" t="s">
        <v>1114</v>
      </c>
      <c r="C2001" s="21" t="s">
        <v>1144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1786</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1188</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1153</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1173</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1707</v>
      </c>
      <c r="B2006" s="21" t="s">
        <v>1118</v>
      </c>
      <c r="C2006" s="21" t="s">
        <v>1075</v>
      </c>
      <c r="D2006" s="21" t="s">
        <v>1065</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1091</v>
      </c>
      <c r="B2007" s="21" t="s">
        <v>1092</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1213</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1178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1485</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1803</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1804</v>
      </c>
      <c r="B2012" s="21" t="s">
        <v>1126</v>
      </c>
      <c r="C2012" s="21" t="s">
        <v>1115</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1805</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1806</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1803</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1807</v>
      </c>
      <c r="B2016" s="21" t="s">
        <v>1480</v>
      </c>
      <c r="C2016" s="21" t="s">
        <v>1071</v>
      </c>
      <c r="D2016" s="21" t="s">
        <v>1065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1479</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1072</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1808</v>
      </c>
      <c r="B2019" s="21" t="s">
        <v>1528</v>
      </c>
      <c r="C2019" s="21" t="s">
        <v>1119</v>
      </c>
      <c r="D2019" s="21" t="s">
        <v>1065</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1809</v>
      </c>
      <c r="B2020" s="21" t="s">
        <v>1118</v>
      </c>
      <c r="C2020" s="21" t="s">
        <v>1115</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195</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row>
    <row r="2023" spans="1:12">
      <c r="A2023" s="20" t="s">
        <v>1810</v>
      </c>
    </row>
    <row r="2024" spans="1:12">
      <c r="A2024" s="20" t="s">
        <v>1767</v>
      </c>
      <c r="B2024" s="21" t="s">
        <v>1150</v>
      </c>
      <c r="C2024" s="21" t="s">
        <v>1131</v>
      </c>
      <c r="D2024" s="21" t="s">
        <v>1065</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1811</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1204</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1812</v>
      </c>
      <c r="B2027" s="21" t="s">
        <v>1084</v>
      </c>
      <c r="C2027" s="21" t="s">
        <v>1075</v>
      </c>
      <c r="D2027" s="21" t="s">
        <v>1065</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909</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1073</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1070</v>
      </c>
      <c r="B2030" s="21" t="s">
        <v>1080</v>
      </c>
      <c r="C2030" s="21" t="s">
        <v>1071</v>
      </c>
      <c r="D2030" s="21" t="s">
        <v>1065</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1072</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1173</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1707</v>
      </c>
      <c r="B2033" s="21" t="s">
        <v>1097</v>
      </c>
      <c r="C2033" s="21" t="s">
        <v>1071</v>
      </c>
      <c r="D2033" s="21" t="s">
        <v>1065</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1072</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1530</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1077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1228</v>
      </c>
      <c r="B2037" s="21" t="s">
        <v>1114</v>
      </c>
      <c r="C2037" s="21" t="s">
        <v>1075</v>
      </c>
      <c r="D2037" s="21" t="s">
        <v>1065</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195</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row>
    <row r="2040" spans="1:12">
      <c r="A2040" s="20" t="s">
        <v>1274</v>
      </c>
    </row>
    <row r="2041" spans="1:12">
      <c r="A2041" s="20" t="s">
        <v>1161</v>
      </c>
      <c r="B2041" s="21" t="s">
        <v>1063</v>
      </c>
      <c r="C2041" s="21" t="s">
        <v>1064</v>
      </c>
      <c r="D2041" s="21" t="s">
        <v>1065</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1067</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row>
    <row r="2044" spans="1:12">
      <c r="A2044" s="20" t="s">
        <v>1813</v>
      </c>
    </row>
    <row r="2045" spans="1:12">
      <c r="A2045" s="20" t="s">
        <v>1099</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1076</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1814</v>
      </c>
      <c r="B2047" s="21" t="s">
        <v>1063</v>
      </c>
      <c r="C2047" s="21" t="s">
        <v>1071</v>
      </c>
      <c r="D2047" s="21" t="s">
        <v>1065</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1202</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1203</v>
      </c>
      <c r="B2049" s="21" t="s">
        <v>1063</v>
      </c>
      <c r="C2049" s="21" t="s">
        <v>1151</v>
      </c>
      <c r="D2049" s="21" t="s">
        <v>1065</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1111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1215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1113</v>
      </c>
      <c r="B2052" s="21" t="s">
        <v>1063</v>
      </c>
      <c r="C2052" s="21" t="s">
        <v>1098</v>
      </c>
      <c r="D2052" s="21" t="s">
        <v>1065</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1072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1077</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1137</v>
      </c>
      <c r="B2055" s="21" t="s">
        <v>1080</v>
      </c>
      <c r="C2055" s="21" t="s">
        <v>1075</v>
      </c>
      <c r="D2055" s="21" t="s">
        <v>1065</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195</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row>
    <row r="2058" spans="1:12">
      <c r="A2058" s="20" t="s">
        <v>1815</v>
      </c>
    </row>
    <row r="2059" spans="1:12">
      <c r="A2059" s="20" t="s">
        <v>1816</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1166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137</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1204</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1817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1491</v>
      </c>
      <c r="B2064" s="21" t="s">
        <v>1154</v>
      </c>
      <c r="C2064" s="21" t="s">
        <v>1075</v>
      </c>
      <c r="D2064" s="21" t="s">
        <v>1065</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195</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row>
    <row r="2067" spans="1:12">
      <c r="A2067" s="20" t="s">
        <v>1818</v>
      </c>
    </row>
    <row r="2068" spans="1:12">
      <c r="A2068" s="20" t="s">
        <v>1767</v>
      </c>
      <c r="B2068" s="21" t="s">
        <v>1150</v>
      </c>
      <c r="C2068" s="21" t="s">
        <v>1131</v>
      </c>
      <c r="D2068" s="21" t="s">
        <v>1065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1214</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1124</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1495</v>
      </c>
      <c r="B2071" s="21" t="s">
        <v>1063</v>
      </c>
      <c r="C2071" s="21" t="s">
        <v>1109</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1091</v>
      </c>
      <c r="B2072" s="21" t="s">
        <v>1123</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671</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1819</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1820</v>
      </c>
      <c r="B2075" s="21" t="s">
        <v>1080</v>
      </c>
      <c r="C2075" s="21" t="s">
        <v>1064</v>
      </c>
      <c r="D2075" s="21" t="s">
        <v>1065</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1821</v>
      </c>
      <c r="B2076" s="21" t="s">
        <v>1097</v>
      </c>
      <c r="C2076" s="21" t="s">
        <v>1064</v>
      </c>
      <c r="D2076" s="21" t="s">
        <v>1065</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1822</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1823</v>
      </c>
      <c r="B2078" s="21" t="s">
        <v>1097</v>
      </c>
      <c r="C2078" s="21" t="s">
        <v>1144</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1824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1825</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195</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row>
    <row r="2083" spans="1:12">
      <c r="A2083" s="20" t="s">
        <v>1826</v>
      </c>
    </row>
    <row r="2084" spans="1:12">
      <c r="A2084" s="20" t="s">
        <v>1139</v>
      </c>
      <c r="B2084" s="21" t="s">
        <v>1080</v>
      </c>
      <c r="C2084" s="21" t="s">
        <v>1140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1827</v>
      </c>
      <c r="B2085" s="21" t="s">
        <v>1084</v>
      </c>
      <c r="C2085" s="21" t="s">
        <v>1140</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1214</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1145</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row>
    <row r="2089" spans="1:12">
      <c r="A2089" s="20" t="s">
        <v>1191</v>
      </c>
    </row>
    <row r="2090" spans="1:12">
      <c r="A2090" s="20" t="s">
        <v>1192</v>
      </c>
      <c r="B2090" s="21" t="s">
        <v>1063</v>
      </c>
      <c r="C2090" s="21" t="s">
        <v>1064</v>
      </c>
      <c r="D2090" s="21" t="s">
        <v>1065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1067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row>
    <row r="2093" spans="1:12">
      <c r="A2093" s="20" t="s">
        <v>1828</v>
      </c>
    </row>
    <row r="2094" spans="1:12">
      <c r="A2094" s="20" t="s">
        <v>1829</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20</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1830</v>
      </c>
      <c r="B2096" s="21" t="s">
        <v>1084</v>
      </c>
      <c r="C2096" s="21" t="s">
        <v>1144</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1088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1089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1554</v>
      </c>
      <c r="B2099" s="21" t="s">
        <v>1063</v>
      </c>
      <c r="C2099" s="21" t="s">
        <v>1064</v>
      </c>
      <c r="D2099" s="21" t="s">
        <v>1065</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1072</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1633</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1831</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1124</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1832</v>
      </c>
      <c r="B2104" s="21" t="s">
        <v>1154</v>
      </c>
      <c r="C2104" s="21" t="s">
        <v>1109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1833</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1834</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1106</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1198</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1835</v>
      </c>
      <c r="B2109" s="21" t="s">
        <v>1080</v>
      </c>
      <c r="C2109" s="21" t="s">
        <v>1098</v>
      </c>
      <c r="D2109" s="21" t="s">
        <v>1065</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195</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row>
    <row r="2112" spans="1:12">
      <c r="A2112" s="20" t="s">
        <v>1836</v>
      </c>
    </row>
    <row r="2113" spans="1:12">
      <c r="A2113" s="20" t="s">
        <v>1157</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1647</v>
      </c>
      <c r="B2114" s="21" t="s">
        <v>1063</v>
      </c>
      <c r="C2114" s="21" t="s">
        <v>1155</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1072</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1073</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1837</v>
      </c>
      <c r="B2117" s="21" t="s">
        <v>1063</v>
      </c>
      <c r="C2117" s="21" t="s">
        <v>1071</v>
      </c>
      <c r="D2117" s="21" t="s">
        <v>1065</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1072</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1089</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1554</v>
      </c>
      <c r="B2120" s="21" t="s">
        <v>1080</v>
      </c>
      <c r="C2120" s="21" t="s">
        <v>1064</v>
      </c>
      <c r="D2120" s="21" t="s">
        <v>1065</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1091</v>
      </c>
      <c r="B2121" s="21" t="s">
        <v>1126</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1838</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195</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row>
    <row r="2125" spans="1:12">
      <c r="A2125" s="20" t="s">
        <v>1839</v>
      </c>
    </row>
    <row r="2126" spans="1:12">
      <c r="A2126" s="20" t="s">
        <v>1820</v>
      </c>
      <c r="B2126" s="21" t="s">
        <v>1150</v>
      </c>
      <c r="C2126" s="21" t="s">
        <v>1064</v>
      </c>
      <c r="D2126" s="21" t="s">
        <v>1065</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1821</v>
      </c>
      <c r="B2127" s="21" t="s">
        <v>1080</v>
      </c>
      <c r="C2127" s="21" t="s">
        <v>1064</v>
      </c>
      <c r="D2127" s="21" t="s">
        <v>1065</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1214</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1124</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1495</v>
      </c>
      <c r="B2130" s="21" t="s">
        <v>1063</v>
      </c>
      <c r="C2130" s="21" t="s">
        <v>1109</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1091</v>
      </c>
      <c r="B2131" s="21" t="s">
        <v>1154</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1089</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1554</v>
      </c>
      <c r="B2133" s="21" t="s">
        <v>1123</v>
      </c>
      <c r="C2133" s="21" t="s">
        <v>1064</v>
      </c>
      <c r="D2133" s="21" t="s">
        <v>1065</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1319</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1840</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1841</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1088</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1077</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1391</v>
      </c>
      <c r="B2139" s="21" t="s">
        <v>1097</v>
      </c>
      <c r="C2139" s="21" t="s">
        <v>1075</v>
      </c>
      <c r="D2139" s="21" t="s">
        <v>1065</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195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row>
    <row r="2142" spans="1:12">
      <c r="A2142" s="20" t="s">
        <v>1842</v>
      </c>
    </row>
    <row r="2143" spans="1:12">
      <c r="A2143" s="20" t="s">
        <v>1296</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1843</v>
      </c>
      <c r="B2144" s="21" t="s">
        <v>1063</v>
      </c>
      <c r="C2144" s="21" t="s">
        <v>1144</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1076</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1077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1391</v>
      </c>
      <c r="B2147" s="21" t="s">
        <v>1150</v>
      </c>
      <c r="C2147" s="21" t="s">
        <v>1075</v>
      </c>
      <c r="D2147" s="21" t="s">
        <v>1065</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1844</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1845</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1088</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1089</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1554</v>
      </c>
      <c r="B2152" s="21" t="s">
        <v>1063</v>
      </c>
      <c r="C2152" s="21" t="s">
        <v>1064</v>
      </c>
      <c r="D2152" s="21" t="s">
        <v>1065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1415</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1846</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1204</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1847</v>
      </c>
      <c r="B2156" s="21" t="s">
        <v>1154</v>
      </c>
      <c r="C2156" s="21" t="s">
        <v>1075</v>
      </c>
      <c r="D2156" s="21" t="s">
        <v>1065</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1072</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20</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1107</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1848</v>
      </c>
      <c r="B2160" s="21" t="s">
        <v>1130</v>
      </c>
      <c r="C2160" s="21" t="s">
        <v>1109</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1076</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1434</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1849</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1850</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1076</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1072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1077</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1851</v>
      </c>
      <c r="B2168" s="21" t="s">
        <v>1114</v>
      </c>
      <c r="C2168" s="21" t="s">
        <v>1071</v>
      </c>
      <c r="D2168" s="21" t="s">
        <v>1065</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1072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1852</v>
      </c>
      <c r="B2170" s="21" t="s">
        <v>1121</v>
      </c>
      <c r="C2170" s="21" t="s">
        <v>1071</v>
      </c>
      <c r="D2170" s="21" t="s">
        <v>1065</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1853</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1106</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1854</v>
      </c>
      <c r="B2173" s="21" t="s">
        <v>1118</v>
      </c>
      <c r="C2173" s="21" t="s">
        <v>1064</v>
      </c>
      <c r="D2173" s="21" t="s">
        <v>1065</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195</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row>
    <row r="2176" spans="1:12">
      <c r="A2176" s="20" t="s">
        <v>1855</v>
      </c>
    </row>
    <row r="2177" spans="1:12">
      <c r="A2177" s="20" t="s">
        <v>1856</v>
      </c>
      <c r="B2177" s="21" t="s">
        <v>1150</v>
      </c>
      <c r="C2177" s="21" t="s">
        <v>1151</v>
      </c>
      <c r="D2177" s="21" t="s">
        <v>1065</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1857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1072</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1858</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195</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row>
    <row r="2183" spans="1:12">
      <c r="A2183" s="20" t="s">
        <v>1859</v>
      </c>
    </row>
    <row r="2184" spans="1:12">
      <c r="A2184" s="20" t="s">
        <v>1860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1091</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1213</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1861</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1862</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1240</v>
      </c>
      <c r="B2189" s="21" t="s">
        <v>1154</v>
      </c>
      <c r="C2189" s="21" t="s">
        <v>1098</v>
      </c>
      <c r="D2189" s="21" t="s">
        <v>1065</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1072</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1863</v>
      </c>
      <c r="B2191" s="21" t="s">
        <v>1097</v>
      </c>
      <c r="C2191" s="21" t="s">
        <v>1144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1076</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1091</v>
      </c>
      <c r="B2193" s="21" t="s">
        <v>1354</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1213</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1864</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1321</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1322</v>
      </c>
      <c r="B2197" s="21" t="s">
        <v>1480</v>
      </c>
      <c r="C2197" s="21" t="s">
        <v>1151</v>
      </c>
      <c r="D2197" s="21" t="s">
        <v>1065</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195</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row>
    <row r="2200" spans="1:12">
      <c r="A2200" s="20" t="s">
        <v>1865</v>
      </c>
    </row>
    <row r="2201" spans="1:12">
      <c r="A2201" s="20" t="s">
        <v>1264</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1864</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111</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1567</v>
      </c>
      <c r="B2204" s="21" t="s">
        <v>1097</v>
      </c>
      <c r="C2204" s="21" t="s">
        <v>1140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1852</v>
      </c>
      <c r="B2205" s="21" t="s">
        <v>1154</v>
      </c>
      <c r="C2205" s="21" t="s">
        <v>1115</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1866</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1106</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1530</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1077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1228</v>
      </c>
      <c r="B2210" s="21" t="s">
        <v>1097</v>
      </c>
      <c r="C2210" s="21" t="s">
        <v>1075</v>
      </c>
      <c r="D2210" s="21" t="s">
        <v>1065</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1568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1321</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1322</v>
      </c>
      <c r="B2213" s="21" t="s">
        <v>1130</v>
      </c>
      <c r="C2213" s="21" t="s">
        <v>1151</v>
      </c>
      <c r="D2213" s="21" t="s">
        <v>1065</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1867</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1169</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1107</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1868</v>
      </c>
      <c r="B2217" s="21" t="s">
        <v>1063</v>
      </c>
      <c r="C2217" s="21" t="s">
        <v>1071</v>
      </c>
      <c r="D2217" s="21" t="s">
        <v>1065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1072</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1204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1812</v>
      </c>
      <c r="B2220" s="21" t="s">
        <v>1063</v>
      </c>
      <c r="C2220" s="21" t="s">
        <v>1075</v>
      </c>
      <c r="D2220" s="21" t="s">
        <v>1065</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195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row>
    <row r="2223" spans="1:12">
      <c r="A2223" s="20" t="s">
        <v>1869</v>
      </c>
    </row>
    <row r="2224" spans="1:12">
      <c r="A2224" s="20" t="s">
        <v>1870</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1076</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376</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1198</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1240</v>
      </c>
      <c r="B2228" s="21" t="s">
        <v>1084</v>
      </c>
      <c r="C2228" s="21" t="s">
        <v>1098</v>
      </c>
      <c r="D2228" s="21" t="s">
        <v>1065</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1072</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1871</v>
      </c>
      <c r="B2230" s="21" t="s">
        <v>1080</v>
      </c>
      <c r="C2230" s="21" t="s">
        <v>1144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1111</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1113</v>
      </c>
      <c r="B2232" s="21" t="s">
        <v>1080</v>
      </c>
      <c r="C2232" s="21" t="s">
        <v>1115</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1301</v>
      </c>
      <c r="B2233" s="21" t="s">
        <v>1097</v>
      </c>
      <c r="C2233" s="21" t="s">
        <v>1119</v>
      </c>
      <c r="D2233" s="21" t="s">
        <v>1065</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1076</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1429</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1204</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1872</v>
      </c>
      <c r="B2237" s="21" t="s">
        <v>1123</v>
      </c>
      <c r="C2237" s="21" t="s">
        <v>1075</v>
      </c>
      <c r="D2237" s="21" t="s">
        <v>1065</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1214</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1091</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1873</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1215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1491</v>
      </c>
      <c r="B2242" s="21" t="s">
        <v>1126</v>
      </c>
      <c r="C2242" s="21" t="s">
        <v>1098</v>
      </c>
      <c r="D2242" s="21" t="s">
        <v>1065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1076</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1213</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1577</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671</v>
      </c>
      <c r="B2246" s="21" t="s">
        <v>1080</v>
      </c>
      <c r="C2246" s="21" t="s">
        <v>1151</v>
      </c>
      <c r="D2246" s="21" t="s">
        <v>1065</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1133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1091</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1301</v>
      </c>
      <c r="B2249" s="21" t="s">
        <v>1092</v>
      </c>
      <c r="C2249" s="21" t="s">
        <v>1151</v>
      </c>
      <c r="D2249" s="21" t="s">
        <v>1065</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1064</v>
      </c>
      <c r="B2250" s="21" t="s">
        <v>1126</v>
      </c>
      <c r="C2250" s="21" t="s">
        <v>1151</v>
      </c>
      <c r="D2250" s="21" t="s">
        <v>1065</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1178</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1204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1847</v>
      </c>
      <c r="B2253" s="21" t="s">
        <v>1126</v>
      </c>
      <c r="C2253" s="21" t="s">
        <v>1075</v>
      </c>
      <c r="D2253" s="21" t="s">
        <v>1065</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1076</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1429</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1091</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1390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1847</v>
      </c>
      <c r="B2258" s="21" t="s">
        <v>1123</v>
      </c>
      <c r="C2258" s="21" t="s">
        <v>1098</v>
      </c>
      <c r="D2258" s="21" t="s">
        <v>1065</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1874</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1875</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1076</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1214</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1875</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1876</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195</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1877</v>
      </c>
    </row>
    <row r="2268" spans="1:12">
      <c r="A2268" s="20" t="s">
        <v>1878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1554</v>
      </c>
      <c r="B2269" s="21" t="s">
        <v>1150</v>
      </c>
      <c r="C2269" s="21" t="s">
        <v>1064</v>
      </c>
      <c r="D2269" s="21" t="s">
        <v>1065</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1319</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1124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1646</v>
      </c>
      <c r="B2272" s="21" t="s">
        <v>1080</v>
      </c>
      <c r="C2272" s="21" t="s">
        <v>1119</v>
      </c>
      <c r="D2272" s="21" t="s">
        <v>1065</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1879</v>
      </c>
      <c r="B2273" s="21" t="s">
        <v>1084</v>
      </c>
      <c r="C2273" s="21" t="s">
        <v>1071</v>
      </c>
      <c r="D2273" s="21" t="s">
        <v>1065</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1880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1188</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1073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1629</v>
      </c>
      <c r="B2277" s="21" t="s">
        <v>1080</v>
      </c>
      <c r="C2277" s="21" t="s">
        <v>1075</v>
      </c>
      <c r="D2277" s="21" t="s">
        <v>1065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1091</v>
      </c>
      <c r="B2278" s="21" t="s">
        <v>1278</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1881</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1882</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1173</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1883</v>
      </c>
      <c r="B2282" s="21" t="s">
        <v>1130</v>
      </c>
      <c r="C2282" s="21" t="s">
        <v>1071</v>
      </c>
      <c r="D2282" s="21" t="s">
        <v>1065</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1072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1107</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1719</v>
      </c>
      <c r="B2285" s="21" t="s">
        <v>1121</v>
      </c>
      <c r="C2285" s="21" t="s">
        <v>1109</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1076</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909</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1106</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1077</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1835</v>
      </c>
      <c r="B2290" s="21" t="s">
        <v>1063</v>
      </c>
      <c r="C2290" s="21" t="s">
        <v>1075</v>
      </c>
      <c r="D2290" s="21" t="s">
        <v>1065</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1091</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1215</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1719</v>
      </c>
      <c r="B2293" s="21" t="s">
        <v>1092</v>
      </c>
      <c r="C2293" s="21" t="s">
        <v>1098</v>
      </c>
      <c r="D2293" s="21" t="s">
        <v>1065</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1884</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1111</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1089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1854</v>
      </c>
      <c r="B2297" s="21" t="s">
        <v>1097</v>
      </c>
      <c r="C2297" s="21" t="s">
        <v>1064</v>
      </c>
      <c r="D2297" s="21" t="s">
        <v>1065</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1076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1214</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1377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1435</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1885</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1077</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1391</v>
      </c>
      <c r="B2304" s="21" t="s">
        <v>1126</v>
      </c>
      <c r="C2304" s="21" t="s">
        <v>1071</v>
      </c>
      <c r="D2304" s="21" t="s">
        <v>1065</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1085</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1077</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1886</v>
      </c>
      <c r="B2307" s="21" t="s">
        <v>1114</v>
      </c>
      <c r="C2307" s="21" t="s">
        <v>1071</v>
      </c>
      <c r="D2307" s="21" t="s">
        <v>1065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1072</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1852</v>
      </c>
      <c r="B2309" s="21" t="s">
        <v>1121</v>
      </c>
      <c r="C2309" s="21" t="s">
        <v>1071</v>
      </c>
      <c r="D2309" s="21" t="s">
        <v>1065</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1072</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1198</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1240</v>
      </c>
      <c r="B2312" s="21" t="s">
        <v>1118</v>
      </c>
      <c r="C2312" s="21" t="s">
        <v>1098</v>
      </c>
      <c r="D2312" s="21" t="s">
        <v>1065</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1887</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1106</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1204</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1888</v>
      </c>
      <c r="B2316" s="21" t="s">
        <v>1438</v>
      </c>
      <c r="C2316" s="21" t="s">
        <v>1075</v>
      </c>
      <c r="D2316" s="21" t="s">
        <v>1065</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1072</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1754</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195</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row>
    <row r="2321" spans="1:12">
      <c r="A2321" s="20" t="s">
        <v>1889</v>
      </c>
    </row>
    <row r="2322" spans="1:12">
      <c r="A2322" s="20" t="s">
        <v>1820</v>
      </c>
      <c r="B2322" s="21" t="s">
        <v>1150</v>
      </c>
      <c r="C2322" s="21" t="s">
        <v>1064</v>
      </c>
      <c r="D2322" s="21" t="s">
        <v>1065</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1821</v>
      </c>
      <c r="B2323" s="21" t="s">
        <v>1080</v>
      </c>
      <c r="C2323" s="21" t="s">
        <v>1064</v>
      </c>
      <c r="D2323" s="21" t="s">
        <v>1065</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1211</v>
      </c>
      <c r="B2324" s="21" t="s">
        <v>1084</v>
      </c>
      <c r="C2324" s="21" t="s">
        <v>1151</v>
      </c>
      <c r="D2324" s="21" t="s">
        <v>1065</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1890</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1091</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1106</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1854</v>
      </c>
      <c r="B2328" s="21" t="s">
        <v>1080</v>
      </c>
      <c r="C2328" s="21" t="s">
        <v>1064</v>
      </c>
      <c r="D2328" s="21" t="s">
        <v>1065</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1688</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411</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1124</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1886</v>
      </c>
      <c r="B2332" s="21" t="s">
        <v>1123</v>
      </c>
      <c r="C2332" s="21" t="s">
        <v>1071</v>
      </c>
      <c r="D2332" s="21" t="s">
        <v>1065</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1072</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1852</v>
      </c>
      <c r="B2334" s="21" t="s">
        <v>1097</v>
      </c>
      <c r="C2334" s="21" t="s">
        <v>1144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1891</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1173</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1892</v>
      </c>
      <c r="B2337" s="21" t="s">
        <v>1480</v>
      </c>
      <c r="C2337" s="21" t="s">
        <v>1071</v>
      </c>
      <c r="D2337" s="21" t="s">
        <v>1065</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1893</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1072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1129</v>
      </c>
      <c r="B2340" s="21" t="s">
        <v>1118</v>
      </c>
      <c r="C2340" s="21" t="s">
        <v>1131</v>
      </c>
      <c r="D2340" s="21" t="s">
        <v>1065</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1072</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1164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1852</v>
      </c>
      <c r="B2343" s="21" t="s">
        <v>1528</v>
      </c>
      <c r="C2343" s="21" t="s">
        <v>1071</v>
      </c>
      <c r="D2343" s="21" t="s">
        <v>1065</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1106</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1116</v>
      </c>
      <c r="B2345" s="21" t="s">
        <v>1438</v>
      </c>
      <c r="C2345" s="21" t="s">
        <v>1064</v>
      </c>
      <c r="D2345" s="21" t="s">
        <v>1065</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1076</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1457</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1074</v>
      </c>
      <c r="B2348" s="21" t="s">
        <v>1135</v>
      </c>
      <c r="C2348" s="21" t="s">
        <v>1144</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1894</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195</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row>
    <row r="2352" spans="1:12">
      <c r="A2352" s="20" t="s">
        <v>1895</v>
      </c>
    </row>
    <row r="2353" spans="1:12">
      <c r="A2353" s="20" t="s">
        <v>1264</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1561</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1091</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1198</v>
      </c>
      <c r="B2356" s="21" t="s">
        <v>1123</v>
      </c>
      <c r="C2356" s="21" t="s">
        <v>1131</v>
      </c>
      <c r="D2356" s="21" t="s">
        <v>1065</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1434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1322</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1896</v>
      </c>
      <c r="B2359" s="21" t="s">
        <v>1154</v>
      </c>
      <c r="C2359" s="21" t="s">
        <v>1071</v>
      </c>
      <c r="D2359" s="21" t="s">
        <v>1065</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1897</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1188</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1399</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1898</v>
      </c>
      <c r="B2363" s="21" t="s">
        <v>1097</v>
      </c>
      <c r="C2363" s="21" t="s">
        <v>1071</v>
      </c>
      <c r="D2363" s="21" t="s">
        <v>1065</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1704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1341</v>
      </c>
      <c r="B2365" s="21" t="s">
        <v>1114</v>
      </c>
      <c r="C2365" s="21" t="s">
        <v>1144</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195</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row>
    <row r="2368" spans="1:12">
      <c r="A2368" s="20" t="s">
        <v>1274</v>
      </c>
    </row>
    <row r="2369" spans="1:12">
      <c r="A2369" s="20" t="s">
        <v>1161</v>
      </c>
      <c r="B2369" s="21" t="s">
        <v>1063</v>
      </c>
      <c r="C2369" s="21" t="s">
        <v>1064</v>
      </c>
      <c r="D2369" s="21" t="s">
        <v>1065</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1067</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row>
    <row r="2372" spans="1:12">
      <c r="A2372" s="20" t="s">
        <v>1899</v>
      </c>
    </row>
    <row r="2373" spans="1:12">
      <c r="A2373" s="20" t="s">
        <v>1099</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1076</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1394</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1214</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1570</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1107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1900</v>
      </c>
      <c r="B2379" s="21" t="s">
        <v>1150</v>
      </c>
      <c r="C2379" s="21" t="s">
        <v>1109</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1091</v>
      </c>
      <c r="B2380" s="21" t="s">
        <v>1092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1214</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1901</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1085</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1077</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1710</v>
      </c>
      <c r="B2385" s="21" t="s">
        <v>1097</v>
      </c>
      <c r="C2385" s="21" t="s">
        <v>1064</v>
      </c>
      <c r="D2385" s="21" t="s">
        <v>1065</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1902</v>
      </c>
      <c r="B2386" s="21" t="s">
        <v>1114</v>
      </c>
      <c r="C2386" s="21" t="s">
        <v>1064</v>
      </c>
      <c r="D2386" s="21" t="s">
        <v>1065</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1076</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1091</v>
      </c>
      <c r="B2388" s="21" t="s">
        <v>1354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1903</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1319</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1459</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1904</v>
      </c>
      <c r="B2392" s="21" t="s">
        <v>1480</v>
      </c>
      <c r="C2392" s="21" t="s">
        <v>1144</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1111</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1073</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1905</v>
      </c>
      <c r="B2395" s="21" t="s">
        <v>1118</v>
      </c>
      <c r="C2395" s="21" t="s">
        <v>1119</v>
      </c>
      <c r="D2395" s="21" t="s">
        <v>1065</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1629</v>
      </c>
      <c r="B2396" s="21" t="s">
        <v>1121</v>
      </c>
      <c r="C2396" s="21" t="s">
        <v>1075</v>
      </c>
      <c r="D2396" s="21" t="s">
        <v>1065</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195</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row>
    <row r="2399" spans="1:12">
      <c r="A2399" s="20" t="s">
        <v>1906</v>
      </c>
    </row>
    <row r="2400" spans="1:12">
      <c r="A2400" s="20" t="s">
        <v>1502</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1907</v>
      </c>
      <c r="B2401" s="21" t="s">
        <v>1150</v>
      </c>
      <c r="C2401" s="21" t="s">
        <v>1075</v>
      </c>
      <c r="D2401" s="21" t="s">
        <v>1065</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1890</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1067</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row>
    <row r="2405" spans="1:12">
      <c r="A2405" s="20" t="s">
        <v>1257</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1908</v>
      </c>
    </row>
    <row r="2407" spans="1:12">
      <c r="A2407" s="20" t="s">
        <v>1262</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1878</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1554</v>
      </c>
      <c r="B2409" s="21" t="s">
        <v>1150</v>
      </c>
      <c r="C2409" s="21" t="s">
        <v>1064</v>
      </c>
      <c r="D2409" s="21" t="s">
        <v>1065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1909</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1164</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1910</v>
      </c>
      <c r="B2412" s="21" t="s">
        <v>1084</v>
      </c>
      <c r="C2412" s="21" t="s">
        <v>1071</v>
      </c>
      <c r="D2412" s="21" t="s">
        <v>1065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1072</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1204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1812</v>
      </c>
      <c r="B2415" s="21" t="s">
        <v>1080</v>
      </c>
      <c r="C2415" s="21" t="s">
        <v>1075</v>
      </c>
      <c r="D2415" s="21" t="s">
        <v>1065</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1911</v>
      </c>
      <c r="B2416" s="21" t="s">
        <v>1063</v>
      </c>
      <c r="C2416" s="21" t="s">
        <v>1071</v>
      </c>
      <c r="D2416" s="21" t="s">
        <v>1065</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1072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1912</v>
      </c>
      <c r="B2418" s="21" t="s">
        <v>1080</v>
      </c>
      <c r="C2418" s="21" t="s">
        <v>1144</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1088</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1089</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124</v>
      </c>
      <c r="B2421" s="21" t="s">
        <v>1080</v>
      </c>
      <c r="C2421" s="21" t="s">
        <v>1075</v>
      </c>
      <c r="D2421" s="21" t="s">
        <v>1065</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195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1262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1913</v>
      </c>
      <c r="B2424" s="21" t="s">
        <v>1084</v>
      </c>
      <c r="C2424" s="21" t="s">
        <v>1064</v>
      </c>
      <c r="D2424" s="21" t="s">
        <v>1065</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195</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row>
    <row r="2427" spans="1:12">
      <c r="A2427" s="20" t="s">
        <v>1191</v>
      </c>
    </row>
    <row r="2428" spans="1:12">
      <c r="A2428" s="20" t="s">
        <v>1192</v>
      </c>
      <c r="B2428" s="21" t="s">
        <v>1063</v>
      </c>
      <c r="C2428" s="21" t="s">
        <v>1064</v>
      </c>
      <c r="D2428" s="21" t="s">
        <v>1065</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1067</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row>
    <row r="2431" spans="1:12">
      <c r="A2431" s="20" t="s">
        <v>1914</v>
      </c>
    </row>
    <row r="2432" spans="1:12">
      <c r="A2432" s="20" t="s">
        <v>1915</v>
      </c>
      <c r="B2432" s="21" t="s">
        <v>1084</v>
      </c>
      <c r="C2432" s="21" t="s">
        <v>1151</v>
      </c>
      <c r="D2432" s="21" t="s">
        <v>1065</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1253</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1916</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251</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1106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1204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1917</v>
      </c>
      <c r="B2438" s="21" t="s">
        <v>1080</v>
      </c>
      <c r="C2438" s="21" t="s">
        <v>1075</v>
      </c>
      <c r="D2438" s="21" t="s">
        <v>1065</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1088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1077</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1391</v>
      </c>
      <c r="B2441" s="21" t="s">
        <v>1080</v>
      </c>
      <c r="C2441" s="21" t="s">
        <v>1075</v>
      </c>
      <c r="D2441" s="21" t="s">
        <v>1065</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1089</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124</v>
      </c>
      <c r="B2443" s="21" t="s">
        <v>1080</v>
      </c>
      <c r="C2443" s="21" t="s">
        <v>1075</v>
      </c>
      <c r="D2443" s="21" t="s">
        <v>1065</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1283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1076</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1214</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1570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1107</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1141</v>
      </c>
      <c r="B2449" s="21" t="s">
        <v>1063</v>
      </c>
      <c r="C2449" s="21" t="s">
        <v>1109</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1918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1188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1535</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1076</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1272</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1203</v>
      </c>
      <c r="B2455" s="21" t="s">
        <v>1097</v>
      </c>
      <c r="C2455" s="21" t="s">
        <v>1151</v>
      </c>
      <c r="D2455" s="21" t="s">
        <v>1065</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1076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1919</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1111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1089</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1554</v>
      </c>
      <c r="B2460" s="21" t="s">
        <v>1114</v>
      </c>
      <c r="C2460" s="21" t="s">
        <v>1064</v>
      </c>
      <c r="D2460" s="21" t="s">
        <v>1065</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1076</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1844</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1254</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1073</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1307</v>
      </c>
      <c r="B2465" s="21" t="s">
        <v>1126</v>
      </c>
      <c r="C2465" s="21" t="s">
        <v>1075</v>
      </c>
      <c r="D2465" s="21" t="s">
        <v>1065</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1718</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1920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909</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1064</v>
      </c>
      <c r="B2469" s="21" t="s">
        <v>1480</v>
      </c>
      <c r="C2469" s="21" t="s">
        <v>1151</v>
      </c>
      <c r="D2469" s="21" t="s">
        <v>1065</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1921</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1077</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1544</v>
      </c>
      <c r="B2472" s="21" t="s">
        <v>1480</v>
      </c>
      <c r="C2472" s="21" t="s">
        <v>1075</v>
      </c>
      <c r="D2472" s="21" t="s">
        <v>1065</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1076</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137</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1072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1073</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1922</v>
      </c>
      <c r="B2477" s="21" t="s">
        <v>1118</v>
      </c>
      <c r="C2477" s="21" t="s">
        <v>1075</v>
      </c>
      <c r="D2477" s="21" t="s">
        <v>1065</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1091</v>
      </c>
      <c r="B2478" s="21" t="s">
        <v>1923</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1924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1925</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1926</v>
      </c>
      <c r="B2481" s="21" t="s">
        <v>1438</v>
      </c>
      <c r="C2481" s="21" t="s">
        <v>1144</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1091</v>
      </c>
      <c r="B2482" s="21" t="s">
        <v>1927</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1213</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1361</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1169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1928</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1803</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1929</v>
      </c>
      <c r="B2488" s="21" t="s">
        <v>1930</v>
      </c>
      <c r="C2488" s="21" t="s">
        <v>1115</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1076</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1213</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1394</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1361</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1570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1569</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1868</v>
      </c>
      <c r="B2495" s="21" t="s">
        <v>1930</v>
      </c>
      <c r="C2495" s="21" t="s">
        <v>1071</v>
      </c>
      <c r="D2495" s="21" t="s">
        <v>1065</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1072</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1164</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1910</v>
      </c>
      <c r="B2498" s="21" t="s">
        <v>1606</v>
      </c>
      <c r="C2498" s="21" t="s">
        <v>1071</v>
      </c>
      <c r="D2498" s="21" t="s">
        <v>1065</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1072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1089</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1554</v>
      </c>
      <c r="B2501" s="21" t="s">
        <v>1605</v>
      </c>
      <c r="C2501" s="21" t="s">
        <v>1064</v>
      </c>
      <c r="D2501" s="21" t="s">
        <v>1065</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1076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1329</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1931</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1211</v>
      </c>
      <c r="B2505" s="21" t="s">
        <v>1604</v>
      </c>
      <c r="C2505" s="21" t="s">
        <v>1151</v>
      </c>
      <c r="D2505" s="21" t="s">
        <v>1065</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1932</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1284</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1933</v>
      </c>
      <c r="B2508" s="21" t="s">
        <v>1604</v>
      </c>
      <c r="C2508" s="21" t="s">
        <v>1098</v>
      </c>
      <c r="D2508" s="21" t="s">
        <v>1065</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195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row>
    <row r="2511" spans="1:12">
      <c r="A2511" s="20" t="s">
        <v>1934</v>
      </c>
    </row>
    <row r="2512" spans="1:12">
      <c r="A2512" s="20" t="s">
        <v>1194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1204</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1141</v>
      </c>
      <c r="B2514" s="21" t="s">
        <v>1150</v>
      </c>
      <c r="C2514" s="21" t="s">
        <v>1075</v>
      </c>
      <c r="D2514" s="21" t="s">
        <v>1065</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1935</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1936</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1937</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1088</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1077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1564</v>
      </c>
      <c r="B2520" s="21" t="s">
        <v>1097</v>
      </c>
      <c r="C2520" s="21" t="s">
        <v>1075</v>
      </c>
      <c r="D2520" s="21" t="s">
        <v>1065</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1091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1089</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1554</v>
      </c>
      <c r="B2523" s="21" t="s">
        <v>1354</v>
      </c>
      <c r="C2523" s="21" t="s">
        <v>1064</v>
      </c>
      <c r="D2523" s="21" t="s">
        <v>1065</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1319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1938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1164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1939</v>
      </c>
      <c r="B2527" s="21" t="s">
        <v>1118</v>
      </c>
      <c r="C2527" s="21" t="s">
        <v>1119</v>
      </c>
      <c r="D2527" s="21" t="s">
        <v>1065</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1910</v>
      </c>
      <c r="B2528" s="21" t="s">
        <v>1480</v>
      </c>
      <c r="C2528" s="21" t="s">
        <v>1075</v>
      </c>
      <c r="D2528" s="21" t="s">
        <v>1065</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1076</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1164</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1940</v>
      </c>
      <c r="B2531" s="21" t="s">
        <v>1097</v>
      </c>
      <c r="C2531" s="21" t="s">
        <v>1119</v>
      </c>
      <c r="D2531" s="21" t="s">
        <v>1065</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1686</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1395</v>
      </c>
      <c r="B2533" s="21" t="s">
        <v>1080</v>
      </c>
      <c r="C2533" s="21" t="s">
        <v>1071</v>
      </c>
      <c r="D2533" s="21" t="s">
        <v>1065</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1911</v>
      </c>
      <c r="B2534" s="21" t="s">
        <v>1097</v>
      </c>
      <c r="C2534" s="21" t="s">
        <v>1071</v>
      </c>
      <c r="D2534" s="21" t="s">
        <v>1065</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1072</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1912</v>
      </c>
      <c r="B2536" s="21" t="s">
        <v>1114</v>
      </c>
      <c r="C2536" s="21" t="s">
        <v>1144</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1106</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1124</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124</v>
      </c>
      <c r="B2539" s="21" t="s">
        <v>1097</v>
      </c>
      <c r="C2539" s="21" t="s">
        <v>1109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1076</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1214</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1091</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1941</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1124</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1942</v>
      </c>
      <c r="B2545" s="21" t="s">
        <v>1154</v>
      </c>
      <c r="C2545" s="21" t="s">
        <v>1109</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1091</v>
      </c>
      <c r="B2546" s="21" t="s">
        <v>1278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1111</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1577</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1076</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1647</v>
      </c>
      <c r="B2550" s="21" t="s">
        <v>1278</v>
      </c>
      <c r="C2550" s="21" t="s">
        <v>1155</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1244</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1073</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1943</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1541</v>
      </c>
      <c r="B2554" s="21" t="s">
        <v>1121</v>
      </c>
      <c r="C2554" s="21" t="s">
        <v>1075</v>
      </c>
      <c r="D2554" s="21" t="s">
        <v>1065</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1076</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1319</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1944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1375</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1072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1945</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1609</v>
      </c>
      <c r="B2561" s="21" t="s">
        <v>1130</v>
      </c>
      <c r="C2561" s="21" t="s">
        <v>1267</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195</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row>
    <row r="2564" spans="1:12">
      <c r="A2564" s="20" t="s">
        <v>1946</v>
      </c>
    </row>
    <row r="2565" spans="1:12">
      <c r="A2565" s="20" t="s">
        <v>1296</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1399</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1947</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1948</v>
      </c>
      <c r="B2568" s="21" t="s">
        <v>1063</v>
      </c>
      <c r="C2568" s="21" t="s">
        <v>1109</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1076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1178</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411</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1188</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1949</v>
      </c>
      <c r="B2573" s="21" t="s">
        <v>1063</v>
      </c>
      <c r="C2573" s="21" t="s">
        <v>1144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1387</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1164</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1950</v>
      </c>
      <c r="B2576" s="21" t="s">
        <v>1084</v>
      </c>
      <c r="C2576" s="21" t="s">
        <v>1071</v>
      </c>
      <c r="D2576" s="21" t="s">
        <v>1065</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1250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1710</v>
      </c>
      <c r="B2578" s="21" t="s">
        <v>1080</v>
      </c>
      <c r="C2578" s="21" t="s">
        <v>1064</v>
      </c>
      <c r="D2578" s="21" t="s">
        <v>1065</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1951</v>
      </c>
      <c r="B2579" s="21" t="s">
        <v>1150</v>
      </c>
      <c r="C2579" s="21" t="s">
        <v>1064</v>
      </c>
      <c r="D2579" s="21" t="s">
        <v>1065</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row>
    <row r="2581" spans="1:12">
      <c r="A2581" s="20" t="s">
        <v>1952</v>
      </c>
    </row>
    <row r="2582" spans="1:12">
      <c r="A2582" s="20" t="s">
        <v>1296</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1530</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1953</v>
      </c>
      <c r="B2584" s="21" t="s">
        <v>1063</v>
      </c>
      <c r="C2584" s="21" t="s">
        <v>1131</v>
      </c>
      <c r="D2584" s="21" t="s">
        <v>1065</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1076</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1204</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1141</v>
      </c>
      <c r="B2587" s="21" t="s">
        <v>1150</v>
      </c>
      <c r="C2587" s="21" t="s">
        <v>1075</v>
      </c>
      <c r="D2587" s="21" t="s">
        <v>1065</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1954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1214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1091</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1198</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1955</v>
      </c>
      <c r="B2592" s="21" t="s">
        <v>1123</v>
      </c>
      <c r="C2592" s="21" t="s">
        <v>1098</v>
      </c>
      <c r="D2592" s="21" t="s">
        <v>1065</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1076</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1091</v>
      </c>
      <c r="B2594" s="21" t="s">
        <v>1278</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1213</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1956</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1088</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1089</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1957</v>
      </c>
      <c r="B2599" s="21" t="s">
        <v>1114</v>
      </c>
      <c r="C2599" s="21" t="s">
        <v>1075</v>
      </c>
      <c r="D2599" s="21" t="s">
        <v>1065</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1958</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1959</v>
      </c>
      <c r="B2601" s="21" t="s">
        <v>1130</v>
      </c>
      <c r="C2601" s="21" t="s">
        <v>1115</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1076</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1213</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1577</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1960</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1943</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1961</v>
      </c>
      <c r="B2607" s="21" t="s">
        <v>1154</v>
      </c>
      <c r="C2607" s="21" t="s">
        <v>1267</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1076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1429</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1077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1962</v>
      </c>
      <c r="B2611" s="21" t="s">
        <v>1123</v>
      </c>
      <c r="C2611" s="21" t="s">
        <v>1071</v>
      </c>
      <c r="D2611" s="21" t="s">
        <v>1065</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1072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1204</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1963</v>
      </c>
      <c r="B2614" s="21" t="s">
        <v>1097</v>
      </c>
      <c r="C2614" s="21" t="s">
        <v>1071</v>
      </c>
      <c r="D2614" s="21" t="s">
        <v>1065</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1964</v>
      </c>
      <c r="B2615" s="21" t="s">
        <v>1114</v>
      </c>
      <c r="C2615" s="21" t="s">
        <v>1064</v>
      </c>
      <c r="D2615" s="21" t="s">
        <v>1065</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1965</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1072</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1077</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1966</v>
      </c>
      <c r="B2619" s="21" t="s">
        <v>1121</v>
      </c>
      <c r="C2619" s="21" t="s">
        <v>1064</v>
      </c>
      <c r="D2619" s="21" t="s">
        <v>1065</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1076</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1967</v>
      </c>
      <c r="B2621" s="21" t="s">
        <v>1121</v>
      </c>
      <c r="C2621" s="21" t="s">
        <v>1064</v>
      </c>
      <c r="D2621" s="21" t="s">
        <v>1065</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1968</v>
      </c>
      <c r="B2622" s="21" t="s">
        <v>1118</v>
      </c>
      <c r="C2622" s="21" t="s">
        <v>1064</v>
      </c>
      <c r="D2622" s="21" t="s">
        <v>1065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1076</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1213</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1844</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1254</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1077</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1955</v>
      </c>
      <c r="B2628" s="21" t="s">
        <v>1154</v>
      </c>
      <c r="C2628" s="21" t="s">
        <v>1071</v>
      </c>
      <c r="D2628" s="21" t="s">
        <v>1065</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1969</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1088</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1077</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1392</v>
      </c>
      <c r="B2632" s="21" t="s">
        <v>1097</v>
      </c>
      <c r="C2632" s="21" t="s">
        <v>1075</v>
      </c>
      <c r="D2632" s="21" t="s">
        <v>1065</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1106</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1393</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1077</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1710</v>
      </c>
      <c r="B2636" s="21" t="s">
        <v>1354</v>
      </c>
      <c r="C2636" s="21" t="s">
        <v>1064</v>
      </c>
      <c r="D2636" s="21" t="s">
        <v>1065</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1902</v>
      </c>
      <c r="B2637" s="21" t="s">
        <v>1118</v>
      </c>
      <c r="C2637" s="21" t="s">
        <v>1064</v>
      </c>
      <c r="D2637" s="21" t="s">
        <v>1065</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1089</v>
      </c>
      <c r="B2638" s="21" t="s">
        <v>1480</v>
      </c>
      <c r="C2638" s="21" t="s">
        <v>1151</v>
      </c>
      <c r="D2638" s="21" t="s">
        <v>1065</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1844</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1970</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1971</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1164</v>
      </c>
      <c r="B2642" s="21" t="s">
        <v>1135</v>
      </c>
      <c r="C2642" s="21" t="s">
        <v>1151</v>
      </c>
      <c r="D2642" s="21" t="s">
        <v>1065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1072</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1972</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1085</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1077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1973</v>
      </c>
      <c r="B2647" s="21" t="s">
        <v>1528</v>
      </c>
      <c r="C2647" s="21" t="s">
        <v>1075</v>
      </c>
      <c r="D2647" s="21" t="s">
        <v>1065</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195</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row>
    <row r="2650" spans="1:12">
      <c r="A2650" s="20" t="s">
        <v>1974</v>
      </c>
    </row>
    <row r="2651" spans="1:12">
      <c r="A2651" s="20" t="s">
        <v>1975</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1976</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1076</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1977</v>
      </c>
      <c r="B2654" s="21" t="s">
        <v>1150</v>
      </c>
      <c r="C2654" s="21" t="s">
        <v>1151</v>
      </c>
      <c r="D2654" s="21" t="s">
        <v>1065</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1978</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1107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1770</v>
      </c>
      <c r="B2657" s="21" t="s">
        <v>1084</v>
      </c>
      <c r="C2657" s="21" t="s">
        <v>1071</v>
      </c>
      <c r="D2657" s="21" t="s">
        <v>1065</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1088</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1089</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1554</v>
      </c>
      <c r="B2660" s="21" t="s">
        <v>1080</v>
      </c>
      <c r="C2660" s="21" t="s">
        <v>1064</v>
      </c>
      <c r="D2660" s="21" t="s">
        <v>1065</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909</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1204</v>
      </c>
      <c r="B2662" s="21" t="s">
        <v>1154</v>
      </c>
      <c r="C2662" s="21" t="s">
        <v>1151</v>
      </c>
      <c r="D2662" s="21" t="s">
        <v>1065</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1956</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1076</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1429</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1213</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1089</v>
      </c>
      <c r="B2667" s="21" t="s">
        <v>1154</v>
      </c>
      <c r="C2667" s="21" t="s">
        <v>1151</v>
      </c>
      <c r="D2667" s="21" t="s">
        <v>1065</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1844</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1412</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1254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1979</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195</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row>
    <row r="2674" spans="1:12">
      <c r="A2674" s="20" t="s">
        <v>1980</v>
      </c>
    </row>
    <row r="2675" spans="1:12">
      <c r="A2675" s="20" t="s">
        <v>1317</v>
      </c>
      <c r="B2675" s="21" t="s">
        <v>1150</v>
      </c>
      <c r="C2675" s="21" t="s">
        <v>1140</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1211</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1890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1198</v>
      </c>
      <c r="B2678" s="21" t="s">
        <v>1150</v>
      </c>
      <c r="C2678" s="21" t="s">
        <v>1131</v>
      </c>
      <c r="D2678" s="21" t="s">
        <v>1065</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1085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1077</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1240</v>
      </c>
      <c r="B2681" s="21" t="s">
        <v>1080</v>
      </c>
      <c r="C2681" s="21" t="s">
        <v>1071</v>
      </c>
      <c r="D2681" s="21" t="s">
        <v>1065</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1072</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1981</v>
      </c>
      <c r="B2683" s="21" t="s">
        <v>1097</v>
      </c>
      <c r="C2683" s="21" t="s">
        <v>1144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1876</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1106</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1073</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1649</v>
      </c>
      <c r="B2687" s="21" t="s">
        <v>1121</v>
      </c>
      <c r="C2687" s="21" t="s">
        <v>1075</v>
      </c>
      <c r="D2687" s="21" t="s">
        <v>1065</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1595</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1892</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1076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1982</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1077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1962</v>
      </c>
      <c r="B2693" s="21" t="s">
        <v>1359</v>
      </c>
      <c r="C2693" s="21" t="s">
        <v>1071</v>
      </c>
      <c r="D2693" s="21" t="s">
        <v>1065</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1072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1204</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1963</v>
      </c>
      <c r="B2696" s="21" t="s">
        <v>1438</v>
      </c>
      <c r="C2696" s="21" t="s">
        <v>1071</v>
      </c>
      <c r="D2696" s="21" t="s">
        <v>1065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1964</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1965</v>
      </c>
      <c r="B2698" s="21" t="s">
        <v>1441</v>
      </c>
      <c r="C2698" s="21" t="s">
        <v>1071</v>
      </c>
      <c r="D2698" s="21" t="s">
        <v>1065</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1072</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1077</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1966</v>
      </c>
      <c r="B2701" s="21" t="s">
        <v>1444</v>
      </c>
      <c r="C2701" s="21" t="s">
        <v>1075</v>
      </c>
      <c r="D2701" s="21" t="s">
        <v>1065</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1213</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1319</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1983</v>
      </c>
      <c r="B2704" s="21" t="s">
        <v>1484</v>
      </c>
      <c r="C2704" s="21" t="s">
        <v>1144</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1091</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1164</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1910</v>
      </c>
      <c r="B2707" s="21" t="s">
        <v>1923</v>
      </c>
      <c r="C2707" s="21" t="s">
        <v>1075</v>
      </c>
      <c r="D2707" s="21" t="s">
        <v>1065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1682</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1984</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1911</v>
      </c>
      <c r="B2710" s="21" t="s">
        <v>1438</v>
      </c>
      <c r="C2710" s="21" t="s">
        <v>1071</v>
      </c>
      <c r="D2710" s="21" t="s">
        <v>1065</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1072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1912</v>
      </c>
      <c r="B2712" s="21" t="s">
        <v>1441</v>
      </c>
      <c r="C2712" s="21" t="s">
        <v>1144</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1088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1089</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124</v>
      </c>
      <c r="B2715" s="21" t="s">
        <v>1441</v>
      </c>
      <c r="C2715" s="21" t="s">
        <v>1075</v>
      </c>
      <c r="D2715" s="21" t="s">
        <v>1065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1145</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row>
    <row r="2718" spans="1:12">
      <c r="A2718" s="20" t="s">
        <v>1274</v>
      </c>
    </row>
    <row r="2719" spans="1:12">
      <c r="A2719" s="20" t="s">
        <v>1161</v>
      </c>
      <c r="B2719" s="21" t="s">
        <v>1063</v>
      </c>
      <c r="C2719" s="21" t="s">
        <v>1064</v>
      </c>
      <c r="D2719" s="21" t="s">
        <v>1065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1067</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row>
    <row r="2722" spans="1:12">
      <c r="A2722" s="20" t="s">
        <v>1985</v>
      </c>
    </row>
    <row r="2723" spans="1:12">
      <c r="A2723" s="20" t="s">
        <v>1099</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1076</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1107</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1986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1987</v>
      </c>
      <c r="B2727" s="21" t="s">
        <v>1150</v>
      </c>
      <c r="C2727" s="21" t="s">
        <v>1071</v>
      </c>
      <c r="D2727" s="21" t="s">
        <v>1065</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1088</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1530</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1198</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1199</v>
      </c>
      <c r="B2731" s="21" t="s">
        <v>1080</v>
      </c>
      <c r="C2731" s="21" t="s">
        <v>1098</v>
      </c>
      <c r="D2731" s="21" t="s">
        <v>1065</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1214</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1067</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1568</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1218</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1988</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1211</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1072</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1280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1215</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1525</v>
      </c>
      <c r="B2741" s="21" t="s">
        <v>1080</v>
      </c>
      <c r="C2741" s="21" t="s">
        <v>1098</v>
      </c>
      <c r="D2741" s="21" t="s">
        <v>1065</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1145</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row>
    <row r="2744" spans="1:12">
      <c r="A2744" s="20" t="s">
        <v>1989</v>
      </c>
    </row>
    <row r="2745" spans="1:12">
      <c r="A2745" s="20" t="s">
        <v>1990</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111</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1076</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1415</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1213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1163</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1564</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1991</v>
      </c>
      <c r="B2752" s="21" t="s">
        <v>1126</v>
      </c>
      <c r="C2752" s="21" t="s">
        <v>1155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1072</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1992</v>
      </c>
      <c r="B2754" s="21" t="s">
        <v>1114</v>
      </c>
      <c r="C2754" s="21" t="s">
        <v>1144</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1076</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1213</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1163</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1991</v>
      </c>
      <c r="B2758" s="21" t="s">
        <v>1154</v>
      </c>
      <c r="C2758" s="21" t="s">
        <v>1155</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1072</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1393</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1993</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195</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row>
    <row r="2764" spans="1:12">
      <c r="A2764" s="20" t="s">
        <v>1994</v>
      </c>
    </row>
    <row r="2765" spans="1:12">
      <c r="A2765" s="20" t="s">
        <v>1317</v>
      </c>
      <c r="B2765" s="21" t="s">
        <v>1150</v>
      </c>
      <c r="C2765" s="21" t="s">
        <v>1140</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1394</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1214</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1072</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1995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1106</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1198</v>
      </c>
      <c r="B2771" s="21" t="s">
        <v>1080</v>
      </c>
      <c r="C2771" s="21" t="s">
        <v>1131</v>
      </c>
      <c r="D2771" s="21" t="s">
        <v>1065</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1145</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row>
    <row r="2774" spans="1:12">
      <c r="A2774" s="20" t="s">
        <v>1996</v>
      </c>
    </row>
    <row r="2775" spans="1:12">
      <c r="A2775" s="20" t="s">
        <v>1192</v>
      </c>
      <c r="B2775" s="21" t="s">
        <v>1150</v>
      </c>
      <c r="C2775" s="21" t="s">
        <v>1064</v>
      </c>
      <c r="D2775" s="21" t="s">
        <v>1065</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1067</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1997</v>
      </c>
      <c r="B2777" s="21" t="s">
        <v>1080</v>
      </c>
      <c r="C2777" s="21" t="s">
        <v>1064</v>
      </c>
      <c r="D2777" s="21" t="s">
        <v>1065</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1076</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1188</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1979</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1141</v>
      </c>
      <c r="B2781" s="21" t="s">
        <v>1080</v>
      </c>
      <c r="C2781" s="21" t="s">
        <v>1144</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1076</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1998</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1999</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1088</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1073</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1905</v>
      </c>
      <c r="B2787" s="21" t="s">
        <v>1097</v>
      </c>
      <c r="C2787" s="21" t="s">
        <v>1119</v>
      </c>
      <c r="D2787" s="21" t="s">
        <v>1065</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1070</v>
      </c>
      <c r="B2788" s="21" t="s">
        <v>1080</v>
      </c>
      <c r="C2788" s="21" t="s">
        <v>1075</v>
      </c>
      <c r="D2788" s="21" t="s">
        <v>1065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195</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row>
    <row r="2791" spans="1:12">
      <c r="A2791" s="20" t="s">
        <v>2000</v>
      </c>
    </row>
    <row r="2792" spans="1:12">
      <c r="A2792" s="20" t="s">
        <v>1157</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1272</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1415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2001</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1076</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1195</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1076</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1213</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1561</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1091</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1064</v>
      </c>
      <c r="B2802" s="21" t="s">
        <v>1126</v>
      </c>
      <c r="C2802" s="21" t="s">
        <v>1151</v>
      </c>
      <c r="D2802" s="21" t="s">
        <v>1065</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2002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1756</v>
      </c>
      <c r="B2804" s="21" t="s">
        <v>1126</v>
      </c>
      <c r="C2804" s="21" t="s">
        <v>1144</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1076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1163</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2003</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1072</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2004</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1335</v>
      </c>
      <c r="B2810" s="21" t="s">
        <v>1126</v>
      </c>
      <c r="C2810" s="21" t="s">
        <v>1151</v>
      </c>
      <c r="D2810" s="21" t="s">
        <v>1065</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1076</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1195</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1076</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1203</v>
      </c>
      <c r="B2814" s="21" t="s">
        <v>1126</v>
      </c>
      <c r="C2814" s="21" t="s">
        <v>1151</v>
      </c>
      <c r="D2814" s="21" t="s">
        <v>1065</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1064</v>
      </c>
      <c r="B2815" s="21" t="s">
        <v>1126</v>
      </c>
      <c r="C2815" s="21" t="s">
        <v>1151</v>
      </c>
      <c r="D2815" s="21" t="s">
        <v>1065</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2005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1568</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1213</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1319</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1958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1440</v>
      </c>
      <c r="B2821" s="21" t="s">
        <v>1130</v>
      </c>
      <c r="C2821" s="21" t="s">
        <v>1115</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1076</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1390</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2006</v>
      </c>
      <c r="B2824" s="21" t="s">
        <v>1123</v>
      </c>
      <c r="C2824" s="21" t="s">
        <v>1098</v>
      </c>
      <c r="D2824" s="21" t="s">
        <v>1065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2007</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1204</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1141</v>
      </c>
      <c r="B2827" s="21" t="s">
        <v>1154</v>
      </c>
      <c r="C2827" s="21" t="s">
        <v>1075</v>
      </c>
      <c r="D2827" s="21" t="s">
        <v>1065</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2008</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195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row>
    <row r="2831" spans="1:12">
      <c r="A2831" s="20" t="s">
        <v>2009</v>
      </c>
    </row>
    <row r="2832" spans="1:12">
      <c r="A2832" s="20" t="s">
        <v>1069</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1366</v>
      </c>
      <c r="B2833" s="21" t="s">
        <v>1080</v>
      </c>
      <c r="C2833" s="21" t="s">
        <v>1119</v>
      </c>
      <c r="D2833" s="21" t="s">
        <v>1065</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1070</v>
      </c>
      <c r="B2834" s="21" t="s">
        <v>1150</v>
      </c>
      <c r="C2834" s="21" t="s">
        <v>1075</v>
      </c>
      <c r="D2834" s="21" t="s">
        <v>1065</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1178</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1440</v>
      </c>
      <c r="B2836" s="21" t="s">
        <v>1084</v>
      </c>
      <c r="C2836" s="21" t="s">
        <v>1144</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1568</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1213</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671</v>
      </c>
      <c r="B2839" s="21" t="s">
        <v>1080</v>
      </c>
      <c r="C2839" s="21" t="s">
        <v>1151</v>
      </c>
      <c r="D2839" s="21" t="s">
        <v>1065</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1787</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1412</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2010</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1329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2011</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1633</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1064</v>
      </c>
      <c r="B2846" s="21" t="s">
        <v>1126</v>
      </c>
      <c r="C2846" s="21" t="s">
        <v>1151</v>
      </c>
      <c r="D2846" s="21" t="s">
        <v>1065</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1756</v>
      </c>
      <c r="B2847" s="21" t="s">
        <v>1126</v>
      </c>
      <c r="C2847" s="21" t="s">
        <v>1144</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195</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row>
    <row r="2850" spans="1:12">
      <c r="A2850" s="20" t="s">
        <v>2012</v>
      </c>
    </row>
    <row r="2851" spans="1:12">
      <c r="A2851" s="20" t="s">
        <v>1385</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2013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1076</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2014</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1113</v>
      </c>
      <c r="B2855" s="21" t="s">
        <v>1084</v>
      </c>
      <c r="C2855" s="21" t="s">
        <v>1071</v>
      </c>
      <c r="D2855" s="21" t="s">
        <v>1065</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1072</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1204</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1443</v>
      </c>
      <c r="B2858" s="21" t="s">
        <v>1097</v>
      </c>
      <c r="C2858" s="21" t="s">
        <v>1119</v>
      </c>
      <c r="D2858" s="21" t="s">
        <v>1065</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2015</v>
      </c>
      <c r="B2859" s="21" t="s">
        <v>1080</v>
      </c>
      <c r="C2859" s="21" t="s">
        <v>1075</v>
      </c>
      <c r="D2859" s="21" t="s">
        <v>1065</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2016</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1076</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1213</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1513</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1106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1854</v>
      </c>
      <c r="B2865" s="21" t="s">
        <v>1063</v>
      </c>
      <c r="C2865" s="21" t="s">
        <v>1064</v>
      </c>
      <c r="D2865" s="21" t="s">
        <v>1065</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1076</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1429</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1106</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1387</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1164</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1246</v>
      </c>
      <c r="B2871" s="21" t="s">
        <v>1063</v>
      </c>
      <c r="C2871" s="21" t="s">
        <v>1075</v>
      </c>
      <c r="D2871" s="21" t="s">
        <v>1065</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2017</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909</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1106</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1164</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1246</v>
      </c>
      <c r="B2876" s="21" t="s">
        <v>1080</v>
      </c>
      <c r="C2876" s="21" t="s">
        <v>1071</v>
      </c>
      <c r="D2876" s="21" t="s">
        <v>1065</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2018</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1072</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1530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1077</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1228</v>
      </c>
      <c r="B2881" s="21" t="s">
        <v>1097</v>
      </c>
      <c r="C2881" s="21" t="s">
        <v>1075</v>
      </c>
      <c r="D2881" s="21" t="s">
        <v>1065</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195</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row>
    <row r="2884" spans="1:12">
      <c r="A2884" s="20" t="s">
        <v>2019</v>
      </c>
    </row>
    <row r="2885" spans="1:12">
      <c r="A2885" s="20" t="s">
        <v>2020</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1609</v>
      </c>
      <c r="B2886" s="21" t="s">
        <v>1150</v>
      </c>
      <c r="C2886" s="21" t="s">
        <v>1075</v>
      </c>
      <c r="D2886" s="21" t="s">
        <v>1065</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1342</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2021</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453</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1077</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2022</v>
      </c>
      <c r="B2891" s="21" t="s">
        <v>1084</v>
      </c>
      <c r="C2891" s="21" t="s">
        <v>1075</v>
      </c>
      <c r="D2891" s="21" t="s">
        <v>1065</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909</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59</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1164</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1301</v>
      </c>
      <c r="B2895" s="21" t="s">
        <v>1097</v>
      </c>
      <c r="C2895" s="21" t="s">
        <v>1119</v>
      </c>
      <c r="D2895" s="21" t="s">
        <v>1065</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2023</v>
      </c>
      <c r="B2896" s="21" t="s">
        <v>1154</v>
      </c>
      <c r="C2896" s="21" t="s">
        <v>1075</v>
      </c>
      <c r="D2896" s="21" t="s">
        <v>1065</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1076</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1342</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2021</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2024</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1124</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2025</v>
      </c>
      <c r="B2902" s="21" t="s">
        <v>1154</v>
      </c>
      <c r="C2902" s="21" t="s">
        <v>1071</v>
      </c>
      <c r="D2902" s="21" t="s">
        <v>1065</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1072</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2026</v>
      </c>
      <c r="B2904" s="21" t="s">
        <v>1097</v>
      </c>
      <c r="C2904" s="21" t="s">
        <v>1144</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1088</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1196</v>
      </c>
      <c r="B2906" s="21" t="s">
        <v>1080</v>
      </c>
      <c r="C2906" s="21" t="s">
        <v>1131</v>
      </c>
      <c r="D2906" s="21" t="s">
        <v>1065</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1091</v>
      </c>
      <c r="B2907" s="21" t="s">
        <v>1278</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2027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1076</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1342</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2021</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2028</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1124</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2029</v>
      </c>
      <c r="B2914" s="21" t="s">
        <v>1154</v>
      </c>
      <c r="C2914" s="21" t="s">
        <v>1109</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2030</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1076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1342</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2021</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2031</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1106</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2032</v>
      </c>
      <c r="B2921" s="21" t="s">
        <v>1080</v>
      </c>
      <c r="C2921" s="21" t="s">
        <v>1144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2033</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2028</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1124</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2034</v>
      </c>
      <c r="B2925" s="21" t="s">
        <v>1126</v>
      </c>
      <c r="C2925" s="21" t="s">
        <v>1109</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2035</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1442</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2036</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671</v>
      </c>
      <c r="B2929" s="21" t="s">
        <v>1130</v>
      </c>
      <c r="C2929" s="21" t="s">
        <v>1151</v>
      </c>
      <c r="D2929" s="21" t="s">
        <v>1065</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1272</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1284</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1541</v>
      </c>
      <c r="B2932" s="21" t="s">
        <v>1114</v>
      </c>
      <c r="C2932" s="21" t="s">
        <v>1098</v>
      </c>
      <c r="D2932" s="21" t="s">
        <v>1065</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2037</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1088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1173</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2038</v>
      </c>
      <c r="B2936" s="21" t="s">
        <v>1097</v>
      </c>
      <c r="C2936" s="21" t="s">
        <v>1075</v>
      </c>
      <c r="D2936" s="21" t="s">
        <v>1065</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1072</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1124</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2039</v>
      </c>
      <c r="B2939" s="21" t="s">
        <v>1097</v>
      </c>
      <c r="C2939" s="21" t="s">
        <v>1109</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2040</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1076</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2041</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1365</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1072</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1077</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1301</v>
      </c>
      <c r="B2946" s="21" t="s">
        <v>1114</v>
      </c>
      <c r="C2946" s="21" t="s">
        <v>1119</v>
      </c>
      <c r="D2946" s="21" t="s">
        <v>1065</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2042</v>
      </c>
      <c r="B2947" s="21" t="s">
        <v>1097</v>
      </c>
      <c r="C2947" s="21" t="s">
        <v>1075</v>
      </c>
      <c r="D2947" s="21" t="s">
        <v>1065</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1076</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1106</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1173</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1327</v>
      </c>
      <c r="B2951" s="21" t="s">
        <v>1097</v>
      </c>
      <c r="C2951" s="21" t="s">
        <v>1075</v>
      </c>
      <c r="D2951" s="21" t="s">
        <v>1065</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2043</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1076</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1272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2044</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1992</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2045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909</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1141</v>
      </c>
      <c r="B2959" s="21" t="s">
        <v>1354</v>
      </c>
      <c r="C2959" s="21" t="s">
        <v>1140</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671</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1547</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1412</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153</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1072</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1164</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1301</v>
      </c>
      <c r="B2966" s="21" t="s">
        <v>1118</v>
      </c>
      <c r="C2966" s="21" t="s">
        <v>1119</v>
      </c>
      <c r="D2966" s="21" t="s">
        <v>1065</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1735</v>
      </c>
      <c r="B2967" s="21" t="s">
        <v>1121</v>
      </c>
      <c r="C2967" s="21" t="s">
        <v>1075</v>
      </c>
      <c r="D2967" s="21" t="s">
        <v>1065</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195</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row>
    <row r="2970" spans="1:12">
      <c r="A2970" s="20" t="s">
        <v>2046</v>
      </c>
    </row>
    <row r="2971" spans="1:12">
      <c r="A2971" s="20" t="s">
        <v>1338</v>
      </c>
      <c r="B2971" s="21" t="s">
        <v>1150</v>
      </c>
      <c r="C2971" s="21" t="s">
        <v>1151</v>
      </c>
      <c r="D2971" s="21" t="s">
        <v>1065</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1253</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1077</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16</v>
      </c>
      <c r="B2974" s="21" t="s">
        <v>1084</v>
      </c>
      <c r="C2974" s="21" t="s">
        <v>1071</v>
      </c>
      <c r="D2974" s="21" t="s">
        <v>1065</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1088</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1204</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1812</v>
      </c>
      <c r="B2977" s="21" t="s">
        <v>1080</v>
      </c>
      <c r="C2977" s="21" t="s">
        <v>1075</v>
      </c>
      <c r="D2977" s="21" t="s">
        <v>1065</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195</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row>
    <row r="2980" spans="1:12">
      <c r="A2980" s="20" t="s">
        <v>2047</v>
      </c>
    </row>
    <row r="2981" spans="1:12">
      <c r="A2981" s="20" t="s">
        <v>2048</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1756</v>
      </c>
      <c r="B2982" s="21" t="s">
        <v>1154</v>
      </c>
      <c r="C2982" s="21" t="s">
        <v>1071</v>
      </c>
      <c r="D2982" s="21" t="s">
        <v>1065</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1072</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2049</v>
      </c>
      <c r="B2984" s="21" t="s">
        <v>1097</v>
      </c>
      <c r="C2984" s="21" t="s">
        <v>1144</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2050</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1085</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2051</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2052</v>
      </c>
      <c r="B2988" s="21" t="s">
        <v>1121</v>
      </c>
      <c r="C2988" s="21" t="s">
        <v>1144</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2033</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1085</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1112</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1240</v>
      </c>
      <c r="B2992" s="21" t="s">
        <v>1118</v>
      </c>
      <c r="C2992" s="21" t="s">
        <v>1071</v>
      </c>
      <c r="D2992" s="21" t="s">
        <v>1065</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1072</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2053</v>
      </c>
      <c r="B2994" s="21" t="s">
        <v>1528</v>
      </c>
      <c r="C2994" s="21" t="s">
        <v>1144</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2054</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1568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2055</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1091</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2056</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1088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2057</v>
      </c>
      <c r="B3001" s="21" t="s">
        <v>1114</v>
      </c>
      <c r="C3001" s="21" t="s">
        <v>1155</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1076</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1088</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2058</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1515</v>
      </c>
      <c r="B3005" s="21" t="s">
        <v>1121</v>
      </c>
      <c r="C3005" s="21" t="s">
        <v>1115</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2059</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1076</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1204</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2060</v>
      </c>
      <c r="B3009" s="21" t="s">
        <v>1150</v>
      </c>
      <c r="C3009" s="21" t="s">
        <v>1071</v>
      </c>
      <c r="D3009" s="21" t="s">
        <v>1065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1072</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1204</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1719</v>
      </c>
      <c r="B3012" s="21" t="s">
        <v>1080</v>
      </c>
      <c r="C3012" s="21" t="s">
        <v>1075</v>
      </c>
      <c r="D3012" s="21" t="s">
        <v>1065</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2061</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2062</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909</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1442</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2063</v>
      </c>
      <c r="B3017" s="21" t="s">
        <v>1097</v>
      </c>
      <c r="C3017" s="21" t="s">
        <v>1144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1214</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2064</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1107</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2065</v>
      </c>
      <c r="B3021" s="21" t="s">
        <v>1063</v>
      </c>
      <c r="C3021" s="21" t="s">
        <v>1109</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1348</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1582</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1188</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146</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2066</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195</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row>
    <row r="3029" spans="1:12">
      <c r="A3029" s="20" t="s">
        <v>1274</v>
      </c>
    </row>
    <row r="3030" spans="1:12">
      <c r="A3030" s="20" t="s">
        <v>1161</v>
      </c>
      <c r="B3030" s="21" t="s">
        <v>1063</v>
      </c>
      <c r="C3030" s="21" t="s">
        <v>1064</v>
      </c>
      <c r="D3030" s="21" t="s">
        <v>1065</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1067</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row>
    <row r="3033" spans="1:12">
      <c r="A3033" s="20" t="s">
        <v>2067</v>
      </c>
    </row>
    <row r="3034" spans="1:12">
      <c r="A3034" s="20" t="s">
        <v>2068</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1609</v>
      </c>
      <c r="B3035" s="21" t="s">
        <v>1150</v>
      </c>
      <c r="C3035" s="21" t="s">
        <v>1115</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1185</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2069</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1188</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1129</v>
      </c>
      <c r="B3039" s="21" t="s">
        <v>1063</v>
      </c>
      <c r="C3039" s="21" t="s">
        <v>1131</v>
      </c>
      <c r="D3039" s="21" t="s">
        <v>1065</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1091</v>
      </c>
      <c r="B3040" s="21" t="s">
        <v>1126</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1303</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1564</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195</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row>
    <row r="3045" spans="1:12">
      <c r="A3045" s="20" t="s">
        <v>2070</v>
      </c>
    </row>
    <row r="3046" spans="1:12">
      <c r="A3046" s="20" t="s">
        <v>2071</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1916</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1072</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2072</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1107</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2073</v>
      </c>
      <c r="B3051" s="21" t="s">
        <v>1084</v>
      </c>
      <c r="C3051" s="21" t="s">
        <v>1071</v>
      </c>
      <c r="D3051" s="21" t="s">
        <v>1065</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1072</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2074</v>
      </c>
      <c r="B3053" s="21" t="s">
        <v>1080</v>
      </c>
      <c r="C3053" s="21" t="s">
        <v>1064</v>
      </c>
      <c r="D3053" s="21" t="s">
        <v>1065</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2075</v>
      </c>
      <c r="B3054" s="21" t="s">
        <v>1097</v>
      </c>
      <c r="C3054" s="21" t="s">
        <v>1064</v>
      </c>
      <c r="D3054" s="21" t="s">
        <v>1065</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1091</v>
      </c>
      <c r="B3055" s="21" t="s">
        <v>1092</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2076</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1091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1415</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2077</v>
      </c>
      <c r="B3059" s="21" t="s">
        <v>1354</v>
      </c>
      <c r="C3059" s="21" t="s">
        <v>1064</v>
      </c>
      <c r="D3059" s="21" t="s">
        <v>1065</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2078</v>
      </c>
      <c r="B3060" s="21" t="s">
        <v>1118</v>
      </c>
      <c r="C3060" s="21" t="s">
        <v>1064</v>
      </c>
      <c r="D3060" s="21" t="s">
        <v>1065</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1361</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1077</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2079</v>
      </c>
      <c r="B3063" s="21" t="s">
        <v>1114</v>
      </c>
      <c r="C3063" s="21" t="s">
        <v>1071</v>
      </c>
      <c r="D3063" s="21" t="s">
        <v>1065</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1072</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1107</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2080</v>
      </c>
      <c r="B3066" s="21" t="s">
        <v>1121</v>
      </c>
      <c r="C3066" s="21" t="s">
        <v>1109</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1076</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36</v>
      </c>
      <c r="B3068" s="21" t="s">
        <v>1278</v>
      </c>
      <c r="C3068" s="21" t="s">
        <v>1064</v>
      </c>
      <c r="D3068" s="21" t="s">
        <v>1065</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1100</v>
      </c>
      <c r="B3069" s="21" t="s">
        <v>1121</v>
      </c>
      <c r="C3069" s="21" t="s">
        <v>1064</v>
      </c>
      <c r="D3069" s="21" t="s">
        <v>1065</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1214</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1077</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2081</v>
      </c>
      <c r="B3072" s="21" t="s">
        <v>1097</v>
      </c>
      <c r="C3072" s="21" t="s">
        <v>1075</v>
      </c>
      <c r="D3072" s="21" t="s">
        <v>1065</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1091</v>
      </c>
      <c r="B3073" s="21" t="s">
        <v>1354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1319</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2082</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1204</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2083</v>
      </c>
      <c r="B3077" s="21" t="s">
        <v>1480</v>
      </c>
      <c r="C3077" s="21" t="s">
        <v>1075</v>
      </c>
      <c r="D3077" s="21" t="s">
        <v>1065</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1088</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1077</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2084</v>
      </c>
      <c r="B3080" s="21" t="s">
        <v>1121</v>
      </c>
      <c r="C3080" s="21" t="s">
        <v>1075</v>
      </c>
      <c r="D3080" s="21" t="s">
        <v>1065</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195</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row>
    <row r="3083" spans="1:12">
      <c r="A3083" s="20" t="s">
        <v>2085</v>
      </c>
    </row>
    <row r="3084" spans="1:12">
      <c r="A3084" s="20" t="s">
        <v>2086</v>
      </c>
      <c r="B3084" s="21" t="s">
        <v>1150</v>
      </c>
      <c r="C3084" s="21" t="s">
        <v>1151</v>
      </c>
      <c r="D3084" s="21" t="s">
        <v>1065</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2087</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1091</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1286</v>
      </c>
      <c r="B3087" s="21" t="s">
        <v>1123</v>
      </c>
      <c r="C3087" s="21" t="s">
        <v>1151</v>
      </c>
      <c r="D3087" s="21" t="s">
        <v>1065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1464</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1928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1647</v>
      </c>
      <c r="B3090" s="21" t="s">
        <v>1154</v>
      </c>
      <c r="C3090" s="21" t="s">
        <v>1155</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1072</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1073</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2088</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2089</v>
      </c>
      <c r="B3094" s="21" t="s">
        <v>1097</v>
      </c>
      <c r="C3094" s="21" t="s">
        <v>1071</v>
      </c>
      <c r="D3094" s="21" t="s">
        <v>1065</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1072</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1204</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1900</v>
      </c>
      <c r="B3097" s="21" t="s">
        <v>1114</v>
      </c>
      <c r="C3097" s="21" t="s">
        <v>1075</v>
      </c>
      <c r="D3097" s="21" t="s">
        <v>1065</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1752</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195</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row>
    <row r="3101" spans="1:12">
      <c r="A3101" s="20" t="s">
        <v>2090</v>
      </c>
    </row>
    <row r="3102" spans="1:12">
      <c r="A3102" s="20" t="s">
        <v>1139</v>
      </c>
      <c r="B3102" s="21" t="s">
        <v>1080</v>
      </c>
      <c r="C3102" s="21" t="s">
        <v>1140</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1141</v>
      </c>
      <c r="B3103" s="21" t="s">
        <v>1084</v>
      </c>
      <c r="C3103" s="21" t="s">
        <v>1115</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2091</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1088</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1609</v>
      </c>
      <c r="B3106" s="21" t="s">
        <v>1063</v>
      </c>
      <c r="C3106" s="21" t="s">
        <v>1144</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1091</v>
      </c>
      <c r="B3107" s="21" t="s">
        <v>1092</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1204</v>
      </c>
      <c r="B3108" s="21" t="s">
        <v>1126</v>
      </c>
      <c r="C3108" s="21" t="s">
        <v>1151</v>
      </c>
      <c r="D3108" s="21" t="s">
        <v>1065</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2092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1774</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1145</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row>
    <row r="3113" spans="1:12">
      <c r="A3113" s="20" t="s">
        <v>2093</v>
      </c>
    </row>
    <row r="3114" spans="1:12">
      <c r="A3114" s="20" t="s">
        <v>1192</v>
      </c>
      <c r="B3114" s="21" t="s">
        <v>1063</v>
      </c>
      <c r="C3114" s="21" t="s">
        <v>1064</v>
      </c>
      <c r="D3114" s="21" t="s">
        <v>1065</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1067</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2074</v>
      </c>
      <c r="B3116" s="21" t="s">
        <v>1063</v>
      </c>
      <c r="C3116" s="21" t="s">
        <v>1064</v>
      </c>
      <c r="D3116" s="21" t="s">
        <v>1065</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2075</v>
      </c>
      <c r="B3117" s="21" t="s">
        <v>1063</v>
      </c>
      <c r="C3117" s="21" t="s">
        <v>1064</v>
      </c>
      <c r="D3117" s="21" t="s">
        <v>1065</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1076</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1048</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1322</v>
      </c>
      <c r="B3120" s="21" t="s">
        <v>1154</v>
      </c>
      <c r="C3120" s="21" t="s">
        <v>1151</v>
      </c>
      <c r="D3120" s="21" t="s">
        <v>1065</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2094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1129</v>
      </c>
      <c r="B3122" s="21" t="s">
        <v>1080</v>
      </c>
      <c r="C3122" s="21" t="s">
        <v>1131</v>
      </c>
      <c r="D3122" s="21" t="s">
        <v>1065</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195</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row>
    <row r="3125" spans="1:12">
      <c r="A3125" s="20" t="s">
        <v>2095</v>
      </c>
    </row>
    <row r="3126" spans="1:12">
      <c r="A3126" s="20" t="s">
        <v>1102</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1160</v>
      </c>
      <c r="B3127" s="21" t="s">
        <v>1063</v>
      </c>
      <c r="C3127" s="21" t="s">
        <v>1064</v>
      </c>
      <c r="D3127" s="21" t="s">
        <v>1065</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1104</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2096</v>
      </c>
      <c r="B3129" s="21" t="s">
        <v>1063</v>
      </c>
      <c r="C3129" s="21" t="s">
        <v>1071</v>
      </c>
      <c r="D3129" s="21" t="s">
        <v>1065</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195</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row>
    <row r="3132" spans="1:12">
      <c r="A3132" s="20" t="s">
        <v>2097</v>
      </c>
    </row>
    <row r="3133" spans="1:12">
      <c r="A3133" s="20" t="s">
        <v>1740</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1091</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1434</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1158</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1076</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1568</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1088</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1089</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1957</v>
      </c>
      <c r="B3141" s="21" t="s">
        <v>1080</v>
      </c>
      <c r="C3141" s="21" t="s">
        <v>1075</v>
      </c>
      <c r="D3141" s="21" t="s">
        <v>1065</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1106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1393</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2077</v>
      </c>
      <c r="B3144" s="21" t="s">
        <v>1278</v>
      </c>
      <c r="C3144" s="21" t="s">
        <v>1064</v>
      </c>
      <c r="D3144" s="21" t="s">
        <v>1065</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2078</v>
      </c>
      <c r="B3145" s="21" t="s">
        <v>1121</v>
      </c>
      <c r="C3145" s="21" t="s">
        <v>1064</v>
      </c>
      <c r="D3145" s="21" t="s">
        <v>1065</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2098</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1077</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1117</v>
      </c>
      <c r="B3148" s="21" t="s">
        <v>1121</v>
      </c>
      <c r="C3148" s="21" t="s">
        <v>1119</v>
      </c>
      <c r="D3148" s="21" t="s">
        <v>1065</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2099</v>
      </c>
      <c r="B3149" s="21" t="s">
        <v>1130</v>
      </c>
      <c r="C3149" s="21" t="s">
        <v>1075</v>
      </c>
      <c r="D3149" s="21" t="s">
        <v>1065</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1552</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1076</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2074</v>
      </c>
      <c r="B3152" s="21" t="s">
        <v>1121</v>
      </c>
      <c r="C3152" s="21" t="s">
        <v>1064</v>
      </c>
      <c r="D3152" s="21" t="s">
        <v>1065</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2075</v>
      </c>
      <c r="B3153" s="21" t="s">
        <v>1118</v>
      </c>
      <c r="C3153" s="21" t="s">
        <v>1064</v>
      </c>
      <c r="D3153" s="21" t="s">
        <v>1065</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2100</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1091</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1411</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2101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1204</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2102</v>
      </c>
      <c r="B3159" s="21" t="s">
        <v>1126</v>
      </c>
      <c r="C3159" s="21" t="s">
        <v>1071</v>
      </c>
      <c r="D3159" s="21" t="s">
        <v>1065</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1072</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1073</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2103</v>
      </c>
      <c r="B3162" s="21" t="s">
        <v>1114</v>
      </c>
      <c r="C3162" s="21" t="s">
        <v>1075</v>
      </c>
      <c r="D3162" s="21" t="s">
        <v>1065</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1091</v>
      </c>
      <c r="B3163" s="21" t="s">
        <v>1135</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1073</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2104</v>
      </c>
      <c r="B3165" s="21" t="s">
        <v>1132</v>
      </c>
      <c r="C3165" s="21" t="s">
        <v>1075</v>
      </c>
      <c r="D3165" s="21" t="s">
        <v>1065</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2105</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1188</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2106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671</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909</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1073</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2107</v>
      </c>
      <c r="B3172" s="21" t="s">
        <v>1923</v>
      </c>
      <c r="C3172" s="21" t="s">
        <v>1075</v>
      </c>
      <c r="D3172" s="21" t="s">
        <v>1065</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2108</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2109</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909</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2110</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1890</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1091</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1214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1124</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2079</v>
      </c>
      <c r="B3181" s="21" t="s">
        <v>1114</v>
      </c>
      <c r="C3181" s="21" t="s">
        <v>1071</v>
      </c>
      <c r="D3181" s="21" t="s">
        <v>1065</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1072</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2080</v>
      </c>
      <c r="B3183" s="21" t="s">
        <v>1121</v>
      </c>
      <c r="C3183" s="21" t="s">
        <v>1144</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195</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row>
    <row r="3186" spans="1:12">
      <c r="A3186" s="20" t="s">
        <v>2111</v>
      </c>
    </row>
    <row r="3187" spans="1:12">
      <c r="A3187" s="20" t="s">
        <v>1722</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1394</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1214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1111</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2112</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1202</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2053</v>
      </c>
      <c r="B3193" s="21" t="s">
        <v>1080</v>
      </c>
      <c r="C3193" s="21" t="s">
        <v>1144</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1198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1240</v>
      </c>
      <c r="B3195" s="21" t="s">
        <v>1154</v>
      </c>
      <c r="C3195" s="21" t="s">
        <v>1098</v>
      </c>
      <c r="D3195" s="21" t="s">
        <v>1065</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1072</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2113</v>
      </c>
      <c r="B3197" s="21" t="s">
        <v>1097</v>
      </c>
      <c r="C3197" s="21" t="s">
        <v>1071</v>
      </c>
      <c r="D3197" s="21" t="s">
        <v>1065</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2114</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1072</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2115</v>
      </c>
      <c r="B3200" s="21" t="s">
        <v>1114</v>
      </c>
      <c r="C3200" s="21" t="s">
        <v>1071</v>
      </c>
      <c r="D3200" s="21" t="s">
        <v>1065</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1088</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1204</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1445</v>
      </c>
      <c r="B3203" s="21" t="s">
        <v>1121</v>
      </c>
      <c r="C3203" s="21" t="s">
        <v>1075</v>
      </c>
      <c r="D3203" s="21" t="s">
        <v>1065</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1447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1111</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1113</v>
      </c>
      <c r="B3206" s="21" t="s">
        <v>1097</v>
      </c>
      <c r="C3206" s="21" t="s">
        <v>1071</v>
      </c>
      <c r="D3206" s="21" t="s">
        <v>1065</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1072</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1198</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1240</v>
      </c>
      <c r="B3209" s="21" t="s">
        <v>1114</v>
      </c>
      <c r="C3209" s="21" t="s">
        <v>1098</v>
      </c>
      <c r="D3209" s="21" t="s">
        <v>1065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1072</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1922</v>
      </c>
      <c r="B3211" s="21" t="s">
        <v>1121</v>
      </c>
      <c r="C3211" s="21" t="s">
        <v>1144</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195</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row>
    <row r="3214" spans="1:12">
      <c r="A3214" s="20" t="s">
        <v>2116</v>
      </c>
    </row>
    <row r="3215" spans="1:12">
      <c r="A3215" s="20" t="s">
        <v>1194</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2117</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1091</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1363</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2118</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1609</v>
      </c>
      <c r="B3220" s="21" t="s">
        <v>1063</v>
      </c>
      <c r="C3220" s="21" t="s">
        <v>1144</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1091</v>
      </c>
      <c r="B3221" s="21" t="s">
        <v>1092</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1211</v>
      </c>
      <c r="B3222" s="21" t="s">
        <v>1126</v>
      </c>
      <c r="C3222" s="21" t="s">
        <v>1151</v>
      </c>
      <c r="D3222" s="21" t="s">
        <v>1065</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2119</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1236</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195</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row>
    <row r="3227" spans="1:12">
      <c r="A3227" s="20" t="s">
        <v>2120</v>
      </c>
    </row>
    <row r="3228" spans="1:12">
      <c r="A3228" s="20" t="s">
        <v>1269</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1091</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1106</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1112</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1207</v>
      </c>
      <c r="B3232" s="21" t="s">
        <v>1080</v>
      </c>
      <c r="C3232" s="21" t="s">
        <v>1115</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1178</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1107</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2121</v>
      </c>
      <c r="B3235" s="21" t="s">
        <v>1154</v>
      </c>
      <c r="C3235" s="21" t="s">
        <v>1071</v>
      </c>
      <c r="D3235" s="21" t="s">
        <v>1065</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2122</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1072</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1204</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1445</v>
      </c>
      <c r="B3239" s="21" t="s">
        <v>1097</v>
      </c>
      <c r="C3239" s="21" t="s">
        <v>1075</v>
      </c>
      <c r="D3239" s="21" t="s">
        <v>1065</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1447</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195</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row>
    <row r="3243" spans="1:12">
      <c r="A3243" s="20" t="s">
        <v>2123</v>
      </c>
    </row>
    <row r="3244" spans="1:12">
      <c r="A3244" s="20" t="s">
        <v>2020</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2124</v>
      </c>
      <c r="B3245" s="21" t="s">
        <v>1150</v>
      </c>
      <c r="C3245" s="21" t="s">
        <v>1071</v>
      </c>
      <c r="D3245" s="21" t="s">
        <v>1065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1072</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1609</v>
      </c>
      <c r="B3247" s="21" t="s">
        <v>1080</v>
      </c>
      <c r="C3247" s="21" t="s">
        <v>1144</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1272</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2074</v>
      </c>
      <c r="B3249" s="21" t="s">
        <v>1080</v>
      </c>
      <c r="C3249" s="21" t="s">
        <v>1064</v>
      </c>
      <c r="D3249" s="21" t="s">
        <v>1065</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2075</v>
      </c>
      <c r="B3250" s="21" t="s">
        <v>1097</v>
      </c>
      <c r="C3250" s="21" t="s">
        <v>1064</v>
      </c>
      <c r="D3250" s="21" t="s">
        <v>1065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2125</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1088</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1406</v>
      </c>
      <c r="B3253" s="21" t="s">
        <v>1063</v>
      </c>
      <c r="C3253" s="21" t="s">
        <v>1144</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1204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1445</v>
      </c>
      <c r="B3255" s="21" t="s">
        <v>1084</v>
      </c>
      <c r="C3255" s="21" t="s">
        <v>1075</v>
      </c>
      <c r="D3255" s="21" t="s">
        <v>1065</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1447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195</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row>
    <row r="3259" spans="1:12">
      <c r="A3259" s="20" t="s">
        <v>2126</v>
      </c>
    </row>
    <row r="3260" spans="1:12">
      <c r="A3260" s="20" t="s">
        <v>1878</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2127</v>
      </c>
      <c r="B3261" s="21" t="s">
        <v>1150</v>
      </c>
      <c r="C3261" s="21" t="s">
        <v>1075</v>
      </c>
      <c r="D3261" s="21" t="s">
        <v>1065</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1380</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1213</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2128</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2129</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1202</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1089</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2127</v>
      </c>
      <c r="B3268" s="21" t="s">
        <v>1063</v>
      </c>
      <c r="C3268" s="21" t="s">
        <v>1071</v>
      </c>
      <c r="D3268" s="21" t="s">
        <v>1065</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1072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1204</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2130</v>
      </c>
      <c r="B3271" s="21" t="s">
        <v>1080</v>
      </c>
      <c r="C3271" s="21" t="s">
        <v>1075</v>
      </c>
      <c r="D3271" s="21" t="s">
        <v>1065</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195</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row>
    <row r="3274" spans="1:12">
      <c r="A3274" s="20" t="s">
        <v>2131</v>
      </c>
    </row>
    <row r="3275" spans="1:12">
      <c r="A3275" s="20" t="s">
        <v>2132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1106</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2133</v>
      </c>
      <c r="B3277" s="21" t="s">
        <v>1080</v>
      </c>
      <c r="C3277" s="21" t="s">
        <v>1144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2134</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2135</v>
      </c>
      <c r="B3279" s="21" t="s">
        <v>1080</v>
      </c>
      <c r="C3279" s="21" t="s">
        <v>1144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1091</v>
      </c>
      <c r="B3280" s="21" t="s">
        <v>1278</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1213</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1185</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1366</v>
      </c>
      <c r="B3283" s="21" t="s">
        <v>1114</v>
      </c>
      <c r="C3283" s="21" t="s">
        <v>1119</v>
      </c>
      <c r="D3283" s="21" t="s">
        <v>1065</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2136</v>
      </c>
      <c r="B3284" s="21" t="s">
        <v>1097</v>
      </c>
      <c r="C3284" s="21" t="s">
        <v>1267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1076</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1106</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1537</v>
      </c>
      <c r="B3287" s="21" t="s">
        <v>1080</v>
      </c>
      <c r="C3287" s="21" t="s">
        <v>1144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1091</v>
      </c>
      <c r="B3288" s="21" t="s">
        <v>1278</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1213</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1185</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1188</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2137</v>
      </c>
      <c r="B3292" s="21" t="s">
        <v>1097</v>
      </c>
      <c r="C3292" s="21" t="s">
        <v>1151</v>
      </c>
      <c r="D3292" s="21" t="s">
        <v>1065</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1107</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2138</v>
      </c>
      <c r="B3294" s="21" t="s">
        <v>1154</v>
      </c>
      <c r="C3294" s="21" t="s">
        <v>1109</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1213</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1211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2139</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1088</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1077</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2140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909</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1198</v>
      </c>
      <c r="B3302" s="21" t="s">
        <v>1123</v>
      </c>
      <c r="C3302" s="21" t="s">
        <v>1131</v>
      </c>
      <c r="D3302" s="21" t="s">
        <v>1065</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2141</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1434</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1188</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1089</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2142</v>
      </c>
      <c r="B3307" s="21" t="s">
        <v>1080</v>
      </c>
      <c r="C3307" s="21" t="s">
        <v>1064</v>
      </c>
      <c r="D3307" s="21" t="s">
        <v>1065</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1434</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1188</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1079</v>
      </c>
      <c r="B3310" s="21" t="s">
        <v>1097</v>
      </c>
      <c r="C3310" s="21" t="s">
        <v>1064</v>
      </c>
      <c r="D3310" s="21" t="s">
        <v>1065</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195</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row>
    <row r="3313" spans="1:12">
      <c r="A3313" s="20" t="s">
        <v>2143</v>
      </c>
    </row>
    <row r="3314" spans="1:12">
      <c r="A3314" s="20" t="s">
        <v>1079</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1213</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1214</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1077</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2144</v>
      </c>
      <c r="B3318" s="21" t="s">
        <v>1063</v>
      </c>
      <c r="C3318" s="21" t="s">
        <v>1075</v>
      </c>
      <c r="D3318" s="21" t="s">
        <v>1065</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195</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row>
    <row r="3321" spans="1:12">
      <c r="A3321" s="20" t="s">
        <v>2145</v>
      </c>
    </row>
    <row r="3322" spans="1:12">
      <c r="A3322" s="20" t="s">
        <v>1878</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2146</v>
      </c>
      <c r="B3323" s="21" t="s">
        <v>1150</v>
      </c>
      <c r="C3323" s="21" t="s">
        <v>1075</v>
      </c>
      <c r="D3323" s="21" t="s">
        <v>1065</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1213</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1214</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1077</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2144</v>
      </c>
      <c r="B3327" s="21" t="s">
        <v>1063</v>
      </c>
      <c r="C3327" s="21" t="s">
        <v>1075</v>
      </c>
      <c r="D3327" s="21" t="s">
        <v>1065</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195</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row>
    <row r="3330" spans="1:12">
      <c r="A3330" s="20" t="s">
        <v>2147</v>
      </c>
    </row>
    <row r="3331" spans="1:12">
      <c r="A3331" s="20" t="s">
        <v>2020</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2148</v>
      </c>
      <c r="B3332" s="21" t="s">
        <v>1063</v>
      </c>
      <c r="C3332" s="21" t="s">
        <v>1075</v>
      </c>
      <c r="D3332" s="21" t="s">
        <v>1065</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1550</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1076</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1164</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2148</v>
      </c>
      <c r="B3336" s="21" t="s">
        <v>1063</v>
      </c>
      <c r="C3336" s="21" t="s">
        <v>1075</v>
      </c>
      <c r="D3336" s="21" t="s">
        <v>1065</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1653</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909</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1763</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1947</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1662</v>
      </c>
      <c r="B3341" s="21" t="s">
        <v>1080</v>
      </c>
      <c r="C3341" s="21" t="s">
        <v>1115</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2149</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2150</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2151</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1113</v>
      </c>
      <c r="B3345" s="21" t="s">
        <v>1130</v>
      </c>
      <c r="C3345" s="21" t="s">
        <v>1071</v>
      </c>
      <c r="D3345" s="21" t="s">
        <v>1065</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1072</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1204</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1443</v>
      </c>
      <c r="B3348" s="21" t="s">
        <v>1118</v>
      </c>
      <c r="C3348" s="21" t="s">
        <v>1119</v>
      </c>
      <c r="D3348" s="21" t="s">
        <v>1065</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1246</v>
      </c>
      <c r="B3349" s="21" t="s">
        <v>1121</v>
      </c>
      <c r="C3349" s="21" t="s">
        <v>1075</v>
      </c>
      <c r="D3349" s="21" t="s">
        <v>1065</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195</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row>
    <row r="3352" spans="1:12">
      <c r="A3352" s="20" t="s">
        <v>2152</v>
      </c>
    </row>
    <row r="3353" spans="1:12">
      <c r="A3353" s="20" t="s">
        <v>2153</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1113</v>
      </c>
      <c r="B3354" s="21" t="s">
        <v>1084</v>
      </c>
      <c r="C3354" s="21" t="s">
        <v>1071</v>
      </c>
      <c r="D3354" s="21" t="s">
        <v>1065</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1072</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1077</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2154</v>
      </c>
      <c r="B3357" s="21" t="s">
        <v>1097</v>
      </c>
      <c r="C3357" s="21" t="s">
        <v>1119</v>
      </c>
      <c r="D3357" s="21" t="s">
        <v>1065</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1228</v>
      </c>
      <c r="B3358" s="21" t="s">
        <v>1080</v>
      </c>
      <c r="C3358" s="21" t="s">
        <v>1075</v>
      </c>
      <c r="D3358" s="21" t="s">
        <v>1065</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2155</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195</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row>
    <row r="3362" spans="1:12">
      <c r="A3362" s="20" t="s">
        <v>2156</v>
      </c>
    </row>
    <row r="3363" spans="1:12">
      <c r="A3363" s="20" t="s">
        <v>1351</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1185</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2157</v>
      </c>
      <c r="B3365" s="21" t="s">
        <v>1150</v>
      </c>
      <c r="C3365" s="21" t="s">
        <v>1071</v>
      </c>
      <c r="D3365" s="21" t="s">
        <v>1065</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1072</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2158</v>
      </c>
      <c r="B3367" s="21" t="s">
        <v>1080</v>
      </c>
      <c r="C3367" s="21" t="s">
        <v>1144</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1091</v>
      </c>
      <c r="B3368" s="21" t="s">
        <v>1278</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1211</v>
      </c>
      <c r="B3369" s="21" t="s">
        <v>1130</v>
      </c>
      <c r="C3369" s="21" t="s">
        <v>1151</v>
      </c>
      <c r="D3369" s="21" t="s">
        <v>1065</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2159</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1076</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909</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1415</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2160</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1284</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2157</v>
      </c>
      <c r="B3376" s="21" t="s">
        <v>1154</v>
      </c>
      <c r="C3376" s="21" t="s">
        <v>1098</v>
      </c>
      <c r="D3376" s="21" t="s">
        <v>1065</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2161</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1164</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2162</v>
      </c>
      <c r="B3379" s="21" t="s">
        <v>1126</v>
      </c>
      <c r="C3379" s="21" t="s">
        <v>1075</v>
      </c>
      <c r="D3379" s="21" t="s">
        <v>1065</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1076</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1204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1445</v>
      </c>
      <c r="B3382" s="21" t="s">
        <v>1063</v>
      </c>
      <c r="C3382" s="21" t="s">
        <v>1075</v>
      </c>
      <c r="D3382" s="21" t="s">
        <v>1065</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1076</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1164</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2163</v>
      </c>
      <c r="B3385" s="21" t="s">
        <v>1080</v>
      </c>
      <c r="C3385" s="21" t="s">
        <v>1071</v>
      </c>
      <c r="D3385" s="21" t="s">
        <v>1065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1072</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2164</v>
      </c>
      <c r="B3387" s="21" t="s">
        <v>1097</v>
      </c>
      <c r="C3387" s="21" t="s">
        <v>1144</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1076</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1091</v>
      </c>
      <c r="B3389" s="21" t="s">
        <v>1130</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1164</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2165</v>
      </c>
      <c r="B3391" s="21" t="s">
        <v>1278</v>
      </c>
      <c r="C3391" s="21" t="s">
        <v>1075</v>
      </c>
      <c r="D3391" s="21" t="s">
        <v>1065</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909</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1073</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1074</v>
      </c>
      <c r="B3394" s="21" t="s">
        <v>1121</v>
      </c>
      <c r="C3394" s="21" t="s">
        <v>1071</v>
      </c>
      <c r="D3394" s="21" t="s">
        <v>1065</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1072</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1530</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1077</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1228</v>
      </c>
      <c r="B3398" s="21" t="s">
        <v>1118</v>
      </c>
      <c r="C3398" s="21" t="s">
        <v>1075</v>
      </c>
      <c r="D3398" s="21" t="s">
        <v>1065</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671</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2166</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1091</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2167</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195</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row>
    <row r="3405" spans="1:12">
      <c r="A3405" s="20" t="s">
        <v>1274</v>
      </c>
    </row>
    <row r="3406" spans="1:12">
      <c r="A3406" s="20" t="s">
        <v>1161</v>
      </c>
      <c r="B3406" s="21" t="s">
        <v>1063</v>
      </c>
      <c r="C3406" s="21" t="s">
        <v>1064</v>
      </c>
      <c r="D3406" s="21" t="s">
        <v>1065</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1067</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row>
    <row r="3409" spans="1:12">
      <c r="A3409" s="20" t="s">
        <v>2168</v>
      </c>
    </row>
    <row r="3410" spans="1:12">
      <c r="A3410" s="20" t="s">
        <v>1194</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671</v>
      </c>
      <c r="B3411" s="21" t="s">
        <v>1063</v>
      </c>
      <c r="C3411" s="21" t="s">
        <v>1151</v>
      </c>
      <c r="D3411" s="21" t="s">
        <v>1065</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2169</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1091</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1286</v>
      </c>
      <c r="B3414" s="21" t="s">
        <v>1123</v>
      </c>
      <c r="C3414" s="21" t="s">
        <v>1151</v>
      </c>
      <c r="D3414" s="21" t="s">
        <v>1065</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1464</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2170</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2171</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2172</v>
      </c>
      <c r="B3418" s="21" t="s">
        <v>1154</v>
      </c>
      <c r="C3418" s="21" t="s">
        <v>1071</v>
      </c>
      <c r="D3418" s="21" t="s">
        <v>1065</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1072</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1307</v>
      </c>
      <c r="B3420" s="21" t="s">
        <v>1097</v>
      </c>
      <c r="C3420" s="21" t="s">
        <v>1144</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195</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row>
    <row r="3423" spans="1:12">
      <c r="A3423" s="20" t="s">
        <v>2173</v>
      </c>
    </row>
    <row r="3424" spans="1:12">
      <c r="A3424" s="20" t="s">
        <v>2174</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1091</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1577</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2175</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2176</v>
      </c>
      <c r="B3428" s="21" t="s">
        <v>1123</v>
      </c>
      <c r="C3428" s="21" t="s">
        <v>1071</v>
      </c>
      <c r="D3428" s="21" t="s">
        <v>1065</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1072</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1284</v>
      </c>
      <c r="B3430" s="21" t="s">
        <v>1097</v>
      </c>
      <c r="C3430" s="21" t="s">
        <v>1131</v>
      </c>
      <c r="D3430" s="21" t="s">
        <v>1065</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2118</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1470</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2177</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2178</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1202</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1073</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1310</v>
      </c>
      <c r="B3437" s="21" t="s">
        <v>1080</v>
      </c>
      <c r="C3437" s="21" t="s">
        <v>1075</v>
      </c>
      <c r="D3437" s="21" t="s">
        <v>1065</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195</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row>
    <row r="3440" spans="1:12">
      <c r="A3440" s="20" t="s">
        <v>2179</v>
      </c>
    </row>
    <row r="3441" spans="1:12">
      <c r="A3441" s="20" t="s">
        <v>2180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2181</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1211</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2182</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1096</v>
      </c>
      <c r="B3445" s="21" t="s">
        <v>1084</v>
      </c>
      <c r="C3445" s="21" t="s">
        <v>1144</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1145</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row>
    <row r="3448" spans="1:12">
      <c r="A3448" s="20" t="s">
        <v>1191</v>
      </c>
    </row>
    <row r="3449" spans="1:12">
      <c r="A3449" s="20" t="s">
        <v>1192</v>
      </c>
      <c r="B3449" s="21" t="s">
        <v>1063</v>
      </c>
      <c r="C3449" s="21" t="s">
        <v>1064</v>
      </c>
      <c r="D3449" s="21" t="s">
        <v>1065</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1067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row>
    <row r="3452" spans="1:12">
      <c r="A3452" s="20" t="s">
        <v>2183</v>
      </c>
    </row>
    <row r="3453" spans="1:12">
      <c r="A3453" s="20" t="s">
        <v>1351</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1185</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2184</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1712</v>
      </c>
      <c r="B3456" s="21" t="s">
        <v>1080</v>
      </c>
      <c r="C3456" s="21" t="s">
        <v>1155</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2182</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1096</v>
      </c>
      <c r="B3458" s="21" t="s">
        <v>1150</v>
      </c>
      <c r="C3458" s="21" t="s">
        <v>1071</v>
      </c>
      <c r="D3458" s="21" t="s">
        <v>1065</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195</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row>
    <row r="3461" spans="1:12">
      <c r="A3461" s="20" t="s">
        <v>2185</v>
      </c>
    </row>
    <row r="3462" spans="1:12">
      <c r="A3462" s="20" t="s">
        <v>1264</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1561</v>
      </c>
      <c r="B3463" s="21" t="s">
        <v>1150</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1363</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1434</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2186</v>
      </c>
      <c r="B3466" s="21" t="s">
        <v>1084</v>
      </c>
      <c r="C3466" s="21" t="s">
        <v>1144</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1091</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1306</v>
      </c>
      <c r="B3468" s="21" t="s">
        <v>1123</v>
      </c>
      <c r="C3468" s="21" t="s">
        <v>1155</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1072</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1073</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2187</v>
      </c>
      <c r="B3471" s="21" t="s">
        <v>1097</v>
      </c>
      <c r="C3471" s="21" t="s">
        <v>1075</v>
      </c>
      <c r="D3471" s="21" t="s">
        <v>1065</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1375</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2188</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1342</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2189</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2190</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195</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row>
    <row r="3479" spans="1:12">
      <c r="A3479" s="20" t="s">
        <v>1274</v>
      </c>
    </row>
    <row r="3480" spans="1:12">
      <c r="A3480" s="20" t="s">
        <v>1161</v>
      </c>
      <c r="B3480" s="21" t="s">
        <v>1063</v>
      </c>
      <c r="C3480" s="21" t="s">
        <v>1064</v>
      </c>
      <c r="D3480" s="21" t="s">
        <v>1065</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1067</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row>
    <row r="3483" spans="1:12">
      <c r="A3483" s="20" t="s">
        <v>2191</v>
      </c>
    </row>
    <row r="3484" spans="1:12">
      <c r="A3484" s="20" t="s">
        <v>554</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1237</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1568</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2110</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2192</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1166</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1107</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1216</v>
      </c>
      <c r="B3491" s="21" t="s">
        <v>1154</v>
      </c>
      <c r="C3491" s="21" t="s">
        <v>1071</v>
      </c>
      <c r="D3491" s="21" t="s">
        <v>1065</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1085</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1215</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1500</v>
      </c>
      <c r="B3494" s="21" t="s">
        <v>1097</v>
      </c>
      <c r="C3494" s="21" t="s">
        <v>1098</v>
      </c>
      <c r="D3494" s="21" t="s">
        <v>1065</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1106</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1797</v>
      </c>
      <c r="B3496" s="21" t="s">
        <v>1114</v>
      </c>
      <c r="C3496" s="21" t="s">
        <v>1144</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195</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row>
    <row r="3499" spans="1:12">
      <c r="A3499" s="20" t="s">
        <v>2193</v>
      </c>
    </row>
    <row r="3500" spans="1:12">
      <c r="A3500" s="20" t="s">
        <v>554</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1088</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20</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1399</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2194</v>
      </c>
      <c r="B3504" s="21" t="s">
        <v>1154</v>
      </c>
      <c r="C3504" s="21" t="s">
        <v>1109</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1237</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195</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row>
    <row r="3508" spans="1:12">
      <c r="A3508" s="20" t="s">
        <v>2195</v>
      </c>
    </row>
    <row r="3509" spans="1:12">
      <c r="A3509" s="20" t="s">
        <v>1248</v>
      </c>
      <c r="B3509" s="21" t="s">
        <v>1150</v>
      </c>
      <c r="C3509" s="21" t="s">
        <v>1131</v>
      </c>
      <c r="D3509" s="21" t="s">
        <v>1065</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1214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1107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1900</v>
      </c>
      <c r="B3512" s="21" t="s">
        <v>1063</v>
      </c>
      <c r="C3512" s="21" t="s">
        <v>1109</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1091</v>
      </c>
      <c r="B3513" s="21" t="s">
        <v>1154</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1561</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1434</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1076</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1188</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1073</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2196</v>
      </c>
      <c r="B3519" s="21" t="s">
        <v>1080</v>
      </c>
      <c r="C3519" s="21" t="s">
        <v>1071</v>
      </c>
      <c r="D3519" s="21" t="s">
        <v>1065</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1072</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1204</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2197</v>
      </c>
      <c r="B3522" s="21" t="s">
        <v>1097</v>
      </c>
      <c r="C3522" s="21" t="s">
        <v>1075</v>
      </c>
      <c r="D3522" s="21" t="s">
        <v>1065</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2198</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1076</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1204</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1141</v>
      </c>
      <c r="B3526" s="21" t="s">
        <v>1097</v>
      </c>
      <c r="C3526" s="21" t="s">
        <v>1075</v>
      </c>
      <c r="D3526" s="21" t="s">
        <v>1065</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1375</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2199</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1091</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1558</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1916</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1106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1173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1174</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1175</v>
      </c>
      <c r="B3535" s="21" t="s">
        <v>1121</v>
      </c>
      <c r="C3535" s="21" t="s">
        <v>1075</v>
      </c>
      <c r="D3535" s="21" t="s">
        <v>1065</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195</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row>
    <row r="3538" spans="1:12">
      <c r="A3538" s="20" t="s">
        <v>1257</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2200</v>
      </c>
    </row>
    <row r="3540" spans="1:12">
      <c r="A3540" s="20" t="s">
        <v>2201</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2202</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1072</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1124</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1495</v>
      </c>
      <c r="B3544" s="21" t="s">
        <v>1063</v>
      </c>
      <c r="C3544" s="21" t="s">
        <v>1109</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1091</v>
      </c>
      <c r="B3545" s="21" t="s">
        <v>1092</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671</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1819</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1262</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2203</v>
      </c>
      <c r="B3549" s="21" t="s">
        <v>1097</v>
      </c>
      <c r="C3549" s="21" t="s">
        <v>1064</v>
      </c>
      <c r="D3549" s="21" t="s">
        <v>1065</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1076</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1262</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2204</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2205</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1211</v>
      </c>
      <c r="B3554" s="21" t="s">
        <v>1154</v>
      </c>
      <c r="C3554" s="21" t="s">
        <v>1151</v>
      </c>
      <c r="D3554" s="21" t="s">
        <v>1065</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1091</v>
      </c>
      <c r="B3555" s="21" t="s">
        <v>1278</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1827</v>
      </c>
      <c r="B3556" s="21" t="s">
        <v>1130</v>
      </c>
      <c r="C3556" s="21" t="s">
        <v>1140</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1214</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1145</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row>
    <row r="3560" spans="1:12">
      <c r="A3560" s="20" t="s">
        <v>2206</v>
      </c>
    </row>
    <row r="3561" spans="1:12">
      <c r="A3561" s="20" t="s">
        <v>1192</v>
      </c>
      <c r="B3561" s="21" t="s">
        <v>1150</v>
      </c>
      <c r="C3561" s="21" t="s">
        <v>1064</v>
      </c>
      <c r="D3561" s="21" t="s">
        <v>1065</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1067</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2207</v>
      </c>
      <c r="B3563" s="21" t="s">
        <v>1080</v>
      </c>
      <c r="C3563" s="21" t="s">
        <v>1064</v>
      </c>
      <c r="D3563" s="21" t="s">
        <v>1065</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1076</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2203</v>
      </c>
      <c r="B3565" s="21" t="s">
        <v>1080</v>
      </c>
      <c r="C3565" s="21" t="s">
        <v>1064</v>
      </c>
      <c r="D3565" s="21" t="s">
        <v>1065</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1076</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909</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1237</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2208</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1072</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2209</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2210</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1089</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1554</v>
      </c>
      <c r="B3574" s="21" t="s">
        <v>1130</v>
      </c>
      <c r="C3574" s="21" t="s">
        <v>1064</v>
      </c>
      <c r="D3574" s="21" t="s">
        <v>1065</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1188</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1077</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1117</v>
      </c>
      <c r="B3577" s="21" t="s">
        <v>1121</v>
      </c>
      <c r="C3577" s="21" t="s">
        <v>1119</v>
      </c>
      <c r="D3577" s="21" t="s">
        <v>1065</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2211</v>
      </c>
      <c r="B3578" s="21" t="s">
        <v>1114</v>
      </c>
      <c r="C3578" s="21" t="s">
        <v>1075</v>
      </c>
      <c r="D3578" s="21" t="s">
        <v>1065</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1076</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1214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1124</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1495</v>
      </c>
      <c r="B3582" s="21" t="s">
        <v>1063</v>
      </c>
      <c r="C3582" s="21" t="s">
        <v>1109</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1091</v>
      </c>
      <c r="B3583" s="21" t="s">
        <v>1123</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2212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1077</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1832</v>
      </c>
      <c r="B3586" s="21" t="s">
        <v>1063</v>
      </c>
      <c r="C3586" s="21" t="s">
        <v>1075</v>
      </c>
      <c r="D3586" s="21" t="s">
        <v>1065</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1088</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1107</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2213</v>
      </c>
      <c r="B3589" s="21" t="s">
        <v>1080</v>
      </c>
      <c r="C3589" s="21" t="s">
        <v>1071</v>
      </c>
      <c r="D3589" s="21" t="s">
        <v>1065</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1072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1204</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2214</v>
      </c>
      <c r="B3592" s="21" t="s">
        <v>1097</v>
      </c>
      <c r="C3592" s="21" t="s">
        <v>1075</v>
      </c>
      <c r="D3592" s="21" t="s">
        <v>1065</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2215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195</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row>
    <row r="3596" spans="1:12">
      <c r="A3596" s="20" t="s">
        <v>2216</v>
      </c>
    </row>
    <row r="3597" spans="1:12">
      <c r="A3597" s="20" t="s">
        <v>1618</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2217</v>
      </c>
      <c r="B3598" s="21" t="s">
        <v>1150</v>
      </c>
      <c r="C3598" s="21" t="s">
        <v>1075</v>
      </c>
      <c r="D3598" s="21" t="s">
        <v>1065</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2218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671</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1819</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2219</v>
      </c>
      <c r="B3602" s="21" t="s">
        <v>1063</v>
      </c>
      <c r="C3602" s="21" t="s">
        <v>1064</v>
      </c>
      <c r="D3602" s="21" t="s">
        <v>1065</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1076</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1091</v>
      </c>
      <c r="B3604" s="21" t="s">
        <v>1092</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1214</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1107</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2213</v>
      </c>
      <c r="B3607" s="21" t="s">
        <v>1080</v>
      </c>
      <c r="C3607" s="21" t="s">
        <v>1071</v>
      </c>
      <c r="D3607" s="21" t="s">
        <v>1065</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1072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1204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2133</v>
      </c>
      <c r="B3610" s="21" t="s">
        <v>1097</v>
      </c>
      <c r="C3610" s="21" t="s">
        <v>1071</v>
      </c>
      <c r="D3610" s="21" t="s">
        <v>1065</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2220</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1072</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1077</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2221</v>
      </c>
      <c r="B3614" s="21" t="s">
        <v>1114</v>
      </c>
      <c r="C3614" s="21" t="s">
        <v>1064</v>
      </c>
      <c r="D3614" s="21" t="s">
        <v>1065</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2222</v>
      </c>
      <c r="B3615" s="21" t="s">
        <v>1121</v>
      </c>
      <c r="C3615" s="21" t="s">
        <v>1064</v>
      </c>
      <c r="D3615" s="21" t="s">
        <v>1065</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195</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row>
    <row r="3618" spans="1:12">
      <c r="A3618" s="20" t="s">
        <v>2223</v>
      </c>
    </row>
    <row r="3619" spans="1:12">
      <c r="A3619" s="20" t="s">
        <v>1502</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1424</v>
      </c>
      <c r="B3620" s="21" t="s">
        <v>1150</v>
      </c>
      <c r="C3620" s="21" t="s">
        <v>1075</v>
      </c>
      <c r="D3620" s="21" t="s">
        <v>1065</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1188</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1393</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1178</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1198</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1832</v>
      </c>
      <c r="B3625" s="21" t="s">
        <v>1126</v>
      </c>
      <c r="C3625" s="21" t="s">
        <v>1098</v>
      </c>
      <c r="D3625" s="21" t="s">
        <v>1065</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1214</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1568</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2224</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1088</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1204</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1443</v>
      </c>
      <c r="B3631" s="21" t="s">
        <v>1080</v>
      </c>
      <c r="C3631" s="21" t="s">
        <v>1119</v>
      </c>
      <c r="D3631" s="21" t="s">
        <v>1065</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2225</v>
      </c>
      <c r="B3632" s="21" t="s">
        <v>1063</v>
      </c>
      <c r="C3632" s="21" t="s">
        <v>1075</v>
      </c>
      <c r="D3632" s="21" t="s">
        <v>1065</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195</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row>
    <row r="3635" spans="1:12">
      <c r="A3635" s="20" t="s">
        <v>2226</v>
      </c>
    </row>
    <row r="3636" spans="1:12">
      <c r="A3636" s="20" t="s">
        <v>1575</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1368</v>
      </c>
      <c r="B3637" s="21" t="s">
        <v>1063</v>
      </c>
      <c r="C3637" s="21" t="s">
        <v>1071</v>
      </c>
      <c r="D3637" s="21" t="s">
        <v>1065</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1546</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1073</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1357</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1089</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1554</v>
      </c>
      <c r="B3642" s="21" t="s">
        <v>1150</v>
      </c>
      <c r="C3642" s="21" t="s">
        <v>1064</v>
      </c>
      <c r="D3642" s="21" t="s">
        <v>1065</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2227</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2228</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1164</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1549</v>
      </c>
      <c r="B3646" s="21" t="s">
        <v>1063</v>
      </c>
      <c r="C3646" s="21" t="s">
        <v>1075</v>
      </c>
      <c r="D3646" s="21" t="s">
        <v>1065</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2229</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195</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row>
    <row r="3650" spans="1:12">
      <c r="A3650" s="20" t="s">
        <v>2230</v>
      </c>
    </row>
    <row r="3651" spans="1:12">
      <c r="A3651" s="20" t="s">
        <v>2231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1088</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1164</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1549</v>
      </c>
      <c r="B3654" s="21" t="s">
        <v>1063</v>
      </c>
      <c r="C3654" s="21" t="s">
        <v>1075</v>
      </c>
      <c r="D3654" s="21" t="s">
        <v>1065</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2229</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1091</v>
      </c>
      <c r="B3656" s="21" t="s">
        <v>1092</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671</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2202</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1072</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2162</v>
      </c>
      <c r="B3660" s="21" t="s">
        <v>1097</v>
      </c>
      <c r="C3660" s="21" t="s">
        <v>1071</v>
      </c>
      <c r="D3660" s="21" t="s">
        <v>1065</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1072</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1445</v>
      </c>
      <c r="B3662" s="21" t="s">
        <v>1114</v>
      </c>
      <c r="C3662" s="21" t="s">
        <v>1144</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195</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row>
    <row r="3665" spans="1:12">
      <c r="A3665" s="20" t="s">
        <v>2232</v>
      </c>
    </row>
    <row r="3666" spans="1:12">
      <c r="A3666" s="20" t="s">
        <v>2231</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1334</v>
      </c>
      <c r="B3667" s="21" t="s">
        <v>1154</v>
      </c>
      <c r="C3667" s="21" t="s">
        <v>1144</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1240</v>
      </c>
      <c r="B3668" s="21" t="s">
        <v>1123</v>
      </c>
      <c r="C3668" s="21" t="s">
        <v>1144</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1076</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2233</v>
      </c>
      <c r="B3670" s="21" t="s">
        <v>1097</v>
      </c>
      <c r="C3670" s="21" t="s">
        <v>1144</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1076</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1253</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1756</v>
      </c>
      <c r="B3673" s="21" t="s">
        <v>1154</v>
      </c>
      <c r="C3673" s="21" t="s">
        <v>1071</v>
      </c>
      <c r="D3673" s="21" t="s">
        <v>1065</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1072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1204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2234</v>
      </c>
      <c r="B3676" s="21" t="s">
        <v>1114</v>
      </c>
      <c r="C3676" s="21" t="s">
        <v>1119</v>
      </c>
      <c r="D3676" s="21" t="s">
        <v>1065</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2235</v>
      </c>
      <c r="B3677" s="21" t="s">
        <v>1097</v>
      </c>
      <c r="C3677" s="21" t="s">
        <v>1075</v>
      </c>
      <c r="D3677" s="21" t="s">
        <v>1065</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1188</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1759</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1073</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2236</v>
      </c>
      <c r="B3681" s="21" t="s">
        <v>1118</v>
      </c>
      <c r="C3681" s="21" t="s">
        <v>1119</v>
      </c>
      <c r="D3681" s="21" t="s">
        <v>1065</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1302</v>
      </c>
      <c r="B3682" s="21" t="s">
        <v>1480</v>
      </c>
      <c r="C3682" s="21" t="s">
        <v>1075</v>
      </c>
      <c r="D3682" s="21" t="s">
        <v>1065</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1076</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1429</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1106</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1143</v>
      </c>
      <c r="B3686" s="21" t="s">
        <v>1097</v>
      </c>
      <c r="C3686" s="21" t="s">
        <v>1144</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2237</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1478</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2238</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2239</v>
      </c>
      <c r="B3690" s="21" t="s">
        <v>1126</v>
      </c>
      <c r="C3690" s="21" t="s">
        <v>1144</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1088</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1557</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1549</v>
      </c>
      <c r="B3693" s="21" t="s">
        <v>1097</v>
      </c>
      <c r="C3693" s="21" t="s">
        <v>1098</v>
      </c>
      <c r="D3693" s="21" t="s">
        <v>1065</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1088</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1077</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2102</v>
      </c>
      <c r="B3696" s="21" t="s">
        <v>1114</v>
      </c>
      <c r="C3696" s="21" t="s">
        <v>1075</v>
      </c>
      <c r="D3696" s="21" t="s">
        <v>1065</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1072</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2240</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1204</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1445</v>
      </c>
      <c r="B3700" s="21" t="s">
        <v>1135</v>
      </c>
      <c r="C3700" s="21" t="s">
        <v>1071</v>
      </c>
      <c r="D3700" s="21" t="s">
        <v>1065</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1072</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1073</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1301</v>
      </c>
      <c r="B3703" s="21" t="s">
        <v>1438</v>
      </c>
      <c r="C3703" s="21" t="s">
        <v>1119</v>
      </c>
      <c r="D3703" s="21" t="s">
        <v>1065</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1649</v>
      </c>
      <c r="B3704" s="21" t="s">
        <v>1528</v>
      </c>
      <c r="C3704" s="21" t="s">
        <v>1075</v>
      </c>
      <c r="D3704" s="21" t="s">
        <v>1065</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195</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row>
    <row r="3707" spans="1:12">
      <c r="A3707" s="20" t="s">
        <v>2241</v>
      </c>
    </row>
    <row r="3708" spans="1:12">
      <c r="A3708" s="20" t="s">
        <v>2242</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1072</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1164</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2243</v>
      </c>
      <c r="B3711" s="21" t="s">
        <v>1063</v>
      </c>
      <c r="C3711" s="21" t="s">
        <v>1071</v>
      </c>
      <c r="D3711" s="21" t="s">
        <v>1065</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1072</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128</v>
      </c>
      <c r="B3713" s="21" t="s">
        <v>1080</v>
      </c>
      <c r="C3713" s="21" t="s">
        <v>1144</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1213</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2244</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1091</v>
      </c>
      <c r="B3716" s="21" t="s">
        <v>1278</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1213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1577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2245</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146</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2246</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1111</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1089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1554</v>
      </c>
      <c r="B3724" s="21" t="s">
        <v>1114</v>
      </c>
      <c r="C3724" s="21" t="s">
        <v>1064</v>
      </c>
      <c r="D3724" s="21" t="s">
        <v>1065</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1076</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1429</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1091</v>
      </c>
      <c r="B3727" s="21" t="s">
        <v>1480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2057</v>
      </c>
      <c r="B3728" s="21" t="s">
        <v>1354</v>
      </c>
      <c r="C3728" s="21" t="s">
        <v>1155</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1712</v>
      </c>
      <c r="B3729" s="21" t="s">
        <v>1359</v>
      </c>
      <c r="C3729" s="21" t="s">
        <v>1155</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1464</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1256</v>
      </c>
      <c r="B3731" s="21" t="s">
        <v>1484</v>
      </c>
      <c r="C3731" s="21" t="s">
        <v>1144</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909</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2247</v>
      </c>
      <c r="B3733" s="21" t="s">
        <v>1438</v>
      </c>
      <c r="C3733" s="21" t="s">
        <v>1144</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1111</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2248</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1188</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2249</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1164</v>
      </c>
      <c r="B3738" s="21" t="s">
        <v>1446</v>
      </c>
      <c r="C3738" s="21" t="s">
        <v>1151</v>
      </c>
      <c r="D3738" s="21" t="s">
        <v>1065</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1076</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1787</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107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1188</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2250</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1088</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1164</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1852</v>
      </c>
      <c r="B3746" s="21" t="s">
        <v>1118</v>
      </c>
      <c r="C3746" s="21" t="s">
        <v>1075</v>
      </c>
      <c r="D3746" s="21" t="s">
        <v>1065</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2251</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195</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row>
    <row r="3750" spans="1:12">
      <c r="A3750" s="20" t="s">
        <v>2252</v>
      </c>
    </row>
    <row r="3751" spans="1:12">
      <c r="A3751" s="20" t="s">
        <v>1385</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1198</v>
      </c>
      <c r="B3752" s="21" t="s">
        <v>1150</v>
      </c>
      <c r="C3752" s="21" t="s">
        <v>1131</v>
      </c>
      <c r="D3752" s="21" t="s">
        <v>1065</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1214</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1236</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2253</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1568</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1415</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2254</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1346</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1124</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1577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2255</v>
      </c>
      <c r="B3762" s="21" t="s">
        <v>1126</v>
      </c>
      <c r="C3762" s="21" t="s">
        <v>1109</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1076</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1415</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1213</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2256</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2004</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1211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1072</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1334</v>
      </c>
      <c r="B3770" s="21" t="s">
        <v>1097</v>
      </c>
      <c r="C3770" s="21" t="s">
        <v>1144</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1272</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1089</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1762</v>
      </c>
      <c r="B3773" s="21" t="s">
        <v>1097</v>
      </c>
      <c r="C3773" s="21" t="s">
        <v>1064</v>
      </c>
      <c r="D3773" s="21" t="s">
        <v>1065</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1076</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1091</v>
      </c>
      <c r="B3775" s="21" t="s">
        <v>1278</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1688</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2257</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1485</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1072</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2258</v>
      </c>
      <c r="B3780" s="21" t="s">
        <v>1114</v>
      </c>
      <c r="C3780" s="21" t="s">
        <v>1144</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1111</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1077</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1495</v>
      </c>
      <c r="B3783" s="21" t="s">
        <v>1114</v>
      </c>
      <c r="C3783" s="21" t="s">
        <v>1071</v>
      </c>
      <c r="D3783" s="21" t="s">
        <v>1065</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2203</v>
      </c>
      <c r="B3784" s="21" t="s">
        <v>1121</v>
      </c>
      <c r="C3784" s="21" t="s">
        <v>1064</v>
      </c>
      <c r="D3784" s="21" t="s">
        <v>1065</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1076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2259</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1106</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1124</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1228</v>
      </c>
      <c r="B3789" s="21" t="s">
        <v>1080</v>
      </c>
      <c r="C3789" s="21" t="s">
        <v>1109</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1678</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2140</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1106</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1466</v>
      </c>
      <c r="B3793" s="21" t="s">
        <v>1114</v>
      </c>
      <c r="C3793" s="21" t="s">
        <v>1144</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195</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row>
    <row r="3796" spans="1:12">
      <c r="A3796" s="20" t="s">
        <v>2260</v>
      </c>
    </row>
    <row r="3797" spans="1:12">
      <c r="A3797" s="20" t="s">
        <v>1264</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2261</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1106</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2262</v>
      </c>
      <c r="B3800" s="21" t="s">
        <v>1063</v>
      </c>
      <c r="C3800" s="21" t="s">
        <v>1267</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1072</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2250</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1088</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1073</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1366</v>
      </c>
      <c r="B3805" s="21" t="s">
        <v>1097</v>
      </c>
      <c r="C3805" s="21" t="s">
        <v>1119</v>
      </c>
      <c r="D3805" s="21" t="s">
        <v>1065</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2263</v>
      </c>
      <c r="B3806" s="21" t="s">
        <v>1080</v>
      </c>
      <c r="C3806" s="21" t="s">
        <v>1075</v>
      </c>
      <c r="D3806" s="21" t="s">
        <v>1065</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2030</v>
      </c>
      <c r="B3807" s="21" t="s">
        <v>1154</v>
      </c>
      <c r="C3807" s="21" t="s">
        <v>1144</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909</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1088</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1073</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2264</v>
      </c>
      <c r="B3811" s="21" t="s">
        <v>1097</v>
      </c>
      <c r="C3811" s="21" t="s">
        <v>1075</v>
      </c>
      <c r="D3811" s="21" t="s">
        <v>1065</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1072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909</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11</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2265</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1442</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2266</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2267</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1091</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1273</v>
      </c>
      <c r="B3820" s="21" t="s">
        <v>1359</v>
      </c>
      <c r="C3820" s="21" t="s">
        <v>1155</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2268</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2269</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1095</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1852</v>
      </c>
      <c r="B3824" s="21" t="s">
        <v>1484</v>
      </c>
      <c r="C3824" s="21" t="s">
        <v>1098</v>
      </c>
      <c r="D3824" s="21" t="s">
        <v>1065</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2033</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2270</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1164</v>
      </c>
      <c r="B3827" s="21" t="s">
        <v>1436</v>
      </c>
      <c r="C3827" s="21" t="s">
        <v>1151</v>
      </c>
      <c r="D3827" s="21" t="s">
        <v>1065</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1188</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2271</v>
      </c>
      <c r="B3829" s="21" t="s">
        <v>1438</v>
      </c>
      <c r="C3829" s="21" t="s">
        <v>1115</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2272</v>
      </c>
      <c r="B3830" s="21" t="s">
        <v>1441</v>
      </c>
      <c r="C3830" s="21" t="s">
        <v>1119</v>
      </c>
      <c r="D3830" s="21" t="s">
        <v>1065</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195</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row>
    <row r="3833" spans="1:12">
      <c r="A3833" s="20" t="s">
        <v>1274</v>
      </c>
    </row>
    <row r="3834" spans="1:12">
      <c r="A3834" s="20" t="s">
        <v>1161</v>
      </c>
      <c r="B3834" s="21" t="s">
        <v>1063</v>
      </c>
      <c r="C3834" s="21" t="s">
        <v>1064</v>
      </c>
      <c r="D3834" s="21" t="s">
        <v>1065</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1067</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row>
    <row r="3837" spans="1:12">
      <c r="A3837" s="20" t="s">
        <v>2273</v>
      </c>
    </row>
    <row r="3838" spans="1:12">
      <c r="A3838" s="20" t="s">
        <v>1385</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1095</v>
      </c>
      <c r="B3839" s="21" t="s">
        <v>1080</v>
      </c>
      <c r="C3839" s="21" t="s">
        <v>1131</v>
      </c>
      <c r="D3839" s="21" t="s">
        <v>1065</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1686</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1353</v>
      </c>
      <c r="B3841" s="21" t="s">
        <v>1150</v>
      </c>
      <c r="C3841" s="21" t="s">
        <v>1098</v>
      </c>
      <c r="D3841" s="21" t="s">
        <v>1065</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1076</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2274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2275</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1089</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1854</v>
      </c>
      <c r="B3846" s="21" t="s">
        <v>1084</v>
      </c>
      <c r="C3846" s="21" t="s">
        <v>1064</v>
      </c>
      <c r="D3846" s="21" t="s">
        <v>1065</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1088</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1173</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2276</v>
      </c>
      <c r="B3849" s="21" t="s">
        <v>1063</v>
      </c>
      <c r="C3849" s="21" t="s">
        <v>1075</v>
      </c>
      <c r="D3849" s="21" t="s">
        <v>1065</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2277</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2278</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1111</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2182</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2279</v>
      </c>
      <c r="B3854" s="21" t="s">
        <v>1097</v>
      </c>
      <c r="C3854" s="21" t="s">
        <v>1144</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1145</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row>
    <row r="3857" spans="1:12">
      <c r="A3857" s="20" t="s">
        <v>1191</v>
      </c>
    </row>
    <row r="3858" spans="1:12">
      <c r="A3858" s="20" t="s">
        <v>1192</v>
      </c>
      <c r="B3858" s="21" t="s">
        <v>1063</v>
      </c>
      <c r="C3858" s="21" t="s">
        <v>1064</v>
      </c>
      <c r="D3858" s="21" t="s">
        <v>1065</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1067</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row>
    <row r="3861" spans="1:12">
      <c r="A3861" s="20" t="s">
        <v>2280</v>
      </c>
    </row>
    <row r="3862" spans="1:12">
      <c r="A3862" s="20" t="s">
        <v>2281</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608</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195</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row>
    <row r="3866" spans="1:12">
      <c r="A3866" s="20" t="s">
        <v>2282</v>
      </c>
    </row>
    <row r="3867" spans="1:12">
      <c r="A3867" s="20" t="s">
        <v>2283</v>
      </c>
      <c r="B3867" s="21" t="s">
        <v>1150</v>
      </c>
      <c r="C3867" s="21" t="s">
        <v>1155</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1072</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1073</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1238</v>
      </c>
      <c r="B3870" s="21" t="s">
        <v>1080</v>
      </c>
      <c r="C3870" s="21" t="s">
        <v>1075</v>
      </c>
      <c r="D3870" s="21" t="s">
        <v>1065</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1076</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1107</v>
      </c>
      <c r="B3872" s="21" t="s">
        <v>1150</v>
      </c>
      <c r="C3872" s="21" t="s">
        <v>1155</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1072</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1164</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2284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2285</v>
      </c>
      <c r="B3876" s="21" t="s">
        <v>1080</v>
      </c>
      <c r="C3876" s="21" t="s">
        <v>1071</v>
      </c>
      <c r="D3876" s="21" t="s">
        <v>1065</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1072</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1089</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1361</v>
      </c>
      <c r="B3879" s="21" t="s">
        <v>1097</v>
      </c>
      <c r="C3879" s="21" t="s">
        <v>1071</v>
      </c>
      <c r="D3879" s="21" t="s">
        <v>1065</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1711</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50</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2286</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1214</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1077</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1564</v>
      </c>
      <c r="B3885" s="21" t="s">
        <v>1063</v>
      </c>
      <c r="C3885" s="21" t="s">
        <v>1075</v>
      </c>
      <c r="D3885" s="21" t="s">
        <v>1065</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1091</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1089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1554</v>
      </c>
      <c r="B3888" s="21" t="s">
        <v>1123</v>
      </c>
      <c r="C3888" s="21" t="s">
        <v>1064</v>
      </c>
      <c r="D3888" s="21" t="s">
        <v>1065</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1319</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2287</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2288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2289</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2290</v>
      </c>
      <c r="B3893" s="21" t="s">
        <v>1154</v>
      </c>
      <c r="C3893" s="21" t="s">
        <v>1267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195</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row>
    <row r="3896" spans="1:12">
      <c r="A3896" s="20" t="s">
        <v>2291</v>
      </c>
    </row>
    <row r="3897" spans="1:12">
      <c r="A3897" s="20" t="s">
        <v>1575</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1470</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2292</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1072</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2293</v>
      </c>
      <c r="B3901" s="21" t="s">
        <v>1063</v>
      </c>
      <c r="C3901" s="21" t="s">
        <v>1144</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2294</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1076</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2295</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2296</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1076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1429</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1346</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1072</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2293</v>
      </c>
      <c r="B3910" s="21" t="s">
        <v>1063</v>
      </c>
      <c r="C3910" s="21" t="s">
        <v>1071</v>
      </c>
      <c r="D3910" s="21" t="s">
        <v>1065</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1072</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2297</v>
      </c>
      <c r="B3912" s="21" t="s">
        <v>1080</v>
      </c>
      <c r="C3912" s="21" t="s">
        <v>1144</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1076</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909</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1188</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2298</v>
      </c>
      <c r="B3916" s="21" t="s">
        <v>1097</v>
      </c>
      <c r="C3916" s="21" t="s">
        <v>1144</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1178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2129</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1773</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1204</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2299</v>
      </c>
      <c r="B3921" s="21" t="s">
        <v>1126</v>
      </c>
      <c r="C3921" s="21" t="s">
        <v>1071</v>
      </c>
      <c r="D3921" s="21" t="s">
        <v>1065</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1088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1204</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2297</v>
      </c>
      <c r="B3924" s="21" t="s">
        <v>1114</v>
      </c>
      <c r="C3924" s="21" t="s">
        <v>1075</v>
      </c>
      <c r="D3924" s="21" t="s">
        <v>1065</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1085</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1204</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2300</v>
      </c>
      <c r="B3927" s="21" t="s">
        <v>1114</v>
      </c>
      <c r="C3927" s="21" t="s">
        <v>1071</v>
      </c>
      <c r="D3927" s="21" t="s">
        <v>1065</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1072</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1077</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2301</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2302</v>
      </c>
      <c r="B3931" s="21" t="s">
        <v>1121</v>
      </c>
      <c r="C3931" s="21" t="s">
        <v>1075</v>
      </c>
      <c r="D3931" s="21" t="s">
        <v>1065</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1091</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1073</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1595</v>
      </c>
      <c r="B3934" s="21" t="s">
        <v>1132</v>
      </c>
      <c r="C3934" s="21" t="s">
        <v>1075</v>
      </c>
      <c r="D3934" s="21" t="s">
        <v>1065</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1892</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1178</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1124</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2303</v>
      </c>
      <c r="B3938" s="21" t="s">
        <v>1135</v>
      </c>
      <c r="C3938" s="21" t="s">
        <v>1109</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1893</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195</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row>
    <row r="3942" spans="1:12">
      <c r="A3942" s="20" t="s">
        <v>2304</v>
      </c>
    </row>
    <row r="3943" spans="1:12">
      <c r="A3943" s="20" t="s">
        <v>1225</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2305</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1077</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1299</v>
      </c>
      <c r="B3946" s="21" t="s">
        <v>1154</v>
      </c>
      <c r="C3946" s="21" t="s">
        <v>1071</v>
      </c>
      <c r="D3946" s="21" t="s">
        <v>1065</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2306</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1072</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1399</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520</v>
      </c>
      <c r="B3950" s="21" t="s">
        <v>1097</v>
      </c>
      <c r="C3950" s="21" t="s">
        <v>1109</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2307</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909</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2308</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1073</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2309</v>
      </c>
      <c r="B3955" s="21" t="s">
        <v>1114</v>
      </c>
      <c r="C3955" s="21" t="s">
        <v>1119</v>
      </c>
      <c r="D3955" s="21" t="s">
        <v>1065</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1595</v>
      </c>
      <c r="B3956" s="21" t="s">
        <v>1126</v>
      </c>
      <c r="C3956" s="21" t="s">
        <v>1075</v>
      </c>
      <c r="D3956" s="21" t="s">
        <v>1065</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1076</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2033</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1415</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1339</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2310</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1106</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1124</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2311</v>
      </c>
      <c r="B3964" s="21" t="s">
        <v>1097</v>
      </c>
      <c r="C3964" s="21" t="s">
        <v>1071</v>
      </c>
      <c r="D3964" s="21" t="s">
        <v>1065</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1072</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1077</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1241</v>
      </c>
      <c r="B3967" s="21" t="s">
        <v>1114</v>
      </c>
      <c r="C3967" s="21" t="s">
        <v>1075</v>
      </c>
      <c r="D3967" s="21" t="s">
        <v>1065</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1088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2312</v>
      </c>
      <c r="B3969" s="21" t="s">
        <v>1097</v>
      </c>
      <c r="C3969" s="21" t="s">
        <v>1064</v>
      </c>
      <c r="D3969" s="21" t="s">
        <v>1065</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1076</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1319</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1678</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2303</v>
      </c>
      <c r="B3973" s="21" t="s">
        <v>1084</v>
      </c>
      <c r="C3973" s="21" t="s">
        <v>1144</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1076</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1088</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1173</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2038</v>
      </c>
      <c r="B3977" s="21" t="s">
        <v>1063</v>
      </c>
      <c r="C3977" s="21" t="s">
        <v>1071</v>
      </c>
      <c r="D3977" s="21" t="s">
        <v>1065</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1072</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1077</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1452</v>
      </c>
      <c r="B3980" s="21" t="s">
        <v>1080</v>
      </c>
      <c r="C3980" s="21" t="s">
        <v>1075</v>
      </c>
      <c r="D3980" s="21" t="s">
        <v>1065</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1453</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1076</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1091</v>
      </c>
      <c r="B3983" s="21" t="s">
        <v>1278</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1213</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141</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1106</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1207</v>
      </c>
      <c r="B3987" s="21" t="s">
        <v>1114</v>
      </c>
      <c r="C3987" s="21" t="s">
        <v>1144</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1091</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1073</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1653</v>
      </c>
      <c r="B3990" s="21" t="s">
        <v>1354</v>
      </c>
      <c r="C3990" s="21" t="s">
        <v>1075</v>
      </c>
      <c r="D3990" s="21" t="s">
        <v>1065</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1213</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2268</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51</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128</v>
      </c>
      <c r="B3994" s="21" t="s">
        <v>1480</v>
      </c>
      <c r="C3994" s="21" t="s">
        <v>1144</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1088</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1073</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1366</v>
      </c>
      <c r="B3997" s="21" t="s">
        <v>1118</v>
      </c>
      <c r="C3997" s="21" t="s">
        <v>1119</v>
      </c>
      <c r="D3997" s="21" t="s">
        <v>1065</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1595</v>
      </c>
      <c r="B3998" s="21" t="s">
        <v>1121</v>
      </c>
      <c r="C3998" s="21" t="s">
        <v>1075</v>
      </c>
      <c r="D3998" s="21" t="s">
        <v>1065</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195</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row>
    <row r="4001" spans="1:12">
      <c r="A4001" s="20" t="s">
        <v>2313</v>
      </c>
    </row>
    <row r="4002" spans="1:12">
      <c r="A4002" s="20" t="s">
        <v>1722</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1076</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1381</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1204</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1445</v>
      </c>
      <c r="B4006" s="21" t="s">
        <v>1154</v>
      </c>
      <c r="C4006" s="21" t="s">
        <v>1071</v>
      </c>
      <c r="D4006" s="21" t="s">
        <v>1065</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1072</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1164</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1730</v>
      </c>
      <c r="B4009" s="21" t="s">
        <v>1114</v>
      </c>
      <c r="C4009" s="21" t="s">
        <v>1119</v>
      </c>
      <c r="D4009" s="21" t="s">
        <v>1065</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1852</v>
      </c>
      <c r="B4010" s="21" t="s">
        <v>1097</v>
      </c>
      <c r="C4010" s="21" t="s">
        <v>1075</v>
      </c>
      <c r="D4010" s="21" t="s">
        <v>1065</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1076</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1213</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1577</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2314</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2315</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1088</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1406</v>
      </c>
      <c r="B4017" s="21" t="s">
        <v>1063</v>
      </c>
      <c r="C4017" s="21" t="s">
        <v>1144</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1077</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1228</v>
      </c>
      <c r="B4019" s="21" t="s">
        <v>1084</v>
      </c>
      <c r="C4019" s="21" t="s">
        <v>1075</v>
      </c>
      <c r="D4019" s="21" t="s">
        <v>1065</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1076</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1429</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2314</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2315</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1088</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1406</v>
      </c>
      <c r="B4025" s="21" t="s">
        <v>1080</v>
      </c>
      <c r="C4025" s="21" t="s">
        <v>1144</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1089</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1854</v>
      </c>
      <c r="B4027" s="21" t="s">
        <v>1154</v>
      </c>
      <c r="C4027" s="21" t="s">
        <v>1064</v>
      </c>
      <c r="D4027" s="21" t="s">
        <v>1065</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1106</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1207</v>
      </c>
      <c r="B4029" s="21" t="s">
        <v>1080</v>
      </c>
      <c r="C4029" s="21" t="s">
        <v>1144</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2316</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1568</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1204</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2317</v>
      </c>
      <c r="B4033" s="21" t="s">
        <v>1092</v>
      </c>
      <c r="C4033" s="21" t="s">
        <v>1075</v>
      </c>
      <c r="D4033" s="21" t="s">
        <v>1065</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2318</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1214</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1204</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2300</v>
      </c>
      <c r="B4037" s="21" t="s">
        <v>1080</v>
      </c>
      <c r="C4037" s="21" t="s">
        <v>1071</v>
      </c>
      <c r="D4037" s="21" t="s">
        <v>1065</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1076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1077</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2319</v>
      </c>
      <c r="B4040" s="21" t="s">
        <v>1097</v>
      </c>
      <c r="C4040" s="21" t="s">
        <v>1071</v>
      </c>
      <c r="D4040" s="21" t="s">
        <v>1065</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1072</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1204</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1443</v>
      </c>
      <c r="B4043" s="21" t="s">
        <v>1121</v>
      </c>
      <c r="C4043" s="21" t="s">
        <v>1119</v>
      </c>
      <c r="D4043" s="21" t="s">
        <v>1065</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2146</v>
      </c>
      <c r="B4044" s="21" t="s">
        <v>1114</v>
      </c>
      <c r="C4044" s="21" t="s">
        <v>1075</v>
      </c>
      <c r="D4044" s="21" t="s">
        <v>1065</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1076</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909</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1415</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2320</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1088</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1406</v>
      </c>
      <c r="B4050" s="21" t="s">
        <v>1114</v>
      </c>
      <c r="C4050" s="21" t="s">
        <v>1144</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1198</v>
      </c>
      <c r="B4051" s="21" t="s">
        <v>1130</v>
      </c>
      <c r="C4051" s="21" t="s">
        <v>1131</v>
      </c>
      <c r="D4051" s="21" t="s">
        <v>1065</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1188</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2321</v>
      </c>
      <c r="B4053" s="21" t="s">
        <v>1121</v>
      </c>
      <c r="C4053" s="21" t="s">
        <v>1071</v>
      </c>
      <c r="D4053" s="21" t="s">
        <v>1065</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1072</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1445</v>
      </c>
      <c r="B4055" s="21" t="s">
        <v>1118</v>
      </c>
      <c r="C4055" s="21" t="s">
        <v>1144</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1076</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1064</v>
      </c>
      <c r="B4057" s="21" t="s">
        <v>1436</v>
      </c>
      <c r="C4057" s="21" t="s">
        <v>1151</v>
      </c>
      <c r="D4057" s="21" t="s">
        <v>1065</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2322</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1164</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2323</v>
      </c>
      <c r="B4060" s="21" t="s">
        <v>1436</v>
      </c>
      <c r="C4060" s="21" t="s">
        <v>1071</v>
      </c>
      <c r="D4060" s="21" t="s">
        <v>1065</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1188</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1327</v>
      </c>
      <c r="B4062" s="21" t="s">
        <v>1441</v>
      </c>
      <c r="C4062" s="21" t="s">
        <v>1144</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195</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row>
    <row r="4065" spans="1:12">
      <c r="A4065" s="20" t="s">
        <v>1274</v>
      </c>
    </row>
    <row r="4066" spans="1:12">
      <c r="A4066" s="20" t="s">
        <v>1161</v>
      </c>
      <c r="B4066" s="21" t="s">
        <v>1063</v>
      </c>
      <c r="C4066" s="21" t="s">
        <v>1064</v>
      </c>
      <c r="D4066" s="21" t="s">
        <v>1065</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1067</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row>
    <row r="4069" spans="1:12">
      <c r="A4069" s="20" t="s">
        <v>2324</v>
      </c>
    </row>
    <row r="4070" spans="1:12">
      <c r="A4070" s="20" t="s">
        <v>1194</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1301</v>
      </c>
      <c r="B4071" s="21" t="s">
        <v>1150</v>
      </c>
      <c r="C4071" s="21" t="s">
        <v>1151</v>
      </c>
      <c r="D4071" s="21" t="s">
        <v>1065</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1178</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2325</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1091</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1064</v>
      </c>
      <c r="B4075" s="21" t="s">
        <v>1154</v>
      </c>
      <c r="C4075" s="21" t="s">
        <v>1151</v>
      </c>
      <c r="D4075" s="21" t="s">
        <v>1065</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2326</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1204</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2327</v>
      </c>
      <c r="B4078" s="21" t="s">
        <v>1154</v>
      </c>
      <c r="C4078" s="21" t="s">
        <v>1075</v>
      </c>
      <c r="D4078" s="21" t="s">
        <v>1065</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1076</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2328</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1113</v>
      </c>
      <c r="B4081" s="21" t="s">
        <v>1126</v>
      </c>
      <c r="C4081" s="21" t="s">
        <v>1071</v>
      </c>
      <c r="D4081" s="21" t="s">
        <v>1065</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1072</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1204</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2297</v>
      </c>
      <c r="B4084" s="21" t="s">
        <v>1114</v>
      </c>
      <c r="C4084" s="21" t="s">
        <v>1071</v>
      </c>
      <c r="D4084" s="21" t="s">
        <v>1065</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1072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1089</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1854</v>
      </c>
      <c r="B4087" s="21" t="s">
        <v>1121</v>
      </c>
      <c r="C4087" s="21" t="s">
        <v>1064</v>
      </c>
      <c r="D4087" s="21" t="s">
        <v>1065</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2134</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1077</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2329</v>
      </c>
      <c r="B4090" s="21" t="s">
        <v>1097</v>
      </c>
      <c r="C4090" s="21" t="s">
        <v>1075</v>
      </c>
      <c r="D4090" s="21" t="s">
        <v>1065</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195</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row>
    <row r="4093" spans="1:12">
      <c r="A4093" s="20" t="s">
        <v>2330</v>
      </c>
    </row>
    <row r="4094" spans="1:12">
      <c r="A4094" s="20" t="s">
        <v>1157</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2331</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1124</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2332</v>
      </c>
      <c r="B4097" s="21" t="s">
        <v>1063</v>
      </c>
      <c r="C4097" s="21" t="s">
        <v>1109</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1091</v>
      </c>
      <c r="B4098" s="21" t="s">
        <v>1123</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2141</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1204</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2327</v>
      </c>
      <c r="B4101" s="21" t="s">
        <v>1154</v>
      </c>
      <c r="C4101" s="21" t="s">
        <v>1075</v>
      </c>
      <c r="D4101" s="21" t="s">
        <v>1065</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1072</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2333</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195</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row>
    <row r="4106" spans="1:12">
      <c r="A4106" s="20" t="s">
        <v>2334</v>
      </c>
    </row>
    <row r="4107" spans="1:12">
      <c r="A4107" s="20" t="s">
        <v>1192</v>
      </c>
      <c r="B4107" s="21" t="s">
        <v>1150</v>
      </c>
      <c r="C4107" s="21" t="s">
        <v>1064</v>
      </c>
      <c r="D4107" s="21" t="s">
        <v>1065</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1067</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1997</v>
      </c>
      <c r="B4109" s="21" t="s">
        <v>1080</v>
      </c>
      <c r="C4109" s="21" t="s">
        <v>1064</v>
      </c>
      <c r="D4109" s="21" t="s">
        <v>1065</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1076</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1415</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671</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2335</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1088</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1073</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2336</v>
      </c>
      <c r="B4116" s="21" t="s">
        <v>1080</v>
      </c>
      <c r="C4116" s="21" t="s">
        <v>1071</v>
      </c>
      <c r="D4116" s="21" t="s">
        <v>1065</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1072</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1284</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1368</v>
      </c>
      <c r="B4119" s="21" t="s">
        <v>1097</v>
      </c>
      <c r="C4119" s="21" t="s">
        <v>1098</v>
      </c>
      <c r="D4119" s="21" t="s">
        <v>1065</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1106</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1077</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644</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1077</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2329</v>
      </c>
      <c r="B4124" s="21" t="s">
        <v>1126</v>
      </c>
      <c r="C4124" s="21" t="s">
        <v>1075</v>
      </c>
      <c r="D4124" s="21" t="s">
        <v>1065</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1076</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671</v>
      </c>
      <c r="B4126" s="21" t="s">
        <v>1063</v>
      </c>
      <c r="C4126" s="21" t="s">
        <v>1151</v>
      </c>
      <c r="D4126" s="21" t="s">
        <v>1065</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2337</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1091</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1214</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2338</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1429</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1213</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2339</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2340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1335</v>
      </c>
      <c r="B4135" s="21" t="s">
        <v>1154</v>
      </c>
      <c r="C4135" s="21" t="s">
        <v>1151</v>
      </c>
      <c r="D4135" s="21" t="s">
        <v>1065</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1085</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1204</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1261</v>
      </c>
      <c r="B4138" s="21" t="s">
        <v>1080</v>
      </c>
      <c r="C4138" s="21" t="s">
        <v>1075</v>
      </c>
      <c r="D4138" s="21" t="s">
        <v>1065</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1076</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1568</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1106</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1204</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1979</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1573</v>
      </c>
      <c r="B4144" s="21" t="s">
        <v>1097</v>
      </c>
      <c r="C4144" s="21" t="s">
        <v>1075</v>
      </c>
      <c r="D4144" s="21" t="s">
        <v>1065</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1360</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1076</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1077</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2341</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2342</v>
      </c>
      <c r="B4149" s="21" t="s">
        <v>1092</v>
      </c>
      <c r="C4149" s="21" t="s">
        <v>1075</v>
      </c>
      <c r="D4149" s="21" t="s">
        <v>1065</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2343</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1091</v>
      </c>
      <c r="B4151" s="21" t="s">
        <v>1354</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1319</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1590</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1198</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1835</v>
      </c>
      <c r="B4155" s="21" t="s">
        <v>1480</v>
      </c>
      <c r="C4155" s="21" t="s">
        <v>1098</v>
      </c>
      <c r="D4155" s="21" t="s">
        <v>1065</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1076</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1088</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1077</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1072</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2150</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1072</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1077</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2344</v>
      </c>
      <c r="B4163" s="21" t="s">
        <v>1121</v>
      </c>
      <c r="C4163" s="21" t="s">
        <v>1071</v>
      </c>
      <c r="D4163" s="21" t="s">
        <v>1065</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1072</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2345</v>
      </c>
      <c r="B4165" s="21" t="s">
        <v>1118</v>
      </c>
      <c r="C4165" s="21" t="s">
        <v>1144</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1076</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1319</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1170</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1284</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1368</v>
      </c>
      <c r="B4170" s="21" t="s">
        <v>1126</v>
      </c>
      <c r="C4170" s="21" t="s">
        <v>1098</v>
      </c>
      <c r="D4170" s="21" t="s">
        <v>1065</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2346</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909</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2347</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2348</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195</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row>
    <row r="4177" spans="1:12">
      <c r="A4177" s="20" t="s">
        <v>2349</v>
      </c>
    </row>
    <row r="4178" spans="1:12">
      <c r="A4178" s="20" t="s">
        <v>1502</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1391</v>
      </c>
      <c r="B4179" s="21" t="s">
        <v>1150</v>
      </c>
      <c r="C4179" s="21" t="s">
        <v>1075</v>
      </c>
      <c r="D4179" s="21" t="s">
        <v>1065</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1076</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1091</v>
      </c>
      <c r="B4181" s="21" t="s">
        <v>1092</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1319</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128</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1088</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1164</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1410</v>
      </c>
      <c r="B4186" s="21" t="s">
        <v>1097</v>
      </c>
      <c r="C4186" s="21" t="s">
        <v>1071</v>
      </c>
      <c r="D4186" s="21" t="s">
        <v>1065</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1085</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1284</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1714</v>
      </c>
      <c r="B4189" s="21" t="s">
        <v>1114</v>
      </c>
      <c r="C4189" s="21" t="s">
        <v>1098</v>
      </c>
      <c r="D4189" s="21" t="s">
        <v>1065</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909</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2110</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1375</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1091</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1412</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2350</v>
      </c>
      <c r="B4195" s="21" t="s">
        <v>1126</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1633</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1064</v>
      </c>
      <c r="B4197" s="21" t="s">
        <v>1480</v>
      </c>
      <c r="C4197" s="21" t="s">
        <v>1151</v>
      </c>
      <c r="D4197" s="21" t="s">
        <v>1065</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1076</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1319</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2351</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2352</v>
      </c>
      <c r="B4201" s="21" t="s">
        <v>1480</v>
      </c>
      <c r="C4201" s="21" t="s">
        <v>1071</v>
      </c>
      <c r="D4201" s="21" t="s">
        <v>1065</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1072</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1599</v>
      </c>
      <c r="B4203" s="21" t="s">
        <v>1118</v>
      </c>
      <c r="C4203" s="21" t="s">
        <v>1144</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1188</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1107</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2353</v>
      </c>
      <c r="B4206" s="21" t="s">
        <v>1121</v>
      </c>
      <c r="C4206" s="21" t="s">
        <v>1071</v>
      </c>
      <c r="D4206" s="21" t="s">
        <v>1065</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1072</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1204</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2354</v>
      </c>
      <c r="B4209" s="21" t="s">
        <v>1118</v>
      </c>
      <c r="C4209" s="21" t="s">
        <v>1075</v>
      </c>
      <c r="D4209" s="21" t="s">
        <v>1065</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909</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2289</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2355</v>
      </c>
      <c r="B4212" s="21" t="s">
        <v>1118</v>
      </c>
      <c r="C4212" s="21" t="s">
        <v>1071</v>
      </c>
      <c r="D4212" s="21" t="s">
        <v>1065</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2356</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1072</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1204</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2357</v>
      </c>
      <c r="B4216" s="21" t="s">
        <v>1528</v>
      </c>
      <c r="C4216" s="21" t="s">
        <v>1075</v>
      </c>
      <c r="D4216" s="21" t="s">
        <v>1065</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2358</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1091</v>
      </c>
      <c r="B4218" s="21" t="s">
        <v>2359</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1178</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1590</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1387</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1164</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1475</v>
      </c>
      <c r="B4223" s="21" t="s">
        <v>1446</v>
      </c>
      <c r="C4223" s="21" t="s">
        <v>1075</v>
      </c>
      <c r="D4223" s="21" t="s">
        <v>1065</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2360</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1076</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1319</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2361</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1091</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1284</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1368</v>
      </c>
      <c r="B4230" s="21" t="s">
        <v>1123</v>
      </c>
      <c r="C4230" s="21" t="s">
        <v>1098</v>
      </c>
      <c r="D4230" s="21" t="s">
        <v>1065</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1213</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1178</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1412</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2362</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1124</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1577</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2363</v>
      </c>
      <c r="B4237" s="21" t="s">
        <v>1154</v>
      </c>
      <c r="C4237" s="21" t="s">
        <v>1109</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2364</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2365</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671</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2366</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1106</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1173</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1419</v>
      </c>
      <c r="B4244" s="21" t="s">
        <v>1114</v>
      </c>
      <c r="C4244" s="21" t="s">
        <v>1064</v>
      </c>
      <c r="D4244" s="21" t="s">
        <v>1065</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1420</v>
      </c>
      <c r="B4245" s="21" t="s">
        <v>1121</v>
      </c>
      <c r="C4245" s="21" t="s">
        <v>1064</v>
      </c>
      <c r="D4245" s="21" t="s">
        <v>1065</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195</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row>
    <row r="4248" spans="1:12">
      <c r="A4248" s="20" t="s">
        <v>2367</v>
      </c>
    </row>
    <row r="4249" spans="1:12">
      <c r="A4249" s="20" t="s">
        <v>2207</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1076</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1619</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1236</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2368</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1077</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2329</v>
      </c>
      <c r="B4255" s="21" t="s">
        <v>1084</v>
      </c>
      <c r="C4255" s="21" t="s">
        <v>1075</v>
      </c>
      <c r="D4255" s="21" t="s">
        <v>1065</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1145</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row>
    <row r="4258" spans="1:12">
      <c r="A4258" s="20" t="s">
        <v>2369</v>
      </c>
    </row>
    <row r="4259" spans="1:12">
      <c r="A4259" s="20" t="s">
        <v>1780</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1284</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1368</v>
      </c>
      <c r="B4261" s="21" t="s">
        <v>1150</v>
      </c>
      <c r="C4261" s="21" t="s">
        <v>1098</v>
      </c>
      <c r="D4261" s="21" t="s">
        <v>1065</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1076</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1178</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1112</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2303</v>
      </c>
      <c r="B4265" s="21" t="s">
        <v>1084</v>
      </c>
      <c r="C4265" s="21" t="s">
        <v>1115</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1145</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row>
    <row r="4268" spans="1:12">
      <c r="A4268" s="20" t="s">
        <v>2370</v>
      </c>
    </row>
    <row r="4269" spans="1:12">
      <c r="A4269" s="20" t="s">
        <v>2371</v>
      </c>
      <c r="B4269" s="21" t="s">
        <v>1150</v>
      </c>
      <c r="C4269" s="21" t="s">
        <v>1151</v>
      </c>
      <c r="D4269" s="21" t="s">
        <v>1065</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2372</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1072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1858</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909</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1774</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1903</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1164</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2373</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1515</v>
      </c>
      <c r="B4278" s="21" t="s">
        <v>1063</v>
      </c>
      <c r="C4278" s="21" t="s">
        <v>1071</v>
      </c>
      <c r="D4278" s="21" t="s">
        <v>1065</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1072</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1077</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1241</v>
      </c>
      <c r="B4281" s="21" t="s">
        <v>1080</v>
      </c>
      <c r="C4281" s="21" t="s">
        <v>1075</v>
      </c>
      <c r="D4281" s="21" t="s">
        <v>1065</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1453</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195</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row>
    <row r="4285" spans="1:12">
      <c r="A4285" s="20" t="s">
        <v>1274</v>
      </c>
    </row>
    <row r="4286" spans="1:12">
      <c r="A4286" s="20" t="s">
        <v>1161</v>
      </c>
      <c r="B4286" s="21" t="s">
        <v>1063</v>
      </c>
      <c r="C4286" s="21" t="s">
        <v>1064</v>
      </c>
      <c r="D4286" s="21" t="s">
        <v>1065</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1067</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row>
    <row r="4289" spans="1:12">
      <c r="A4289" s="20" t="s">
        <v>2374</v>
      </c>
    </row>
    <row r="4290" spans="1:12">
      <c r="A4290" s="20" t="s">
        <v>2201</v>
      </c>
      <c r="B4290" s="21" t="s">
        <v>1080</v>
      </c>
      <c r="C4290" s="21" t="s">
        <v>1151</v>
      </c>
      <c r="D4290" s="21" t="s">
        <v>1065</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1429</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2192</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111</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1076</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1286</v>
      </c>
      <c r="B4295" s="21" t="s">
        <v>1150</v>
      </c>
      <c r="C4295" s="21" t="s">
        <v>1151</v>
      </c>
      <c r="D4295" s="21" t="s">
        <v>1065</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2375</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1091</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2376</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1188</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1301</v>
      </c>
      <c r="B4300" s="21" t="s">
        <v>1080</v>
      </c>
      <c r="C4300" s="21" t="s">
        <v>1151</v>
      </c>
      <c r="D4300" s="21" t="s">
        <v>1065</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1107</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2377</v>
      </c>
      <c r="B4302" s="21" t="s">
        <v>1154</v>
      </c>
      <c r="C4302" s="21" t="s">
        <v>1071</v>
      </c>
      <c r="D4302" s="21" t="s">
        <v>1065</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1375</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2378</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1072</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1204</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2133</v>
      </c>
      <c r="B4307" s="21" t="s">
        <v>1097</v>
      </c>
      <c r="C4307" s="21" t="s">
        <v>1075</v>
      </c>
      <c r="D4307" s="21" t="s">
        <v>1065</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1088</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1077</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2329</v>
      </c>
      <c r="B4310" s="21" t="s">
        <v>1080</v>
      </c>
      <c r="C4310" s="21" t="s">
        <v>1075</v>
      </c>
      <c r="D4310" s="21" t="s">
        <v>1065</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1145</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row>
    <row r="4313" spans="1:12">
      <c r="A4313" s="20" t="s">
        <v>2379</v>
      </c>
    </row>
    <row r="4314" spans="1:12">
      <c r="A4314" s="20" t="s">
        <v>1192</v>
      </c>
      <c r="B4314" s="21" t="s">
        <v>1150</v>
      </c>
      <c r="C4314" s="21" t="s">
        <v>1064</v>
      </c>
      <c r="D4314" s="21" t="s">
        <v>1065</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1067</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2380</v>
      </c>
      <c r="B4316" s="21" t="s">
        <v>1080</v>
      </c>
      <c r="C4316" s="21" t="s">
        <v>1064</v>
      </c>
      <c r="D4316" s="21" t="s">
        <v>1065</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1076</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1213</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1163</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1916</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1212</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1076</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2381</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2382</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1145</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row>
    <row r="4327" spans="1:12">
      <c r="A4327" s="20" t="s">
        <v>2383</v>
      </c>
    </row>
    <row r="4328" spans="1:12">
      <c r="A4328" s="20" t="s">
        <v>1161</v>
      </c>
      <c r="B4328" s="21" t="s">
        <v>1063</v>
      </c>
      <c r="C4328" s="21" t="s">
        <v>1064</v>
      </c>
      <c r="D4328" s="21" t="s">
        <v>1065</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1067</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2380</v>
      </c>
      <c r="B4330" s="21" t="s">
        <v>1063</v>
      </c>
      <c r="C4330" s="21" t="s">
        <v>1064</v>
      </c>
      <c r="D4330" s="21" t="s">
        <v>1065</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195</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row>
    <row r="4333" spans="1:12">
      <c r="A4333" s="20" t="s">
        <v>2384</v>
      </c>
    </row>
    <row r="4334" spans="1:12">
      <c r="A4334" s="20" t="s">
        <v>2385</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1091</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1188</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1301</v>
      </c>
      <c r="B4337" s="21" t="s">
        <v>1080</v>
      </c>
      <c r="C4337" s="21" t="s">
        <v>1151</v>
      </c>
      <c r="D4337" s="21" t="s">
        <v>1065</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2376</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1107</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2377</v>
      </c>
      <c r="B4340" s="21" t="s">
        <v>1154</v>
      </c>
      <c r="C4340" s="21" t="s">
        <v>1071</v>
      </c>
      <c r="D4340" s="21" t="s">
        <v>1065</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1375</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2378</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1072</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1204</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2133</v>
      </c>
      <c r="B4345" s="21" t="s">
        <v>1097</v>
      </c>
      <c r="C4345" s="21" t="s">
        <v>1075</v>
      </c>
      <c r="D4345" s="21" t="s">
        <v>1065</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2134</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1077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2329</v>
      </c>
      <c r="B4348" s="21" t="s">
        <v>1080</v>
      </c>
      <c r="C4348" s="21" t="s">
        <v>1075</v>
      </c>
      <c r="D4348" s="21" t="s">
        <v>1065</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1145</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row>
    <row r="4351" spans="1:12">
      <c r="A4351" s="20" t="s">
        <v>2386</v>
      </c>
    </row>
    <row r="4352" spans="1:12">
      <c r="A4352" s="20" t="s">
        <v>1192</v>
      </c>
      <c r="B4352" s="21" t="s">
        <v>1063</v>
      </c>
      <c r="C4352" s="21" t="s">
        <v>1064</v>
      </c>
      <c r="D4352" s="21" t="s">
        <v>1065</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1067</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2201</v>
      </c>
      <c r="B4354" s="21" t="s">
        <v>1063</v>
      </c>
      <c r="C4354" s="21" t="s">
        <v>1151</v>
      </c>
      <c r="D4354" s="21" t="s">
        <v>1065</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195</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row>
    <row r="4357" spans="1:12">
      <c r="A4357" s="20" t="s">
        <v>2387</v>
      </c>
    </row>
    <row r="4358" spans="1:12">
      <c r="A4358" s="20" t="s">
        <v>1618</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2388</v>
      </c>
      <c r="B4359" s="21" t="s">
        <v>1150</v>
      </c>
      <c r="C4359" s="21" t="s">
        <v>1071</v>
      </c>
      <c r="D4359" s="21" t="s">
        <v>1065</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1072</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1204</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2389</v>
      </c>
      <c r="B4362" s="21" t="s">
        <v>1080</v>
      </c>
      <c r="C4362" s="21" t="s">
        <v>1075</v>
      </c>
      <c r="D4362" s="21" t="s">
        <v>1065</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1214</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1091</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1077</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2329</v>
      </c>
      <c r="B4366" s="21" t="s">
        <v>1123</v>
      </c>
      <c r="C4366" s="21" t="s">
        <v>1075</v>
      </c>
      <c r="D4366" s="21" t="s">
        <v>1065</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1214</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2129</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1169</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1129</v>
      </c>
      <c r="B4370" s="21" t="s">
        <v>1063</v>
      </c>
      <c r="C4370" s="21" t="s">
        <v>1131</v>
      </c>
      <c r="D4370" s="21" t="s">
        <v>1065</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1091</v>
      </c>
      <c r="B4371" s="21" t="s">
        <v>1092</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1106</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1077</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1228</v>
      </c>
      <c r="B4374" s="21" t="s">
        <v>1097</v>
      </c>
      <c r="C4374" s="21" t="s">
        <v>1071</v>
      </c>
      <c r="D4374" s="21" t="s">
        <v>1065</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1072</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1073</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1649</v>
      </c>
      <c r="B4377" s="21" t="s">
        <v>1114</v>
      </c>
      <c r="C4377" s="21" t="s">
        <v>1075</v>
      </c>
      <c r="D4377" s="21" t="s">
        <v>1065</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1595</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2390</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1107</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2391</v>
      </c>
      <c r="B4381" s="21" t="s">
        <v>1126</v>
      </c>
      <c r="C4381" s="21" t="s">
        <v>1071</v>
      </c>
      <c r="D4381" s="21" t="s">
        <v>1065</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1188</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1089</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2392</v>
      </c>
      <c r="B4384" s="21" t="s">
        <v>1114</v>
      </c>
      <c r="C4384" s="21" t="s">
        <v>1075</v>
      </c>
      <c r="D4384" s="21" t="s">
        <v>1065</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195</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row>
    <row r="4387" spans="1:12">
      <c r="A4387" s="20" t="s">
        <v>2393</v>
      </c>
    </row>
    <row r="4388" spans="1:12">
      <c r="A4388" s="20" t="s">
        <v>1502</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2329</v>
      </c>
      <c r="B4389" s="21" t="s">
        <v>1150</v>
      </c>
      <c r="C4389" s="21" t="s">
        <v>1075</v>
      </c>
      <c r="D4389" s="21" t="s">
        <v>1065</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1214</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2394</v>
      </c>
      <c r="B4391" s="21" t="s">
        <v>1063</v>
      </c>
      <c r="C4391" s="21" t="s">
        <v>1155</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1091</v>
      </c>
      <c r="B4392" s="21" t="s">
        <v>1123</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2395</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1107</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1987</v>
      </c>
      <c r="B4395" s="21" t="s">
        <v>1154</v>
      </c>
      <c r="C4395" s="21" t="s">
        <v>1109</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2396</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1091</v>
      </c>
      <c r="B4397" s="21" t="s">
        <v>1278</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2397</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1088</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1164</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1609</v>
      </c>
      <c r="B4401" s="21" t="s">
        <v>1114</v>
      </c>
      <c r="C4401" s="21" t="s">
        <v>1075</v>
      </c>
      <c r="D4401" s="21" t="s">
        <v>1065</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1072</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2398</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1076</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2399</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2400</v>
      </c>
      <c r="B4406" s="21" t="s">
        <v>1135</v>
      </c>
      <c r="C4406" s="21" t="s">
        <v>1144</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909</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1368</v>
      </c>
      <c r="B4408" s="21" t="s">
        <v>1528</v>
      </c>
      <c r="C4408" s="21" t="s">
        <v>1144</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1091</v>
      </c>
      <c r="B4409" s="21" t="s">
        <v>2359</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2401</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1213</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2402</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195</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row>
    <row r="4415" spans="1:12">
      <c r="A4415" s="20" t="s">
        <v>2403</v>
      </c>
    </row>
    <row r="4416" spans="1:12">
      <c r="A4416" s="20" t="s">
        <v>1643</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1368</v>
      </c>
      <c r="B4417" s="21" t="s">
        <v>1063</v>
      </c>
      <c r="C4417" s="21" t="s">
        <v>1144</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1240</v>
      </c>
      <c r="B4418" s="21" t="s">
        <v>1063</v>
      </c>
      <c r="C4418" s="21" t="s">
        <v>1071</v>
      </c>
      <c r="D4418" s="21" t="s">
        <v>1065</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2203</v>
      </c>
      <c r="B4419" s="21" t="s">
        <v>1080</v>
      </c>
      <c r="C4419" s="21" t="s">
        <v>1064</v>
      </c>
      <c r="D4419" s="21" t="s">
        <v>1065</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909</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2219</v>
      </c>
      <c r="B4421" s="21" t="s">
        <v>1097</v>
      </c>
      <c r="C4421" s="21" t="s">
        <v>1064</v>
      </c>
      <c r="D4421" s="21" t="s">
        <v>1065</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1076</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1089</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1554</v>
      </c>
      <c r="B4424" s="21" t="s">
        <v>1150</v>
      </c>
      <c r="C4424" s="21" t="s">
        <v>1064</v>
      </c>
      <c r="D4424" s="21" t="s">
        <v>1065</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1319</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1845</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1089</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2404</v>
      </c>
      <c r="B4428" s="21" t="s">
        <v>1084</v>
      </c>
      <c r="C4428" s="21" t="s">
        <v>1071</v>
      </c>
      <c r="D4428" s="21" t="s">
        <v>1065</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2405</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1111</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1173</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1327</v>
      </c>
      <c r="B4432" s="21" t="s">
        <v>1080</v>
      </c>
      <c r="C4432" s="21" t="s">
        <v>1075</v>
      </c>
      <c r="D4432" s="21" t="s">
        <v>1065</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2406</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195</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row>
    <row r="4436" spans="1:12">
      <c r="A4436" s="20" t="s">
        <v>2407</v>
      </c>
    </row>
    <row r="4437" spans="1:12">
      <c r="A4437" s="20" t="s">
        <v>2408</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1088</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1089</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2409</v>
      </c>
      <c r="B4440" s="21" t="s">
        <v>1063</v>
      </c>
      <c r="C4440" s="21" t="s">
        <v>1064</v>
      </c>
      <c r="D4440" s="21" t="s">
        <v>1065</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1072</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689</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1088</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1077</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1391</v>
      </c>
      <c r="B4445" s="21" t="s">
        <v>1080</v>
      </c>
      <c r="C4445" s="21" t="s">
        <v>1075</v>
      </c>
      <c r="D4445" s="21" t="s">
        <v>1065</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909</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1072</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2410</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1204</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1565</v>
      </c>
      <c r="B4450" s="21" t="s">
        <v>1126</v>
      </c>
      <c r="C4450" s="21" t="s">
        <v>1075</v>
      </c>
      <c r="D4450" s="21" t="s">
        <v>1065</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195</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row>
    <row r="4453" spans="1:12">
      <c r="A4453" s="20" t="s">
        <v>2411</v>
      </c>
    </row>
    <row r="4454" spans="1:12">
      <c r="A4454" s="20" t="s">
        <v>1878</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2409</v>
      </c>
      <c r="B4455" s="21" t="s">
        <v>1150</v>
      </c>
      <c r="C4455" s="21" t="s">
        <v>1064</v>
      </c>
      <c r="D4455" s="21" t="s">
        <v>1065</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2412</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1088</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1077</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1391</v>
      </c>
      <c r="B4459" s="21" t="s">
        <v>1063</v>
      </c>
      <c r="C4459" s="21" t="s">
        <v>1075</v>
      </c>
      <c r="D4459" s="21" t="s">
        <v>1065</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909</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2413</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1089</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1983</v>
      </c>
      <c r="B4463" s="21" t="s">
        <v>1154</v>
      </c>
      <c r="C4463" s="21" t="s">
        <v>1075</v>
      </c>
      <c r="D4463" s="21" t="s">
        <v>1065</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195</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row>
    <row r="4466" spans="1:12">
      <c r="A4466" s="20" t="s">
        <v>2414</v>
      </c>
    </row>
    <row r="4467" spans="1:12">
      <c r="A4467" s="20" t="s">
        <v>1194</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1077</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1391</v>
      </c>
      <c r="B4469" s="21" t="s">
        <v>1150</v>
      </c>
      <c r="C4469" s="21" t="s">
        <v>1075</v>
      </c>
      <c r="D4469" s="21" t="s">
        <v>1065</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909</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1077</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1452</v>
      </c>
      <c r="B4472" s="21" t="s">
        <v>1080</v>
      </c>
      <c r="C4472" s="21" t="s">
        <v>1071</v>
      </c>
      <c r="D4472" s="21" t="s">
        <v>1065</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1270</v>
      </c>
      <c r="B4473" s="21" t="s">
        <v>1097</v>
      </c>
      <c r="C4473" s="21" t="s">
        <v>1064</v>
      </c>
      <c r="D4473" s="21" t="s">
        <v>1065</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1857</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1072</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1858</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195</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row>
    <row r="4479" spans="1:12">
      <c r="A4479" s="20" t="s">
        <v>2415</v>
      </c>
    </row>
    <row r="4480" spans="1:12">
      <c r="A4480" s="20" t="s">
        <v>2416</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1091</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1213</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2326</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1204</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2327</v>
      </c>
      <c r="B4485" s="21" t="s">
        <v>1154</v>
      </c>
      <c r="C4485" s="21" t="s">
        <v>1075</v>
      </c>
      <c r="D4485" s="21" t="s">
        <v>1065</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2417</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1188</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1204</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1443</v>
      </c>
      <c r="B4489" s="21" t="s">
        <v>1114</v>
      </c>
      <c r="C4489" s="21" t="s">
        <v>1119</v>
      </c>
      <c r="D4489" s="21" t="s">
        <v>1065</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2146</v>
      </c>
      <c r="B4490" s="21" t="s">
        <v>1097</v>
      </c>
      <c r="C4490" s="21" t="s">
        <v>1075</v>
      </c>
      <c r="D4490" s="21" t="s">
        <v>1065</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195</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row>
    <row r="4493" spans="1:12">
      <c r="A4493" s="20" t="s">
        <v>2418</v>
      </c>
    </row>
    <row r="4494" spans="1:12">
      <c r="A4494" s="20" t="s">
        <v>2419</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1091</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1411</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2420</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1088</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1204</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1443</v>
      </c>
      <c r="B4500" s="21" t="s">
        <v>1097</v>
      </c>
      <c r="C4500" s="21" t="s">
        <v>1119</v>
      </c>
      <c r="D4500" s="21" t="s">
        <v>1065</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1246</v>
      </c>
      <c r="B4501" s="21" t="s">
        <v>1080</v>
      </c>
      <c r="C4501" s="21" t="s">
        <v>1075</v>
      </c>
      <c r="D4501" s="21" t="s">
        <v>1065</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2115</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1348</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2421</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1091</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1213</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2422</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2423</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1073</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2424</v>
      </c>
      <c r="B4510" s="21" t="s">
        <v>1130</v>
      </c>
      <c r="C4510" s="21" t="s">
        <v>1075</v>
      </c>
      <c r="D4510" s="21" t="s">
        <v>1065</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195</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row>
    <row r="4513" spans="1:12">
      <c r="A4513" s="20" t="s">
        <v>2425</v>
      </c>
    </row>
    <row r="4514" spans="1:12">
      <c r="A4514" s="20" t="s">
        <v>1194</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2237</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1076</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1106</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1089</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1361</v>
      </c>
      <c r="B4519" s="21" t="s">
        <v>1080</v>
      </c>
      <c r="C4519" s="21" t="s">
        <v>1075</v>
      </c>
      <c r="D4519" s="21" t="s">
        <v>1065</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1711</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50</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2426</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42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1076</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1253</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1254</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1091</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1214</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1570</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2427</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1204</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2345</v>
      </c>
      <c r="B4532" s="21" t="s">
        <v>1092</v>
      </c>
      <c r="C4532" s="21" t="s">
        <v>1075</v>
      </c>
      <c r="D4532" s="21" t="s">
        <v>1065</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909</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1077</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2329</v>
      </c>
      <c r="B4535" s="21" t="s">
        <v>1114</v>
      </c>
      <c r="C4535" s="21" t="s">
        <v>1075</v>
      </c>
      <c r="D4535" s="21" t="s">
        <v>1065</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1214</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1169</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1831</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1272</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2428</v>
      </c>
      <c r="B4540" s="21" t="s">
        <v>1063</v>
      </c>
      <c r="C4540" s="21" t="s">
        <v>1144</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1188</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2429</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1106</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1356</v>
      </c>
      <c r="B4544" s="21" t="s">
        <v>1080</v>
      </c>
      <c r="C4544" s="21" t="s">
        <v>1144</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1284</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1368</v>
      </c>
      <c r="B4546" s="21" t="s">
        <v>1154</v>
      </c>
      <c r="C4546" s="21" t="s">
        <v>1098</v>
      </c>
      <c r="D4546" s="21" t="s">
        <v>1065</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1442</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2430</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1077</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1391</v>
      </c>
      <c r="B4550" s="21" t="s">
        <v>1126</v>
      </c>
      <c r="C4550" s="21" t="s">
        <v>1075</v>
      </c>
      <c r="D4550" s="21" t="s">
        <v>1065</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1076</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1442</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2430</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1077</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1452</v>
      </c>
      <c r="B4555" s="21" t="s">
        <v>1130</v>
      </c>
      <c r="C4555" s="21" t="s">
        <v>1075</v>
      </c>
      <c r="D4555" s="21" t="s">
        <v>1065</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1453</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1425</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1214</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1646</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1111</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1198</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1240</v>
      </c>
      <c r="B4562" s="21" t="s">
        <v>1114</v>
      </c>
      <c r="C4562" s="21" t="s">
        <v>1098</v>
      </c>
      <c r="D4562" s="21" t="s">
        <v>1065</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1072</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1241</v>
      </c>
      <c r="B4564" s="21" t="s">
        <v>1121</v>
      </c>
      <c r="C4564" s="21" t="s">
        <v>1144</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1088</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2243</v>
      </c>
      <c r="B4566" s="21" t="s">
        <v>1121</v>
      </c>
      <c r="C4566" s="21" t="s">
        <v>1144</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2431</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1091</v>
      </c>
      <c r="B4568" s="21" t="s">
        <v>1132</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2208</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2432</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1211</v>
      </c>
      <c r="B4571" s="21" t="s">
        <v>1135</v>
      </c>
      <c r="C4571" s="21" t="s">
        <v>1151</v>
      </c>
      <c r="D4571" s="21" t="s">
        <v>1065</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1076</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1568</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1211</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2433</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1678</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2434</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909</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1213</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2435</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1803</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2303</v>
      </c>
      <c r="B4582" s="21" t="s">
        <v>1436</v>
      </c>
      <c r="C4582" s="21" t="s">
        <v>1115</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195</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row>
    <row r="4585" spans="1:12">
      <c r="A4585" s="20" t="s">
        <v>1274</v>
      </c>
    </row>
    <row r="4586" spans="1:12">
      <c r="A4586" s="20" t="s">
        <v>1161</v>
      </c>
      <c r="B4586" s="21" t="s">
        <v>1063</v>
      </c>
      <c r="C4586" s="21" t="s">
        <v>1064</v>
      </c>
      <c r="D4586" s="21" t="s">
        <v>1065</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1067</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row>
    <row r="4589" spans="1:12">
      <c r="A4589" s="20" t="s">
        <v>2436</v>
      </c>
    </row>
    <row r="4590" spans="1:12">
      <c r="A4590" s="20" t="s">
        <v>2437</v>
      </c>
      <c r="B4590" s="21" t="s">
        <v>1063</v>
      </c>
      <c r="C4590" s="21" t="s">
        <v>1064</v>
      </c>
      <c r="D4590" s="21" t="s">
        <v>1065</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1076</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1814</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1237</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1202</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1203</v>
      </c>
      <c r="B4595" s="21" t="s">
        <v>1063</v>
      </c>
      <c r="C4595" s="21" t="s">
        <v>1151</v>
      </c>
      <c r="D4595" s="21" t="s">
        <v>1065</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1124</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2438</v>
      </c>
      <c r="B4597" s="21" t="s">
        <v>1084</v>
      </c>
      <c r="C4597" s="21" t="s">
        <v>1109</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1568</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1163</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1107</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1216</v>
      </c>
      <c r="B4601" s="21" t="s">
        <v>1154</v>
      </c>
      <c r="C4601" s="21" t="s">
        <v>1109</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1375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2439</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1111</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1166</v>
      </c>
      <c r="B4605" s="21" t="s">
        <v>1080</v>
      </c>
      <c r="C4605" s="21" t="s">
        <v>1144</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195</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row>
    <row r="4608" spans="1:12">
      <c r="A4608" s="20" t="s">
        <v>2440</v>
      </c>
    </row>
    <row r="4609" spans="1:12">
      <c r="A4609" s="20" t="s">
        <v>2441</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2442</v>
      </c>
      <c r="B4610" s="21" t="s">
        <v>1063</v>
      </c>
      <c r="C4610" s="21" t="s">
        <v>1071</v>
      </c>
      <c r="D4610" s="21" t="s">
        <v>1065</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1072</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2443</v>
      </c>
      <c r="B4612" s="21" t="s">
        <v>1080</v>
      </c>
      <c r="C4612" s="21" t="s">
        <v>1144</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1076</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1171</v>
      </c>
      <c r="B4614" s="21" t="s">
        <v>1150</v>
      </c>
      <c r="C4614" s="21" t="s">
        <v>1155</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1750</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153</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1091</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1204</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2444</v>
      </c>
      <c r="B4619" s="21" t="s">
        <v>1123</v>
      </c>
      <c r="C4619" s="21" t="s">
        <v>1075</v>
      </c>
      <c r="D4619" s="21" t="s">
        <v>1065</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1106</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1393</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1318</v>
      </c>
      <c r="B4622" s="21" t="s">
        <v>1130</v>
      </c>
      <c r="C4622" s="21" t="s">
        <v>1151</v>
      </c>
      <c r="D4622" s="21" t="s">
        <v>1065</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2445</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2446</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1106</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1116</v>
      </c>
      <c r="B4626" s="21" t="s">
        <v>1114</v>
      </c>
      <c r="C4626" s="21" t="s">
        <v>1064</v>
      </c>
      <c r="D4626" s="21" t="s">
        <v>1065</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1076</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1434</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2447</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195</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row>
    <row r="4632" spans="1:12">
      <c r="A4632" s="20" t="s">
        <v>2448</v>
      </c>
    </row>
    <row r="4633" spans="1:12">
      <c r="A4633" s="20" t="s">
        <v>2449</v>
      </c>
      <c r="B4633" s="21" t="s">
        <v>1150</v>
      </c>
      <c r="C4633" s="21" t="s">
        <v>1151</v>
      </c>
      <c r="D4633" s="21" t="s">
        <v>1065</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2450</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1303</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1916</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1141</v>
      </c>
      <c r="B4637" s="21" t="s">
        <v>1123</v>
      </c>
      <c r="C4637" s="21" t="s">
        <v>1140</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1214</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2451</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1076</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1272</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1214</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1169</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2452</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2453</v>
      </c>
      <c r="B4645" s="21" t="s">
        <v>1123</v>
      </c>
      <c r="C4645" s="21" t="s">
        <v>1064</v>
      </c>
      <c r="D4645" s="21" t="s">
        <v>1065</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2454</v>
      </c>
      <c r="B4646" s="21" t="s">
        <v>1097</v>
      </c>
      <c r="C4646" s="21" t="s">
        <v>1064</v>
      </c>
      <c r="D4646" s="21" t="s">
        <v>1065</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1076</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2110</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2455</v>
      </c>
      <c r="B4649" s="21" t="s">
        <v>1097</v>
      </c>
      <c r="C4649" s="21" t="s">
        <v>1064</v>
      </c>
      <c r="D4649" s="21" t="s">
        <v>1065</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2454</v>
      </c>
      <c r="B4650" s="21" t="s">
        <v>1114</v>
      </c>
      <c r="C4650" s="21" t="s">
        <v>1064</v>
      </c>
      <c r="D4650" s="21" t="s">
        <v>1065</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1076</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909</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1394</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1361</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1107</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1900</v>
      </c>
      <c r="B4656" s="21" t="s">
        <v>1123</v>
      </c>
      <c r="C4656" s="21" t="s">
        <v>1071</v>
      </c>
      <c r="D4656" s="21" t="s">
        <v>1065</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1085</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2456</v>
      </c>
      <c r="B4658" s="21" t="s">
        <v>1097</v>
      </c>
      <c r="C4658" s="21" t="s">
        <v>1064</v>
      </c>
      <c r="D4658" s="21" t="s">
        <v>1065</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2457</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1393</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1211</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1185</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1609</v>
      </c>
      <c r="B4663" s="21" t="s">
        <v>1354</v>
      </c>
      <c r="C4663" s="21" t="s">
        <v>1144</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1106</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1173</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2458</v>
      </c>
      <c r="B4666" s="21" t="s">
        <v>1121</v>
      </c>
      <c r="C4666" s="21" t="s">
        <v>1071</v>
      </c>
      <c r="D4666" s="21" t="s">
        <v>1065</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1072</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1073</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1649</v>
      </c>
      <c r="B4669" s="21" t="s">
        <v>1118</v>
      </c>
      <c r="C4669" s="21" t="s">
        <v>1075</v>
      </c>
      <c r="D4669" s="21" t="s">
        <v>1065</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1595</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1091</v>
      </c>
      <c r="B4671" s="21" t="s">
        <v>1923</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2459</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1204</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2460</v>
      </c>
      <c r="B4674" s="21" t="s">
        <v>1441</v>
      </c>
      <c r="C4674" s="21" t="s">
        <v>1119</v>
      </c>
      <c r="D4674" s="21" t="s">
        <v>1065</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2461</v>
      </c>
      <c r="B4675" s="21" t="s">
        <v>1436</v>
      </c>
      <c r="C4675" s="21" t="s">
        <v>1075</v>
      </c>
      <c r="D4675" s="21" t="s">
        <v>1065</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195</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row>
    <row r="4678" spans="1:12">
      <c r="A4678" s="20" t="s">
        <v>2462</v>
      </c>
    </row>
    <row r="4679" spans="1:12">
      <c r="A4679" s="20" t="s">
        <v>2463</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2464</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1530</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1198</v>
      </c>
      <c r="B4682" s="21" t="s">
        <v>1084</v>
      </c>
      <c r="C4682" s="21" t="s">
        <v>1131</v>
      </c>
      <c r="D4682" s="21" t="s">
        <v>1065</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1145</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row>
    <row r="4685" spans="1:12">
      <c r="A4685" s="20" t="s">
        <v>2465</v>
      </c>
    </row>
    <row r="4686" spans="1:12">
      <c r="A4686" s="20" t="s">
        <v>2463</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1998</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2466</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1204</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2467</v>
      </c>
      <c r="B4690" s="21" t="s">
        <v>1084</v>
      </c>
      <c r="C4690" s="21" t="s">
        <v>1075</v>
      </c>
      <c r="D4690" s="21" t="s">
        <v>1065</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1145</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row>
    <row r="4693" spans="1:12">
      <c r="A4693" s="20" t="s">
        <v>1191</v>
      </c>
    </row>
    <row r="4694" spans="1:12">
      <c r="A4694" s="20" t="s">
        <v>1192</v>
      </c>
      <c r="B4694" s="21" t="s">
        <v>1063</v>
      </c>
      <c r="C4694" s="21" t="s">
        <v>1064</v>
      </c>
      <c r="D4694" s="21" t="s">
        <v>1065</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1067</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row>
    <row r="4697" spans="1:12">
      <c r="A4697" s="20" t="s">
        <v>2468</v>
      </c>
    </row>
    <row r="4698" spans="1:12">
      <c r="A4698" s="20" t="s">
        <v>1264</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1214</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1124</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2469</v>
      </c>
      <c r="B4701" s="21" t="s">
        <v>1063</v>
      </c>
      <c r="C4701" s="21" t="s">
        <v>1109</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1091</v>
      </c>
      <c r="B4702" s="21" t="s">
        <v>1123</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1211</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2118</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1072</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1073</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2103</v>
      </c>
      <c r="B4707" s="21" t="s">
        <v>1080</v>
      </c>
      <c r="C4707" s="21" t="s">
        <v>1075</v>
      </c>
      <c r="D4707" s="21" t="s">
        <v>1065</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1091</v>
      </c>
      <c r="B4708" s="21" t="s">
        <v>1278</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2459</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2470</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1335</v>
      </c>
      <c r="B4711" s="21" t="s">
        <v>1130</v>
      </c>
      <c r="C4711" s="21" t="s">
        <v>1151</v>
      </c>
      <c r="D4711" s="21" t="s">
        <v>1065</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2471</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195</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row>
    <row r="4715" spans="1:12">
      <c r="A4715" s="20" t="s">
        <v>2472</v>
      </c>
    </row>
    <row r="4716" spans="1:12">
      <c r="A4716" s="20" t="s">
        <v>2071</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2473</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1375</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1072</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1107</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2474</v>
      </c>
      <c r="B4721" s="21" t="s">
        <v>1063</v>
      </c>
      <c r="C4721" s="21" t="s">
        <v>1109</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1091</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1763</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2475</v>
      </c>
      <c r="B4724" s="21" t="s">
        <v>1080</v>
      </c>
      <c r="C4724" s="21" t="s">
        <v>1115</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2476</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1088</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2477</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2478</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1088</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1129</v>
      </c>
      <c r="B4730" s="21" t="s">
        <v>1114</v>
      </c>
      <c r="C4730" s="21" t="s">
        <v>1131</v>
      </c>
      <c r="D4730" s="21" t="s">
        <v>1065</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1091</v>
      </c>
      <c r="B4731" s="21" t="s">
        <v>1135</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1374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141</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1188</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1077</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1452</v>
      </c>
      <c r="B4736" s="21" t="s">
        <v>1118</v>
      </c>
      <c r="C4736" s="21" t="s">
        <v>1075</v>
      </c>
      <c r="D4736" s="21" t="s">
        <v>1065</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1453</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195</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row>
    <row r="4740" spans="1:12">
      <c r="A4740" s="20" t="s">
        <v>2479</v>
      </c>
    </row>
    <row r="4741" spans="1:12">
      <c r="A4741" s="20" t="s">
        <v>2371</v>
      </c>
      <c r="B4741" s="21" t="s">
        <v>1150</v>
      </c>
      <c r="C4741" s="21" t="s">
        <v>1151</v>
      </c>
      <c r="D4741" s="21" t="s">
        <v>1065</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1213</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2192</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735</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1088</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1077</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1241</v>
      </c>
      <c r="B4747" s="21" t="s">
        <v>1063</v>
      </c>
      <c r="C4747" s="21" t="s">
        <v>1071</v>
      </c>
      <c r="D4747" s="21" t="s">
        <v>1065</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1072</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1077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1482</v>
      </c>
      <c r="B4750" s="21" t="s">
        <v>1097</v>
      </c>
      <c r="C4750" s="21" t="s">
        <v>1119</v>
      </c>
      <c r="D4750" s="21" t="s">
        <v>1065</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1531</v>
      </c>
      <c r="B4751" s="21" t="s">
        <v>1080</v>
      </c>
      <c r="C4751" s="21" t="s">
        <v>1075</v>
      </c>
      <c r="D4751" s="21" t="s">
        <v>1065</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195</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row>
    <row r="4754" spans="1:12">
      <c r="A4754" s="20" t="s">
        <v>2480</v>
      </c>
    </row>
    <row r="4755" spans="1:12">
      <c r="A4755" s="20" t="s">
        <v>2371</v>
      </c>
      <c r="B4755" s="21" t="s">
        <v>1150</v>
      </c>
      <c r="C4755" s="21" t="s">
        <v>1151</v>
      </c>
      <c r="D4755" s="21" t="s">
        <v>1065</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2192</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2481</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1322</v>
      </c>
      <c r="B4758" s="21" t="s">
        <v>1084</v>
      </c>
      <c r="C4758" s="21" t="s">
        <v>1151</v>
      </c>
      <c r="D4758" s="21" t="s">
        <v>1065</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1076</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1429</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1077</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1564</v>
      </c>
      <c r="B4762" s="21" t="s">
        <v>1063</v>
      </c>
      <c r="C4762" s="21" t="s">
        <v>1075</v>
      </c>
      <c r="D4762" s="21" t="s">
        <v>1065</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1091</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1301</v>
      </c>
      <c r="B4764" s="21" t="s">
        <v>1092</v>
      </c>
      <c r="C4764" s="21" t="s">
        <v>1151</v>
      </c>
      <c r="D4764" s="21" t="s">
        <v>1065</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2118</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2482</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1088</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2483</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2484</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1077</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2485</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2486</v>
      </c>
      <c r="B4772" s="21" t="s">
        <v>1130</v>
      </c>
      <c r="C4772" s="21" t="s">
        <v>1075</v>
      </c>
      <c r="D4772" s="21" t="s">
        <v>1065</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1076</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1088</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2487</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1204</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2488</v>
      </c>
      <c r="B4777" s="21" t="s">
        <v>1130</v>
      </c>
      <c r="C4777" s="21" t="s">
        <v>1075</v>
      </c>
      <c r="D4777" s="21" t="s">
        <v>1065</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1442</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137</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1365</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1107</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2489</v>
      </c>
      <c r="B4782" s="21" t="s">
        <v>1118</v>
      </c>
      <c r="C4782" s="21" t="s">
        <v>1109</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1076</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1557</v>
      </c>
      <c r="B4784" s="21" t="s">
        <v>1132</v>
      </c>
      <c r="C4784" s="21" t="s">
        <v>1131</v>
      </c>
      <c r="D4784" s="21" t="s">
        <v>1065</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1185</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1334</v>
      </c>
      <c r="B4786" s="21" t="s">
        <v>1121</v>
      </c>
      <c r="C4786" s="21" t="s">
        <v>1144</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1088</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1164</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1357</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2208</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2490</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1272</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1246</v>
      </c>
      <c r="B4793" s="21" t="s">
        <v>1528</v>
      </c>
      <c r="C4793" s="21" t="s">
        <v>1144</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909</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111</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1067</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2233</v>
      </c>
      <c r="B4797" s="21" t="s">
        <v>1436</v>
      </c>
      <c r="C4797" s="21" t="s">
        <v>1144</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1076</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1198</v>
      </c>
      <c r="B4799" s="21" t="s">
        <v>1927</v>
      </c>
      <c r="C4799" s="21" t="s">
        <v>1131</v>
      </c>
      <c r="D4799" s="21" t="s">
        <v>1065</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1213</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1214</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2485</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195</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row>
    <row r="4805" spans="1:12">
      <c r="A4805" s="20" t="s">
        <v>2491</v>
      </c>
    </row>
    <row r="4806" spans="1:12">
      <c r="A4806" s="20" t="s">
        <v>1264</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2492</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2493</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1073</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2494</v>
      </c>
      <c r="B4810" s="21" t="s">
        <v>1154</v>
      </c>
      <c r="C4810" s="21" t="s">
        <v>1075</v>
      </c>
      <c r="D4810" s="21" t="s">
        <v>1065</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195</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row>
    <row r="4813" spans="1:12">
      <c r="A4813" s="20" t="s">
        <v>2495</v>
      </c>
    </row>
    <row r="4814" spans="1:12">
      <c r="A4814" s="20" t="s">
        <v>1264</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671</v>
      </c>
      <c r="B4815" s="21" t="s">
        <v>1063</v>
      </c>
      <c r="C4815" s="21" t="s">
        <v>1151</v>
      </c>
      <c r="D4815" s="21" t="s">
        <v>1065</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1612</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746</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1077</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2496</v>
      </c>
      <c r="B4819" s="21" t="s">
        <v>1084</v>
      </c>
      <c r="C4819" s="21" t="s">
        <v>1075</v>
      </c>
      <c r="D4819" s="21" t="s">
        <v>1065</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195</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row>
    <row r="4822" spans="1:12">
      <c r="A4822" s="20" t="s">
        <v>2497</v>
      </c>
    </row>
    <row r="4823" spans="1:12">
      <c r="A4823" s="20" t="s">
        <v>1385</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2058</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1141</v>
      </c>
      <c r="B4825" s="21" t="s">
        <v>1150</v>
      </c>
      <c r="C4825" s="21" t="s">
        <v>1115</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1149</v>
      </c>
      <c r="B4826" s="21" t="s">
        <v>1092</v>
      </c>
      <c r="C4826" s="21" t="s">
        <v>1151</v>
      </c>
      <c r="D4826" s="21" t="s">
        <v>1065</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2498</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141</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1188</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137</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1204</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2102</v>
      </c>
      <c r="B4832" s="21" t="s">
        <v>1130</v>
      </c>
      <c r="C4832" s="21" t="s">
        <v>1071</v>
      </c>
      <c r="D4832" s="21" t="s">
        <v>1065</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1072</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1198</v>
      </c>
      <c r="B4834" s="21" t="s">
        <v>1121</v>
      </c>
      <c r="C4834" s="21" t="s">
        <v>1131</v>
      </c>
      <c r="D4834" s="21" t="s">
        <v>1065</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1076</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1185</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2499</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1072</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1321</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1204</v>
      </c>
      <c r="B4840" s="21" t="s">
        <v>1154</v>
      </c>
      <c r="C4840" s="21" t="s">
        <v>1151</v>
      </c>
      <c r="D4840" s="21" t="s">
        <v>1065</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1556</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1073</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1383</v>
      </c>
      <c r="B4843" s="21" t="s">
        <v>1080</v>
      </c>
      <c r="C4843" s="21" t="s">
        <v>1075</v>
      </c>
      <c r="D4843" s="21" t="s">
        <v>1065</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195</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row>
    <row r="4846" spans="1:12">
      <c r="A4846" s="20" t="s">
        <v>1274</v>
      </c>
    </row>
    <row r="4847" spans="1:12">
      <c r="A4847" s="20" t="s">
        <v>1161</v>
      </c>
      <c r="B4847" s="21" t="s">
        <v>1063</v>
      </c>
      <c r="C4847" s="21" t="s">
        <v>1064</v>
      </c>
      <c r="D4847" s="21" t="s">
        <v>1065</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1067</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row>
    <row r="4850" spans="1:12">
      <c r="A4850" s="20" t="s">
        <v>2500</v>
      </c>
    </row>
    <row r="4851" spans="1:12">
      <c r="A4851" s="20" t="s">
        <v>1640</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1076</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1335</v>
      </c>
      <c r="B4853" s="21" t="s">
        <v>1084</v>
      </c>
      <c r="C4853" s="21" t="s">
        <v>1151</v>
      </c>
      <c r="D4853" s="21" t="s">
        <v>1065</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2501</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2502</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51</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1124</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2503</v>
      </c>
      <c r="B4858" s="21" t="s">
        <v>1154</v>
      </c>
      <c r="C4858" s="21" t="s">
        <v>1071</v>
      </c>
      <c r="D4858" s="21" t="s">
        <v>1065</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1111</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1077</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1380</v>
      </c>
      <c r="B4861" s="21" t="s">
        <v>1097</v>
      </c>
      <c r="C4861" s="21" t="s">
        <v>1075</v>
      </c>
      <c r="D4861" s="21" t="s">
        <v>1065</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1106</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2504</v>
      </c>
      <c r="B4863" s="21" t="s">
        <v>1097</v>
      </c>
      <c r="C4863" s="21" t="s">
        <v>1144</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1076</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1568</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1492</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1091</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1211</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1185</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2505</v>
      </c>
      <c r="B4870" s="21" t="s">
        <v>1278</v>
      </c>
      <c r="C4870" s="21" t="s">
        <v>1144</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1833</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1623</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1088</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36</v>
      </c>
      <c r="B4874" s="21" t="s">
        <v>1118</v>
      </c>
      <c r="C4874" s="21" t="s">
        <v>1064</v>
      </c>
      <c r="D4874" s="21" t="s">
        <v>1065</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1100</v>
      </c>
      <c r="B4875" s="21" t="s">
        <v>1528</v>
      </c>
      <c r="C4875" s="21" t="s">
        <v>1064</v>
      </c>
      <c r="D4875" s="21" t="s">
        <v>1065</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195</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row>
    <row r="4878" spans="1:12">
      <c r="A4878" s="20" t="s">
        <v>2506</v>
      </c>
    </row>
    <row r="4879" spans="1:12">
      <c r="A4879" s="20" t="s">
        <v>2507</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1072</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51</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1088</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2508</v>
      </c>
      <c r="B4883" s="21" t="s">
        <v>1080</v>
      </c>
      <c r="C4883" s="21" t="s">
        <v>1144</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1557</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2289</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2509</v>
      </c>
      <c r="B4886" s="21" t="s">
        <v>1154</v>
      </c>
      <c r="C4886" s="21" t="s">
        <v>1098</v>
      </c>
      <c r="D4886" s="21" t="s">
        <v>1065</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1076</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2485</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1145</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row>
    <row r="4891" spans="1:12">
      <c r="A4891" s="20" t="s">
        <v>2510</v>
      </c>
    </row>
    <row r="4892" spans="1:12">
      <c r="A4892" s="20" t="s">
        <v>2511</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153</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1091</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1129</v>
      </c>
      <c r="B4895" s="21" t="s">
        <v>1123</v>
      </c>
      <c r="C4895" s="21" t="s">
        <v>1131</v>
      </c>
      <c r="D4895" s="21" t="s">
        <v>1065</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1091</v>
      </c>
      <c r="B4896" s="21" t="s">
        <v>1130</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2512</v>
      </c>
      <c r="B4897" s="21" t="s">
        <v>1278</v>
      </c>
      <c r="C4897" s="21" t="s">
        <v>1151</v>
      </c>
      <c r="D4897" s="21" t="s">
        <v>1065</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1319</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1564</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1434</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2513</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1124</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1830</v>
      </c>
      <c r="B4903" s="21" t="s">
        <v>1063</v>
      </c>
      <c r="C4903" s="21" t="s">
        <v>1109</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2514</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1091</v>
      </c>
      <c r="B4905" s="21" t="s">
        <v>1092</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1319</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2515</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1106</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2516</v>
      </c>
      <c r="B4909" s="21" t="s">
        <v>1097</v>
      </c>
      <c r="C4909" s="21" t="s">
        <v>1144</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1089</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1854</v>
      </c>
      <c r="B4911" s="21" t="s">
        <v>1126</v>
      </c>
      <c r="C4911" s="21" t="s">
        <v>1064</v>
      </c>
      <c r="D4911" s="21" t="s">
        <v>1065</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2517</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2256</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2470</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1322</v>
      </c>
      <c r="B4915" s="21" t="s">
        <v>1130</v>
      </c>
      <c r="C4915" s="21" t="s">
        <v>1151</v>
      </c>
      <c r="D4915" s="21" t="s">
        <v>1065</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1272</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1124</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1830</v>
      </c>
      <c r="B4918" s="21" t="s">
        <v>1114</v>
      </c>
      <c r="C4918" s="21" t="s">
        <v>1109</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1106</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2518</v>
      </c>
      <c r="B4920" s="21" t="s">
        <v>1114</v>
      </c>
      <c r="C4920" s="21" t="s">
        <v>1144</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2519</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1091</v>
      </c>
      <c r="B4922" s="21" t="s">
        <v>1132</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671</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2520</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1088</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2521</v>
      </c>
      <c r="B4926" s="21" t="s">
        <v>1118</v>
      </c>
      <c r="C4926" s="21" t="s">
        <v>1071</v>
      </c>
      <c r="D4926" s="21" t="s">
        <v>1065</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1072</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1089</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1854</v>
      </c>
      <c r="B4929" s="21" t="s">
        <v>1528</v>
      </c>
      <c r="C4929" s="21" t="s">
        <v>1064</v>
      </c>
      <c r="D4929" s="21" t="s">
        <v>1065</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909</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1072</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1077</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1228</v>
      </c>
      <c r="B4933" s="21" t="s">
        <v>1438</v>
      </c>
      <c r="C4933" s="21" t="s">
        <v>1075</v>
      </c>
      <c r="D4933" s="21" t="s">
        <v>1065</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1106</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1107</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2522</v>
      </c>
      <c r="B4936" s="21" t="s">
        <v>1118</v>
      </c>
      <c r="C4936" s="21" t="s">
        <v>1071</v>
      </c>
      <c r="D4936" s="21" t="s">
        <v>1065</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1088</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2523</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2524</v>
      </c>
      <c r="B4939" s="21" t="s">
        <v>1528</v>
      </c>
      <c r="C4939" s="21" t="s">
        <v>1144</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1145</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row>
    <row r="4942" spans="1:12">
      <c r="A4942" s="20" t="s">
        <v>2525</v>
      </c>
    </row>
    <row r="4943" spans="1:12">
      <c r="A4943" s="20" t="s">
        <v>1631</v>
      </c>
      <c r="B4943" s="21" t="s">
        <v>1150</v>
      </c>
      <c r="C4943" s="21" t="s">
        <v>1131</v>
      </c>
      <c r="D4943" s="21" t="s">
        <v>1065</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1185</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1164</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2289</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2509</v>
      </c>
      <c r="B4947" s="21" t="s">
        <v>1063</v>
      </c>
      <c r="C4947" s="21" t="s">
        <v>1075</v>
      </c>
      <c r="D4947" s="21" t="s">
        <v>1065</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1091</v>
      </c>
      <c r="B4948" s="21" t="s">
        <v>1123</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1363</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2526</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195</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row>
    <row r="4953" spans="1:12">
      <c r="A4953" s="20" t="s">
        <v>2527</v>
      </c>
    </row>
    <row r="4954" spans="1:12">
      <c r="A4954" s="20" t="s">
        <v>1575</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2528</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1072</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137</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1535</v>
      </c>
      <c r="B4958" s="21" t="s">
        <v>1154</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2529</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1188</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1204</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1979</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2530</v>
      </c>
      <c r="B4963" s="21" t="s">
        <v>1114</v>
      </c>
      <c r="C4963" s="21" t="s">
        <v>1075</v>
      </c>
      <c r="D4963" s="21" t="s">
        <v>1065</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1076</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1091</v>
      </c>
      <c r="B4965" s="21" t="s">
        <v>1278</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1434</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1169</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1124</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1830</v>
      </c>
      <c r="B4969" s="21" t="s">
        <v>1097</v>
      </c>
      <c r="C4969" s="21" t="s">
        <v>1109</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2514</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1145</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row>
    <row r="4973" spans="1:12">
      <c r="A4973" s="20" t="s">
        <v>2531</v>
      </c>
    </row>
    <row r="4974" spans="1:12">
      <c r="A4974" s="20" t="s">
        <v>2532</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2533</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671</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1504</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2534</v>
      </c>
      <c r="B4978" s="21" t="s">
        <v>1154</v>
      </c>
      <c r="C4978" s="21" t="s">
        <v>1115</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195</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row>
    <row r="4981" spans="1:12">
      <c r="A4981" s="20" t="s">
        <v>2535</v>
      </c>
    </row>
    <row r="4982" spans="1:12">
      <c r="A4982" s="20" t="s">
        <v>2201</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2536</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1504</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2534</v>
      </c>
      <c r="B4985" s="21" t="s">
        <v>1150</v>
      </c>
      <c r="C4985" s="21" t="s">
        <v>1115</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195</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row>
    <row r="4988" spans="1:12">
      <c r="A4988" s="20" t="s">
        <v>2537</v>
      </c>
    </row>
    <row r="4989" spans="1:12">
      <c r="A4989" s="20" t="s">
        <v>1157</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2538</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453</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1204</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2539</v>
      </c>
      <c r="B4993" s="21" t="s">
        <v>1154</v>
      </c>
      <c r="C4993" s="21" t="s">
        <v>1075</v>
      </c>
      <c r="D4993" s="21" t="s">
        <v>1065</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1329</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1204</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1226</v>
      </c>
      <c r="B4996" s="21" t="s">
        <v>1092</v>
      </c>
      <c r="C4996" s="21" t="s">
        <v>1075</v>
      </c>
      <c r="D4996" s="21" t="s">
        <v>1065</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1214</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1646</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1237</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1876</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1076</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1429</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1164</v>
      </c>
      <c r="B5003" s="21" t="s">
        <v>1154</v>
      </c>
      <c r="C5003" s="21" t="s">
        <v>1151</v>
      </c>
      <c r="D5003" s="21" t="s">
        <v>1065</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2540</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195</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row>
    <row r="5007" spans="1:12">
      <c r="A5007" s="20" t="s">
        <v>1191</v>
      </c>
    </row>
    <row r="5008" spans="1:12">
      <c r="A5008" s="20" t="s">
        <v>1192</v>
      </c>
      <c r="B5008" s="21" t="s">
        <v>1063</v>
      </c>
      <c r="C5008" s="21" t="s">
        <v>1064</v>
      </c>
      <c r="D5008" s="21" t="s">
        <v>1065</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1067</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row>
    <row r="5011" spans="1:12">
      <c r="A5011" s="20" t="s">
        <v>2541</v>
      </c>
    </row>
    <row r="5012" spans="1:12">
      <c r="A5012" s="20" t="s">
        <v>2371</v>
      </c>
      <c r="B5012" s="21" t="s">
        <v>1150</v>
      </c>
      <c r="C5012" s="21" t="s">
        <v>1151</v>
      </c>
      <c r="D5012" s="21" t="s">
        <v>1065</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1363</v>
      </c>
      <c r="B5013" s="21" t="s">
        <v>1084</v>
      </c>
      <c r="C5013" s="21" t="s">
        <v>1151</v>
      </c>
      <c r="D5013" s="21" t="s">
        <v>1065</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2540</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195</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row>
    <row r="5017" spans="1:12">
      <c r="A5017" s="20" t="s">
        <v>1274</v>
      </c>
    </row>
    <row r="5018" spans="1:12">
      <c r="A5018" s="20" t="s">
        <v>1161</v>
      </c>
      <c r="B5018" s="21" t="s">
        <v>1063</v>
      </c>
      <c r="C5018" s="21" t="s">
        <v>1064</v>
      </c>
      <c r="D5018" s="21" t="s">
        <v>1065</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1067</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row>
    <row r="5021" spans="1:12">
      <c r="A5021" s="20" t="s">
        <v>2542</v>
      </c>
    </row>
    <row r="5022" spans="1:12">
      <c r="A5022" s="20" t="s">
        <v>1385</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1535</v>
      </c>
      <c r="B5023" s="21" t="s">
        <v>1150</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2543</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1204</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2544</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2530</v>
      </c>
      <c r="B5027" s="21" t="s">
        <v>1084</v>
      </c>
      <c r="C5027" s="21" t="s">
        <v>1075</v>
      </c>
      <c r="D5027" s="21" t="s">
        <v>1065</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1076</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1091</v>
      </c>
      <c r="B5029" s="21" t="s">
        <v>1092</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671</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2545</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1072</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1124</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1830</v>
      </c>
      <c r="B5034" s="21" t="s">
        <v>1097</v>
      </c>
      <c r="C5034" s="21" t="s">
        <v>1071</v>
      </c>
      <c r="D5034" s="21" t="s">
        <v>1065</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1106</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2518</v>
      </c>
      <c r="B5036" s="21" t="s">
        <v>1114</v>
      </c>
      <c r="C5036" s="21" t="s">
        <v>1144</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2519</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1145</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row>
    <row r="5040" spans="1:12">
      <c r="A5040" s="20" t="s">
        <v>2546</v>
      </c>
    </row>
    <row r="5041" spans="1:12">
      <c r="A5041" s="20" t="s">
        <v>1102</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1103</v>
      </c>
      <c r="B5042" s="21" t="s">
        <v>1150</v>
      </c>
      <c r="C5042" s="21" t="s">
        <v>1064</v>
      </c>
      <c r="D5042" s="21" t="s">
        <v>1065</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1104</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1102</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2547</v>
      </c>
      <c r="B5045" s="21" t="s">
        <v>1080</v>
      </c>
      <c r="C5045" s="21" t="s">
        <v>1064</v>
      </c>
      <c r="D5045" s="21" t="s">
        <v>1065</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1072</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2548</v>
      </c>
      <c r="B5047" s="21" t="s">
        <v>1097</v>
      </c>
      <c r="C5047" s="21" t="s">
        <v>1144</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1104</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1740</v>
      </c>
      <c r="B5049" s="21" t="s">
        <v>1080</v>
      </c>
      <c r="C5049" s="21" t="s">
        <v>1064</v>
      </c>
      <c r="D5049" s="21" t="s">
        <v>1065</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1434</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2485</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111</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1091</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1211</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1185</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1124</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2549</v>
      </c>
      <c r="B5057" s="21" t="s">
        <v>1092</v>
      </c>
      <c r="C5057" s="21" t="s">
        <v>1071</v>
      </c>
      <c r="D5057" s="21" t="s">
        <v>1065</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1072</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1609</v>
      </c>
      <c r="B5059" s="21" t="s">
        <v>1114</v>
      </c>
      <c r="C5059" s="21" t="s">
        <v>1144</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1091</v>
      </c>
      <c r="B5060" s="21" t="s">
        <v>1132</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1213</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1178</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2550</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1204</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2539</v>
      </c>
      <c r="B5065" s="21" t="s">
        <v>1135</v>
      </c>
      <c r="C5065" s="21" t="s">
        <v>1075</v>
      </c>
      <c r="D5065" s="21" t="s">
        <v>1065</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909</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1561</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2551</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2189</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2552</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1085</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1198</v>
      </c>
      <c r="B5072" s="21" t="s">
        <v>1097</v>
      </c>
      <c r="C5072" s="21" t="s">
        <v>1131</v>
      </c>
      <c r="D5072" s="21" t="s">
        <v>1065</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1076</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1568</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1335</v>
      </c>
      <c r="B5075" s="21" t="s">
        <v>1130</v>
      </c>
      <c r="C5075" s="21" t="s">
        <v>1151</v>
      </c>
      <c r="D5075" s="21" t="s">
        <v>1065</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2553</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1091</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1077</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1199</v>
      </c>
      <c r="B5079" s="21" t="s">
        <v>1354</v>
      </c>
      <c r="C5079" s="21" t="s">
        <v>1071</v>
      </c>
      <c r="D5079" s="21" t="s">
        <v>1065</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1085</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1072</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1048</v>
      </c>
      <c r="B5082" s="21" t="s">
        <v>1118</v>
      </c>
      <c r="C5082" s="21" t="s">
        <v>1151</v>
      </c>
      <c r="D5082" s="21" t="s">
        <v>1065</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1213</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671</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2554</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2523</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1164</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1690</v>
      </c>
      <c r="B5088" s="21" t="s">
        <v>1121</v>
      </c>
      <c r="C5088" s="21" t="s">
        <v>1075</v>
      </c>
      <c r="D5088" s="21" t="s">
        <v>1065</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2555</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2556</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195</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row>
    <row r="5093" spans="1:12">
      <c r="A5093" s="20" t="s">
        <v>2557</v>
      </c>
    </row>
    <row r="5094" spans="1:12">
      <c r="A5094" s="20" t="s">
        <v>1264</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671</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2202</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1072</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2558</v>
      </c>
      <c r="B5098" s="21" t="s">
        <v>1080</v>
      </c>
      <c r="C5098" s="21" t="s">
        <v>1144</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2033</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1072</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2559</v>
      </c>
      <c r="B5101" s="21" t="s">
        <v>1097</v>
      </c>
      <c r="C5101" s="21" t="s">
        <v>1144</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1076</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1213</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671</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2202</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1072</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146</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2560</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2033</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2561</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1076</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1213</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1214</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1577</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1198</v>
      </c>
      <c r="B5115" s="21" t="s">
        <v>1150</v>
      </c>
      <c r="C5115" s="21" t="s">
        <v>1131</v>
      </c>
      <c r="D5115" s="21" t="s">
        <v>1065</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195</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row>
    <row r="5118" spans="1:12">
      <c r="A5118" s="20" t="s">
        <v>2562</v>
      </c>
    </row>
    <row r="5119" spans="1:12">
      <c r="A5119" s="20" t="s">
        <v>1296</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1113</v>
      </c>
      <c r="B5120" s="21" t="s">
        <v>1063</v>
      </c>
      <c r="C5120" s="21" t="s">
        <v>1144</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671</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2202</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2563</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1072</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1124</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2564</v>
      </c>
      <c r="B5126" s="21" t="s">
        <v>1063</v>
      </c>
      <c r="C5126" s="21" t="s">
        <v>1109</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2565</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195</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row>
    <row r="5130" spans="1:12">
      <c r="A5130" s="20" t="s">
        <v>2566</v>
      </c>
    </row>
    <row r="5131" spans="1:12">
      <c r="A5131" s="20" t="s">
        <v>2449</v>
      </c>
      <c r="B5131" s="21" t="s">
        <v>1150</v>
      </c>
      <c r="C5131" s="21" t="s">
        <v>1151</v>
      </c>
      <c r="D5131" s="21" t="s">
        <v>1065</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2567</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1113</v>
      </c>
      <c r="B5133" s="21" t="s">
        <v>1084</v>
      </c>
      <c r="C5133" s="21" t="s">
        <v>1071</v>
      </c>
      <c r="D5133" s="21" t="s">
        <v>1065</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1072</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1107</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2568</v>
      </c>
      <c r="B5136" s="21" t="s">
        <v>1080</v>
      </c>
      <c r="C5136" s="21" t="s">
        <v>1109</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2569</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1202</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1079</v>
      </c>
      <c r="B5139" s="21" t="s">
        <v>1114</v>
      </c>
      <c r="C5139" s="21" t="s">
        <v>1064</v>
      </c>
      <c r="D5139" s="21" t="s">
        <v>1065</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909</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2553</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2563</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1091</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1286</v>
      </c>
      <c r="B5144" s="21" t="s">
        <v>1092</v>
      </c>
      <c r="C5144" s="21" t="s">
        <v>1151</v>
      </c>
      <c r="D5144" s="21" t="s">
        <v>1065</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1318</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1434</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1916</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2570</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1088</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1124</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2571</v>
      </c>
      <c r="B5151" s="21" t="s">
        <v>1097</v>
      </c>
      <c r="C5151" s="21" t="s">
        <v>1109</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2563</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2572</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1329</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1303</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1254</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1091</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1214</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1169</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1564</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2394</v>
      </c>
      <c r="B5161" s="21" t="s">
        <v>1354</v>
      </c>
      <c r="C5161" s="21" t="s">
        <v>1155</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1091</v>
      </c>
      <c r="B5162" s="21" t="s">
        <v>1359</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1076</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1088</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2573</v>
      </c>
      <c r="B5165" s="21" t="s">
        <v>1438</v>
      </c>
      <c r="C5165" s="21" t="s">
        <v>1119</v>
      </c>
      <c r="D5165" s="21" t="s">
        <v>1065</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536</v>
      </c>
      <c r="B5166" s="21" t="s">
        <v>1528</v>
      </c>
      <c r="C5166" s="21" t="s">
        <v>1115</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1076</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1787</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2574</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1079</v>
      </c>
      <c r="B5170" s="21" t="s">
        <v>1484</v>
      </c>
      <c r="C5170" s="21" t="s">
        <v>1064</v>
      </c>
      <c r="D5170" s="21" t="s">
        <v>1065</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195</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row>
    <row r="5173" spans="1:12">
      <c r="A5173" s="20" t="s">
        <v>2575</v>
      </c>
    </row>
    <row r="5174" spans="1:12">
      <c r="A5174" s="20" t="s">
        <v>2576</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1214</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2394</v>
      </c>
      <c r="B5176" s="21" t="s">
        <v>1150</v>
      </c>
      <c r="C5176" s="21" t="s">
        <v>1155</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1072</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1645</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1106</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1198</v>
      </c>
      <c r="B5180" s="21" t="s">
        <v>1063</v>
      </c>
      <c r="C5180" s="21" t="s">
        <v>1131</v>
      </c>
      <c r="D5180" s="21" t="s">
        <v>1065</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1145</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row>
    <row r="5183" spans="1:12">
      <c r="A5183" s="20" t="s">
        <v>2577</v>
      </c>
    </row>
    <row r="5184" spans="1:12">
      <c r="A5184" s="20" t="s">
        <v>1192</v>
      </c>
      <c r="B5184" s="21" t="s">
        <v>1063</v>
      </c>
      <c r="C5184" s="21" t="s">
        <v>1064</v>
      </c>
      <c r="D5184" s="21" t="s">
        <v>1065</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1067</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2578</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195</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row>
    <row r="5189" spans="1:12">
      <c r="A5189" s="20" t="s">
        <v>2579</v>
      </c>
    </row>
    <row r="5190" spans="1:12">
      <c r="A5190" s="20" t="s">
        <v>1740</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1091</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1434</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2580</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1645</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195</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row>
    <row r="5197" spans="1:12">
      <c r="A5197" s="20" t="s">
        <v>2581</v>
      </c>
    </row>
    <row r="5198" spans="1:12">
      <c r="A5198" s="20" t="s">
        <v>1264</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1214</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1107</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2582</v>
      </c>
      <c r="B5201" s="21" t="s">
        <v>1063</v>
      </c>
      <c r="C5201" s="21" t="s">
        <v>1071</v>
      </c>
      <c r="D5201" s="21" t="s">
        <v>1065</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1072</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2558</v>
      </c>
      <c r="B5203" s="21" t="s">
        <v>1063</v>
      </c>
      <c r="C5203" s="21" t="s">
        <v>1144</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2033</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1072</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2559</v>
      </c>
      <c r="B5206" s="21" t="s">
        <v>1080</v>
      </c>
      <c r="C5206" s="21" t="s">
        <v>1144</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195</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row>
    <row r="5209" spans="1:12">
      <c r="A5209" s="20" t="s">
        <v>2583</v>
      </c>
    </row>
    <row r="5210" spans="1:12">
      <c r="A5210" s="20" t="s">
        <v>2020</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1730</v>
      </c>
      <c r="B5211" s="21" t="s">
        <v>1080</v>
      </c>
      <c r="C5211" s="21" t="s">
        <v>1119</v>
      </c>
      <c r="D5211" s="21" t="s">
        <v>1065</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1422</v>
      </c>
      <c r="B5212" s="21" t="s">
        <v>1150</v>
      </c>
      <c r="C5212" s="21" t="s">
        <v>1071</v>
      </c>
      <c r="D5212" s="21" t="s">
        <v>1065</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1072</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2300</v>
      </c>
      <c r="B5214" s="21" t="s">
        <v>1080</v>
      </c>
      <c r="C5214" s="21" t="s">
        <v>1144</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1076</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909</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1329</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2372</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1730</v>
      </c>
      <c r="B5219" s="21" t="s">
        <v>1084</v>
      </c>
      <c r="C5219" s="21" t="s">
        <v>1119</v>
      </c>
      <c r="D5219" s="21" t="s">
        <v>1065</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1076</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1213</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1795</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1577</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1072</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1173</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1892</v>
      </c>
      <c r="B5226" s="21" t="s">
        <v>1126</v>
      </c>
      <c r="C5226" s="21" t="s">
        <v>1075</v>
      </c>
      <c r="D5226" s="21" t="s">
        <v>1065</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1076</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1429</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1072</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1073</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2135</v>
      </c>
      <c r="B5231" s="21" t="s">
        <v>1080</v>
      </c>
      <c r="C5231" s="21" t="s">
        <v>1071</v>
      </c>
      <c r="D5231" s="21" t="s">
        <v>1065</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1072</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1530</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1077</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1228</v>
      </c>
      <c r="B5235" s="21" t="s">
        <v>1097</v>
      </c>
      <c r="C5235" s="21" t="s">
        <v>1075</v>
      </c>
      <c r="D5235" s="21" t="s">
        <v>1065</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1076</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1213</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1214</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2582</v>
      </c>
      <c r="B5239" s="21" t="s">
        <v>1092</v>
      </c>
      <c r="C5239" s="21" t="s">
        <v>1071</v>
      </c>
      <c r="D5239" s="21" t="s">
        <v>1065</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1072</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2584</v>
      </c>
      <c r="B5241" s="21" t="s">
        <v>1114</v>
      </c>
      <c r="C5241" s="21" t="s">
        <v>1144</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195</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row>
    <row r="5244" spans="1:12">
      <c r="A5244" s="20" t="s">
        <v>2585</v>
      </c>
    </row>
    <row r="5245" spans="1:12">
      <c r="A5245" s="20" t="s">
        <v>1575</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1334</v>
      </c>
      <c r="B5246" s="21" t="s">
        <v>1150</v>
      </c>
      <c r="C5246" s="21" t="s">
        <v>1144</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1106</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1393</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1153</v>
      </c>
      <c r="B5249" s="21" t="s">
        <v>1092</v>
      </c>
      <c r="C5249" s="21" t="s">
        <v>1155</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2119</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909</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2586</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1111</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1153</v>
      </c>
      <c r="B5254" s="21" t="s">
        <v>1114</v>
      </c>
      <c r="C5254" s="21" t="s">
        <v>1155</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2137</v>
      </c>
      <c r="B5255" s="21" t="s">
        <v>1126</v>
      </c>
      <c r="C5255" s="21" t="s">
        <v>1151</v>
      </c>
      <c r="D5255" s="21" t="s">
        <v>1065</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2432</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1164</v>
      </c>
      <c r="B5257" s="21" t="s">
        <v>1130</v>
      </c>
      <c r="C5257" s="21" t="s">
        <v>1151</v>
      </c>
      <c r="D5257" s="21" t="s">
        <v>1065</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1076</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1111</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1153</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1196</v>
      </c>
      <c r="B5261" s="21" t="s">
        <v>1114</v>
      </c>
      <c r="C5261" s="21" t="s">
        <v>1131</v>
      </c>
      <c r="D5261" s="21" t="s">
        <v>1065</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1091</v>
      </c>
      <c r="B5262" s="21" t="s">
        <v>1132</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1178</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2587</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909</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1459</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1088</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1301</v>
      </c>
      <c r="B5268" s="21" t="s">
        <v>1438</v>
      </c>
      <c r="C5268" s="21" t="s">
        <v>1119</v>
      </c>
      <c r="D5268" s="21" t="s">
        <v>1065</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2508</v>
      </c>
      <c r="B5269" s="21" t="s">
        <v>1528</v>
      </c>
      <c r="C5269" s="21" t="s">
        <v>1115</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1107</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2588</v>
      </c>
      <c r="B5271" s="21" t="s">
        <v>1484</v>
      </c>
      <c r="C5271" s="21" t="s">
        <v>1071</v>
      </c>
      <c r="D5271" s="21" t="s">
        <v>1065</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1079</v>
      </c>
      <c r="B5272" s="21" t="s">
        <v>1438</v>
      </c>
      <c r="C5272" s="21" t="s">
        <v>1064</v>
      </c>
      <c r="D5272" s="21" t="s">
        <v>1065</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1615</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909</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1616</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1076</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1093</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1088</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2137</v>
      </c>
      <c r="B5279" s="21" t="s">
        <v>1063</v>
      </c>
      <c r="C5279" s="21" t="s">
        <v>1151</v>
      </c>
      <c r="D5279" s="21" t="s">
        <v>1065</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2589</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1390</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1422</v>
      </c>
      <c r="B5282" s="21" t="s">
        <v>1154</v>
      </c>
      <c r="C5282" s="21" t="s">
        <v>1098</v>
      </c>
      <c r="D5282" s="21" t="s">
        <v>1065</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1188</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1164</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2590</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2591</v>
      </c>
      <c r="B5286" s="21" t="s">
        <v>1080</v>
      </c>
      <c r="C5286" s="21" t="s">
        <v>1075</v>
      </c>
      <c r="D5286" s="21" t="s">
        <v>1065</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909</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1415</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1213</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2592</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1164</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1334</v>
      </c>
      <c r="B5292" s="21" t="s">
        <v>1126</v>
      </c>
      <c r="C5292" s="21" t="s">
        <v>1075</v>
      </c>
      <c r="D5292" s="21" t="s">
        <v>1065</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1076</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1415</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1213</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2593</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1106</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2594</v>
      </c>
      <c r="B5298" s="21" t="s">
        <v>1097</v>
      </c>
      <c r="C5298" s="21" t="s">
        <v>1144</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1188</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141</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1073</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2595</v>
      </c>
      <c r="B5302" s="21" t="s">
        <v>1130</v>
      </c>
      <c r="C5302" s="21" t="s">
        <v>1075</v>
      </c>
      <c r="D5302" s="21" t="s">
        <v>1065</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2596</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1188</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2597</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2598</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1204</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1614</v>
      </c>
      <c r="B5308" s="21" t="s">
        <v>1484</v>
      </c>
      <c r="C5308" s="21" t="s">
        <v>1075</v>
      </c>
      <c r="D5308" s="21" t="s">
        <v>1065</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1076</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1213</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1577</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1188</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2137</v>
      </c>
      <c r="B5313" s="21" t="s">
        <v>1097</v>
      </c>
      <c r="C5313" s="21" t="s">
        <v>1151</v>
      </c>
      <c r="D5313" s="21" t="s">
        <v>1065</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2599</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1429</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1188</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1153</v>
      </c>
      <c r="B5317" s="21" t="s">
        <v>1114</v>
      </c>
      <c r="C5317" s="21" t="s">
        <v>1155</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1076</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1976</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1204</v>
      </c>
      <c r="B5320" s="21" t="s">
        <v>1130</v>
      </c>
      <c r="C5320" s="21" t="s">
        <v>1151</v>
      </c>
      <c r="D5320" s="21" t="s">
        <v>1065</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2600</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1076</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909</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1867</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1107</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2601</v>
      </c>
      <c r="B5326" s="21" t="s">
        <v>1063</v>
      </c>
      <c r="C5326" s="21" t="s">
        <v>1071</v>
      </c>
      <c r="D5326" s="21" t="s">
        <v>1065</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2447</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1076</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1213</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1577</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1188</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2137</v>
      </c>
      <c r="B5332" s="21" t="s">
        <v>1080</v>
      </c>
      <c r="C5332" s="21" t="s">
        <v>1151</v>
      </c>
      <c r="D5332" s="21" t="s">
        <v>1065</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1076</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1429</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1188</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1077</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1228</v>
      </c>
      <c r="B5337" s="21" t="s">
        <v>1080</v>
      </c>
      <c r="C5337" s="21" t="s">
        <v>1075</v>
      </c>
      <c r="D5337" s="21" t="s">
        <v>1065</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2602</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195</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row>
    <row r="5341" spans="1:12">
      <c r="A5341" s="20" t="s">
        <v>1274</v>
      </c>
    </row>
    <row r="5342" spans="1:12">
      <c r="A5342" s="20" t="s">
        <v>1161</v>
      </c>
      <c r="B5342" s="21" t="s">
        <v>1063</v>
      </c>
      <c r="C5342" s="21" t="s">
        <v>1064</v>
      </c>
      <c r="D5342" s="21" t="s">
        <v>1065</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1067</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row>
    <row r="5345" spans="1:12">
      <c r="A5345" s="20" t="s">
        <v>2603</v>
      </c>
    </row>
    <row r="5346" spans="1:12">
      <c r="A5346" s="20" t="s">
        <v>2071</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1916</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111</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1334</v>
      </c>
      <c r="B5349" s="21" t="s">
        <v>1154</v>
      </c>
      <c r="C5349" s="21" t="s">
        <v>1144</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2604</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1106</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1173</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1174</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1285</v>
      </c>
      <c r="B5354" s="21" t="s">
        <v>1063</v>
      </c>
      <c r="C5354" s="21" t="s">
        <v>1075</v>
      </c>
      <c r="D5354" s="21" t="s">
        <v>1065</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1111</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1077</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2605</v>
      </c>
      <c r="B5357" s="21" t="s">
        <v>1063</v>
      </c>
      <c r="C5357" s="21" t="s">
        <v>1071</v>
      </c>
      <c r="D5357" s="21" t="s">
        <v>1065</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1072</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1077</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2606</v>
      </c>
      <c r="B5360" s="21" t="s">
        <v>1080</v>
      </c>
      <c r="C5360" s="21" t="s">
        <v>1071</v>
      </c>
      <c r="D5360" s="21" t="s">
        <v>1065</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2607</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2608</v>
      </c>
      <c r="B5362" s="21" t="s">
        <v>1097</v>
      </c>
      <c r="C5362" s="21" t="s">
        <v>1144</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1076</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1091</v>
      </c>
      <c r="B5364" s="21" t="s">
        <v>1092</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1561</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1434</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1237</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1202</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2137</v>
      </c>
      <c r="B5369" s="21" t="s">
        <v>1097</v>
      </c>
      <c r="C5369" s="21" t="s">
        <v>1151</v>
      </c>
      <c r="D5369" s="21" t="s">
        <v>1065</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1076</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2609</v>
      </c>
      <c r="B5371" s="21" t="s">
        <v>1126</v>
      </c>
      <c r="C5371" s="21" t="s">
        <v>1064</v>
      </c>
      <c r="D5371" s="21" t="s">
        <v>1065</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837</v>
      </c>
      <c r="B5372" s="21" t="s">
        <v>1114</v>
      </c>
      <c r="C5372" s="21" t="s">
        <v>1064</v>
      </c>
      <c r="D5372" s="21" t="s">
        <v>1065</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2610</v>
      </c>
      <c r="B5373" s="21" t="s">
        <v>1114</v>
      </c>
      <c r="C5373" s="21" t="s">
        <v>1064</v>
      </c>
      <c r="D5373" s="21" t="s">
        <v>1065</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11</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2611</v>
      </c>
      <c r="B5375" s="21" t="s">
        <v>1114</v>
      </c>
      <c r="C5375" s="21" t="s">
        <v>1064</v>
      </c>
      <c r="D5375" s="21" t="s">
        <v>1065</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195</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row>
    <row r="5378" spans="1:12">
      <c r="A5378" s="20" t="s">
        <v>2612</v>
      </c>
    </row>
    <row r="5379" spans="1:12">
      <c r="A5379" s="20" t="s">
        <v>2613</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1076</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837</v>
      </c>
      <c r="B5381" s="21" t="s">
        <v>1150</v>
      </c>
      <c r="C5381" s="21" t="s">
        <v>1064</v>
      </c>
      <c r="D5381" s="21" t="s">
        <v>1065</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1076</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2614</v>
      </c>
      <c r="B5383" s="21" t="s">
        <v>1080</v>
      </c>
      <c r="C5383" s="21" t="s">
        <v>1144</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1237</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1088</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251</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1076</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1253</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1124</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2615</v>
      </c>
      <c r="B5390" s="21" t="s">
        <v>1084</v>
      </c>
      <c r="C5390" s="21" t="s">
        <v>1071</v>
      </c>
      <c r="D5390" s="21" t="s">
        <v>1065</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1188</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837</v>
      </c>
      <c r="B5392" s="21" t="s">
        <v>1080</v>
      </c>
      <c r="C5392" s="21" t="s">
        <v>1064</v>
      </c>
      <c r="D5392" s="21" t="s">
        <v>1065</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1145</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row>
    <row r="5395" spans="1:12">
      <c r="A5395" s="20" t="s">
        <v>2616</v>
      </c>
    </row>
    <row r="5396" spans="1:12">
      <c r="A5396" s="20" t="s">
        <v>837</v>
      </c>
      <c r="B5396" s="21" t="s">
        <v>1063</v>
      </c>
      <c r="C5396" s="21" t="s">
        <v>1064</v>
      </c>
      <c r="D5396" s="21" t="s">
        <v>1065</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1076</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1091</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981</v>
      </c>
      <c r="B5399" s="21" t="s">
        <v>1063</v>
      </c>
      <c r="C5399" s="21" t="s">
        <v>1115</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2470</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1318</v>
      </c>
      <c r="B5401" s="21" t="s">
        <v>1126</v>
      </c>
      <c r="C5401" s="21" t="s">
        <v>1151</v>
      </c>
      <c r="D5401" s="21" t="s">
        <v>1065</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195</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row>
    <row r="5404" spans="1:12">
      <c r="A5404" s="20" t="s">
        <v>2617</v>
      </c>
    </row>
    <row r="5405" spans="1:12">
      <c r="A5405" s="20" t="s">
        <v>554</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1237</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195</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row>
    <row r="5409" spans="1:12">
      <c r="A5409" s="20" t="s">
        <v>2618</v>
      </c>
    </row>
    <row r="5410" spans="1:12">
      <c r="A5410" s="20" t="s">
        <v>2619</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1091</v>
      </c>
      <c r="B5411" s="21" t="s">
        <v>1080</v>
      </c>
      <c r="C5411" s="21" t="s">
        <v>1140</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1113</v>
      </c>
      <c r="B5412" s="21" t="s">
        <v>1063</v>
      </c>
      <c r="C5412" s="21" t="s">
        <v>1115</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1998</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1286</v>
      </c>
      <c r="B5414" s="21" t="s">
        <v>1150</v>
      </c>
      <c r="C5414" s="21" t="s">
        <v>1151</v>
      </c>
      <c r="D5414" s="21" t="s">
        <v>1065</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1076</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1088</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2442</v>
      </c>
      <c r="B5417" s="21" t="s">
        <v>1080</v>
      </c>
      <c r="C5417" s="21" t="s">
        <v>1144</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1076</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1181</v>
      </c>
      <c r="B5419" s="21" t="s">
        <v>1097</v>
      </c>
      <c r="C5419" s="21" t="s">
        <v>1144</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2033</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1182</v>
      </c>
      <c r="B5421" s="21" t="s">
        <v>1097</v>
      </c>
      <c r="C5421" s="21" t="s">
        <v>1144</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1145</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row>
    <row r="5424" spans="1:12">
      <c r="A5424" s="20" t="s">
        <v>2620</v>
      </c>
    </row>
    <row r="5425" spans="1:12">
      <c r="A5425" s="20" t="s">
        <v>2371</v>
      </c>
      <c r="B5425" s="21" t="s">
        <v>1150</v>
      </c>
      <c r="C5425" s="21" t="s">
        <v>1151</v>
      </c>
      <c r="D5425" s="21" t="s">
        <v>1065</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1163</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1107</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1205</v>
      </c>
      <c r="B5428" s="21" t="s">
        <v>1080</v>
      </c>
      <c r="C5428" s="21" t="s">
        <v>1119</v>
      </c>
      <c r="D5428" s="21" t="s">
        <v>1065</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2621</v>
      </c>
      <c r="B5429" s="21" t="s">
        <v>1084</v>
      </c>
      <c r="C5429" s="21" t="s">
        <v>1109</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1076</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2622</v>
      </c>
      <c r="B5431" s="21" t="s">
        <v>1080</v>
      </c>
      <c r="C5431" s="21" t="s">
        <v>1144</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195</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row>
    <row r="5434" spans="1:12">
      <c r="A5434" s="20" t="s">
        <v>2623</v>
      </c>
    </row>
    <row r="5435" spans="1:12">
      <c r="A5435" s="20" t="s">
        <v>837</v>
      </c>
      <c r="B5435" s="21" t="s">
        <v>1063</v>
      </c>
      <c r="C5435" s="21" t="s">
        <v>1064</v>
      </c>
      <c r="D5435" s="21" t="s">
        <v>1065</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2624</v>
      </c>
      <c r="B5436" s="21" t="s">
        <v>1063</v>
      </c>
      <c r="C5436" s="21" t="s">
        <v>1064</v>
      </c>
      <c r="D5436" s="21" t="s">
        <v>1065</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1067</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row>
    <row r="5439" spans="1:12">
      <c r="A5439" s="20" t="s">
        <v>2625</v>
      </c>
    </row>
    <row r="5440" spans="1:12">
      <c r="A5440" s="20" t="s">
        <v>2071</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1773</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2626</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1833</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1375</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2627</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1088</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1215</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1216</v>
      </c>
      <c r="B5448" s="21" t="s">
        <v>1080</v>
      </c>
      <c r="C5448" s="21" t="s">
        <v>1098</v>
      </c>
      <c r="D5448" s="21" t="s">
        <v>1065</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1076</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1429</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1182</v>
      </c>
      <c r="B5451" s="21" t="s">
        <v>1063</v>
      </c>
      <c r="C5451" s="21" t="s">
        <v>1144</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1076</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1415</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2628</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791</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1244</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1164</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2289</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195</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row>
    <row r="5461" spans="1:12">
      <c r="A5461" s="20" t="s">
        <v>2629</v>
      </c>
    </row>
    <row r="5462" spans="1:12">
      <c r="A5462" s="20" t="s">
        <v>1161</v>
      </c>
      <c r="B5462" s="21" t="s">
        <v>1063</v>
      </c>
      <c r="C5462" s="21" t="s">
        <v>1064</v>
      </c>
      <c r="D5462" s="21" t="s">
        <v>1065</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1067</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1099</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1076</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1561</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1091</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1286</v>
      </c>
      <c r="B5468" s="21" t="s">
        <v>1123</v>
      </c>
      <c r="C5468" s="21" t="s">
        <v>1151</v>
      </c>
      <c r="D5468" s="21" t="s">
        <v>1065</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1464</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2630</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1204</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2631</v>
      </c>
      <c r="B5472" s="21" t="s">
        <v>1154</v>
      </c>
      <c r="C5472" s="21" t="s">
        <v>1075</v>
      </c>
      <c r="D5472" s="21" t="s">
        <v>1065</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1072</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1393</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2609</v>
      </c>
      <c r="B5475" s="21" t="s">
        <v>1278</v>
      </c>
      <c r="C5475" s="21" t="s">
        <v>1064</v>
      </c>
      <c r="D5475" s="21" t="s">
        <v>1065</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837</v>
      </c>
      <c r="B5476" s="21" t="s">
        <v>1121</v>
      </c>
      <c r="C5476" s="21" t="s">
        <v>1064</v>
      </c>
      <c r="D5476" s="21" t="s">
        <v>1065</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1319</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2632</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1076</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1390</v>
      </c>
      <c r="B5480" s="21" t="s">
        <v>1130</v>
      </c>
      <c r="C5480" s="21" t="s">
        <v>1131</v>
      </c>
      <c r="D5480" s="21" t="s">
        <v>1065</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1072</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1107</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2633</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2634</v>
      </c>
      <c r="B5484" s="21" t="s">
        <v>1121</v>
      </c>
      <c r="C5484" s="21" t="s">
        <v>1064</v>
      </c>
      <c r="D5484" s="21" t="s">
        <v>1065</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2635</v>
      </c>
      <c r="B5485" s="21" t="s">
        <v>1118</v>
      </c>
      <c r="C5485" s="21" t="s">
        <v>1064</v>
      </c>
      <c r="D5485" s="21" t="s">
        <v>1065</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1188</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1204</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2636</v>
      </c>
      <c r="B5488" s="21" t="s">
        <v>1118</v>
      </c>
      <c r="C5488" s="21" t="s">
        <v>1071</v>
      </c>
      <c r="D5488" s="21" t="s">
        <v>1065</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1072</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1079</v>
      </c>
      <c r="B5490" s="21" t="s">
        <v>1528</v>
      </c>
      <c r="C5490" s="21" t="s">
        <v>1064</v>
      </c>
      <c r="D5490" s="21" t="s">
        <v>1065</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195</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row>
    <row r="5493" spans="1:12">
      <c r="A5493" s="20" t="s">
        <v>2637</v>
      </c>
    </row>
    <row r="5494" spans="1:12">
      <c r="A5494" s="20" t="s">
        <v>1618</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1141</v>
      </c>
      <c r="B5495" s="21" t="s">
        <v>1150</v>
      </c>
      <c r="C5495" s="21" t="s">
        <v>1075</v>
      </c>
      <c r="D5495" s="21" t="s">
        <v>1065</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1319</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2638</v>
      </c>
      <c r="B5497" s="21" t="s">
        <v>1084</v>
      </c>
      <c r="C5497" s="21" t="s">
        <v>1144</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2457</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1048</v>
      </c>
      <c r="B5499" s="21" t="s">
        <v>1063</v>
      </c>
      <c r="C5499" s="21" t="s">
        <v>1151</v>
      </c>
      <c r="D5499" s="21" t="s">
        <v>1065</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1145</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row>
    <row r="5502" spans="1:12">
      <c r="A5502" s="20" t="s">
        <v>2639</v>
      </c>
    </row>
    <row r="5503" spans="1:12">
      <c r="A5503" s="20" t="s">
        <v>1192</v>
      </c>
      <c r="B5503" s="21" t="s">
        <v>1063</v>
      </c>
      <c r="C5503" s="21" t="s">
        <v>1064</v>
      </c>
      <c r="D5503" s="21" t="s">
        <v>1065</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1067</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2281</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608</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195</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row>
    <row r="5509" spans="1:12">
      <c r="A5509" s="20" t="s">
        <v>2640</v>
      </c>
    </row>
    <row r="5510" spans="1:12">
      <c r="A5510" s="20" t="s">
        <v>1816</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111</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1076</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1204</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1205</v>
      </c>
      <c r="B5514" s="21" t="s">
        <v>1080</v>
      </c>
      <c r="C5514" s="21" t="s">
        <v>1119</v>
      </c>
      <c r="D5514" s="21" t="s">
        <v>1065</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2568</v>
      </c>
      <c r="B5515" s="21" t="s">
        <v>1084</v>
      </c>
      <c r="C5515" s="21" t="s">
        <v>1071</v>
      </c>
      <c r="D5515" s="21" t="s">
        <v>1065</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1076</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1149</v>
      </c>
      <c r="B5517" s="21" t="s">
        <v>1080</v>
      </c>
      <c r="C5517" s="21" t="s">
        <v>1151</v>
      </c>
      <c r="D5517" s="21" t="s">
        <v>1065</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1190</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1076</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2641</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2642</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1213</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1577</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2478</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1088</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1079</v>
      </c>
      <c r="B5526" s="21" t="s">
        <v>1097</v>
      </c>
      <c r="C5526" s="21" t="s">
        <v>1064</v>
      </c>
      <c r="D5526" s="21" t="s">
        <v>1065</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1076</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1429</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2643</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1204</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1614</v>
      </c>
      <c r="B5531" s="21" t="s">
        <v>1097</v>
      </c>
      <c r="C5531" s="21" t="s">
        <v>1075</v>
      </c>
      <c r="D5531" s="21" t="s">
        <v>1065</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1076</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909</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2644</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1213</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1335</v>
      </c>
      <c r="B5536" s="21" t="s">
        <v>1154</v>
      </c>
      <c r="C5536" s="21" t="s">
        <v>1151</v>
      </c>
      <c r="D5536" s="21" t="s">
        <v>1065</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2645</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1412</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2646</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1072</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51</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2647</v>
      </c>
      <c r="B5542" s="21" t="s">
        <v>1126</v>
      </c>
      <c r="C5542" s="21" t="s">
        <v>1144</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1072</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2648</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1204</v>
      </c>
      <c r="B5545" s="21" t="s">
        <v>1480</v>
      </c>
      <c r="C5545" s="21" t="s">
        <v>1151</v>
      </c>
      <c r="D5545" s="21" t="s">
        <v>1065</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1106</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2649</v>
      </c>
      <c r="B5547" s="21" t="s">
        <v>1121</v>
      </c>
      <c r="C5547" s="21" t="s">
        <v>1144</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2650</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2651</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909</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2652</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909</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1072</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2653</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1204</v>
      </c>
      <c r="B5555" s="21" t="s">
        <v>1135</v>
      </c>
      <c r="C5555" s="21" t="s">
        <v>1151</v>
      </c>
      <c r="D5555" s="21" t="s">
        <v>1065</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1106</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1198</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1207</v>
      </c>
      <c r="B5558" s="21" t="s">
        <v>1118</v>
      </c>
      <c r="C5558" s="21" t="s">
        <v>1098</v>
      </c>
      <c r="D5558" s="21" t="s">
        <v>1065</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2654</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1076</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2563</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1272</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1124</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2655</v>
      </c>
      <c r="B5564" s="21" t="s">
        <v>1118</v>
      </c>
      <c r="C5564" s="21" t="s">
        <v>1109</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1076</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1561</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1211</v>
      </c>
      <c r="B5567" s="21" t="s">
        <v>1126</v>
      </c>
      <c r="C5567" s="21" t="s">
        <v>1151</v>
      </c>
      <c r="D5567" s="21" t="s">
        <v>1065</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1434</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2394</v>
      </c>
      <c r="B5569" s="21" t="s">
        <v>1080</v>
      </c>
      <c r="C5569" s="21" t="s">
        <v>1155</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1072</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2656</v>
      </c>
      <c r="B5571" s="21" t="s">
        <v>1097</v>
      </c>
      <c r="C5571" s="21" t="s">
        <v>1144</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1106</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1077</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1564</v>
      </c>
      <c r="B5574" s="21" t="s">
        <v>1097</v>
      </c>
      <c r="C5574" s="21" t="s">
        <v>1075</v>
      </c>
      <c r="D5574" s="21" t="s">
        <v>1065</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1091</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1647</v>
      </c>
      <c r="B5576" s="21" t="s">
        <v>1278</v>
      </c>
      <c r="C5576" s="21" t="s">
        <v>1155</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1072</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1073</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2657</v>
      </c>
      <c r="B5579" s="21" t="s">
        <v>1121</v>
      </c>
      <c r="C5579" s="21" t="s">
        <v>1071</v>
      </c>
      <c r="D5579" s="21" t="s">
        <v>1065</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1072</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1079</v>
      </c>
      <c r="B5581" s="21" t="s">
        <v>1118</v>
      </c>
      <c r="C5581" s="21" t="s">
        <v>1064</v>
      </c>
      <c r="D5581" s="21" t="s">
        <v>1065</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671</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1434</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1072</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1564</v>
      </c>
      <c r="B5585" s="21" t="s">
        <v>1114</v>
      </c>
      <c r="C5585" s="21" t="s">
        <v>1144</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2658</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1088</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1079</v>
      </c>
      <c r="B5588" s="21" t="s">
        <v>1118</v>
      </c>
      <c r="C5588" s="21" t="s">
        <v>1064</v>
      </c>
      <c r="D5588" s="21" t="s">
        <v>1065</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1272</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2659</v>
      </c>
      <c r="B5590" s="21" t="s">
        <v>1118</v>
      </c>
      <c r="C5590" s="21" t="s">
        <v>1071</v>
      </c>
      <c r="D5590" s="21" t="s">
        <v>1065</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1072</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1204</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2660</v>
      </c>
      <c r="B5593" s="21" t="s">
        <v>1438</v>
      </c>
      <c r="C5593" s="21" t="s">
        <v>1119</v>
      </c>
      <c r="D5593" s="21" t="s">
        <v>1065</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2661</v>
      </c>
      <c r="B5594" s="21" t="s">
        <v>1528</v>
      </c>
      <c r="C5594" s="21" t="s">
        <v>1075</v>
      </c>
      <c r="D5594" s="21" t="s">
        <v>1065</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2662</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195</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row>
    <row r="5598" spans="1:12">
      <c r="A5598" s="20" t="s">
        <v>2663</v>
      </c>
    </row>
    <row r="5599" spans="1:12">
      <c r="A5599" s="20" t="s">
        <v>1385</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1561</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1091</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1107</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2634</v>
      </c>
      <c r="B5603" s="21" t="s">
        <v>1123</v>
      </c>
      <c r="C5603" s="21" t="s">
        <v>1064</v>
      </c>
      <c r="D5603" s="21" t="s">
        <v>1065</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2635</v>
      </c>
      <c r="B5604" s="21" t="s">
        <v>1097</v>
      </c>
      <c r="C5604" s="21" t="s">
        <v>1064</v>
      </c>
      <c r="D5604" s="21" t="s">
        <v>1065</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1188</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1079</v>
      </c>
      <c r="B5606" s="21" t="s">
        <v>1097</v>
      </c>
      <c r="C5606" s="21" t="s">
        <v>1064</v>
      </c>
      <c r="D5606" s="21" t="s">
        <v>1065</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1434</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2664</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1129</v>
      </c>
      <c r="B5609" s="21" t="s">
        <v>1063</v>
      </c>
      <c r="C5609" s="21" t="s">
        <v>1131</v>
      </c>
      <c r="D5609" s="21" t="s">
        <v>1065</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1091</v>
      </c>
      <c r="B5610" s="21" t="s">
        <v>1092</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1211</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2665</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195</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row>
    <row r="5615" spans="1:12">
      <c r="A5615" s="20" t="s">
        <v>2666</v>
      </c>
    </row>
    <row r="5616" spans="1:12">
      <c r="A5616" s="20" t="s">
        <v>2048</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1756</v>
      </c>
      <c r="B5617" s="21" t="s">
        <v>1084</v>
      </c>
      <c r="C5617" s="21" t="s">
        <v>1144</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1072</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2667</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1073</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1366</v>
      </c>
      <c r="B5621" s="21" t="s">
        <v>1114</v>
      </c>
      <c r="C5621" s="21" t="s">
        <v>1119</v>
      </c>
      <c r="D5621" s="21" t="s">
        <v>1065</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2668</v>
      </c>
      <c r="B5622" s="21" t="s">
        <v>1126</v>
      </c>
      <c r="C5622" s="21" t="s">
        <v>1075</v>
      </c>
      <c r="D5622" s="21" t="s">
        <v>1065</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1213</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1577</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1188</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2669</v>
      </c>
      <c r="B5626" s="21" t="s">
        <v>1097</v>
      </c>
      <c r="C5626" s="21" t="s">
        <v>1144</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1076</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1429</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1106</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1204</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2670</v>
      </c>
      <c r="B5631" s="21" t="s">
        <v>1063</v>
      </c>
      <c r="C5631" s="21" t="s">
        <v>1071</v>
      </c>
      <c r="D5631" s="21" t="s">
        <v>1065</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1072</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1079</v>
      </c>
      <c r="B5633" s="21" t="s">
        <v>1080</v>
      </c>
      <c r="C5633" s="21" t="s">
        <v>1064</v>
      </c>
      <c r="D5633" s="21" t="s">
        <v>1065</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1076</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1425</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1214</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1107</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1141</v>
      </c>
      <c r="B5638" s="21" t="s">
        <v>1080</v>
      </c>
      <c r="C5638" s="21" t="s">
        <v>1109</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1106</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1204</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1217</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1251</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909</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2671</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1153</v>
      </c>
      <c r="B5645" s="21" t="s">
        <v>1121</v>
      </c>
      <c r="C5645" s="21" t="s">
        <v>1155</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1196</v>
      </c>
      <c r="B5646" s="21" t="s">
        <v>1480</v>
      </c>
      <c r="C5646" s="21" t="s">
        <v>1131</v>
      </c>
      <c r="D5646" s="21" t="s">
        <v>1065</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1091</v>
      </c>
      <c r="B5647" s="21" t="s">
        <v>1359</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1211</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2672</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1076</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1213</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1577</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1237</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1088</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2673</v>
      </c>
      <c r="B5655" s="21" t="s">
        <v>1118</v>
      </c>
      <c r="C5655" s="21" t="s">
        <v>1064</v>
      </c>
      <c r="D5655" s="21" t="s">
        <v>1065</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1429</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1106</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1530</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1077</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1228</v>
      </c>
      <c r="B5660" s="21" t="s">
        <v>1118</v>
      </c>
      <c r="C5660" s="21" t="s">
        <v>1075</v>
      </c>
      <c r="D5660" s="21" t="s">
        <v>1065</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1076</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1309</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2674</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909</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1088</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2675</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195</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row>
    <row r="5669" spans="1:12">
      <c r="A5669" s="20" t="s">
        <v>1274</v>
      </c>
    </row>
    <row r="5670" spans="1:12">
      <c r="A5670" s="20" t="s">
        <v>1161</v>
      </c>
      <c r="B5670" s="21" t="s">
        <v>1063</v>
      </c>
      <c r="C5670" s="21" t="s">
        <v>1064</v>
      </c>
      <c r="D5670" s="21" t="s">
        <v>1065</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1067</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row>
    <row r="5673" spans="1:12">
      <c r="A5673" s="20" t="s">
        <v>2676</v>
      </c>
    </row>
    <row r="5674" spans="1:12">
      <c r="A5674" s="20" t="s">
        <v>2677</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1107</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1216</v>
      </c>
      <c r="B5676" s="21" t="s">
        <v>1084</v>
      </c>
      <c r="C5676" s="21" t="s">
        <v>1109</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1111</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141</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1088</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1099</v>
      </c>
      <c r="B5680" s="21" t="s">
        <v>1080</v>
      </c>
      <c r="C5680" s="21" t="s">
        <v>1064</v>
      </c>
      <c r="D5680" s="21" t="s">
        <v>1065</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1145</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row>
    <row r="5683" spans="1:12">
      <c r="A5683" s="20" t="s">
        <v>2678</v>
      </c>
    </row>
    <row r="5684" spans="1:12">
      <c r="A5684" s="20" t="s">
        <v>893</v>
      </c>
      <c r="B5684" s="21" t="s">
        <v>1150</v>
      </c>
      <c r="C5684" s="21" t="s">
        <v>1064</v>
      </c>
      <c r="D5684" s="21" t="s">
        <v>1065</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1067</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1997</v>
      </c>
      <c r="B5686" s="21" t="s">
        <v>1080</v>
      </c>
      <c r="C5686" s="21" t="s">
        <v>1064</v>
      </c>
      <c r="D5686" s="21" t="s">
        <v>1065</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1076</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2289</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1165</v>
      </c>
      <c r="B5689" s="21" t="s">
        <v>1080</v>
      </c>
      <c r="C5689" s="21" t="s">
        <v>1267</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1076</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1107</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1216</v>
      </c>
      <c r="B5692" s="21" t="s">
        <v>1080</v>
      </c>
      <c r="C5692" s="21" t="s">
        <v>1071</v>
      </c>
      <c r="D5692" s="21" t="s">
        <v>1065</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1072</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2679</v>
      </c>
      <c r="B5694" s="21" t="s">
        <v>1097</v>
      </c>
      <c r="C5694" s="21" t="s">
        <v>1071</v>
      </c>
      <c r="D5694" s="21" t="s">
        <v>1065</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1466</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11</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1161</v>
      </c>
      <c r="B5697" s="21" t="s">
        <v>1118</v>
      </c>
      <c r="C5697" s="21" t="s">
        <v>1064</v>
      </c>
      <c r="D5697" s="21" t="s">
        <v>1065</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1067</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1099</v>
      </c>
      <c r="B5699" s="21" t="s">
        <v>1114</v>
      </c>
      <c r="C5699" s="21" t="s">
        <v>1064</v>
      </c>
      <c r="D5699" s="21" t="s">
        <v>1065</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1076</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1142</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1088</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2680</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1211</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2189</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1145</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row>
    <row r="5708" spans="1:12">
      <c r="A5708" s="20" t="s">
        <v>1191</v>
      </c>
    </row>
    <row r="5709" spans="1:12">
      <c r="A5709" s="20" t="s">
        <v>1192</v>
      </c>
      <c r="B5709" s="21" t="s">
        <v>1063</v>
      </c>
      <c r="C5709" s="21" t="s">
        <v>1064</v>
      </c>
      <c r="D5709" s="21" t="s">
        <v>1065</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1067</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row>
    <row r="5712" spans="1:12">
      <c r="A5712" s="20" t="s">
        <v>2681</v>
      </c>
    </row>
    <row r="5713" spans="1:12">
      <c r="A5713" s="20" t="s">
        <v>2578</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1076</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608</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1363</v>
      </c>
      <c r="B5716" s="21" t="s">
        <v>1084</v>
      </c>
      <c r="C5716" s="21" t="s">
        <v>1151</v>
      </c>
      <c r="D5716" s="21" t="s">
        <v>1065</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1481</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195</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row>
    <row r="5720" spans="1:12">
      <c r="A5720" s="20" t="s">
        <v>2682</v>
      </c>
    </row>
    <row r="5721" spans="1:12">
      <c r="A5721" s="20" t="s">
        <v>1161</v>
      </c>
      <c r="B5721" s="21" t="s">
        <v>1150</v>
      </c>
      <c r="C5721" s="21" t="s">
        <v>1064</v>
      </c>
      <c r="D5721" s="21" t="s">
        <v>1065</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1067</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2683</v>
      </c>
      <c r="B5723" s="21" t="s">
        <v>1080</v>
      </c>
      <c r="C5723" s="21" t="s">
        <v>1064</v>
      </c>
      <c r="D5723" s="21" t="s">
        <v>1065</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1076</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1214</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2684</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195</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row>
    <row r="5729" spans="1:12">
      <c r="A5729" s="20" t="s">
        <v>2685</v>
      </c>
    </row>
    <row r="5730" spans="1:12">
      <c r="A5730" s="20" t="s">
        <v>893</v>
      </c>
      <c r="B5730" s="21" t="s">
        <v>1063</v>
      </c>
      <c r="C5730" s="21" t="s">
        <v>1064</v>
      </c>
      <c r="D5730" s="21" t="s">
        <v>1065</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1067</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row>
    <row r="5733" spans="1:12">
      <c r="A5733" s="20" t="s">
        <v>2686</v>
      </c>
    </row>
    <row r="5734" spans="1:12">
      <c r="A5734" s="20" t="s">
        <v>1878</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2687</v>
      </c>
      <c r="B5735" s="21" t="s">
        <v>1150</v>
      </c>
      <c r="C5735" s="21" t="s">
        <v>1071</v>
      </c>
      <c r="D5735" s="21" t="s">
        <v>1065</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1072</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1204</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2460</v>
      </c>
      <c r="B5738" s="21" t="s">
        <v>1097</v>
      </c>
      <c r="C5738" s="21" t="s">
        <v>1119</v>
      </c>
      <c r="D5738" s="21" t="s">
        <v>1065</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1680</v>
      </c>
      <c r="B5739" s="21" t="s">
        <v>1080</v>
      </c>
      <c r="C5739" s="21" t="s">
        <v>1075</v>
      </c>
      <c r="D5739" s="21" t="s">
        <v>1065</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1214</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1570</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2688</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1188</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1124</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1392</v>
      </c>
      <c r="B5745" s="21" t="s">
        <v>1063</v>
      </c>
      <c r="C5745" s="21" t="s">
        <v>1109</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195</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row>
    <row r="5748" spans="1:12">
      <c r="A5748" s="20" t="s">
        <v>1191</v>
      </c>
    </row>
    <row r="5749" spans="1:12">
      <c r="A5749" s="20" t="s">
        <v>1192</v>
      </c>
      <c r="B5749" s="21" t="s">
        <v>1063</v>
      </c>
      <c r="C5749" s="21" t="s">
        <v>1064</v>
      </c>
      <c r="D5749" s="21" t="s">
        <v>1065</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1067</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row>
    <row r="5752" spans="1:12">
      <c r="A5752" s="20" t="s">
        <v>2689</v>
      </c>
    </row>
    <row r="5753" spans="1:12">
      <c r="A5753" s="20" t="s">
        <v>2578</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1076</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1214</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1077</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2564</v>
      </c>
      <c r="B5757" s="21" t="s">
        <v>1063</v>
      </c>
      <c r="C5757" s="21" t="s">
        <v>1071</v>
      </c>
      <c r="D5757" s="21" t="s">
        <v>1065</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1072</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1089</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2690</v>
      </c>
      <c r="B5760" s="21" t="s">
        <v>1063</v>
      </c>
      <c r="C5760" s="21" t="s">
        <v>1064</v>
      </c>
      <c r="D5760" s="21" t="s">
        <v>1065</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row>
    <row r="5762" spans="1:12">
      <c r="A5762" s="20" t="s">
        <v>2691</v>
      </c>
    </row>
    <row r="5763" spans="1:12">
      <c r="A5763" s="20" t="s">
        <v>893</v>
      </c>
      <c r="B5763" s="21" t="s">
        <v>1150</v>
      </c>
      <c r="C5763" s="21" t="s">
        <v>1064</v>
      </c>
      <c r="D5763" s="21" t="s">
        <v>1065</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1067</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2207</v>
      </c>
      <c r="B5765" s="21" t="s">
        <v>1080</v>
      </c>
      <c r="C5765" s="21" t="s">
        <v>1064</v>
      </c>
      <c r="D5765" s="21" t="s">
        <v>1065</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1076</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2692</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1173</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1174</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110</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1327</v>
      </c>
      <c r="B5771" s="21" t="s">
        <v>1080</v>
      </c>
      <c r="C5771" s="21" t="s">
        <v>1075</v>
      </c>
      <c r="D5771" s="21" t="s">
        <v>1065</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1076</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2693</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1124</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2694</v>
      </c>
      <c r="B5775" s="21" t="s">
        <v>1084</v>
      </c>
      <c r="C5775" s="21" t="s">
        <v>1109</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2695</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909</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2368</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671</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1088</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2696</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1076</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1217</v>
      </c>
      <c r="B5783" s="21" t="s">
        <v>1114</v>
      </c>
      <c r="C5783" s="21" t="s">
        <v>1140</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2375</v>
      </c>
      <c r="B5784" s="21" t="s">
        <v>1092</v>
      </c>
      <c r="C5784" s="21" t="s">
        <v>1115</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1434</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1570</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1204</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1141</v>
      </c>
      <c r="B5788" s="21" t="s">
        <v>1154</v>
      </c>
      <c r="C5788" s="21" t="s">
        <v>1075</v>
      </c>
      <c r="D5788" s="21" t="s">
        <v>1065</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1503</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1111</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2697</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1111</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1387</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1164</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2698</v>
      </c>
      <c r="B5795" s="21" t="s">
        <v>1114</v>
      </c>
      <c r="C5795" s="21" t="s">
        <v>1075</v>
      </c>
      <c r="D5795" s="21" t="s">
        <v>1065</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1343</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1085</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1077</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1240</v>
      </c>
      <c r="B5799" s="21" t="s">
        <v>1118</v>
      </c>
      <c r="C5799" s="21" t="s">
        <v>1071</v>
      </c>
      <c r="D5799" s="21" t="s">
        <v>1065</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1072</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2588</v>
      </c>
      <c r="B5801" s="21" t="s">
        <v>1528</v>
      </c>
      <c r="C5801" s="21" t="s">
        <v>1144</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1091</v>
      </c>
      <c r="B5802" s="21" t="s">
        <v>1923</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2699</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1145</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row>
    <row r="5806" spans="1:12">
      <c r="A5806" s="20" t="s">
        <v>2700</v>
      </c>
    </row>
    <row r="5807" spans="1:12">
      <c r="A5807" s="20" t="s">
        <v>2701</v>
      </c>
      <c r="B5807" s="21" t="s">
        <v>1063</v>
      </c>
      <c r="C5807" s="21" t="s">
        <v>1144</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1067</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row>
    <row r="5810" spans="1:12">
      <c r="A5810" s="20" t="s">
        <v>2702</v>
      </c>
    </row>
    <row r="5811" spans="1:12">
      <c r="A5811" s="20" t="s">
        <v>1370</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2703</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1106</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2704</v>
      </c>
      <c r="B5814" s="21" t="s">
        <v>1097</v>
      </c>
      <c r="C5814" s="21" t="s">
        <v>1144</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1072</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1982</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2256</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975</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1076</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1463</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1434</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1107</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2582</v>
      </c>
      <c r="B5823" s="21" t="s">
        <v>1063</v>
      </c>
      <c r="C5823" s="21" t="s">
        <v>1109</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1077</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1393</v>
      </c>
      <c r="B5825" s="21" t="s">
        <v>1123</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2705</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1645</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2706</v>
      </c>
      <c r="B5828" s="21" t="s">
        <v>1123</v>
      </c>
      <c r="C5828" s="21" t="s">
        <v>1144</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1214</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1129</v>
      </c>
      <c r="B5830" s="21" t="s">
        <v>1063</v>
      </c>
      <c r="C5830" s="21" t="s">
        <v>1131</v>
      </c>
      <c r="D5830" s="21" t="s">
        <v>1065</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1091</v>
      </c>
      <c r="B5831" s="21" t="s">
        <v>1126</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2641</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2482</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1088</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2707</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1211</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2643</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195</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row>
    <row r="5840" spans="1:12">
      <c r="A5840" s="20" t="s">
        <v>2708</v>
      </c>
    </row>
    <row r="5841" spans="1:12">
      <c r="A5841" s="20" t="s">
        <v>1740</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1091</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1204</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2588</v>
      </c>
      <c r="B5844" s="21" t="s">
        <v>1123</v>
      </c>
      <c r="C5844" s="21" t="s">
        <v>1075</v>
      </c>
      <c r="D5844" s="21" t="s">
        <v>1065</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1091</v>
      </c>
      <c r="B5845" s="21" t="s">
        <v>1130</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1253</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1459</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1106</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1077</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1741</v>
      </c>
      <c r="B5850" s="21" t="s">
        <v>1114</v>
      </c>
      <c r="C5850" s="21" t="s">
        <v>1075</v>
      </c>
      <c r="D5850" s="21" t="s">
        <v>1065</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1563</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2664</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1953</v>
      </c>
      <c r="B5853" s="21" t="s">
        <v>1063</v>
      </c>
      <c r="C5853" s="21" t="s">
        <v>1131</v>
      </c>
      <c r="D5853" s="21" t="s">
        <v>1065</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1072</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1393</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2709</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1756</v>
      </c>
      <c r="B5857" s="21" t="s">
        <v>1092</v>
      </c>
      <c r="C5857" s="21" t="s">
        <v>1071</v>
      </c>
      <c r="D5857" s="21" t="s">
        <v>1065</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1076</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1213</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1577</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1272</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2130</v>
      </c>
      <c r="B5862" s="21" t="s">
        <v>1114</v>
      </c>
      <c r="C5862" s="21" t="s">
        <v>1144</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1076</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1429</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1272</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2710</v>
      </c>
      <c r="B5866" s="21" t="s">
        <v>1121</v>
      </c>
      <c r="C5866" s="21" t="s">
        <v>1144</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2711</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909</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1202</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1204</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2712</v>
      </c>
      <c r="B5871" s="21" t="s">
        <v>1121</v>
      </c>
      <c r="C5871" s="21" t="s">
        <v>1075</v>
      </c>
      <c r="D5871" s="21" t="s">
        <v>1065</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1076</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1202</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1089</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2713</v>
      </c>
      <c r="B5875" s="21" t="s">
        <v>1121</v>
      </c>
      <c r="C5875" s="21" t="s">
        <v>1071</v>
      </c>
      <c r="D5875" s="21" t="s">
        <v>1065</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1213</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1577</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1072</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1164</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2714</v>
      </c>
      <c r="B5880" s="21" t="s">
        <v>1118</v>
      </c>
      <c r="C5880" s="21" t="s">
        <v>1071</v>
      </c>
      <c r="D5880" s="21" t="s">
        <v>1065</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2715</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1072</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1204</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1246</v>
      </c>
      <c r="B5884" s="21" t="s">
        <v>1528</v>
      </c>
      <c r="C5884" s="21" t="s">
        <v>1075</v>
      </c>
      <c r="D5884" s="21" t="s">
        <v>1065</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t="s">
        <v>1076</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t="s">
        <v>1429</v>
      </c>
      <c r="E5886" s="22">
        <f>IF(D5886="?OLD","!!!","")</f>
        <v/>
      </c>
      <c r="F5886" s="23" t="str">
        <f>IF(OR(E5886="",E5886="!!!"),"",IF(NOT(ISNA(VLOOKUP(E5886,E$1:E5885,1,FALSE()))),"OLD",IF(AND(E5886&lt;&gt;"",E5886&lt;&gt;"!!!"),"NEW","")))</f>
        <v> </v>
      </c>
      <c r="G5886" s="24" t="str">
        <f>IF(OR(E5886="",E5886="!!!"),"",IF(OR(J5886=0,AND(J5886=1,K5886=1),AND(J5886=1,I5886="SBJ"),AND(J5886=1,I5886=0)),"?IN_FOCUS",IF(J5886&lt;=2,"?ACTIVATED",IF(J5886&lt;&gt;"","?FAMILIAR",IF(F5886="NEW",IF(ISNA(VLOOKUP(E5886,#REF!,1,FALSE())),"?TYPE_IDENTIFIABLE","?REFERENTIAL"),"_")))))</f>
        <v> </v>
      </c>
      <c r="H5886" s="25" t="str">
        <f>IF(J5886&lt;&gt;1,"",IF(I5886="SBJ","CB","?"))</f>
        <v> </v>
      </c>
      <c r="I5886" s="26" t="str">
        <f>IF(OR(E5886="",E5886="!!!",F5886="NEW"),"",INDEX(B5885:B$2,-1+SUMPRODUCT(MAX(ROW(E5885:E$2)*(E5886=E5885:E$2)))))</f>
        <v> </v>
      </c>
      <c r="J5886" s="26" t="str">
        <f>IF(OR(E5886="",E5886="!!!",F5886="NEW"),"",COUNTBLANK(OFFSET(A$1,,,SUMPRODUCT(MAX(ROW(E$2:E5886)*(E5886=E$2:E5886)))))-COUNTBLANK(OFFSET(A$1,,,SUMPRODUCT(MAX(ROW(E$1:E5885)*(E2=E$1:E5885))))))</f>
        <v> </v>
      </c>
      <c r="K5886" s="26" t="str">
        <f>IF(OR(E5886="",E5886="!!!",F5886="NEW"),"",INDEX(J$1:J5885,SUMPRODUCT(MAX(ROW(E$1:E5885)*(E5886=E$1:E5885)))))</f>
        <v> </v>
      </c>
      <c r="L5886" s="27"/>
    </row>
    <row r="5887" spans="1:12">
      <c r="A5887" s="20" t="s">
        <v>1076</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1272</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1303</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1587</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1286</v>
      </c>
      <c r="B5891" s="21" t="s">
        <v>1132</v>
      </c>
      <c r="C5891" s="21" t="s">
        <v>1151</v>
      </c>
      <c r="D5891" s="21" t="s">
        <v>1065</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1076</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1072</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1173</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1707</v>
      </c>
      <c r="B5895" s="21" t="s">
        <v>1528</v>
      </c>
      <c r="C5895" s="21" t="s">
        <v>1071</v>
      </c>
      <c r="D5895" s="21" t="s">
        <v>1065</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1076</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1072</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1153</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1196</v>
      </c>
      <c r="B5899" s="21" t="s">
        <v>1438</v>
      </c>
      <c r="C5899" s="21" t="s">
        <v>1131</v>
      </c>
      <c r="D5899" s="21" t="s">
        <v>1065</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1091</v>
      </c>
      <c r="B5900" s="21" t="s">
        <v>1927</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1106</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1077</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1228</v>
      </c>
      <c r="B5903" s="21" t="s">
        <v>1444</v>
      </c>
      <c r="C5903" s="21" t="s">
        <v>1075</v>
      </c>
      <c r="D5903" s="21" t="s">
        <v>1065</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2716</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1546</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1079</v>
      </c>
      <c r="B5906" s="21" t="s">
        <v>1444</v>
      </c>
      <c r="C5906" s="21" t="s">
        <v>1064</v>
      </c>
      <c r="D5906" s="21" t="s">
        <v>1065</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1076</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1546</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1073</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2717</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2718</v>
      </c>
      <c r="B5911" s="21" t="s">
        <v>2719</v>
      </c>
      <c r="C5911" s="21" t="s">
        <v>1075</v>
      </c>
      <c r="D5911" s="21" t="s">
        <v>1065</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1076</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1111</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1196</v>
      </c>
      <c r="B5914" s="21" t="s">
        <v>2719</v>
      </c>
      <c r="C5914" s="21" t="s">
        <v>1131</v>
      </c>
      <c r="D5914" s="21" t="s">
        <v>1065</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1091</v>
      </c>
      <c r="B5915" s="21" t="s">
        <v>2720</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2721</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1577</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1077</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t="s">
        <v>2722</v>
      </c>
      <c r="B5919" s="21" t="s">
        <v>2723</v>
      </c>
      <c r="C5919" s="21" t="s">
        <v>1075</v>
      </c>
      <c r="D5919" s="21" t="s">
        <v>1065</v>
      </c>
      <c r="E5919" s="22">
        <f>IF(D5919="?OLD","!!!","")</f>
        <v/>
      </c>
      <c r="F5919" s="23" t="str">
        <f>IF(OR(E5919="",E5919="!!!"),"",IF(NOT(ISNA(VLOOKUP(E5919,E$1:E5918,1,FALSE()))),"OLD",IF(AND(E5919&lt;&gt;"",E5919&lt;&gt;"!!!"),"NEW","")))</f>
        <v> </v>
      </c>
      <c r="G5919" s="24" t="str">
        <f>IF(OR(E5919="",E5919="!!!"),"",IF(OR(J5919=0,AND(J5919=1,K5919=1),AND(J5919=1,I5919="SBJ"),AND(J5919=1,I5919=0)),"?IN_FOCUS",IF(J5919&lt;=2,"?ACTIVATED",IF(J5919&lt;&gt;"","?FAMILIAR",IF(F5919="NEW",IF(ISNA(VLOOKUP(E5919,#REF!,1,FALSE())),"?TYPE_IDENTIFIABLE","?REFERENTIAL"),"_")))))</f>
        <v> </v>
      </c>
      <c r="H5919" s="25" t="str">
        <f>IF(J5919&lt;&gt;1,"",IF(I5919="SBJ","CB","?"))</f>
        <v> </v>
      </c>
      <c r="I5919" s="26" t="str">
        <f>IF(OR(E5919="",E5919="!!!",F5919="NEW"),"",INDEX(B5918:B$2,-1+SUMPRODUCT(MAX(ROW(E5918:E$2)*(E5919=E5918:E$2)))))</f>
        <v> </v>
      </c>
      <c r="J5919" s="26" t="str">
        <f>IF(OR(E5919="",E5919="!!!",F5919="NEW"),"",COUNTBLANK(OFFSET(A$1,,,SUMPRODUCT(MAX(ROW(E$2:E5919)*(E5919=E$2:E5919)))))-COUNTBLANK(OFFSET(A$1,,,SUMPRODUCT(MAX(ROW(E$1:E5918)*(E2=E$1:E5918))))))</f>
        <v> </v>
      </c>
      <c r="K5919" s="26" t="str">
        <f>IF(OR(E5919="",E5919="!!!",F5919="NEW"),"",INDEX(J$1:J5918,SUMPRODUCT(MAX(ROW(E$1:E5918)*(E5919=E$1:E5918)))))</f>
        <v> </v>
      </c>
      <c r="L5919" s="27"/>
    </row>
    <row r="5920" spans="1:12">
      <c r="A5920" s="20" t="s">
        <v>1076</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1088</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1196</v>
      </c>
      <c r="B5922" s="21" t="s">
        <v>1438</v>
      </c>
      <c r="C5922" s="21" t="s">
        <v>1131</v>
      </c>
      <c r="D5922" s="21" t="s">
        <v>1065</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1091</v>
      </c>
      <c r="B5923" s="21" t="s">
        <v>1927</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1931</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1363</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671</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2724</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1763</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2475</v>
      </c>
      <c r="B5929" s="21" t="s">
        <v>1444</v>
      </c>
      <c r="C5929" s="21" t="s">
        <v>1115</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1272</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1113</v>
      </c>
      <c r="B5931" s="21" t="s">
        <v>1444</v>
      </c>
      <c r="C5931" s="21" t="s">
        <v>1071</v>
      </c>
      <c r="D5931" s="21" t="s">
        <v>1065</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1072</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1204</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1301</v>
      </c>
      <c r="B5934" s="21" t="s">
        <v>1606</v>
      </c>
      <c r="C5934" s="21" t="s">
        <v>1119</v>
      </c>
      <c r="D5934" s="21" t="s">
        <v>1065</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2725</v>
      </c>
      <c r="B5935" s="21" t="s">
        <v>2719</v>
      </c>
      <c r="C5935" s="21" t="s">
        <v>1075</v>
      </c>
      <c r="D5935" s="21" t="s">
        <v>1065</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1076</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1188</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2432</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1591</v>
      </c>
      <c r="B5939" s="21" t="s">
        <v>1446</v>
      </c>
      <c r="C5939" s="21" t="s">
        <v>1151</v>
      </c>
      <c r="D5939" s="21" t="s">
        <v>1065</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195</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row>
    <row r="5942" spans="1:12">
      <c r="A5942" s="20" t="s">
        <v>2726</v>
      </c>
    </row>
    <row r="5943" spans="1:12">
      <c r="A5943" s="20" t="s">
        <v>1264</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1577</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2727</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1089</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1079</v>
      </c>
      <c r="B5947" s="21" t="s">
        <v>1123</v>
      </c>
      <c r="C5947" s="21" t="s">
        <v>1064</v>
      </c>
      <c r="D5947" s="21" t="s">
        <v>1065</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t="s">
        <v>1091</v>
      </c>
      <c r="B5948" s="21" t="s">
        <v>1278</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1253</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1459</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1076</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1429</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1124</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1079</v>
      </c>
      <c r="B5954" s="21" t="s">
        <v>1114</v>
      </c>
      <c r="C5954" s="21" t="s">
        <v>1109</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1503</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1076</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1124</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1876</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1503</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1076</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2394</v>
      </c>
      <c r="B5961" s="21" t="s">
        <v>1150</v>
      </c>
      <c r="C5961" s="21" t="s">
        <v>1155</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1091</v>
      </c>
      <c r="B5962" s="21" t="s">
        <v>1126</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2256</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107</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1188</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2728</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1124</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1078</v>
      </c>
      <c r="B5968" s="21" t="s">
        <v>1130</v>
      </c>
      <c r="C5968" s="21" t="s">
        <v>1109</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1091</v>
      </c>
      <c r="B5969" s="21" t="s">
        <v>1132</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t="s">
        <v>2729</v>
      </c>
      <c r="E5970" s="22">
        <f>IF(D5970="?OLD","!!!","")</f>
        <v/>
      </c>
      <c r="F5970" s="23" t="str">
        <f>IF(OR(E5970="",E5970="!!!"),"",IF(NOT(ISNA(VLOOKUP(E5970,E$1:E5969,1,FALSE()))),"OLD",IF(AND(E5970&lt;&gt;"",E5970&lt;&gt;"!!!"),"NEW","")))</f>
        <v> </v>
      </c>
      <c r="G5970" s="24" t="str">
        <f>IF(OR(E5970="",E5970="!!!"),"",IF(OR(J5970=0,AND(J5970=1,K5970=1),AND(J5970=1,I5970="SBJ"),AND(J5970=1,I5970=0)),"?IN_FOCUS",IF(J5970&lt;=2,"?ACTIVATED",IF(J5970&lt;&gt;"","?FAMILIAR",IF(F5970="NEW",IF(ISNA(VLOOKUP(E5970,#REF!,1,FALSE())),"?TYPE_IDENTIFIABLE","?REFERENTIAL"),"_")))))</f>
        <v> </v>
      </c>
      <c r="H5970" s="25" t="str">
        <f>IF(J5970&lt;&gt;1,"",IF(I5970="SBJ","CB","?"))</f>
        <v> </v>
      </c>
      <c r="I5970" s="26" t="str">
        <f>IF(OR(E5970="",E5970="!!!",F5970="NEW"),"",INDEX(B5969:B$2,-1+SUMPRODUCT(MAX(ROW(E5969:E$2)*(E5970=E5969:E$2)))))</f>
        <v> </v>
      </c>
      <c r="J5970" s="26" t="str">
        <f>IF(OR(E5970="",E5970="!!!",F5970="NEW"),"",COUNTBLANK(OFFSET(A$1,,,SUMPRODUCT(MAX(ROW(E$2:E5970)*(E5970=E$2:E5970)))))-COUNTBLANK(OFFSET(A$1,,,SUMPRODUCT(MAX(ROW(E$1:E5969)*(E2=E$1:E5969))))))</f>
        <v> </v>
      </c>
      <c r="K5970" s="26" t="str">
        <f>IF(OR(E5970="",E5970="!!!",F5970="NEW"),"",INDEX(J$1:J5969,SUMPRODUCT(MAX(ROW(E$1:E5969)*(E5970=E$1:E5969)))))</f>
        <v> </v>
      </c>
      <c r="L5970" s="27"/>
    </row>
    <row r="5971" spans="1:12">
      <c r="A5971" s="20" t="s">
        <v>1213</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1577</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t="s">
        <v>1503</v>
      </c>
      <c r="E5973" s="22">
        <f>IF(D5973="?OLD","!!!","")</f>
        <v/>
      </c>
      <c r="F5973" s="23" t="str">
        <f>IF(OR(E5973="",E5973="!!!"),"",IF(NOT(ISNA(VLOOKUP(E5973,E$1:E5972,1,FALSE()))),"OLD",IF(AND(E5973&lt;&gt;"",E5973&lt;&gt;"!!!"),"NEW","")))</f>
        <v> </v>
      </c>
      <c r="G5973" s="24" t="str">
        <f>IF(OR(E5973="",E5973="!!!"),"",IF(OR(J5973=0,AND(J5973=1,K5973=1),AND(J5973=1,I5973="SBJ"),AND(J5973=1,I5973=0)),"?IN_FOCUS",IF(J5973&lt;=2,"?ACTIVATED",IF(J5973&lt;&gt;"","?FAMILIAR",IF(F5973="NEW",IF(ISNA(VLOOKUP(E5973,#REF!,1,FALSE())),"?TYPE_IDENTIFIABLE","?REFERENTIAL"),"_")))))</f>
        <v> </v>
      </c>
      <c r="H5973" s="25" t="str">
        <f>IF(J5973&lt;&gt;1,"",IF(I5973="SBJ","CB","?"))</f>
        <v> </v>
      </c>
      <c r="I5973" s="26" t="str">
        <f>IF(OR(E5973="",E5973="!!!",F5973="NEW"),"",INDEX(B5972:B$2,-1+SUMPRODUCT(MAX(ROW(E5972:E$2)*(E5973=E5972:E$2)))))</f>
        <v> </v>
      </c>
      <c r="J5973" s="26" t="str">
        <f>IF(OR(E5973="",E5973="!!!",F5973="NEW"),"",COUNTBLANK(OFFSET(A$1,,,SUMPRODUCT(MAX(ROW(E$2:E5973)*(E5973=E$2:E5973)))))-COUNTBLANK(OFFSET(A$1,,,SUMPRODUCT(MAX(ROW(E$1:E5972)*(E2=E$1:E5972))))))</f>
        <v> </v>
      </c>
      <c r="K5973" s="26" t="str">
        <f>IF(OR(E5973="",E5973="!!!",F5973="NEW"),"",INDEX(J$1:J5972,SUMPRODUCT(MAX(ROW(E$1:E5972)*(E5973=E$1:E5972)))))</f>
        <v> </v>
      </c>
      <c r="L5973" s="27"/>
    </row>
    <row r="5974" spans="1:12">
      <c r="A5974" s="20" t="s">
        <v>1072</v>
      </c>
      <c r="E5974" s="22">
        <f>IF(D5974="?OLD","!!!","")</f>
        <v/>
      </c>
      <c r="F5974" s="23" t="str">
        <f>IF(OR(E5974="",E5974="!!!"),"",IF(NOT(ISNA(VLOOKUP(E5974,E$1:E5973,1,FALSE()))),"OLD",IF(AND(E5974&lt;&gt;"",E5974&lt;&gt;"!!!"),"NEW","")))</f>
        <v> </v>
      </c>
      <c r="G5974" s="24" t="str">
        <f>IF(OR(E5974="",E5974="!!!"),"",IF(OR(J5974=0,AND(J5974=1,K5974=1),AND(J5974=1,I5974="SBJ"),AND(J5974=1,I5974=0)),"?IN_FOCUS",IF(J5974&lt;=2,"?ACTIVATED",IF(J5974&lt;&gt;"","?FAMILIAR",IF(F5974="NEW",IF(ISNA(VLOOKUP(E5974,#REF!,1,FALSE())),"?TYPE_IDENTIFIABLE","?REFERENTIAL"),"_")))))</f>
        <v> </v>
      </c>
      <c r="H5974" s="25" t="str">
        <f>IF(J5974&lt;&gt;1,"",IF(I5974="SBJ","CB","?"))</f>
        <v> </v>
      </c>
      <c r="I5974" s="26" t="str">
        <f>IF(OR(E5974="",E5974="!!!",F5974="NEW"),"",INDEX(B5973:B$2,-1+SUMPRODUCT(MAX(ROW(E5973:E$2)*(E5974=E5973:E$2)))))</f>
        <v> </v>
      </c>
      <c r="J5974" s="26" t="str">
        <f>IF(OR(E5974="",E5974="!!!",F5974="NEW"),"",COUNTBLANK(OFFSET(A$1,,,SUMPRODUCT(MAX(ROW(E$2:E5974)*(E5974=E$2:E5974)))))-COUNTBLANK(OFFSET(A$1,,,SUMPRODUCT(MAX(ROW(E$1:E5973)*(E2=E$1:E5973))))))</f>
        <v> </v>
      </c>
      <c r="K5974" s="26" t="str">
        <f>IF(OR(E5974="",E5974="!!!",F5974="NEW"),"",INDEX(J$1:J5973,SUMPRODUCT(MAX(ROW(E$1:E5973)*(E5974=E$1:E5973)))))</f>
        <v> </v>
      </c>
      <c r="L5974" s="27"/>
    </row>
    <row r="5975" spans="1:12">
      <c r="A5975" s="20" t="s">
        <v>2730</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2731</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919</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1429</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1111</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1530</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t="s">
        <v>1953</v>
      </c>
      <c r="B5981" s="21" t="s">
        <v>1063</v>
      </c>
      <c r="C5981" s="21" t="s">
        <v>1131</v>
      </c>
      <c r="D5981" s="21" t="s">
        <v>1065</v>
      </c>
      <c r="E5981" s="22">
        <f>IF(D5981="?OLD","!!!","")</f>
        <v/>
      </c>
      <c r="F5981" s="23" t="str">
        <f>IF(OR(E5981="",E5981="!!!"),"",IF(NOT(ISNA(VLOOKUP(E5981,E$1:E5980,1,FALSE()))),"OLD",IF(AND(E5981&lt;&gt;"",E5981&lt;&gt;"!!!"),"NEW","")))</f>
        <v> </v>
      </c>
      <c r="G5981" s="24" t="str">
        <f>IF(OR(E5981="",E5981="!!!"),"",IF(OR(J5981=0,AND(J5981=1,K5981=1),AND(J5981=1,I5981="SBJ"),AND(J5981=1,I5981=0)),"?IN_FOCUS",IF(J5981&lt;=2,"?ACTIVATED",IF(J5981&lt;&gt;"","?FAMILIAR",IF(F5981="NEW",IF(ISNA(VLOOKUP(E5981,#REF!,1,FALSE())),"?TYPE_IDENTIFIABLE","?REFERENTIAL"),"_")))))</f>
        <v> </v>
      </c>
      <c r="H5981" s="25" t="str">
        <f>IF(J5981&lt;&gt;1,"",IF(I5981="SBJ","CB","?"))</f>
        <v> </v>
      </c>
      <c r="I5981" s="26" t="str">
        <f>IF(OR(E5981="",E5981="!!!",F5981="NEW"),"",INDEX(B5980:B$2,-1+SUMPRODUCT(MAX(ROW(E5980:E$2)*(E5981=E5980:E$2)))))</f>
        <v> </v>
      </c>
      <c r="J5981" s="26" t="str">
        <f>IF(OR(E5981="",E5981="!!!",F5981="NEW"),"",COUNTBLANK(OFFSET(A$1,,,SUMPRODUCT(MAX(ROW(E$2:E5981)*(E5981=E$2:E5981)))))-COUNTBLANK(OFFSET(A$1,,,SUMPRODUCT(MAX(ROW(E$1:E5980)*(E2=E$1:E5980))))))</f>
        <v> </v>
      </c>
      <c r="K5981" s="26" t="str">
        <f>IF(OR(E5981="",E5981="!!!",F5981="NEW"),"",INDEX(J$1:J5980,SUMPRODUCT(MAX(ROW(E$1:E5980)*(E5981=E$1:E5980)))))</f>
        <v> </v>
      </c>
      <c r="L5981" s="27"/>
    </row>
    <row r="5982" spans="1:12">
      <c r="A5982" s="20" t="s">
        <v>1091</v>
      </c>
      <c r="B5982" s="21" t="s">
        <v>1126</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2732</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2733</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2734</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195</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row>
    <row r="5988" spans="1:12">
      <c r="A5988" s="20" t="s">
        <v>2735</v>
      </c>
    </row>
    <row r="5989" spans="1:12">
      <c r="A5989" s="20" t="s">
        <v>1161</v>
      </c>
      <c r="B5989" s="21" t="s">
        <v>1150</v>
      </c>
      <c r="C5989" s="21" t="s">
        <v>1064</v>
      </c>
      <c r="D5989" s="21" t="s">
        <v>1065</v>
      </c>
      <c r="E5989" s="22">
        <f>IF(D5989="?OLD","!!!","")</f>
        <v/>
      </c>
      <c r="F5989" s="23" t="str">
        <f>IF(OR(E5989="",E5989="!!!"),"",IF(NOT(ISNA(VLOOKUP(E5989,E$1:E5988,1,FALSE()))),"OLD",IF(AND(E5989&lt;&gt;"",E5989&lt;&gt;"!!!"),"NEW","")))</f>
        <v> </v>
      </c>
      <c r="G5989" s="24" t="str">
        <f>IF(OR(E5989="",E5989="!!!"),"",IF(OR(J5989=0,AND(J5989=1,K5989=1),AND(J5989=1,I5989="SBJ"),AND(J5989=1,I5989=0)),"?IN_FOCUS",IF(J5989&lt;=2,"?ACTIVATED",IF(J5989&lt;&gt;"","?FAMILIAR",IF(F5989="NEW",IF(ISNA(VLOOKUP(E5989,#REF!,1,FALSE())),"?TYPE_IDENTIFIABLE","?REFERENTIAL"),"_")))))</f>
        <v> </v>
      </c>
      <c r="H5989" s="25" t="str">
        <f>IF(J5989&lt;&gt;1,"",IF(I5989="SBJ","CB","?"))</f>
        <v> </v>
      </c>
      <c r="I5989" s="26" t="str">
        <f>IF(OR(E5989="",E5989="!!!",F5989="NEW"),"",INDEX(B5988:B$2,-1+SUMPRODUCT(MAX(ROW(E5988:E$2)*(E5989=E5988:E$2)))))</f>
        <v> </v>
      </c>
      <c r="J5989" s="26" t="str">
        <f>IF(OR(E5989="",E5989="!!!",F5989="NEW"),"",COUNTBLANK(OFFSET(A$1,,,SUMPRODUCT(MAX(ROW(E$2:E5989)*(E5989=E$2:E5989)))))-COUNTBLANK(OFFSET(A$1,,,SUMPRODUCT(MAX(ROW(E$1:E5988)*(E2=E$1:E5988))))))</f>
        <v> </v>
      </c>
      <c r="K5989" s="26" t="str">
        <f>IF(OR(E5989="",E5989="!!!",F5989="NEW"),"",INDEX(J$1:J5988,SUMPRODUCT(MAX(ROW(E$1:E5988)*(E5989=E$1:E5988)))))</f>
        <v> </v>
      </c>
      <c r="L5989" s="27"/>
    </row>
    <row r="5990" spans="1:12">
      <c r="A5990" s="20" t="s">
        <v>1067</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1087</v>
      </c>
      <c r="B5991" s="21" t="s">
        <v>1080</v>
      </c>
      <c r="C5991" s="21" t="s">
        <v>1064</v>
      </c>
      <c r="D5991" s="21" t="s">
        <v>1065</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1214</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1169</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2736</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131</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1327</v>
      </c>
      <c r="B5996" s="21" t="s">
        <v>1063</v>
      </c>
      <c r="C5996" s="21" t="s">
        <v>1267</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t="s">
        <v>2151</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1076</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t="s">
        <v>1106</v>
      </c>
      <c r="E5999" s="22">
        <f>IF(D5999="?OLD","!!!","")</f>
        <v/>
      </c>
      <c r="F5999" s="23" t="str">
        <f>IF(OR(E5999="",E5999="!!!"),"",IF(NOT(ISNA(VLOOKUP(E5999,E$1:E5998,1,FALSE()))),"OLD",IF(AND(E5999&lt;&gt;"",E5999&lt;&gt;"!!!"),"NEW","")))</f>
        <v> </v>
      </c>
      <c r="G5999" s="24" t="str">
        <f>IF(OR(E5999="",E5999="!!!"),"",IF(OR(J5999=0,AND(J5999=1,K5999=1),AND(J5999=1,I5999="SBJ"),AND(J5999=1,I5999=0)),"?IN_FOCUS",IF(J5999&lt;=2,"?ACTIVATED",IF(J5999&lt;&gt;"","?FAMILIAR",IF(F5999="NEW",IF(ISNA(VLOOKUP(E5999,#REF!,1,FALSE())),"?TYPE_IDENTIFIABLE","?REFERENTIAL"),"_")))))</f>
        <v> </v>
      </c>
      <c r="H5999" s="25" t="str">
        <f>IF(J5999&lt;&gt;1,"",IF(I5999="SBJ","CB","?"))</f>
        <v> </v>
      </c>
      <c r="I5999" s="26" t="str">
        <f>IF(OR(E5999="",E5999="!!!",F5999="NEW"),"",INDEX(B5998:B$2,-1+SUMPRODUCT(MAX(ROW(E5998:E$2)*(E5999=E5998:E$2)))))</f>
        <v> </v>
      </c>
      <c r="J5999" s="26" t="str">
        <f>IF(OR(E5999="",E5999="!!!",F5999="NEW"),"",COUNTBLANK(OFFSET(A$1,,,SUMPRODUCT(MAX(ROW(E$2:E5999)*(E5999=E$2:E5999)))))-COUNTBLANK(OFFSET(A$1,,,SUMPRODUCT(MAX(ROW(E$1:E5998)*(E2=E$1:E5998))))))</f>
        <v> </v>
      </c>
      <c r="K5999" s="26" t="str">
        <f>IF(OR(E5999="",E5999="!!!",F5999="NEW"),"",INDEX(J$1:J5998,SUMPRODUCT(MAX(ROW(E$1:E5998)*(E5999=E$1:E5998)))))</f>
        <v> </v>
      </c>
      <c r="L5999" s="27"/>
    </row>
    <row r="6000" spans="1:12">
      <c r="A6000" s="20" t="s">
        <v>1077</v>
      </c>
      <c r="E6000" s="22">
        <f>IF(D6000="?OLD","!!!","")</f>
        <v/>
      </c>
      <c r="F6000" s="23" t="str">
        <f>IF(OR(E6000="",E6000="!!!"),"",IF(NOT(ISNA(VLOOKUP(E6000,E$1:E5999,1,FALSE()))),"OLD",IF(AND(E6000&lt;&gt;"",E6000&lt;&gt;"!!!"),"NEW","")))</f>
        <v> </v>
      </c>
      <c r="G6000" s="24" t="str">
        <f>IF(OR(E6000="",E6000="!!!"),"",IF(OR(J6000=0,AND(J6000=1,K6000=1),AND(J6000=1,I6000="SBJ"),AND(J6000=1,I6000=0)),"?IN_FOCUS",IF(J6000&lt;=2,"?ACTIVATED",IF(J6000&lt;&gt;"","?FAMILIAR",IF(F6000="NEW",IF(ISNA(VLOOKUP(E6000,#REF!,1,FALSE())),"?TYPE_IDENTIFIABLE","?REFERENTIAL"),"_")))))</f>
        <v> </v>
      </c>
      <c r="H6000" s="25" t="str">
        <f>IF(J6000&lt;&gt;1,"",IF(I6000="SBJ","CB","?"))</f>
        <v> </v>
      </c>
      <c r="I6000" s="26" t="str">
        <f>IF(OR(E6000="",E6000="!!!",F6000="NEW"),"",INDEX(B5999:B$2,-1+SUMPRODUCT(MAX(ROW(E5999:E$2)*(E6000=E5999:E$2)))))</f>
        <v> </v>
      </c>
      <c r="J6000" s="26" t="str">
        <f>IF(OR(E6000="",E6000="!!!",F6000="NEW"),"",COUNTBLANK(OFFSET(A$1,,,SUMPRODUCT(MAX(ROW(E$2:E6000)*(E6000=E$2:E6000)))))-COUNTBLANK(OFFSET(A$1,,,SUMPRODUCT(MAX(ROW(E$1:E5999)*(E2=E$1:E5999))))))</f>
        <v> </v>
      </c>
      <c r="K6000" s="26" t="str">
        <f>IF(OR(E6000="",E6000="!!!",F6000="NEW"),"",INDEX(J$1:J5999,SUMPRODUCT(MAX(ROW(E$1:E5999)*(E6000=E$1:E5999)))))</f>
        <v> </v>
      </c>
      <c r="L6000" s="27"/>
    </row>
    <row r="6001" spans="1:12">
      <c r="A6001" s="20" t="s">
        <v>1771</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195</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row>
    <row r="6004" spans="1:12">
      <c r="A6004" s="20" t="s">
        <v>2737</v>
      </c>
    </row>
    <row r="6005" spans="1:12">
      <c r="A6005" s="20" t="s">
        <v>2619</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1976</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1333</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1334</v>
      </c>
      <c r="B6008" s="21" t="s">
        <v>1150</v>
      </c>
      <c r="C6008" s="21" t="s">
        <v>1115</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1185</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1474</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2738</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1085</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1204</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2739</v>
      </c>
      <c r="B6014" s="21" t="s">
        <v>1063</v>
      </c>
      <c r="C6014" s="21" t="s">
        <v>1071</v>
      </c>
      <c r="D6014" s="21" t="s">
        <v>1065</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1072</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1077</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1564</v>
      </c>
      <c r="B6017" s="21" t="s">
        <v>1080</v>
      </c>
      <c r="C6017" s="21" t="s">
        <v>1075</v>
      </c>
      <c r="D6017" s="21" t="s">
        <v>1065</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1091</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2740</v>
      </c>
      <c r="B6019" s="21" t="s">
        <v>1092</v>
      </c>
      <c r="C6019" s="21" t="s">
        <v>1064</v>
      </c>
      <c r="D6019" s="21" t="s">
        <v>1065</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2741</v>
      </c>
      <c r="B6020" s="21" t="s">
        <v>1114</v>
      </c>
      <c r="C6020" s="21" t="s">
        <v>1064</v>
      </c>
      <c r="D6020" s="21" t="s">
        <v>1065</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1076</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1106</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1143</v>
      </c>
      <c r="B6023" s="21" t="s">
        <v>1097</v>
      </c>
      <c r="C6023" s="21" t="s">
        <v>1144</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671</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2742</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195</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row>
    <row r="6028" spans="1:12">
      <c r="A6028" s="20" t="s">
        <v>2743</v>
      </c>
    </row>
    <row r="6029" spans="1:12">
      <c r="A6029" s="20" t="s">
        <v>1264</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1214</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1077</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2744</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2745</v>
      </c>
      <c r="B6033" s="21" t="s">
        <v>1063</v>
      </c>
      <c r="C6033" s="21" t="s">
        <v>1064</v>
      </c>
      <c r="D6033" s="21" t="s">
        <v>1065</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1091</v>
      </c>
      <c r="B6034" s="21" t="s">
        <v>1123</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1211</v>
      </c>
      <c r="B6035" s="21" t="s">
        <v>1154</v>
      </c>
      <c r="C6035" s="21" t="s">
        <v>1151</v>
      </c>
      <c r="D6035" s="21" t="s">
        <v>1065</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2335</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195</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row>
    <row r="6039" spans="1:12">
      <c r="A6039" s="20" t="s">
        <v>2746</v>
      </c>
    </row>
    <row r="6040" spans="1:12">
      <c r="A6040" s="20" t="s">
        <v>2747</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2641</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2137</v>
      </c>
      <c r="B6042" s="21" t="s">
        <v>1150</v>
      </c>
      <c r="C6042" s="21" t="s">
        <v>1151</v>
      </c>
      <c r="D6042" s="21" t="s">
        <v>1065</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1091</v>
      </c>
      <c r="B6043" s="21" t="s">
        <v>1092</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1076</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1546</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1077</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2748</v>
      </c>
      <c r="B6047" s="21" t="s">
        <v>1097</v>
      </c>
      <c r="C6047" s="21" t="s">
        <v>1071</v>
      </c>
      <c r="D6047" s="21" t="s">
        <v>1065</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1072</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1204</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2588</v>
      </c>
      <c r="B6050" s="21" t="s">
        <v>1114</v>
      </c>
      <c r="C6050" s="21" t="s">
        <v>1075</v>
      </c>
      <c r="D6050" s="21" t="s">
        <v>1065</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909</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t="s">
        <v>1072</v>
      </c>
      <c r="E6052" s="22">
        <f>IF(D6052="?OLD","!!!","")</f>
        <v/>
      </c>
      <c r="F6052" s="23" t="str">
        <f>IF(OR(E6052="",E6052="!!!"),"",IF(NOT(ISNA(VLOOKUP(E6052,E$1:E6051,1,FALSE()))),"OLD",IF(AND(E6052&lt;&gt;"",E6052&lt;&gt;"!!!"),"NEW","")))</f>
        <v> </v>
      </c>
      <c r="G6052" s="24" t="str">
        <f>IF(OR(E6052="",E6052="!!!"),"",IF(OR(J6052=0,AND(J6052=1,K6052=1),AND(J6052=1,I6052="SBJ"),AND(J6052=1,I6052=0)),"?IN_FOCUS",IF(J6052&lt;=2,"?ACTIVATED",IF(J6052&lt;&gt;"","?FAMILIAR",IF(F6052="NEW",IF(ISNA(VLOOKUP(E6052,#REF!,1,FALSE())),"?TYPE_IDENTIFIABLE","?REFERENTIAL"),"_")))))</f>
        <v> </v>
      </c>
      <c r="H6052" s="25" t="str">
        <f>IF(J6052&lt;&gt;1,"",IF(I6052="SBJ","CB","?"))</f>
        <v> </v>
      </c>
      <c r="I6052" s="26" t="str">
        <f>IF(OR(E6052="",E6052="!!!",F6052="NEW"),"",INDEX(B6051:B$2,-1+SUMPRODUCT(MAX(ROW(E6051:E$2)*(E6052=E6051:E$2)))))</f>
        <v> </v>
      </c>
      <c r="J6052" s="26" t="str">
        <f>IF(OR(E6052="",E6052="!!!",F6052="NEW"),"",COUNTBLANK(OFFSET(A$1,,,SUMPRODUCT(MAX(ROW(E$2:E6052)*(E6052=E$2:E6052)))))-COUNTBLANK(OFFSET(A$1,,,SUMPRODUCT(MAX(ROW(E$1:E6051)*(E2=E$1:E6051))))))</f>
        <v> </v>
      </c>
      <c r="K6052" s="26" t="str">
        <f>IF(OR(E6052="",E6052="!!!",F6052="NEW"),"",INDEX(J$1:J6051,SUMPRODUCT(MAX(ROW(E$1:E6051)*(E6052=E$1:E6051)))))</f>
        <v> </v>
      </c>
      <c r="L6052" s="27"/>
    </row>
    <row r="6053" spans="1:12">
      <c r="A6053" s="20" t="s">
        <v>1204</v>
      </c>
      <c r="E6053" s="22">
        <f>IF(D6053="?OLD","!!!","")</f>
        <v/>
      </c>
      <c r="F6053" s="23" t="str">
        <f>IF(OR(E6053="",E6053="!!!"),"",IF(NOT(ISNA(VLOOKUP(E6053,E$1:E6052,1,FALSE()))),"OLD",IF(AND(E6053&lt;&gt;"",E6053&lt;&gt;"!!!"),"NEW","")))</f>
        <v> </v>
      </c>
      <c r="G6053" s="24" t="str">
        <f>IF(OR(E6053="",E6053="!!!"),"",IF(OR(J6053=0,AND(J6053=1,K6053=1),AND(J6053=1,I6053="SBJ"),AND(J6053=1,I6053=0)),"?IN_FOCUS",IF(J6053&lt;=2,"?ACTIVATED",IF(J6053&lt;&gt;"","?FAMILIAR",IF(F6053="NEW",IF(ISNA(VLOOKUP(E6053,#REF!,1,FALSE())),"?TYPE_IDENTIFIABLE","?REFERENTIAL"),"_")))))</f>
        <v> </v>
      </c>
      <c r="H6053" s="25" t="str">
        <f>IF(J6053&lt;&gt;1,"",IF(I6053="SBJ","CB","?"))</f>
        <v> </v>
      </c>
      <c r="I6053" s="26" t="str">
        <f>IF(OR(E6053="",E6053="!!!",F6053="NEW"),"",INDEX(B6052:B$2,-1+SUMPRODUCT(MAX(ROW(E6052:E$2)*(E6053=E6052:E$2)))))</f>
        <v> </v>
      </c>
      <c r="J6053" s="26" t="str">
        <f>IF(OR(E6053="",E6053="!!!",F6053="NEW"),"",COUNTBLANK(OFFSET(A$1,,,SUMPRODUCT(MAX(ROW(E$2:E6053)*(E6053=E$2:E6053)))))-COUNTBLANK(OFFSET(A$1,,,SUMPRODUCT(MAX(ROW(E$1:E6052)*(E2=E$1:E6052))))))</f>
        <v> </v>
      </c>
      <c r="K6053" s="26" t="str">
        <f>IF(OR(E6053="",E6053="!!!",F6053="NEW"),"",INDEX(J$1:J6052,SUMPRODUCT(MAX(ROW(E$1:E6052)*(E6053=E$1:E6052)))))</f>
        <v> </v>
      </c>
      <c r="L6053" s="27"/>
    </row>
    <row r="6054" spans="1:12">
      <c r="A6054" s="20" t="s">
        <v>2749</v>
      </c>
      <c r="B6054" s="21" t="s">
        <v>1121</v>
      </c>
      <c r="C6054" s="21" t="s">
        <v>1075</v>
      </c>
      <c r="D6054" s="21" t="s">
        <v>1065</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1076</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2750</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1077</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2744</v>
      </c>
      <c r="B6058" s="21" t="s">
        <v>1126</v>
      </c>
      <c r="C6058" s="21" t="s">
        <v>1064</v>
      </c>
      <c r="D6058" s="21" t="s">
        <v>1065</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2745</v>
      </c>
      <c r="B6059" s="21" t="s">
        <v>1114</v>
      </c>
      <c r="C6059" s="21" t="s">
        <v>1064</v>
      </c>
      <c r="D6059" s="21" t="s">
        <v>1065</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195</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row>
    <row r="6062" spans="1:12">
      <c r="A6062" s="20" t="s">
        <v>2751</v>
      </c>
    </row>
    <row r="6063" spans="1:12">
      <c r="A6063" s="20" t="s">
        <v>2020</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t="s">
        <v>1488</v>
      </c>
      <c r="B6064" s="21" t="s">
        <v>1080</v>
      </c>
      <c r="C6064" s="21" t="s">
        <v>1119</v>
      </c>
      <c r="D6064" s="21" t="s">
        <v>1065</v>
      </c>
      <c r="E6064" s="22">
        <f>IF(D6064="?OLD","!!!","")</f>
        <v/>
      </c>
      <c r="F6064" s="23" t="str">
        <f>IF(OR(E6064="",E6064="!!!"),"",IF(NOT(ISNA(VLOOKUP(E6064,E$1:E6063,1,FALSE()))),"OLD",IF(AND(E6064&lt;&gt;"",E6064&lt;&gt;"!!!"),"NEW","")))</f>
        <v> </v>
      </c>
      <c r="G6064" s="24" t="str">
        <f>IF(OR(E6064="",E6064="!!!"),"",IF(OR(J6064=0,AND(J6064=1,K6064=1),AND(J6064=1,I6064="SBJ"),AND(J6064=1,I6064=0)),"?IN_FOCUS",IF(J6064&lt;=2,"?ACTIVATED",IF(J6064&lt;&gt;"","?FAMILIAR",IF(F6064="NEW",IF(ISNA(VLOOKUP(E6064,#REF!,1,FALSE())),"?TYPE_IDENTIFIABLE","?REFERENTIAL"),"_")))))</f>
        <v> </v>
      </c>
      <c r="H6064" s="25" t="str">
        <f>IF(J6064&lt;&gt;1,"",IF(I6064="SBJ","CB","?"))</f>
        <v> </v>
      </c>
      <c r="I6064" s="26" t="str">
        <f>IF(OR(E6064="",E6064="!!!",F6064="NEW"),"",INDEX(B6063:B$2,-1+SUMPRODUCT(MAX(ROW(E6063:E$2)*(E6064=E6063:E$2)))))</f>
        <v> </v>
      </c>
      <c r="J6064" s="26" t="str">
        <f>IF(OR(E6064="",E6064="!!!",F6064="NEW"),"",COUNTBLANK(OFFSET(A$1,,,SUMPRODUCT(MAX(ROW(E$2:E6064)*(E6064=E$2:E6064)))))-COUNTBLANK(OFFSET(A$1,,,SUMPRODUCT(MAX(ROW(E$1:E6063)*(E2=E$1:E6063))))))</f>
        <v> </v>
      </c>
      <c r="K6064" s="26" t="str">
        <f>IF(OR(E6064="",E6064="!!!",F6064="NEW"),"",INDEX(J$1:J6063,SUMPRODUCT(MAX(ROW(E$1:E6063)*(E6064=E$1:E6063)))))</f>
        <v> </v>
      </c>
      <c r="L6064" s="27"/>
    </row>
    <row r="6065" spans="1:12">
      <c r="A6065" s="20" t="s">
        <v>1096</v>
      </c>
      <c r="B6065" s="21" t="s">
        <v>1150</v>
      </c>
      <c r="C6065" s="21" t="s">
        <v>1075</v>
      </c>
      <c r="D6065" s="21" t="s">
        <v>1065</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1106</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1112</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1207</v>
      </c>
      <c r="B6068" s="21" t="s">
        <v>1063</v>
      </c>
      <c r="C6068" s="21" t="s">
        <v>1115</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1178</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2752</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1088</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1077</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2753</v>
      </c>
      <c r="B6073" s="21" t="s">
        <v>1063</v>
      </c>
      <c r="C6073" s="21" t="s">
        <v>1075</v>
      </c>
      <c r="D6073" s="21" t="s">
        <v>1065</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1215</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2754</v>
      </c>
      <c r="B6075" s="21" t="s">
        <v>1084</v>
      </c>
      <c r="C6075" s="21" t="s">
        <v>1098</v>
      </c>
      <c r="D6075" s="21" t="s">
        <v>1065</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t="s">
        <v>1454</v>
      </c>
      <c r="E6076" s="22">
        <f>IF(D6076="?OLD","!!!","")</f>
        <v/>
      </c>
      <c r="F6076" s="23" t="str">
        <f>IF(OR(E6076="",E6076="!!!"),"",IF(NOT(ISNA(VLOOKUP(E6076,E$1:E6075,1,FALSE()))),"OLD",IF(AND(E6076&lt;&gt;"",E6076&lt;&gt;"!!!"),"NEW","")))</f>
        <v> </v>
      </c>
      <c r="G6076" s="24" t="str">
        <f>IF(OR(E6076="",E6076="!!!"),"",IF(OR(J6076=0,AND(J6076=1,K6076=1),AND(J6076=1,I6076="SBJ"),AND(J6076=1,I6076=0)),"?IN_FOCUS",IF(J6076&lt;=2,"?ACTIVATED",IF(J6076&lt;&gt;"","?FAMILIAR",IF(F6076="NEW",IF(ISNA(VLOOKUP(E6076,#REF!,1,FALSE())),"?TYPE_IDENTIFIABLE","?REFERENTIAL"),"_")))))</f>
        <v> </v>
      </c>
      <c r="H6076" s="25" t="str">
        <f>IF(J6076&lt;&gt;1,"",IF(I6076="SBJ","CB","?"))</f>
        <v> </v>
      </c>
      <c r="I6076" s="26" t="str">
        <f>IF(OR(E6076="",E6076="!!!",F6076="NEW"),"",INDEX(B6075:B$2,-1+SUMPRODUCT(MAX(ROW(E6075:E$2)*(E6076=E6075:E$2)))))</f>
        <v> </v>
      </c>
      <c r="J6076" s="26" t="str">
        <f>IF(OR(E6076="",E6076="!!!",F6076="NEW"),"",COUNTBLANK(OFFSET(A$1,,,SUMPRODUCT(MAX(ROW(E$2:E6076)*(E6076=E$2:E6076)))))-COUNTBLANK(OFFSET(A$1,,,SUMPRODUCT(MAX(ROW(E$1:E6075)*(E2=E$1:E6075))))))</f>
        <v> </v>
      </c>
      <c r="K6076" s="26" t="str">
        <f>IF(OR(E6076="",E6076="!!!",F6076="NEW"),"",INDEX(J$1:J6075,SUMPRODUCT(MAX(ROW(E$1:E6075)*(E6076=E$1:E6075)))))</f>
        <v> </v>
      </c>
      <c r="L6076" s="27"/>
    </row>
    <row r="6077" spans="1:12">
      <c r="A6077" s="20" t="s">
        <v>2755</v>
      </c>
      <c r="E6077" s="22">
        <f>IF(D6077="?OLD","!!!","")</f>
        <v/>
      </c>
      <c r="F6077" s="23" t="str">
        <f>IF(OR(E6077="",E6077="!!!"),"",IF(NOT(ISNA(VLOOKUP(E6077,E$1:E6076,1,FALSE()))),"OLD",IF(AND(E6077&lt;&gt;"",E6077&lt;&gt;"!!!"),"NEW","")))</f>
        <v> </v>
      </c>
      <c r="G6077" s="24" t="str">
        <f>IF(OR(E6077="",E6077="!!!"),"",IF(OR(J6077=0,AND(J6077=1,K6077=1),AND(J6077=1,I6077="SBJ"),AND(J6077=1,I6077=0)),"?IN_FOCUS",IF(J6077&lt;=2,"?ACTIVATED",IF(J6077&lt;&gt;"","?FAMILIAR",IF(F6077="NEW",IF(ISNA(VLOOKUP(E6077,#REF!,1,FALSE())),"?TYPE_IDENTIFIABLE","?REFERENTIAL"),"_")))))</f>
        <v> </v>
      </c>
      <c r="H6077" s="25" t="str">
        <f>IF(J6077&lt;&gt;1,"",IF(I6077="SBJ","CB","?"))</f>
        <v> </v>
      </c>
      <c r="I6077" s="26" t="str">
        <f>IF(OR(E6077="",E6077="!!!",F6077="NEW"),"",INDEX(B6076:B$2,-1+SUMPRODUCT(MAX(ROW(E6076:E$2)*(E6077=E6076:E$2)))))</f>
        <v> </v>
      </c>
      <c r="J6077" s="26" t="str">
        <f>IF(OR(E6077="",E6077="!!!",F6077="NEW"),"",COUNTBLANK(OFFSET(A$1,,,SUMPRODUCT(MAX(ROW(E$2:E6077)*(E6077=E$2:E6077)))))-COUNTBLANK(OFFSET(A$1,,,SUMPRODUCT(MAX(ROW(E$1:E6076)*(E2=E$1:E6076))))))</f>
        <v> </v>
      </c>
      <c r="K6077" s="26" t="str">
        <f>IF(OR(E6077="",E6077="!!!",F6077="NEW"),"",INDEX(J$1:J6076,SUMPRODUCT(MAX(ROW(E$1:E6076)*(E6077=E$1:E6076)))))</f>
        <v> </v>
      </c>
      <c r="L6077" s="27"/>
    </row>
    <row r="6078" spans="1:12">
      <c r="A6078" s="20" t="s">
        <v>1076</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1429</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1286</v>
      </c>
      <c r="B6080" s="21" t="s">
        <v>1123</v>
      </c>
      <c r="C6080" s="21" t="s">
        <v>1151</v>
      </c>
      <c r="D6080" s="21" t="s">
        <v>1065</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2756</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1091</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671</v>
      </c>
      <c r="B6083" s="21" t="s">
        <v>1097</v>
      </c>
      <c r="C6083" s="21" t="s">
        <v>1151</v>
      </c>
      <c r="D6083" s="21" t="s">
        <v>1065</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1753</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141</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t="s">
        <v>2189</v>
      </c>
      <c r="E6086" s="22">
        <f>IF(D6086="?OLD","!!!","")</f>
        <v/>
      </c>
      <c r="F6086" s="23" t="str">
        <f>IF(OR(E6086="",E6086="!!!"),"",IF(NOT(ISNA(VLOOKUP(E6086,E$1:E6085,1,FALSE()))),"OLD",IF(AND(E6086&lt;&gt;"",E6086&lt;&gt;"!!!"),"NEW","")))</f>
        <v> </v>
      </c>
      <c r="G6086" s="24" t="str">
        <f>IF(OR(E6086="",E6086="!!!"),"",IF(OR(J6086=0,AND(J6086=1,K6086=1),AND(J6086=1,I6086="SBJ"),AND(J6086=1,I6086=0)),"?IN_FOCUS",IF(J6086&lt;=2,"?ACTIVATED",IF(J6086&lt;&gt;"","?FAMILIAR",IF(F6086="NEW",IF(ISNA(VLOOKUP(E6086,#REF!,1,FALSE())),"?TYPE_IDENTIFIABLE","?REFERENTIAL"),"_")))))</f>
        <v> </v>
      </c>
      <c r="H6086" s="25" t="str">
        <f>IF(J6086&lt;&gt;1,"",IF(I6086="SBJ","CB","?"))</f>
        <v> </v>
      </c>
      <c r="I6086" s="26" t="str">
        <f>IF(OR(E6086="",E6086="!!!",F6086="NEW"),"",INDEX(B6085:B$2,-1+SUMPRODUCT(MAX(ROW(E6085:E$2)*(E6086=E6085:E$2)))))</f>
        <v> </v>
      </c>
      <c r="J6086" s="26" t="str">
        <f>IF(OR(E6086="",E6086="!!!",F6086="NEW"),"",COUNTBLANK(OFFSET(A$1,,,SUMPRODUCT(MAX(ROW(E$2:E6086)*(E6086=E$2:E6086)))))-COUNTBLANK(OFFSET(A$1,,,SUMPRODUCT(MAX(ROW(E$1:E6085)*(E2=E$1:E6085))))))</f>
        <v> </v>
      </c>
      <c r="K6086" s="26" t="str">
        <f>IF(OR(E6086="",E6086="!!!",F6086="NEW"),"",INDEX(J$1:J6085,SUMPRODUCT(MAX(ROW(E$1:E6085)*(E6086=E$1:E6085)))))</f>
        <v> </v>
      </c>
      <c r="L6086" s="27"/>
    </row>
    <row r="6087" spans="1:12">
      <c r="A6087" s="20" t="s">
        <v>2394</v>
      </c>
      <c r="B6087" s="21" t="s">
        <v>1126</v>
      </c>
      <c r="C6087" s="21" t="s">
        <v>1155</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1106</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1215</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1249</v>
      </c>
      <c r="B6090" s="21" t="s">
        <v>1097</v>
      </c>
      <c r="C6090" s="21" t="s">
        <v>1098</v>
      </c>
      <c r="D6090" s="21" t="s">
        <v>1065</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195</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row>
    <row r="6093" spans="1:12">
      <c r="A6093" s="20" t="s">
        <v>2757</v>
      </c>
    </row>
    <row r="6094" spans="1:12">
      <c r="A6094" s="20" t="s">
        <v>1385</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1346</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1286</v>
      </c>
      <c r="B6096" s="21" t="s">
        <v>1150</v>
      </c>
      <c r="C6096" s="21" t="s">
        <v>1151</v>
      </c>
      <c r="D6096" s="21" t="s">
        <v>1065</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1322</v>
      </c>
      <c r="B6097" s="21" t="s">
        <v>1084</v>
      </c>
      <c r="C6097" s="21" t="s">
        <v>1151</v>
      </c>
      <c r="D6097" s="21" t="s">
        <v>1065</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2375</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195</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row>
    <row r="6101" spans="1:12">
      <c r="A6101" s="20" t="s">
        <v>2758</v>
      </c>
    </row>
    <row r="6102" spans="1:12">
      <c r="A6102" s="20" t="s">
        <v>1192</v>
      </c>
      <c r="B6102" s="21" t="s">
        <v>1063</v>
      </c>
      <c r="C6102" s="21" t="s">
        <v>1064</v>
      </c>
      <c r="D6102" s="21" t="s">
        <v>1065</v>
      </c>
      <c r="E6102" s="22">
        <f>IF(D6102="?OLD","!!!","")</f>
        <v/>
      </c>
      <c r="F6102" s="23" t="str">
        <f>IF(OR(E6102="",E6102="!!!"),"",IF(NOT(ISNA(VLOOKUP(E6102,E$1:E6101,1,FALSE()))),"OLD",IF(AND(E6102&lt;&gt;"",E6102&lt;&gt;"!!!"),"NEW","")))</f>
        <v> </v>
      </c>
      <c r="G6102" s="24" t="str">
        <f>IF(OR(E6102="",E6102="!!!"),"",IF(OR(J6102=0,AND(J6102=1,K6102=1),AND(J6102=1,I6102="SBJ"),AND(J6102=1,I6102=0)),"?IN_FOCUS",IF(J6102&lt;=2,"?ACTIVATED",IF(J6102&lt;&gt;"","?FAMILIAR",IF(F6102="NEW",IF(ISNA(VLOOKUP(E6102,#REF!,1,FALSE())),"?TYPE_IDENTIFIABLE","?REFERENTIAL"),"_")))))</f>
        <v> </v>
      </c>
      <c r="H6102" s="25" t="str">
        <f>IF(J6102&lt;&gt;1,"",IF(I6102="SBJ","CB","?"))</f>
        <v> </v>
      </c>
      <c r="I6102" s="26" t="str">
        <f>IF(OR(E6102="",E6102="!!!",F6102="NEW"),"",INDEX(B6101:B$2,-1+SUMPRODUCT(MAX(ROW(E6101:E$2)*(E6102=E6101:E$2)))))</f>
        <v> </v>
      </c>
      <c r="J6102" s="26" t="str">
        <f>IF(OR(E6102="",E6102="!!!",F6102="NEW"),"",COUNTBLANK(OFFSET(A$1,,,SUMPRODUCT(MAX(ROW(E$2:E6102)*(E6102=E$2:E6102)))))-COUNTBLANK(OFFSET(A$1,,,SUMPRODUCT(MAX(ROW(E$1:E6101)*(E2=E$1:E6101))))))</f>
        <v> </v>
      </c>
      <c r="K6102" s="26" t="str">
        <f>IF(OR(E6102="",E6102="!!!",F6102="NEW"),"",INDEX(J$1:J6101,SUMPRODUCT(MAX(ROW(E$1:E6101)*(E6102=E$1:E6101)))))</f>
        <v> </v>
      </c>
      <c r="L6102" s="27"/>
    </row>
    <row r="6103" spans="1:12">
      <c r="A6103" s="20" t="s">
        <v>1067</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2759</v>
      </c>
      <c r="B6104" s="21" t="s">
        <v>1150</v>
      </c>
      <c r="C6104" s="21" t="s">
        <v>1144</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t="s">
        <v>1076</v>
      </c>
      <c r="E6105" s="22">
        <f>IF(D6105="?OLD","!!!","")</f>
        <v/>
      </c>
      <c r="F6105" s="23" t="str">
        <f>IF(OR(E6105="",E6105="!!!"),"",IF(NOT(ISNA(VLOOKUP(E6105,E$1:E6104,1,FALSE()))),"OLD",IF(AND(E6105&lt;&gt;"",E6105&lt;&gt;"!!!"),"NEW","")))</f>
        <v> </v>
      </c>
      <c r="G6105" s="24" t="str">
        <f>IF(OR(E6105="",E6105="!!!"),"",IF(OR(J6105=0,AND(J6105=1,K6105=1),AND(J6105=1,I6105="SBJ"),AND(J6105=1,I6105=0)),"?IN_FOCUS",IF(J6105&lt;=2,"?ACTIVATED",IF(J6105&lt;&gt;"","?FAMILIAR",IF(F6105="NEW",IF(ISNA(VLOOKUP(E6105,#REF!,1,FALSE())),"?TYPE_IDENTIFIABLE","?REFERENTIAL"),"_")))))</f>
        <v> </v>
      </c>
      <c r="H6105" s="25" t="str">
        <f>IF(J6105&lt;&gt;1,"",IF(I6105="SBJ","CB","?"))</f>
        <v> </v>
      </c>
      <c r="I6105" s="26" t="str">
        <f>IF(OR(E6105="",E6105="!!!",F6105="NEW"),"",INDEX(B6104:B$2,-1+SUMPRODUCT(MAX(ROW(E6104:E$2)*(E6105=E6104:E$2)))))</f>
        <v> </v>
      </c>
      <c r="J6105" s="26" t="str">
        <f>IF(OR(E6105="",E6105="!!!",F6105="NEW"),"",COUNTBLANK(OFFSET(A$1,,,SUMPRODUCT(MAX(ROW(E$2:E6105)*(E6105=E$2:E6105)))))-COUNTBLANK(OFFSET(A$1,,,SUMPRODUCT(MAX(ROW(E$1:E6104)*(E2=E$1:E6104))))))</f>
        <v> </v>
      </c>
      <c r="K6105" s="26" t="str">
        <f>IF(OR(E6105="",E6105="!!!",F6105="NEW"),"",INDEX(J$1:J6104,SUMPRODUCT(MAX(ROW(E$1:E6104)*(E6105=E$1:E6104)))))</f>
        <v> </v>
      </c>
      <c r="L6105" s="27"/>
    </row>
    <row r="6106" spans="1:12">
      <c r="A6106" s="20" t="s">
        <v>671</v>
      </c>
      <c r="B6106" s="21" t="s">
        <v>1063</v>
      </c>
      <c r="C6106" s="21" t="s">
        <v>1151</v>
      </c>
      <c r="D6106" s="21" t="s">
        <v>1065</v>
      </c>
      <c r="E6106" s="22">
        <f>IF(D6106="?OLD","!!!","")</f>
        <v/>
      </c>
      <c r="F6106" s="23" t="str">
        <f>IF(OR(E6106="",E6106="!!!"),"",IF(NOT(ISNA(VLOOKUP(E6106,E$1:E6105,1,FALSE()))),"OLD",IF(AND(E6106&lt;&gt;"",E6106&lt;&gt;"!!!"),"NEW","")))</f>
        <v> </v>
      </c>
      <c r="G6106" s="24" t="str">
        <f>IF(OR(E6106="",E6106="!!!"),"",IF(OR(J6106=0,AND(J6106=1,K6106=1),AND(J6106=1,I6106="SBJ"),AND(J6106=1,I6106=0)),"?IN_FOCUS",IF(J6106&lt;=2,"?ACTIVATED",IF(J6106&lt;&gt;"","?FAMILIAR",IF(F6106="NEW",IF(ISNA(VLOOKUP(E6106,#REF!,1,FALSE())),"?TYPE_IDENTIFIABLE","?REFERENTIAL"),"_")))))</f>
        <v> </v>
      </c>
      <c r="H6106" s="25" t="str">
        <f>IF(J6106&lt;&gt;1,"",IF(I6106="SBJ","CB","?"))</f>
        <v> </v>
      </c>
      <c r="I6106" s="26" t="str">
        <f>IF(OR(E6106="",E6106="!!!",F6106="NEW"),"",INDEX(B6105:B$2,-1+SUMPRODUCT(MAX(ROW(E6105:E$2)*(E6106=E6105:E$2)))))</f>
        <v> </v>
      </c>
      <c r="J6106" s="26" t="str">
        <f>IF(OR(E6106="",E6106="!!!",F6106="NEW"),"",COUNTBLANK(OFFSET(A$1,,,SUMPRODUCT(MAX(ROW(E$2:E6106)*(E6106=E$2:E6106)))))-COUNTBLANK(OFFSET(A$1,,,SUMPRODUCT(MAX(ROW(E$1:E6105)*(E2=E$1:E6105))))))</f>
        <v> </v>
      </c>
      <c r="K6106" s="26" t="str">
        <f>IF(OR(E6106="",E6106="!!!",F6106="NEW"),"",INDEX(J$1:J6105,SUMPRODUCT(MAX(ROW(E$1:E6105)*(E6106=E$1:E6105)))))</f>
        <v> </v>
      </c>
      <c r="L6106" s="27"/>
    </row>
    <row r="6107" spans="1:12">
      <c r="A6107" s="20" t="s">
        <v>1787</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945</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1091</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1073</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2400</v>
      </c>
      <c r="B6111" s="21" t="s">
        <v>1123</v>
      </c>
      <c r="C6111" s="21" t="s">
        <v>1071</v>
      </c>
      <c r="D6111" s="21" t="s">
        <v>1065</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1072</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1077</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2744</v>
      </c>
      <c r="B6114" s="21" t="s">
        <v>1097</v>
      </c>
      <c r="C6114" s="21" t="s">
        <v>1064</v>
      </c>
      <c r="D6114" s="21" t="s">
        <v>1065</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2745</v>
      </c>
      <c r="B6115" s="21" t="s">
        <v>1114</v>
      </c>
      <c r="C6115" s="21" t="s">
        <v>1064</v>
      </c>
      <c r="D6115" s="21" t="s">
        <v>1065</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2118</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2642</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2760</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t="s">
        <v>195</v>
      </c>
      <c r="E6119" s="22">
        <f>IF(D6119="?OLD","!!!","")</f>
        <v/>
      </c>
      <c r="F6119" s="23" t="str">
        <f>IF(OR(E6119="",E6119="!!!"),"",IF(NOT(ISNA(VLOOKUP(E6119,E$1:E6118,1,FALSE()))),"OLD",IF(AND(E6119&lt;&gt;"",E6119&lt;&gt;"!!!"),"NEW","")))</f>
        <v> </v>
      </c>
      <c r="G6119" s="24" t="str">
        <f>IF(OR(E6119="",E6119="!!!"),"",IF(OR(J6119=0,AND(J6119=1,K6119=1),AND(J6119=1,I6119="SBJ"),AND(J6119=1,I6119=0)),"?IN_FOCUS",IF(J6119&lt;=2,"?ACTIVATED",IF(J6119&lt;&gt;"","?FAMILIAR",IF(F6119="NEW",IF(ISNA(VLOOKUP(E6119,#REF!,1,FALSE())),"?TYPE_IDENTIFIABLE","?REFERENTIAL"),"_")))))</f>
        <v> </v>
      </c>
      <c r="H6119" s="25" t="str">
        <f>IF(J6119&lt;&gt;1,"",IF(I6119="SBJ","CB","?"))</f>
        <v> </v>
      </c>
      <c r="I6119" s="26" t="str">
        <f>IF(OR(E6119="",E6119="!!!",F6119="NEW"),"",INDEX(B6118:B$2,-1+SUMPRODUCT(MAX(ROW(E6118:E$2)*(E6119=E6118:E$2)))))</f>
        <v> </v>
      </c>
      <c r="J6119" s="26" t="str">
        <f>IF(OR(E6119="",E6119="!!!",F6119="NEW"),"",COUNTBLANK(OFFSET(A$1,,,SUMPRODUCT(MAX(ROW(E$2:E6119)*(E6119=E$2:E6119)))))-COUNTBLANK(OFFSET(A$1,,,SUMPRODUCT(MAX(ROW(E$1:E6118)*(E2=E$1:E6118))))))</f>
        <v> </v>
      </c>
      <c r="K6119" s="26" t="str">
        <f>IF(OR(E6119="",E6119="!!!",F6119="NEW"),"",INDEX(J$1:J6118,SUMPRODUCT(MAX(ROW(E$1:E6118)*(E6119=E$1:E6118)))))</f>
        <v> </v>
      </c>
      <c r="L6119" s="27"/>
    </row>
    <row r="6120" spans="1:12">
      <c r="A6120" s="20"/>
    </row>
    <row r="6121" spans="1:12">
      <c r="A6121" s="20" t="s">
        <v>2761</v>
      </c>
    </row>
    <row r="6122" spans="1:12">
      <c r="A6122" s="20" t="s">
        <v>2576</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1214</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1169</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1124</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2072</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2762</v>
      </c>
      <c r="B6127" s="21" t="s">
        <v>1150</v>
      </c>
      <c r="C6127" s="21" t="s">
        <v>1071</v>
      </c>
      <c r="D6127" s="21" t="s">
        <v>1065</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2763</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1088</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2764</v>
      </c>
      <c r="B6130" s="21" t="s">
        <v>1080</v>
      </c>
      <c r="C6130" s="21" t="s">
        <v>1064</v>
      </c>
      <c r="D6130" s="21" t="s">
        <v>1065</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1091</v>
      </c>
      <c r="B6131" s="21" t="s">
        <v>1092</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1319</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2765</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1124</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2766</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2302</v>
      </c>
      <c r="B6136" s="21" t="s">
        <v>1126</v>
      </c>
      <c r="C6136" s="21" t="s">
        <v>1109</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t="s">
        <v>1587</v>
      </c>
      <c r="E6137" s="22">
        <f>IF(D6137="?OLD","!!!","")</f>
        <v/>
      </c>
      <c r="F6137" s="23" t="str">
        <f>IF(OR(E6137="",E6137="!!!"),"",IF(NOT(ISNA(VLOOKUP(E6137,E$1:E6136,1,FALSE()))),"OLD",IF(AND(E6137&lt;&gt;"",E6137&lt;&gt;"!!!"),"NEW","")))</f>
        <v> </v>
      </c>
      <c r="G6137" s="24" t="str">
        <f>IF(OR(E6137="",E6137="!!!"),"",IF(OR(J6137=0,AND(J6137=1,K6137=1),AND(J6137=1,I6137="SBJ"),AND(J6137=1,I6137=0)),"?IN_FOCUS",IF(J6137&lt;=2,"?ACTIVATED",IF(J6137&lt;&gt;"","?FAMILIAR",IF(F6137="NEW",IF(ISNA(VLOOKUP(E6137,#REF!,1,FALSE())),"?TYPE_IDENTIFIABLE","?REFERENTIAL"),"_")))))</f>
        <v> </v>
      </c>
      <c r="H6137" s="25" t="str">
        <f>IF(J6137&lt;&gt;1,"",IF(I6137="SBJ","CB","?"))</f>
        <v> </v>
      </c>
      <c r="I6137" s="26" t="str">
        <f>IF(OR(E6137="",E6137="!!!",F6137="NEW"),"",INDEX(B6136:B$2,-1+SUMPRODUCT(MAX(ROW(E6136:E$2)*(E6137=E6136:E$2)))))</f>
        <v> </v>
      </c>
      <c r="J6137" s="26" t="str">
        <f>IF(OR(E6137="",E6137="!!!",F6137="NEW"),"",COUNTBLANK(OFFSET(A$1,,,SUMPRODUCT(MAX(ROW(E$2:E6137)*(E6137=E$2:E6137)))))-COUNTBLANK(OFFSET(A$1,,,SUMPRODUCT(MAX(ROW(E$1:E6136)*(E2=E$1:E6136))))))</f>
        <v> </v>
      </c>
      <c r="K6137" s="26" t="str">
        <f>IF(OR(E6137="",E6137="!!!",F6137="NEW"),"",INDEX(J$1:J6136,SUMPRODUCT(MAX(ROW(E$1:E6136)*(E6137=E$1:E6136)))))</f>
        <v> </v>
      </c>
      <c r="L6137" s="27"/>
    </row>
    <row r="6138" spans="1:12">
      <c r="A6138" s="20" t="s">
        <v>2767</v>
      </c>
      <c r="B6138" s="21" t="s">
        <v>1354</v>
      </c>
      <c r="C6138" s="21" t="s">
        <v>1064</v>
      </c>
      <c r="D6138" s="21" t="s">
        <v>1065</v>
      </c>
      <c r="E6138" s="22">
        <f>IF(D6138="?OLD","!!!","")</f>
        <v/>
      </c>
      <c r="F6138" s="23" t="str">
        <f>IF(OR(E6138="",E6138="!!!"),"",IF(NOT(ISNA(VLOOKUP(E6138,E$1:E6137,1,FALSE()))),"OLD",IF(AND(E6138&lt;&gt;"",E6138&lt;&gt;"!!!"),"NEW","")))</f>
        <v> </v>
      </c>
      <c r="G6138" s="24" t="str">
        <f>IF(OR(E6138="",E6138="!!!"),"",IF(OR(J6138=0,AND(J6138=1,K6138=1),AND(J6138=1,I6138="SBJ"),AND(J6138=1,I6138=0)),"?IN_FOCUS",IF(J6138&lt;=2,"?ACTIVATED",IF(J6138&lt;&gt;"","?FAMILIAR",IF(F6138="NEW",IF(ISNA(VLOOKUP(E6138,#REF!,1,FALSE())),"?TYPE_IDENTIFIABLE","?REFERENTIAL"),"_")))))</f>
        <v> </v>
      </c>
      <c r="H6138" s="25" t="str">
        <f>IF(J6138&lt;&gt;1,"",IF(I6138="SBJ","CB","?"))</f>
        <v> </v>
      </c>
      <c r="I6138" s="26" t="str">
        <f>IF(OR(E6138="",E6138="!!!",F6138="NEW"),"",INDEX(B6137:B$2,-1+SUMPRODUCT(MAX(ROW(E6137:E$2)*(E6138=E6137:E$2)))))</f>
        <v> </v>
      </c>
      <c r="J6138" s="26" t="str">
        <f>IF(OR(E6138="",E6138="!!!",F6138="NEW"),"",COUNTBLANK(OFFSET(A$1,,,SUMPRODUCT(MAX(ROW(E$2:E6138)*(E6138=E$2:E6138)))))-COUNTBLANK(OFFSET(A$1,,,SUMPRODUCT(MAX(ROW(E$1:E6137)*(E2=E$1:E6137))))))</f>
        <v> </v>
      </c>
      <c r="K6138" s="26" t="str">
        <f>IF(OR(E6138="",E6138="!!!",F6138="NEW"),"",INDEX(J$1:J6137,SUMPRODUCT(MAX(ROW(E$1:E6137)*(E6138=E$1:E6137)))))</f>
        <v> </v>
      </c>
      <c r="L6138" s="27"/>
    </row>
    <row r="6139" spans="1:12">
      <c r="A6139" s="20" t="s">
        <v>11</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2768</v>
      </c>
      <c r="B6140" s="21" t="s">
        <v>1118</v>
      </c>
      <c r="C6140" s="21" t="s">
        <v>1064</v>
      </c>
      <c r="D6140" s="21" t="s">
        <v>1065</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t="s">
        <v>1076</v>
      </c>
      <c r="E6141" s="22">
        <f>IF(D6141="?OLD","!!!","")</f>
        <v/>
      </c>
      <c r="F6141" s="23" t="str">
        <f>IF(OR(E6141="",E6141="!!!"),"",IF(NOT(ISNA(VLOOKUP(E6141,E$1:E6140,1,FALSE()))),"OLD",IF(AND(E6141&lt;&gt;"",E6141&lt;&gt;"!!!"),"NEW","")))</f>
        <v> </v>
      </c>
      <c r="G6141" s="24" t="str">
        <f>IF(OR(E6141="",E6141="!!!"),"",IF(OR(J6141=0,AND(J6141=1,K6141=1),AND(J6141=1,I6141="SBJ"),AND(J6141=1,I6141=0)),"?IN_FOCUS",IF(J6141&lt;=2,"?ACTIVATED",IF(J6141&lt;&gt;"","?FAMILIAR",IF(F6141="NEW",IF(ISNA(VLOOKUP(E6141,#REF!,1,FALSE())),"?TYPE_IDENTIFIABLE","?REFERENTIAL"),"_")))))</f>
        <v> </v>
      </c>
      <c r="H6141" s="25" t="str">
        <f>IF(J6141&lt;&gt;1,"",IF(I6141="SBJ","CB","?"))</f>
        <v> </v>
      </c>
      <c r="I6141" s="26" t="str">
        <f>IF(OR(E6141="",E6141="!!!",F6141="NEW"),"",INDEX(B6140:B$2,-1+SUMPRODUCT(MAX(ROW(E6140:E$2)*(E6141=E6140:E$2)))))</f>
        <v> </v>
      </c>
      <c r="J6141" s="26" t="str">
        <f>IF(OR(E6141="",E6141="!!!",F6141="NEW"),"",COUNTBLANK(OFFSET(A$1,,,SUMPRODUCT(MAX(ROW(E$2:E6141)*(E6141=E$2:E6141)))))-COUNTBLANK(OFFSET(A$1,,,SUMPRODUCT(MAX(ROW(E$1:E6140)*(E2=E$1:E6140))))))</f>
        <v> </v>
      </c>
      <c r="K6141" s="26" t="str">
        <f>IF(OR(E6141="",E6141="!!!",F6141="NEW"),"",INDEX(J$1:J6140,SUMPRODUCT(MAX(ROW(E$1:E6140)*(E6141=E$1:E6140)))))</f>
        <v> </v>
      </c>
      <c r="L6141" s="27"/>
    </row>
    <row r="6142" spans="1:12">
      <c r="A6142" s="20" t="s">
        <v>1091</v>
      </c>
      <c r="B6142" s="21" t="s">
        <v>1359</v>
      </c>
      <c r="E6142" s="22">
        <f>IF(D6142="?OLD","!!!","")</f>
        <v/>
      </c>
      <c r="F6142" s="23" t="str">
        <f>IF(OR(E6142="",E6142="!!!"),"",IF(NOT(ISNA(VLOOKUP(E6142,E$1:E6141,1,FALSE()))),"OLD",IF(AND(E6142&lt;&gt;"",E6142&lt;&gt;"!!!"),"NEW","")))</f>
        <v> </v>
      </c>
      <c r="G6142" s="24" t="str">
        <f>IF(OR(E6142="",E6142="!!!"),"",IF(OR(J6142=0,AND(J6142=1,K6142=1),AND(J6142=1,I6142="SBJ"),AND(J6142=1,I6142=0)),"?IN_FOCUS",IF(J6142&lt;=2,"?ACTIVATED",IF(J6142&lt;&gt;"","?FAMILIAR",IF(F6142="NEW",IF(ISNA(VLOOKUP(E6142,#REF!,1,FALSE())),"?TYPE_IDENTIFIABLE","?REFERENTIAL"),"_")))))</f>
        <v> </v>
      </c>
      <c r="H6142" s="25" t="str">
        <f>IF(J6142&lt;&gt;1,"",IF(I6142="SBJ","CB","?"))</f>
        <v> </v>
      </c>
      <c r="I6142" s="26" t="str">
        <f>IF(OR(E6142="",E6142="!!!",F6142="NEW"),"",INDEX(B6141:B$2,-1+SUMPRODUCT(MAX(ROW(E6141:E$2)*(E6142=E6141:E$2)))))</f>
        <v> </v>
      </c>
      <c r="J6142" s="26" t="str">
        <f>IF(OR(E6142="",E6142="!!!",F6142="NEW"),"",COUNTBLANK(OFFSET(A$1,,,SUMPRODUCT(MAX(ROW(E$2:E6142)*(E6142=E$2:E6142)))))-COUNTBLANK(OFFSET(A$1,,,SUMPRODUCT(MAX(ROW(E$1:E6141)*(E2=E$1:E6141))))))</f>
        <v> </v>
      </c>
      <c r="K6142" s="26" t="str">
        <f>IF(OR(E6142="",E6142="!!!",F6142="NEW"),"",INDEX(J$1:J6141,SUMPRODUCT(MAX(ROW(E$1:E6141)*(E6142=E$1:E6141)))))</f>
        <v> </v>
      </c>
      <c r="L6142" s="27"/>
    </row>
    <row r="6143" spans="1:12">
      <c r="A6143" s="20" t="s">
        <v>1890</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1091</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1204</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1443</v>
      </c>
      <c r="B6146" s="21" t="s">
        <v>1441</v>
      </c>
      <c r="C6146" s="21" t="s">
        <v>1119</v>
      </c>
      <c r="D6146" s="21" t="s">
        <v>1065</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2769</v>
      </c>
      <c r="B6147" s="21" t="s">
        <v>1923</v>
      </c>
      <c r="C6147" s="21" t="s">
        <v>1071</v>
      </c>
      <c r="D6147" s="21" t="s">
        <v>1065</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1072</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1812</v>
      </c>
      <c r="B6149" s="21" t="s">
        <v>1441</v>
      </c>
      <c r="C6149" s="21" t="s">
        <v>1144</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1688</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2770</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1763</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2474</v>
      </c>
      <c r="B6153" s="21" t="s">
        <v>1438</v>
      </c>
      <c r="C6153" s="21" t="s">
        <v>1115</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1091</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1164</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1847</v>
      </c>
      <c r="B6156" s="21" t="s">
        <v>1927</v>
      </c>
      <c r="C6156" s="21" t="s">
        <v>1071</v>
      </c>
      <c r="D6156" s="21" t="s">
        <v>1065</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1072</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1525</v>
      </c>
      <c r="B6158" s="21" t="s">
        <v>2719</v>
      </c>
      <c r="C6158" s="21" t="s">
        <v>1144</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2771</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2772</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1072</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2773</v>
      </c>
      <c r="B6162" s="21" t="s">
        <v>1444</v>
      </c>
      <c r="C6162" s="21" t="s">
        <v>1071</v>
      </c>
      <c r="D6162" s="21" t="s">
        <v>1065</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1072</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t="s">
        <v>1124</v>
      </c>
      <c r="E6164" s="22">
        <f>IF(D6164="?OLD","!!!","")</f>
        <v/>
      </c>
      <c r="F6164" s="23" t="str">
        <f>IF(OR(E6164="",E6164="!!!"),"",IF(NOT(ISNA(VLOOKUP(E6164,E$1:E6163,1,FALSE()))),"OLD",IF(AND(E6164&lt;&gt;"",E6164&lt;&gt;"!!!"),"NEW","")))</f>
        <v> </v>
      </c>
      <c r="G6164" s="24" t="str">
        <f>IF(OR(E6164="",E6164="!!!"),"",IF(OR(J6164=0,AND(J6164=1,K6164=1),AND(J6164=1,I6164="SBJ"),AND(J6164=1,I6164=0)),"?IN_FOCUS",IF(J6164&lt;=2,"?ACTIVATED",IF(J6164&lt;&gt;"","?FAMILIAR",IF(F6164="NEW",IF(ISNA(VLOOKUP(E6164,#REF!,1,FALSE())),"?TYPE_IDENTIFIABLE","?REFERENTIAL"),"_")))))</f>
        <v> </v>
      </c>
      <c r="H6164" s="25" t="str">
        <f>IF(J6164&lt;&gt;1,"",IF(I6164="SBJ","CB","?"))</f>
        <v> </v>
      </c>
      <c r="I6164" s="26" t="str">
        <f>IF(OR(E6164="",E6164="!!!",F6164="NEW"),"",INDEX(B6163:B$2,-1+SUMPRODUCT(MAX(ROW(E6163:E$2)*(E6164=E6163:E$2)))))</f>
        <v> </v>
      </c>
      <c r="J6164" s="26" t="str">
        <f>IF(OR(E6164="",E6164="!!!",F6164="NEW"),"",COUNTBLANK(OFFSET(A$1,,,SUMPRODUCT(MAX(ROW(E$2:E6164)*(E6164=E$2:E6164)))))-COUNTBLANK(OFFSET(A$1,,,SUMPRODUCT(MAX(ROW(E$1:E6163)*(E2=E$1:E6163))))))</f>
        <v> </v>
      </c>
      <c r="K6164" s="26" t="str">
        <f>IF(OR(E6164="",E6164="!!!",F6164="NEW"),"",INDEX(J$1:J6163,SUMPRODUCT(MAX(ROW(E$1:E6163)*(E6164=E$1:E6163)))))</f>
        <v> </v>
      </c>
      <c r="L6164" s="27"/>
    </row>
    <row r="6165" spans="1:12">
      <c r="A6165" s="20" t="s">
        <v>2774</v>
      </c>
      <c r="B6165" s="21" t="s">
        <v>2719</v>
      </c>
      <c r="C6165" s="21" t="s">
        <v>1071</v>
      </c>
      <c r="D6165" s="21" t="s">
        <v>1065</v>
      </c>
      <c r="E6165" s="22">
        <f>IF(D6165="?OLD","!!!","")</f>
        <v/>
      </c>
      <c r="F6165" s="23" t="str">
        <f>IF(OR(E6165="",E6165="!!!"),"",IF(NOT(ISNA(VLOOKUP(E6165,E$1:E6164,1,FALSE()))),"OLD",IF(AND(E6165&lt;&gt;"",E6165&lt;&gt;"!!!"),"NEW","")))</f>
        <v> </v>
      </c>
      <c r="G6165" s="24" t="str">
        <f>IF(OR(E6165="",E6165="!!!"),"",IF(OR(J6165=0,AND(J6165=1,K6165=1),AND(J6165=1,I6165="SBJ"),AND(J6165=1,I6165=0)),"?IN_FOCUS",IF(J6165&lt;=2,"?ACTIVATED",IF(J6165&lt;&gt;"","?FAMILIAR",IF(F6165="NEW",IF(ISNA(VLOOKUP(E6165,#REF!,1,FALSE())),"?TYPE_IDENTIFIABLE","?REFERENTIAL"),"_")))))</f>
        <v> </v>
      </c>
      <c r="H6165" s="25" t="str">
        <f>IF(J6165&lt;&gt;1,"",IF(I6165="SBJ","CB","?"))</f>
        <v> </v>
      </c>
      <c r="I6165" s="26" t="str">
        <f>IF(OR(E6165="",E6165="!!!",F6165="NEW"),"",INDEX(B6164:B$2,-1+SUMPRODUCT(MAX(ROW(E6164:E$2)*(E6165=E6164:E$2)))))</f>
        <v> </v>
      </c>
      <c r="J6165" s="26" t="str">
        <f>IF(OR(E6165="",E6165="!!!",F6165="NEW"),"",COUNTBLANK(OFFSET(A$1,,,SUMPRODUCT(MAX(ROW(E$2:E6165)*(E6165=E$2:E6165)))))-COUNTBLANK(OFFSET(A$1,,,SUMPRODUCT(MAX(ROW(E$1:E6164)*(E2=E$1:E6164))))))</f>
        <v> </v>
      </c>
      <c r="K6165" s="26" t="str">
        <f>IF(OR(E6165="",E6165="!!!",F6165="NEW"),"",INDEX(J$1:J6164,SUMPRODUCT(MAX(ROW(E$1:E6164)*(E6165=E$1:E6164)))))</f>
        <v> </v>
      </c>
      <c r="L6165" s="27"/>
    </row>
    <row r="6166" spans="1:12">
      <c r="A6166" s="20" t="s">
        <v>1072</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2775</v>
      </c>
      <c r="B6167" s="21" t="s">
        <v>1606</v>
      </c>
      <c r="C6167" s="21" t="s">
        <v>1144</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t="s">
        <v>1076</v>
      </c>
      <c r="E6168" s="22">
        <f>IF(D6168="?OLD","!!!","")</f>
        <v/>
      </c>
      <c r="F6168" s="23" t="str">
        <f>IF(OR(E6168="",E6168="!!!"),"",IF(NOT(ISNA(VLOOKUP(E6168,E$1:E6167,1,FALSE()))),"OLD",IF(AND(E6168&lt;&gt;"",E6168&lt;&gt;"!!!"),"NEW","")))</f>
        <v> </v>
      </c>
      <c r="G6168" s="24" t="str">
        <f>IF(OR(E6168="",E6168="!!!"),"",IF(OR(J6168=0,AND(J6168=1,K6168=1),AND(J6168=1,I6168="SBJ"),AND(J6168=1,I6168=0)),"?IN_FOCUS",IF(J6168&lt;=2,"?ACTIVATED",IF(J6168&lt;&gt;"","?FAMILIAR",IF(F6168="NEW",IF(ISNA(VLOOKUP(E6168,#REF!,1,FALSE())),"?TYPE_IDENTIFIABLE","?REFERENTIAL"),"_")))))</f>
        <v> </v>
      </c>
      <c r="H6168" s="25" t="str">
        <f>IF(J6168&lt;&gt;1,"",IF(I6168="SBJ","CB","?"))</f>
        <v> </v>
      </c>
      <c r="I6168" s="26" t="str">
        <f>IF(OR(E6168="",E6168="!!!",F6168="NEW"),"",INDEX(B6167:B$2,-1+SUMPRODUCT(MAX(ROW(E6167:E$2)*(E6168=E6167:E$2)))))</f>
        <v> </v>
      </c>
      <c r="J6168" s="26" t="str">
        <f>IF(OR(E6168="",E6168="!!!",F6168="NEW"),"",COUNTBLANK(OFFSET(A$1,,,SUMPRODUCT(MAX(ROW(E$2:E6168)*(E6168=E$2:E6168)))))-COUNTBLANK(OFFSET(A$1,,,SUMPRODUCT(MAX(ROW(E$1:E6167)*(E2=E$1:E6167))))))</f>
        <v> </v>
      </c>
      <c r="K6168" s="26" t="str">
        <f>IF(OR(E6168="",E6168="!!!",F6168="NEW"),"",INDEX(J$1:J6167,SUMPRODUCT(MAX(ROW(E$1:E6167)*(E6168=E$1:E6167)))))</f>
        <v> </v>
      </c>
      <c r="L6168" s="27"/>
    </row>
    <row r="6169" spans="1:12">
      <c r="A6169" s="20" t="s">
        <v>909</v>
      </c>
      <c r="E6169" s="22">
        <f>IF(D6169="?OLD","!!!","")</f>
        <v/>
      </c>
      <c r="F6169" s="23" t="str">
        <f>IF(OR(E6169="",E6169="!!!"),"",IF(NOT(ISNA(VLOOKUP(E6169,E$1:E6168,1,FALSE()))),"OLD",IF(AND(E6169&lt;&gt;"",E6169&lt;&gt;"!!!"),"NEW","")))</f>
        <v> </v>
      </c>
      <c r="G6169" s="24" t="str">
        <f>IF(OR(E6169="",E6169="!!!"),"",IF(OR(J6169=0,AND(J6169=1,K6169=1),AND(J6169=1,I6169="SBJ"),AND(J6169=1,I6169=0)),"?IN_FOCUS",IF(J6169&lt;=2,"?ACTIVATED",IF(J6169&lt;&gt;"","?FAMILIAR",IF(F6169="NEW",IF(ISNA(VLOOKUP(E6169,#REF!,1,FALSE())),"?TYPE_IDENTIFIABLE","?REFERENTIAL"),"_")))))</f>
        <v> </v>
      </c>
      <c r="H6169" s="25" t="str">
        <f>IF(J6169&lt;&gt;1,"",IF(I6169="SBJ","CB","?"))</f>
        <v> </v>
      </c>
      <c r="I6169" s="26" t="str">
        <f>IF(OR(E6169="",E6169="!!!",F6169="NEW"),"",INDEX(B6168:B$2,-1+SUMPRODUCT(MAX(ROW(E6168:E$2)*(E6169=E6168:E$2)))))</f>
        <v> </v>
      </c>
      <c r="J6169" s="26" t="str">
        <f>IF(OR(E6169="",E6169="!!!",F6169="NEW"),"",COUNTBLANK(OFFSET(A$1,,,SUMPRODUCT(MAX(ROW(E$2:E6169)*(E6169=E$2:E6169)))))-COUNTBLANK(OFFSET(A$1,,,SUMPRODUCT(MAX(ROW(E$1:E6168)*(E2=E$1:E6168))))))</f>
        <v> </v>
      </c>
      <c r="K6169" s="26" t="str">
        <f>IF(OR(E6169="",E6169="!!!",F6169="NEW"),"",INDEX(J$1:J6168,SUMPRODUCT(MAX(ROW(E$1:E6168)*(E6169=E$1:E6168)))))</f>
        <v> </v>
      </c>
      <c r="L6169" s="27"/>
    </row>
    <row r="6170" spans="1:12">
      <c r="A6170" s="20" t="s">
        <v>1076</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1763</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2474</v>
      </c>
      <c r="B6172" s="21" t="s">
        <v>1438</v>
      </c>
      <c r="C6172" s="21" t="s">
        <v>1115</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1091</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1953</v>
      </c>
      <c r="B6174" s="21" t="s">
        <v>2359</v>
      </c>
      <c r="C6174" s="21" t="s">
        <v>1131</v>
      </c>
      <c r="D6174" s="21" t="s">
        <v>1065</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2776</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1076</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1394</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1214</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1756</v>
      </c>
      <c r="B6179" s="21" t="s">
        <v>1923</v>
      </c>
      <c r="C6179" s="21" t="s">
        <v>1144</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t="s">
        <v>1072</v>
      </c>
      <c r="E6180" s="22">
        <f>IF(D6180="?OLD","!!!","")</f>
        <v/>
      </c>
      <c r="F6180" s="23" t="str">
        <f>IF(OR(E6180="",E6180="!!!"),"",IF(NOT(ISNA(VLOOKUP(E6180,E$1:E6179,1,FALSE()))),"OLD",IF(AND(E6180&lt;&gt;"",E6180&lt;&gt;"!!!"),"NEW","")))</f>
        <v> </v>
      </c>
      <c r="G6180" s="24" t="str">
        <f>IF(OR(E6180="",E6180="!!!"),"",IF(OR(J6180=0,AND(J6180=1,K6180=1),AND(J6180=1,I6180="SBJ"),AND(J6180=1,I6180=0)),"?IN_FOCUS",IF(J6180&lt;=2,"?ACTIVATED",IF(J6180&lt;&gt;"","?FAMILIAR",IF(F6180="NEW",IF(ISNA(VLOOKUP(E6180,#REF!,1,FALSE())),"?TYPE_IDENTIFIABLE","?REFERENTIAL"),"_")))))</f>
        <v> </v>
      </c>
      <c r="H6180" s="25" t="str">
        <f>IF(J6180&lt;&gt;1,"",IF(I6180="SBJ","CB","?"))</f>
        <v> </v>
      </c>
      <c r="I6180" s="26" t="str">
        <f>IF(OR(E6180="",E6180="!!!",F6180="NEW"),"",INDEX(B6179:B$2,-1+SUMPRODUCT(MAX(ROW(E6179:E$2)*(E6180=E6179:E$2)))))</f>
        <v> </v>
      </c>
      <c r="J6180" s="26" t="str">
        <f>IF(OR(E6180="",E6180="!!!",F6180="NEW"),"",COUNTBLANK(OFFSET(A$1,,,SUMPRODUCT(MAX(ROW(E$2:E6180)*(E6180=E$2:E6180)))))-COUNTBLANK(OFFSET(A$1,,,SUMPRODUCT(MAX(ROW(E$1:E6179)*(E2=E$1:E6179))))))</f>
        <v> </v>
      </c>
      <c r="K6180" s="26" t="str">
        <f>IF(OR(E6180="",E6180="!!!",F6180="NEW"),"",INDEX(J$1:J6179,SUMPRODUCT(MAX(ROW(E$1:E6179)*(E6180=E$1:E6179)))))</f>
        <v> </v>
      </c>
      <c r="L6180" s="27"/>
    </row>
    <row r="6181" spans="1:12">
      <c r="A6181" s="20" t="s">
        <v>2777</v>
      </c>
      <c r="E6181" s="22">
        <f>IF(D6181="?OLD","!!!","")</f>
        <v/>
      </c>
      <c r="F6181" s="23" t="str">
        <f>IF(OR(E6181="",E6181="!!!"),"",IF(NOT(ISNA(VLOOKUP(E6181,E$1:E6180,1,FALSE()))),"OLD",IF(AND(E6181&lt;&gt;"",E6181&lt;&gt;"!!!"),"NEW","")))</f>
        <v> </v>
      </c>
      <c r="G6181" s="24" t="str">
        <f>IF(OR(E6181="",E6181="!!!"),"",IF(OR(J6181=0,AND(J6181=1,K6181=1),AND(J6181=1,I6181="SBJ"),AND(J6181=1,I6181=0)),"?IN_FOCUS",IF(J6181&lt;=2,"?ACTIVATED",IF(J6181&lt;&gt;"","?FAMILIAR",IF(F6181="NEW",IF(ISNA(VLOOKUP(E6181,#REF!,1,FALSE())),"?TYPE_IDENTIFIABLE","?REFERENTIAL"),"_")))))</f>
        <v> </v>
      </c>
      <c r="H6181" s="25" t="str">
        <f>IF(J6181&lt;&gt;1,"",IF(I6181="SBJ","CB","?"))</f>
        <v> </v>
      </c>
      <c r="I6181" s="26" t="str">
        <f>IF(OR(E6181="",E6181="!!!",F6181="NEW"),"",INDEX(B6180:B$2,-1+SUMPRODUCT(MAX(ROW(E6180:E$2)*(E6181=E6180:E$2)))))</f>
        <v> </v>
      </c>
      <c r="J6181" s="26" t="str">
        <f>IF(OR(E6181="",E6181="!!!",F6181="NEW"),"",COUNTBLANK(OFFSET(A$1,,,SUMPRODUCT(MAX(ROW(E$2:E6181)*(E6181=E$2:E6181)))))-COUNTBLANK(OFFSET(A$1,,,SUMPRODUCT(MAX(ROW(E$1:E6180)*(E2=E$1:E6180))))))</f>
        <v> </v>
      </c>
      <c r="K6181" s="26" t="str">
        <f>IF(OR(E6181="",E6181="!!!",F6181="NEW"),"",INDEX(J$1:J6180,SUMPRODUCT(MAX(ROW(E$1:E6180)*(E6181=E$1:E6180)))))</f>
        <v> </v>
      </c>
      <c r="L6181" s="27"/>
    </row>
    <row r="6182" spans="1:12">
      <c r="A6182" s="20" t="s">
        <v>909</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2778</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1077</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2154</v>
      </c>
      <c r="B6185" s="21" t="s">
        <v>1606</v>
      </c>
      <c r="C6185" s="21" t="s">
        <v>1119</v>
      </c>
      <c r="D6185" s="21" t="s">
        <v>1065</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16</v>
      </c>
      <c r="B6186" s="21" t="s">
        <v>2779</v>
      </c>
      <c r="C6186" s="21" t="s">
        <v>1071</v>
      </c>
      <c r="D6186" s="21" t="s">
        <v>1065</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1088</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1204</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1812</v>
      </c>
      <c r="B6189" s="21" t="s">
        <v>1606</v>
      </c>
      <c r="C6189" s="21" t="s">
        <v>1075</v>
      </c>
      <c r="D6189" s="21" t="s">
        <v>1065</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195</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row>
    <row r="6192" spans="1:12">
      <c r="A6192" s="20" t="s">
        <v>2780</v>
      </c>
    </row>
    <row r="6193" spans="1:12">
      <c r="A6193" s="20" t="s">
        <v>2781</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1076</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1198</v>
      </c>
      <c r="B6195" s="21" t="s">
        <v>1150</v>
      </c>
      <c r="C6195" s="21" t="s">
        <v>1131</v>
      </c>
      <c r="D6195" s="21" t="s">
        <v>1065</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1213</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2776</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1111</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1329</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1073</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2400</v>
      </c>
      <c r="B6201" s="21" t="s">
        <v>1063</v>
      </c>
      <c r="C6201" s="21" t="s">
        <v>1071</v>
      </c>
      <c r="D6201" s="21" t="s">
        <v>1065</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1072</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1525</v>
      </c>
      <c r="B6203" s="21" t="s">
        <v>1080</v>
      </c>
      <c r="C6203" s="21" t="s">
        <v>1144</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2059</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t="s">
        <v>1185</v>
      </c>
      <c r="E6205" s="22">
        <f>IF(D6205="?OLD","!!!","")</f>
        <v/>
      </c>
      <c r="F6205" s="23" t="str">
        <f>IF(OR(E6205="",E6205="!!!"),"",IF(NOT(ISNA(VLOOKUP(E6205,E$1:E6204,1,FALSE()))),"OLD",IF(AND(E6205&lt;&gt;"",E6205&lt;&gt;"!!!"),"NEW","")))</f>
        <v> </v>
      </c>
      <c r="G6205" s="24" t="str">
        <f>IF(OR(E6205="",E6205="!!!"),"",IF(OR(J6205=0,AND(J6205=1,K6205=1),AND(J6205=1,I6205="SBJ"),AND(J6205=1,I6205=0)),"?IN_FOCUS",IF(J6205&lt;=2,"?ACTIVATED",IF(J6205&lt;&gt;"","?FAMILIAR",IF(F6205="NEW",IF(ISNA(VLOOKUP(E6205,#REF!,1,FALSE())),"?TYPE_IDENTIFIABLE","?REFERENTIAL"),"_")))))</f>
        <v> </v>
      </c>
      <c r="H6205" s="25" t="str">
        <f>IF(J6205&lt;&gt;1,"",IF(I6205="SBJ","CB","?"))</f>
        <v> </v>
      </c>
      <c r="I6205" s="26" t="str">
        <f>IF(OR(E6205="",E6205="!!!",F6205="NEW"),"",INDEX(B6204:B$2,-1+SUMPRODUCT(MAX(ROW(E6204:E$2)*(E6205=E6204:E$2)))))</f>
        <v> </v>
      </c>
      <c r="J6205" s="26" t="str">
        <f>IF(OR(E6205="",E6205="!!!",F6205="NEW"),"",COUNTBLANK(OFFSET(A$1,,,SUMPRODUCT(MAX(ROW(E$2:E6205)*(E6205=E$2:E6205)))))-COUNTBLANK(OFFSET(A$1,,,SUMPRODUCT(MAX(ROW(E$1:E6204)*(E2=E$1:E6204))))))</f>
        <v> </v>
      </c>
      <c r="K6205" s="26" t="str">
        <f>IF(OR(E6205="",E6205="!!!",F6205="NEW"),"",INDEX(J$1:J6204,SUMPRODUCT(MAX(ROW(E$1:E6204)*(E6205=E$1:E6204)))))</f>
        <v> </v>
      </c>
      <c r="L6205" s="27"/>
    </row>
    <row r="6206" spans="1:12">
      <c r="A6206" s="20" t="s">
        <v>2782</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1072</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1623</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2774</v>
      </c>
      <c r="B6209" s="21" t="s">
        <v>1080</v>
      </c>
      <c r="C6209" s="21" t="s">
        <v>1071</v>
      </c>
      <c r="D6209" s="21" t="s">
        <v>1065</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1072</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2775</v>
      </c>
      <c r="B6211" s="21" t="s">
        <v>1097</v>
      </c>
      <c r="C6211" s="21" t="s">
        <v>1144</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1076</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1425</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2783</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t="s">
        <v>1568</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t="s">
        <v>1754</v>
      </c>
      <c r="E6216" s="22">
        <f>IF(D6216="?OLD","!!!","")</f>
        <v/>
      </c>
      <c r="F6216" s="23" t="str">
        <f>IF(OR(E6216="",E6216="!!!"),"",IF(NOT(ISNA(VLOOKUP(E6216,E$1:E6215,1,FALSE()))),"OLD",IF(AND(E6216&lt;&gt;"",E6216&lt;&gt;"!!!"),"NEW","")))</f>
        <v> </v>
      </c>
      <c r="G6216" s="24" t="str">
        <f>IF(OR(E6216="",E6216="!!!"),"",IF(OR(J6216=0,AND(J6216=1,K6216=1),AND(J6216=1,I6216="SBJ"),AND(J6216=1,I6216=0)),"?IN_FOCUS",IF(J6216&lt;=2,"?ACTIVATED",IF(J6216&lt;&gt;"","?FAMILIAR",IF(F6216="NEW",IF(ISNA(VLOOKUP(E6216,#REF!,1,FALSE())),"?TYPE_IDENTIFIABLE","?REFERENTIAL"),"_")))))</f>
        <v> </v>
      </c>
      <c r="H6216" s="25" t="str">
        <f>IF(J6216&lt;&gt;1,"",IF(I6216="SBJ","CB","?"))</f>
        <v> </v>
      </c>
      <c r="I6216" s="26" t="str">
        <f>IF(OR(E6216="",E6216="!!!",F6216="NEW"),"",INDEX(B6215:B$2,-1+SUMPRODUCT(MAX(ROW(E6215:E$2)*(E6216=E6215:E$2)))))</f>
        <v> </v>
      </c>
      <c r="J6216" s="26" t="str">
        <f>IF(OR(E6216="",E6216="!!!",F6216="NEW"),"",COUNTBLANK(OFFSET(A$1,,,SUMPRODUCT(MAX(ROW(E$2:E6216)*(E6216=E$2:E6216)))))-COUNTBLANK(OFFSET(A$1,,,SUMPRODUCT(MAX(ROW(E$1:E6215)*(E2=E$1:E6215))))))</f>
        <v> </v>
      </c>
      <c r="K6216" s="26" t="str">
        <f>IF(OR(E6216="",E6216="!!!",F6216="NEW"),"",INDEX(J$1:J6215,SUMPRODUCT(MAX(ROW(E$1:E6215)*(E6216=E$1:E6215)))))</f>
        <v> </v>
      </c>
      <c r="L6216" s="27"/>
    </row>
    <row r="6217" spans="1:12">
      <c r="A6217" s="20" t="s">
        <v>1253</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1073</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t="s">
        <v>1238</v>
      </c>
      <c r="B6219" s="21" t="s">
        <v>1126</v>
      </c>
      <c r="C6219" s="21" t="s">
        <v>1075</v>
      </c>
      <c r="D6219" s="21" t="s">
        <v>1065</v>
      </c>
      <c r="E6219" s="22">
        <f>IF(D6219="?OLD","!!!","")</f>
        <v/>
      </c>
      <c r="F6219" s="23" t="str">
        <f>IF(OR(E6219="",E6219="!!!"),"",IF(NOT(ISNA(VLOOKUP(E6219,E$1:E6218,1,FALSE()))),"OLD",IF(AND(E6219&lt;&gt;"",E6219&lt;&gt;"!!!"),"NEW","")))</f>
        <v> </v>
      </c>
      <c r="G6219" s="24" t="str">
        <f>IF(OR(E6219="",E6219="!!!"),"",IF(OR(J6219=0,AND(J6219=1,K6219=1),AND(J6219=1,I6219="SBJ"),AND(J6219=1,I6219=0)),"?IN_FOCUS",IF(J6219&lt;=2,"?ACTIVATED",IF(J6219&lt;&gt;"","?FAMILIAR",IF(F6219="NEW",IF(ISNA(VLOOKUP(E6219,#REF!,1,FALSE())),"?TYPE_IDENTIFIABLE","?REFERENTIAL"),"_")))))</f>
        <v> </v>
      </c>
      <c r="H6219" s="25" t="str">
        <f>IF(J6219&lt;&gt;1,"",IF(I6219="SBJ","CB","?"))</f>
        <v> </v>
      </c>
      <c r="I6219" s="26" t="str">
        <f>IF(OR(E6219="",E6219="!!!",F6219="NEW"),"",INDEX(B6218:B$2,-1+SUMPRODUCT(MAX(ROW(E6218:E$2)*(E6219=E6218:E$2)))))</f>
        <v> </v>
      </c>
      <c r="J6219" s="26" t="str">
        <f>IF(OR(E6219="",E6219="!!!",F6219="NEW"),"",COUNTBLANK(OFFSET(A$1,,,SUMPRODUCT(MAX(ROW(E$2:E6219)*(E6219=E$2:E6219)))))-COUNTBLANK(OFFSET(A$1,,,SUMPRODUCT(MAX(ROW(E$1:E6218)*(E2=E$1:E6218))))))</f>
        <v> </v>
      </c>
      <c r="K6219" s="26" t="str">
        <f>IF(OR(E6219="",E6219="!!!",F6219="NEW"),"",INDEX(J$1:J6218,SUMPRODUCT(MAX(ROW(E$1:E6218)*(E6219=E$1:E6218)))))</f>
        <v> </v>
      </c>
      <c r="L6219" s="27"/>
    </row>
    <row r="6220" spans="1:12">
      <c r="A6220" s="20" t="s">
        <v>1091</v>
      </c>
      <c r="B6220" s="21" t="s">
        <v>1354</v>
      </c>
      <c r="E6220" s="22">
        <f>IF(D6220="?OLD","!!!","")</f>
        <v/>
      </c>
      <c r="F6220" s="23" t="str">
        <f>IF(OR(E6220="",E6220="!!!"),"",IF(NOT(ISNA(VLOOKUP(E6220,E$1:E6219,1,FALSE()))),"OLD",IF(AND(E6220&lt;&gt;"",E6220&lt;&gt;"!!!"),"NEW","")))</f>
        <v> </v>
      </c>
      <c r="G6220" s="24" t="str">
        <f>IF(OR(E6220="",E6220="!!!"),"",IF(OR(J6220=0,AND(J6220=1,K6220=1),AND(J6220=1,I6220="SBJ"),AND(J6220=1,I6220=0)),"?IN_FOCUS",IF(J6220&lt;=2,"?ACTIVATED",IF(J6220&lt;&gt;"","?FAMILIAR",IF(F6220="NEW",IF(ISNA(VLOOKUP(E6220,#REF!,1,FALSE())),"?TYPE_IDENTIFIABLE","?REFERENTIAL"),"_")))))</f>
        <v> </v>
      </c>
      <c r="H6220" s="25" t="str">
        <f>IF(J6220&lt;&gt;1,"",IF(I6220="SBJ","CB","?"))</f>
        <v> </v>
      </c>
      <c r="I6220" s="26" t="str">
        <f>IF(OR(E6220="",E6220="!!!",F6220="NEW"),"",INDEX(B6219:B$2,-1+SUMPRODUCT(MAX(ROW(E6219:E$2)*(E6220=E6219:E$2)))))</f>
        <v> </v>
      </c>
      <c r="J6220" s="26" t="str">
        <f>IF(OR(E6220="",E6220="!!!",F6220="NEW"),"",COUNTBLANK(OFFSET(A$1,,,SUMPRODUCT(MAX(ROW(E$2:E6220)*(E6220=E$2:E6220)))))-COUNTBLANK(OFFSET(A$1,,,SUMPRODUCT(MAX(ROW(E$1:E6219)*(E2=E$1:E6219))))))</f>
        <v> </v>
      </c>
      <c r="K6220" s="26" t="str">
        <f>IF(OR(E6220="",E6220="!!!",F6220="NEW"),"",INDEX(J$1:J6219,SUMPRODUCT(MAX(ROW(E$1:E6219)*(E6220=E$1:E6219)))))</f>
        <v> </v>
      </c>
      <c r="L6220" s="27"/>
    </row>
    <row r="6221" spans="1:12">
      <c r="A6221" s="20" t="s">
        <v>1253</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1076</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1429</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1394</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1214</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2189</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2784</v>
      </c>
      <c r="B6227" s="21" t="s">
        <v>1092</v>
      </c>
      <c r="C6227" s="21" t="s">
        <v>1144</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1076</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2785</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1346</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1077</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2748</v>
      </c>
      <c r="B6232" s="21" t="s">
        <v>1278</v>
      </c>
      <c r="C6232" s="21" t="s">
        <v>1071</v>
      </c>
      <c r="D6232" s="21" t="s">
        <v>1065</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1072</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1173</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t="s">
        <v>1245</v>
      </c>
      <c r="B6235" s="21" t="s">
        <v>1121</v>
      </c>
      <c r="C6235" s="21" t="s">
        <v>1075</v>
      </c>
      <c r="D6235" s="21" t="s">
        <v>1065</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1214</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t="s">
        <v>1169</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2786</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1111</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1204</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2197</v>
      </c>
      <c r="B6241" s="21" t="s">
        <v>1114</v>
      </c>
      <c r="C6241" s="21" t="s">
        <v>1075</v>
      </c>
      <c r="D6241" s="21" t="s">
        <v>1065</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195</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row>
    <row r="6244" spans="1:12">
      <c r="A6244" s="20" t="s">
        <v>2787</v>
      </c>
    </row>
    <row r="6245" spans="1:12">
      <c r="A6245" s="20" t="s">
        <v>2371</v>
      </c>
      <c r="B6245" s="21" t="s">
        <v>1150</v>
      </c>
      <c r="C6245" s="21" t="s">
        <v>1151</v>
      </c>
      <c r="D6245" s="21" t="s">
        <v>1065</v>
      </c>
      <c r="E6245" s="22">
        <f>IF(D6245="?OLD","!!!","")</f>
        <v/>
      </c>
      <c r="F6245" s="23" t="str">
        <f>IF(OR(E6245="",E6245="!!!"),"",IF(NOT(ISNA(VLOOKUP(E6245,E$1:E6244,1,FALSE()))),"OLD",IF(AND(E6245&lt;&gt;"",E6245&lt;&gt;"!!!"),"NEW","")))</f>
        <v> </v>
      </c>
      <c r="G6245" s="24" t="str">
        <f>IF(OR(E6245="",E6245="!!!"),"",IF(OR(J6245=0,AND(J6245=1,K6245=1),AND(J6245=1,I6245="SBJ"),AND(J6245=1,I6245=0)),"?IN_FOCUS",IF(J6245&lt;=2,"?ACTIVATED",IF(J6245&lt;&gt;"","?FAMILIAR",IF(F6245="NEW",IF(ISNA(VLOOKUP(E6245,#REF!,1,FALSE())),"?TYPE_IDENTIFIABLE","?REFERENTIAL"),"_")))))</f>
        <v> </v>
      </c>
      <c r="H6245" s="25" t="str">
        <f>IF(J6245&lt;&gt;1,"",IF(I6245="SBJ","CB","?"))</f>
        <v> </v>
      </c>
      <c r="I6245" s="26" t="str">
        <f>IF(OR(E6245="",E6245="!!!",F6245="NEW"),"",INDEX(B6244:B$2,-1+SUMPRODUCT(MAX(ROW(E6244:E$2)*(E6245=E6244:E$2)))))</f>
        <v> </v>
      </c>
      <c r="J6245" s="26" t="str">
        <f>IF(OR(E6245="",E6245="!!!",F6245="NEW"),"",COUNTBLANK(OFFSET(A$1,,,SUMPRODUCT(MAX(ROW(E$2:E6245)*(E6245=E$2:E6245)))))-COUNTBLANK(OFFSET(A$1,,,SUMPRODUCT(MAX(ROW(E$1:E6244)*(E2=E$1:E6244))))))</f>
        <v> </v>
      </c>
      <c r="K6245" s="26" t="str">
        <f>IF(OR(E6245="",E6245="!!!",F6245="NEW"),"",INDEX(J$1:J6244,SUMPRODUCT(MAX(ROW(E$1:E6244)*(E6245=E$1:E6244)))))</f>
        <v> </v>
      </c>
      <c r="L6245" s="27"/>
    </row>
    <row r="6246" spans="1:12">
      <c r="A6246" s="20" t="s">
        <v>1185</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1204</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2489</v>
      </c>
      <c r="B6248" s="21" t="s">
        <v>1063</v>
      </c>
      <c r="C6248" s="21" t="s">
        <v>1075</v>
      </c>
      <c r="D6248" s="21" t="s">
        <v>1065</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2788</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1091</v>
      </c>
      <c r="B6250" s="21" t="s">
        <v>1154</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1124</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2789</v>
      </c>
      <c r="B6252" s="21" t="s">
        <v>1123</v>
      </c>
      <c r="C6252" s="21" t="s">
        <v>1109</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1787</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t="s">
        <v>2790</v>
      </c>
      <c r="E6254" s="22">
        <f>IF(D6254="?OLD","!!!","")</f>
        <v/>
      </c>
      <c r="F6254" s="23" t="str">
        <f>IF(OR(E6254="",E6254="!!!"),"",IF(NOT(ISNA(VLOOKUP(E6254,E$1:E6253,1,FALSE()))),"OLD",IF(AND(E6254&lt;&gt;"",E6254&lt;&gt;"!!!"),"NEW","")))</f>
        <v> </v>
      </c>
      <c r="G6254" s="24" t="str">
        <f>IF(OR(E6254="",E6254="!!!"),"",IF(OR(J6254=0,AND(J6254=1,K6254=1),AND(J6254=1,I6254="SBJ"),AND(J6254=1,I6254=0)),"?IN_FOCUS",IF(J6254&lt;=2,"?ACTIVATED",IF(J6254&lt;&gt;"","?FAMILIAR",IF(F6254="NEW",IF(ISNA(VLOOKUP(E6254,#REF!,1,FALSE())),"?TYPE_IDENTIFIABLE","?REFERENTIAL"),"_")))))</f>
        <v> </v>
      </c>
      <c r="H6254" s="25" t="str">
        <f>IF(J6254&lt;&gt;1,"",IF(I6254="SBJ","CB","?"))</f>
        <v> </v>
      </c>
      <c r="I6254" s="26" t="str">
        <f>IF(OR(E6254="",E6254="!!!",F6254="NEW"),"",INDEX(B6253:B$2,-1+SUMPRODUCT(MAX(ROW(E6253:E$2)*(E6254=E6253:E$2)))))</f>
        <v> </v>
      </c>
      <c r="J6254" s="26" t="str">
        <f>IF(OR(E6254="",E6254="!!!",F6254="NEW"),"",COUNTBLANK(OFFSET(A$1,,,SUMPRODUCT(MAX(ROW(E$2:E6254)*(E6254=E$2:E6254)))))-COUNTBLANK(OFFSET(A$1,,,SUMPRODUCT(MAX(ROW(E$1:E6253)*(E2=E$1:E6253))))))</f>
        <v> </v>
      </c>
      <c r="K6254" s="26" t="str">
        <f>IF(OR(E6254="",E6254="!!!",F6254="NEW"),"",INDEX(J$1:J6253,SUMPRODUCT(MAX(ROW(E$1:E6253)*(E6254=E$1:E6253)))))</f>
        <v> </v>
      </c>
      <c r="L6254" s="27"/>
    </row>
    <row r="6255" spans="1:12">
      <c r="A6255" s="20" t="s">
        <v>2083</v>
      </c>
      <c r="B6255" s="21" t="s">
        <v>1154</v>
      </c>
      <c r="C6255" s="21" t="s">
        <v>1144</v>
      </c>
      <c r="E6255" s="22">
        <f>IF(D6255="?OLD","!!!","")</f>
        <v/>
      </c>
      <c r="F6255" s="23" t="str">
        <f>IF(OR(E6255="",E6255="!!!"),"",IF(NOT(ISNA(VLOOKUP(E6255,E$1:E6254,1,FALSE()))),"OLD",IF(AND(E6255&lt;&gt;"",E6255&lt;&gt;"!!!"),"NEW","")))</f>
        <v> </v>
      </c>
      <c r="G6255" s="24" t="str">
        <f>IF(OR(E6255="",E6255="!!!"),"",IF(OR(J6255=0,AND(J6255=1,K6255=1),AND(J6255=1,I6255="SBJ"),AND(J6255=1,I6255=0)),"?IN_FOCUS",IF(J6255&lt;=2,"?ACTIVATED",IF(J6255&lt;&gt;"","?FAMILIAR",IF(F6255="NEW",IF(ISNA(VLOOKUP(E6255,#REF!,1,FALSE())),"?TYPE_IDENTIFIABLE","?REFERENTIAL"),"_")))))</f>
        <v> </v>
      </c>
      <c r="H6255" s="25" t="str">
        <f>IF(J6255&lt;&gt;1,"",IF(I6255="SBJ","CB","?"))</f>
        <v> </v>
      </c>
      <c r="I6255" s="26" t="str">
        <f>IF(OR(E6255="",E6255="!!!",F6255="NEW"),"",INDEX(B6254:B$2,-1+SUMPRODUCT(MAX(ROW(E6254:E$2)*(E6255=E6254:E$2)))))</f>
        <v> </v>
      </c>
      <c r="J6255" s="26" t="str">
        <f>IF(OR(E6255="",E6255="!!!",F6255="NEW"),"",COUNTBLANK(OFFSET(A$1,,,SUMPRODUCT(MAX(ROW(E$2:E6255)*(E6255=E$2:E6255)))))-COUNTBLANK(OFFSET(A$1,,,SUMPRODUCT(MAX(ROW(E$1:E6254)*(E2=E$1:E6254))))))</f>
        <v> </v>
      </c>
      <c r="K6255" s="26" t="str">
        <f>IF(OR(E6255="",E6255="!!!",F6255="NEW"),"",INDEX(J$1:J6254,SUMPRODUCT(MAX(ROW(E$1:E6254)*(E6255=E$1:E6254)))))</f>
        <v> </v>
      </c>
      <c r="L6255" s="27"/>
    </row>
    <row r="6256" spans="1:12">
      <c r="A6256" s="20" t="s">
        <v>1088</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2083</v>
      </c>
      <c r="B6257" s="21" t="s">
        <v>1080</v>
      </c>
      <c r="C6257" s="21" t="s">
        <v>1144</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2134</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1077</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t="s">
        <v>1375</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2791</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1072</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1173</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2792</v>
      </c>
      <c r="B6264" s="21" t="s">
        <v>1097</v>
      </c>
      <c r="C6264" s="21" t="s">
        <v>1075</v>
      </c>
      <c r="D6264" s="21" t="s">
        <v>1065</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909</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2134</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1164</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1375</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2793</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2794</v>
      </c>
      <c r="B6270" s="21" t="s">
        <v>1114</v>
      </c>
      <c r="C6270" s="21" t="s">
        <v>1071</v>
      </c>
      <c r="D6270" s="21" t="s">
        <v>1065</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1072</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t="s">
        <v>1341</v>
      </c>
      <c r="B6272" s="21" t="s">
        <v>1121</v>
      </c>
      <c r="C6272" s="21" t="s">
        <v>1071</v>
      </c>
      <c r="D6272" s="21" t="s">
        <v>1065</v>
      </c>
      <c r="E6272" s="22">
        <f>IF(D6272="?OLD","!!!","")</f>
        <v/>
      </c>
      <c r="F6272" s="23" t="str">
        <f>IF(OR(E6272="",E6272="!!!"),"",IF(NOT(ISNA(VLOOKUP(E6272,E$1:E6271,1,FALSE()))),"OLD",IF(AND(E6272&lt;&gt;"",E6272&lt;&gt;"!!!"),"NEW","")))</f>
        <v> </v>
      </c>
      <c r="G6272" s="24" t="str">
        <f>IF(OR(E6272="",E6272="!!!"),"",IF(OR(J6272=0,AND(J6272=1,K6272=1),AND(J6272=1,I6272="SBJ"),AND(J6272=1,I6272=0)),"?IN_FOCUS",IF(J6272&lt;=2,"?ACTIVATED",IF(J6272&lt;&gt;"","?FAMILIAR",IF(F6272="NEW",IF(ISNA(VLOOKUP(E6272,#REF!,1,FALSE())),"?TYPE_IDENTIFIABLE","?REFERENTIAL"),"_")))))</f>
        <v> </v>
      </c>
      <c r="H6272" s="25" t="str">
        <f>IF(J6272&lt;&gt;1,"",IF(I6272="SBJ","CB","?"))</f>
        <v> </v>
      </c>
      <c r="I6272" s="26" t="str">
        <f>IF(OR(E6272="",E6272="!!!",F6272="NEW"),"",INDEX(B6271:B$2,-1+SUMPRODUCT(MAX(ROW(E6271:E$2)*(E6272=E6271:E$2)))))</f>
        <v> </v>
      </c>
      <c r="J6272" s="26" t="str">
        <f>IF(OR(E6272="",E6272="!!!",F6272="NEW"),"",COUNTBLANK(OFFSET(A$1,,,SUMPRODUCT(MAX(ROW(E$2:E6272)*(E6272=E$2:E6272)))))-COUNTBLANK(OFFSET(A$1,,,SUMPRODUCT(MAX(ROW(E$1:E6271)*(E2=E$1:E6271))))))</f>
        <v> </v>
      </c>
      <c r="K6272" s="26" t="str">
        <f>IF(OR(E6272="",E6272="!!!",F6272="NEW"),"",INDEX(J$1:J6271,SUMPRODUCT(MAX(ROW(E$1:E6271)*(E6272=E$1:E6271)))))</f>
        <v> </v>
      </c>
      <c r="L6272" s="27"/>
    </row>
    <row r="6273" spans="1:12">
      <c r="A6273" s="20" t="s">
        <v>1072</v>
      </c>
      <c r="E6273" s="22">
        <f>IF(D6273="?OLD","!!!","")</f>
        <v/>
      </c>
      <c r="F6273" s="23" t="str">
        <f>IF(OR(E6273="",E6273="!!!"),"",IF(NOT(ISNA(VLOOKUP(E6273,E$1:E6272,1,FALSE()))),"OLD",IF(AND(E6273&lt;&gt;"",E6273&lt;&gt;"!!!"),"NEW","")))</f>
        <v> </v>
      </c>
      <c r="G6273" s="24" t="str">
        <f>IF(OR(E6273="",E6273="!!!"),"",IF(OR(J6273=0,AND(J6273=1,K6273=1),AND(J6273=1,I6273="SBJ"),AND(J6273=1,I6273=0)),"?IN_FOCUS",IF(J6273&lt;=2,"?ACTIVATED",IF(J6273&lt;&gt;"","?FAMILIAR",IF(F6273="NEW",IF(ISNA(VLOOKUP(E6273,#REF!,1,FALSE())),"?TYPE_IDENTIFIABLE","?REFERENTIAL"),"_")))))</f>
        <v> </v>
      </c>
      <c r="H6273" s="25" t="str">
        <f>IF(J6273&lt;&gt;1,"",IF(I6273="SBJ","CB","?"))</f>
        <v> </v>
      </c>
      <c r="I6273" s="26" t="str">
        <f>IF(OR(E6273="",E6273="!!!",F6273="NEW"),"",INDEX(B6272:B$2,-1+SUMPRODUCT(MAX(ROW(E6272:E$2)*(E6273=E6272:E$2)))))</f>
        <v> </v>
      </c>
      <c r="J6273" s="26" t="str">
        <f>IF(OR(E6273="",E6273="!!!",F6273="NEW"),"",COUNTBLANK(OFFSET(A$1,,,SUMPRODUCT(MAX(ROW(E$2:E6273)*(E6273=E$2:E6273)))))-COUNTBLANK(OFFSET(A$1,,,SUMPRODUCT(MAX(ROW(E$1:E6272)*(E2=E$1:E6272))))))</f>
        <v> </v>
      </c>
      <c r="K6273" s="26" t="str">
        <f>IF(OR(E6273="",E6273="!!!",F6273="NEW"),"",INDEX(J$1:J6272,SUMPRODUCT(MAX(ROW(E$1:E6272)*(E6273=E$1:E6272)))))</f>
        <v> </v>
      </c>
      <c r="L6273" s="27"/>
    </row>
    <row r="6274" spans="1:12">
      <c r="A6274" s="20" t="s">
        <v>1077</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1228</v>
      </c>
      <c r="B6275" s="21" t="s">
        <v>1118</v>
      </c>
      <c r="C6275" s="21" t="s">
        <v>1075</v>
      </c>
      <c r="D6275" s="21" t="s">
        <v>1065</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909</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t="s">
        <v>2795</v>
      </c>
      <c r="E6277" s="22">
        <f>IF(D6277="?OLD","!!!","")</f>
        <v/>
      </c>
      <c r="F6277" s="23" t="str">
        <f>IF(OR(E6277="",E6277="!!!"),"",IF(NOT(ISNA(VLOOKUP(E6277,E$1:E6276,1,FALSE()))),"OLD",IF(AND(E6277&lt;&gt;"",E6277&lt;&gt;"!!!"),"NEW","")))</f>
        <v> </v>
      </c>
      <c r="G6277" s="24" t="str">
        <f>IF(OR(E6277="",E6277="!!!"),"",IF(OR(J6277=0,AND(J6277=1,K6277=1),AND(J6277=1,I6277="SBJ"),AND(J6277=1,I6277=0)),"?IN_FOCUS",IF(J6277&lt;=2,"?ACTIVATED",IF(J6277&lt;&gt;"","?FAMILIAR",IF(F6277="NEW",IF(ISNA(VLOOKUP(E6277,#REF!,1,FALSE())),"?TYPE_IDENTIFIABLE","?REFERENTIAL"),"_")))))</f>
        <v> </v>
      </c>
      <c r="H6277" s="25" t="str">
        <f>IF(J6277&lt;&gt;1,"",IF(I6277="SBJ","CB","?"))</f>
        <v> </v>
      </c>
      <c r="I6277" s="26" t="str">
        <f>IF(OR(E6277="",E6277="!!!",F6277="NEW"),"",INDEX(B6276:B$2,-1+SUMPRODUCT(MAX(ROW(E6276:E$2)*(E6277=E6276:E$2)))))</f>
        <v> </v>
      </c>
      <c r="J6277" s="26" t="str">
        <f>IF(OR(E6277="",E6277="!!!",F6277="NEW"),"",COUNTBLANK(OFFSET(A$1,,,SUMPRODUCT(MAX(ROW(E$2:E6277)*(E6277=E$2:E6277)))))-COUNTBLANK(OFFSET(A$1,,,SUMPRODUCT(MAX(ROW(E$1:E6276)*(E2=E$1:E6276))))))</f>
        <v> </v>
      </c>
      <c r="K6277" s="26" t="str">
        <f>IF(OR(E6277="",E6277="!!!",F6277="NEW"),"",INDEX(J$1:J6276,SUMPRODUCT(MAX(ROW(E$1:E6276)*(E6277=E$1:E6276)))))</f>
        <v> </v>
      </c>
      <c r="L6277" s="27"/>
    </row>
    <row r="6278" spans="1:12">
      <c r="A6278" s="20" t="s">
        <v>195</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row>
    <row r="6280" spans="1:12">
      <c r="A6280" s="20" t="s">
        <v>2796</v>
      </c>
    </row>
    <row r="6281" spans="1:12">
      <c r="A6281" s="20" t="s">
        <v>1248</v>
      </c>
      <c r="B6281" s="21" t="s">
        <v>1150</v>
      </c>
      <c r="C6281" s="21" t="s">
        <v>1131</v>
      </c>
      <c r="D6281" s="21" t="s">
        <v>1065</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1214</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1107</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1141</v>
      </c>
      <c r="B6284" s="21" t="s">
        <v>1063</v>
      </c>
      <c r="C6284" s="21" t="s">
        <v>1109</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1091</v>
      </c>
      <c r="B6285" s="21" t="s">
        <v>1123</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t="s">
        <v>1211</v>
      </c>
      <c r="B6286" s="21" t="s">
        <v>1154</v>
      </c>
      <c r="C6286" s="21" t="s">
        <v>1151</v>
      </c>
      <c r="D6286" s="21" t="s">
        <v>1065</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2797</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2784</v>
      </c>
      <c r="B6288" s="21" t="s">
        <v>1154</v>
      </c>
      <c r="C6288" s="21" t="s">
        <v>1144</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909</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1091</v>
      </c>
      <c r="B6290" s="21" t="s">
        <v>1092</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2208</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1747</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1088</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2728</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1188</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2798</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1204</v>
      </c>
      <c r="B6297" s="21" t="s">
        <v>1480</v>
      </c>
      <c r="C6297" s="21" t="s">
        <v>1151</v>
      </c>
      <c r="D6297" s="21" t="s">
        <v>1065</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2799</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1213</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1577</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1088</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1073</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2800</v>
      </c>
      <c r="B6303" s="21" t="s">
        <v>1121</v>
      </c>
      <c r="C6303" s="21" t="s">
        <v>1075</v>
      </c>
      <c r="D6303" s="21" t="s">
        <v>1065</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1429</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1088</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1073</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2801</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1074</v>
      </c>
      <c r="B6308" s="21" t="s">
        <v>1118</v>
      </c>
      <c r="C6308" s="21" t="s">
        <v>1071</v>
      </c>
      <c r="D6308" s="21" t="s">
        <v>1065</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1072</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1530</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1077</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1228</v>
      </c>
      <c r="B6312" s="21" t="s">
        <v>1528</v>
      </c>
      <c r="C6312" s="21" t="s">
        <v>1075</v>
      </c>
      <c r="D6312" s="21" t="s">
        <v>1065</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195</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row>
    <row r="6315" spans="1:12">
      <c r="A6315" s="20" t="s">
        <v>2802</v>
      </c>
    </row>
    <row r="6316" spans="1:12">
      <c r="A6316" s="20" t="s">
        <v>1502</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2496</v>
      </c>
      <c r="B6317" s="21" t="s">
        <v>1150</v>
      </c>
      <c r="C6317" s="21" t="s">
        <v>1075</v>
      </c>
      <c r="D6317" s="21" t="s">
        <v>1065</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1213</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1214</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1124</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2803</v>
      </c>
      <c r="B6321" s="21" t="s">
        <v>1063</v>
      </c>
      <c r="C6321" s="21" t="s">
        <v>1109</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t="s">
        <v>1076</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1204</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1719</v>
      </c>
      <c r="B6324" s="21" t="s">
        <v>1123</v>
      </c>
      <c r="C6324" s="21" t="s">
        <v>1075</v>
      </c>
      <c r="D6324" s="21" t="s">
        <v>1065</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1213</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t="s">
        <v>1214</v>
      </c>
      <c r="E6326" s="22">
        <f>IF(D6326="?OLD","!!!","")</f>
        <v/>
      </c>
      <c r="F6326" s="23" t="str">
        <f>IF(OR(E6326="",E6326="!!!"),"",IF(NOT(ISNA(VLOOKUP(E6326,E$1:E6325,1,FALSE()))),"OLD",IF(AND(E6326&lt;&gt;"",E6326&lt;&gt;"!!!"),"NEW","")))</f>
        <v> </v>
      </c>
      <c r="G6326" s="24" t="str">
        <f>IF(OR(E6326="",E6326="!!!"),"",IF(OR(J6326=0,AND(J6326=1,K6326=1),AND(J6326=1,I6326="SBJ"),AND(J6326=1,I6326=0)),"?IN_FOCUS",IF(J6326&lt;=2,"?ACTIVATED",IF(J6326&lt;&gt;"","?FAMILIAR",IF(F6326="NEW",IF(ISNA(VLOOKUP(E6326,#REF!,1,FALSE())),"?TYPE_IDENTIFIABLE","?REFERENTIAL"),"_")))))</f>
        <v> </v>
      </c>
      <c r="H6326" s="25" t="str">
        <f>IF(J6326&lt;&gt;1,"",IF(I6326="SBJ","CB","?"))</f>
        <v> </v>
      </c>
      <c r="I6326" s="26" t="str">
        <f>IF(OR(E6326="",E6326="!!!",F6326="NEW"),"",INDEX(B6325:B$2,-1+SUMPRODUCT(MAX(ROW(E6325:E$2)*(E6326=E6325:E$2)))))</f>
        <v> </v>
      </c>
      <c r="J6326" s="26" t="str">
        <f>IF(OR(E6326="",E6326="!!!",F6326="NEW"),"",COUNTBLANK(OFFSET(A$1,,,SUMPRODUCT(MAX(ROW(E$2:E6326)*(E6326=E$2:E6326)))))-COUNTBLANK(OFFSET(A$1,,,SUMPRODUCT(MAX(ROW(E$1:E6325)*(E2=E$1:E6325))))))</f>
        <v> </v>
      </c>
      <c r="K6326" s="26" t="str">
        <f>IF(OR(E6326="",E6326="!!!",F6326="NEW"),"",INDEX(J$1:J6325,SUMPRODUCT(MAX(ROW(E$1:E6325)*(E6326=E$1:E6325)))))</f>
        <v> </v>
      </c>
      <c r="L6326" s="27"/>
    </row>
    <row r="6327" spans="1:12">
      <c r="A6327" s="20" t="s">
        <v>1124</v>
      </c>
      <c r="E6327" s="22">
        <f>IF(D6327="?OLD","!!!","")</f>
        <v/>
      </c>
      <c r="F6327" s="23" t="str">
        <f>IF(OR(E6327="",E6327="!!!"),"",IF(NOT(ISNA(VLOOKUP(E6327,E$1:E6326,1,FALSE()))),"OLD",IF(AND(E6327&lt;&gt;"",E6327&lt;&gt;"!!!"),"NEW","")))</f>
        <v> </v>
      </c>
      <c r="G6327" s="24" t="str">
        <f>IF(OR(E6327="",E6327="!!!"),"",IF(OR(J6327=0,AND(J6327=1,K6327=1),AND(J6327=1,I6327="SBJ"),AND(J6327=1,I6327=0)),"?IN_FOCUS",IF(J6327&lt;=2,"?ACTIVATED",IF(J6327&lt;&gt;"","?FAMILIAR",IF(F6327="NEW",IF(ISNA(VLOOKUP(E6327,#REF!,1,FALSE())),"?TYPE_IDENTIFIABLE","?REFERENTIAL"),"_")))))</f>
        <v> </v>
      </c>
      <c r="H6327" s="25" t="str">
        <f>IF(J6327&lt;&gt;1,"",IF(I6327="SBJ","CB","?"))</f>
        <v> </v>
      </c>
      <c r="I6327" s="26" t="str">
        <f>IF(OR(E6327="",E6327="!!!",F6327="NEW"),"",INDEX(B6326:B$2,-1+SUMPRODUCT(MAX(ROW(E6326:E$2)*(E6327=E6326:E$2)))))</f>
        <v> </v>
      </c>
      <c r="J6327" s="26" t="str">
        <f>IF(OR(E6327="",E6327="!!!",F6327="NEW"),"",COUNTBLANK(OFFSET(A$1,,,SUMPRODUCT(MAX(ROW(E$2:E6327)*(E6327=E$2:E6327)))))-COUNTBLANK(OFFSET(A$1,,,SUMPRODUCT(MAX(ROW(E$1:E6326)*(E2=E$1:E6326))))))</f>
        <v> </v>
      </c>
      <c r="K6327" s="26" t="str">
        <f>IF(OR(E6327="",E6327="!!!",F6327="NEW"),"",INDEX(J$1:J6326,SUMPRODUCT(MAX(ROW(E$1:E6326)*(E6327=E$1:E6326)))))</f>
        <v> </v>
      </c>
      <c r="L6327" s="27"/>
    </row>
    <row r="6328" spans="1:12">
      <c r="A6328" s="20" t="s">
        <v>2803</v>
      </c>
      <c r="B6328" s="21" t="s">
        <v>1063</v>
      </c>
      <c r="C6328" s="21" t="s">
        <v>1109</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1076</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909</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2137</v>
      </c>
      <c r="B6331" s="21" t="s">
        <v>1123</v>
      </c>
      <c r="C6331" s="21" t="s">
        <v>1151</v>
      </c>
      <c r="D6331" s="21" t="s">
        <v>1065</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1213</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1218</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t="s">
        <v>146</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2804</v>
      </c>
      <c r="E6335" s="22">
        <f>IF(D6335="?OLD","!!!","")</f>
        <v/>
      </c>
      <c r="F6335" s="23" t="str">
        <f>IF(OR(E6335="",E6335="!!!"),"",IF(NOT(ISNA(VLOOKUP(E6335,E$1:E6334,1,FALSE()))),"OLD",IF(AND(E6335&lt;&gt;"",E6335&lt;&gt;"!!!"),"NEW","")))</f>
        <v> </v>
      </c>
      <c r="G6335" s="24" t="str">
        <f>IF(OR(E6335="",E6335="!!!"),"",IF(OR(J6335=0,AND(J6335=1,K6335=1),AND(J6335=1,I6335="SBJ"),AND(J6335=1,I6335=0)),"?IN_FOCUS",IF(J6335&lt;=2,"?ACTIVATED",IF(J6335&lt;&gt;"","?FAMILIAR",IF(F6335="NEW",IF(ISNA(VLOOKUP(E6335,#REF!,1,FALSE())),"?TYPE_IDENTIFIABLE","?REFERENTIAL"),"_")))))</f>
        <v> </v>
      </c>
      <c r="H6335" s="25" t="str">
        <f>IF(J6335&lt;&gt;1,"",IF(I6335="SBJ","CB","?"))</f>
        <v> </v>
      </c>
      <c r="I6335" s="26" t="str">
        <f>IF(OR(E6335="",E6335="!!!",F6335="NEW"),"",INDEX(B6334:B$2,-1+SUMPRODUCT(MAX(ROW(E6334:E$2)*(E6335=E6334:E$2)))))</f>
        <v> </v>
      </c>
      <c r="J6335" s="26" t="str">
        <f>IF(OR(E6335="",E6335="!!!",F6335="NEW"),"",COUNTBLANK(OFFSET(A$1,,,SUMPRODUCT(MAX(ROW(E$2:E6335)*(E6335=E$2:E6335)))))-COUNTBLANK(OFFSET(A$1,,,SUMPRODUCT(MAX(ROW(E$1:E6334)*(E2=E$1:E6334))))))</f>
        <v> </v>
      </c>
      <c r="K6335" s="26" t="str">
        <f>IF(OR(E6335="",E6335="!!!",F6335="NEW"),"",INDEX(J$1:J6334,SUMPRODUCT(MAX(ROW(E$1:E6334)*(E6335=E$1:E6334)))))</f>
        <v> </v>
      </c>
      <c r="L6335" s="27"/>
    </row>
    <row r="6336" spans="1:12">
      <c r="A6336" s="20" t="s">
        <v>1106</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1164</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1730</v>
      </c>
      <c r="B6338" s="21" t="s">
        <v>1097</v>
      </c>
      <c r="C6338" s="21" t="s">
        <v>1119</v>
      </c>
      <c r="D6338" s="21" t="s">
        <v>1065</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2805</v>
      </c>
      <c r="B6339" s="21" t="s">
        <v>1080</v>
      </c>
      <c r="C6339" s="21" t="s">
        <v>1075</v>
      </c>
      <c r="D6339" s="21" t="s">
        <v>1065</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2806</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195</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row>
    <row r="6343" spans="1:12">
      <c r="A6343" s="20" t="s">
        <v>1274</v>
      </c>
    </row>
    <row r="6344" spans="1:12">
      <c r="A6344" s="20" t="s">
        <v>1161</v>
      </c>
      <c r="B6344" s="21" t="s">
        <v>1063</v>
      </c>
      <c r="C6344" s="21" t="s">
        <v>1064</v>
      </c>
      <c r="D6344" s="21" t="s">
        <v>1065</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1067</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row>
    <row r="6347" spans="1:12">
      <c r="A6347" s="20" t="s">
        <v>2807</v>
      </c>
    </row>
    <row r="6348" spans="1:12">
      <c r="A6348" s="20" t="s">
        <v>1264</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1185</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2140</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1072</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2010</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t="s">
        <v>1272</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671</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2808</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1204</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2539</v>
      </c>
      <c r="B6357" s="21" t="s">
        <v>1126</v>
      </c>
      <c r="C6357" s="21" t="s">
        <v>1075</v>
      </c>
      <c r="D6357" s="21" t="s">
        <v>1065</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1088</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1124</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1125</v>
      </c>
      <c r="B6360" s="21" t="s">
        <v>1097</v>
      </c>
      <c r="C6360" s="21" t="s">
        <v>1109</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t="s">
        <v>1429</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t="s">
        <v>2809</v>
      </c>
      <c r="E6362" s="22">
        <f>IF(D6362="?OLD","!!!","")</f>
        <v/>
      </c>
      <c r="F6362" s="23" t="str">
        <f>IF(OR(E6362="",E6362="!!!"),"",IF(NOT(ISNA(VLOOKUP(E6362,E$1:E6361,1,FALSE()))),"OLD",IF(AND(E6362&lt;&gt;"",E6362&lt;&gt;"!!!"),"NEW","")))</f>
        <v> </v>
      </c>
      <c r="G6362" s="24" t="str">
        <f>IF(OR(E6362="",E6362="!!!"),"",IF(OR(J6362=0,AND(J6362=1,K6362=1),AND(J6362=1,I6362="SBJ"),AND(J6362=1,I6362=0)),"?IN_FOCUS",IF(J6362&lt;=2,"?ACTIVATED",IF(J6362&lt;&gt;"","?FAMILIAR",IF(F6362="NEW",IF(ISNA(VLOOKUP(E6362,#REF!,1,FALSE())),"?TYPE_IDENTIFIABLE","?REFERENTIAL"),"_")))))</f>
        <v> </v>
      </c>
      <c r="H6362" s="25" t="str">
        <f>IF(J6362&lt;&gt;1,"",IF(I6362="SBJ","CB","?"))</f>
        <v> </v>
      </c>
      <c r="I6362" s="26" t="str">
        <f>IF(OR(E6362="",E6362="!!!",F6362="NEW"),"",INDEX(B6361:B$2,-1+SUMPRODUCT(MAX(ROW(E6361:E$2)*(E6362=E6361:E$2)))))</f>
        <v> </v>
      </c>
      <c r="J6362" s="26" t="str">
        <f>IF(OR(E6362="",E6362="!!!",F6362="NEW"),"",COUNTBLANK(OFFSET(A$1,,,SUMPRODUCT(MAX(ROW(E$2:E6362)*(E6362=E$2:E6362)))))-COUNTBLANK(OFFSET(A$1,,,SUMPRODUCT(MAX(ROW(E$1:E6361)*(E2=E$1:E6361))))))</f>
        <v> </v>
      </c>
      <c r="K6362" s="26" t="str">
        <f>IF(OR(E6362="",E6362="!!!",F6362="NEW"),"",INDEX(J$1:J6361,SUMPRODUCT(MAX(ROW(E$1:E6361)*(E6362=E$1:E6361)))))</f>
        <v> </v>
      </c>
      <c r="L6362" s="27"/>
    </row>
    <row r="6363" spans="1:12">
      <c r="A6363" s="20" t="s">
        <v>1091</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1215</v>
      </c>
      <c r="B6364" s="21" t="s">
        <v>1092</v>
      </c>
      <c r="C6364" s="21" t="s">
        <v>1131</v>
      </c>
      <c r="D6364" s="21" t="s">
        <v>1065</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1434</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1204</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2539</v>
      </c>
      <c r="B6367" s="21" t="s">
        <v>1126</v>
      </c>
      <c r="C6367" s="21" t="s">
        <v>1075</v>
      </c>
      <c r="D6367" s="21" t="s">
        <v>1065</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195</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row>
    <row r="6370" spans="1:12">
      <c r="A6370" s="20" t="s">
        <v>2685</v>
      </c>
    </row>
    <row r="6371" spans="1:12">
      <c r="A6371" s="20" t="s">
        <v>893</v>
      </c>
      <c r="B6371" s="21" t="s">
        <v>1063</v>
      </c>
      <c r="C6371" s="21" t="s">
        <v>1064</v>
      </c>
      <c r="D6371" s="21" t="s">
        <v>1065</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t="s">
        <v>1067</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row>
    <row r="6374" spans="1:12">
      <c r="A6374" s="20" t="s">
        <v>2810</v>
      </c>
    </row>
    <row r="6375" spans="1:12">
      <c r="A6375" s="20" t="s">
        <v>1351</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2811</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1833</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2812</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195</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row>
    <row r="6381" spans="1:12">
      <c r="A6381" s="20" t="s">
        <v>1191</v>
      </c>
    </row>
    <row r="6382" spans="1:12">
      <c r="A6382" s="20" t="s">
        <v>1192</v>
      </c>
      <c r="B6382" s="21" t="s">
        <v>1063</v>
      </c>
      <c r="C6382" s="21" t="s">
        <v>1064</v>
      </c>
      <c r="D6382" s="21" t="s">
        <v>1065</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1067</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row>
    <row r="6385" spans="1:12">
      <c r="A6385" s="20" t="s">
        <v>2813</v>
      </c>
    </row>
    <row r="6386" spans="1:12">
      <c r="A6386" s="20" t="s">
        <v>2814</v>
      </c>
      <c r="B6386" s="21" t="s">
        <v>1063</v>
      </c>
      <c r="C6386" s="21" t="s">
        <v>1071</v>
      </c>
      <c r="D6386" s="21" t="s">
        <v>1065</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1072</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2815</v>
      </c>
      <c r="B6388" s="21" t="s">
        <v>1063</v>
      </c>
      <c r="C6388" s="21" t="s">
        <v>1144</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t="s">
        <v>1076</v>
      </c>
      <c r="E6389" s="22">
        <f>IF(D6389="?OLD","!!!","")</f>
        <v/>
      </c>
      <c r="F6389" s="23" t="str">
        <f>IF(OR(E6389="",E6389="!!!"),"",IF(NOT(ISNA(VLOOKUP(E6389,E$1:E6388,1,FALSE()))),"OLD",IF(AND(E6389&lt;&gt;"",E6389&lt;&gt;"!!!"),"NEW","")))</f>
        <v> </v>
      </c>
      <c r="G6389" s="24" t="str">
        <f>IF(OR(E6389="",E6389="!!!"),"",IF(OR(J6389=0,AND(J6389=1,K6389=1),AND(J6389=1,I6389="SBJ"),AND(J6389=1,I6389=0)),"?IN_FOCUS",IF(J6389&lt;=2,"?ACTIVATED",IF(J6389&lt;&gt;"","?FAMILIAR",IF(F6389="NEW",IF(ISNA(VLOOKUP(E6389,#REF!,1,FALSE())),"?TYPE_IDENTIFIABLE","?REFERENTIAL"),"_")))))</f>
        <v> </v>
      </c>
      <c r="H6389" s="25" t="str">
        <f>IF(J6389&lt;&gt;1,"",IF(I6389="SBJ","CB","?"))</f>
        <v> </v>
      </c>
      <c r="I6389" s="26" t="str">
        <f>IF(OR(E6389="",E6389="!!!",F6389="NEW"),"",INDEX(B6388:B$2,-1+SUMPRODUCT(MAX(ROW(E6388:E$2)*(E6389=E6388:E$2)))))</f>
        <v> </v>
      </c>
      <c r="J6389" s="26" t="str">
        <f>IF(OR(E6389="",E6389="!!!",F6389="NEW"),"",COUNTBLANK(OFFSET(A$1,,,SUMPRODUCT(MAX(ROW(E$2:E6389)*(E6389=E$2:E6389)))))-COUNTBLANK(OFFSET(A$1,,,SUMPRODUCT(MAX(ROW(E$1:E6388)*(E2=E$1:E6388))))))</f>
        <v> </v>
      </c>
      <c r="K6389" s="26" t="str">
        <f>IF(OR(E6389="",E6389="!!!",F6389="NEW"),"",INDEX(J$1:J6388,SUMPRODUCT(MAX(ROW(E$1:E6388)*(E6389=E$1:E6388)))))</f>
        <v> </v>
      </c>
      <c r="L6389" s="27"/>
    </row>
    <row r="6390" spans="1:12">
      <c r="A6390" s="20" t="s">
        <v>909</v>
      </c>
      <c r="E6390" s="22">
        <f>IF(D6390="?OLD","!!!","")</f>
        <v/>
      </c>
      <c r="F6390" s="23" t="str">
        <f>IF(OR(E6390="",E6390="!!!"),"",IF(NOT(ISNA(VLOOKUP(E6390,E$1:E6389,1,FALSE()))),"OLD",IF(AND(E6390&lt;&gt;"",E6390&lt;&gt;"!!!"),"NEW","")))</f>
        <v> </v>
      </c>
      <c r="G6390" s="24" t="str">
        <f>IF(OR(E6390="",E6390="!!!"),"",IF(OR(J6390=0,AND(J6390=1,K6390=1),AND(J6390=1,I6390="SBJ"),AND(J6390=1,I6390=0)),"?IN_FOCUS",IF(J6390&lt;=2,"?ACTIVATED",IF(J6390&lt;&gt;"","?FAMILIAR",IF(F6390="NEW",IF(ISNA(VLOOKUP(E6390,#REF!,1,FALSE())),"?TYPE_IDENTIFIABLE","?REFERENTIAL"),"_")))))</f>
        <v> </v>
      </c>
      <c r="H6390" s="25" t="str">
        <f>IF(J6390&lt;&gt;1,"",IF(I6390="SBJ","CB","?"))</f>
        <v> </v>
      </c>
      <c r="I6390" s="26" t="str">
        <f>IF(OR(E6390="",E6390="!!!",F6390="NEW"),"",INDEX(B6389:B$2,-1+SUMPRODUCT(MAX(ROW(E6389:E$2)*(E6390=E6389:E$2)))))</f>
        <v> </v>
      </c>
      <c r="J6390" s="26" t="str">
        <f>IF(OR(E6390="",E6390="!!!",F6390="NEW"),"",COUNTBLANK(OFFSET(A$1,,,SUMPRODUCT(MAX(ROW(E$2:E6390)*(E6390=E$2:E6390)))))-COUNTBLANK(OFFSET(A$1,,,SUMPRODUCT(MAX(ROW(E$1:E6389)*(E2=E$1:E6389))))))</f>
        <v> </v>
      </c>
      <c r="K6390" s="26" t="str">
        <f>IF(OR(E6390="",E6390="!!!",F6390="NEW"),"",INDEX(J$1:J6389,SUMPRODUCT(MAX(ROW(E$1:E6389)*(E6390=E$1:E6389)))))</f>
        <v> </v>
      </c>
      <c r="L6390" s="27"/>
    </row>
    <row r="6391" spans="1:12">
      <c r="A6391" s="20" t="s">
        <v>1251</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1091</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2816</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1212</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1077</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1482</v>
      </c>
      <c r="B6396" s="21" t="s">
        <v>1114</v>
      </c>
      <c r="C6396" s="21" t="s">
        <v>1119</v>
      </c>
      <c r="D6396" s="21" t="s">
        <v>1065</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t="s">
        <v>2817</v>
      </c>
      <c r="B6397" s="21" t="s">
        <v>1126</v>
      </c>
      <c r="C6397" s="21" t="s">
        <v>1071</v>
      </c>
      <c r="D6397" s="21" t="s">
        <v>1065</v>
      </c>
      <c r="E6397" s="22">
        <f>IF(D6397="?OLD","!!!","")</f>
        <v/>
      </c>
      <c r="F6397" s="23" t="str">
        <f>IF(OR(E6397="",E6397="!!!"),"",IF(NOT(ISNA(VLOOKUP(E6397,E$1:E6396,1,FALSE()))),"OLD",IF(AND(E6397&lt;&gt;"",E6397&lt;&gt;"!!!"),"NEW","")))</f>
        <v> </v>
      </c>
      <c r="G6397" s="24" t="str">
        <f>IF(OR(E6397="",E6397="!!!"),"",IF(OR(J6397=0,AND(J6397=1,K6397=1),AND(J6397=1,I6397="SBJ"),AND(J6397=1,I6397=0)),"?IN_FOCUS",IF(J6397&lt;=2,"?ACTIVATED",IF(J6397&lt;&gt;"","?FAMILIAR",IF(F6397="NEW",IF(ISNA(VLOOKUP(E6397,#REF!,1,FALSE())),"?TYPE_IDENTIFIABLE","?REFERENTIAL"),"_")))))</f>
        <v> </v>
      </c>
      <c r="H6397" s="25" t="str">
        <f>IF(J6397&lt;&gt;1,"",IF(I6397="SBJ","CB","?"))</f>
        <v> </v>
      </c>
      <c r="I6397" s="26" t="str">
        <f>IF(OR(E6397="",E6397="!!!",F6397="NEW"),"",INDEX(B6396:B$2,-1+SUMPRODUCT(MAX(ROW(E6396:E$2)*(E6397=E6396:E$2)))))</f>
        <v> </v>
      </c>
      <c r="J6397" s="26" t="str">
        <f>IF(OR(E6397="",E6397="!!!",F6397="NEW"),"",COUNTBLANK(OFFSET(A$1,,,SUMPRODUCT(MAX(ROW(E$2:E6397)*(E6397=E$2:E6397)))))-COUNTBLANK(OFFSET(A$1,,,SUMPRODUCT(MAX(ROW(E$1:E6396)*(E2=E$1:E6396))))))</f>
        <v> </v>
      </c>
      <c r="K6397" s="26" t="str">
        <f>IF(OR(E6397="",E6397="!!!",F6397="NEW"),"",INDEX(J$1:J6396,SUMPRODUCT(MAX(ROW(E$1:E6396)*(E6397=E$1:E6396)))))</f>
        <v> </v>
      </c>
      <c r="L6397" s="27"/>
    </row>
    <row r="6398" spans="1:12">
      <c r="A6398" s="20" t="s">
        <v>1072</v>
      </c>
      <c r="E6398" s="22">
        <f>IF(D6398="?OLD","!!!","")</f>
        <v/>
      </c>
      <c r="F6398" s="23" t="str">
        <f>IF(OR(E6398="",E6398="!!!"),"",IF(NOT(ISNA(VLOOKUP(E6398,E$1:E6397,1,FALSE()))),"OLD",IF(AND(E6398&lt;&gt;"",E6398&lt;&gt;"!!!"),"NEW","")))</f>
        <v> </v>
      </c>
      <c r="G6398" s="24" t="str">
        <f>IF(OR(E6398="",E6398="!!!"),"",IF(OR(J6398=0,AND(J6398=1,K6398=1),AND(J6398=1,I6398="SBJ"),AND(J6398=1,I6398=0)),"?IN_FOCUS",IF(J6398&lt;=2,"?ACTIVATED",IF(J6398&lt;&gt;"","?FAMILIAR",IF(F6398="NEW",IF(ISNA(VLOOKUP(E6398,#REF!,1,FALSE())),"?TYPE_IDENTIFIABLE","?REFERENTIAL"),"_")))))</f>
        <v> </v>
      </c>
      <c r="H6398" s="25" t="str">
        <f>IF(J6398&lt;&gt;1,"",IF(I6398="SBJ","CB","?"))</f>
        <v> </v>
      </c>
      <c r="I6398" s="26" t="str">
        <f>IF(OR(E6398="",E6398="!!!",F6398="NEW"),"",INDEX(B6397:B$2,-1+SUMPRODUCT(MAX(ROW(E6397:E$2)*(E6398=E6397:E$2)))))</f>
        <v> </v>
      </c>
      <c r="J6398" s="26" t="str">
        <f>IF(OR(E6398="",E6398="!!!",F6398="NEW"),"",COUNTBLANK(OFFSET(A$1,,,SUMPRODUCT(MAX(ROW(E$2:E6398)*(E6398=E$2:E6398)))))-COUNTBLANK(OFFSET(A$1,,,SUMPRODUCT(MAX(ROW(E$1:E6397)*(E2=E$1:E6397))))))</f>
        <v> </v>
      </c>
      <c r="K6398" s="26" t="str">
        <f>IF(OR(E6398="",E6398="!!!",F6398="NEW"),"",INDEX(J$1:J6397,SUMPRODUCT(MAX(ROW(E$1:E6397)*(E6398=E$1:E6397)))))</f>
        <v> </v>
      </c>
      <c r="L6398" s="27"/>
    </row>
    <row r="6399" spans="1:12">
      <c r="A6399" s="20" t="s">
        <v>2818</v>
      </c>
      <c r="B6399" s="21" t="s">
        <v>1114</v>
      </c>
      <c r="C6399" s="21" t="s">
        <v>1144</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1272</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1149</v>
      </c>
      <c r="B6401" s="21" t="s">
        <v>1097</v>
      </c>
      <c r="C6401" s="21" t="s">
        <v>1151</v>
      </c>
      <c r="D6401" s="21" t="s">
        <v>1065</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2540</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1164</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2819</v>
      </c>
      <c r="B6404" s="21" t="s">
        <v>1118</v>
      </c>
      <c r="C6404" s="21" t="s">
        <v>1119</v>
      </c>
      <c r="D6404" s="21" t="s">
        <v>1065</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2820</v>
      </c>
      <c r="B6405" s="21" t="s">
        <v>1480</v>
      </c>
      <c r="C6405" s="21" t="s">
        <v>1075</v>
      </c>
      <c r="D6405" s="21" t="s">
        <v>1065</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1076</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t="s">
        <v>2821</v>
      </c>
      <c r="B6407" s="21" t="s">
        <v>1118</v>
      </c>
      <c r="C6407" s="21" t="s">
        <v>1144</v>
      </c>
      <c r="E6407" s="22">
        <f>IF(D6407="?OLD","!!!","")</f>
        <v/>
      </c>
      <c r="F6407" s="23" t="str">
        <f>IF(OR(E6407="",E6407="!!!"),"",IF(NOT(ISNA(VLOOKUP(E6407,E$1:E6406,1,FALSE()))),"OLD",IF(AND(E6407&lt;&gt;"",E6407&lt;&gt;"!!!"),"NEW","")))</f>
        <v> </v>
      </c>
      <c r="G6407" s="24" t="str">
        <f>IF(OR(E6407="",E6407="!!!"),"",IF(OR(J6407=0,AND(J6407=1,K6407=1),AND(J6407=1,I6407="SBJ"),AND(J6407=1,I6407=0)),"?IN_FOCUS",IF(J6407&lt;=2,"?ACTIVATED",IF(J6407&lt;&gt;"","?FAMILIAR",IF(F6407="NEW",IF(ISNA(VLOOKUP(E6407,#REF!,1,FALSE())),"?TYPE_IDENTIFIABLE","?REFERENTIAL"),"_")))))</f>
        <v> </v>
      </c>
      <c r="H6407" s="25" t="str">
        <f>IF(J6407&lt;&gt;1,"",IF(I6407="SBJ","CB","?"))</f>
        <v> </v>
      </c>
      <c r="I6407" s="26" t="str">
        <f>IF(OR(E6407="",E6407="!!!",F6407="NEW"),"",INDEX(B6406:B$2,-1+SUMPRODUCT(MAX(ROW(E6406:E$2)*(E6407=E6406:E$2)))))</f>
        <v> </v>
      </c>
      <c r="J6407" s="26" t="str">
        <f>IF(OR(E6407="",E6407="!!!",F6407="NEW"),"",COUNTBLANK(OFFSET(A$1,,,SUMPRODUCT(MAX(ROW(E$2:E6407)*(E6407=E$2:E6407)))))-COUNTBLANK(OFFSET(A$1,,,SUMPRODUCT(MAX(ROW(E$1:E6406)*(E2=E$1:E6406))))))</f>
        <v> </v>
      </c>
      <c r="K6407" s="26" t="str">
        <f>IF(OR(E6407="",E6407="!!!",F6407="NEW"),"",INDEX(J$1:J6406,SUMPRODUCT(MAX(ROW(E$1:E6406)*(E6407=E$1:E6406)))))</f>
        <v> </v>
      </c>
      <c r="L6407" s="27"/>
    </row>
    <row r="6408" spans="1:12">
      <c r="A6408" s="20" t="s">
        <v>195</v>
      </c>
      <c r="E6408" s="22">
        <f>IF(D6408="?OLD","!!!","")</f>
        <v/>
      </c>
      <c r="F6408" s="23" t="str">
        <f>IF(OR(E6408="",E6408="!!!"),"",IF(NOT(ISNA(VLOOKUP(E6408,E$1:E6407,1,FALSE()))),"OLD",IF(AND(E6408&lt;&gt;"",E6408&lt;&gt;"!!!"),"NEW","")))</f>
        <v> </v>
      </c>
      <c r="G6408" s="24" t="str">
        <f>IF(OR(E6408="",E6408="!!!"),"",IF(OR(J6408=0,AND(J6408=1,K6408=1),AND(J6408=1,I6408="SBJ"),AND(J6408=1,I6408=0)),"?IN_FOCUS",IF(J6408&lt;=2,"?ACTIVATED",IF(J6408&lt;&gt;"","?FAMILIAR",IF(F6408="NEW",IF(ISNA(VLOOKUP(E6408,#REF!,1,FALSE())),"?TYPE_IDENTIFIABLE","?REFERENTIAL"),"_")))))</f>
        <v> </v>
      </c>
      <c r="H6408" s="25" t="str">
        <f>IF(J6408&lt;&gt;1,"",IF(I6408="SBJ","CB","?"))</f>
        <v> </v>
      </c>
      <c r="I6408" s="26" t="str">
        <f>IF(OR(E6408="",E6408="!!!",F6408="NEW"),"",INDEX(B6407:B$2,-1+SUMPRODUCT(MAX(ROW(E6407:E$2)*(E6408=E6407:E$2)))))</f>
        <v> </v>
      </c>
      <c r="J6408" s="26" t="str">
        <f>IF(OR(E6408="",E6408="!!!",F6408="NEW"),"",COUNTBLANK(OFFSET(A$1,,,SUMPRODUCT(MAX(ROW(E$2:E6408)*(E6408=E$2:E6408)))))-COUNTBLANK(OFFSET(A$1,,,SUMPRODUCT(MAX(ROW(E$1:E6407)*(E2=E$1:E6407))))))</f>
        <v> </v>
      </c>
      <c r="K6408" s="26" t="str">
        <f>IF(OR(E6408="",E6408="!!!",F6408="NEW"),"",INDEX(J$1:J6407,SUMPRODUCT(MAX(ROW(E$1:E6407)*(E6408=E$1:E6407)))))</f>
        <v> </v>
      </c>
      <c r="L6408" s="27"/>
    </row>
    <row r="6409" spans="1:12">
      <c r="A6409" s="20"/>
    </row>
    <row r="6410" spans="1:12">
      <c r="A6410" s="20" t="s">
        <v>2822</v>
      </c>
    </row>
    <row r="6411" spans="1:12">
      <c r="A6411" s="20" t="s">
        <v>1161</v>
      </c>
      <c r="B6411" s="21" t="s">
        <v>1063</v>
      </c>
      <c r="C6411" s="21" t="s">
        <v>1064</v>
      </c>
      <c r="D6411" s="21" t="s">
        <v>1065</v>
      </c>
      <c r="E6411" s="22">
        <f>IF(D6411="?OLD","!!!","")</f>
        <v/>
      </c>
      <c r="F6411" s="23" t="str">
        <f>IF(OR(E6411="",E6411="!!!"),"",IF(NOT(ISNA(VLOOKUP(E6411,E$1:E6410,1,FALSE()))),"OLD",IF(AND(E6411&lt;&gt;"",E6411&lt;&gt;"!!!"),"NEW","")))</f>
        <v> </v>
      </c>
      <c r="G6411" s="24" t="str">
        <f>IF(OR(E6411="",E6411="!!!"),"",IF(OR(J6411=0,AND(J6411=1,K6411=1),AND(J6411=1,I6411="SBJ"),AND(J6411=1,I6411=0)),"?IN_FOCUS",IF(J6411&lt;=2,"?ACTIVATED",IF(J6411&lt;&gt;"","?FAMILIAR",IF(F6411="NEW",IF(ISNA(VLOOKUP(E6411,#REF!,1,FALSE())),"?TYPE_IDENTIFIABLE","?REFERENTIAL"),"_")))))</f>
        <v> </v>
      </c>
      <c r="H6411" s="25" t="str">
        <f>IF(J6411&lt;&gt;1,"",IF(I6411="SBJ","CB","?"))</f>
        <v> </v>
      </c>
      <c r="I6411" s="26" t="str">
        <f>IF(OR(E6411="",E6411="!!!",F6411="NEW"),"",INDEX(B6410:B$2,-1+SUMPRODUCT(MAX(ROW(E6410:E$2)*(E6411=E6410:E$2)))))</f>
        <v> </v>
      </c>
      <c r="J6411" s="26" t="str">
        <f>IF(OR(E6411="",E6411="!!!",F6411="NEW"),"",COUNTBLANK(OFFSET(A$1,,,SUMPRODUCT(MAX(ROW(E$2:E6411)*(E6411=E$2:E6411)))))-COUNTBLANK(OFFSET(A$1,,,SUMPRODUCT(MAX(ROW(E$1:E6410)*(E2=E$1:E6410))))))</f>
        <v> </v>
      </c>
      <c r="K6411" s="26" t="str">
        <f>IF(OR(E6411="",E6411="!!!",F6411="NEW"),"",INDEX(J$1:J6410,SUMPRODUCT(MAX(ROW(E$1:E6410)*(E6411=E$1:E6410)))))</f>
        <v> </v>
      </c>
      <c r="L6411" s="27"/>
    </row>
    <row r="6412" spans="1:12">
      <c r="A6412" s="20" t="s">
        <v>1067</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2096</v>
      </c>
      <c r="B6413" s="21" t="s">
        <v>1063</v>
      </c>
      <c r="C6413" s="21" t="s">
        <v>1064</v>
      </c>
      <c r="D6413" s="21" t="s">
        <v>1065</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1076</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837</v>
      </c>
      <c r="B6415" s="21" t="s">
        <v>1063</v>
      </c>
      <c r="C6415" s="21" t="s">
        <v>1064</v>
      </c>
      <c r="D6415" s="21" t="s">
        <v>1065</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195</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row>
    <row r="6418" spans="1:12">
      <c r="A6418" s="20" t="s">
        <v>2823</v>
      </c>
    </row>
    <row r="6419" spans="1:12">
      <c r="A6419" s="20" t="s">
        <v>2824</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2072</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t="s">
        <v>1077</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t="s">
        <v>2825</v>
      </c>
      <c r="B6422" s="21" t="s">
        <v>1150</v>
      </c>
      <c r="C6422" s="21" t="s">
        <v>1064</v>
      </c>
      <c r="D6422" s="21" t="s">
        <v>1065</v>
      </c>
      <c r="E6422" s="22">
        <f>IF(D6422="?OLD","!!!","")</f>
        <v/>
      </c>
      <c r="F6422" s="23" t="str">
        <f>IF(OR(E6422="",E6422="!!!"),"",IF(NOT(ISNA(VLOOKUP(E6422,E$1:E6421,1,FALSE()))),"OLD",IF(AND(E6422&lt;&gt;"",E6422&lt;&gt;"!!!"),"NEW","")))</f>
        <v> </v>
      </c>
      <c r="G6422" s="24" t="str">
        <f>IF(OR(E6422="",E6422="!!!"),"",IF(OR(J6422=0,AND(J6422=1,K6422=1),AND(J6422=1,I6422="SBJ"),AND(J6422=1,I6422=0)),"?IN_FOCUS",IF(J6422&lt;=2,"?ACTIVATED",IF(J6422&lt;&gt;"","?FAMILIAR",IF(F6422="NEW",IF(ISNA(VLOOKUP(E6422,#REF!,1,FALSE())),"?TYPE_IDENTIFIABLE","?REFERENTIAL"),"_")))))</f>
        <v> </v>
      </c>
      <c r="H6422" s="25" t="str">
        <f>IF(J6422&lt;&gt;1,"",IF(I6422="SBJ","CB","?"))</f>
        <v> </v>
      </c>
      <c r="I6422" s="26" t="str">
        <f>IF(OR(E6422="",E6422="!!!",F6422="NEW"),"",INDEX(B6421:B$2,-1+SUMPRODUCT(MAX(ROW(E6421:E$2)*(E6422=E6421:E$2)))))</f>
        <v> </v>
      </c>
      <c r="J6422" s="26" t="str">
        <f>IF(OR(E6422="",E6422="!!!",F6422="NEW"),"",COUNTBLANK(OFFSET(A$1,,,SUMPRODUCT(MAX(ROW(E$2:E6422)*(E6422=E$2:E6422)))))-COUNTBLANK(OFFSET(A$1,,,SUMPRODUCT(MAX(ROW(E$1:E6421)*(E2=E$1:E6421))))))</f>
        <v> </v>
      </c>
      <c r="K6422" s="26" t="str">
        <f>IF(OR(E6422="",E6422="!!!",F6422="NEW"),"",INDEX(J$1:J6421,SUMPRODUCT(MAX(ROW(E$1:E6421)*(E6422=E$1:E6421)))))</f>
        <v> </v>
      </c>
      <c r="L6422" s="27"/>
    </row>
    <row r="6423" spans="1:12">
      <c r="A6423" s="20" t="s">
        <v>2826</v>
      </c>
      <c r="B6423" s="21" t="s">
        <v>1080</v>
      </c>
      <c r="C6423" s="21" t="s">
        <v>1064</v>
      </c>
      <c r="D6423" s="21" t="s">
        <v>1065</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t="s">
        <v>2827</v>
      </c>
      <c r="B6424" s="21" t="s">
        <v>1080</v>
      </c>
      <c r="C6424" s="21" t="s">
        <v>1064</v>
      </c>
      <c r="D6424" s="21" t="s">
        <v>1065</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t="s">
        <v>1319</v>
      </c>
      <c r="E6425" s="22">
        <f>IF(D6425="?OLD","!!!","")</f>
        <v/>
      </c>
      <c r="F6425" s="23" t="str">
        <f>IF(OR(E6425="",E6425="!!!"),"",IF(NOT(ISNA(VLOOKUP(E6425,E$1:E6424,1,FALSE()))),"OLD",IF(AND(E6425&lt;&gt;"",E6425&lt;&gt;"!!!"),"NEW","")))</f>
        <v> </v>
      </c>
      <c r="G6425" s="24" t="str">
        <f>IF(OR(E6425="",E6425="!!!"),"",IF(OR(J6425=0,AND(J6425=1,K6425=1),AND(J6425=1,I6425="SBJ"),AND(J6425=1,I6425=0)),"?IN_FOCUS",IF(J6425&lt;=2,"?ACTIVATED",IF(J6425&lt;&gt;"","?FAMILIAR",IF(F6425="NEW",IF(ISNA(VLOOKUP(E6425,#REF!,1,FALSE())),"?TYPE_IDENTIFIABLE","?REFERENTIAL"),"_")))))</f>
        <v> </v>
      </c>
      <c r="H6425" s="25" t="str">
        <f>IF(J6425&lt;&gt;1,"",IF(I6425="SBJ","CB","?"))</f>
        <v> </v>
      </c>
      <c r="I6425" s="26" t="str">
        <f>IF(OR(E6425="",E6425="!!!",F6425="NEW"),"",INDEX(B6424:B$2,-1+SUMPRODUCT(MAX(ROW(E6424:E$2)*(E6425=E6424:E$2)))))</f>
        <v> </v>
      </c>
      <c r="J6425" s="26" t="str">
        <f>IF(OR(E6425="",E6425="!!!",F6425="NEW"),"",COUNTBLANK(OFFSET(A$1,,,SUMPRODUCT(MAX(ROW(E$2:E6425)*(E6425=E$2:E6425)))))-COUNTBLANK(OFFSET(A$1,,,SUMPRODUCT(MAX(ROW(E$1:E6424)*(E2=E$1:E6424))))))</f>
        <v> </v>
      </c>
      <c r="K6425" s="26" t="str">
        <f>IF(OR(E6425="",E6425="!!!",F6425="NEW"),"",INDEX(J$1:J6424,SUMPRODUCT(MAX(ROW(E$1:E6424)*(E6425=E$1:E6424)))))</f>
        <v> </v>
      </c>
      <c r="L6425" s="27"/>
    </row>
    <row r="6426" spans="1:12">
      <c r="A6426" s="20" t="s">
        <v>1845</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1089</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2828</v>
      </c>
      <c r="B6428" s="21" t="s">
        <v>1084</v>
      </c>
      <c r="C6428" s="21" t="s">
        <v>1071</v>
      </c>
      <c r="D6428" s="21" t="s">
        <v>1065</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1188</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1048</v>
      </c>
      <c r="B6430" s="21" t="s">
        <v>1080</v>
      </c>
      <c r="C6430" s="21" t="s">
        <v>1151</v>
      </c>
      <c r="D6430" s="21" t="s">
        <v>1065</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195</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row>
    <row r="6433" spans="1:12">
      <c r="A6433" s="20" t="s">
        <v>2829</v>
      </c>
    </row>
    <row r="6434" spans="1:12">
      <c r="A6434" s="20" t="s">
        <v>2830</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1204</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991</v>
      </c>
      <c r="B6436" s="21" t="s">
        <v>1063</v>
      </c>
      <c r="C6436" s="21" t="s">
        <v>1075</v>
      </c>
      <c r="D6436" s="21" t="s">
        <v>1065</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1072</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2831</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1106</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1854</v>
      </c>
      <c r="B6440" s="21" t="s">
        <v>1080</v>
      </c>
      <c r="C6440" s="21" t="s">
        <v>1064</v>
      </c>
      <c r="D6440" s="21" t="s">
        <v>1065</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1145</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row>
    <row r="6443" spans="1:12">
      <c r="A6443" s="20" t="s">
        <v>2832</v>
      </c>
    </row>
    <row r="6444" spans="1:12">
      <c r="A6444" s="20" t="s">
        <v>1192</v>
      </c>
      <c r="B6444" s="21" t="s">
        <v>1063</v>
      </c>
      <c r="C6444" s="21" t="s">
        <v>1064</v>
      </c>
      <c r="D6444" s="21" t="s">
        <v>1065</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1067</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1870</v>
      </c>
      <c r="B6446" s="21" t="s">
        <v>1063</v>
      </c>
      <c r="C6446" s="21" t="s">
        <v>1064</v>
      </c>
      <c r="D6446" s="21" t="s">
        <v>1065</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195</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row>
    <row r="6449" spans="1:12">
      <c r="A6449" s="20" t="s">
        <v>2833</v>
      </c>
    </row>
    <row r="6450" spans="1:12">
      <c r="A6450" s="20" t="s">
        <v>1264</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1394</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1214</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1803</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2186</v>
      </c>
      <c r="B6454" s="21" t="s">
        <v>1278</v>
      </c>
      <c r="C6454" s="21" t="s">
        <v>1115</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1076</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t="s">
        <v>1073</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2834</v>
      </c>
      <c r="B6457" s="21" t="s">
        <v>1092</v>
      </c>
      <c r="C6457" s="21" t="s">
        <v>1071</v>
      </c>
      <c r="D6457" s="21" t="s">
        <v>1065</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t="s">
        <v>1088</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1204</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2300</v>
      </c>
      <c r="B6460" s="21" t="s">
        <v>1114</v>
      </c>
      <c r="C6460" s="21" t="s">
        <v>1071</v>
      </c>
      <c r="D6460" s="21" t="s">
        <v>1065</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1072</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1198</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2835</v>
      </c>
      <c r="B6463" s="21" t="s">
        <v>1121</v>
      </c>
      <c r="C6463" s="21" t="s">
        <v>1098</v>
      </c>
      <c r="D6463" s="21" t="s">
        <v>1065</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1185</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1470</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1089</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2127</v>
      </c>
      <c r="B6467" s="21" t="s">
        <v>1123</v>
      </c>
      <c r="C6467" s="21" t="s">
        <v>1075</v>
      </c>
      <c r="D6467" s="21" t="s">
        <v>1065</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1380</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909</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1073</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2834</v>
      </c>
      <c r="B6471" s="21" t="s">
        <v>1097</v>
      </c>
      <c r="C6471" s="21" t="s">
        <v>1075</v>
      </c>
      <c r="D6471" s="21" t="s">
        <v>1065</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1091</v>
      </c>
      <c r="B6472" s="21" t="s">
        <v>1354</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2836</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1089</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2837</v>
      </c>
      <c r="B6475" s="21" t="s">
        <v>1480</v>
      </c>
      <c r="C6475" s="21" t="s">
        <v>1075</v>
      </c>
      <c r="D6475" s="21" t="s">
        <v>1065</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2838</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1106</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1173</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1419</v>
      </c>
      <c r="B6479" s="21" t="s">
        <v>1121</v>
      </c>
      <c r="C6479" s="21" t="s">
        <v>1064</v>
      </c>
      <c r="D6479" s="21" t="s">
        <v>1065</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t="s">
        <v>1420</v>
      </c>
      <c r="B6480" s="21" t="s">
        <v>1118</v>
      </c>
      <c r="C6480" s="21" t="s">
        <v>1064</v>
      </c>
      <c r="D6480" s="21" t="s">
        <v>1065</v>
      </c>
      <c r="E6480" s="22">
        <f>IF(D6480="?OLD","!!!","")</f>
        <v/>
      </c>
      <c r="F6480" s="23" t="str">
        <f>IF(OR(E6480="",E6480="!!!"),"",IF(NOT(ISNA(VLOOKUP(E6480,E$1:E6479,1,FALSE()))),"OLD",IF(AND(E6480&lt;&gt;"",E6480&lt;&gt;"!!!"),"NEW","")))</f>
        <v> </v>
      </c>
      <c r="G6480" s="24" t="str">
        <f>IF(OR(E6480="",E6480="!!!"),"",IF(OR(J6480=0,AND(J6480=1,K6480=1),AND(J6480=1,I6480="SBJ"),AND(J6480=1,I6480=0)),"?IN_FOCUS",IF(J6480&lt;=2,"?ACTIVATED",IF(J6480&lt;&gt;"","?FAMILIAR",IF(F6480="NEW",IF(ISNA(VLOOKUP(E6480,#REF!,1,FALSE())),"?TYPE_IDENTIFIABLE","?REFERENTIAL"),"_")))))</f>
        <v> </v>
      </c>
      <c r="H6480" s="25" t="str">
        <f>IF(J6480&lt;&gt;1,"",IF(I6480="SBJ","CB","?"))</f>
        <v> </v>
      </c>
      <c r="I6480" s="26" t="str">
        <f>IF(OR(E6480="",E6480="!!!",F6480="NEW"),"",INDEX(B6479:B$2,-1+SUMPRODUCT(MAX(ROW(E6479:E$2)*(E6480=E6479:E$2)))))</f>
        <v> </v>
      </c>
      <c r="J6480" s="26" t="str">
        <f>IF(OR(E6480="",E6480="!!!",F6480="NEW"),"",COUNTBLANK(OFFSET(A$1,,,SUMPRODUCT(MAX(ROW(E$2:E6480)*(E6480=E$2:E6480)))))-COUNTBLANK(OFFSET(A$1,,,SUMPRODUCT(MAX(ROW(E$1:E6479)*(E2=E$1:E6479))))))</f>
        <v> </v>
      </c>
      <c r="K6480" s="26" t="str">
        <f>IF(OR(E6480="",E6480="!!!",F6480="NEW"),"",INDEX(J$1:J6479,SUMPRODUCT(MAX(ROW(E$1:E6479)*(E6480=E$1:E6479)))))</f>
        <v> </v>
      </c>
      <c r="L6480" s="27"/>
    </row>
    <row r="6481" spans="1:12">
      <c r="A6481" s="20" t="s">
        <v>909</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1106</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1530</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1077</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1228</v>
      </c>
      <c r="B6485" s="21" t="s">
        <v>1118</v>
      </c>
      <c r="C6485" s="21" t="s">
        <v>1075</v>
      </c>
      <c r="D6485" s="21" t="s">
        <v>1065</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1076</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909</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2839</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1091</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1415</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1204</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1423</v>
      </c>
      <c r="B6492" s="21" t="s">
        <v>1132</v>
      </c>
      <c r="C6492" s="21" t="s">
        <v>1075</v>
      </c>
      <c r="D6492" s="21" t="s">
        <v>1065</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t="s">
        <v>2110</v>
      </c>
      <c r="E6493" s="22">
        <f>IF(D6493="?OLD","!!!","")</f>
        <v/>
      </c>
      <c r="F6493" s="23" t="str">
        <f>IF(OR(E6493="",E6493="!!!"),"",IF(NOT(ISNA(VLOOKUP(E6493,E$1:E6492,1,FALSE()))),"OLD",IF(AND(E6493&lt;&gt;"",E6493&lt;&gt;"!!!"),"NEW","")))</f>
        <v> </v>
      </c>
      <c r="G6493" s="24" t="str">
        <f>IF(OR(E6493="",E6493="!!!"),"",IF(OR(J6493=0,AND(J6493=1,K6493=1),AND(J6493=1,I6493="SBJ"),AND(J6493=1,I6493=0)),"?IN_FOCUS",IF(J6493&lt;=2,"?ACTIVATED",IF(J6493&lt;&gt;"","?FAMILIAR",IF(F6493="NEW",IF(ISNA(VLOOKUP(E6493,#REF!,1,FALSE())),"?TYPE_IDENTIFIABLE","?REFERENTIAL"),"_")))))</f>
        <v> </v>
      </c>
      <c r="H6493" s="25" t="str">
        <f>IF(J6493&lt;&gt;1,"",IF(I6493="SBJ","CB","?"))</f>
        <v> </v>
      </c>
      <c r="I6493" s="26" t="str">
        <f>IF(OR(E6493="",E6493="!!!",F6493="NEW"),"",INDEX(B6492:B$2,-1+SUMPRODUCT(MAX(ROW(E6492:E$2)*(E6493=E6492:E$2)))))</f>
        <v> </v>
      </c>
      <c r="J6493" s="26" t="str">
        <f>IF(OR(E6493="",E6493="!!!",F6493="NEW"),"",COUNTBLANK(OFFSET(A$1,,,SUMPRODUCT(MAX(ROW(E$2:E6493)*(E6493=E$2:E6493)))))-COUNTBLANK(OFFSET(A$1,,,SUMPRODUCT(MAX(ROW(E$1:E6492)*(E2=E$1:E6492))))))</f>
        <v> </v>
      </c>
      <c r="K6493" s="26" t="str">
        <f>IF(OR(E6493="",E6493="!!!",F6493="NEW"),"",INDEX(J$1:J6492,SUMPRODUCT(MAX(ROW(E$1:E6492)*(E6493=E$1:E6492)))))</f>
        <v> </v>
      </c>
      <c r="L6493" s="27"/>
    </row>
    <row r="6494" spans="1:12">
      <c r="A6494" s="20" t="s">
        <v>2169</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1284</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2834</v>
      </c>
      <c r="B6496" s="21" t="s">
        <v>1135</v>
      </c>
      <c r="C6496" s="21" t="s">
        <v>1098</v>
      </c>
      <c r="D6496" s="21" t="s">
        <v>1065</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1076</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1214</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1107</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1141</v>
      </c>
      <c r="B6500" s="21" t="s">
        <v>1114</v>
      </c>
      <c r="C6500" s="21" t="s">
        <v>1109</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1091</v>
      </c>
      <c r="B6501" s="21" t="s">
        <v>1132</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t="s">
        <v>2840</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952</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t="s">
        <v>1076</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t="s">
        <v>1214</v>
      </c>
      <c r="E6505" s="22">
        <f>IF(D6505="?OLD","!!!","")</f>
        <v/>
      </c>
      <c r="F6505" s="23" t="str">
        <f>IF(OR(E6505="",E6505="!!!"),"",IF(NOT(ISNA(VLOOKUP(E6505,E$1:E6504,1,FALSE()))),"OLD",IF(AND(E6505&lt;&gt;"",E6505&lt;&gt;"!!!"),"NEW","")))</f>
        <v> </v>
      </c>
      <c r="G6505" s="24" t="str">
        <f>IF(OR(E6505="",E6505="!!!"),"",IF(OR(J6505=0,AND(J6505=1,K6505=1),AND(J6505=1,I6505="SBJ"),AND(J6505=1,I6505=0)),"?IN_FOCUS",IF(J6505&lt;=2,"?ACTIVATED",IF(J6505&lt;&gt;"","?FAMILIAR",IF(F6505="NEW",IF(ISNA(VLOOKUP(E6505,#REF!,1,FALSE())),"?TYPE_IDENTIFIABLE","?REFERENTIAL"),"_")))))</f>
        <v> </v>
      </c>
      <c r="H6505" s="25" t="str">
        <f>IF(J6505&lt;&gt;1,"",IF(I6505="SBJ","CB","?"))</f>
        <v> </v>
      </c>
      <c r="I6505" s="26" t="str">
        <f>IF(OR(E6505="",E6505="!!!",F6505="NEW"),"",INDEX(B6504:B$2,-1+SUMPRODUCT(MAX(ROW(E6504:E$2)*(E6505=E6504:E$2)))))</f>
        <v> </v>
      </c>
      <c r="J6505" s="26" t="str">
        <f>IF(OR(E6505="",E6505="!!!",F6505="NEW"),"",COUNTBLANK(OFFSET(A$1,,,SUMPRODUCT(MAX(ROW(E$2:E6505)*(E6505=E$2:E6505)))))-COUNTBLANK(OFFSET(A$1,,,SUMPRODUCT(MAX(ROW(E$1:E6504)*(E2=E$1:E6504))))))</f>
        <v> </v>
      </c>
      <c r="K6505" s="26" t="str">
        <f>IF(OR(E6505="",E6505="!!!",F6505="NEW"),"",INDEX(J$1:J6504,SUMPRODUCT(MAX(ROW(E$1:E6504)*(E6505=E$1:E6504)))))</f>
        <v> </v>
      </c>
      <c r="L6505" s="27"/>
    </row>
    <row r="6506" spans="1:12">
      <c r="A6506" s="20" t="s">
        <v>1124</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2841</v>
      </c>
      <c r="B6507" s="21" t="s">
        <v>1063</v>
      </c>
      <c r="C6507" s="21" t="s">
        <v>1109</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2791</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1076</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1429</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1213</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1214</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1089</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2841</v>
      </c>
      <c r="B6514" s="21" t="s">
        <v>1080</v>
      </c>
      <c r="C6514" s="21" t="s">
        <v>1075</v>
      </c>
      <c r="D6514" s="21" t="s">
        <v>1065</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t="s">
        <v>2842</v>
      </c>
      <c r="E6515" s="22">
        <f>IF(D6515="?OLD","!!!","")</f>
        <v/>
      </c>
      <c r="F6515" s="23" t="str">
        <f>IF(OR(E6515="",E6515="!!!"),"",IF(NOT(ISNA(VLOOKUP(E6515,E$1:E6514,1,FALSE()))),"OLD",IF(AND(E6515&lt;&gt;"",E6515&lt;&gt;"!!!"),"NEW","")))</f>
        <v> </v>
      </c>
      <c r="G6515" s="24" t="str">
        <f>IF(OR(E6515="",E6515="!!!"),"",IF(OR(J6515=0,AND(J6515=1,K6515=1),AND(J6515=1,I6515="SBJ"),AND(J6515=1,I6515=0)),"?IN_FOCUS",IF(J6515&lt;=2,"?ACTIVATED",IF(J6515&lt;&gt;"","?FAMILIAR",IF(F6515="NEW",IF(ISNA(VLOOKUP(E6515,#REF!,1,FALSE())),"?TYPE_IDENTIFIABLE","?REFERENTIAL"),"_")))))</f>
        <v> </v>
      </c>
      <c r="H6515" s="25" t="str">
        <f>IF(J6515&lt;&gt;1,"",IF(I6515="SBJ","CB","?"))</f>
        <v> </v>
      </c>
      <c r="I6515" s="26" t="str">
        <f>IF(OR(E6515="",E6515="!!!",F6515="NEW"),"",INDEX(B6514:B$2,-1+SUMPRODUCT(MAX(ROW(E6514:E$2)*(E6515=E6514:E$2)))))</f>
        <v> </v>
      </c>
      <c r="J6515" s="26" t="str">
        <f>IF(OR(E6515="",E6515="!!!",F6515="NEW"),"",COUNTBLANK(OFFSET(A$1,,,SUMPRODUCT(MAX(ROW(E$2:E6515)*(E6515=E$2:E6515)))))-COUNTBLANK(OFFSET(A$1,,,SUMPRODUCT(MAX(ROW(E$1:E6514)*(E2=E$1:E6514))))))</f>
        <v> </v>
      </c>
      <c r="K6515" s="26" t="str">
        <f>IF(OR(E6515="",E6515="!!!",F6515="NEW"),"",INDEX(J$1:J6514,SUMPRODUCT(MAX(ROW(E$1:E6514)*(E6515=E$1:E6514)))))</f>
        <v> </v>
      </c>
      <c r="L6515" s="27"/>
    </row>
    <row r="6516" spans="1:12">
      <c r="A6516" s="20" t="s">
        <v>1076</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1463</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t="s">
        <v>1091</v>
      </c>
      <c r="E6518" s="22">
        <f>IF(D6518="?OLD","!!!","")</f>
        <v/>
      </c>
      <c r="F6518" s="23" t="str">
        <f>IF(OR(E6518="",E6518="!!!"),"",IF(NOT(ISNA(VLOOKUP(E6518,E$1:E6517,1,FALSE()))),"OLD",IF(AND(E6518&lt;&gt;"",E6518&lt;&gt;"!!!"),"NEW","")))</f>
        <v> </v>
      </c>
      <c r="G6518" s="24" t="str">
        <f>IF(OR(E6518="",E6518="!!!"),"",IF(OR(J6518=0,AND(J6518=1,K6518=1),AND(J6518=1,I6518="SBJ"),AND(J6518=1,I6518=0)),"?IN_FOCUS",IF(J6518&lt;=2,"?ACTIVATED",IF(J6518&lt;&gt;"","?FAMILIAR",IF(F6518="NEW",IF(ISNA(VLOOKUP(E6518,#REF!,1,FALSE())),"?TYPE_IDENTIFIABLE","?REFERENTIAL"),"_")))))</f>
        <v> </v>
      </c>
      <c r="H6518" s="25" t="str">
        <f>IF(J6518&lt;&gt;1,"",IF(I6518="SBJ","CB","?"))</f>
        <v> </v>
      </c>
      <c r="I6518" s="26" t="str">
        <f>IF(OR(E6518="",E6518="!!!",F6518="NEW"),"",INDEX(B6517:B$2,-1+SUMPRODUCT(MAX(ROW(E6517:E$2)*(E6518=E6517:E$2)))))</f>
        <v> </v>
      </c>
      <c r="J6518" s="26" t="str">
        <f>IF(OR(E6518="",E6518="!!!",F6518="NEW"),"",COUNTBLANK(OFFSET(A$1,,,SUMPRODUCT(MAX(ROW(E$2:E6518)*(E6518=E$2:E6518)))))-COUNTBLANK(OFFSET(A$1,,,SUMPRODUCT(MAX(ROW(E$1:E6517)*(E2=E$1:E6517))))))</f>
        <v> </v>
      </c>
      <c r="K6518" s="26" t="str">
        <f>IF(OR(E6518="",E6518="!!!",F6518="NEW"),"",INDEX(J$1:J6517,SUMPRODUCT(MAX(ROW(E$1:E6517)*(E6518=E$1:E6517)))))</f>
        <v> </v>
      </c>
      <c r="L6518" s="27"/>
    </row>
    <row r="6519" spans="1:12">
      <c r="A6519" s="20" t="s">
        <v>1434</v>
      </c>
      <c r="E6519" s="22">
        <f>IF(D6519="?OLD","!!!","")</f>
        <v/>
      </c>
      <c r="F6519" s="23" t="str">
        <f>IF(OR(E6519="",E6519="!!!"),"",IF(NOT(ISNA(VLOOKUP(E6519,E$1:E6518,1,FALSE()))),"OLD",IF(AND(E6519&lt;&gt;"",E6519&lt;&gt;"!!!"),"NEW","")))</f>
        <v> </v>
      </c>
      <c r="G6519" s="24" t="str">
        <f>IF(OR(E6519="",E6519="!!!"),"",IF(OR(J6519=0,AND(J6519=1,K6519=1),AND(J6519=1,I6519="SBJ"),AND(J6519=1,I6519=0)),"?IN_FOCUS",IF(J6519&lt;=2,"?ACTIVATED",IF(J6519&lt;&gt;"","?FAMILIAR",IF(F6519="NEW",IF(ISNA(VLOOKUP(E6519,#REF!,1,FALSE())),"?TYPE_IDENTIFIABLE","?REFERENTIAL"),"_")))))</f>
        <v> </v>
      </c>
      <c r="H6519" s="25" t="str">
        <f>IF(J6519&lt;&gt;1,"",IF(I6519="SBJ","CB","?"))</f>
        <v> </v>
      </c>
      <c r="I6519" s="26" t="str">
        <f>IF(OR(E6519="",E6519="!!!",F6519="NEW"),"",INDEX(B6518:B$2,-1+SUMPRODUCT(MAX(ROW(E6518:E$2)*(E6519=E6518:E$2)))))</f>
        <v> </v>
      </c>
      <c r="J6519" s="26" t="str">
        <f>IF(OR(E6519="",E6519="!!!",F6519="NEW"),"",COUNTBLANK(OFFSET(A$1,,,SUMPRODUCT(MAX(ROW(E$2:E6519)*(E6519=E$2:E6519)))))-COUNTBLANK(OFFSET(A$1,,,SUMPRODUCT(MAX(ROW(E$1:E6518)*(E2=E$1:E6518))))))</f>
        <v> </v>
      </c>
      <c r="K6519" s="26" t="str">
        <f>IF(OR(E6519="",E6519="!!!",F6519="NEW"),"",INDEX(J$1:J6518,SUMPRODUCT(MAX(ROW(E$1:E6518)*(E6519=E$1:E6518)))))</f>
        <v> </v>
      </c>
      <c r="L6519" s="27"/>
    </row>
    <row r="6520" spans="1:12">
      <c r="A6520" s="20" t="s">
        <v>2394</v>
      </c>
      <c r="B6520" s="21" t="s">
        <v>1063</v>
      </c>
      <c r="C6520" s="21" t="s">
        <v>1155</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1091</v>
      </c>
      <c r="B6521" s="21" t="s">
        <v>1092</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2498</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2843</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1077</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1380</v>
      </c>
      <c r="B6525" s="21" t="s">
        <v>1126</v>
      </c>
      <c r="C6525" s="21" t="s">
        <v>1075</v>
      </c>
      <c r="D6525" s="21" t="s">
        <v>1065</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195</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row>
    <row r="6528" spans="1:12">
      <c r="A6528" s="20" t="s">
        <v>2844</v>
      </c>
    </row>
    <row r="6529" spans="1:12">
      <c r="A6529" s="20" t="s">
        <v>1194</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1088</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1322</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1190</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1256</v>
      </c>
      <c r="B6533" s="21" t="s">
        <v>1063</v>
      </c>
      <c r="C6533" s="21" t="s">
        <v>1075</v>
      </c>
      <c r="D6533" s="21" t="s">
        <v>1065</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1076</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1077</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1241</v>
      </c>
      <c r="B6536" s="21" t="s">
        <v>1150</v>
      </c>
      <c r="C6536" s="21" t="s">
        <v>1075</v>
      </c>
      <c r="D6536" s="21" t="s">
        <v>1065</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1319</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2845</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431</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1072</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t="s">
        <v>2846</v>
      </c>
      <c r="E6541" s="22">
        <f>IF(D6541="?OLD","!!!","")</f>
        <v/>
      </c>
      <c r="F6541" s="23" t="str">
        <f>IF(OR(E6541="",E6541="!!!"),"",IF(NOT(ISNA(VLOOKUP(E6541,E$1:E6540,1,FALSE()))),"OLD",IF(AND(E6541&lt;&gt;"",E6541&lt;&gt;"!!!"),"NEW","")))</f>
        <v> </v>
      </c>
      <c r="G6541" s="24" t="str">
        <f>IF(OR(E6541="",E6541="!!!"),"",IF(OR(J6541=0,AND(J6541=1,K6541=1),AND(J6541=1,I6541="SBJ"),AND(J6541=1,I6541=0)),"?IN_FOCUS",IF(J6541&lt;=2,"?ACTIVATED",IF(J6541&lt;&gt;"","?FAMILIAR",IF(F6541="NEW",IF(ISNA(VLOOKUP(E6541,#REF!,1,FALSE())),"?TYPE_IDENTIFIABLE","?REFERENTIAL"),"_")))))</f>
        <v> </v>
      </c>
      <c r="H6541" s="25" t="str">
        <f>IF(J6541&lt;&gt;1,"",IF(I6541="SBJ","CB","?"))</f>
        <v> </v>
      </c>
      <c r="I6541" s="26" t="str">
        <f>IF(OR(E6541="",E6541="!!!",F6541="NEW"),"",INDEX(B6540:B$2,-1+SUMPRODUCT(MAX(ROW(E6540:E$2)*(E6541=E6540:E$2)))))</f>
        <v> </v>
      </c>
      <c r="J6541" s="26" t="str">
        <f>IF(OR(E6541="",E6541="!!!",F6541="NEW"),"",COUNTBLANK(OFFSET(A$1,,,SUMPRODUCT(MAX(ROW(E$2:E6541)*(E6541=E$2:E6541)))))-COUNTBLANK(OFFSET(A$1,,,SUMPRODUCT(MAX(ROW(E$1:E6540)*(E2=E$1:E6540))))))</f>
        <v> </v>
      </c>
      <c r="K6541" s="26" t="str">
        <f>IF(OR(E6541="",E6541="!!!",F6541="NEW"),"",INDEX(J$1:J6540,SUMPRODUCT(MAX(ROW(E$1:E6540)*(E6541=E$1:E6540)))))</f>
        <v> </v>
      </c>
      <c r="L6541" s="27"/>
    </row>
    <row r="6542" spans="1:12">
      <c r="A6542" s="20" t="s">
        <v>1112</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1240</v>
      </c>
      <c r="B6543" s="21" t="s">
        <v>1126</v>
      </c>
      <c r="C6543" s="21" t="s">
        <v>1071</v>
      </c>
      <c r="D6543" s="21" t="s">
        <v>1065</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1072</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2847</v>
      </c>
      <c r="B6545" s="21" t="s">
        <v>1114</v>
      </c>
      <c r="C6545" s="21" t="s">
        <v>1144</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1076</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2459</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1091</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1149</v>
      </c>
      <c r="B6549" s="21" t="s">
        <v>1092</v>
      </c>
      <c r="C6549" s="21" t="s">
        <v>1151</v>
      </c>
      <c r="D6549" s="21" t="s">
        <v>1065</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2848</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1073</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1310</v>
      </c>
      <c r="B6552" s="21" t="s">
        <v>1126</v>
      </c>
      <c r="C6552" s="21" t="s">
        <v>1075</v>
      </c>
      <c r="D6552" s="21" t="s">
        <v>1065</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t="s">
        <v>1202</v>
      </c>
      <c r="E6553" s="22">
        <f>IF(D6553="?OLD","!!!","")</f>
        <v/>
      </c>
      <c r="F6553" s="23" t="str">
        <f>IF(OR(E6553="",E6553="!!!"),"",IF(NOT(ISNA(VLOOKUP(E6553,E$1:E6552,1,FALSE()))),"OLD",IF(AND(E6553&lt;&gt;"",E6553&lt;&gt;"!!!"),"NEW","")))</f>
        <v> </v>
      </c>
      <c r="G6553" s="24" t="str">
        <f>IF(OR(E6553="",E6553="!!!"),"",IF(OR(J6553=0,AND(J6553=1,K6553=1),AND(J6553=1,I6553="SBJ"),AND(J6553=1,I6553=0)),"?IN_FOCUS",IF(J6553&lt;=2,"?ACTIVATED",IF(J6553&lt;&gt;"","?FAMILIAR",IF(F6553="NEW",IF(ISNA(VLOOKUP(E6553,#REF!,1,FALSE())),"?TYPE_IDENTIFIABLE","?REFERENTIAL"),"_")))))</f>
        <v> </v>
      </c>
      <c r="H6553" s="25" t="str">
        <f>IF(J6553&lt;&gt;1,"",IF(I6553="SBJ","CB","?"))</f>
        <v> </v>
      </c>
      <c r="I6553" s="26" t="str">
        <f>IF(OR(E6553="",E6553="!!!",F6553="NEW"),"",INDEX(B6552:B$2,-1+SUMPRODUCT(MAX(ROW(E6552:E$2)*(E6553=E6552:E$2)))))</f>
        <v> </v>
      </c>
      <c r="J6553" s="26" t="str">
        <f>IF(OR(E6553="",E6553="!!!",F6553="NEW"),"",COUNTBLANK(OFFSET(A$1,,,SUMPRODUCT(MAX(ROW(E$2:E6553)*(E6553=E$2:E6553)))))-COUNTBLANK(OFFSET(A$1,,,SUMPRODUCT(MAX(ROW(E$1:E6552)*(E2=E$1:E6552))))))</f>
        <v> </v>
      </c>
      <c r="K6553" s="26" t="str">
        <f>IF(OR(E6553="",E6553="!!!",F6553="NEW"),"",INDEX(J$1:J6552,SUMPRODUCT(MAX(ROW(E$1:E6552)*(E6553=E$1:E6552)))))</f>
        <v> </v>
      </c>
      <c r="L6553" s="27"/>
    </row>
    <row r="6554" spans="1:12">
      <c r="A6554" s="20" t="s">
        <v>1073</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1357</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1163</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2849</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1076</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1188</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t="s">
        <v>2831</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1076</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1429</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t="s">
        <v>1149</v>
      </c>
      <c r="B6563" s="21" t="s">
        <v>1132</v>
      </c>
      <c r="C6563" s="21" t="s">
        <v>1151</v>
      </c>
      <c r="D6563" s="21" t="s">
        <v>1065</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2192</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502</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t="s">
        <v>1212</v>
      </c>
      <c r="E6566" s="22">
        <f>IF(D6566="?OLD","!!!","")</f>
        <v/>
      </c>
      <c r="F6566" s="23" t="str">
        <f>IF(OR(E6566="",E6566="!!!"),"",IF(NOT(ISNA(VLOOKUP(E6566,E$1:E6565,1,FALSE()))),"OLD",IF(AND(E6566&lt;&gt;"",E6566&lt;&gt;"!!!"),"NEW","")))</f>
        <v> </v>
      </c>
      <c r="G6566" s="24" t="str">
        <f>IF(OR(E6566="",E6566="!!!"),"",IF(OR(J6566=0,AND(J6566=1,K6566=1),AND(J6566=1,I6566="SBJ"),AND(J6566=1,I6566=0)),"?IN_FOCUS",IF(J6566&lt;=2,"?ACTIVATED",IF(J6566&lt;&gt;"","?FAMILIAR",IF(F6566="NEW",IF(ISNA(VLOOKUP(E6566,#REF!,1,FALSE())),"?TYPE_IDENTIFIABLE","?REFERENTIAL"),"_")))))</f>
        <v> </v>
      </c>
      <c r="H6566" s="25" t="str">
        <f>IF(J6566&lt;&gt;1,"",IF(I6566="SBJ","CB","?"))</f>
        <v> </v>
      </c>
      <c r="I6566" s="26" t="str">
        <f>IF(OR(E6566="",E6566="!!!",F6566="NEW"),"",INDEX(B6565:B$2,-1+SUMPRODUCT(MAX(ROW(E6565:E$2)*(E6566=E6565:E$2)))))</f>
        <v> </v>
      </c>
      <c r="J6566" s="26" t="str">
        <f>IF(OR(E6566="",E6566="!!!",F6566="NEW"),"",COUNTBLANK(OFFSET(A$1,,,SUMPRODUCT(MAX(ROW(E$2:E6566)*(E6566=E$2:E6566)))))-COUNTBLANK(OFFSET(A$1,,,SUMPRODUCT(MAX(ROW(E$1:E6565)*(E2=E$1:E6565))))))</f>
        <v> </v>
      </c>
      <c r="K6566" s="26" t="str">
        <f>IF(OR(E6566="",E6566="!!!",F6566="NEW"),"",INDEX(J$1:J6565,SUMPRODUCT(MAX(ROW(E$1:E6565)*(E6566=E$1:E6565)))))</f>
        <v> </v>
      </c>
      <c r="L6566" s="27"/>
    </row>
    <row r="6567" spans="1:12">
      <c r="A6567" s="20" t="s">
        <v>1106</v>
      </c>
      <c r="E6567" s="22">
        <f>IF(D6567="?OLD","!!!","")</f>
        <v/>
      </c>
      <c r="F6567" s="23" t="str">
        <f>IF(OR(E6567="",E6567="!!!"),"",IF(NOT(ISNA(VLOOKUP(E6567,E$1:E6566,1,FALSE()))),"OLD",IF(AND(E6567&lt;&gt;"",E6567&lt;&gt;"!!!"),"NEW","")))</f>
        <v> </v>
      </c>
      <c r="G6567" s="24" t="str">
        <f>IF(OR(E6567="",E6567="!!!"),"",IF(OR(J6567=0,AND(J6567=1,K6567=1),AND(J6567=1,I6567="SBJ"),AND(J6567=1,I6567=0)),"?IN_FOCUS",IF(J6567&lt;=2,"?ACTIVATED",IF(J6567&lt;&gt;"","?FAMILIAR",IF(F6567="NEW",IF(ISNA(VLOOKUP(E6567,#REF!,1,FALSE())),"?TYPE_IDENTIFIABLE","?REFERENTIAL"),"_")))))</f>
        <v> </v>
      </c>
      <c r="H6567" s="25" t="str">
        <f>IF(J6567&lt;&gt;1,"",IF(I6567="SBJ","CB","?"))</f>
        <v> </v>
      </c>
      <c r="I6567" s="26" t="str">
        <f>IF(OR(E6567="",E6567="!!!",F6567="NEW"),"",INDEX(B6566:B$2,-1+SUMPRODUCT(MAX(ROW(E6566:E$2)*(E6567=E6566:E$2)))))</f>
        <v> </v>
      </c>
      <c r="J6567" s="26" t="str">
        <f>IF(OR(E6567="",E6567="!!!",F6567="NEW"),"",COUNTBLANK(OFFSET(A$1,,,SUMPRODUCT(MAX(ROW(E$2:E6567)*(E6567=E$2:E6567)))))-COUNTBLANK(OFFSET(A$1,,,SUMPRODUCT(MAX(ROW(E$1:E6566)*(E2=E$1:E6566))))))</f>
        <v> </v>
      </c>
      <c r="K6567" s="26" t="str">
        <f>IF(OR(E6567="",E6567="!!!",F6567="NEW"),"",INDEX(J$1:J6566,SUMPRODUCT(MAX(ROW(E$1:E6566)*(E6567=E$1:E6566)))))</f>
        <v> </v>
      </c>
      <c r="L6567" s="27"/>
    </row>
    <row r="6568" spans="1:12">
      <c r="A6568" s="20" t="s">
        <v>2850</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1091</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t="s">
        <v>1149</v>
      </c>
      <c r="B6570" s="21" t="s">
        <v>1359</v>
      </c>
      <c r="C6570" s="21" t="s">
        <v>1151</v>
      </c>
      <c r="D6570" s="21" t="s">
        <v>1065</v>
      </c>
      <c r="E6570" s="22">
        <f>IF(D6570="?OLD","!!!","")</f>
        <v/>
      </c>
      <c r="F6570" s="23" t="str">
        <f>IF(OR(E6570="",E6570="!!!"),"",IF(NOT(ISNA(VLOOKUP(E6570,E$1:E6569,1,FALSE()))),"OLD",IF(AND(E6570&lt;&gt;"",E6570&lt;&gt;"!!!"),"NEW","")))</f>
        <v> </v>
      </c>
      <c r="G6570" s="24" t="str">
        <f>IF(OR(E6570="",E6570="!!!"),"",IF(OR(J6570=0,AND(J6570=1,K6570=1),AND(J6570=1,I6570="SBJ"),AND(J6570=1,I6570=0)),"?IN_FOCUS",IF(J6570&lt;=2,"?ACTIVATED",IF(J6570&lt;&gt;"","?FAMILIAR",IF(F6570="NEW",IF(ISNA(VLOOKUP(E6570,#REF!,1,FALSE())),"?TYPE_IDENTIFIABLE","?REFERENTIAL"),"_")))))</f>
        <v> </v>
      </c>
      <c r="H6570" s="25" t="str">
        <f>IF(J6570&lt;&gt;1,"",IF(I6570="SBJ","CB","?"))</f>
        <v> </v>
      </c>
      <c r="I6570" s="26" t="str">
        <f>IF(OR(E6570="",E6570="!!!",F6570="NEW"),"",INDEX(B6569:B$2,-1+SUMPRODUCT(MAX(ROW(E6569:E$2)*(E6570=E6569:E$2)))))</f>
        <v> </v>
      </c>
      <c r="J6570" s="26" t="str">
        <f>IF(OR(E6570="",E6570="!!!",F6570="NEW"),"",COUNTBLANK(OFFSET(A$1,,,SUMPRODUCT(MAX(ROW(E$2:E6570)*(E6570=E$2:E6570)))))-COUNTBLANK(OFFSET(A$1,,,SUMPRODUCT(MAX(ROW(E$1:E6569)*(E2=E$1:E6569))))))</f>
        <v> </v>
      </c>
      <c r="K6570" s="26" t="str">
        <f>IF(OR(E6570="",E6570="!!!",F6570="NEW"),"",INDEX(J$1:J6569,SUMPRODUCT(MAX(ROW(E$1:E6569)*(E6570=E$1:E6569)))))</f>
        <v> </v>
      </c>
      <c r="L6570" s="27"/>
    </row>
    <row r="6571" spans="1:12">
      <c r="A6571" s="20" t="s">
        <v>1213</v>
      </c>
      <c r="E6571" s="22">
        <f>IF(D6571="?OLD","!!!","")</f>
        <v/>
      </c>
      <c r="F6571" s="23" t="str">
        <f>IF(OR(E6571="",E6571="!!!"),"",IF(NOT(ISNA(VLOOKUP(E6571,E$1:E6570,1,FALSE()))),"OLD",IF(AND(E6571&lt;&gt;"",E6571&lt;&gt;"!!!"),"NEW","")))</f>
        <v> </v>
      </c>
      <c r="G6571" s="24" t="str">
        <f>IF(OR(E6571="",E6571="!!!"),"",IF(OR(J6571=0,AND(J6571=1,K6571=1),AND(J6571=1,I6571="SBJ"),AND(J6571=1,I6571=0)),"?IN_FOCUS",IF(J6571&lt;=2,"?ACTIVATED",IF(J6571&lt;&gt;"","?FAMILIAR",IF(F6571="NEW",IF(ISNA(VLOOKUP(E6571,#REF!,1,FALSE())),"?TYPE_IDENTIFIABLE","?REFERENTIAL"),"_")))))</f>
        <v> </v>
      </c>
      <c r="H6571" s="25" t="str">
        <f>IF(J6571&lt;&gt;1,"",IF(I6571="SBJ","CB","?"))</f>
        <v> </v>
      </c>
      <c r="I6571" s="26" t="str">
        <f>IF(OR(E6571="",E6571="!!!",F6571="NEW"),"",INDEX(B6570:B$2,-1+SUMPRODUCT(MAX(ROW(E6570:E$2)*(E6571=E6570:E$2)))))</f>
        <v> </v>
      </c>
      <c r="J6571" s="26" t="str">
        <f>IF(OR(E6571="",E6571="!!!",F6571="NEW"),"",COUNTBLANK(OFFSET(A$1,,,SUMPRODUCT(MAX(ROW(E$2:E6571)*(E6571=E$2:E6571)))))-COUNTBLANK(OFFSET(A$1,,,SUMPRODUCT(MAX(ROW(E$1:E6570)*(E2=E$1:E6570))))))</f>
        <v> </v>
      </c>
      <c r="K6571" s="26" t="str">
        <f>IF(OR(E6571="",E6571="!!!",F6571="NEW"),"",INDEX(J$1:J6570,SUMPRODUCT(MAX(ROW(E$1:E6570)*(E6571=E$1:E6570)))))</f>
        <v> </v>
      </c>
      <c r="L6571" s="27"/>
    </row>
    <row r="6572" spans="1:12">
      <c r="A6572" s="20" t="s">
        <v>1163</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1564</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t="s">
        <v>1198</v>
      </c>
      <c r="B6574" s="21" t="s">
        <v>1484</v>
      </c>
      <c r="C6574" s="21" t="s">
        <v>1131</v>
      </c>
      <c r="D6574" s="21" t="s">
        <v>1065</v>
      </c>
      <c r="E6574" s="22">
        <f>IF(D6574="?OLD","!!!","")</f>
        <v/>
      </c>
      <c r="F6574" s="23" t="str">
        <f>IF(OR(E6574="",E6574="!!!"),"",IF(NOT(ISNA(VLOOKUP(E6574,E$1:E6573,1,FALSE()))),"OLD",IF(AND(E6574&lt;&gt;"",E6574&lt;&gt;"!!!"),"NEW","")))</f>
        <v> </v>
      </c>
      <c r="G6574" s="24" t="str">
        <f>IF(OR(E6574="",E6574="!!!"),"",IF(OR(J6574=0,AND(J6574=1,K6574=1),AND(J6574=1,I6574="SBJ"),AND(J6574=1,I6574=0)),"?IN_FOCUS",IF(J6574&lt;=2,"?ACTIVATED",IF(J6574&lt;&gt;"","?FAMILIAR",IF(F6574="NEW",IF(ISNA(VLOOKUP(E6574,#REF!,1,FALSE())),"?TYPE_IDENTIFIABLE","?REFERENTIAL"),"_")))))</f>
        <v> </v>
      </c>
      <c r="H6574" s="25" t="str">
        <f>IF(J6574&lt;&gt;1,"",IF(I6574="SBJ","CB","?"))</f>
        <v> </v>
      </c>
      <c r="I6574" s="26" t="str">
        <f>IF(OR(E6574="",E6574="!!!",F6574="NEW"),"",INDEX(B6573:B$2,-1+SUMPRODUCT(MAX(ROW(E6573:E$2)*(E6574=E6573:E$2)))))</f>
        <v> </v>
      </c>
      <c r="J6574" s="26" t="str">
        <f>IF(OR(E6574="",E6574="!!!",F6574="NEW"),"",COUNTBLANK(OFFSET(A$1,,,SUMPRODUCT(MAX(ROW(E$2:E6574)*(E6574=E$2:E6574)))))-COUNTBLANK(OFFSET(A$1,,,SUMPRODUCT(MAX(ROW(E$1:E6573)*(E2=E$1:E6573))))))</f>
        <v> </v>
      </c>
      <c r="K6574" s="26" t="str">
        <f>IF(OR(E6574="",E6574="!!!",F6574="NEW"),"",INDEX(J$1:J6573,SUMPRODUCT(MAX(ROW(E$1:E6573)*(E6574=E$1:E6573)))))</f>
        <v> </v>
      </c>
      <c r="L6574" s="27"/>
    </row>
    <row r="6575" spans="1:12">
      <c r="A6575" s="20" t="s">
        <v>1188</v>
      </c>
      <c r="E6575" s="22">
        <f>IF(D6575="?OLD","!!!","")</f>
        <v/>
      </c>
      <c r="F6575" s="23" t="str">
        <f>IF(OR(E6575="",E6575="!!!"),"",IF(NOT(ISNA(VLOOKUP(E6575,E$1:E6574,1,FALSE()))),"OLD",IF(AND(E6575&lt;&gt;"",E6575&lt;&gt;"!!!"),"NEW","")))</f>
        <v> </v>
      </c>
      <c r="G6575" s="24" t="str">
        <f>IF(OR(E6575="",E6575="!!!"),"",IF(OR(J6575=0,AND(J6575=1,K6575=1),AND(J6575=1,I6575="SBJ"),AND(J6575=1,I6575=0)),"?IN_FOCUS",IF(J6575&lt;=2,"?ACTIVATED",IF(J6575&lt;&gt;"","?FAMILIAR",IF(F6575="NEW",IF(ISNA(VLOOKUP(E6575,#REF!,1,FALSE())),"?TYPE_IDENTIFIABLE","?REFERENTIAL"),"_")))))</f>
        <v> </v>
      </c>
      <c r="H6575" s="25" t="str">
        <f>IF(J6575&lt;&gt;1,"",IF(I6575="SBJ","CB","?"))</f>
        <v> </v>
      </c>
      <c r="I6575" s="26" t="str">
        <f>IF(OR(E6575="",E6575="!!!",F6575="NEW"),"",INDEX(B6574:B$2,-1+SUMPRODUCT(MAX(ROW(E6574:E$2)*(E6575=E6574:E$2)))))</f>
        <v> </v>
      </c>
      <c r="J6575" s="26" t="str">
        <f>IF(OR(E6575="",E6575="!!!",F6575="NEW"),"",COUNTBLANK(OFFSET(A$1,,,SUMPRODUCT(MAX(ROW(E$2:E6575)*(E6575=E$2:E6575)))))-COUNTBLANK(OFFSET(A$1,,,SUMPRODUCT(MAX(ROW(E$1:E6574)*(E2=E$1:E6574))))))</f>
        <v> </v>
      </c>
      <c r="K6575" s="26" t="str">
        <f>IF(OR(E6575="",E6575="!!!",F6575="NEW"),"",INDEX(J$1:J6574,SUMPRODUCT(MAX(ROW(E$1:E6574)*(E6575=E$1:E6574)))))</f>
        <v> </v>
      </c>
      <c r="L6575" s="27"/>
    </row>
    <row r="6576" spans="1:12">
      <c r="A6576" s="20" t="s">
        <v>2851</v>
      </c>
      <c r="B6576" s="21" t="s">
        <v>1528</v>
      </c>
      <c r="C6576" s="21" t="s">
        <v>1144</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t="s">
        <v>195</v>
      </c>
      <c r="E6577" s="22">
        <f>IF(D6577="?OLD","!!!","")</f>
        <v/>
      </c>
      <c r="F6577" s="23" t="str">
        <f>IF(OR(E6577="",E6577="!!!"),"",IF(NOT(ISNA(VLOOKUP(E6577,E$1:E6576,1,FALSE()))),"OLD",IF(AND(E6577&lt;&gt;"",E6577&lt;&gt;"!!!"),"NEW","")))</f>
        <v> </v>
      </c>
      <c r="G6577" s="24" t="str">
        <f>IF(OR(E6577="",E6577="!!!"),"",IF(OR(J6577=0,AND(J6577=1,K6577=1),AND(J6577=1,I6577="SBJ"),AND(J6577=1,I6577=0)),"?IN_FOCUS",IF(J6577&lt;=2,"?ACTIVATED",IF(J6577&lt;&gt;"","?FAMILIAR",IF(F6577="NEW",IF(ISNA(VLOOKUP(E6577,#REF!,1,FALSE())),"?TYPE_IDENTIFIABLE","?REFERENTIAL"),"_")))))</f>
        <v> </v>
      </c>
      <c r="H6577" s="25" t="str">
        <f>IF(J6577&lt;&gt;1,"",IF(I6577="SBJ","CB","?"))</f>
        <v> </v>
      </c>
      <c r="I6577" s="26" t="str">
        <f>IF(OR(E6577="",E6577="!!!",F6577="NEW"),"",INDEX(B6576:B$2,-1+SUMPRODUCT(MAX(ROW(E6576:E$2)*(E6577=E6576:E$2)))))</f>
        <v> </v>
      </c>
      <c r="J6577" s="26" t="str">
        <f>IF(OR(E6577="",E6577="!!!",F6577="NEW"),"",COUNTBLANK(OFFSET(A$1,,,SUMPRODUCT(MAX(ROW(E$2:E6577)*(E6577=E$2:E6577)))))-COUNTBLANK(OFFSET(A$1,,,SUMPRODUCT(MAX(ROW(E$1:E6576)*(E2=E$1:E6576))))))</f>
        <v> </v>
      </c>
      <c r="K6577" s="26" t="str">
        <f>IF(OR(E6577="",E6577="!!!",F6577="NEW"),"",INDEX(J$1:J6576,SUMPRODUCT(MAX(ROW(E$1:E6576)*(E6577=E$1:E6576)))))</f>
        <v> </v>
      </c>
      <c r="L6577" s="27"/>
    </row>
    <row r="6578" spans="1:12">
      <c r="A6578" s="20"/>
    </row>
    <row r="6579" spans="1:12">
      <c r="A6579" s="20" t="s">
        <v>2852</v>
      </c>
    </row>
    <row r="6580" spans="1:12">
      <c r="A6580" s="20" t="s">
        <v>1878</v>
      </c>
      <c r="B6580" s="21" t="s">
        <v>1084</v>
      </c>
      <c r="C6580" s="21" t="s">
        <v>1151</v>
      </c>
      <c r="D6580" s="21" t="s">
        <v>1065</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1163</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1564</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1568</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1361</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1204</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1141</v>
      </c>
      <c r="B6586" s="21" t="s">
        <v>1063</v>
      </c>
      <c r="C6586" s="21" t="s">
        <v>1075</v>
      </c>
      <c r="D6586" s="21" t="s">
        <v>1065</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2008</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1076</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909</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1213</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2853</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1072</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t="s">
        <v>141</v>
      </c>
      <c r="E6593" s="22">
        <f>IF(D6593="?OLD","!!!","")</f>
        <v/>
      </c>
      <c r="F6593" s="23" t="str">
        <f>IF(OR(E6593="",E6593="!!!"),"",IF(NOT(ISNA(VLOOKUP(E6593,E$1:E6592,1,FALSE()))),"OLD",IF(AND(E6593&lt;&gt;"",E6593&lt;&gt;"!!!"),"NEW","")))</f>
        <v> </v>
      </c>
      <c r="G6593" s="24" t="str">
        <f>IF(OR(E6593="",E6593="!!!"),"",IF(OR(J6593=0,AND(J6593=1,K6593=1),AND(J6593=1,I6593="SBJ"),AND(J6593=1,I6593=0)),"?IN_FOCUS",IF(J6593&lt;=2,"?ACTIVATED",IF(J6593&lt;&gt;"","?FAMILIAR",IF(F6593="NEW",IF(ISNA(VLOOKUP(E6593,#REF!,1,FALSE())),"?TYPE_IDENTIFIABLE","?REFERENTIAL"),"_")))))</f>
        <v> </v>
      </c>
      <c r="H6593" s="25" t="str">
        <f>IF(J6593&lt;&gt;1,"",IF(I6593="SBJ","CB","?"))</f>
        <v> </v>
      </c>
      <c r="I6593" s="26" t="str">
        <f>IF(OR(E6593="",E6593="!!!",F6593="NEW"),"",INDEX(B6592:B$2,-1+SUMPRODUCT(MAX(ROW(E6592:E$2)*(E6593=E6592:E$2)))))</f>
        <v> </v>
      </c>
      <c r="J6593" s="26" t="str">
        <f>IF(OR(E6593="",E6593="!!!",F6593="NEW"),"",COUNTBLANK(OFFSET(A$1,,,SUMPRODUCT(MAX(ROW(E$2:E6593)*(E6593=E$2:E6593)))))-COUNTBLANK(OFFSET(A$1,,,SUMPRODUCT(MAX(ROW(E$1:E6592)*(E2=E$1:E6592))))))</f>
        <v> </v>
      </c>
      <c r="K6593" s="26" t="str">
        <f>IF(OR(E6593="",E6593="!!!",F6593="NEW"),"",INDEX(J$1:J6592,SUMPRODUCT(MAX(ROW(E$1:E6592)*(E6593=E$1:E6592)))))</f>
        <v> </v>
      </c>
      <c r="L6593" s="27"/>
    </row>
    <row r="6594" spans="1:12">
      <c r="A6594" s="20" t="s">
        <v>1077</v>
      </c>
      <c r="E6594" s="22">
        <f>IF(D6594="?OLD","!!!","")</f>
        <v/>
      </c>
      <c r="F6594" s="23" t="str">
        <f>IF(OR(E6594="",E6594="!!!"),"",IF(NOT(ISNA(VLOOKUP(E6594,E$1:E6593,1,FALSE()))),"OLD",IF(AND(E6594&lt;&gt;"",E6594&lt;&gt;"!!!"),"NEW","")))</f>
        <v> </v>
      </c>
      <c r="G6594" s="24" t="str">
        <f>IF(OR(E6594="",E6594="!!!"),"",IF(OR(J6594=0,AND(J6594=1,K6594=1),AND(J6594=1,I6594="SBJ"),AND(J6594=1,I6594=0)),"?IN_FOCUS",IF(J6594&lt;=2,"?ACTIVATED",IF(J6594&lt;&gt;"","?FAMILIAR",IF(F6594="NEW",IF(ISNA(VLOOKUP(E6594,#REF!,1,FALSE())),"?TYPE_IDENTIFIABLE","?REFERENTIAL"),"_")))))</f>
        <v> </v>
      </c>
      <c r="H6594" s="25" t="str">
        <f>IF(J6594&lt;&gt;1,"",IF(I6594="SBJ","CB","?"))</f>
        <v> </v>
      </c>
      <c r="I6594" s="26" t="str">
        <f>IF(OR(E6594="",E6594="!!!",F6594="NEW"),"",INDEX(B6593:B$2,-1+SUMPRODUCT(MAX(ROW(E6593:E$2)*(E6594=E6593:E$2)))))</f>
        <v> </v>
      </c>
      <c r="J6594" s="26" t="str">
        <f>IF(OR(E6594="",E6594="!!!",F6594="NEW"),"",COUNTBLANK(OFFSET(A$1,,,SUMPRODUCT(MAX(ROW(E$2:E6594)*(E6594=E$2:E6594)))))-COUNTBLANK(OFFSET(A$1,,,SUMPRODUCT(MAX(ROW(E$1:E6593)*(E2=E$1:E6593))))))</f>
        <v> </v>
      </c>
      <c r="K6594" s="26" t="str">
        <f>IF(OR(E6594="",E6594="!!!",F6594="NEW"),"",INDEX(J$1:J6593,SUMPRODUCT(MAX(ROW(E$1:E6593)*(E6594=E$1:E6593)))))</f>
        <v> </v>
      </c>
      <c r="L6594" s="27"/>
    </row>
    <row r="6595" spans="1:12">
      <c r="A6595" s="20" t="s">
        <v>1482</v>
      </c>
      <c r="B6595" s="21" t="s">
        <v>1121</v>
      </c>
      <c r="C6595" s="21" t="s">
        <v>1119</v>
      </c>
      <c r="D6595" s="21" t="s">
        <v>1065</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1552</v>
      </c>
      <c r="B6596" s="21" t="s">
        <v>1130</v>
      </c>
      <c r="C6596" s="21" t="s">
        <v>1075</v>
      </c>
      <c r="D6596" s="21" t="s">
        <v>1065</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1106</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1089</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2127</v>
      </c>
      <c r="B6599" s="21" t="s">
        <v>1114</v>
      </c>
      <c r="C6599" s="21" t="s">
        <v>1075</v>
      </c>
      <c r="D6599" s="21" t="s">
        <v>1065</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1380</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t="s">
        <v>1577</v>
      </c>
      <c r="E6601" s="22">
        <f>IF(D6601="?OLD","!!!","")</f>
        <v/>
      </c>
      <c r="F6601" s="23" t="str">
        <f>IF(OR(E6601="",E6601="!!!"),"",IF(NOT(ISNA(VLOOKUP(E6601,E$1:E6600,1,FALSE()))),"OLD",IF(AND(E6601&lt;&gt;"",E6601&lt;&gt;"!!!"),"NEW","")))</f>
        <v> </v>
      </c>
      <c r="G6601" s="24" t="str">
        <f>IF(OR(E6601="",E6601="!!!"),"",IF(OR(J6601=0,AND(J6601=1,K6601=1),AND(J6601=1,I6601="SBJ"),AND(J6601=1,I6601=0)),"?IN_FOCUS",IF(J6601&lt;=2,"?ACTIVATED",IF(J6601&lt;&gt;"","?FAMILIAR",IF(F6601="NEW",IF(ISNA(VLOOKUP(E6601,#REF!,1,FALSE())),"?TYPE_IDENTIFIABLE","?REFERENTIAL"),"_")))))</f>
        <v> </v>
      </c>
      <c r="H6601" s="25" t="str">
        <f>IF(J6601&lt;&gt;1,"",IF(I6601="SBJ","CB","?"))</f>
        <v> </v>
      </c>
      <c r="I6601" s="26" t="str">
        <f>IF(OR(E6601="",E6601="!!!",F6601="NEW"),"",INDEX(B6600:B$2,-1+SUMPRODUCT(MAX(ROW(E6600:E$2)*(E6601=E6600:E$2)))))</f>
        <v> </v>
      </c>
      <c r="J6601" s="26" t="str">
        <f>IF(OR(E6601="",E6601="!!!",F6601="NEW"),"",COUNTBLANK(OFFSET(A$1,,,SUMPRODUCT(MAX(ROW(E$2:E6601)*(E6601=E$2:E6601)))))-COUNTBLANK(OFFSET(A$1,,,SUMPRODUCT(MAX(ROW(E$1:E6600)*(E2=E$1:E6600))))))</f>
        <v> </v>
      </c>
      <c r="K6601" s="26" t="str">
        <f>IF(OR(E6601="",E6601="!!!",F6601="NEW"),"",INDEX(J$1:J6600,SUMPRODUCT(MAX(ROW(E$1:E6600)*(E6601=E$1:E6600)))))</f>
        <v> </v>
      </c>
      <c r="L6601" s="27"/>
    </row>
    <row r="6602" spans="1:12">
      <c r="A6602" s="20" t="s">
        <v>1188</v>
      </c>
      <c r="E6602" s="22">
        <f>IF(D6602="?OLD","!!!","")</f>
        <v/>
      </c>
      <c r="F6602" s="23" t="str">
        <f>IF(OR(E6602="",E6602="!!!"),"",IF(NOT(ISNA(VLOOKUP(E6602,E$1:E6601,1,FALSE()))),"OLD",IF(AND(E6602&lt;&gt;"",E6602&lt;&gt;"!!!"),"NEW","")))</f>
        <v> </v>
      </c>
      <c r="G6602" s="24" t="str">
        <f>IF(OR(E6602="",E6602="!!!"),"",IF(OR(J6602=0,AND(J6602=1,K6602=1),AND(J6602=1,I6602="SBJ"),AND(J6602=1,I6602=0)),"?IN_FOCUS",IF(J6602&lt;=2,"?ACTIVATED",IF(J6602&lt;&gt;"","?FAMILIAR",IF(F6602="NEW",IF(ISNA(VLOOKUP(E6602,#REF!,1,FALSE())),"?TYPE_IDENTIFIABLE","?REFERENTIAL"),"_")))))</f>
        <v> </v>
      </c>
      <c r="H6602" s="25" t="str">
        <f>IF(J6602&lt;&gt;1,"",IF(I6602="SBJ","CB","?"))</f>
        <v> </v>
      </c>
      <c r="I6602" s="26" t="str">
        <f>IF(OR(E6602="",E6602="!!!",F6602="NEW"),"",INDEX(B6601:B$2,-1+SUMPRODUCT(MAX(ROW(E6601:E$2)*(E6602=E6601:E$2)))))</f>
        <v> </v>
      </c>
      <c r="J6602" s="26" t="str">
        <f>IF(OR(E6602="",E6602="!!!",F6602="NEW"),"",COUNTBLANK(OFFSET(A$1,,,SUMPRODUCT(MAX(ROW(E$2:E6602)*(E6602=E$2:E6602)))))-COUNTBLANK(OFFSET(A$1,,,SUMPRODUCT(MAX(ROW(E$1:E6601)*(E2=E$1:E6601))))))</f>
        <v> </v>
      </c>
      <c r="K6602" s="26" t="str">
        <f>IF(OR(E6602="",E6602="!!!",F6602="NEW"),"",INDEX(J$1:J6601,SUMPRODUCT(MAX(ROW(E$1:E6601)*(E6602=E$1:E6601)))))</f>
        <v> </v>
      </c>
      <c r="L6602" s="27"/>
    </row>
    <row r="6603" spans="1:12">
      <c r="A6603" s="20" t="s">
        <v>1077</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1482</v>
      </c>
      <c r="B6604" s="21" t="s">
        <v>1121</v>
      </c>
      <c r="C6604" s="21" t="s">
        <v>1119</v>
      </c>
      <c r="D6604" s="21" t="s">
        <v>1065</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1379</v>
      </c>
      <c r="B6605" s="21" t="s">
        <v>1114</v>
      </c>
      <c r="C6605" s="21" t="s">
        <v>1075</v>
      </c>
      <c r="D6605" s="21" t="s">
        <v>1065</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2439</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195</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row>
    <row r="6609" spans="1:12">
      <c r="A6609" s="20" t="s">
        <v>1274</v>
      </c>
    </row>
    <row r="6610" spans="1:12">
      <c r="A6610" s="20" t="s">
        <v>1161</v>
      </c>
      <c r="B6610" s="21" t="s">
        <v>1063</v>
      </c>
      <c r="C6610" s="21" t="s">
        <v>1064</v>
      </c>
      <c r="D6610" s="21" t="s">
        <v>1065</v>
      </c>
      <c r="E6610" s="22">
        <f>IF(D6610="?OLD","!!!","")</f>
        <v/>
      </c>
      <c r="F6610" s="23" t="str">
        <f>IF(OR(E6610="",E6610="!!!"),"",IF(NOT(ISNA(VLOOKUP(E6610,E$1:E6609,1,FALSE()))),"OLD",IF(AND(E6610&lt;&gt;"",E6610&lt;&gt;"!!!"),"NEW","")))</f>
        <v> </v>
      </c>
      <c r="G6610" s="24" t="str">
        <f>IF(OR(E6610="",E6610="!!!"),"",IF(OR(J6610=0,AND(J6610=1,K6610=1),AND(J6610=1,I6610="SBJ"),AND(J6610=1,I6610=0)),"?IN_FOCUS",IF(J6610&lt;=2,"?ACTIVATED",IF(J6610&lt;&gt;"","?FAMILIAR",IF(F6610="NEW",IF(ISNA(VLOOKUP(E6610,#REF!,1,FALSE())),"?TYPE_IDENTIFIABLE","?REFERENTIAL"),"_")))))</f>
        <v> </v>
      </c>
      <c r="H6610" s="25" t="str">
        <f>IF(J6610&lt;&gt;1,"",IF(I6610="SBJ","CB","?"))</f>
        <v> </v>
      </c>
      <c r="I6610" s="26" t="str">
        <f>IF(OR(E6610="",E6610="!!!",F6610="NEW"),"",INDEX(B6609:B$2,-1+SUMPRODUCT(MAX(ROW(E6609:E$2)*(E6610=E6609:E$2)))))</f>
        <v> </v>
      </c>
      <c r="J6610" s="26" t="str">
        <f>IF(OR(E6610="",E6610="!!!",F6610="NEW"),"",COUNTBLANK(OFFSET(A$1,,,SUMPRODUCT(MAX(ROW(E$2:E6610)*(E6610=E$2:E6610)))))-COUNTBLANK(OFFSET(A$1,,,SUMPRODUCT(MAX(ROW(E$1:E6609)*(E2=E$1:E6609))))))</f>
        <v> </v>
      </c>
      <c r="K6610" s="26" t="str">
        <f>IF(OR(E6610="",E6610="!!!",F6610="NEW"),"",INDEX(J$1:J6609,SUMPRODUCT(MAX(ROW(E$1:E6609)*(E6610=E$1:E6609)))))</f>
        <v> </v>
      </c>
      <c r="L6610" s="27"/>
    </row>
    <row r="6611" spans="1:12">
      <c r="A6611" s="20" t="s">
        <v>1067</v>
      </c>
      <c r="E6611" s="22">
        <f>IF(D6611="?OLD","!!!","")</f>
        <v/>
      </c>
      <c r="F6611" s="23" t="str">
        <f>IF(OR(E6611="",E6611="!!!"),"",IF(NOT(ISNA(VLOOKUP(E6611,E$1:E6610,1,FALSE()))),"OLD",IF(AND(E6611&lt;&gt;"",E6611&lt;&gt;"!!!"),"NEW","")))</f>
        <v> </v>
      </c>
      <c r="G6611" s="24" t="str">
        <f>IF(OR(E6611="",E6611="!!!"),"",IF(OR(J6611=0,AND(J6611=1,K6611=1),AND(J6611=1,I6611="SBJ"),AND(J6611=1,I6611=0)),"?IN_FOCUS",IF(J6611&lt;=2,"?ACTIVATED",IF(J6611&lt;&gt;"","?FAMILIAR",IF(F6611="NEW",IF(ISNA(VLOOKUP(E6611,#REF!,1,FALSE())),"?TYPE_IDENTIFIABLE","?REFERENTIAL"),"_")))))</f>
        <v> </v>
      </c>
      <c r="H6611" s="25" t="str">
        <f>IF(J6611&lt;&gt;1,"",IF(I6611="SBJ","CB","?"))</f>
        <v> </v>
      </c>
      <c r="I6611" s="26" t="str">
        <f>IF(OR(E6611="",E6611="!!!",F6611="NEW"),"",INDEX(B6610:B$2,-1+SUMPRODUCT(MAX(ROW(E6610:E$2)*(E6611=E6610:E$2)))))</f>
        <v> </v>
      </c>
      <c r="J6611" s="26" t="str">
        <f>IF(OR(E6611="",E6611="!!!",F6611="NEW"),"",COUNTBLANK(OFFSET(A$1,,,SUMPRODUCT(MAX(ROW(E$2:E6611)*(E6611=E$2:E6611)))))-COUNTBLANK(OFFSET(A$1,,,SUMPRODUCT(MAX(ROW(E$1:E6610)*(E2=E$1:E6610))))))</f>
        <v> </v>
      </c>
      <c r="K6611" s="26" t="str">
        <f>IF(OR(E6611="",E6611="!!!",F6611="NEW"),"",INDEX(J$1:J6610,SUMPRODUCT(MAX(ROW(E$1:E6610)*(E6611=E$1:E6610)))))</f>
        <v> </v>
      </c>
      <c r="L6611" s="27"/>
    </row>
    <row r="6612" spans="1:12">
      <c r="A6612" s="20"/>
    </row>
    <row r="6613" spans="1:12">
      <c r="A6613" s="20" t="s">
        <v>2854</v>
      </c>
    </row>
    <row r="6614" spans="1:12">
      <c r="A6614" s="20" t="s">
        <v>1296</v>
      </c>
      <c r="E6614" s="22">
        <f>IF(D6614="?OLD","!!!","")</f>
        <v/>
      </c>
      <c r="F6614" s="23" t="str">
        <f>IF(OR(E6614="",E6614="!!!"),"",IF(NOT(ISNA(VLOOKUP(E6614,E$1:E6613,1,FALSE()))),"OLD",IF(AND(E6614&lt;&gt;"",E6614&lt;&gt;"!!!"),"NEW","")))</f>
        <v> </v>
      </c>
      <c r="G6614" s="24" t="str">
        <f>IF(OR(E6614="",E6614="!!!"),"",IF(OR(J6614=0,AND(J6614=1,K6614=1),AND(J6614=1,I6614="SBJ"),AND(J6614=1,I6614=0)),"?IN_FOCUS",IF(J6614&lt;=2,"?ACTIVATED",IF(J6614&lt;&gt;"","?FAMILIAR",IF(F6614="NEW",IF(ISNA(VLOOKUP(E6614,#REF!,1,FALSE())),"?TYPE_IDENTIFIABLE","?REFERENTIAL"),"_")))))</f>
        <v> </v>
      </c>
      <c r="H6614" s="25" t="str">
        <f>IF(J6614&lt;&gt;1,"",IF(I6614="SBJ","CB","?"))</f>
        <v> </v>
      </c>
      <c r="I6614" s="26" t="str">
        <f>IF(OR(E6614="",E6614="!!!",F6614="NEW"),"",INDEX(B6613:B$2,-1+SUMPRODUCT(MAX(ROW(E6613:E$2)*(E6614=E6613:E$2)))))</f>
        <v> </v>
      </c>
      <c r="J6614" s="26" t="str">
        <f>IF(OR(E6614="",E6614="!!!",F6614="NEW"),"",COUNTBLANK(OFFSET(A$1,,,SUMPRODUCT(MAX(ROW(E$2:E6614)*(E6614=E$2:E6614)))))-COUNTBLANK(OFFSET(A$1,,,SUMPRODUCT(MAX(ROW(E$1:E6613)*(E2=E$1:E6613))))))</f>
        <v> </v>
      </c>
      <c r="K6614" s="26" t="str">
        <f>IF(OR(E6614="",E6614="!!!",F6614="NEW"),"",INDEX(J$1:J6613,SUMPRODUCT(MAX(ROW(E$1:E6613)*(E6614=E$1:E6613)))))</f>
        <v> </v>
      </c>
      <c r="L6614" s="27"/>
    </row>
    <row r="6615" spans="1:12">
      <c r="A6615" s="20" t="s">
        <v>1077</v>
      </c>
      <c r="E6615" s="22">
        <f>IF(D6615="?OLD","!!!","")</f>
        <v/>
      </c>
      <c r="F6615" s="23" t="str">
        <f>IF(OR(E6615="",E6615="!!!"),"",IF(NOT(ISNA(VLOOKUP(E6615,E$1:E6614,1,FALSE()))),"OLD",IF(AND(E6615&lt;&gt;"",E6615&lt;&gt;"!!!"),"NEW","")))</f>
        <v> </v>
      </c>
      <c r="G6615" s="24" t="str">
        <f>IF(OR(E6615="",E6615="!!!"),"",IF(OR(J6615=0,AND(J6615=1,K6615=1),AND(J6615=1,I6615="SBJ"),AND(J6615=1,I6615=0)),"?IN_FOCUS",IF(J6615&lt;=2,"?ACTIVATED",IF(J6615&lt;&gt;"","?FAMILIAR",IF(F6615="NEW",IF(ISNA(VLOOKUP(E6615,#REF!,1,FALSE())),"?TYPE_IDENTIFIABLE","?REFERENTIAL"),"_")))))</f>
        <v> </v>
      </c>
      <c r="H6615" s="25" t="str">
        <f>IF(J6615&lt;&gt;1,"",IF(I6615="SBJ","CB","?"))</f>
        <v> </v>
      </c>
      <c r="I6615" s="26" t="str">
        <f>IF(OR(E6615="",E6615="!!!",F6615="NEW"),"",INDEX(B6614:B$2,-1+SUMPRODUCT(MAX(ROW(E6614:E$2)*(E6615=E6614:E$2)))))</f>
        <v> </v>
      </c>
      <c r="J6615" s="26" t="str">
        <f>IF(OR(E6615="",E6615="!!!",F6615="NEW"),"",COUNTBLANK(OFFSET(A$1,,,SUMPRODUCT(MAX(ROW(E$2:E6615)*(E6615=E$2:E6615)))))-COUNTBLANK(OFFSET(A$1,,,SUMPRODUCT(MAX(ROW(E$1:E6614)*(E2=E$1:E6614))))))</f>
        <v> </v>
      </c>
      <c r="K6615" s="26" t="str">
        <f>IF(OR(E6615="",E6615="!!!",F6615="NEW"),"",INDEX(J$1:J6614,SUMPRODUCT(MAX(ROW(E$1:E6614)*(E6615=E$1:E6614)))))</f>
        <v> </v>
      </c>
      <c r="L6615" s="27"/>
    </row>
    <row r="6616" spans="1:12">
      <c r="A6616" s="20" t="s">
        <v>2855</v>
      </c>
      <c r="B6616" s="21" t="s">
        <v>1063</v>
      </c>
      <c r="C6616" s="21" t="s">
        <v>1071</v>
      </c>
      <c r="D6616" s="21" t="s">
        <v>1065</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t="s">
        <v>1076</v>
      </c>
      <c r="E6617" s="22">
        <f>IF(D6617="?OLD","!!!","")</f>
        <v/>
      </c>
      <c r="F6617" s="23" t="str">
        <f>IF(OR(E6617="",E6617="!!!"),"",IF(NOT(ISNA(VLOOKUP(E6617,E$1:E6616,1,FALSE()))),"OLD",IF(AND(E6617&lt;&gt;"",E6617&lt;&gt;"!!!"),"NEW","")))</f>
        <v> </v>
      </c>
      <c r="G6617" s="24" t="str">
        <f>IF(OR(E6617="",E6617="!!!"),"",IF(OR(J6617=0,AND(J6617=1,K6617=1),AND(J6617=1,I6617="SBJ"),AND(J6617=1,I6617=0)),"?IN_FOCUS",IF(J6617&lt;=2,"?ACTIVATED",IF(J6617&lt;&gt;"","?FAMILIAR",IF(F6617="NEW",IF(ISNA(VLOOKUP(E6617,#REF!,1,FALSE())),"?TYPE_IDENTIFIABLE","?REFERENTIAL"),"_")))))</f>
        <v> </v>
      </c>
      <c r="H6617" s="25" t="str">
        <f>IF(J6617&lt;&gt;1,"",IF(I6617="SBJ","CB","?"))</f>
        <v> </v>
      </c>
      <c r="I6617" s="26" t="str">
        <f>IF(OR(E6617="",E6617="!!!",F6617="NEW"),"",INDEX(B6616:B$2,-1+SUMPRODUCT(MAX(ROW(E6616:E$2)*(E6617=E6616:E$2)))))</f>
        <v> </v>
      </c>
      <c r="J6617" s="26" t="str">
        <f>IF(OR(E6617="",E6617="!!!",F6617="NEW"),"",COUNTBLANK(OFFSET(A$1,,,SUMPRODUCT(MAX(ROW(E$2:E6617)*(E6617=E$2:E6617)))))-COUNTBLANK(OFFSET(A$1,,,SUMPRODUCT(MAX(ROW(E$1:E6616)*(E2=E$1:E6616))))))</f>
        <v> </v>
      </c>
      <c r="K6617" s="26" t="str">
        <f>IF(OR(E6617="",E6617="!!!",F6617="NEW"),"",INDEX(J$1:J6616,SUMPRODUCT(MAX(ROW(E$1:E6616)*(E6617=E$1:E6616)))))</f>
        <v> </v>
      </c>
      <c r="L6617" s="27"/>
    </row>
    <row r="6618" spans="1:12">
      <c r="A6618" s="20" t="s">
        <v>483</v>
      </c>
      <c r="B6618" s="21" t="s">
        <v>1097</v>
      </c>
      <c r="C6618" s="21" t="s">
        <v>1144</v>
      </c>
      <c r="E6618" s="22">
        <f>IF(D6618="?OLD","!!!","")</f>
        <v/>
      </c>
      <c r="F6618" s="23" t="str">
        <f>IF(OR(E6618="",E6618="!!!"),"",IF(NOT(ISNA(VLOOKUP(E6618,E$1:E6617,1,FALSE()))),"OLD",IF(AND(E6618&lt;&gt;"",E6618&lt;&gt;"!!!"),"NEW","")))</f>
        <v> </v>
      </c>
      <c r="G6618" s="24" t="str">
        <f>IF(OR(E6618="",E6618="!!!"),"",IF(OR(J6618=0,AND(J6618=1,K6618=1),AND(J6618=1,I6618="SBJ"),AND(J6618=1,I6618=0)),"?IN_FOCUS",IF(J6618&lt;=2,"?ACTIVATED",IF(J6618&lt;&gt;"","?FAMILIAR",IF(F6618="NEW",IF(ISNA(VLOOKUP(E6618,#REF!,1,FALSE())),"?TYPE_IDENTIFIABLE","?REFERENTIAL"),"_")))))</f>
        <v> </v>
      </c>
      <c r="H6618" s="25" t="str">
        <f>IF(J6618&lt;&gt;1,"",IF(I6618="SBJ","CB","?"))</f>
        <v> </v>
      </c>
      <c r="I6618" s="26" t="str">
        <f>IF(OR(E6618="",E6618="!!!",F6618="NEW"),"",INDEX(B6617:B$2,-1+SUMPRODUCT(MAX(ROW(E6617:E$2)*(E6618=E6617:E$2)))))</f>
        <v> </v>
      </c>
      <c r="J6618" s="26" t="str">
        <f>IF(OR(E6618="",E6618="!!!",F6618="NEW"),"",COUNTBLANK(OFFSET(A$1,,,SUMPRODUCT(MAX(ROW(E$2:E6618)*(E6618=E$2:E6618)))))-COUNTBLANK(OFFSET(A$1,,,SUMPRODUCT(MAX(ROW(E$1:E6617)*(E2=E$1:E6617))))))</f>
        <v> </v>
      </c>
      <c r="K6618" s="26" t="str">
        <f>IF(OR(E6618="",E6618="!!!",F6618="NEW"),"",INDEX(J$1:J6617,SUMPRODUCT(MAX(ROW(E$1:E6617)*(E6618=E$1:E6617)))))</f>
        <v> </v>
      </c>
      <c r="L6618" s="27"/>
    </row>
    <row r="6619" spans="1:12">
      <c r="A6619" s="20" t="s">
        <v>1088</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1079</v>
      </c>
      <c r="B6620" s="21" t="s">
        <v>1080</v>
      </c>
      <c r="C6620" s="21" t="s">
        <v>1064</v>
      </c>
      <c r="D6620" s="21" t="s">
        <v>1065</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t="s">
        <v>909</v>
      </c>
      <c r="E6621" s="22">
        <f>IF(D6621="?OLD","!!!","")</f>
        <v/>
      </c>
      <c r="F6621" s="23" t="str">
        <f>IF(OR(E6621="",E6621="!!!"),"",IF(NOT(ISNA(VLOOKUP(E6621,E$1:E6620,1,FALSE()))),"OLD",IF(AND(E6621&lt;&gt;"",E6621&lt;&gt;"!!!"),"NEW","")))</f>
        <v> </v>
      </c>
      <c r="G6621" s="24" t="str">
        <f>IF(OR(E6621="",E6621="!!!"),"",IF(OR(J6621=0,AND(J6621=1,K6621=1),AND(J6621=1,I6621="SBJ"),AND(J6621=1,I6621=0)),"?IN_FOCUS",IF(J6621&lt;=2,"?ACTIVATED",IF(J6621&lt;&gt;"","?FAMILIAR",IF(F6621="NEW",IF(ISNA(VLOOKUP(E6621,#REF!,1,FALSE())),"?TYPE_IDENTIFIABLE","?REFERENTIAL"),"_")))))</f>
        <v> </v>
      </c>
      <c r="H6621" s="25" t="str">
        <f>IF(J6621&lt;&gt;1,"",IF(I6621="SBJ","CB","?"))</f>
        <v> </v>
      </c>
      <c r="I6621" s="26" t="str">
        <f>IF(OR(E6621="",E6621="!!!",F6621="NEW"),"",INDEX(B6620:B$2,-1+SUMPRODUCT(MAX(ROW(E6620:E$2)*(E6621=E6620:E$2)))))</f>
        <v> </v>
      </c>
      <c r="J6621" s="26" t="str">
        <f>IF(OR(E6621="",E6621="!!!",F6621="NEW"),"",COUNTBLANK(OFFSET(A$1,,,SUMPRODUCT(MAX(ROW(E$2:E6621)*(E6621=E$2:E6621)))))-COUNTBLANK(OFFSET(A$1,,,SUMPRODUCT(MAX(ROW(E$1:E6620)*(E2=E$1:E6620))))))</f>
        <v> </v>
      </c>
      <c r="K6621" s="26" t="str">
        <f>IF(OR(E6621="",E6621="!!!",F6621="NEW"),"",INDEX(J$1:J6620,SUMPRODUCT(MAX(ROW(E$1:E6620)*(E6621=E$1:E6620)))))</f>
        <v> </v>
      </c>
      <c r="L6621" s="27"/>
    </row>
    <row r="6622" spans="1:12">
      <c r="A6622" s="20" t="s">
        <v>1088</v>
      </c>
      <c r="E6622" s="22">
        <f>IF(D6622="?OLD","!!!","")</f>
        <v/>
      </c>
      <c r="F6622" s="23" t="str">
        <f>IF(OR(E6622="",E6622="!!!"),"",IF(NOT(ISNA(VLOOKUP(E6622,E$1:E6621,1,FALSE()))),"OLD",IF(AND(E6622&lt;&gt;"",E6622&lt;&gt;"!!!"),"NEW","")))</f>
        <v> </v>
      </c>
      <c r="G6622" s="24" t="str">
        <f>IF(OR(E6622="",E6622="!!!"),"",IF(OR(J6622=0,AND(J6622=1,K6622=1),AND(J6622=1,I6622="SBJ"),AND(J6622=1,I6622=0)),"?IN_FOCUS",IF(J6622&lt;=2,"?ACTIVATED",IF(J6622&lt;&gt;"","?FAMILIAR",IF(F6622="NEW",IF(ISNA(VLOOKUP(E6622,#REF!,1,FALSE())),"?TYPE_IDENTIFIABLE","?REFERENTIAL"),"_")))))</f>
        <v> </v>
      </c>
      <c r="H6622" s="25" t="str">
        <f>IF(J6622&lt;&gt;1,"",IF(I6622="SBJ","CB","?"))</f>
        <v> </v>
      </c>
      <c r="I6622" s="26" t="str">
        <f>IF(OR(E6622="",E6622="!!!",F6622="NEW"),"",INDEX(B6621:B$2,-1+SUMPRODUCT(MAX(ROW(E6621:E$2)*(E6622=E6621:E$2)))))</f>
        <v> </v>
      </c>
      <c r="J6622" s="26" t="str">
        <f>IF(OR(E6622="",E6622="!!!",F6622="NEW"),"",COUNTBLANK(OFFSET(A$1,,,SUMPRODUCT(MAX(ROW(E$2:E6622)*(E6622=E$2:E6622)))))-COUNTBLANK(OFFSET(A$1,,,SUMPRODUCT(MAX(ROW(E$1:E6621)*(E2=E$1:E6621))))))</f>
        <v> </v>
      </c>
      <c r="K6622" s="26" t="str">
        <f>IF(OR(E6622="",E6622="!!!",F6622="NEW"),"",INDEX(J$1:J6621,SUMPRODUCT(MAX(ROW(E$1:E6621)*(E6622=E$1:E6621)))))</f>
        <v> </v>
      </c>
      <c r="L6622" s="27"/>
    </row>
    <row r="6623" spans="1:12">
      <c r="A6623" s="20" t="s">
        <v>1204</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2660</v>
      </c>
      <c r="B6624" s="21" t="s">
        <v>1114</v>
      </c>
      <c r="C6624" s="21" t="s">
        <v>1119</v>
      </c>
      <c r="D6624" s="21" t="s">
        <v>1065</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2197</v>
      </c>
      <c r="B6625" s="21" t="s">
        <v>1097</v>
      </c>
      <c r="C6625" s="21" t="s">
        <v>1075</v>
      </c>
      <c r="D6625" s="21" t="s">
        <v>1065</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1076</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2856</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1072</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2209</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1237</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t="s">
        <v>1106</v>
      </c>
      <c r="E6631" s="22">
        <f>IF(D6631="?OLD","!!!","")</f>
        <v/>
      </c>
      <c r="F6631" s="23" t="str">
        <f>IF(OR(E6631="",E6631="!!!"),"",IF(NOT(ISNA(VLOOKUP(E6631,E$1:E6630,1,FALSE()))),"OLD",IF(AND(E6631&lt;&gt;"",E6631&lt;&gt;"!!!"),"NEW","")))</f>
        <v> </v>
      </c>
      <c r="G6631" s="24" t="str">
        <f>IF(OR(E6631="",E6631="!!!"),"",IF(OR(J6631=0,AND(J6631=1,K6631=1),AND(J6631=1,I6631="SBJ"),AND(J6631=1,I6631=0)),"?IN_FOCUS",IF(J6631&lt;=2,"?ACTIVATED",IF(J6631&lt;&gt;"","?FAMILIAR",IF(F6631="NEW",IF(ISNA(VLOOKUP(E6631,#REF!,1,FALSE())),"?TYPE_IDENTIFIABLE","?REFERENTIAL"),"_")))))</f>
        <v> </v>
      </c>
      <c r="H6631" s="25" t="str">
        <f>IF(J6631&lt;&gt;1,"",IF(I6631="SBJ","CB","?"))</f>
        <v> </v>
      </c>
      <c r="I6631" s="26" t="str">
        <f>IF(OR(E6631="",E6631="!!!",F6631="NEW"),"",INDEX(B6630:B$2,-1+SUMPRODUCT(MAX(ROW(E6630:E$2)*(E6631=E6630:E$2)))))</f>
        <v> </v>
      </c>
      <c r="J6631" s="26" t="str">
        <f>IF(OR(E6631="",E6631="!!!",F6631="NEW"),"",COUNTBLANK(OFFSET(A$1,,,SUMPRODUCT(MAX(ROW(E$2:E6631)*(E6631=E$2:E6631)))))-COUNTBLANK(OFFSET(A$1,,,SUMPRODUCT(MAX(ROW(E$1:E6630)*(E2=E$1:E6630))))))</f>
        <v> </v>
      </c>
      <c r="K6631" s="26" t="str">
        <f>IF(OR(E6631="",E6631="!!!",F6631="NEW"),"",INDEX(J$1:J6630,SUMPRODUCT(MAX(ROW(E$1:E6630)*(E6631=E$1:E6630)))))</f>
        <v> </v>
      </c>
      <c r="L6631" s="27"/>
    </row>
    <row r="6632" spans="1:12">
      <c r="A6632" s="20" t="s">
        <v>2857</v>
      </c>
      <c r="B6632" s="21" t="s">
        <v>1063</v>
      </c>
      <c r="C6632" s="21" t="s">
        <v>1064</v>
      </c>
      <c r="D6632" s="21" t="s">
        <v>1065</v>
      </c>
      <c r="E6632" s="22">
        <f>IF(D6632="?OLD","!!!","")</f>
        <v/>
      </c>
      <c r="F6632" s="23" t="str">
        <f>IF(OR(E6632="",E6632="!!!"),"",IF(NOT(ISNA(VLOOKUP(E6632,E$1:E6631,1,FALSE()))),"OLD",IF(AND(E6632&lt;&gt;"",E6632&lt;&gt;"!!!"),"NEW","")))</f>
        <v> </v>
      </c>
      <c r="G6632" s="24" t="str">
        <f>IF(OR(E6632="",E6632="!!!"),"",IF(OR(J6632=0,AND(J6632=1,K6632=1),AND(J6632=1,I6632="SBJ"),AND(J6632=1,I6632=0)),"?IN_FOCUS",IF(J6632&lt;=2,"?ACTIVATED",IF(J6632&lt;&gt;"","?FAMILIAR",IF(F6632="NEW",IF(ISNA(VLOOKUP(E6632,#REF!,1,FALSE())),"?TYPE_IDENTIFIABLE","?REFERENTIAL"),"_")))))</f>
        <v> </v>
      </c>
      <c r="H6632" s="25" t="str">
        <f>IF(J6632&lt;&gt;1,"",IF(I6632="SBJ","CB","?"))</f>
        <v> </v>
      </c>
      <c r="I6632" s="26" t="str">
        <f>IF(OR(E6632="",E6632="!!!",F6632="NEW"),"",INDEX(B6631:B$2,-1+SUMPRODUCT(MAX(ROW(E6631:E$2)*(E6632=E6631:E$2)))))</f>
        <v> </v>
      </c>
      <c r="J6632" s="26" t="str">
        <f>IF(OR(E6632="",E6632="!!!",F6632="NEW"),"",COUNTBLANK(OFFSET(A$1,,,SUMPRODUCT(MAX(ROW(E$2:E6632)*(E6632=E$2:E6632)))))-COUNTBLANK(OFFSET(A$1,,,SUMPRODUCT(MAX(ROW(E$1:E6631)*(E2=E$1:E6631))))))</f>
        <v> </v>
      </c>
      <c r="K6632" s="26" t="str">
        <f>IF(OR(E6632="",E6632="!!!",F6632="NEW"),"",INDEX(J$1:J6631,SUMPRODUCT(MAX(ROW(E$1:E6631)*(E6632=E$1:E6631)))))</f>
        <v> </v>
      </c>
      <c r="L6632" s="27"/>
    </row>
    <row r="6633" spans="1:12">
      <c r="A6633" s="20" t="s">
        <v>1854</v>
      </c>
      <c r="B6633" s="21" t="s">
        <v>1080</v>
      </c>
      <c r="C6633" s="21" t="s">
        <v>1064</v>
      </c>
      <c r="D6633" s="21" t="s">
        <v>1065</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1076</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t="s">
        <v>1213</v>
      </c>
      <c r="E6635" s="22">
        <f>IF(D6635="?OLD","!!!","")</f>
        <v/>
      </c>
      <c r="F6635" s="23" t="str">
        <f>IF(OR(E6635="",E6635="!!!"),"",IF(NOT(ISNA(VLOOKUP(E6635,E$1:E6634,1,FALSE()))),"OLD",IF(AND(E6635&lt;&gt;"",E6635&lt;&gt;"!!!"),"NEW","")))</f>
        <v> </v>
      </c>
      <c r="G6635" s="24" t="str">
        <f>IF(OR(E6635="",E6635="!!!"),"",IF(OR(J6635=0,AND(J6635=1,K6635=1),AND(J6635=1,I6635="SBJ"),AND(J6635=1,I6635=0)),"?IN_FOCUS",IF(J6635&lt;=2,"?ACTIVATED",IF(J6635&lt;&gt;"","?FAMILIAR",IF(F6635="NEW",IF(ISNA(VLOOKUP(E6635,#REF!,1,FALSE())),"?TYPE_IDENTIFIABLE","?REFERENTIAL"),"_")))))</f>
        <v> </v>
      </c>
      <c r="H6635" s="25" t="str">
        <f>IF(J6635&lt;&gt;1,"",IF(I6635="SBJ","CB","?"))</f>
        <v> </v>
      </c>
      <c r="I6635" s="26" t="str">
        <f>IF(OR(E6635="",E6635="!!!",F6635="NEW"),"",INDEX(B6634:B$2,-1+SUMPRODUCT(MAX(ROW(E6634:E$2)*(E6635=E6634:E$2)))))</f>
        <v> </v>
      </c>
      <c r="J6635" s="26" t="str">
        <f>IF(OR(E6635="",E6635="!!!",F6635="NEW"),"",COUNTBLANK(OFFSET(A$1,,,SUMPRODUCT(MAX(ROW(E$2:E6635)*(E6635=E$2:E6635)))))-COUNTBLANK(OFFSET(A$1,,,SUMPRODUCT(MAX(ROW(E$1:E6634)*(E2=E$1:E6634))))))</f>
        <v> </v>
      </c>
      <c r="K6635" s="26" t="str">
        <f>IF(OR(E6635="",E6635="!!!",F6635="NEW"),"",INDEX(J$1:J6634,SUMPRODUCT(MAX(ROW(E$1:E6634)*(E6635=E$1:E6634)))))</f>
        <v> </v>
      </c>
      <c r="L6635" s="27"/>
    </row>
    <row r="6636" spans="1:12">
      <c r="A6636" s="20" t="s">
        <v>1646</v>
      </c>
      <c r="E6636" s="22">
        <f>IF(D6636="?OLD","!!!","")</f>
        <v/>
      </c>
      <c r="F6636" s="23" t="str">
        <f>IF(OR(E6636="",E6636="!!!"),"",IF(NOT(ISNA(VLOOKUP(E6636,E$1:E6635,1,FALSE()))),"OLD",IF(AND(E6636&lt;&gt;"",E6636&lt;&gt;"!!!"),"NEW","")))</f>
        <v> </v>
      </c>
      <c r="G6636" s="24" t="str">
        <f>IF(OR(E6636="",E6636="!!!"),"",IF(OR(J6636=0,AND(J6636=1,K6636=1),AND(J6636=1,I6636="SBJ"),AND(J6636=1,I6636=0)),"?IN_FOCUS",IF(J6636&lt;=2,"?ACTIVATED",IF(J6636&lt;&gt;"","?FAMILIAR",IF(F6636="NEW",IF(ISNA(VLOOKUP(E6636,#REF!,1,FALSE())),"?TYPE_IDENTIFIABLE","?REFERENTIAL"),"_")))))</f>
        <v> </v>
      </c>
      <c r="H6636" s="25" t="str">
        <f>IF(J6636&lt;&gt;1,"",IF(I6636="SBJ","CB","?"))</f>
        <v> </v>
      </c>
      <c r="I6636" s="26" t="str">
        <f>IF(OR(E6636="",E6636="!!!",F6636="NEW"),"",INDEX(B6635:B$2,-1+SUMPRODUCT(MAX(ROW(E6635:E$2)*(E6636=E6635:E$2)))))</f>
        <v> </v>
      </c>
      <c r="J6636" s="26" t="str">
        <f>IF(OR(E6636="",E6636="!!!",F6636="NEW"),"",COUNTBLANK(OFFSET(A$1,,,SUMPRODUCT(MAX(ROW(E$2:E6636)*(E6636=E$2:E6636)))))-COUNTBLANK(OFFSET(A$1,,,SUMPRODUCT(MAX(ROW(E$1:E6635)*(E2=E$1:E6635))))))</f>
        <v> </v>
      </c>
      <c r="K6636" s="26" t="str">
        <f>IF(OR(E6636="",E6636="!!!",F6636="NEW"),"",INDEX(J$1:J6635,SUMPRODUCT(MAX(ROW(E$1:E6635)*(E6636=E$1:E6635)))))</f>
        <v> </v>
      </c>
      <c r="L6636" s="27"/>
    </row>
    <row r="6637" spans="1:12">
      <c r="A6637" s="20" t="s">
        <v>1173</v>
      </c>
      <c r="E6637" s="22">
        <f>IF(D6637="?OLD","!!!","")</f>
        <v/>
      </c>
      <c r="F6637" s="23" t="str">
        <f>IF(OR(E6637="",E6637="!!!"),"",IF(NOT(ISNA(VLOOKUP(E6637,E$1:E6636,1,FALSE()))),"OLD",IF(AND(E6637&lt;&gt;"",E6637&lt;&gt;"!!!"),"NEW","")))</f>
        <v> </v>
      </c>
      <c r="G6637" s="24" t="str">
        <f>IF(OR(E6637="",E6637="!!!"),"",IF(OR(J6637=0,AND(J6637=1,K6637=1),AND(J6637=1,I6637="SBJ"),AND(J6637=1,I6637=0)),"?IN_FOCUS",IF(J6637&lt;=2,"?ACTIVATED",IF(J6637&lt;&gt;"","?FAMILIAR",IF(F6637="NEW",IF(ISNA(VLOOKUP(E6637,#REF!,1,FALSE())),"?TYPE_IDENTIFIABLE","?REFERENTIAL"),"_")))))</f>
        <v> </v>
      </c>
      <c r="H6637" s="25" t="str">
        <f>IF(J6637&lt;&gt;1,"",IF(I6637="SBJ","CB","?"))</f>
        <v> </v>
      </c>
      <c r="I6637" s="26" t="str">
        <f>IF(OR(E6637="",E6637="!!!",F6637="NEW"),"",INDEX(B6636:B$2,-1+SUMPRODUCT(MAX(ROW(E6636:E$2)*(E6637=E6636:E$2)))))</f>
        <v> </v>
      </c>
      <c r="J6637" s="26" t="str">
        <f>IF(OR(E6637="",E6637="!!!",F6637="NEW"),"",COUNTBLANK(OFFSET(A$1,,,SUMPRODUCT(MAX(ROW(E$2:E6637)*(E6637=E$2:E6637)))))-COUNTBLANK(OFFSET(A$1,,,SUMPRODUCT(MAX(ROW(E$1:E6636)*(E2=E$1:E6636))))))</f>
        <v> </v>
      </c>
      <c r="K6637" s="26" t="str">
        <f>IF(OR(E6637="",E6637="!!!",F6637="NEW"),"",INDEX(J$1:J6636,SUMPRODUCT(MAX(ROW(E$1:E6636)*(E6637=E$1:E6636)))))</f>
        <v> </v>
      </c>
      <c r="L6637" s="27"/>
    </row>
    <row r="6638" spans="1:12">
      <c r="A6638" s="20" t="s">
        <v>1419</v>
      </c>
      <c r="B6638" s="21" t="s">
        <v>1063</v>
      </c>
      <c r="C6638" s="21" t="s">
        <v>1064</v>
      </c>
      <c r="D6638" s="21" t="s">
        <v>1065</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1420</v>
      </c>
      <c r="B6639" s="21" t="s">
        <v>1080</v>
      </c>
      <c r="C6639" s="21" t="s">
        <v>1064</v>
      </c>
      <c r="D6639" s="21" t="s">
        <v>1065</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1076</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1106</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2858</v>
      </c>
      <c r="B6642" s="21" t="s">
        <v>1080</v>
      </c>
      <c r="C6642" s="21" t="s">
        <v>1064</v>
      </c>
      <c r="D6642" s="21" t="s">
        <v>1065</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1076</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1106</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1215</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2859</v>
      </c>
      <c r="B6646" s="21" t="s">
        <v>1080</v>
      </c>
      <c r="C6646" s="21" t="s">
        <v>1098</v>
      </c>
      <c r="D6646" s="21" t="s">
        <v>1065</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195</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row>
    <row r="6649" spans="1:12">
      <c r="A6649" s="20" t="s">
        <v>2860</v>
      </c>
    </row>
    <row r="6650" spans="1:12">
      <c r="A6650" s="20" t="s">
        <v>1575</v>
      </c>
      <c r="E6650" s="22">
        <f>IF(D6650="?OLD","!!!","")</f>
        <v/>
      </c>
      <c r="F6650" s="23" t="str">
        <f>IF(OR(E6650="",E6650="!!!"),"",IF(NOT(ISNA(VLOOKUP(E6650,E$1:E6649,1,FALSE()))),"OLD",IF(AND(E6650&lt;&gt;"",E6650&lt;&gt;"!!!"),"NEW","")))</f>
        <v> </v>
      </c>
      <c r="G6650" s="24" t="str">
        <f>IF(OR(E6650="",E6650="!!!"),"",IF(OR(J6650=0,AND(J6650=1,K6650=1),AND(J6650=1,I6650="SBJ"),AND(J6650=1,I6650=0)),"?IN_FOCUS",IF(J6650&lt;=2,"?ACTIVATED",IF(J6650&lt;&gt;"","?FAMILIAR",IF(F6650="NEW",IF(ISNA(VLOOKUP(E6650,#REF!,1,FALSE())),"?TYPE_IDENTIFIABLE","?REFERENTIAL"),"_")))))</f>
        <v> </v>
      </c>
      <c r="H6650" s="25" t="str">
        <f>IF(J6650&lt;&gt;1,"",IF(I6650="SBJ","CB","?"))</f>
        <v> </v>
      </c>
      <c r="I6650" s="26" t="str">
        <f>IF(OR(E6650="",E6650="!!!",F6650="NEW"),"",INDEX(B6649:B$2,-1+SUMPRODUCT(MAX(ROW(E6649:E$2)*(E6650=E6649:E$2)))))</f>
        <v> </v>
      </c>
      <c r="J6650" s="26" t="str">
        <f>IF(OR(E6650="",E6650="!!!",F6650="NEW"),"",COUNTBLANK(OFFSET(A$1,,,SUMPRODUCT(MAX(ROW(E$2:E6650)*(E6650=E$2:E6650)))))-COUNTBLANK(OFFSET(A$1,,,SUMPRODUCT(MAX(ROW(E$1:E6649)*(E2=E$1:E6649))))))</f>
        <v> </v>
      </c>
      <c r="K6650" s="26" t="str">
        <f>IF(OR(E6650="",E6650="!!!",F6650="NEW"),"",INDEX(J$1:J6649,SUMPRODUCT(MAX(ROW(E$1:E6649)*(E6650=E$1:E6649)))))</f>
        <v> </v>
      </c>
      <c r="L6650" s="27"/>
    </row>
    <row r="6651" spans="1:12">
      <c r="A6651" s="20" t="s">
        <v>2528</v>
      </c>
      <c r="E6651" s="22">
        <f>IF(D6651="?OLD","!!!","")</f>
        <v/>
      </c>
      <c r="F6651" s="23" t="str">
        <f>IF(OR(E6651="",E6651="!!!"),"",IF(NOT(ISNA(VLOOKUP(E6651,E$1:E6650,1,FALSE()))),"OLD",IF(AND(E6651&lt;&gt;"",E6651&lt;&gt;"!!!"),"NEW","")))</f>
        <v> </v>
      </c>
      <c r="G6651" s="24" t="str">
        <f>IF(OR(E6651="",E6651="!!!"),"",IF(OR(J6651=0,AND(J6651=1,K6651=1),AND(J6651=1,I6651="SBJ"),AND(J6651=1,I6651=0)),"?IN_FOCUS",IF(J6651&lt;=2,"?ACTIVATED",IF(J6651&lt;&gt;"","?FAMILIAR",IF(F6651="NEW",IF(ISNA(VLOOKUP(E6651,#REF!,1,FALSE())),"?TYPE_IDENTIFIABLE","?REFERENTIAL"),"_")))))</f>
        <v> </v>
      </c>
      <c r="H6651" s="25" t="str">
        <f>IF(J6651&lt;&gt;1,"",IF(I6651="SBJ","CB","?"))</f>
        <v> </v>
      </c>
      <c r="I6651" s="26" t="str">
        <f>IF(OR(E6651="",E6651="!!!",F6651="NEW"),"",INDEX(B6650:B$2,-1+SUMPRODUCT(MAX(ROW(E6650:E$2)*(E6651=E6650:E$2)))))</f>
        <v> </v>
      </c>
      <c r="J6651" s="26" t="str">
        <f>IF(OR(E6651="",E6651="!!!",F6651="NEW"),"",COUNTBLANK(OFFSET(A$1,,,SUMPRODUCT(MAX(ROW(E$2:E6651)*(E6651=E$2:E6651)))))-COUNTBLANK(OFFSET(A$1,,,SUMPRODUCT(MAX(ROW(E$1:E6650)*(E2=E$1:E6650))))))</f>
        <v> </v>
      </c>
      <c r="K6651" s="26" t="str">
        <f>IF(OR(E6651="",E6651="!!!",F6651="NEW"),"",INDEX(J$1:J6650,SUMPRODUCT(MAX(ROW(E$1:E6650)*(E6651=E$1:E6650)))))</f>
        <v> </v>
      </c>
      <c r="L6651" s="27"/>
    </row>
    <row r="6652" spans="1:12">
      <c r="A6652" s="20" t="s">
        <v>1076</v>
      </c>
      <c r="E6652" s="22">
        <f>IF(D6652="?OLD","!!!","")</f>
        <v/>
      </c>
      <c r="F6652" s="23" t="str">
        <f>IF(OR(E6652="",E6652="!!!"),"",IF(NOT(ISNA(VLOOKUP(E6652,E$1:E6651,1,FALSE()))),"OLD",IF(AND(E6652&lt;&gt;"",E6652&lt;&gt;"!!!"),"NEW","")))</f>
        <v> </v>
      </c>
      <c r="G6652" s="24" t="str">
        <f>IF(OR(E6652="",E6652="!!!"),"",IF(OR(J6652=0,AND(J6652=1,K6652=1),AND(J6652=1,I6652="SBJ"),AND(J6652=1,I6652=0)),"?IN_FOCUS",IF(J6652&lt;=2,"?ACTIVATED",IF(J6652&lt;&gt;"","?FAMILIAR",IF(F6652="NEW",IF(ISNA(VLOOKUP(E6652,#REF!,1,FALSE())),"?TYPE_IDENTIFIABLE","?REFERENTIAL"),"_")))))</f>
        <v> </v>
      </c>
      <c r="H6652" s="25" t="str">
        <f>IF(J6652&lt;&gt;1,"",IF(I6652="SBJ","CB","?"))</f>
        <v> </v>
      </c>
      <c r="I6652" s="26" t="str">
        <f>IF(OR(E6652="",E6652="!!!",F6652="NEW"),"",INDEX(B6651:B$2,-1+SUMPRODUCT(MAX(ROW(E6651:E$2)*(E6652=E6651:E$2)))))</f>
        <v> </v>
      </c>
      <c r="J6652" s="26" t="str">
        <f>IF(OR(E6652="",E6652="!!!",F6652="NEW"),"",COUNTBLANK(OFFSET(A$1,,,SUMPRODUCT(MAX(ROW(E$2:E6652)*(E6652=E$2:E6652)))))-COUNTBLANK(OFFSET(A$1,,,SUMPRODUCT(MAX(ROW(E$1:E6651)*(E2=E$1:E6651))))))</f>
        <v> </v>
      </c>
      <c r="K6652" s="26" t="str">
        <f>IF(OR(E6652="",E6652="!!!",F6652="NEW"),"",INDEX(J$1:J6651,SUMPRODUCT(MAX(ROW(E$1:E6651)*(E6652=E$1:E6651)))))</f>
        <v> </v>
      </c>
      <c r="L6652" s="27"/>
    </row>
    <row r="6653" spans="1:12">
      <c r="A6653" s="20" t="s">
        <v>2861</v>
      </c>
      <c r="B6653" s="21" t="s">
        <v>1063</v>
      </c>
      <c r="C6653" s="21" t="s">
        <v>1144</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t="s">
        <v>1076</v>
      </c>
      <c r="E6654" s="22">
        <f>IF(D6654="?OLD","!!!","")</f>
        <v/>
      </c>
      <c r="F6654" s="23" t="str">
        <f>IF(OR(E6654="",E6654="!!!"),"",IF(NOT(ISNA(VLOOKUP(E6654,E$1:E6653,1,FALSE()))),"OLD",IF(AND(E6654&lt;&gt;"",E6654&lt;&gt;"!!!"),"NEW","")))</f>
        <v> </v>
      </c>
      <c r="G6654" s="24" t="str">
        <f>IF(OR(E6654="",E6654="!!!"),"",IF(OR(J6654=0,AND(J6654=1,K6654=1),AND(J6654=1,I6654="SBJ"),AND(J6654=1,I6654=0)),"?IN_FOCUS",IF(J6654&lt;=2,"?ACTIVATED",IF(J6654&lt;&gt;"","?FAMILIAR",IF(F6654="NEW",IF(ISNA(VLOOKUP(E6654,#REF!,1,FALSE())),"?TYPE_IDENTIFIABLE","?REFERENTIAL"),"_")))))</f>
        <v> </v>
      </c>
      <c r="H6654" s="25" t="str">
        <f>IF(J6654&lt;&gt;1,"",IF(I6654="SBJ","CB","?"))</f>
        <v> </v>
      </c>
      <c r="I6654" s="26" t="str">
        <f>IF(OR(E6654="",E6654="!!!",F6654="NEW"),"",INDEX(B6653:B$2,-1+SUMPRODUCT(MAX(ROW(E6653:E$2)*(E6654=E6653:E$2)))))</f>
        <v> </v>
      </c>
      <c r="J6654" s="26" t="str">
        <f>IF(OR(E6654="",E6654="!!!",F6654="NEW"),"",COUNTBLANK(OFFSET(A$1,,,SUMPRODUCT(MAX(ROW(E$2:E6654)*(E6654=E$2:E6654)))))-COUNTBLANK(OFFSET(A$1,,,SUMPRODUCT(MAX(ROW(E$1:E6653)*(E2=E$1:E6653))))))</f>
        <v> </v>
      </c>
      <c r="K6654" s="26" t="str">
        <f>IF(OR(E6654="",E6654="!!!",F6654="NEW"),"",INDEX(J$1:J6653,SUMPRODUCT(MAX(ROW(E$1:E6653)*(E6654=E$1:E6653)))))</f>
        <v> </v>
      </c>
      <c r="L6654" s="27"/>
    </row>
    <row r="6655" spans="1:12">
      <c r="A6655" s="20" t="s">
        <v>1141</v>
      </c>
      <c r="B6655" s="21" t="s">
        <v>1123</v>
      </c>
      <c r="C6655" s="21" t="s">
        <v>1140</v>
      </c>
      <c r="E6655" s="22">
        <f>IF(D6655="?OLD","!!!","")</f>
        <v/>
      </c>
      <c r="F6655" s="23" t="str">
        <f>IF(OR(E6655="",E6655="!!!"),"",IF(NOT(ISNA(VLOOKUP(E6655,E$1:E6654,1,FALSE()))),"OLD",IF(AND(E6655&lt;&gt;"",E6655&lt;&gt;"!!!"),"NEW","")))</f>
        <v> </v>
      </c>
      <c r="G6655" s="24" t="str">
        <f>IF(OR(E6655="",E6655="!!!"),"",IF(OR(J6655=0,AND(J6655=1,K6655=1),AND(J6655=1,I6655="SBJ"),AND(J6655=1,I6655=0)),"?IN_FOCUS",IF(J6655&lt;=2,"?ACTIVATED",IF(J6655&lt;&gt;"","?FAMILIAR",IF(F6655="NEW",IF(ISNA(VLOOKUP(E6655,#REF!,1,FALSE())),"?TYPE_IDENTIFIABLE","?REFERENTIAL"),"_")))))</f>
        <v> </v>
      </c>
      <c r="H6655" s="25" t="str">
        <f>IF(J6655&lt;&gt;1,"",IF(I6655="SBJ","CB","?"))</f>
        <v> </v>
      </c>
      <c r="I6655" s="26" t="str">
        <f>IF(OR(E6655="",E6655="!!!",F6655="NEW"),"",INDEX(B6654:B$2,-1+SUMPRODUCT(MAX(ROW(E6654:E$2)*(E6655=E6654:E$2)))))</f>
        <v> </v>
      </c>
      <c r="J6655" s="26" t="str">
        <f>IF(OR(E6655="",E6655="!!!",F6655="NEW"),"",COUNTBLANK(OFFSET(A$1,,,SUMPRODUCT(MAX(ROW(E$2:E6655)*(E6655=E$2:E6655)))))-COUNTBLANK(OFFSET(A$1,,,SUMPRODUCT(MAX(ROW(E$1:E6654)*(E2=E$1:E6654))))))</f>
        <v> </v>
      </c>
      <c r="K6655" s="26" t="str">
        <f>IF(OR(E6655="",E6655="!!!",F6655="NEW"),"",INDEX(J$1:J6654,SUMPRODUCT(MAX(ROW(E$1:E6654)*(E6655=E$1:E6654)))))</f>
        <v> </v>
      </c>
      <c r="L6655" s="27"/>
    </row>
    <row r="6656" spans="1:12">
      <c r="A6656" s="20" t="s">
        <v>671</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2489</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1145</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row>
    <row r="6660" spans="1:12">
      <c r="A6660" s="20" t="s">
        <v>1191</v>
      </c>
    </row>
    <row r="6661" spans="1:12">
      <c r="A6661" s="20" t="s">
        <v>1192</v>
      </c>
      <c r="B6661" s="21" t="s">
        <v>1063</v>
      </c>
      <c r="C6661" s="21" t="s">
        <v>1064</v>
      </c>
      <c r="D6661" s="21" t="s">
        <v>1065</v>
      </c>
      <c r="E6661" s="22">
        <f>IF(D6661="?OLD","!!!","")</f>
        <v/>
      </c>
      <c r="F6661" s="23" t="str">
        <f>IF(OR(E6661="",E6661="!!!"),"",IF(NOT(ISNA(VLOOKUP(E6661,E$1:E6660,1,FALSE()))),"OLD",IF(AND(E6661&lt;&gt;"",E6661&lt;&gt;"!!!"),"NEW","")))</f>
        <v> </v>
      </c>
      <c r="G6661" s="24" t="str">
        <f>IF(OR(E6661="",E6661="!!!"),"",IF(OR(J6661=0,AND(J6661=1,K6661=1),AND(J6661=1,I6661="SBJ"),AND(J6661=1,I6661=0)),"?IN_FOCUS",IF(J6661&lt;=2,"?ACTIVATED",IF(J6661&lt;&gt;"","?FAMILIAR",IF(F6661="NEW",IF(ISNA(VLOOKUP(E6661,#REF!,1,FALSE())),"?TYPE_IDENTIFIABLE","?REFERENTIAL"),"_")))))</f>
        <v> </v>
      </c>
      <c r="H6661" s="25" t="str">
        <f>IF(J6661&lt;&gt;1,"",IF(I6661="SBJ","CB","?"))</f>
        <v> </v>
      </c>
      <c r="I6661" s="26" t="str">
        <f>IF(OR(E6661="",E6661="!!!",F6661="NEW"),"",INDEX(B6660:B$2,-1+SUMPRODUCT(MAX(ROW(E6660:E$2)*(E6661=E6660:E$2)))))</f>
        <v> </v>
      </c>
      <c r="J6661" s="26" t="str">
        <f>IF(OR(E6661="",E6661="!!!",F6661="NEW"),"",COUNTBLANK(OFFSET(A$1,,,SUMPRODUCT(MAX(ROW(E$2:E6661)*(E6661=E$2:E6661)))))-COUNTBLANK(OFFSET(A$1,,,SUMPRODUCT(MAX(ROW(E$1:E6660)*(E2=E$1:E6660))))))</f>
        <v> </v>
      </c>
      <c r="K6661" s="26" t="str">
        <f>IF(OR(E6661="",E6661="!!!",F6661="NEW"),"",INDEX(J$1:J6660,SUMPRODUCT(MAX(ROW(E$1:E6660)*(E6661=E$1:E6660)))))</f>
        <v> </v>
      </c>
      <c r="L6661" s="27"/>
    </row>
    <row r="6662" spans="1:12">
      <c r="A6662" s="20" t="s">
        <v>1067</v>
      </c>
      <c r="E6662" s="22">
        <f>IF(D6662="?OLD","!!!","")</f>
        <v/>
      </c>
      <c r="F6662" s="23" t="str">
        <f>IF(OR(E6662="",E6662="!!!"),"",IF(NOT(ISNA(VLOOKUP(E6662,E$1:E6661,1,FALSE()))),"OLD",IF(AND(E6662&lt;&gt;"",E6662&lt;&gt;"!!!"),"NEW","")))</f>
        <v> </v>
      </c>
      <c r="G6662" s="24" t="str">
        <f>IF(OR(E6662="",E6662="!!!"),"",IF(OR(J6662=0,AND(J6662=1,K6662=1),AND(J6662=1,I6662="SBJ"),AND(J6662=1,I6662=0)),"?IN_FOCUS",IF(J6662&lt;=2,"?ACTIVATED",IF(J6662&lt;&gt;"","?FAMILIAR",IF(F6662="NEW",IF(ISNA(VLOOKUP(E6662,#REF!,1,FALSE())),"?TYPE_IDENTIFIABLE","?REFERENTIAL"),"_")))))</f>
        <v> </v>
      </c>
      <c r="H6662" s="25" t="str">
        <f>IF(J6662&lt;&gt;1,"",IF(I6662="SBJ","CB","?"))</f>
        <v> </v>
      </c>
      <c r="I6662" s="26" t="str">
        <f>IF(OR(E6662="",E6662="!!!",F6662="NEW"),"",INDEX(B6661:B$2,-1+SUMPRODUCT(MAX(ROW(E6661:E$2)*(E6662=E6661:E$2)))))</f>
        <v> </v>
      </c>
      <c r="J6662" s="26" t="str">
        <f>IF(OR(E6662="",E6662="!!!",F6662="NEW"),"",COUNTBLANK(OFFSET(A$1,,,SUMPRODUCT(MAX(ROW(E$2:E6662)*(E6662=E$2:E6662)))))-COUNTBLANK(OFFSET(A$1,,,SUMPRODUCT(MAX(ROW(E$1:E6661)*(E2=E$1:E6661))))))</f>
        <v> </v>
      </c>
      <c r="K6662" s="26" t="str">
        <f>IF(OR(E6662="",E6662="!!!",F6662="NEW"),"",INDEX(J$1:J6661,SUMPRODUCT(MAX(ROW(E$1:E6661)*(E6662=E$1:E6661)))))</f>
        <v> </v>
      </c>
      <c r="L6662" s="27"/>
    </row>
    <row r="6663" spans="1:12">
      <c r="A6663" s="20"/>
    </row>
    <row r="6664" spans="1:12">
      <c r="A6664" s="20" t="s">
        <v>2862</v>
      </c>
    </row>
    <row r="6665" spans="1:12">
      <c r="A6665" s="20" t="s">
        <v>1502</v>
      </c>
      <c r="E6665" s="22">
        <f>IF(D6665="?OLD","!!!","")</f>
        <v/>
      </c>
      <c r="F6665" s="23" t="str">
        <f>IF(OR(E6665="",E6665="!!!"),"",IF(NOT(ISNA(VLOOKUP(E6665,E$1:E6664,1,FALSE()))),"OLD",IF(AND(E6665&lt;&gt;"",E6665&lt;&gt;"!!!"),"NEW","")))</f>
        <v> </v>
      </c>
      <c r="G6665" s="24" t="str">
        <f>IF(OR(E6665="",E6665="!!!"),"",IF(OR(J6665=0,AND(J6665=1,K6665=1),AND(J6665=1,I6665="SBJ"),AND(J6665=1,I6665=0)),"?IN_FOCUS",IF(J6665&lt;=2,"?ACTIVATED",IF(J6665&lt;&gt;"","?FAMILIAR",IF(F6665="NEW",IF(ISNA(VLOOKUP(E6665,#REF!,1,FALSE())),"?TYPE_IDENTIFIABLE","?REFERENTIAL"),"_")))))</f>
        <v> </v>
      </c>
      <c r="H6665" s="25" t="str">
        <f>IF(J6665&lt;&gt;1,"",IF(I6665="SBJ","CB","?"))</f>
        <v> </v>
      </c>
      <c r="I6665" s="26" t="str">
        <f>IF(OR(E6665="",E6665="!!!",F6665="NEW"),"",INDEX(B6664:B$2,-1+SUMPRODUCT(MAX(ROW(E6664:E$2)*(E6665=E6664:E$2)))))</f>
        <v> </v>
      </c>
      <c r="J6665" s="26" t="str">
        <f>IF(OR(E6665="",E6665="!!!",F6665="NEW"),"",COUNTBLANK(OFFSET(A$1,,,SUMPRODUCT(MAX(ROW(E$2:E6665)*(E6665=E$2:E6665)))))-COUNTBLANK(OFFSET(A$1,,,SUMPRODUCT(MAX(ROW(E$1:E6664)*(E2=E$1:E6664))))))</f>
        <v> </v>
      </c>
      <c r="K6665" s="26" t="str">
        <f>IF(OR(E6665="",E6665="!!!",F6665="NEW"),"",INDEX(J$1:J6664,SUMPRODUCT(MAX(ROW(E$1:E6664)*(E6665=E$1:E6664)))))</f>
        <v> </v>
      </c>
      <c r="L6665" s="27"/>
    </row>
    <row r="6666" spans="1:12">
      <c r="A6666" s="20" t="s">
        <v>2858</v>
      </c>
      <c r="B6666" s="21" t="s">
        <v>1150</v>
      </c>
      <c r="C6666" s="21" t="s">
        <v>1064</v>
      </c>
      <c r="D6666" s="21" t="s">
        <v>1065</v>
      </c>
      <c r="E6666" s="22">
        <f>IF(D6666="?OLD","!!!","")</f>
        <v/>
      </c>
      <c r="F6666" s="23" t="str">
        <f>IF(OR(E6666="",E6666="!!!"),"",IF(NOT(ISNA(VLOOKUP(E6666,E$1:E6665,1,FALSE()))),"OLD",IF(AND(E6666&lt;&gt;"",E6666&lt;&gt;"!!!"),"NEW","")))</f>
        <v> </v>
      </c>
      <c r="G6666" s="24" t="str">
        <f>IF(OR(E6666="",E6666="!!!"),"",IF(OR(J6666=0,AND(J6666=1,K6666=1),AND(J6666=1,I6666="SBJ"),AND(J6666=1,I6666=0)),"?IN_FOCUS",IF(J6666&lt;=2,"?ACTIVATED",IF(J6666&lt;&gt;"","?FAMILIAR",IF(F6666="NEW",IF(ISNA(VLOOKUP(E6666,#REF!,1,FALSE())),"?TYPE_IDENTIFIABLE","?REFERENTIAL"),"_")))))</f>
        <v> </v>
      </c>
      <c r="H6666" s="25" t="str">
        <f>IF(J6666&lt;&gt;1,"",IF(I6666="SBJ","CB","?"))</f>
        <v> </v>
      </c>
      <c r="I6666" s="26" t="str">
        <f>IF(OR(E6666="",E6666="!!!",F6666="NEW"),"",INDEX(B6665:B$2,-1+SUMPRODUCT(MAX(ROW(E6665:E$2)*(E6666=E6665:E$2)))))</f>
        <v> </v>
      </c>
      <c r="J6666" s="26" t="str">
        <f>IF(OR(E6666="",E6666="!!!",F6666="NEW"),"",COUNTBLANK(OFFSET(A$1,,,SUMPRODUCT(MAX(ROW(E$2:E6666)*(E6666=E$2:E6666)))))-COUNTBLANK(OFFSET(A$1,,,SUMPRODUCT(MAX(ROW(E$1:E6665)*(E2=E$1:E6665))))))</f>
        <v> </v>
      </c>
      <c r="K6666" s="26" t="str">
        <f>IF(OR(E6666="",E6666="!!!",F6666="NEW"),"",INDEX(J$1:J6665,SUMPRODUCT(MAX(ROW(E$1:E6665)*(E6666=E$1:E6665)))))</f>
        <v> </v>
      </c>
      <c r="L6666" s="27"/>
    </row>
    <row r="6667" spans="1:12">
      <c r="A6667" s="20" t="s">
        <v>1214</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t="s">
        <v>2863</v>
      </c>
      <c r="E6668" s="22">
        <f>IF(D6668="?OLD","!!!","")</f>
        <v/>
      </c>
      <c r="F6668" s="23" t="str">
        <f>IF(OR(E6668="",E6668="!!!"),"",IF(NOT(ISNA(VLOOKUP(E6668,E$1:E6667,1,FALSE()))),"OLD",IF(AND(E6668&lt;&gt;"",E6668&lt;&gt;"!!!"),"NEW","")))</f>
        <v> </v>
      </c>
      <c r="G6668" s="24" t="str">
        <f>IF(OR(E6668="",E6668="!!!"),"",IF(OR(J6668=0,AND(J6668=1,K6668=1),AND(J6668=1,I6668="SBJ"),AND(J6668=1,I6668=0)),"?IN_FOCUS",IF(J6668&lt;=2,"?ACTIVATED",IF(J6668&lt;&gt;"","?FAMILIAR",IF(F6668="NEW",IF(ISNA(VLOOKUP(E6668,#REF!,1,FALSE())),"?TYPE_IDENTIFIABLE","?REFERENTIAL"),"_")))))</f>
        <v> </v>
      </c>
      <c r="H6668" s="25" t="str">
        <f>IF(J6668&lt;&gt;1,"",IF(I6668="SBJ","CB","?"))</f>
        <v> </v>
      </c>
      <c r="I6668" s="26" t="str">
        <f>IF(OR(E6668="",E6668="!!!",F6668="NEW"),"",INDEX(B6667:B$2,-1+SUMPRODUCT(MAX(ROW(E6667:E$2)*(E6668=E6667:E$2)))))</f>
        <v> </v>
      </c>
      <c r="J6668" s="26" t="str">
        <f>IF(OR(E6668="",E6668="!!!",F6668="NEW"),"",COUNTBLANK(OFFSET(A$1,,,SUMPRODUCT(MAX(ROW(E$2:E6668)*(E6668=E$2:E6668)))))-COUNTBLANK(OFFSET(A$1,,,SUMPRODUCT(MAX(ROW(E$1:E6667)*(E2=E$1:E6667))))))</f>
        <v> </v>
      </c>
      <c r="K6668" s="26" t="str">
        <f>IF(OR(E6668="",E6668="!!!",F6668="NEW"),"",INDEX(J$1:J6667,SUMPRODUCT(MAX(ROW(E$1:E6667)*(E6668=E$1:E6667)))))</f>
        <v> </v>
      </c>
      <c r="L6668" s="27"/>
    </row>
    <row r="6669" spans="1:12">
      <c r="A6669" s="20" t="s">
        <v>1111</v>
      </c>
      <c r="E6669" s="22">
        <f>IF(D6669="?OLD","!!!","")</f>
        <v/>
      </c>
      <c r="F6669" s="23" t="str">
        <f>IF(OR(E6669="",E6669="!!!"),"",IF(NOT(ISNA(VLOOKUP(E6669,E$1:E6668,1,FALSE()))),"OLD",IF(AND(E6669&lt;&gt;"",E6669&lt;&gt;"!!!"),"NEW","")))</f>
        <v> </v>
      </c>
      <c r="G6669" s="24" t="str">
        <f>IF(OR(E6669="",E6669="!!!"),"",IF(OR(J6669=0,AND(J6669=1,K6669=1),AND(J6669=1,I6669="SBJ"),AND(J6669=1,I6669=0)),"?IN_FOCUS",IF(J6669&lt;=2,"?ACTIVATED",IF(J6669&lt;&gt;"","?FAMILIAR",IF(F6669="NEW",IF(ISNA(VLOOKUP(E6669,#REF!,1,FALSE())),"?TYPE_IDENTIFIABLE","?REFERENTIAL"),"_")))))</f>
        <v> </v>
      </c>
      <c r="H6669" s="25" t="str">
        <f>IF(J6669&lt;&gt;1,"",IF(I6669="SBJ","CB","?"))</f>
        <v> </v>
      </c>
      <c r="I6669" s="26" t="str">
        <f>IF(OR(E6669="",E6669="!!!",F6669="NEW"),"",INDEX(B6668:B$2,-1+SUMPRODUCT(MAX(ROW(E6668:E$2)*(E6669=E6668:E$2)))))</f>
        <v> </v>
      </c>
      <c r="J6669" s="26" t="str">
        <f>IF(OR(E6669="",E6669="!!!",F6669="NEW"),"",COUNTBLANK(OFFSET(A$1,,,SUMPRODUCT(MAX(ROW(E$2:E6669)*(E6669=E$2:E6669)))))-COUNTBLANK(OFFSET(A$1,,,SUMPRODUCT(MAX(ROW(E$1:E6668)*(E2=E$1:E6668))))))</f>
        <v> </v>
      </c>
      <c r="K6669" s="26" t="str">
        <f>IF(OR(E6669="",E6669="!!!",F6669="NEW"),"",INDEX(J$1:J6668,SUMPRODUCT(MAX(ROW(E$1:E6668)*(E6669=E$1:E6668)))))</f>
        <v> </v>
      </c>
      <c r="L6669" s="27"/>
    </row>
    <row r="6670" spans="1:12">
      <c r="A6670" s="20" t="s">
        <v>1272</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1203</v>
      </c>
      <c r="B6671" s="21" t="s">
        <v>1063</v>
      </c>
      <c r="C6671" s="21" t="s">
        <v>1151</v>
      </c>
      <c r="D6671" s="21" t="s">
        <v>1065</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t="s">
        <v>1322</v>
      </c>
      <c r="B6672" s="21" t="s">
        <v>1154</v>
      </c>
      <c r="C6672" s="21" t="s">
        <v>1151</v>
      </c>
      <c r="D6672" s="21" t="s">
        <v>1065</v>
      </c>
      <c r="E6672" s="22">
        <f>IF(D6672="?OLD","!!!","")</f>
        <v/>
      </c>
      <c r="F6672" s="23" t="str">
        <f>IF(OR(E6672="",E6672="!!!"),"",IF(NOT(ISNA(VLOOKUP(E6672,E$1:E6671,1,FALSE()))),"OLD",IF(AND(E6672&lt;&gt;"",E6672&lt;&gt;"!!!"),"NEW","")))</f>
        <v> </v>
      </c>
      <c r="G6672" s="24" t="str">
        <f>IF(OR(E6672="",E6672="!!!"),"",IF(OR(J6672=0,AND(J6672=1,K6672=1),AND(J6672=1,I6672="SBJ"),AND(J6672=1,I6672=0)),"?IN_FOCUS",IF(J6672&lt;=2,"?ACTIVATED",IF(J6672&lt;&gt;"","?FAMILIAR",IF(F6672="NEW",IF(ISNA(VLOOKUP(E6672,#REF!,1,FALSE())),"?TYPE_IDENTIFIABLE","?REFERENTIAL"),"_")))))</f>
        <v> </v>
      </c>
      <c r="H6672" s="25" t="str">
        <f>IF(J6672&lt;&gt;1,"",IF(I6672="SBJ","CB","?"))</f>
        <v> </v>
      </c>
      <c r="I6672" s="26" t="str">
        <f>IF(OR(E6672="",E6672="!!!",F6672="NEW"),"",INDEX(B6671:B$2,-1+SUMPRODUCT(MAX(ROW(E6671:E$2)*(E6672=E6671:E$2)))))</f>
        <v> </v>
      </c>
      <c r="J6672" s="26" t="str">
        <f>IF(OR(E6672="",E6672="!!!",F6672="NEW"),"",COUNTBLANK(OFFSET(A$1,,,SUMPRODUCT(MAX(ROW(E$2:E6672)*(E6672=E$2:E6672)))))-COUNTBLANK(OFFSET(A$1,,,SUMPRODUCT(MAX(ROW(E$1:E6671)*(E2=E$1:E6671))))))</f>
        <v> </v>
      </c>
      <c r="K6672" s="26" t="str">
        <f>IF(OR(E6672="",E6672="!!!",F6672="NEW"),"",INDEX(J$1:J6671,SUMPRODUCT(MAX(ROW(E$1:E6671)*(E6672=E$1:E6671)))))</f>
        <v> </v>
      </c>
      <c r="L6672" s="27"/>
    </row>
    <row r="6673" spans="1:12">
      <c r="A6673" s="20" t="s">
        <v>2864</v>
      </c>
      <c r="E6673" s="22">
        <f>IF(D6673="?OLD","!!!","")</f>
        <v/>
      </c>
      <c r="F6673" s="23" t="str">
        <f>IF(OR(E6673="",E6673="!!!"),"",IF(NOT(ISNA(VLOOKUP(E6673,E$1:E6672,1,FALSE()))),"OLD",IF(AND(E6673&lt;&gt;"",E6673&lt;&gt;"!!!"),"NEW","")))</f>
        <v> </v>
      </c>
      <c r="G6673" s="24" t="str">
        <f>IF(OR(E6673="",E6673="!!!"),"",IF(OR(J6673=0,AND(J6673=1,K6673=1),AND(J6673=1,I6673="SBJ"),AND(J6673=1,I6673=0)),"?IN_FOCUS",IF(J6673&lt;=2,"?ACTIVATED",IF(J6673&lt;&gt;"","?FAMILIAR",IF(F6673="NEW",IF(ISNA(VLOOKUP(E6673,#REF!,1,FALSE())),"?TYPE_IDENTIFIABLE","?REFERENTIAL"),"_")))))</f>
        <v> </v>
      </c>
      <c r="H6673" s="25" t="str">
        <f>IF(J6673&lt;&gt;1,"",IF(I6673="SBJ","CB","?"))</f>
        <v> </v>
      </c>
      <c r="I6673" s="26" t="str">
        <f>IF(OR(E6673="",E6673="!!!",F6673="NEW"),"",INDEX(B6672:B$2,-1+SUMPRODUCT(MAX(ROW(E6672:E$2)*(E6673=E6672:E$2)))))</f>
        <v> </v>
      </c>
      <c r="J6673" s="26" t="str">
        <f>IF(OR(E6673="",E6673="!!!",F6673="NEW"),"",COUNTBLANK(OFFSET(A$1,,,SUMPRODUCT(MAX(ROW(E$2:E6673)*(E6673=E$2:E6673)))))-COUNTBLANK(OFFSET(A$1,,,SUMPRODUCT(MAX(ROW(E$1:E6672)*(E2=E$1:E6672))))))</f>
        <v> </v>
      </c>
      <c r="K6673" s="26" t="str">
        <f>IF(OR(E6673="",E6673="!!!",F6673="NEW"),"",INDEX(J$1:J6672,SUMPRODUCT(MAX(ROW(E$1:E6672)*(E6673=E$1:E6672)))))</f>
        <v> </v>
      </c>
      <c r="L6673" s="27"/>
    </row>
    <row r="6674" spans="1:12">
      <c r="A6674" s="20" t="s">
        <v>195</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row>
    <row r="6676" spans="1:12">
      <c r="A6676" s="20" t="s">
        <v>2865</v>
      </c>
    </row>
    <row r="6677" spans="1:12">
      <c r="A6677" s="20" t="s">
        <v>2866</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1375</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t="s">
        <v>1019</v>
      </c>
      <c r="E6679" s="22">
        <f>IF(D6679="?OLD","!!!","")</f>
        <v/>
      </c>
      <c r="F6679" s="23" t="str">
        <f>IF(OR(E6679="",E6679="!!!"),"",IF(NOT(ISNA(VLOOKUP(E6679,E$1:E6678,1,FALSE()))),"OLD",IF(AND(E6679&lt;&gt;"",E6679&lt;&gt;"!!!"),"NEW","")))</f>
        <v> </v>
      </c>
      <c r="G6679" s="24" t="str">
        <f>IF(OR(E6679="",E6679="!!!"),"",IF(OR(J6679=0,AND(J6679=1,K6679=1),AND(J6679=1,I6679="SBJ"),AND(J6679=1,I6679=0)),"?IN_FOCUS",IF(J6679&lt;=2,"?ACTIVATED",IF(J6679&lt;&gt;"","?FAMILIAR",IF(F6679="NEW",IF(ISNA(VLOOKUP(E6679,#REF!,1,FALSE())),"?TYPE_IDENTIFIABLE","?REFERENTIAL"),"_")))))</f>
        <v> </v>
      </c>
      <c r="H6679" s="25" t="str">
        <f>IF(J6679&lt;&gt;1,"",IF(I6679="SBJ","CB","?"))</f>
        <v> </v>
      </c>
      <c r="I6679" s="26" t="str">
        <f>IF(OR(E6679="",E6679="!!!",F6679="NEW"),"",INDEX(B6678:B$2,-1+SUMPRODUCT(MAX(ROW(E6678:E$2)*(E6679=E6678:E$2)))))</f>
        <v> </v>
      </c>
      <c r="J6679" s="26" t="str">
        <f>IF(OR(E6679="",E6679="!!!",F6679="NEW"),"",COUNTBLANK(OFFSET(A$1,,,SUMPRODUCT(MAX(ROW(E$2:E6679)*(E6679=E$2:E6679)))))-COUNTBLANK(OFFSET(A$1,,,SUMPRODUCT(MAX(ROW(E$1:E6678)*(E2=E$1:E6678))))))</f>
        <v> </v>
      </c>
      <c r="K6679" s="26" t="str">
        <f>IF(OR(E6679="",E6679="!!!",F6679="NEW"),"",INDEX(J$1:J6678,SUMPRODUCT(MAX(ROW(E$1:E6678)*(E6679=E$1:E6678)))))</f>
        <v> </v>
      </c>
      <c r="L6679" s="27"/>
    </row>
    <row r="6680" spans="1:12">
      <c r="A6680" s="20" t="s">
        <v>195</v>
      </c>
      <c r="E6680" s="22">
        <f>IF(D6680="?OLD","!!!","")</f>
        <v/>
      </c>
      <c r="F6680" s="23" t="str">
        <f>IF(OR(E6680="",E6680="!!!"),"",IF(NOT(ISNA(VLOOKUP(E6680,E$1:E6679,1,FALSE()))),"OLD",IF(AND(E6680&lt;&gt;"",E6680&lt;&gt;"!!!"),"NEW","")))</f>
        <v> </v>
      </c>
      <c r="G6680" s="24" t="str">
        <f>IF(OR(E6680="",E6680="!!!"),"",IF(OR(J6680=0,AND(J6680=1,K6680=1),AND(J6680=1,I6680="SBJ"),AND(J6680=1,I6680=0)),"?IN_FOCUS",IF(J6680&lt;=2,"?ACTIVATED",IF(J6680&lt;&gt;"","?FAMILIAR",IF(F6680="NEW",IF(ISNA(VLOOKUP(E6680,#REF!,1,FALSE())),"?TYPE_IDENTIFIABLE","?REFERENTIAL"),"_")))))</f>
        <v> </v>
      </c>
      <c r="H6680" s="25" t="str">
        <f>IF(J6680&lt;&gt;1,"",IF(I6680="SBJ","CB","?"))</f>
        <v> </v>
      </c>
      <c r="I6680" s="26" t="str">
        <f>IF(OR(E6680="",E6680="!!!",F6680="NEW"),"",INDEX(B6679:B$2,-1+SUMPRODUCT(MAX(ROW(E6679:E$2)*(E6680=E6679:E$2)))))</f>
        <v> </v>
      </c>
      <c r="J6680" s="26" t="str">
        <f>IF(OR(E6680="",E6680="!!!",F6680="NEW"),"",COUNTBLANK(OFFSET(A$1,,,SUMPRODUCT(MAX(ROW(E$2:E6680)*(E6680=E$2:E6680)))))-COUNTBLANK(OFFSET(A$1,,,SUMPRODUCT(MAX(ROW(E$1:E6679)*(E2=E$1:E6679))))))</f>
        <v> </v>
      </c>
      <c r="K6680" s="26" t="str">
        <f>IF(OR(E6680="",E6680="!!!",F6680="NEW"),"",INDEX(J$1:J6679,SUMPRODUCT(MAX(ROW(E$1:E6679)*(E6680=E$1:E6679)))))</f>
        <v> </v>
      </c>
      <c r="L6680" s="27"/>
    </row>
    <row r="6681" spans="1:12">
      <c r="A6681" s="20"/>
    </row>
    <row r="6682" spans="1:12">
      <c r="A6682" s="20" t="s">
        <v>1257</v>
      </c>
      <c r="E6682" s="22">
        <f>IF(D6682="?OLD","!!!","")</f>
        <v/>
      </c>
      <c r="F6682" s="23" t="str">
        <f>IF(OR(E6682="",E6682="!!!"),"",IF(NOT(ISNA(VLOOKUP(E6682,E$1:E6681,1,FALSE()))),"OLD",IF(AND(E6682&lt;&gt;"",E6682&lt;&gt;"!!!"),"NEW","")))</f>
        <v> </v>
      </c>
      <c r="G6682" s="24" t="str">
        <f>IF(OR(E6682="",E6682="!!!"),"",IF(OR(J6682=0,AND(J6682=1,K6682=1),AND(J6682=1,I6682="SBJ"),AND(J6682=1,I6682=0)),"?IN_FOCUS",IF(J6682&lt;=2,"?ACTIVATED",IF(J6682&lt;&gt;"","?FAMILIAR",IF(F6682="NEW",IF(ISNA(VLOOKUP(E6682,#REF!,1,FALSE())),"?TYPE_IDENTIFIABLE","?REFERENTIAL"),"_")))))</f>
        <v> </v>
      </c>
      <c r="H6682" s="25" t="str">
        <f>IF(J6682&lt;&gt;1,"",IF(I6682="SBJ","CB","?"))</f>
        <v> </v>
      </c>
      <c r="I6682" s="26" t="str">
        <f>IF(OR(E6682="",E6682="!!!",F6682="NEW"),"",INDEX(B6681:B$2,-1+SUMPRODUCT(MAX(ROW(E6681:E$2)*(E6682=E6681:E$2)))))</f>
        <v> </v>
      </c>
      <c r="J6682" s="26" t="str">
        <f>IF(OR(E6682="",E6682="!!!",F6682="NEW"),"",COUNTBLANK(OFFSET(A$1,,,SUMPRODUCT(MAX(ROW(E$2:E6682)*(E6682=E$2:E6682)))))-COUNTBLANK(OFFSET(A$1,,,SUMPRODUCT(MAX(ROW(E$1:E6681)*(E2=E$1:E6681))))))</f>
        <v> </v>
      </c>
      <c r="K6682" s="26" t="str">
        <f>IF(OR(E6682="",E6682="!!!",F6682="NEW"),"",INDEX(J$1:J6681,SUMPRODUCT(MAX(ROW(E$1:E6681)*(E6682=E$1:E6681)))))</f>
        <v> </v>
      </c>
      <c r="L6682" s="27"/>
    </row>
    <row r="6683" spans="1:12">
      <c r="A6683" s="20" t="s">
        <v>2867</v>
      </c>
    </row>
    <row r="6684" spans="1:12">
      <c r="A6684" s="20" t="s">
        <v>1161</v>
      </c>
      <c r="B6684" s="21" t="s">
        <v>1150</v>
      </c>
      <c r="C6684" s="21" t="s">
        <v>1064</v>
      </c>
      <c r="D6684" s="21" t="s">
        <v>1065</v>
      </c>
      <c r="E6684" s="22">
        <f>IF(D6684="?OLD","!!!","")</f>
        <v/>
      </c>
      <c r="F6684" s="23" t="str">
        <f>IF(OR(E6684="",E6684="!!!"),"",IF(NOT(ISNA(VLOOKUP(E6684,E$1:E6683,1,FALSE()))),"OLD",IF(AND(E6684&lt;&gt;"",E6684&lt;&gt;"!!!"),"NEW","")))</f>
        <v> </v>
      </c>
      <c r="G6684" s="24" t="str">
        <f>IF(OR(E6684="",E6684="!!!"),"",IF(OR(J6684=0,AND(J6684=1,K6684=1),AND(J6684=1,I6684="SBJ"),AND(J6684=1,I6684=0)),"?IN_FOCUS",IF(J6684&lt;=2,"?ACTIVATED",IF(J6684&lt;&gt;"","?FAMILIAR",IF(F6684="NEW",IF(ISNA(VLOOKUP(E6684,#REF!,1,FALSE())),"?TYPE_IDENTIFIABLE","?REFERENTIAL"),"_")))))</f>
        <v> </v>
      </c>
      <c r="H6684" s="25" t="str">
        <f>IF(J6684&lt;&gt;1,"",IF(I6684="SBJ","CB","?"))</f>
        <v> </v>
      </c>
      <c r="I6684" s="26" t="str">
        <f>IF(OR(E6684="",E6684="!!!",F6684="NEW"),"",INDEX(B6683:B$2,-1+SUMPRODUCT(MAX(ROW(E6683:E$2)*(E6684=E6683:E$2)))))</f>
        <v> </v>
      </c>
      <c r="J6684" s="26" t="str">
        <f>IF(OR(E6684="",E6684="!!!",F6684="NEW"),"",COUNTBLANK(OFFSET(A$1,,,SUMPRODUCT(MAX(ROW(E$2:E6684)*(E6684=E$2:E6684)))))-COUNTBLANK(OFFSET(A$1,,,SUMPRODUCT(MAX(ROW(E$1:E6683)*(E2=E$1:E6683))))))</f>
        <v> </v>
      </c>
      <c r="K6684" s="26" t="str">
        <f>IF(OR(E6684="",E6684="!!!",F6684="NEW"),"",INDEX(J$1:J6683,SUMPRODUCT(MAX(ROW(E$1:E6683)*(E6684=E$1:E6683)))))</f>
        <v> </v>
      </c>
      <c r="L6684" s="27"/>
    </row>
    <row r="6685" spans="1:12">
      <c r="A6685" s="20" t="s">
        <v>1067</v>
      </c>
      <c r="E6685" s="22">
        <f>IF(D6685="?OLD","!!!","")</f>
        <v/>
      </c>
      <c r="F6685" s="23" t="str">
        <f>IF(OR(E6685="",E6685="!!!"),"",IF(NOT(ISNA(VLOOKUP(E6685,E$1:E6684,1,FALSE()))),"OLD",IF(AND(E6685&lt;&gt;"",E6685&lt;&gt;"!!!"),"NEW","")))</f>
        <v> </v>
      </c>
      <c r="G6685" s="24" t="str">
        <f>IF(OR(E6685="",E6685="!!!"),"",IF(OR(J6685=0,AND(J6685=1,K6685=1),AND(J6685=1,I6685="SBJ"),AND(J6685=1,I6685=0)),"?IN_FOCUS",IF(J6685&lt;=2,"?ACTIVATED",IF(J6685&lt;&gt;"","?FAMILIAR",IF(F6685="NEW",IF(ISNA(VLOOKUP(E6685,#REF!,1,FALSE())),"?TYPE_IDENTIFIABLE","?REFERENTIAL"),"_")))))</f>
        <v> </v>
      </c>
      <c r="H6685" s="25" t="str">
        <f>IF(J6685&lt;&gt;1,"",IF(I6685="SBJ","CB","?"))</f>
        <v> </v>
      </c>
      <c r="I6685" s="26" t="str">
        <f>IF(OR(E6685="",E6685="!!!",F6685="NEW"),"",INDEX(B6684:B$2,-1+SUMPRODUCT(MAX(ROW(E6684:E$2)*(E6685=E6684:E$2)))))</f>
        <v> </v>
      </c>
      <c r="J6685" s="26" t="str">
        <f>IF(OR(E6685="",E6685="!!!",F6685="NEW"),"",COUNTBLANK(OFFSET(A$1,,,SUMPRODUCT(MAX(ROW(E$2:E6685)*(E6685=E$2:E6685)))))-COUNTBLANK(OFFSET(A$1,,,SUMPRODUCT(MAX(ROW(E$1:E6684)*(E2=E$1:E6684))))))</f>
        <v> </v>
      </c>
      <c r="K6685" s="26" t="str">
        <f>IF(OR(E6685="",E6685="!!!",F6685="NEW"),"",INDEX(J$1:J6684,SUMPRODUCT(MAX(ROW(E$1:E6684)*(E6685=E$1:E6684)))))</f>
        <v> </v>
      </c>
      <c r="L6685" s="27"/>
    </row>
    <row r="6686" spans="1:12">
      <c r="A6686" s="20" t="s">
        <v>2441</v>
      </c>
      <c r="B6686" s="21" t="s">
        <v>1080</v>
      </c>
      <c r="C6686" s="21" t="s">
        <v>1064</v>
      </c>
      <c r="D6686" s="21" t="s">
        <v>1065</v>
      </c>
      <c r="E6686" s="22">
        <f>IF(D6686="?OLD","!!!","")</f>
        <v/>
      </c>
      <c r="F6686" s="23" t="str">
        <f>IF(OR(E6686="",E6686="!!!"),"",IF(NOT(ISNA(VLOOKUP(E6686,E$1:E6685,1,FALSE()))),"OLD",IF(AND(E6686&lt;&gt;"",E6686&lt;&gt;"!!!"),"NEW","")))</f>
        <v> </v>
      </c>
      <c r="G6686" s="24" t="str">
        <f>IF(OR(E6686="",E6686="!!!"),"",IF(OR(J6686=0,AND(J6686=1,K6686=1),AND(J6686=1,I6686="SBJ"),AND(J6686=1,I6686=0)),"?IN_FOCUS",IF(J6686&lt;=2,"?ACTIVATED",IF(J6686&lt;&gt;"","?FAMILIAR",IF(F6686="NEW",IF(ISNA(VLOOKUP(E6686,#REF!,1,FALSE())),"?TYPE_IDENTIFIABLE","?REFERENTIAL"),"_")))))</f>
        <v> </v>
      </c>
      <c r="H6686" s="25" t="str">
        <f>IF(J6686&lt;&gt;1,"",IF(I6686="SBJ","CB","?"))</f>
        <v> </v>
      </c>
      <c r="I6686" s="26" t="str">
        <f>IF(OR(E6686="",E6686="!!!",F6686="NEW"),"",INDEX(B6685:B$2,-1+SUMPRODUCT(MAX(ROW(E6685:E$2)*(E6686=E6685:E$2)))))</f>
        <v> </v>
      </c>
      <c r="J6686" s="26" t="str">
        <f>IF(OR(E6686="",E6686="!!!",F6686="NEW"),"",COUNTBLANK(OFFSET(A$1,,,SUMPRODUCT(MAX(ROW(E$2:E6686)*(E6686=E$2:E6686)))))-COUNTBLANK(OFFSET(A$1,,,SUMPRODUCT(MAX(ROW(E$1:E6685)*(E2=E$1:E6685))))))</f>
        <v> </v>
      </c>
      <c r="K6686" s="26" t="str">
        <f>IF(OR(E6686="",E6686="!!!",F6686="NEW"),"",INDEX(J$1:J6685,SUMPRODUCT(MAX(ROW(E$1:E6685)*(E6686=E$1:E6685)))))</f>
        <v> </v>
      </c>
      <c r="L6686" s="27"/>
    </row>
    <row r="6687" spans="1:12">
      <c r="A6687" s="20" t="s">
        <v>1087</v>
      </c>
      <c r="B6687" s="21" t="s">
        <v>1080</v>
      </c>
      <c r="C6687" s="21" t="s">
        <v>1064</v>
      </c>
      <c r="D6687" s="21" t="s">
        <v>1065</v>
      </c>
      <c r="E6687" s="22">
        <f>IF(D6687="?OLD","!!!","")</f>
        <v/>
      </c>
      <c r="F6687" s="23" t="str">
        <f>IF(OR(E6687="",E6687="!!!"),"",IF(NOT(ISNA(VLOOKUP(E6687,E$1:E6686,1,FALSE()))),"OLD",IF(AND(E6687&lt;&gt;"",E6687&lt;&gt;"!!!"),"NEW","")))</f>
        <v> </v>
      </c>
      <c r="G6687" s="24" t="str">
        <f>IF(OR(E6687="",E6687="!!!"),"",IF(OR(J6687=0,AND(J6687=1,K6687=1),AND(J6687=1,I6687="SBJ"),AND(J6687=1,I6687=0)),"?IN_FOCUS",IF(J6687&lt;=2,"?ACTIVATED",IF(J6687&lt;&gt;"","?FAMILIAR",IF(F6687="NEW",IF(ISNA(VLOOKUP(E6687,#REF!,1,FALSE())),"?TYPE_IDENTIFIABLE","?REFERENTIAL"),"_")))))</f>
        <v> </v>
      </c>
      <c r="H6687" s="25" t="str">
        <f>IF(J6687&lt;&gt;1,"",IF(I6687="SBJ","CB","?"))</f>
        <v> </v>
      </c>
      <c r="I6687" s="26" t="str">
        <f>IF(OR(E6687="",E6687="!!!",F6687="NEW"),"",INDEX(B6686:B$2,-1+SUMPRODUCT(MAX(ROW(E6686:E$2)*(E6687=E6686:E$2)))))</f>
        <v> </v>
      </c>
      <c r="J6687" s="26" t="str">
        <f>IF(OR(E6687="",E6687="!!!",F6687="NEW"),"",COUNTBLANK(OFFSET(A$1,,,SUMPRODUCT(MAX(ROW(E$2:E6687)*(E6687=E$2:E6687)))))-COUNTBLANK(OFFSET(A$1,,,SUMPRODUCT(MAX(ROW(E$1:E6686)*(E2=E$1:E6686))))))</f>
        <v> </v>
      </c>
      <c r="K6687" s="26" t="str">
        <f>IF(OR(E6687="",E6687="!!!",F6687="NEW"),"",INDEX(J$1:J6686,SUMPRODUCT(MAX(ROW(E$1:E6686)*(E6687=E$1:E6686)))))</f>
        <v> </v>
      </c>
      <c r="L6687" s="27"/>
    </row>
    <row r="6688" spans="1:12">
      <c r="A6688" s="20" t="s">
        <v>1076</v>
      </c>
      <c r="E6688" s="22">
        <f>IF(D6688="?OLD","!!!","")</f>
        <v/>
      </c>
      <c r="F6688" s="23" t="str">
        <f>IF(OR(E6688="",E6688="!!!"),"",IF(NOT(ISNA(VLOOKUP(E6688,E$1:E6687,1,FALSE()))),"OLD",IF(AND(E6688&lt;&gt;"",E6688&lt;&gt;"!!!"),"NEW","")))</f>
        <v> </v>
      </c>
      <c r="G6688" s="24" t="str">
        <f>IF(OR(E6688="",E6688="!!!"),"",IF(OR(J6688=0,AND(J6688=1,K6688=1),AND(J6688=1,I6688="SBJ"),AND(J6688=1,I6688=0)),"?IN_FOCUS",IF(J6688&lt;=2,"?ACTIVATED",IF(J6688&lt;&gt;"","?FAMILIAR",IF(F6688="NEW",IF(ISNA(VLOOKUP(E6688,#REF!,1,FALSE())),"?TYPE_IDENTIFIABLE","?REFERENTIAL"),"_")))))</f>
        <v> </v>
      </c>
      <c r="H6688" s="25" t="str">
        <f>IF(J6688&lt;&gt;1,"",IF(I6688="SBJ","CB","?"))</f>
        <v> </v>
      </c>
      <c r="I6688" s="26" t="str">
        <f>IF(OR(E6688="",E6688="!!!",F6688="NEW"),"",INDEX(B6687:B$2,-1+SUMPRODUCT(MAX(ROW(E6687:E$2)*(E6688=E6687:E$2)))))</f>
        <v> </v>
      </c>
      <c r="J6688" s="26" t="str">
        <f>IF(OR(E6688="",E6688="!!!",F6688="NEW"),"",COUNTBLANK(OFFSET(A$1,,,SUMPRODUCT(MAX(ROW(E$2:E6688)*(E6688=E$2:E6688)))))-COUNTBLANK(OFFSET(A$1,,,SUMPRODUCT(MAX(ROW(E$1:E6687)*(E2=E$1:E6687))))))</f>
        <v> </v>
      </c>
      <c r="K6688" s="26" t="str">
        <f>IF(OR(E6688="",E6688="!!!",F6688="NEW"),"",INDEX(J$1:J6687,SUMPRODUCT(MAX(ROW(E$1:E6687)*(E6688=E$1:E6687)))))</f>
        <v> </v>
      </c>
      <c r="L6688" s="27"/>
    </row>
    <row r="6689" spans="1:12">
      <c r="A6689" s="20" t="s">
        <v>1204</v>
      </c>
      <c r="E6689" s="22">
        <f>IF(D6689="?OLD","!!!","")</f>
        <v/>
      </c>
      <c r="F6689" s="23" t="str">
        <f>IF(OR(E6689="",E6689="!!!"),"",IF(NOT(ISNA(VLOOKUP(E6689,E$1:E6688,1,FALSE()))),"OLD",IF(AND(E6689&lt;&gt;"",E6689&lt;&gt;"!!!"),"NEW","")))</f>
        <v> </v>
      </c>
      <c r="G6689" s="24" t="str">
        <f>IF(OR(E6689="",E6689="!!!"),"",IF(OR(J6689=0,AND(J6689=1,K6689=1),AND(J6689=1,I6689="SBJ"),AND(J6689=1,I6689=0)),"?IN_FOCUS",IF(J6689&lt;=2,"?ACTIVATED",IF(J6689&lt;&gt;"","?FAMILIAR",IF(F6689="NEW",IF(ISNA(VLOOKUP(E6689,#REF!,1,FALSE())),"?TYPE_IDENTIFIABLE","?REFERENTIAL"),"_")))))</f>
        <v> </v>
      </c>
      <c r="H6689" s="25" t="str">
        <f>IF(J6689&lt;&gt;1,"",IF(I6689="SBJ","CB","?"))</f>
        <v> </v>
      </c>
      <c r="I6689" s="26" t="str">
        <f>IF(OR(E6689="",E6689="!!!",F6689="NEW"),"",INDEX(B6688:B$2,-1+SUMPRODUCT(MAX(ROW(E6688:E$2)*(E6689=E6688:E$2)))))</f>
        <v> </v>
      </c>
      <c r="J6689" s="26" t="str">
        <f>IF(OR(E6689="",E6689="!!!",F6689="NEW"),"",COUNTBLANK(OFFSET(A$1,,,SUMPRODUCT(MAX(ROW(E$2:E6689)*(E6689=E$2:E6689)))))-COUNTBLANK(OFFSET(A$1,,,SUMPRODUCT(MAX(ROW(E$1:E6688)*(E2=E$1:E6688))))))</f>
        <v> </v>
      </c>
      <c r="K6689" s="26" t="str">
        <f>IF(OR(E6689="",E6689="!!!",F6689="NEW"),"",INDEX(J$1:J6688,SUMPRODUCT(MAX(ROW(E$1:E6688)*(E6689=E$1:E6688)))))</f>
        <v> </v>
      </c>
      <c r="L6689" s="27"/>
    </row>
    <row r="6690" spans="1:12">
      <c r="A6690" s="20" t="s">
        <v>2868</v>
      </c>
      <c r="B6690" s="21" t="s">
        <v>1150</v>
      </c>
      <c r="C6690" s="21" t="s">
        <v>1075</v>
      </c>
      <c r="D6690" s="21" t="s">
        <v>1065</v>
      </c>
      <c r="E6690" s="22">
        <f>IF(D6690="?OLD","!!!","")</f>
        <v/>
      </c>
      <c r="F6690" s="23" t="str">
        <f>IF(OR(E6690="",E6690="!!!"),"",IF(NOT(ISNA(VLOOKUP(E6690,E$1:E6689,1,FALSE()))),"OLD",IF(AND(E6690&lt;&gt;"",E6690&lt;&gt;"!!!"),"NEW","")))</f>
        <v> </v>
      </c>
      <c r="G6690" s="24" t="str">
        <f>IF(OR(E6690="",E6690="!!!"),"",IF(OR(J6690=0,AND(J6690=1,K6690=1),AND(J6690=1,I6690="SBJ"),AND(J6690=1,I6690=0)),"?IN_FOCUS",IF(J6690&lt;=2,"?ACTIVATED",IF(J6690&lt;&gt;"","?FAMILIAR",IF(F6690="NEW",IF(ISNA(VLOOKUP(E6690,#REF!,1,FALSE())),"?TYPE_IDENTIFIABLE","?REFERENTIAL"),"_")))))</f>
        <v> </v>
      </c>
      <c r="H6690" s="25" t="str">
        <f>IF(J6690&lt;&gt;1,"",IF(I6690="SBJ","CB","?"))</f>
        <v> </v>
      </c>
      <c r="I6690" s="26" t="str">
        <f>IF(OR(E6690="",E6690="!!!",F6690="NEW"),"",INDEX(B6689:B$2,-1+SUMPRODUCT(MAX(ROW(E6689:E$2)*(E6690=E6689:E$2)))))</f>
        <v> </v>
      </c>
      <c r="J6690" s="26" t="str">
        <f>IF(OR(E6690="",E6690="!!!",F6690="NEW"),"",COUNTBLANK(OFFSET(A$1,,,SUMPRODUCT(MAX(ROW(E$2:E6690)*(E6690=E$2:E6690)))))-COUNTBLANK(OFFSET(A$1,,,SUMPRODUCT(MAX(ROW(E$1:E6689)*(E2=E$1:E6689))))))</f>
        <v> </v>
      </c>
      <c r="K6690" s="26" t="str">
        <f>IF(OR(E6690="",E6690="!!!",F6690="NEW"),"",INDEX(J$1:J6689,SUMPRODUCT(MAX(ROW(E$1:E6689)*(E6690=E$1:E6689)))))</f>
        <v> </v>
      </c>
      <c r="L6690" s="27"/>
    </row>
    <row r="6691" spans="1:12">
      <c r="A6691" s="20" t="s">
        <v>1214</v>
      </c>
      <c r="E6691" s="22">
        <f>IF(D6691="?OLD","!!!","")</f>
        <v/>
      </c>
      <c r="F6691" s="23" t="str">
        <f>IF(OR(E6691="",E6691="!!!"),"",IF(NOT(ISNA(VLOOKUP(E6691,E$1:E6690,1,FALSE()))),"OLD",IF(AND(E6691&lt;&gt;"",E6691&lt;&gt;"!!!"),"NEW","")))</f>
        <v> </v>
      </c>
      <c r="G6691" s="24" t="str">
        <f>IF(OR(E6691="",E6691="!!!"),"",IF(OR(J6691=0,AND(J6691=1,K6691=1),AND(J6691=1,I6691="SBJ"),AND(J6691=1,I6691=0)),"?IN_FOCUS",IF(J6691&lt;=2,"?ACTIVATED",IF(J6691&lt;&gt;"","?FAMILIAR",IF(F6691="NEW",IF(ISNA(VLOOKUP(E6691,#REF!,1,FALSE())),"?TYPE_IDENTIFIABLE","?REFERENTIAL"),"_")))))</f>
        <v> </v>
      </c>
      <c r="H6691" s="25" t="str">
        <f>IF(J6691&lt;&gt;1,"",IF(I6691="SBJ","CB","?"))</f>
        <v> </v>
      </c>
      <c r="I6691" s="26" t="str">
        <f>IF(OR(E6691="",E6691="!!!",F6691="NEW"),"",INDEX(B6690:B$2,-1+SUMPRODUCT(MAX(ROW(E6690:E$2)*(E6691=E6690:E$2)))))</f>
        <v> </v>
      </c>
      <c r="J6691" s="26" t="str">
        <f>IF(OR(E6691="",E6691="!!!",F6691="NEW"),"",COUNTBLANK(OFFSET(A$1,,,SUMPRODUCT(MAX(ROW(E$2:E6691)*(E6691=E$2:E6691)))))-COUNTBLANK(OFFSET(A$1,,,SUMPRODUCT(MAX(ROW(E$1:E6690)*(E2=E$1:E6690))))))</f>
        <v> </v>
      </c>
      <c r="K6691" s="26" t="str">
        <f>IF(OR(E6691="",E6691="!!!",F6691="NEW"),"",INDEX(J$1:J6690,SUMPRODUCT(MAX(ROW(E$1:E6690)*(E6691=E$1:E6690)))))</f>
        <v> </v>
      </c>
      <c r="L6691" s="27"/>
    </row>
    <row r="6692" spans="1:12">
      <c r="A6692" s="20" t="s">
        <v>1262</v>
      </c>
      <c r="E6692" s="22">
        <f>IF(D6692="?OLD","!!!","")</f>
        <v/>
      </c>
      <c r="F6692" s="23" t="str">
        <f>IF(OR(E6692="",E6692="!!!"),"",IF(NOT(ISNA(VLOOKUP(E6692,E$1:E6691,1,FALSE()))),"OLD",IF(AND(E6692&lt;&gt;"",E6692&lt;&gt;"!!!"),"NEW","")))</f>
        <v> </v>
      </c>
      <c r="G6692" s="24" t="str">
        <f>IF(OR(E6692="",E6692="!!!"),"",IF(OR(J6692=0,AND(J6692=1,K6692=1),AND(J6692=1,I6692="SBJ"),AND(J6692=1,I6692=0)),"?IN_FOCUS",IF(J6692&lt;=2,"?ACTIVATED",IF(J6692&lt;&gt;"","?FAMILIAR",IF(F6692="NEW",IF(ISNA(VLOOKUP(E6692,#REF!,1,FALSE())),"?TYPE_IDENTIFIABLE","?REFERENTIAL"),"_")))))</f>
        <v> </v>
      </c>
      <c r="H6692" s="25" t="str">
        <f>IF(J6692&lt;&gt;1,"",IF(I6692="SBJ","CB","?"))</f>
        <v> </v>
      </c>
      <c r="I6692" s="26" t="str">
        <f>IF(OR(E6692="",E6692="!!!",F6692="NEW"),"",INDEX(B6691:B$2,-1+SUMPRODUCT(MAX(ROW(E6691:E$2)*(E6692=E6691:E$2)))))</f>
        <v> </v>
      </c>
      <c r="J6692" s="26" t="str">
        <f>IF(OR(E6692="",E6692="!!!",F6692="NEW"),"",COUNTBLANK(OFFSET(A$1,,,SUMPRODUCT(MAX(ROW(E$2:E6692)*(E6692=E$2:E6692)))))-COUNTBLANK(OFFSET(A$1,,,SUMPRODUCT(MAX(ROW(E$1:E6691)*(E2=E$1:E6691))))))</f>
        <v> </v>
      </c>
      <c r="K6692" s="26" t="str">
        <f>IF(OR(E6692="",E6692="!!!",F6692="NEW"),"",INDEX(J$1:J6691,SUMPRODUCT(MAX(ROW(E$1:E6691)*(E6692=E$1:E6691)))))</f>
        <v> </v>
      </c>
      <c r="L6692" s="27"/>
    </row>
    <row r="6693" spans="1:12">
      <c r="A6693" s="20" t="s">
        <v>2869</v>
      </c>
      <c r="B6693" s="21" t="s">
        <v>1063</v>
      </c>
      <c r="C6693" s="21" t="s">
        <v>1144</v>
      </c>
      <c r="E6693" s="22">
        <f>IF(D6693="?OLD","!!!","")</f>
        <v/>
      </c>
      <c r="F6693" s="23" t="str">
        <f>IF(OR(E6693="",E6693="!!!"),"",IF(NOT(ISNA(VLOOKUP(E6693,E$1:E6692,1,FALSE()))),"OLD",IF(AND(E6693&lt;&gt;"",E6693&lt;&gt;"!!!"),"NEW","")))</f>
        <v> </v>
      </c>
      <c r="G6693" s="24" t="str">
        <f>IF(OR(E6693="",E6693="!!!"),"",IF(OR(J6693=0,AND(J6693=1,K6693=1),AND(J6693=1,I6693="SBJ"),AND(J6693=1,I6693=0)),"?IN_FOCUS",IF(J6693&lt;=2,"?ACTIVATED",IF(J6693&lt;&gt;"","?FAMILIAR",IF(F6693="NEW",IF(ISNA(VLOOKUP(E6693,#REF!,1,FALSE())),"?TYPE_IDENTIFIABLE","?REFERENTIAL"),"_")))))</f>
        <v> </v>
      </c>
      <c r="H6693" s="25" t="str">
        <f>IF(J6693&lt;&gt;1,"",IF(I6693="SBJ","CB","?"))</f>
        <v> </v>
      </c>
      <c r="I6693" s="26" t="str">
        <f>IF(OR(E6693="",E6693="!!!",F6693="NEW"),"",INDEX(B6692:B$2,-1+SUMPRODUCT(MAX(ROW(E6692:E$2)*(E6693=E6692:E$2)))))</f>
        <v> </v>
      </c>
      <c r="J6693" s="26" t="str">
        <f>IF(OR(E6693="",E6693="!!!",F6693="NEW"),"",COUNTBLANK(OFFSET(A$1,,,SUMPRODUCT(MAX(ROW(E$2:E6693)*(E6693=E$2:E6693)))))-COUNTBLANK(OFFSET(A$1,,,SUMPRODUCT(MAX(ROW(E$1:E6692)*(E2=E$1:E6692))))))</f>
        <v> </v>
      </c>
      <c r="K6693" s="26" t="str">
        <f>IF(OR(E6693="",E6693="!!!",F6693="NEW"),"",INDEX(J$1:J6692,SUMPRODUCT(MAX(ROW(E$1:E6692)*(E6693=E$1:E6692)))))</f>
        <v> </v>
      </c>
      <c r="L6693" s="27"/>
    </row>
    <row r="6694" spans="1:12">
      <c r="A6694" s="20" t="s">
        <v>2870</v>
      </c>
      <c r="E6694" s="22">
        <f>IF(D6694="?OLD","!!!","")</f>
        <v/>
      </c>
      <c r="F6694" s="23" t="str">
        <f>IF(OR(E6694="",E6694="!!!"),"",IF(NOT(ISNA(VLOOKUP(E6694,E$1:E6693,1,FALSE()))),"OLD",IF(AND(E6694&lt;&gt;"",E6694&lt;&gt;"!!!"),"NEW","")))</f>
        <v> </v>
      </c>
      <c r="G6694" s="24" t="str">
        <f>IF(OR(E6694="",E6694="!!!"),"",IF(OR(J6694=0,AND(J6694=1,K6694=1),AND(J6694=1,I6694="SBJ"),AND(J6694=1,I6694=0)),"?IN_FOCUS",IF(J6694&lt;=2,"?ACTIVATED",IF(J6694&lt;&gt;"","?FAMILIAR",IF(F6694="NEW",IF(ISNA(VLOOKUP(E6694,#REF!,1,FALSE())),"?TYPE_IDENTIFIABLE","?REFERENTIAL"),"_")))))</f>
        <v> </v>
      </c>
      <c r="H6694" s="25" t="str">
        <f>IF(J6694&lt;&gt;1,"",IF(I6694="SBJ","CB","?"))</f>
        <v> </v>
      </c>
      <c r="I6694" s="26" t="str">
        <f>IF(OR(E6694="",E6694="!!!",F6694="NEW"),"",INDEX(B6693:B$2,-1+SUMPRODUCT(MAX(ROW(E6693:E$2)*(E6694=E6693:E$2)))))</f>
        <v> </v>
      </c>
      <c r="J6694" s="26" t="str">
        <f>IF(OR(E6694="",E6694="!!!",F6694="NEW"),"",COUNTBLANK(OFFSET(A$1,,,SUMPRODUCT(MAX(ROW(E$2:E6694)*(E6694=E$2:E6694)))))-COUNTBLANK(OFFSET(A$1,,,SUMPRODUCT(MAX(ROW(E$1:E6693)*(E2=E$1:E6693))))))</f>
        <v> </v>
      </c>
      <c r="K6694" s="26" t="str">
        <f>IF(OR(E6694="",E6694="!!!",F6694="NEW"),"",INDEX(J$1:J6693,SUMPRODUCT(MAX(ROW(E$1:E6693)*(E6694=E$1:E6693)))))</f>
        <v> </v>
      </c>
      <c r="L6694" s="27"/>
    </row>
    <row r="6695" spans="1:12">
      <c r="A6695" s="20" t="s">
        <v>1072</v>
      </c>
      <c r="E6695" s="22">
        <f>IF(D6695="?OLD","!!!","")</f>
        <v/>
      </c>
      <c r="F6695" s="23" t="str">
        <f>IF(OR(E6695="",E6695="!!!"),"",IF(NOT(ISNA(VLOOKUP(E6695,E$1:E6694,1,FALSE()))),"OLD",IF(AND(E6695&lt;&gt;"",E6695&lt;&gt;"!!!"),"NEW","")))</f>
        <v> </v>
      </c>
      <c r="G6695" s="24" t="str">
        <f>IF(OR(E6695="",E6695="!!!"),"",IF(OR(J6695=0,AND(J6695=1,K6695=1),AND(J6695=1,I6695="SBJ"),AND(J6695=1,I6695=0)),"?IN_FOCUS",IF(J6695&lt;=2,"?ACTIVATED",IF(J6695&lt;&gt;"","?FAMILIAR",IF(F6695="NEW",IF(ISNA(VLOOKUP(E6695,#REF!,1,FALSE())),"?TYPE_IDENTIFIABLE","?REFERENTIAL"),"_")))))</f>
        <v> </v>
      </c>
      <c r="H6695" s="25" t="str">
        <f>IF(J6695&lt;&gt;1,"",IF(I6695="SBJ","CB","?"))</f>
        <v> </v>
      </c>
      <c r="I6695" s="26" t="str">
        <f>IF(OR(E6695="",E6695="!!!",F6695="NEW"),"",INDEX(B6694:B$2,-1+SUMPRODUCT(MAX(ROW(E6694:E$2)*(E6695=E6694:E$2)))))</f>
        <v> </v>
      </c>
      <c r="J6695" s="26" t="str">
        <f>IF(OR(E6695="",E6695="!!!",F6695="NEW"),"",COUNTBLANK(OFFSET(A$1,,,SUMPRODUCT(MAX(ROW(E$2:E6695)*(E6695=E$2:E6695)))))-COUNTBLANK(OFFSET(A$1,,,SUMPRODUCT(MAX(ROW(E$1:E6694)*(E2=E$1:E6694))))))</f>
        <v> </v>
      </c>
      <c r="K6695" s="26" t="str">
        <f>IF(OR(E6695="",E6695="!!!",F6695="NEW"),"",INDEX(J$1:J6694,SUMPRODUCT(MAX(ROW(E$1:E6694)*(E6695=E$1:E6694)))))</f>
        <v> </v>
      </c>
      <c r="L6695" s="27"/>
    </row>
    <row r="6696" spans="1:12">
      <c r="A6696" s="20" t="s">
        <v>146</v>
      </c>
      <c r="E6696" s="22">
        <f>IF(D6696="?OLD","!!!","")</f>
        <v/>
      </c>
      <c r="F6696" s="23" t="str">
        <f>IF(OR(E6696="",E6696="!!!"),"",IF(NOT(ISNA(VLOOKUP(E6696,E$1:E6695,1,FALSE()))),"OLD",IF(AND(E6696&lt;&gt;"",E6696&lt;&gt;"!!!"),"NEW","")))</f>
        <v> </v>
      </c>
      <c r="G6696" s="24" t="str">
        <f>IF(OR(E6696="",E6696="!!!"),"",IF(OR(J6696=0,AND(J6696=1,K6696=1),AND(J6696=1,I6696="SBJ"),AND(J6696=1,I6696=0)),"?IN_FOCUS",IF(J6696&lt;=2,"?ACTIVATED",IF(J6696&lt;&gt;"","?FAMILIAR",IF(F6696="NEW",IF(ISNA(VLOOKUP(E6696,#REF!,1,FALSE())),"?TYPE_IDENTIFIABLE","?REFERENTIAL"),"_")))))</f>
        <v> </v>
      </c>
      <c r="H6696" s="25" t="str">
        <f>IF(J6696&lt;&gt;1,"",IF(I6696="SBJ","CB","?"))</f>
        <v> </v>
      </c>
      <c r="I6696" s="26" t="str">
        <f>IF(OR(E6696="",E6696="!!!",F6696="NEW"),"",INDEX(B6695:B$2,-1+SUMPRODUCT(MAX(ROW(E6695:E$2)*(E6696=E6695:E$2)))))</f>
        <v> </v>
      </c>
      <c r="J6696" s="26" t="str">
        <f>IF(OR(E6696="",E6696="!!!",F6696="NEW"),"",COUNTBLANK(OFFSET(A$1,,,SUMPRODUCT(MAX(ROW(E$2:E6696)*(E6696=E$2:E6696)))))-COUNTBLANK(OFFSET(A$1,,,SUMPRODUCT(MAX(ROW(E$1:E6695)*(E2=E$1:E6695))))))</f>
        <v> </v>
      </c>
      <c r="K6696" s="26" t="str">
        <f>IF(OR(E6696="",E6696="!!!",F6696="NEW"),"",INDEX(J$1:J6695,SUMPRODUCT(MAX(ROW(E$1:E6695)*(E6696=E$1:E6695)))))</f>
        <v> </v>
      </c>
      <c r="L6696" s="27"/>
    </row>
    <row r="6697" spans="1:12">
      <c r="A6697" s="20" t="s">
        <v>2871</v>
      </c>
      <c r="E6697" s="22">
        <f>IF(D6697="?OLD","!!!","")</f>
        <v/>
      </c>
      <c r="F6697" s="23" t="str">
        <f>IF(OR(E6697="",E6697="!!!"),"",IF(NOT(ISNA(VLOOKUP(E6697,E$1:E6696,1,FALSE()))),"OLD",IF(AND(E6697&lt;&gt;"",E6697&lt;&gt;"!!!"),"NEW","")))</f>
        <v> </v>
      </c>
      <c r="G6697" s="24" t="str">
        <f>IF(OR(E6697="",E6697="!!!"),"",IF(OR(J6697=0,AND(J6697=1,K6697=1),AND(J6697=1,I6697="SBJ"),AND(J6697=1,I6697=0)),"?IN_FOCUS",IF(J6697&lt;=2,"?ACTIVATED",IF(J6697&lt;&gt;"","?FAMILIAR",IF(F6697="NEW",IF(ISNA(VLOOKUP(E6697,#REF!,1,FALSE())),"?TYPE_IDENTIFIABLE","?REFERENTIAL"),"_")))))</f>
        <v> </v>
      </c>
      <c r="H6697" s="25" t="str">
        <f>IF(J6697&lt;&gt;1,"",IF(I6697="SBJ","CB","?"))</f>
        <v> </v>
      </c>
      <c r="I6697" s="26" t="str">
        <f>IF(OR(E6697="",E6697="!!!",F6697="NEW"),"",INDEX(B6696:B$2,-1+SUMPRODUCT(MAX(ROW(E6696:E$2)*(E6697=E6696:E$2)))))</f>
        <v> </v>
      </c>
      <c r="J6697" s="26" t="str">
        <f>IF(OR(E6697="",E6697="!!!",F6697="NEW"),"",COUNTBLANK(OFFSET(A$1,,,SUMPRODUCT(MAX(ROW(E$2:E6697)*(E6697=E$2:E6697)))))-COUNTBLANK(OFFSET(A$1,,,SUMPRODUCT(MAX(ROW(E$1:E6696)*(E2=E$1:E6696))))))</f>
        <v> </v>
      </c>
      <c r="K6697" s="26" t="str">
        <f>IF(OR(E6697="",E6697="!!!",F6697="NEW"),"",INDEX(J$1:J6696,SUMPRODUCT(MAX(ROW(E$1:E6696)*(E6697=E$1:E6696)))))</f>
        <v> </v>
      </c>
      <c r="L6697" s="27"/>
    </row>
    <row r="6698" spans="1:12">
      <c r="A6698" s="20" t="s">
        <v>195</v>
      </c>
      <c r="E6698" s="22">
        <f>IF(D6698="?OLD","!!!","")</f>
        <v/>
      </c>
      <c r="F6698" s="23" t="str">
        <f>IF(OR(E6698="",E6698="!!!"),"",IF(NOT(ISNA(VLOOKUP(E6698,E$1:E6697,1,FALSE()))),"OLD",IF(AND(E6698&lt;&gt;"",E6698&lt;&gt;"!!!"),"NEW","")))</f>
        <v> </v>
      </c>
      <c r="G6698" s="24" t="str">
        <f>IF(OR(E6698="",E6698="!!!"),"",IF(OR(J6698=0,AND(J6698=1,K6698=1),AND(J6698=1,I6698="SBJ"),AND(J6698=1,I6698=0)),"?IN_FOCUS",IF(J6698&lt;=2,"?ACTIVATED",IF(J6698&lt;&gt;"","?FAMILIAR",IF(F6698="NEW",IF(ISNA(VLOOKUP(E6698,#REF!,1,FALSE())),"?TYPE_IDENTIFIABLE","?REFERENTIAL"),"_")))))</f>
        <v> </v>
      </c>
      <c r="H6698" s="25" t="str">
        <f>IF(J6698&lt;&gt;1,"",IF(I6698="SBJ","CB","?"))</f>
        <v> </v>
      </c>
      <c r="I6698" s="26" t="str">
        <f>IF(OR(E6698="",E6698="!!!",F6698="NEW"),"",INDEX(B6697:B$2,-1+SUMPRODUCT(MAX(ROW(E6697:E$2)*(E6698=E6697:E$2)))))</f>
        <v> </v>
      </c>
      <c r="J6698" s="26" t="str">
        <f>IF(OR(E6698="",E6698="!!!",F6698="NEW"),"",COUNTBLANK(OFFSET(A$1,,,SUMPRODUCT(MAX(ROW(E$2:E6698)*(E6698=E$2:E6698)))))-COUNTBLANK(OFFSET(A$1,,,SUMPRODUCT(MAX(ROW(E$1:E6697)*(E2=E$1:E6697))))))</f>
        <v> </v>
      </c>
      <c r="K6698" s="26" t="str">
        <f>IF(OR(E6698="",E6698="!!!",F6698="NEW"),"",INDEX(J$1:J6697,SUMPRODUCT(MAX(ROW(E$1:E6697)*(E6698=E$1:E6697)))))</f>
        <v> </v>
      </c>
      <c r="L6698" s="27"/>
    </row>
    <row r="6699" spans="1:12">
      <c r="A6699" s="20" t="s">
        <v>1262</v>
      </c>
      <c r="E6699" s="22">
        <f>IF(D6699="?OLD","!!!","")</f>
        <v/>
      </c>
      <c r="F6699" s="23" t="str">
        <f>IF(OR(E6699="",E6699="!!!"),"",IF(NOT(ISNA(VLOOKUP(E6699,E$1:E6698,1,FALSE()))),"OLD",IF(AND(E6699&lt;&gt;"",E6699&lt;&gt;"!!!"),"NEW","")))</f>
        <v> </v>
      </c>
      <c r="G6699" s="24" t="str">
        <f>IF(OR(E6699="",E6699="!!!"),"",IF(OR(J6699=0,AND(J6699=1,K6699=1),AND(J6699=1,I6699="SBJ"),AND(J6699=1,I6699=0)),"?IN_FOCUS",IF(J6699&lt;=2,"?ACTIVATED",IF(J6699&lt;&gt;"","?FAMILIAR",IF(F6699="NEW",IF(ISNA(VLOOKUP(E6699,#REF!,1,FALSE())),"?TYPE_IDENTIFIABLE","?REFERENTIAL"),"_")))))</f>
        <v> </v>
      </c>
      <c r="H6699" s="25" t="str">
        <f>IF(J6699&lt;&gt;1,"",IF(I6699="SBJ","CB","?"))</f>
        <v> </v>
      </c>
      <c r="I6699" s="26" t="str">
        <f>IF(OR(E6699="",E6699="!!!",F6699="NEW"),"",INDEX(B6698:B$2,-1+SUMPRODUCT(MAX(ROW(E6698:E$2)*(E6699=E6698:E$2)))))</f>
        <v> </v>
      </c>
      <c r="J6699" s="26" t="str">
        <f>IF(OR(E6699="",E6699="!!!",F6699="NEW"),"",COUNTBLANK(OFFSET(A$1,,,SUMPRODUCT(MAX(ROW(E$2:E6699)*(E6699=E$2:E6699)))))-COUNTBLANK(OFFSET(A$1,,,SUMPRODUCT(MAX(ROW(E$1:E6698)*(E2=E$1:E6698))))))</f>
        <v> </v>
      </c>
      <c r="K6699" s="26" t="str">
        <f>IF(OR(E6699="",E6699="!!!",F6699="NEW"),"",INDEX(J$1:J6698,SUMPRODUCT(MAX(ROW(E$1:E6698)*(E6699=E$1:E6698)))))</f>
        <v> </v>
      </c>
      <c r="L6699" s="27"/>
    </row>
    <row r="6700" spans="1:12">
      <c r="A6700" s="20"/>
    </row>
    <row r="6701" spans="1:12">
      <c r="A6701" s="20" t="s">
        <v>2872</v>
      </c>
    </row>
    <row r="6702" spans="1:12">
      <c r="A6702" s="20" t="s">
        <v>1225</v>
      </c>
      <c r="E6702" s="22">
        <f>IF(D6702="?OLD","!!!","")</f>
        <v/>
      </c>
      <c r="F6702" s="23" t="str">
        <f>IF(OR(E6702="",E6702="!!!"),"",IF(NOT(ISNA(VLOOKUP(E6702,E$1:E6701,1,FALSE()))),"OLD",IF(AND(E6702&lt;&gt;"",E6702&lt;&gt;"!!!"),"NEW","")))</f>
        <v> </v>
      </c>
      <c r="G6702" s="24" t="str">
        <f>IF(OR(E6702="",E6702="!!!"),"",IF(OR(J6702=0,AND(J6702=1,K6702=1),AND(J6702=1,I6702="SBJ"),AND(J6702=1,I6702=0)),"?IN_FOCUS",IF(J6702&lt;=2,"?ACTIVATED",IF(J6702&lt;&gt;"","?FAMILIAR",IF(F6702="NEW",IF(ISNA(VLOOKUP(E6702,#REF!,1,FALSE())),"?TYPE_IDENTIFIABLE","?REFERENTIAL"),"_")))))</f>
        <v> </v>
      </c>
      <c r="H6702" s="25" t="str">
        <f>IF(J6702&lt;&gt;1,"",IF(I6702="SBJ","CB","?"))</f>
        <v> </v>
      </c>
      <c r="I6702" s="26" t="str">
        <f>IF(OR(E6702="",E6702="!!!",F6702="NEW"),"",INDEX(B6701:B$2,-1+SUMPRODUCT(MAX(ROW(E6701:E$2)*(E6702=E6701:E$2)))))</f>
        <v> </v>
      </c>
      <c r="J6702" s="26" t="str">
        <f>IF(OR(E6702="",E6702="!!!",F6702="NEW"),"",COUNTBLANK(OFFSET(A$1,,,SUMPRODUCT(MAX(ROW(E$2:E6702)*(E6702=E$2:E6702)))))-COUNTBLANK(OFFSET(A$1,,,SUMPRODUCT(MAX(ROW(E$1:E6701)*(E2=E$1:E6701))))))</f>
        <v> </v>
      </c>
      <c r="K6702" s="26" t="str">
        <f>IF(OR(E6702="",E6702="!!!",F6702="NEW"),"",INDEX(J$1:J6701,SUMPRODUCT(MAX(ROW(E$1:E6701)*(E6702=E$1:E6701)))))</f>
        <v> </v>
      </c>
      <c r="L6702" s="27"/>
    </row>
    <row r="6703" spans="1:12">
      <c r="A6703" s="20" t="s">
        <v>1286</v>
      </c>
      <c r="B6703" s="21" t="s">
        <v>1123</v>
      </c>
      <c r="C6703" s="21" t="s">
        <v>1151</v>
      </c>
      <c r="D6703" s="21" t="s">
        <v>1065</v>
      </c>
      <c r="E6703" s="22">
        <f>IF(D6703="?OLD","!!!","")</f>
        <v/>
      </c>
      <c r="F6703" s="23" t="str">
        <f>IF(OR(E6703="",E6703="!!!"),"",IF(NOT(ISNA(VLOOKUP(E6703,E$1:E6702,1,FALSE()))),"OLD",IF(AND(E6703&lt;&gt;"",E6703&lt;&gt;"!!!"),"NEW","")))</f>
        <v> </v>
      </c>
      <c r="G6703" s="24" t="str">
        <f>IF(OR(E6703="",E6703="!!!"),"",IF(OR(J6703=0,AND(J6703=1,K6703=1),AND(J6703=1,I6703="SBJ"),AND(J6703=1,I6703=0)),"?IN_FOCUS",IF(J6703&lt;=2,"?ACTIVATED",IF(J6703&lt;&gt;"","?FAMILIAR",IF(F6703="NEW",IF(ISNA(VLOOKUP(E6703,#REF!,1,FALSE())),"?TYPE_IDENTIFIABLE","?REFERENTIAL"),"_")))))</f>
        <v> </v>
      </c>
      <c r="H6703" s="25" t="str">
        <f>IF(J6703&lt;&gt;1,"",IF(I6703="SBJ","CB","?"))</f>
        <v> </v>
      </c>
      <c r="I6703" s="26" t="str">
        <f>IF(OR(E6703="",E6703="!!!",F6703="NEW"),"",INDEX(B6702:B$2,-1+SUMPRODUCT(MAX(ROW(E6702:E$2)*(E6703=E6702:E$2)))))</f>
        <v> </v>
      </c>
      <c r="J6703" s="26" t="str">
        <f>IF(OR(E6703="",E6703="!!!",F6703="NEW"),"",COUNTBLANK(OFFSET(A$1,,,SUMPRODUCT(MAX(ROW(E$2:E6703)*(E6703=E$2:E6703)))))-COUNTBLANK(OFFSET(A$1,,,SUMPRODUCT(MAX(ROW(E$1:E6702)*(E2=E$1:E6702))))))</f>
        <v> </v>
      </c>
      <c r="K6703" s="26" t="str">
        <f>IF(OR(E6703="",E6703="!!!",F6703="NEW"),"",INDEX(J$1:J6702,SUMPRODUCT(MAX(ROW(E$1:E6702)*(E6703=E$1:E6702)))))</f>
        <v> </v>
      </c>
      <c r="L6703" s="27"/>
    </row>
    <row r="6704" spans="1:12">
      <c r="A6704" s="20" t="s">
        <v>2873</v>
      </c>
      <c r="E6704" s="22">
        <f>IF(D6704="?OLD","!!!","")</f>
        <v/>
      </c>
      <c r="F6704" s="23" t="str">
        <f>IF(OR(E6704="",E6704="!!!"),"",IF(NOT(ISNA(VLOOKUP(E6704,E$1:E6703,1,FALSE()))),"OLD",IF(AND(E6704&lt;&gt;"",E6704&lt;&gt;"!!!"),"NEW","")))</f>
        <v> </v>
      </c>
      <c r="G6704" s="24" t="str">
        <f>IF(OR(E6704="",E6704="!!!"),"",IF(OR(J6704=0,AND(J6704=1,K6704=1),AND(J6704=1,I6704="SBJ"),AND(J6704=1,I6704=0)),"?IN_FOCUS",IF(J6704&lt;=2,"?ACTIVATED",IF(J6704&lt;&gt;"","?FAMILIAR",IF(F6704="NEW",IF(ISNA(VLOOKUP(E6704,#REF!,1,FALSE())),"?TYPE_IDENTIFIABLE","?REFERENTIAL"),"_")))))</f>
        <v> </v>
      </c>
      <c r="H6704" s="25" t="str">
        <f>IF(J6704&lt;&gt;1,"",IF(I6704="SBJ","CB","?"))</f>
        <v> </v>
      </c>
      <c r="I6704" s="26" t="str">
        <f>IF(OR(E6704="",E6704="!!!",F6704="NEW"),"",INDEX(B6703:B$2,-1+SUMPRODUCT(MAX(ROW(E6703:E$2)*(E6704=E6703:E$2)))))</f>
        <v> </v>
      </c>
      <c r="J6704" s="26" t="str">
        <f>IF(OR(E6704="",E6704="!!!",F6704="NEW"),"",COUNTBLANK(OFFSET(A$1,,,SUMPRODUCT(MAX(ROW(E$2:E6704)*(E6704=E$2:E6704)))))-COUNTBLANK(OFFSET(A$1,,,SUMPRODUCT(MAX(ROW(E$1:E6703)*(E2=E$1:E6703))))))</f>
        <v> </v>
      </c>
      <c r="K6704" s="26" t="str">
        <f>IF(OR(E6704="",E6704="!!!",F6704="NEW"),"",INDEX(J$1:J6703,SUMPRODUCT(MAX(ROW(E$1:E6703)*(E6704=E$1:E6703)))))</f>
        <v> </v>
      </c>
      <c r="L6704" s="27"/>
    </row>
    <row r="6705" spans="1:12">
      <c r="A6705" s="20" t="s">
        <v>2874</v>
      </c>
      <c r="E6705" s="22">
        <f>IF(D6705="?OLD","!!!","")</f>
        <v/>
      </c>
      <c r="F6705" s="23" t="str">
        <f>IF(OR(E6705="",E6705="!!!"),"",IF(NOT(ISNA(VLOOKUP(E6705,E$1:E6704,1,FALSE()))),"OLD",IF(AND(E6705&lt;&gt;"",E6705&lt;&gt;"!!!"),"NEW","")))</f>
        <v> </v>
      </c>
      <c r="G6705" s="24" t="str">
        <f>IF(OR(E6705="",E6705="!!!"),"",IF(OR(J6705=0,AND(J6705=1,K6705=1),AND(J6705=1,I6705="SBJ"),AND(J6705=1,I6705=0)),"?IN_FOCUS",IF(J6705&lt;=2,"?ACTIVATED",IF(J6705&lt;&gt;"","?FAMILIAR",IF(F6705="NEW",IF(ISNA(VLOOKUP(E6705,#REF!,1,FALSE())),"?TYPE_IDENTIFIABLE","?REFERENTIAL"),"_")))))</f>
        <v> </v>
      </c>
      <c r="H6705" s="25" t="str">
        <f>IF(J6705&lt;&gt;1,"",IF(I6705="SBJ","CB","?"))</f>
        <v> </v>
      </c>
      <c r="I6705" s="26" t="str">
        <f>IF(OR(E6705="",E6705="!!!",F6705="NEW"),"",INDEX(B6704:B$2,-1+SUMPRODUCT(MAX(ROW(E6704:E$2)*(E6705=E6704:E$2)))))</f>
        <v> </v>
      </c>
      <c r="J6705" s="26" t="str">
        <f>IF(OR(E6705="",E6705="!!!",F6705="NEW"),"",COUNTBLANK(OFFSET(A$1,,,SUMPRODUCT(MAX(ROW(E$2:E6705)*(E6705=E$2:E6705)))))-COUNTBLANK(OFFSET(A$1,,,SUMPRODUCT(MAX(ROW(E$1:E6704)*(E2=E$1:E6704))))))</f>
        <v> </v>
      </c>
      <c r="K6705" s="26" t="str">
        <f>IF(OR(E6705="",E6705="!!!",F6705="NEW"),"",INDEX(J$1:J6704,SUMPRODUCT(MAX(ROW(E$1:E6704)*(E6705=E$1:E6704)))))</f>
        <v> </v>
      </c>
      <c r="L6705" s="27"/>
    </row>
    <row r="6706" spans="1:12">
      <c r="A6706" s="20" t="s">
        <v>1204</v>
      </c>
      <c r="B6706" s="21" t="s">
        <v>1154</v>
      </c>
      <c r="C6706" s="21" t="s">
        <v>1151</v>
      </c>
      <c r="D6706" s="21" t="s">
        <v>1065</v>
      </c>
      <c r="E6706" s="22">
        <f>IF(D6706="?OLD","!!!","")</f>
        <v/>
      </c>
      <c r="F6706" s="23" t="str">
        <f>IF(OR(E6706="",E6706="!!!"),"",IF(NOT(ISNA(VLOOKUP(E6706,E$1:E6705,1,FALSE()))),"OLD",IF(AND(E6706&lt;&gt;"",E6706&lt;&gt;"!!!"),"NEW","")))</f>
        <v> </v>
      </c>
      <c r="G6706" s="24" t="str">
        <f>IF(OR(E6706="",E6706="!!!"),"",IF(OR(J6706=0,AND(J6706=1,K6706=1),AND(J6706=1,I6706="SBJ"),AND(J6706=1,I6706=0)),"?IN_FOCUS",IF(J6706&lt;=2,"?ACTIVATED",IF(J6706&lt;&gt;"","?FAMILIAR",IF(F6706="NEW",IF(ISNA(VLOOKUP(E6706,#REF!,1,FALSE())),"?TYPE_IDENTIFIABLE","?REFERENTIAL"),"_")))))</f>
        <v> </v>
      </c>
      <c r="H6706" s="25" t="str">
        <f>IF(J6706&lt;&gt;1,"",IF(I6706="SBJ","CB","?"))</f>
        <v> </v>
      </c>
      <c r="I6706" s="26" t="str">
        <f>IF(OR(E6706="",E6706="!!!",F6706="NEW"),"",INDEX(B6705:B$2,-1+SUMPRODUCT(MAX(ROW(E6705:E$2)*(E6706=E6705:E$2)))))</f>
        <v> </v>
      </c>
      <c r="J6706" s="26" t="str">
        <f>IF(OR(E6706="",E6706="!!!",F6706="NEW"),"",COUNTBLANK(OFFSET(A$1,,,SUMPRODUCT(MAX(ROW(E$2:E6706)*(E6706=E$2:E6706)))))-COUNTBLANK(OFFSET(A$1,,,SUMPRODUCT(MAX(ROW(E$1:E6705)*(E2=E$1:E6705))))))</f>
        <v> </v>
      </c>
      <c r="K6706" s="26" t="str">
        <f>IF(OR(E6706="",E6706="!!!",F6706="NEW"),"",INDEX(J$1:J6705,SUMPRODUCT(MAX(ROW(E$1:E6705)*(E6706=E$1:E6705)))))</f>
        <v> </v>
      </c>
      <c r="L6706" s="27"/>
    </row>
    <row r="6707" spans="1:12">
      <c r="A6707" s="20" t="s">
        <v>1106</v>
      </c>
      <c r="E6707" s="22">
        <f>IF(D6707="?OLD","!!!","")</f>
        <v/>
      </c>
      <c r="F6707" s="23" t="str">
        <f>IF(OR(E6707="",E6707="!!!"),"",IF(NOT(ISNA(VLOOKUP(E6707,E$1:E6706,1,FALSE()))),"OLD",IF(AND(E6707&lt;&gt;"",E6707&lt;&gt;"!!!"),"NEW","")))</f>
        <v> </v>
      </c>
      <c r="G6707" s="24" t="str">
        <f>IF(OR(E6707="",E6707="!!!"),"",IF(OR(J6707=0,AND(J6707=1,K6707=1),AND(J6707=1,I6707="SBJ"),AND(J6707=1,I6707=0)),"?IN_FOCUS",IF(J6707&lt;=2,"?ACTIVATED",IF(J6707&lt;&gt;"","?FAMILIAR",IF(F6707="NEW",IF(ISNA(VLOOKUP(E6707,#REF!,1,FALSE())),"?TYPE_IDENTIFIABLE","?REFERENTIAL"),"_")))))</f>
        <v> </v>
      </c>
      <c r="H6707" s="25" t="str">
        <f>IF(J6707&lt;&gt;1,"",IF(I6707="SBJ","CB","?"))</f>
        <v> </v>
      </c>
      <c r="I6707" s="26" t="str">
        <f>IF(OR(E6707="",E6707="!!!",F6707="NEW"),"",INDEX(B6706:B$2,-1+SUMPRODUCT(MAX(ROW(E6706:E$2)*(E6707=E6706:E$2)))))</f>
        <v> </v>
      </c>
      <c r="J6707" s="26" t="str">
        <f>IF(OR(E6707="",E6707="!!!",F6707="NEW"),"",COUNTBLANK(OFFSET(A$1,,,SUMPRODUCT(MAX(ROW(E$2:E6707)*(E6707=E$2:E6707)))))-COUNTBLANK(OFFSET(A$1,,,SUMPRODUCT(MAX(ROW(E$1:E6706)*(E2=E$1:E6706))))))</f>
        <v> </v>
      </c>
      <c r="K6707" s="26" t="str">
        <f>IF(OR(E6707="",E6707="!!!",F6707="NEW"),"",INDEX(J$1:J6706,SUMPRODUCT(MAX(ROW(E$1:E6706)*(E6707=E$1:E6706)))))</f>
        <v> </v>
      </c>
      <c r="L6707" s="27"/>
    </row>
    <row r="6708" spans="1:12">
      <c r="A6708" s="20" t="s">
        <v>1107</v>
      </c>
      <c r="E6708" s="22">
        <f>IF(D6708="?OLD","!!!","")</f>
        <v/>
      </c>
      <c r="F6708" s="23" t="str">
        <f>IF(OR(E6708="",E6708="!!!"),"",IF(NOT(ISNA(VLOOKUP(E6708,E$1:E6707,1,FALSE()))),"OLD",IF(AND(E6708&lt;&gt;"",E6708&lt;&gt;"!!!"),"NEW","")))</f>
        <v> </v>
      </c>
      <c r="G6708" s="24" t="str">
        <f>IF(OR(E6708="",E6708="!!!"),"",IF(OR(J6708=0,AND(J6708=1,K6708=1),AND(J6708=1,I6708="SBJ"),AND(J6708=1,I6708=0)),"?IN_FOCUS",IF(J6708&lt;=2,"?ACTIVATED",IF(J6708&lt;&gt;"","?FAMILIAR",IF(F6708="NEW",IF(ISNA(VLOOKUP(E6708,#REF!,1,FALSE())),"?TYPE_IDENTIFIABLE","?REFERENTIAL"),"_")))))</f>
        <v> </v>
      </c>
      <c r="H6708" s="25" t="str">
        <f>IF(J6708&lt;&gt;1,"",IF(I6708="SBJ","CB","?"))</f>
        <v> </v>
      </c>
      <c r="I6708" s="26" t="str">
        <f>IF(OR(E6708="",E6708="!!!",F6708="NEW"),"",INDEX(B6707:B$2,-1+SUMPRODUCT(MAX(ROW(E6707:E$2)*(E6708=E6707:E$2)))))</f>
        <v> </v>
      </c>
      <c r="J6708" s="26" t="str">
        <f>IF(OR(E6708="",E6708="!!!",F6708="NEW"),"",COUNTBLANK(OFFSET(A$1,,,SUMPRODUCT(MAX(ROW(E$2:E6708)*(E6708=E$2:E6708)))))-COUNTBLANK(OFFSET(A$1,,,SUMPRODUCT(MAX(ROW(E$1:E6707)*(E2=E$1:E6707))))))</f>
        <v> </v>
      </c>
      <c r="K6708" s="26" t="str">
        <f>IF(OR(E6708="",E6708="!!!",F6708="NEW"),"",INDEX(J$1:J6707,SUMPRODUCT(MAX(ROW(E$1:E6707)*(E6708=E$1:E6707)))))</f>
        <v> </v>
      </c>
      <c r="L6708" s="27"/>
    </row>
    <row r="6709" spans="1:12">
      <c r="A6709" s="20" t="s">
        <v>1986</v>
      </c>
      <c r="E6709" s="22">
        <f>IF(D6709="?OLD","!!!","")</f>
        <v/>
      </c>
      <c r="F6709" s="23" t="str">
        <f>IF(OR(E6709="",E6709="!!!"),"",IF(NOT(ISNA(VLOOKUP(E6709,E$1:E6708,1,FALSE()))),"OLD",IF(AND(E6709&lt;&gt;"",E6709&lt;&gt;"!!!"),"NEW","")))</f>
        <v> </v>
      </c>
      <c r="G6709" s="24" t="str">
        <f>IF(OR(E6709="",E6709="!!!"),"",IF(OR(J6709=0,AND(J6709=1,K6709=1),AND(J6709=1,I6709="SBJ"),AND(J6709=1,I6709=0)),"?IN_FOCUS",IF(J6709&lt;=2,"?ACTIVATED",IF(J6709&lt;&gt;"","?FAMILIAR",IF(F6709="NEW",IF(ISNA(VLOOKUP(E6709,#REF!,1,FALSE())),"?TYPE_IDENTIFIABLE","?REFERENTIAL"),"_")))))</f>
        <v> </v>
      </c>
      <c r="H6709" s="25" t="str">
        <f>IF(J6709&lt;&gt;1,"",IF(I6709="SBJ","CB","?"))</f>
        <v> </v>
      </c>
      <c r="I6709" s="26" t="str">
        <f>IF(OR(E6709="",E6709="!!!",F6709="NEW"),"",INDEX(B6708:B$2,-1+SUMPRODUCT(MAX(ROW(E6708:E$2)*(E6709=E6708:E$2)))))</f>
        <v> </v>
      </c>
      <c r="J6709" s="26" t="str">
        <f>IF(OR(E6709="",E6709="!!!",F6709="NEW"),"",COUNTBLANK(OFFSET(A$1,,,SUMPRODUCT(MAX(ROW(E$2:E6709)*(E6709=E$2:E6709)))))-COUNTBLANK(OFFSET(A$1,,,SUMPRODUCT(MAX(ROW(E$1:E6708)*(E2=E$1:E6708))))))</f>
        <v> </v>
      </c>
      <c r="K6709" s="26" t="str">
        <f>IF(OR(E6709="",E6709="!!!",F6709="NEW"),"",INDEX(J$1:J6708,SUMPRODUCT(MAX(ROW(E$1:E6708)*(E6709=E$1:E6708)))))</f>
        <v> </v>
      </c>
      <c r="L6709" s="27"/>
    </row>
    <row r="6710" spans="1:12">
      <c r="A6710" s="20" t="s">
        <v>1983</v>
      </c>
      <c r="B6710" s="21" t="s">
        <v>1080</v>
      </c>
      <c r="C6710" s="21" t="s">
        <v>1109</v>
      </c>
      <c r="E6710" s="22">
        <f>IF(D6710="?OLD","!!!","")</f>
        <v/>
      </c>
      <c r="F6710" s="23" t="str">
        <f>IF(OR(E6710="",E6710="!!!"),"",IF(NOT(ISNA(VLOOKUP(E6710,E$1:E6709,1,FALSE()))),"OLD",IF(AND(E6710&lt;&gt;"",E6710&lt;&gt;"!!!"),"NEW","")))</f>
        <v> </v>
      </c>
      <c r="G6710" s="24" t="str">
        <f>IF(OR(E6710="",E6710="!!!"),"",IF(OR(J6710=0,AND(J6710=1,K6710=1),AND(J6710=1,I6710="SBJ"),AND(J6710=1,I6710=0)),"?IN_FOCUS",IF(J6710&lt;=2,"?ACTIVATED",IF(J6710&lt;&gt;"","?FAMILIAR",IF(F6710="NEW",IF(ISNA(VLOOKUP(E6710,#REF!,1,FALSE())),"?TYPE_IDENTIFIABLE","?REFERENTIAL"),"_")))))</f>
        <v> </v>
      </c>
      <c r="H6710" s="25" t="str">
        <f>IF(J6710&lt;&gt;1,"",IF(I6710="SBJ","CB","?"))</f>
        <v> </v>
      </c>
      <c r="I6710" s="26" t="str">
        <f>IF(OR(E6710="",E6710="!!!",F6710="NEW"),"",INDEX(B6709:B$2,-1+SUMPRODUCT(MAX(ROW(E6709:E$2)*(E6710=E6709:E$2)))))</f>
        <v> </v>
      </c>
      <c r="J6710" s="26" t="str">
        <f>IF(OR(E6710="",E6710="!!!",F6710="NEW"),"",COUNTBLANK(OFFSET(A$1,,,SUMPRODUCT(MAX(ROW(E$2:E6710)*(E6710=E$2:E6710)))))-COUNTBLANK(OFFSET(A$1,,,SUMPRODUCT(MAX(ROW(E$1:E6709)*(E2=E$1:E6709))))))</f>
        <v> </v>
      </c>
      <c r="K6710" s="26" t="str">
        <f>IF(OR(E6710="",E6710="!!!",F6710="NEW"),"",INDEX(J$1:J6709,SUMPRODUCT(MAX(ROW(E$1:E6709)*(E6710=E$1:E6709)))))</f>
        <v> </v>
      </c>
      <c r="L6710" s="27"/>
    </row>
    <row r="6711" spans="1:12">
      <c r="A6711" s="20" t="s">
        <v>1076</v>
      </c>
      <c r="E6711" s="22">
        <f>IF(D6711="?OLD","!!!","")</f>
        <v/>
      </c>
      <c r="F6711" s="23" t="str">
        <f>IF(OR(E6711="",E6711="!!!"),"",IF(NOT(ISNA(VLOOKUP(E6711,E$1:E6710,1,FALSE()))),"OLD",IF(AND(E6711&lt;&gt;"",E6711&lt;&gt;"!!!"),"NEW","")))</f>
        <v> </v>
      </c>
      <c r="G6711" s="24" t="str">
        <f>IF(OR(E6711="",E6711="!!!"),"",IF(OR(J6711=0,AND(J6711=1,K6711=1),AND(J6711=1,I6711="SBJ"),AND(J6711=1,I6711=0)),"?IN_FOCUS",IF(J6711&lt;=2,"?ACTIVATED",IF(J6711&lt;&gt;"","?FAMILIAR",IF(F6711="NEW",IF(ISNA(VLOOKUP(E6711,#REF!,1,FALSE())),"?TYPE_IDENTIFIABLE","?REFERENTIAL"),"_")))))</f>
        <v> </v>
      </c>
      <c r="H6711" s="25" t="str">
        <f>IF(J6711&lt;&gt;1,"",IF(I6711="SBJ","CB","?"))</f>
        <v> </v>
      </c>
      <c r="I6711" s="26" t="str">
        <f>IF(OR(E6711="",E6711="!!!",F6711="NEW"),"",INDEX(B6710:B$2,-1+SUMPRODUCT(MAX(ROW(E6710:E$2)*(E6711=E6710:E$2)))))</f>
        <v> </v>
      </c>
      <c r="J6711" s="26" t="str">
        <f>IF(OR(E6711="",E6711="!!!",F6711="NEW"),"",COUNTBLANK(OFFSET(A$1,,,SUMPRODUCT(MAX(ROW(E$2:E6711)*(E6711=E$2:E6711)))))-COUNTBLANK(OFFSET(A$1,,,SUMPRODUCT(MAX(ROW(E$1:E6710)*(E2=E$1:E6710))))))</f>
        <v> </v>
      </c>
      <c r="K6711" s="26" t="str">
        <f>IF(OR(E6711="",E6711="!!!",F6711="NEW"),"",INDEX(J$1:J6710,SUMPRODUCT(MAX(ROW(E$1:E6710)*(E6711=E$1:E6710)))))</f>
        <v> </v>
      </c>
      <c r="L6711" s="27"/>
    </row>
    <row r="6712" spans="1:12">
      <c r="A6712" s="20" t="s">
        <v>2875</v>
      </c>
      <c r="B6712" s="21" t="s">
        <v>1063</v>
      </c>
      <c r="C6712" s="21" t="s">
        <v>1140</v>
      </c>
      <c r="E6712" s="22">
        <f>IF(D6712="?OLD","!!!","")</f>
        <v/>
      </c>
      <c r="F6712" s="23" t="str">
        <f>IF(OR(E6712="",E6712="!!!"),"",IF(NOT(ISNA(VLOOKUP(E6712,E$1:E6711,1,FALSE()))),"OLD",IF(AND(E6712&lt;&gt;"",E6712&lt;&gt;"!!!"),"NEW","")))</f>
        <v> </v>
      </c>
      <c r="G6712" s="24" t="str">
        <f>IF(OR(E6712="",E6712="!!!"),"",IF(OR(J6712=0,AND(J6712=1,K6712=1),AND(J6712=1,I6712="SBJ"),AND(J6712=1,I6712=0)),"?IN_FOCUS",IF(J6712&lt;=2,"?ACTIVATED",IF(J6712&lt;&gt;"","?FAMILIAR",IF(F6712="NEW",IF(ISNA(VLOOKUP(E6712,#REF!,1,FALSE())),"?TYPE_IDENTIFIABLE","?REFERENTIAL"),"_")))))</f>
        <v> </v>
      </c>
      <c r="H6712" s="25" t="str">
        <f>IF(J6712&lt;&gt;1,"",IF(I6712="SBJ","CB","?"))</f>
        <v> </v>
      </c>
      <c r="I6712" s="26" t="str">
        <f>IF(OR(E6712="",E6712="!!!",F6712="NEW"),"",INDEX(B6711:B$2,-1+SUMPRODUCT(MAX(ROW(E6711:E$2)*(E6712=E6711:E$2)))))</f>
        <v> </v>
      </c>
      <c r="J6712" s="26" t="str">
        <f>IF(OR(E6712="",E6712="!!!",F6712="NEW"),"",COUNTBLANK(OFFSET(A$1,,,SUMPRODUCT(MAX(ROW(E$2:E6712)*(E6712=E$2:E6712)))))-COUNTBLANK(OFFSET(A$1,,,SUMPRODUCT(MAX(ROW(E$1:E6711)*(E2=E$1:E6711))))))</f>
        <v> </v>
      </c>
      <c r="K6712" s="26" t="str">
        <f>IF(OR(E6712="",E6712="!!!",F6712="NEW"),"",INDEX(J$1:J6711,SUMPRODUCT(MAX(ROW(E$1:E6711)*(E6712=E$1:E6711)))))</f>
        <v> </v>
      </c>
      <c r="L6712" s="27"/>
    </row>
    <row r="6713" spans="1:12">
      <c r="A6713" s="20" t="s">
        <v>1214</v>
      </c>
      <c r="E6713" s="22">
        <f>IF(D6713="?OLD","!!!","")</f>
        <v/>
      </c>
      <c r="F6713" s="23" t="str">
        <f>IF(OR(E6713="",E6713="!!!"),"",IF(NOT(ISNA(VLOOKUP(E6713,E$1:E6712,1,FALSE()))),"OLD",IF(AND(E6713&lt;&gt;"",E6713&lt;&gt;"!!!"),"NEW","")))</f>
        <v> </v>
      </c>
      <c r="G6713" s="24" t="str">
        <f>IF(OR(E6713="",E6713="!!!"),"",IF(OR(J6713=0,AND(J6713=1,K6713=1),AND(J6713=1,I6713="SBJ"),AND(J6713=1,I6713=0)),"?IN_FOCUS",IF(J6713&lt;=2,"?ACTIVATED",IF(J6713&lt;&gt;"","?FAMILIAR",IF(F6713="NEW",IF(ISNA(VLOOKUP(E6713,#REF!,1,FALSE())),"?TYPE_IDENTIFIABLE","?REFERENTIAL"),"_")))))</f>
        <v> </v>
      </c>
      <c r="H6713" s="25" t="str">
        <f>IF(J6713&lt;&gt;1,"",IF(I6713="SBJ","CB","?"))</f>
        <v> </v>
      </c>
      <c r="I6713" s="26" t="str">
        <f>IF(OR(E6713="",E6713="!!!",F6713="NEW"),"",INDEX(B6712:B$2,-1+SUMPRODUCT(MAX(ROW(E6712:E$2)*(E6713=E6712:E$2)))))</f>
        <v> </v>
      </c>
      <c r="J6713" s="26" t="str">
        <f>IF(OR(E6713="",E6713="!!!",F6713="NEW"),"",COUNTBLANK(OFFSET(A$1,,,SUMPRODUCT(MAX(ROW(E$2:E6713)*(E6713=E$2:E6713)))))-COUNTBLANK(OFFSET(A$1,,,SUMPRODUCT(MAX(ROW(E$1:E6712)*(E2=E$1:E6712))))))</f>
        <v> </v>
      </c>
      <c r="K6713" s="26" t="str">
        <f>IF(OR(E6713="",E6713="!!!",F6713="NEW"),"",INDEX(J$1:J6712,SUMPRODUCT(MAX(ROW(E$1:E6712)*(E6713=E$1:E6712)))))</f>
        <v> </v>
      </c>
      <c r="L6713" s="27"/>
    </row>
    <row r="6714" spans="1:12">
      <c r="A6714" s="20" t="s">
        <v>1204</v>
      </c>
      <c r="E6714" s="22">
        <f>IF(D6714="?OLD","!!!","")</f>
        <v/>
      </c>
      <c r="F6714" s="23" t="str">
        <f>IF(OR(E6714="",E6714="!!!"),"",IF(NOT(ISNA(VLOOKUP(E6714,E$1:E6713,1,FALSE()))),"OLD",IF(AND(E6714&lt;&gt;"",E6714&lt;&gt;"!!!"),"NEW","")))</f>
        <v> </v>
      </c>
      <c r="G6714" s="24" t="str">
        <f>IF(OR(E6714="",E6714="!!!"),"",IF(OR(J6714=0,AND(J6714=1,K6714=1),AND(J6714=1,I6714="SBJ"),AND(J6714=1,I6714=0)),"?IN_FOCUS",IF(J6714&lt;=2,"?ACTIVATED",IF(J6714&lt;&gt;"","?FAMILIAR",IF(F6714="NEW",IF(ISNA(VLOOKUP(E6714,#REF!,1,FALSE())),"?TYPE_IDENTIFIABLE","?REFERENTIAL"),"_")))))</f>
        <v> </v>
      </c>
      <c r="H6714" s="25" t="str">
        <f>IF(J6714&lt;&gt;1,"",IF(I6714="SBJ","CB","?"))</f>
        <v> </v>
      </c>
      <c r="I6714" s="26" t="str">
        <f>IF(OR(E6714="",E6714="!!!",F6714="NEW"),"",INDEX(B6713:B$2,-1+SUMPRODUCT(MAX(ROW(E6713:E$2)*(E6714=E6713:E$2)))))</f>
        <v> </v>
      </c>
      <c r="J6714" s="26" t="str">
        <f>IF(OR(E6714="",E6714="!!!",F6714="NEW"),"",COUNTBLANK(OFFSET(A$1,,,SUMPRODUCT(MAX(ROW(E$2:E6714)*(E6714=E$2:E6714)))))-COUNTBLANK(OFFSET(A$1,,,SUMPRODUCT(MAX(ROW(E$1:E6713)*(E2=E$1:E6713))))))</f>
        <v> </v>
      </c>
      <c r="K6714" s="26" t="str">
        <f>IF(OR(E6714="",E6714="!!!",F6714="NEW"),"",INDEX(J$1:J6713,SUMPRODUCT(MAX(ROW(E$1:E6713)*(E6714=E$1:E6713)))))</f>
        <v> </v>
      </c>
      <c r="L6714" s="27"/>
    </row>
    <row r="6715" spans="1:12">
      <c r="A6715" s="20" t="s">
        <v>2460</v>
      </c>
      <c r="B6715" s="21" t="s">
        <v>1080</v>
      </c>
      <c r="C6715" s="21" t="s">
        <v>1119</v>
      </c>
      <c r="D6715" s="21" t="s">
        <v>1065</v>
      </c>
      <c r="E6715" s="22">
        <f>IF(D6715="?OLD","!!!","")</f>
        <v/>
      </c>
      <c r="F6715" s="23" t="str">
        <f>IF(OR(E6715="",E6715="!!!"),"",IF(NOT(ISNA(VLOOKUP(E6715,E$1:E6714,1,FALSE()))),"OLD",IF(AND(E6715&lt;&gt;"",E6715&lt;&gt;"!!!"),"NEW","")))</f>
        <v> </v>
      </c>
      <c r="G6715" s="24" t="str">
        <f>IF(OR(E6715="",E6715="!!!"),"",IF(OR(J6715=0,AND(J6715=1,K6715=1),AND(J6715=1,I6715="SBJ"),AND(J6715=1,I6715=0)),"?IN_FOCUS",IF(J6715&lt;=2,"?ACTIVATED",IF(J6715&lt;&gt;"","?FAMILIAR",IF(F6715="NEW",IF(ISNA(VLOOKUP(E6715,#REF!,1,FALSE())),"?TYPE_IDENTIFIABLE","?REFERENTIAL"),"_")))))</f>
        <v> </v>
      </c>
      <c r="H6715" s="25" t="str">
        <f>IF(J6715&lt;&gt;1,"",IF(I6715="SBJ","CB","?"))</f>
        <v> </v>
      </c>
      <c r="I6715" s="26" t="str">
        <f>IF(OR(E6715="",E6715="!!!",F6715="NEW"),"",INDEX(B6714:B$2,-1+SUMPRODUCT(MAX(ROW(E6714:E$2)*(E6715=E6714:E$2)))))</f>
        <v> </v>
      </c>
      <c r="J6715" s="26" t="str">
        <f>IF(OR(E6715="",E6715="!!!",F6715="NEW"),"",COUNTBLANK(OFFSET(A$1,,,SUMPRODUCT(MAX(ROW(E$2:E6715)*(E6715=E$2:E6715)))))-COUNTBLANK(OFFSET(A$1,,,SUMPRODUCT(MAX(ROW(E$1:E6714)*(E2=E$1:E6714))))))</f>
        <v> </v>
      </c>
      <c r="K6715" s="26" t="str">
        <f>IF(OR(E6715="",E6715="!!!",F6715="NEW"),"",INDEX(J$1:J6714,SUMPRODUCT(MAX(ROW(E$1:E6714)*(E6715=E$1:E6714)))))</f>
        <v> </v>
      </c>
      <c r="L6715" s="27"/>
    </row>
    <row r="6716" spans="1:12">
      <c r="A6716" s="20" t="s">
        <v>1983</v>
      </c>
      <c r="B6716" s="21" t="s">
        <v>1150</v>
      </c>
      <c r="C6716" s="21" t="s">
        <v>1075</v>
      </c>
      <c r="D6716" s="21" t="s">
        <v>1065</v>
      </c>
      <c r="E6716" s="22">
        <f>IF(D6716="?OLD","!!!","")</f>
        <v/>
      </c>
      <c r="F6716" s="23" t="str">
        <f>IF(OR(E6716="",E6716="!!!"),"",IF(NOT(ISNA(VLOOKUP(E6716,E$1:E6715,1,FALSE()))),"OLD",IF(AND(E6716&lt;&gt;"",E6716&lt;&gt;"!!!"),"NEW","")))</f>
        <v> </v>
      </c>
      <c r="G6716" s="24" t="str">
        <f>IF(OR(E6716="",E6716="!!!"),"",IF(OR(J6716=0,AND(J6716=1,K6716=1),AND(J6716=1,I6716="SBJ"),AND(J6716=1,I6716=0)),"?IN_FOCUS",IF(J6716&lt;=2,"?ACTIVATED",IF(J6716&lt;&gt;"","?FAMILIAR",IF(F6716="NEW",IF(ISNA(VLOOKUP(E6716,#REF!,1,FALSE())),"?TYPE_IDENTIFIABLE","?REFERENTIAL"),"_")))))</f>
        <v> </v>
      </c>
      <c r="H6716" s="25" t="str">
        <f>IF(J6716&lt;&gt;1,"",IF(I6716="SBJ","CB","?"))</f>
        <v> </v>
      </c>
      <c r="I6716" s="26" t="str">
        <f>IF(OR(E6716="",E6716="!!!",F6716="NEW"),"",INDEX(B6715:B$2,-1+SUMPRODUCT(MAX(ROW(E6715:E$2)*(E6716=E6715:E$2)))))</f>
        <v> </v>
      </c>
      <c r="J6716" s="26" t="str">
        <f>IF(OR(E6716="",E6716="!!!",F6716="NEW"),"",COUNTBLANK(OFFSET(A$1,,,SUMPRODUCT(MAX(ROW(E$2:E6716)*(E6716=E$2:E6716)))))-COUNTBLANK(OFFSET(A$1,,,SUMPRODUCT(MAX(ROW(E$1:E6715)*(E2=E$1:E6715))))))</f>
        <v> </v>
      </c>
      <c r="K6716" s="26" t="str">
        <f>IF(OR(E6716="",E6716="!!!",F6716="NEW"),"",INDEX(J$1:J6715,SUMPRODUCT(MAX(ROW(E$1:E6715)*(E6716=E$1:E6715)))))</f>
        <v> </v>
      </c>
      <c r="L6716" s="27"/>
    </row>
    <row r="6717" spans="1:12">
      <c r="A6717" s="20" t="s">
        <v>2876</v>
      </c>
      <c r="E6717" s="22">
        <f>IF(D6717="?OLD","!!!","")</f>
        <v/>
      </c>
      <c r="F6717" s="23" t="str">
        <f>IF(OR(E6717="",E6717="!!!"),"",IF(NOT(ISNA(VLOOKUP(E6717,E$1:E6716,1,FALSE()))),"OLD",IF(AND(E6717&lt;&gt;"",E6717&lt;&gt;"!!!"),"NEW","")))</f>
        <v> </v>
      </c>
      <c r="G6717" s="24" t="str">
        <f>IF(OR(E6717="",E6717="!!!"),"",IF(OR(J6717=0,AND(J6717=1,K6717=1),AND(J6717=1,I6717="SBJ"),AND(J6717=1,I6717=0)),"?IN_FOCUS",IF(J6717&lt;=2,"?ACTIVATED",IF(J6717&lt;&gt;"","?FAMILIAR",IF(F6717="NEW",IF(ISNA(VLOOKUP(E6717,#REF!,1,FALSE())),"?TYPE_IDENTIFIABLE","?REFERENTIAL"),"_")))))</f>
        <v> </v>
      </c>
      <c r="H6717" s="25" t="str">
        <f>IF(J6717&lt;&gt;1,"",IF(I6717="SBJ","CB","?"))</f>
        <v> </v>
      </c>
      <c r="I6717" s="26" t="str">
        <f>IF(OR(E6717="",E6717="!!!",F6717="NEW"),"",INDEX(B6716:B$2,-1+SUMPRODUCT(MAX(ROW(E6716:E$2)*(E6717=E6716:E$2)))))</f>
        <v> </v>
      </c>
      <c r="J6717" s="26" t="str">
        <f>IF(OR(E6717="",E6717="!!!",F6717="NEW"),"",COUNTBLANK(OFFSET(A$1,,,SUMPRODUCT(MAX(ROW(E$2:E6717)*(E6717=E$2:E6717)))))-COUNTBLANK(OFFSET(A$1,,,SUMPRODUCT(MAX(ROW(E$1:E6716)*(E2=E$1:E6716))))))</f>
        <v> </v>
      </c>
      <c r="K6717" s="26" t="str">
        <f>IF(OR(E6717="",E6717="!!!",F6717="NEW"),"",INDEX(J$1:J6716,SUMPRODUCT(MAX(ROW(E$1:E6716)*(E6717=E$1:E6716)))))</f>
        <v> </v>
      </c>
      <c r="L6717" s="27"/>
    </row>
    <row r="6718" spans="1:12">
      <c r="A6718" s="20" t="s">
        <v>1072</v>
      </c>
      <c r="E6718" s="22">
        <f>IF(D6718="?OLD","!!!","")</f>
        <v/>
      </c>
      <c r="F6718" s="23" t="str">
        <f>IF(OR(E6718="",E6718="!!!"),"",IF(NOT(ISNA(VLOOKUP(E6718,E$1:E6717,1,FALSE()))),"OLD",IF(AND(E6718&lt;&gt;"",E6718&lt;&gt;"!!!"),"NEW","")))</f>
        <v> </v>
      </c>
      <c r="G6718" s="24" t="str">
        <f>IF(OR(E6718="",E6718="!!!"),"",IF(OR(J6718=0,AND(J6718=1,K6718=1),AND(J6718=1,I6718="SBJ"),AND(J6718=1,I6718=0)),"?IN_FOCUS",IF(J6718&lt;=2,"?ACTIVATED",IF(J6718&lt;&gt;"","?FAMILIAR",IF(F6718="NEW",IF(ISNA(VLOOKUP(E6718,#REF!,1,FALSE())),"?TYPE_IDENTIFIABLE","?REFERENTIAL"),"_")))))</f>
        <v> </v>
      </c>
      <c r="H6718" s="25" t="str">
        <f>IF(J6718&lt;&gt;1,"",IF(I6718="SBJ","CB","?"))</f>
        <v> </v>
      </c>
      <c r="I6718" s="26" t="str">
        <f>IF(OR(E6718="",E6718="!!!",F6718="NEW"),"",INDEX(B6717:B$2,-1+SUMPRODUCT(MAX(ROW(E6717:E$2)*(E6718=E6717:E$2)))))</f>
        <v> </v>
      </c>
      <c r="J6718" s="26" t="str">
        <f>IF(OR(E6718="",E6718="!!!",F6718="NEW"),"",COUNTBLANK(OFFSET(A$1,,,SUMPRODUCT(MAX(ROW(E$2:E6718)*(E6718=E$2:E6718)))))-COUNTBLANK(OFFSET(A$1,,,SUMPRODUCT(MAX(ROW(E$1:E6717)*(E2=E$1:E6717))))))</f>
        <v> </v>
      </c>
      <c r="K6718" s="26" t="str">
        <f>IF(OR(E6718="",E6718="!!!",F6718="NEW"),"",INDEX(J$1:J6717,SUMPRODUCT(MAX(ROW(E$1:E6717)*(E6718=E$1:E6717)))))</f>
        <v> </v>
      </c>
      <c r="L6718" s="27"/>
    </row>
    <row r="6719" spans="1:12">
      <c r="A6719" s="20" t="s">
        <v>146</v>
      </c>
      <c r="E6719" s="22">
        <f>IF(D6719="?OLD","!!!","")</f>
        <v/>
      </c>
      <c r="F6719" s="23" t="str">
        <f>IF(OR(E6719="",E6719="!!!"),"",IF(NOT(ISNA(VLOOKUP(E6719,E$1:E6718,1,FALSE()))),"OLD",IF(AND(E6719&lt;&gt;"",E6719&lt;&gt;"!!!"),"NEW","")))</f>
        <v> </v>
      </c>
      <c r="G6719" s="24" t="str">
        <f>IF(OR(E6719="",E6719="!!!"),"",IF(OR(J6719=0,AND(J6719=1,K6719=1),AND(J6719=1,I6719="SBJ"),AND(J6719=1,I6719=0)),"?IN_FOCUS",IF(J6719&lt;=2,"?ACTIVATED",IF(J6719&lt;&gt;"","?FAMILIAR",IF(F6719="NEW",IF(ISNA(VLOOKUP(E6719,#REF!,1,FALSE())),"?TYPE_IDENTIFIABLE","?REFERENTIAL"),"_")))))</f>
        <v> </v>
      </c>
      <c r="H6719" s="25" t="str">
        <f>IF(J6719&lt;&gt;1,"",IF(I6719="SBJ","CB","?"))</f>
        <v> </v>
      </c>
      <c r="I6719" s="26" t="str">
        <f>IF(OR(E6719="",E6719="!!!",F6719="NEW"),"",INDEX(B6718:B$2,-1+SUMPRODUCT(MAX(ROW(E6718:E$2)*(E6719=E6718:E$2)))))</f>
        <v> </v>
      </c>
      <c r="J6719" s="26" t="str">
        <f>IF(OR(E6719="",E6719="!!!",F6719="NEW"),"",COUNTBLANK(OFFSET(A$1,,,SUMPRODUCT(MAX(ROW(E$2:E6719)*(E6719=E$2:E6719)))))-COUNTBLANK(OFFSET(A$1,,,SUMPRODUCT(MAX(ROW(E$1:E6718)*(E2=E$1:E6718))))))</f>
        <v> </v>
      </c>
      <c r="K6719" s="26" t="str">
        <f>IF(OR(E6719="",E6719="!!!",F6719="NEW"),"",INDEX(J$1:J6718,SUMPRODUCT(MAX(ROW(E$1:E6718)*(E6719=E$1:E6718)))))</f>
        <v> </v>
      </c>
      <c r="L6719" s="27"/>
    </row>
    <row r="6720" spans="1:12">
      <c r="A6720" s="20" t="s">
        <v>2877</v>
      </c>
      <c r="E6720" s="22">
        <f>IF(D6720="?OLD","!!!","")</f>
        <v/>
      </c>
      <c r="F6720" s="23" t="str">
        <f>IF(OR(E6720="",E6720="!!!"),"",IF(NOT(ISNA(VLOOKUP(E6720,E$1:E6719,1,FALSE()))),"OLD",IF(AND(E6720&lt;&gt;"",E6720&lt;&gt;"!!!"),"NEW","")))</f>
        <v> </v>
      </c>
      <c r="G6720" s="24" t="str">
        <f>IF(OR(E6720="",E6720="!!!"),"",IF(OR(J6720=0,AND(J6720=1,K6720=1),AND(J6720=1,I6720="SBJ"),AND(J6720=1,I6720=0)),"?IN_FOCUS",IF(J6720&lt;=2,"?ACTIVATED",IF(J6720&lt;&gt;"","?FAMILIAR",IF(F6720="NEW",IF(ISNA(VLOOKUP(E6720,#REF!,1,FALSE())),"?TYPE_IDENTIFIABLE","?REFERENTIAL"),"_")))))</f>
        <v> </v>
      </c>
      <c r="H6720" s="25" t="str">
        <f>IF(J6720&lt;&gt;1,"",IF(I6720="SBJ","CB","?"))</f>
        <v> </v>
      </c>
      <c r="I6720" s="26" t="str">
        <f>IF(OR(E6720="",E6720="!!!",F6720="NEW"),"",INDEX(B6719:B$2,-1+SUMPRODUCT(MAX(ROW(E6719:E$2)*(E6720=E6719:E$2)))))</f>
        <v> </v>
      </c>
      <c r="J6720" s="26" t="str">
        <f>IF(OR(E6720="",E6720="!!!",F6720="NEW"),"",COUNTBLANK(OFFSET(A$1,,,SUMPRODUCT(MAX(ROW(E$2:E6720)*(E6720=E$2:E6720)))))-COUNTBLANK(OFFSET(A$1,,,SUMPRODUCT(MAX(ROW(E$1:E6719)*(E2=E$1:E6719))))))</f>
        <v> </v>
      </c>
      <c r="K6720" s="26" t="str">
        <f>IF(OR(E6720="",E6720="!!!",F6720="NEW"),"",INDEX(J$1:J6719,SUMPRODUCT(MAX(ROW(E$1:E6719)*(E6720=E$1:E6719)))))</f>
        <v> </v>
      </c>
      <c r="L6720" s="27"/>
    </row>
    <row r="6721" spans="1:12">
      <c r="A6721" s="20" t="s">
        <v>1237</v>
      </c>
      <c r="E6721" s="22">
        <f>IF(D6721="?OLD","!!!","")</f>
        <v/>
      </c>
      <c r="F6721" s="23" t="str">
        <f>IF(OR(E6721="",E6721="!!!"),"",IF(NOT(ISNA(VLOOKUP(E6721,E$1:E6720,1,FALSE()))),"OLD",IF(AND(E6721&lt;&gt;"",E6721&lt;&gt;"!!!"),"NEW","")))</f>
        <v> </v>
      </c>
      <c r="G6721" s="24" t="str">
        <f>IF(OR(E6721="",E6721="!!!"),"",IF(OR(J6721=0,AND(J6721=1,K6721=1),AND(J6721=1,I6721="SBJ"),AND(J6721=1,I6721=0)),"?IN_FOCUS",IF(J6721&lt;=2,"?ACTIVATED",IF(J6721&lt;&gt;"","?FAMILIAR",IF(F6721="NEW",IF(ISNA(VLOOKUP(E6721,#REF!,1,FALSE())),"?TYPE_IDENTIFIABLE","?REFERENTIAL"),"_")))))</f>
        <v> </v>
      </c>
      <c r="H6721" s="25" t="str">
        <f>IF(J6721&lt;&gt;1,"",IF(I6721="SBJ","CB","?"))</f>
        <v> </v>
      </c>
      <c r="I6721" s="26" t="str">
        <f>IF(OR(E6721="",E6721="!!!",F6721="NEW"),"",INDEX(B6720:B$2,-1+SUMPRODUCT(MAX(ROW(E6720:E$2)*(E6721=E6720:E$2)))))</f>
        <v> </v>
      </c>
      <c r="J6721" s="26" t="str">
        <f>IF(OR(E6721="",E6721="!!!",F6721="NEW"),"",COUNTBLANK(OFFSET(A$1,,,SUMPRODUCT(MAX(ROW(E$2:E6721)*(E6721=E$2:E6721)))))-COUNTBLANK(OFFSET(A$1,,,SUMPRODUCT(MAX(ROW(E$1:E6720)*(E2=E$1:E6720))))))</f>
        <v> </v>
      </c>
      <c r="K6721" s="26" t="str">
        <f>IF(OR(E6721="",E6721="!!!",F6721="NEW"),"",INDEX(J$1:J6720,SUMPRODUCT(MAX(ROW(E$1:E6720)*(E6721=E$1:E6720)))))</f>
        <v> </v>
      </c>
      <c r="L6721" s="27"/>
    </row>
    <row r="6722" spans="1:12">
      <c r="A6722" s="20" t="s">
        <v>1076</v>
      </c>
      <c r="E6722" s="22">
        <f>IF(D6722="?OLD","!!!","")</f>
        <v/>
      </c>
      <c r="F6722" s="23" t="str">
        <f>IF(OR(E6722="",E6722="!!!"),"",IF(NOT(ISNA(VLOOKUP(E6722,E$1:E6721,1,FALSE()))),"OLD",IF(AND(E6722&lt;&gt;"",E6722&lt;&gt;"!!!"),"NEW","")))</f>
        <v> </v>
      </c>
      <c r="G6722" s="24" t="str">
        <f>IF(OR(E6722="",E6722="!!!"),"",IF(OR(J6722=0,AND(J6722=1,K6722=1),AND(J6722=1,I6722="SBJ"),AND(J6722=1,I6722=0)),"?IN_FOCUS",IF(J6722&lt;=2,"?ACTIVATED",IF(J6722&lt;&gt;"","?FAMILIAR",IF(F6722="NEW",IF(ISNA(VLOOKUP(E6722,#REF!,1,FALSE())),"?TYPE_IDENTIFIABLE","?REFERENTIAL"),"_")))))</f>
        <v> </v>
      </c>
      <c r="H6722" s="25" t="str">
        <f>IF(J6722&lt;&gt;1,"",IF(I6722="SBJ","CB","?"))</f>
        <v> </v>
      </c>
      <c r="I6722" s="26" t="str">
        <f>IF(OR(E6722="",E6722="!!!",F6722="NEW"),"",INDEX(B6721:B$2,-1+SUMPRODUCT(MAX(ROW(E6721:E$2)*(E6722=E6721:E$2)))))</f>
        <v> </v>
      </c>
      <c r="J6722" s="26" t="str">
        <f>IF(OR(E6722="",E6722="!!!",F6722="NEW"),"",COUNTBLANK(OFFSET(A$1,,,SUMPRODUCT(MAX(ROW(E$2:E6722)*(E6722=E$2:E6722)))))-COUNTBLANK(OFFSET(A$1,,,SUMPRODUCT(MAX(ROW(E$1:E6721)*(E2=E$1:E6721))))))</f>
        <v> </v>
      </c>
      <c r="K6722" s="26" t="str">
        <f>IF(OR(E6722="",E6722="!!!",F6722="NEW"),"",INDEX(J$1:J6721,SUMPRODUCT(MAX(ROW(E$1:E6721)*(E6722=E$1:E6721)))))</f>
        <v> </v>
      </c>
      <c r="L6722" s="27"/>
    </row>
    <row r="6723" spans="1:12">
      <c r="A6723" s="20" t="s">
        <v>1646</v>
      </c>
      <c r="E6723" s="22">
        <f>IF(D6723="?OLD","!!!","")</f>
        <v/>
      </c>
      <c r="F6723" s="23" t="str">
        <f>IF(OR(E6723="",E6723="!!!"),"",IF(NOT(ISNA(VLOOKUP(E6723,E$1:E6722,1,FALSE()))),"OLD",IF(AND(E6723&lt;&gt;"",E6723&lt;&gt;"!!!"),"NEW","")))</f>
        <v> </v>
      </c>
      <c r="G6723" s="24" t="str">
        <f>IF(OR(E6723="",E6723="!!!"),"",IF(OR(J6723=0,AND(J6723=1,K6723=1),AND(J6723=1,I6723="SBJ"),AND(J6723=1,I6723=0)),"?IN_FOCUS",IF(J6723&lt;=2,"?ACTIVATED",IF(J6723&lt;&gt;"","?FAMILIAR",IF(F6723="NEW",IF(ISNA(VLOOKUP(E6723,#REF!,1,FALSE())),"?TYPE_IDENTIFIABLE","?REFERENTIAL"),"_")))))</f>
        <v> </v>
      </c>
      <c r="H6723" s="25" t="str">
        <f>IF(J6723&lt;&gt;1,"",IF(I6723="SBJ","CB","?"))</f>
        <v> </v>
      </c>
      <c r="I6723" s="26" t="str">
        <f>IF(OR(E6723="",E6723="!!!",F6723="NEW"),"",INDEX(B6722:B$2,-1+SUMPRODUCT(MAX(ROW(E6722:E$2)*(E6723=E6722:E$2)))))</f>
        <v> </v>
      </c>
      <c r="J6723" s="26" t="str">
        <f>IF(OR(E6723="",E6723="!!!",F6723="NEW"),"",COUNTBLANK(OFFSET(A$1,,,SUMPRODUCT(MAX(ROW(E$2:E6723)*(E6723=E$2:E6723)))))-COUNTBLANK(OFFSET(A$1,,,SUMPRODUCT(MAX(ROW(E$1:E6722)*(E2=E$1:E6722))))))</f>
        <v> </v>
      </c>
      <c r="K6723" s="26" t="str">
        <f>IF(OR(E6723="",E6723="!!!",F6723="NEW"),"",INDEX(J$1:J6722,SUMPRODUCT(MAX(ROW(E$1:E6722)*(E6723=E$1:E6722)))))</f>
        <v> </v>
      </c>
      <c r="L6723" s="27"/>
    </row>
    <row r="6724" spans="1:12">
      <c r="A6724" s="20" t="s">
        <v>1106</v>
      </c>
      <c r="E6724" s="22">
        <f>IF(D6724="?OLD","!!!","")</f>
        <v/>
      </c>
      <c r="F6724" s="23" t="str">
        <f>IF(OR(E6724="",E6724="!!!"),"",IF(NOT(ISNA(VLOOKUP(E6724,E$1:E6723,1,FALSE()))),"OLD",IF(AND(E6724&lt;&gt;"",E6724&lt;&gt;"!!!"),"NEW","")))</f>
        <v> </v>
      </c>
      <c r="G6724" s="24" t="str">
        <f>IF(OR(E6724="",E6724="!!!"),"",IF(OR(J6724=0,AND(J6724=1,K6724=1),AND(J6724=1,I6724="SBJ"),AND(J6724=1,I6724=0)),"?IN_FOCUS",IF(J6724&lt;=2,"?ACTIVATED",IF(J6724&lt;&gt;"","?FAMILIAR",IF(F6724="NEW",IF(ISNA(VLOOKUP(E6724,#REF!,1,FALSE())),"?TYPE_IDENTIFIABLE","?REFERENTIAL"),"_")))))</f>
        <v> </v>
      </c>
      <c r="H6724" s="25" t="str">
        <f>IF(J6724&lt;&gt;1,"",IF(I6724="SBJ","CB","?"))</f>
        <v> </v>
      </c>
      <c r="I6724" s="26" t="str">
        <f>IF(OR(E6724="",E6724="!!!",F6724="NEW"),"",INDEX(B6723:B$2,-1+SUMPRODUCT(MAX(ROW(E6723:E$2)*(E6724=E6723:E$2)))))</f>
        <v> </v>
      </c>
      <c r="J6724" s="26" t="str">
        <f>IF(OR(E6724="",E6724="!!!",F6724="NEW"),"",COUNTBLANK(OFFSET(A$1,,,SUMPRODUCT(MAX(ROW(E$2:E6724)*(E6724=E$2:E6724)))))-COUNTBLANK(OFFSET(A$1,,,SUMPRODUCT(MAX(ROW(E$1:E6723)*(E2=E$1:E6723))))))</f>
        <v> </v>
      </c>
      <c r="K6724" s="26" t="str">
        <f>IF(OR(E6724="",E6724="!!!",F6724="NEW"),"",INDEX(J$1:J6723,SUMPRODUCT(MAX(ROW(E$1:E6723)*(E6724=E$1:E6723)))))</f>
        <v> </v>
      </c>
      <c r="L6724" s="27"/>
    </row>
    <row r="6725" spans="1:12">
      <c r="A6725" s="20" t="s">
        <v>1198</v>
      </c>
      <c r="E6725" s="22">
        <f>IF(D6725="?OLD","!!!","")</f>
        <v/>
      </c>
      <c r="F6725" s="23" t="str">
        <f>IF(OR(E6725="",E6725="!!!"),"",IF(NOT(ISNA(VLOOKUP(E6725,E$1:E6724,1,FALSE()))),"OLD",IF(AND(E6725&lt;&gt;"",E6725&lt;&gt;"!!!"),"NEW","")))</f>
        <v> </v>
      </c>
      <c r="G6725" s="24" t="str">
        <f>IF(OR(E6725="",E6725="!!!"),"",IF(OR(J6725=0,AND(J6725=1,K6725=1),AND(J6725=1,I6725="SBJ"),AND(J6725=1,I6725=0)),"?IN_FOCUS",IF(J6725&lt;=2,"?ACTIVATED",IF(J6725&lt;&gt;"","?FAMILIAR",IF(F6725="NEW",IF(ISNA(VLOOKUP(E6725,#REF!,1,FALSE())),"?TYPE_IDENTIFIABLE","?REFERENTIAL"),"_")))))</f>
        <v> </v>
      </c>
      <c r="H6725" s="25" t="str">
        <f>IF(J6725&lt;&gt;1,"",IF(I6725="SBJ","CB","?"))</f>
        <v> </v>
      </c>
      <c r="I6725" s="26" t="str">
        <f>IF(OR(E6725="",E6725="!!!",F6725="NEW"),"",INDEX(B6724:B$2,-1+SUMPRODUCT(MAX(ROW(E6724:E$2)*(E6725=E6724:E$2)))))</f>
        <v> </v>
      </c>
      <c r="J6725" s="26" t="str">
        <f>IF(OR(E6725="",E6725="!!!",F6725="NEW"),"",COUNTBLANK(OFFSET(A$1,,,SUMPRODUCT(MAX(ROW(E$2:E6725)*(E6725=E$2:E6725)))))-COUNTBLANK(OFFSET(A$1,,,SUMPRODUCT(MAX(ROW(E$1:E6724)*(E2=E$1:E6724))))))</f>
        <v> </v>
      </c>
      <c r="K6725" s="26" t="str">
        <f>IF(OR(E6725="",E6725="!!!",F6725="NEW"),"",INDEX(J$1:J6724,SUMPRODUCT(MAX(ROW(E$1:E6724)*(E6725=E$1:E6724)))))</f>
        <v> </v>
      </c>
      <c r="L6725" s="27"/>
    </row>
    <row r="6726" spans="1:12">
      <c r="A6726" s="20" t="s">
        <v>1392</v>
      </c>
      <c r="B6726" s="21" t="s">
        <v>1097</v>
      </c>
      <c r="C6726" s="21" t="s">
        <v>1098</v>
      </c>
      <c r="D6726" s="21" t="s">
        <v>1065</v>
      </c>
      <c r="E6726" s="22">
        <f>IF(D6726="?OLD","!!!","")</f>
        <v/>
      </c>
      <c r="F6726" s="23" t="str">
        <f>IF(OR(E6726="",E6726="!!!"),"",IF(NOT(ISNA(VLOOKUP(E6726,E$1:E6725,1,FALSE()))),"OLD",IF(AND(E6726&lt;&gt;"",E6726&lt;&gt;"!!!"),"NEW","")))</f>
        <v> </v>
      </c>
      <c r="G6726" s="24" t="str">
        <f>IF(OR(E6726="",E6726="!!!"),"",IF(OR(J6726=0,AND(J6726=1,K6726=1),AND(J6726=1,I6726="SBJ"),AND(J6726=1,I6726=0)),"?IN_FOCUS",IF(J6726&lt;=2,"?ACTIVATED",IF(J6726&lt;&gt;"","?FAMILIAR",IF(F6726="NEW",IF(ISNA(VLOOKUP(E6726,#REF!,1,FALSE())),"?TYPE_IDENTIFIABLE","?REFERENTIAL"),"_")))))</f>
        <v> </v>
      </c>
      <c r="H6726" s="25" t="str">
        <f>IF(J6726&lt;&gt;1,"",IF(I6726="SBJ","CB","?"))</f>
        <v> </v>
      </c>
      <c r="I6726" s="26" t="str">
        <f>IF(OR(E6726="",E6726="!!!",F6726="NEW"),"",INDEX(B6725:B$2,-1+SUMPRODUCT(MAX(ROW(E6725:E$2)*(E6726=E6725:E$2)))))</f>
        <v> </v>
      </c>
      <c r="J6726" s="26" t="str">
        <f>IF(OR(E6726="",E6726="!!!",F6726="NEW"),"",COUNTBLANK(OFFSET(A$1,,,SUMPRODUCT(MAX(ROW(E$2:E6726)*(E6726=E$2:E6726)))))-COUNTBLANK(OFFSET(A$1,,,SUMPRODUCT(MAX(ROW(E$1:E6725)*(E2=E$1:E6725))))))</f>
        <v> </v>
      </c>
      <c r="K6726" s="26" t="str">
        <f>IF(OR(E6726="",E6726="!!!",F6726="NEW"),"",INDEX(J$1:J6725,SUMPRODUCT(MAX(ROW(E$1:E6725)*(E6726=E$1:E6725)))))</f>
        <v> </v>
      </c>
      <c r="L6726" s="27"/>
    </row>
    <row r="6727" spans="1:12">
      <c r="A6727" s="20" t="s">
        <v>1145</v>
      </c>
      <c r="E6727" s="22">
        <f>IF(D6727="?OLD","!!!","")</f>
        <v/>
      </c>
      <c r="F6727" s="23" t="str">
        <f>IF(OR(E6727="",E6727="!!!"),"",IF(NOT(ISNA(VLOOKUP(E6727,E$1:E6726,1,FALSE()))),"OLD",IF(AND(E6727&lt;&gt;"",E6727&lt;&gt;"!!!"),"NEW","")))</f>
        <v> </v>
      </c>
      <c r="G6727" s="24" t="str">
        <f>IF(OR(E6727="",E6727="!!!"),"",IF(OR(J6727=0,AND(J6727=1,K6727=1),AND(J6727=1,I6727="SBJ"),AND(J6727=1,I6727=0)),"?IN_FOCUS",IF(J6727&lt;=2,"?ACTIVATED",IF(J6727&lt;&gt;"","?FAMILIAR",IF(F6727="NEW",IF(ISNA(VLOOKUP(E6727,#REF!,1,FALSE())),"?TYPE_IDENTIFIABLE","?REFERENTIAL"),"_")))))</f>
        <v> </v>
      </c>
      <c r="H6727" s="25" t="str">
        <f>IF(J6727&lt;&gt;1,"",IF(I6727="SBJ","CB","?"))</f>
        <v> </v>
      </c>
      <c r="I6727" s="26" t="str">
        <f>IF(OR(E6727="",E6727="!!!",F6727="NEW"),"",INDEX(B6726:B$2,-1+SUMPRODUCT(MAX(ROW(E6726:E$2)*(E6727=E6726:E$2)))))</f>
        <v> </v>
      </c>
      <c r="J6727" s="26" t="str">
        <f>IF(OR(E6727="",E6727="!!!",F6727="NEW"),"",COUNTBLANK(OFFSET(A$1,,,SUMPRODUCT(MAX(ROW(E$2:E6727)*(E6727=E$2:E6727)))))-COUNTBLANK(OFFSET(A$1,,,SUMPRODUCT(MAX(ROW(E$1:E6726)*(E2=E$1:E6726))))))</f>
        <v> </v>
      </c>
      <c r="K6727" s="26" t="str">
        <f>IF(OR(E6727="",E6727="!!!",F6727="NEW"),"",INDEX(J$1:J6726,SUMPRODUCT(MAX(ROW(E$1:E6726)*(E6727=E$1:E6726)))))</f>
        <v> </v>
      </c>
      <c r="L6727" s="27"/>
    </row>
    <row r="6728" spans="1:12">
      <c r="A6728" s="20"/>
    </row>
    <row r="6729" spans="1:12">
      <c r="A6729" s="20" t="s">
        <v>1191</v>
      </c>
    </row>
    <row r="6730" spans="1:12">
      <c r="A6730" s="20" t="s">
        <v>1192</v>
      </c>
      <c r="B6730" s="21" t="s">
        <v>1063</v>
      </c>
      <c r="C6730" s="21" t="s">
        <v>1064</v>
      </c>
      <c r="D6730" s="21" t="s">
        <v>1065</v>
      </c>
      <c r="E6730" s="22">
        <f>IF(D6730="?OLD","!!!","")</f>
        <v/>
      </c>
      <c r="F6730" s="23" t="str">
        <f>IF(OR(E6730="",E6730="!!!"),"",IF(NOT(ISNA(VLOOKUP(E6730,E$1:E6729,1,FALSE()))),"OLD",IF(AND(E6730&lt;&gt;"",E6730&lt;&gt;"!!!"),"NEW","")))</f>
        <v> </v>
      </c>
      <c r="G6730" s="24" t="str">
        <f>IF(OR(E6730="",E6730="!!!"),"",IF(OR(J6730=0,AND(J6730=1,K6730=1),AND(J6730=1,I6730="SBJ"),AND(J6730=1,I6730=0)),"?IN_FOCUS",IF(J6730&lt;=2,"?ACTIVATED",IF(J6730&lt;&gt;"","?FAMILIAR",IF(F6730="NEW",IF(ISNA(VLOOKUP(E6730,#REF!,1,FALSE())),"?TYPE_IDENTIFIABLE","?REFERENTIAL"),"_")))))</f>
        <v> </v>
      </c>
      <c r="H6730" s="25" t="str">
        <f>IF(J6730&lt;&gt;1,"",IF(I6730="SBJ","CB","?"))</f>
        <v> </v>
      </c>
      <c r="I6730" s="26" t="str">
        <f>IF(OR(E6730="",E6730="!!!",F6730="NEW"),"",INDEX(B6729:B$2,-1+SUMPRODUCT(MAX(ROW(E6729:E$2)*(E6730=E6729:E$2)))))</f>
        <v> </v>
      </c>
      <c r="J6730" s="26" t="str">
        <f>IF(OR(E6730="",E6730="!!!",F6730="NEW"),"",COUNTBLANK(OFFSET(A$1,,,SUMPRODUCT(MAX(ROW(E$2:E6730)*(E6730=E$2:E6730)))))-COUNTBLANK(OFFSET(A$1,,,SUMPRODUCT(MAX(ROW(E$1:E6729)*(E2=E$1:E6729))))))</f>
        <v> </v>
      </c>
      <c r="K6730" s="26" t="str">
        <f>IF(OR(E6730="",E6730="!!!",F6730="NEW"),"",INDEX(J$1:J6729,SUMPRODUCT(MAX(ROW(E$1:E6729)*(E6730=E$1:E6729)))))</f>
        <v> </v>
      </c>
      <c r="L6730" s="27"/>
    </row>
    <row r="6731" spans="1:12">
      <c r="A6731" s="20" t="s">
        <v>1067</v>
      </c>
      <c r="E6731" s="22">
        <f>IF(D6731="?OLD","!!!","")</f>
        <v/>
      </c>
      <c r="F6731" s="23" t="str">
        <f>IF(OR(E6731="",E6731="!!!"),"",IF(NOT(ISNA(VLOOKUP(E6731,E$1:E6730,1,FALSE()))),"OLD",IF(AND(E6731&lt;&gt;"",E6731&lt;&gt;"!!!"),"NEW","")))</f>
        <v> </v>
      </c>
      <c r="G6731" s="24" t="str">
        <f>IF(OR(E6731="",E6731="!!!"),"",IF(OR(J6731=0,AND(J6731=1,K6731=1),AND(J6731=1,I6731="SBJ"),AND(J6731=1,I6731=0)),"?IN_FOCUS",IF(J6731&lt;=2,"?ACTIVATED",IF(J6731&lt;&gt;"","?FAMILIAR",IF(F6731="NEW",IF(ISNA(VLOOKUP(E6731,#REF!,1,FALSE())),"?TYPE_IDENTIFIABLE","?REFERENTIAL"),"_")))))</f>
        <v> </v>
      </c>
      <c r="H6731" s="25" t="str">
        <f>IF(J6731&lt;&gt;1,"",IF(I6731="SBJ","CB","?"))</f>
        <v> </v>
      </c>
      <c r="I6731" s="26" t="str">
        <f>IF(OR(E6731="",E6731="!!!",F6731="NEW"),"",INDEX(B6730:B$2,-1+SUMPRODUCT(MAX(ROW(E6730:E$2)*(E6731=E6730:E$2)))))</f>
        <v> </v>
      </c>
      <c r="J6731" s="26" t="str">
        <f>IF(OR(E6731="",E6731="!!!",F6731="NEW"),"",COUNTBLANK(OFFSET(A$1,,,SUMPRODUCT(MAX(ROW(E$2:E6731)*(E6731=E$2:E6731)))))-COUNTBLANK(OFFSET(A$1,,,SUMPRODUCT(MAX(ROW(E$1:E6730)*(E2=E$1:E6730))))))</f>
        <v> </v>
      </c>
      <c r="K6731" s="26" t="str">
        <f>IF(OR(E6731="",E6731="!!!",F6731="NEW"),"",INDEX(J$1:J6730,SUMPRODUCT(MAX(ROW(E$1:E6730)*(E6731=E$1:E6730)))))</f>
        <v> </v>
      </c>
      <c r="L6731" s="27"/>
    </row>
    <row r="6732" spans="1:12">
      <c r="A6732" s="20"/>
    </row>
    <row r="6733" spans="1:12">
      <c r="A6733" s="20" t="s">
        <v>2878</v>
      </c>
    </row>
    <row r="6734" spans="1:12">
      <c r="A6734" s="20" t="s">
        <v>1269</v>
      </c>
      <c r="E6734" s="22">
        <f>IF(D6734="?OLD","!!!","")</f>
        <v/>
      </c>
      <c r="F6734" s="23" t="str">
        <f>IF(OR(E6734="",E6734="!!!"),"",IF(NOT(ISNA(VLOOKUP(E6734,E$1:E6733,1,FALSE()))),"OLD",IF(AND(E6734&lt;&gt;"",E6734&lt;&gt;"!!!"),"NEW","")))</f>
        <v> </v>
      </c>
      <c r="G6734" s="24" t="str">
        <f>IF(OR(E6734="",E6734="!!!"),"",IF(OR(J6734=0,AND(J6734=1,K6734=1),AND(J6734=1,I6734="SBJ"),AND(J6734=1,I6734=0)),"?IN_FOCUS",IF(J6734&lt;=2,"?ACTIVATED",IF(J6734&lt;&gt;"","?FAMILIAR",IF(F6734="NEW",IF(ISNA(VLOOKUP(E6734,#REF!,1,FALSE())),"?TYPE_IDENTIFIABLE","?REFERENTIAL"),"_")))))</f>
        <v> </v>
      </c>
      <c r="H6734" s="25" t="str">
        <f>IF(J6734&lt;&gt;1,"",IF(I6734="SBJ","CB","?"))</f>
        <v> </v>
      </c>
      <c r="I6734" s="26" t="str">
        <f>IF(OR(E6734="",E6734="!!!",F6734="NEW"),"",INDEX(B6733:B$2,-1+SUMPRODUCT(MAX(ROW(E6733:E$2)*(E6734=E6733:E$2)))))</f>
        <v> </v>
      </c>
      <c r="J6734" s="26" t="str">
        <f>IF(OR(E6734="",E6734="!!!",F6734="NEW"),"",COUNTBLANK(OFFSET(A$1,,,SUMPRODUCT(MAX(ROW(E$2:E6734)*(E6734=E$2:E6734)))))-COUNTBLANK(OFFSET(A$1,,,SUMPRODUCT(MAX(ROW(E$1:E6733)*(E2=E$1:E6733))))))</f>
        <v> </v>
      </c>
      <c r="K6734" s="26" t="str">
        <f>IF(OR(E6734="",E6734="!!!",F6734="NEW"),"",INDEX(J$1:J6733,SUMPRODUCT(MAX(ROW(E$1:E6733)*(E6734=E$1:E6733)))))</f>
        <v> </v>
      </c>
      <c r="L6734" s="27"/>
    </row>
    <row r="6735" spans="1:12">
      <c r="A6735" s="20" t="s">
        <v>1091</v>
      </c>
      <c r="E6735" s="22">
        <f>IF(D6735="?OLD","!!!","")</f>
        <v/>
      </c>
      <c r="F6735" s="23" t="str">
        <f>IF(OR(E6735="",E6735="!!!"),"",IF(NOT(ISNA(VLOOKUP(E6735,E$1:E6734,1,FALSE()))),"OLD",IF(AND(E6735&lt;&gt;"",E6735&lt;&gt;"!!!"),"NEW","")))</f>
        <v> </v>
      </c>
      <c r="G6735" s="24" t="str">
        <f>IF(OR(E6735="",E6735="!!!"),"",IF(OR(J6735=0,AND(J6735=1,K6735=1),AND(J6735=1,I6735="SBJ"),AND(J6735=1,I6735=0)),"?IN_FOCUS",IF(J6735&lt;=2,"?ACTIVATED",IF(J6735&lt;&gt;"","?FAMILIAR",IF(F6735="NEW",IF(ISNA(VLOOKUP(E6735,#REF!,1,FALSE())),"?TYPE_IDENTIFIABLE","?REFERENTIAL"),"_")))))</f>
        <v> </v>
      </c>
      <c r="H6735" s="25" t="str">
        <f>IF(J6735&lt;&gt;1,"",IF(I6735="SBJ","CB","?"))</f>
        <v> </v>
      </c>
      <c r="I6735" s="26" t="str">
        <f>IF(OR(E6735="",E6735="!!!",F6735="NEW"),"",INDEX(B6734:B$2,-1+SUMPRODUCT(MAX(ROW(E6734:E$2)*(E6735=E6734:E$2)))))</f>
        <v> </v>
      </c>
      <c r="J6735" s="26" t="str">
        <f>IF(OR(E6735="",E6735="!!!",F6735="NEW"),"",COUNTBLANK(OFFSET(A$1,,,SUMPRODUCT(MAX(ROW(E$2:E6735)*(E6735=E$2:E6735)))))-COUNTBLANK(OFFSET(A$1,,,SUMPRODUCT(MAX(ROW(E$1:E6734)*(E2=E$1:E6734))))))</f>
        <v> </v>
      </c>
      <c r="K6735" s="26" t="str">
        <f>IF(OR(E6735="",E6735="!!!",F6735="NEW"),"",INDEX(J$1:J6734,SUMPRODUCT(MAX(ROW(E$1:E6734)*(E6735=E$1:E6734)))))</f>
        <v> </v>
      </c>
      <c r="L6735" s="27"/>
    </row>
    <row r="6736" spans="1:12">
      <c r="A6736" s="20" t="s">
        <v>1089</v>
      </c>
      <c r="E6736" s="22">
        <f>IF(D6736="?OLD","!!!","")</f>
        <v/>
      </c>
      <c r="F6736" s="23" t="str">
        <f>IF(OR(E6736="",E6736="!!!"),"",IF(NOT(ISNA(VLOOKUP(E6736,E$1:E6735,1,FALSE()))),"OLD",IF(AND(E6736&lt;&gt;"",E6736&lt;&gt;"!!!"),"NEW","")))</f>
        <v> </v>
      </c>
      <c r="G6736" s="24" t="str">
        <f>IF(OR(E6736="",E6736="!!!"),"",IF(OR(J6736=0,AND(J6736=1,K6736=1),AND(J6736=1,I6736="SBJ"),AND(J6736=1,I6736=0)),"?IN_FOCUS",IF(J6736&lt;=2,"?ACTIVATED",IF(J6736&lt;&gt;"","?FAMILIAR",IF(F6736="NEW",IF(ISNA(VLOOKUP(E6736,#REF!,1,FALSE())),"?TYPE_IDENTIFIABLE","?REFERENTIAL"),"_")))))</f>
        <v> </v>
      </c>
      <c r="H6736" s="25" t="str">
        <f>IF(J6736&lt;&gt;1,"",IF(I6736="SBJ","CB","?"))</f>
        <v> </v>
      </c>
      <c r="I6736" s="26" t="str">
        <f>IF(OR(E6736="",E6736="!!!",F6736="NEW"),"",INDEX(B6735:B$2,-1+SUMPRODUCT(MAX(ROW(E6735:E$2)*(E6736=E6735:E$2)))))</f>
        <v> </v>
      </c>
      <c r="J6736" s="26" t="str">
        <f>IF(OR(E6736="",E6736="!!!",F6736="NEW"),"",COUNTBLANK(OFFSET(A$1,,,SUMPRODUCT(MAX(ROW(E$2:E6736)*(E6736=E$2:E6736)))))-COUNTBLANK(OFFSET(A$1,,,SUMPRODUCT(MAX(ROW(E$1:E6735)*(E2=E$1:E6735))))))</f>
        <v> </v>
      </c>
      <c r="K6736" s="26" t="str">
        <f>IF(OR(E6736="",E6736="!!!",F6736="NEW"),"",INDEX(J$1:J6735,SUMPRODUCT(MAX(ROW(E$1:E6735)*(E6736=E$1:E6735)))))</f>
        <v> </v>
      </c>
      <c r="L6736" s="27"/>
    </row>
    <row r="6737" spans="1:12">
      <c r="A6737" s="20" t="s">
        <v>124</v>
      </c>
      <c r="B6737" s="21" t="s">
        <v>1080</v>
      </c>
      <c r="C6737" s="21" t="s">
        <v>1075</v>
      </c>
      <c r="D6737" s="21" t="s">
        <v>1065</v>
      </c>
      <c r="E6737" s="22">
        <f>IF(D6737="?OLD","!!!","")</f>
        <v/>
      </c>
      <c r="F6737" s="23" t="str">
        <f>IF(OR(E6737="",E6737="!!!"),"",IF(NOT(ISNA(VLOOKUP(E6737,E$1:E6736,1,FALSE()))),"OLD",IF(AND(E6737&lt;&gt;"",E6737&lt;&gt;"!!!"),"NEW","")))</f>
        <v> </v>
      </c>
      <c r="G6737" s="24" t="str">
        <f>IF(OR(E6737="",E6737="!!!"),"",IF(OR(J6737=0,AND(J6737=1,K6737=1),AND(J6737=1,I6737="SBJ"),AND(J6737=1,I6737=0)),"?IN_FOCUS",IF(J6737&lt;=2,"?ACTIVATED",IF(J6737&lt;&gt;"","?FAMILIAR",IF(F6737="NEW",IF(ISNA(VLOOKUP(E6737,#REF!,1,FALSE())),"?TYPE_IDENTIFIABLE","?REFERENTIAL"),"_")))))</f>
        <v> </v>
      </c>
      <c r="H6737" s="25" t="str">
        <f>IF(J6737&lt;&gt;1,"",IF(I6737="SBJ","CB","?"))</f>
        <v> </v>
      </c>
      <c r="I6737" s="26" t="str">
        <f>IF(OR(E6737="",E6737="!!!",F6737="NEW"),"",INDEX(B6736:B$2,-1+SUMPRODUCT(MAX(ROW(E6736:E$2)*(E6737=E6736:E$2)))))</f>
        <v> </v>
      </c>
      <c r="J6737" s="26" t="str">
        <f>IF(OR(E6737="",E6737="!!!",F6737="NEW"),"",COUNTBLANK(OFFSET(A$1,,,SUMPRODUCT(MAX(ROW(E$2:E6737)*(E6737=E$2:E6737)))))-COUNTBLANK(OFFSET(A$1,,,SUMPRODUCT(MAX(ROW(E$1:E6736)*(E2=E$1:E6736))))))</f>
        <v> </v>
      </c>
      <c r="K6737" s="26" t="str">
        <f>IF(OR(E6737="",E6737="!!!",F6737="NEW"),"",INDEX(J$1:J6736,SUMPRODUCT(MAX(ROW(E$1:E6736)*(E6737=E$1:E6736)))))</f>
        <v> </v>
      </c>
      <c r="L6737" s="27"/>
    </row>
    <row r="6738" spans="1:12">
      <c r="A6738" s="20" t="s">
        <v>1283</v>
      </c>
      <c r="E6738" s="22">
        <f>IF(D6738="?OLD","!!!","")</f>
        <v/>
      </c>
      <c r="F6738" s="23" t="str">
        <f>IF(OR(E6738="",E6738="!!!"),"",IF(NOT(ISNA(VLOOKUP(E6738,E$1:E6737,1,FALSE()))),"OLD",IF(AND(E6738&lt;&gt;"",E6738&lt;&gt;"!!!"),"NEW","")))</f>
        <v> </v>
      </c>
      <c r="G6738" s="24" t="str">
        <f>IF(OR(E6738="",E6738="!!!"),"",IF(OR(J6738=0,AND(J6738=1,K6738=1),AND(J6738=1,I6738="SBJ"),AND(J6738=1,I6738=0)),"?IN_FOCUS",IF(J6738&lt;=2,"?ACTIVATED",IF(J6738&lt;&gt;"","?FAMILIAR",IF(F6738="NEW",IF(ISNA(VLOOKUP(E6738,#REF!,1,FALSE())),"?TYPE_IDENTIFIABLE","?REFERENTIAL"),"_")))))</f>
        <v> </v>
      </c>
      <c r="H6738" s="25" t="str">
        <f>IF(J6738&lt;&gt;1,"",IF(I6738="SBJ","CB","?"))</f>
        <v> </v>
      </c>
      <c r="I6738" s="26" t="str">
        <f>IF(OR(E6738="",E6738="!!!",F6738="NEW"),"",INDEX(B6737:B$2,-1+SUMPRODUCT(MAX(ROW(E6737:E$2)*(E6738=E6737:E$2)))))</f>
        <v> </v>
      </c>
      <c r="J6738" s="26" t="str">
        <f>IF(OR(E6738="",E6738="!!!",F6738="NEW"),"",COUNTBLANK(OFFSET(A$1,,,SUMPRODUCT(MAX(ROW(E$2:E6738)*(E6738=E$2:E6738)))))-COUNTBLANK(OFFSET(A$1,,,SUMPRODUCT(MAX(ROW(E$1:E6737)*(E2=E$1:E6737))))))</f>
        <v> </v>
      </c>
      <c r="K6738" s="26" t="str">
        <f>IF(OR(E6738="",E6738="!!!",F6738="NEW"),"",INDEX(J$1:J6737,SUMPRODUCT(MAX(ROW(E$1:E6737)*(E6738=E$1:E6737)))))</f>
        <v> </v>
      </c>
      <c r="L6738" s="27"/>
    </row>
    <row r="6739" spans="1:12">
      <c r="A6739" s="20" t="s">
        <v>1214</v>
      </c>
      <c r="E6739" s="22">
        <f>IF(D6739="?OLD","!!!","")</f>
        <v/>
      </c>
      <c r="F6739" s="23" t="str">
        <f>IF(OR(E6739="",E6739="!!!"),"",IF(NOT(ISNA(VLOOKUP(E6739,E$1:E6738,1,FALSE()))),"OLD",IF(AND(E6739&lt;&gt;"",E6739&lt;&gt;"!!!"),"NEW","")))</f>
        <v> </v>
      </c>
      <c r="G6739" s="24" t="str">
        <f>IF(OR(E6739="",E6739="!!!"),"",IF(OR(J6739=0,AND(J6739=1,K6739=1),AND(J6739=1,I6739="SBJ"),AND(J6739=1,I6739=0)),"?IN_FOCUS",IF(J6739&lt;=2,"?ACTIVATED",IF(J6739&lt;&gt;"","?FAMILIAR",IF(F6739="NEW",IF(ISNA(VLOOKUP(E6739,#REF!,1,FALSE())),"?TYPE_IDENTIFIABLE","?REFERENTIAL"),"_")))))</f>
        <v> </v>
      </c>
      <c r="H6739" s="25" t="str">
        <f>IF(J6739&lt;&gt;1,"",IF(I6739="SBJ","CB","?"))</f>
        <v> </v>
      </c>
      <c r="I6739" s="26" t="str">
        <f>IF(OR(E6739="",E6739="!!!",F6739="NEW"),"",INDEX(B6738:B$2,-1+SUMPRODUCT(MAX(ROW(E6738:E$2)*(E6739=E6738:E$2)))))</f>
        <v> </v>
      </c>
      <c r="J6739" s="26" t="str">
        <f>IF(OR(E6739="",E6739="!!!",F6739="NEW"),"",COUNTBLANK(OFFSET(A$1,,,SUMPRODUCT(MAX(ROW(E$2:E6739)*(E6739=E$2:E6739)))))-COUNTBLANK(OFFSET(A$1,,,SUMPRODUCT(MAX(ROW(E$1:E6738)*(E2=E$1:E6738))))))</f>
        <v> </v>
      </c>
      <c r="K6739" s="26" t="str">
        <f>IF(OR(E6739="",E6739="!!!",F6739="NEW"),"",INDEX(J$1:J6738,SUMPRODUCT(MAX(ROW(E$1:E6738)*(E6739=E$1:E6738)))))</f>
        <v> </v>
      </c>
      <c r="L6739" s="27"/>
    </row>
    <row r="6740" spans="1:12">
      <c r="A6740" s="20" t="s">
        <v>1169</v>
      </c>
      <c r="E6740" s="22">
        <f>IF(D6740="?OLD","!!!","")</f>
        <v/>
      </c>
      <c r="F6740" s="23" t="str">
        <f>IF(OR(E6740="",E6740="!!!"),"",IF(NOT(ISNA(VLOOKUP(E6740,E$1:E6739,1,FALSE()))),"OLD",IF(AND(E6740&lt;&gt;"",E6740&lt;&gt;"!!!"),"NEW","")))</f>
        <v> </v>
      </c>
      <c r="G6740" s="24" t="str">
        <f>IF(OR(E6740="",E6740="!!!"),"",IF(OR(J6740=0,AND(J6740=1,K6740=1),AND(J6740=1,I6740="SBJ"),AND(J6740=1,I6740=0)),"?IN_FOCUS",IF(J6740&lt;=2,"?ACTIVATED",IF(J6740&lt;&gt;"","?FAMILIAR",IF(F6740="NEW",IF(ISNA(VLOOKUP(E6740,#REF!,1,FALSE())),"?TYPE_IDENTIFIABLE","?REFERENTIAL"),"_")))))</f>
        <v> </v>
      </c>
      <c r="H6740" s="25" t="str">
        <f>IF(J6740&lt;&gt;1,"",IF(I6740="SBJ","CB","?"))</f>
        <v> </v>
      </c>
      <c r="I6740" s="26" t="str">
        <f>IF(OR(E6740="",E6740="!!!",F6740="NEW"),"",INDEX(B6739:B$2,-1+SUMPRODUCT(MAX(ROW(E6739:E$2)*(E6740=E6739:E$2)))))</f>
        <v> </v>
      </c>
      <c r="J6740" s="26" t="str">
        <f>IF(OR(E6740="",E6740="!!!",F6740="NEW"),"",COUNTBLANK(OFFSET(A$1,,,SUMPRODUCT(MAX(ROW(E$2:E6740)*(E6740=E$2:E6740)))))-COUNTBLANK(OFFSET(A$1,,,SUMPRODUCT(MAX(ROW(E$1:E6739)*(E2=E$1:E6739))))))</f>
        <v> </v>
      </c>
      <c r="K6740" s="26" t="str">
        <f>IF(OR(E6740="",E6740="!!!",F6740="NEW"),"",INDEX(J$1:J6739,SUMPRODUCT(MAX(ROW(E$1:E6739)*(E6740=E$1:E6739)))))</f>
        <v> </v>
      </c>
      <c r="L6740" s="27"/>
    </row>
    <row r="6741" spans="1:12">
      <c r="A6741" s="20" t="s">
        <v>1124</v>
      </c>
      <c r="E6741" s="22">
        <f>IF(D6741="?OLD","!!!","")</f>
        <v/>
      </c>
      <c r="F6741" s="23" t="str">
        <f>IF(OR(E6741="",E6741="!!!"),"",IF(NOT(ISNA(VLOOKUP(E6741,E$1:E6740,1,FALSE()))),"OLD",IF(AND(E6741&lt;&gt;"",E6741&lt;&gt;"!!!"),"NEW","")))</f>
        <v> </v>
      </c>
      <c r="G6741" s="24" t="str">
        <f>IF(OR(E6741="",E6741="!!!"),"",IF(OR(J6741=0,AND(J6741=1,K6741=1),AND(J6741=1,I6741="SBJ"),AND(J6741=1,I6741=0)),"?IN_FOCUS",IF(J6741&lt;=2,"?ACTIVATED",IF(J6741&lt;&gt;"","?FAMILIAR",IF(F6741="NEW",IF(ISNA(VLOOKUP(E6741,#REF!,1,FALSE())),"?TYPE_IDENTIFIABLE","?REFERENTIAL"),"_")))))</f>
        <v> </v>
      </c>
      <c r="H6741" s="25" t="str">
        <f>IF(J6741&lt;&gt;1,"",IF(I6741="SBJ","CB","?"))</f>
        <v> </v>
      </c>
      <c r="I6741" s="26" t="str">
        <f>IF(OR(E6741="",E6741="!!!",F6741="NEW"),"",INDEX(B6740:B$2,-1+SUMPRODUCT(MAX(ROW(E6740:E$2)*(E6741=E6740:E$2)))))</f>
        <v> </v>
      </c>
      <c r="J6741" s="26" t="str">
        <f>IF(OR(E6741="",E6741="!!!",F6741="NEW"),"",COUNTBLANK(OFFSET(A$1,,,SUMPRODUCT(MAX(ROW(E$2:E6741)*(E6741=E$2:E6741)))))-COUNTBLANK(OFFSET(A$1,,,SUMPRODUCT(MAX(ROW(E$1:E6740)*(E2=E$1:E6740))))))</f>
        <v> </v>
      </c>
      <c r="K6741" s="26" t="str">
        <f>IF(OR(E6741="",E6741="!!!",F6741="NEW"),"",INDEX(J$1:J6740,SUMPRODUCT(MAX(ROW(E$1:E6740)*(E6741=E$1:E6740)))))</f>
        <v> </v>
      </c>
      <c r="L6741" s="27"/>
    </row>
    <row r="6742" spans="1:12">
      <c r="A6742" s="20" t="s">
        <v>2879</v>
      </c>
      <c r="B6742" s="21" t="s">
        <v>1063</v>
      </c>
      <c r="C6742" s="21" t="s">
        <v>1109</v>
      </c>
      <c r="E6742" s="22">
        <f>IF(D6742="?OLD","!!!","")</f>
        <v/>
      </c>
      <c r="F6742" s="23" t="str">
        <f>IF(OR(E6742="",E6742="!!!"),"",IF(NOT(ISNA(VLOOKUP(E6742,E$1:E6741,1,FALSE()))),"OLD",IF(AND(E6742&lt;&gt;"",E6742&lt;&gt;"!!!"),"NEW","")))</f>
        <v> </v>
      </c>
      <c r="G6742" s="24" t="str">
        <f>IF(OR(E6742="",E6742="!!!"),"",IF(OR(J6742=0,AND(J6742=1,K6742=1),AND(J6742=1,I6742="SBJ"),AND(J6742=1,I6742=0)),"?IN_FOCUS",IF(J6742&lt;=2,"?ACTIVATED",IF(J6742&lt;&gt;"","?FAMILIAR",IF(F6742="NEW",IF(ISNA(VLOOKUP(E6742,#REF!,1,FALSE())),"?TYPE_IDENTIFIABLE","?REFERENTIAL"),"_")))))</f>
        <v> </v>
      </c>
      <c r="H6742" s="25" t="str">
        <f>IF(J6742&lt;&gt;1,"",IF(I6742="SBJ","CB","?"))</f>
        <v> </v>
      </c>
      <c r="I6742" s="26" t="str">
        <f>IF(OR(E6742="",E6742="!!!",F6742="NEW"),"",INDEX(B6741:B$2,-1+SUMPRODUCT(MAX(ROW(E6741:E$2)*(E6742=E6741:E$2)))))</f>
        <v> </v>
      </c>
      <c r="J6742" s="26" t="str">
        <f>IF(OR(E6742="",E6742="!!!",F6742="NEW"),"",COUNTBLANK(OFFSET(A$1,,,SUMPRODUCT(MAX(ROW(E$2:E6742)*(E6742=E$2:E6742)))))-COUNTBLANK(OFFSET(A$1,,,SUMPRODUCT(MAX(ROW(E$1:E6741)*(E2=E$1:E6741))))))</f>
        <v> </v>
      </c>
      <c r="K6742" s="26" t="str">
        <f>IF(OR(E6742="",E6742="!!!",F6742="NEW"),"",INDEX(J$1:J6741,SUMPRODUCT(MAX(ROW(E$1:E6741)*(E6742=E$1:E6741)))))</f>
        <v> </v>
      </c>
      <c r="L6742" s="27"/>
    </row>
    <row r="6743" spans="1:12">
      <c r="A6743" s="20" t="s">
        <v>1091</v>
      </c>
      <c r="E6743" s="22">
        <f>IF(D6743="?OLD","!!!","")</f>
        <v/>
      </c>
      <c r="F6743" s="23" t="str">
        <f>IF(OR(E6743="",E6743="!!!"),"",IF(NOT(ISNA(VLOOKUP(E6743,E$1:E6742,1,FALSE()))),"OLD",IF(AND(E6743&lt;&gt;"",E6743&lt;&gt;"!!!"),"NEW","")))</f>
        <v> </v>
      </c>
      <c r="G6743" s="24" t="str">
        <f>IF(OR(E6743="",E6743="!!!"),"",IF(OR(J6743=0,AND(J6743=1,K6743=1),AND(J6743=1,I6743="SBJ"),AND(J6743=1,I6743=0)),"?IN_FOCUS",IF(J6743&lt;=2,"?ACTIVATED",IF(J6743&lt;&gt;"","?FAMILIAR",IF(F6743="NEW",IF(ISNA(VLOOKUP(E6743,#REF!,1,FALSE())),"?TYPE_IDENTIFIABLE","?REFERENTIAL"),"_")))))</f>
        <v> </v>
      </c>
      <c r="H6743" s="25" t="str">
        <f>IF(J6743&lt;&gt;1,"",IF(I6743="SBJ","CB","?"))</f>
        <v> </v>
      </c>
      <c r="I6743" s="26" t="str">
        <f>IF(OR(E6743="",E6743="!!!",F6743="NEW"),"",INDEX(B6742:B$2,-1+SUMPRODUCT(MAX(ROW(E6742:E$2)*(E6743=E6742:E$2)))))</f>
        <v> </v>
      </c>
      <c r="J6743" s="26" t="str">
        <f>IF(OR(E6743="",E6743="!!!",F6743="NEW"),"",COUNTBLANK(OFFSET(A$1,,,SUMPRODUCT(MAX(ROW(E$2:E6743)*(E6743=E$2:E6743)))))-COUNTBLANK(OFFSET(A$1,,,SUMPRODUCT(MAX(ROW(E$1:E6742)*(E2=E$1:E6742))))))</f>
        <v> </v>
      </c>
      <c r="K6743" s="26" t="str">
        <f>IF(OR(E6743="",E6743="!!!",F6743="NEW"),"",INDEX(J$1:J6742,SUMPRODUCT(MAX(ROW(E$1:E6742)*(E6743=E$1:E6742)))))</f>
        <v> </v>
      </c>
      <c r="L6743" s="27"/>
    </row>
    <row r="6744" spans="1:12">
      <c r="A6744" s="20" t="s">
        <v>1204</v>
      </c>
      <c r="E6744" s="22">
        <f>IF(D6744="?OLD","!!!","")</f>
        <v/>
      </c>
      <c r="F6744" s="23" t="str">
        <f>IF(OR(E6744="",E6744="!!!"),"",IF(NOT(ISNA(VLOOKUP(E6744,E$1:E6743,1,FALSE()))),"OLD",IF(AND(E6744&lt;&gt;"",E6744&lt;&gt;"!!!"),"NEW","")))</f>
        <v> </v>
      </c>
      <c r="G6744" s="24" t="str">
        <f>IF(OR(E6744="",E6744="!!!"),"",IF(OR(J6744=0,AND(J6744=1,K6744=1),AND(J6744=1,I6744="SBJ"),AND(J6744=1,I6744=0)),"?IN_FOCUS",IF(J6744&lt;=2,"?ACTIVATED",IF(J6744&lt;&gt;"","?FAMILIAR",IF(F6744="NEW",IF(ISNA(VLOOKUP(E6744,#REF!,1,FALSE())),"?TYPE_IDENTIFIABLE","?REFERENTIAL"),"_")))))</f>
        <v> </v>
      </c>
      <c r="H6744" s="25" t="str">
        <f>IF(J6744&lt;&gt;1,"",IF(I6744="SBJ","CB","?"))</f>
        <v> </v>
      </c>
      <c r="I6744" s="26" t="str">
        <f>IF(OR(E6744="",E6744="!!!",F6744="NEW"),"",INDEX(B6743:B$2,-1+SUMPRODUCT(MAX(ROW(E6743:E$2)*(E6744=E6743:E$2)))))</f>
        <v> </v>
      </c>
      <c r="J6744" s="26" t="str">
        <f>IF(OR(E6744="",E6744="!!!",F6744="NEW"),"",COUNTBLANK(OFFSET(A$1,,,SUMPRODUCT(MAX(ROW(E$2:E6744)*(E6744=E$2:E6744)))))-COUNTBLANK(OFFSET(A$1,,,SUMPRODUCT(MAX(ROW(E$1:E6743)*(E2=E$1:E6743))))))</f>
        <v> </v>
      </c>
      <c r="K6744" s="26" t="str">
        <f>IF(OR(E6744="",E6744="!!!",F6744="NEW"),"",INDEX(J$1:J6743,SUMPRODUCT(MAX(ROW(E$1:E6743)*(E6744=E$1:E6743)))))</f>
        <v> </v>
      </c>
      <c r="L6744" s="27"/>
    </row>
    <row r="6745" spans="1:12">
      <c r="A6745" s="20" t="s">
        <v>2880</v>
      </c>
      <c r="B6745" s="21" t="s">
        <v>1092</v>
      </c>
      <c r="C6745" s="21" t="s">
        <v>1075</v>
      </c>
      <c r="D6745" s="21" t="s">
        <v>1065</v>
      </c>
      <c r="E6745" s="22">
        <f>IF(D6745="?OLD","!!!","")</f>
        <v/>
      </c>
      <c r="F6745" s="23" t="str">
        <f>IF(OR(E6745="",E6745="!!!"),"",IF(NOT(ISNA(VLOOKUP(E6745,E$1:E6744,1,FALSE()))),"OLD",IF(AND(E6745&lt;&gt;"",E6745&lt;&gt;"!!!"),"NEW","")))</f>
        <v> </v>
      </c>
      <c r="G6745" s="24" t="str">
        <f>IF(OR(E6745="",E6745="!!!"),"",IF(OR(J6745=0,AND(J6745=1,K6745=1),AND(J6745=1,I6745="SBJ"),AND(J6745=1,I6745=0)),"?IN_FOCUS",IF(J6745&lt;=2,"?ACTIVATED",IF(J6745&lt;&gt;"","?FAMILIAR",IF(F6745="NEW",IF(ISNA(VLOOKUP(E6745,#REF!,1,FALSE())),"?TYPE_IDENTIFIABLE","?REFERENTIAL"),"_")))))</f>
        <v> </v>
      </c>
      <c r="H6745" s="25" t="str">
        <f>IF(J6745&lt;&gt;1,"",IF(I6745="SBJ","CB","?"))</f>
        <v> </v>
      </c>
      <c r="I6745" s="26" t="str">
        <f>IF(OR(E6745="",E6745="!!!",F6745="NEW"),"",INDEX(B6744:B$2,-1+SUMPRODUCT(MAX(ROW(E6744:E$2)*(E6745=E6744:E$2)))))</f>
        <v> </v>
      </c>
      <c r="J6745" s="26" t="str">
        <f>IF(OR(E6745="",E6745="!!!",F6745="NEW"),"",COUNTBLANK(OFFSET(A$1,,,SUMPRODUCT(MAX(ROW(E$2:E6745)*(E6745=E$2:E6745)))))-COUNTBLANK(OFFSET(A$1,,,SUMPRODUCT(MAX(ROW(E$1:E6744)*(E2=E$1:E6744))))))</f>
        <v> </v>
      </c>
      <c r="K6745" s="26" t="str">
        <f>IF(OR(E6745="",E6745="!!!",F6745="NEW"),"",INDEX(J$1:J6744,SUMPRODUCT(MAX(ROW(E$1:E6744)*(E6745=E$1:E6744)))))</f>
        <v> </v>
      </c>
      <c r="L6745" s="27"/>
    </row>
    <row r="6746" spans="1:12">
      <c r="A6746" s="20" t="s">
        <v>1787</v>
      </c>
      <c r="E6746" s="22">
        <f>IF(D6746="?OLD","!!!","")</f>
        <v/>
      </c>
      <c r="F6746" s="23" t="str">
        <f>IF(OR(E6746="",E6746="!!!"),"",IF(NOT(ISNA(VLOOKUP(E6746,E$1:E6745,1,FALSE()))),"OLD",IF(AND(E6746&lt;&gt;"",E6746&lt;&gt;"!!!"),"NEW","")))</f>
        <v> </v>
      </c>
      <c r="G6746" s="24" t="str">
        <f>IF(OR(E6746="",E6746="!!!"),"",IF(OR(J6746=0,AND(J6746=1,K6746=1),AND(J6746=1,I6746="SBJ"),AND(J6746=1,I6746=0)),"?IN_FOCUS",IF(J6746&lt;=2,"?ACTIVATED",IF(J6746&lt;&gt;"","?FAMILIAR",IF(F6746="NEW",IF(ISNA(VLOOKUP(E6746,#REF!,1,FALSE())),"?TYPE_IDENTIFIABLE","?REFERENTIAL"),"_")))))</f>
        <v> </v>
      </c>
      <c r="H6746" s="25" t="str">
        <f>IF(J6746&lt;&gt;1,"",IF(I6746="SBJ","CB","?"))</f>
        <v> </v>
      </c>
      <c r="I6746" s="26" t="str">
        <f>IF(OR(E6746="",E6746="!!!",F6746="NEW"),"",INDEX(B6745:B$2,-1+SUMPRODUCT(MAX(ROW(E6745:E$2)*(E6746=E6745:E$2)))))</f>
        <v> </v>
      </c>
      <c r="J6746" s="26" t="str">
        <f>IF(OR(E6746="",E6746="!!!",F6746="NEW"),"",COUNTBLANK(OFFSET(A$1,,,SUMPRODUCT(MAX(ROW(E$2:E6746)*(E6746=E$2:E6746)))))-COUNTBLANK(OFFSET(A$1,,,SUMPRODUCT(MAX(ROW(E$1:E6745)*(E2=E$1:E6745))))))</f>
        <v> </v>
      </c>
      <c r="K6746" s="26" t="str">
        <f>IF(OR(E6746="",E6746="!!!",F6746="NEW"),"",INDEX(J$1:J6745,SUMPRODUCT(MAX(ROW(E$1:E6745)*(E6746=E$1:E6745)))))</f>
        <v> </v>
      </c>
      <c r="L6746" s="27"/>
    </row>
    <row r="6747" spans="1:12">
      <c r="A6747" s="20" t="s">
        <v>2881</v>
      </c>
      <c r="E6747" s="22">
        <f>IF(D6747="?OLD","!!!","")</f>
        <v/>
      </c>
      <c r="F6747" s="23" t="str">
        <f>IF(OR(E6747="",E6747="!!!"),"",IF(NOT(ISNA(VLOOKUP(E6747,E$1:E6746,1,FALSE()))),"OLD",IF(AND(E6747&lt;&gt;"",E6747&lt;&gt;"!!!"),"NEW","")))</f>
        <v> </v>
      </c>
      <c r="G6747" s="24" t="str">
        <f>IF(OR(E6747="",E6747="!!!"),"",IF(OR(J6747=0,AND(J6747=1,K6747=1),AND(J6747=1,I6747="SBJ"),AND(J6747=1,I6747=0)),"?IN_FOCUS",IF(J6747&lt;=2,"?ACTIVATED",IF(J6747&lt;&gt;"","?FAMILIAR",IF(F6747="NEW",IF(ISNA(VLOOKUP(E6747,#REF!,1,FALSE())),"?TYPE_IDENTIFIABLE","?REFERENTIAL"),"_")))))</f>
        <v> </v>
      </c>
      <c r="H6747" s="25" t="str">
        <f>IF(J6747&lt;&gt;1,"",IF(I6747="SBJ","CB","?"))</f>
        <v> </v>
      </c>
      <c r="I6747" s="26" t="str">
        <f>IF(OR(E6747="",E6747="!!!",F6747="NEW"),"",INDEX(B6746:B$2,-1+SUMPRODUCT(MAX(ROW(E6746:E$2)*(E6747=E6746:E$2)))))</f>
        <v> </v>
      </c>
      <c r="J6747" s="26" t="str">
        <f>IF(OR(E6747="",E6747="!!!",F6747="NEW"),"",COUNTBLANK(OFFSET(A$1,,,SUMPRODUCT(MAX(ROW(E$2:E6747)*(E6747=E$2:E6747)))))-COUNTBLANK(OFFSET(A$1,,,SUMPRODUCT(MAX(ROW(E$1:E6746)*(E2=E$1:E6746))))))</f>
        <v> </v>
      </c>
      <c r="K6747" s="26" t="str">
        <f>IF(OR(E6747="",E6747="!!!",F6747="NEW"),"",INDEX(J$1:J6746,SUMPRODUCT(MAX(ROW(E$1:E6746)*(E6747=E$1:E6746)))))</f>
        <v> </v>
      </c>
      <c r="L6747" s="27"/>
    </row>
    <row r="6748" spans="1:12">
      <c r="A6748" s="20" t="s">
        <v>1094</v>
      </c>
      <c r="E6748" s="22">
        <f>IF(D6748="?OLD","!!!","")</f>
        <v/>
      </c>
      <c r="F6748" s="23" t="str">
        <f>IF(OR(E6748="",E6748="!!!"),"",IF(NOT(ISNA(VLOOKUP(E6748,E$1:E6747,1,FALSE()))),"OLD",IF(AND(E6748&lt;&gt;"",E6748&lt;&gt;"!!!"),"NEW","")))</f>
        <v> </v>
      </c>
      <c r="G6748" s="24" t="str">
        <f>IF(OR(E6748="",E6748="!!!"),"",IF(OR(J6748=0,AND(J6748=1,K6748=1),AND(J6748=1,I6748="SBJ"),AND(J6748=1,I6748=0)),"?IN_FOCUS",IF(J6748&lt;=2,"?ACTIVATED",IF(J6748&lt;&gt;"","?FAMILIAR",IF(F6748="NEW",IF(ISNA(VLOOKUP(E6748,#REF!,1,FALSE())),"?TYPE_IDENTIFIABLE","?REFERENTIAL"),"_")))))</f>
        <v> </v>
      </c>
      <c r="H6748" s="25" t="str">
        <f>IF(J6748&lt;&gt;1,"",IF(I6748="SBJ","CB","?"))</f>
        <v> </v>
      </c>
      <c r="I6748" s="26" t="str">
        <f>IF(OR(E6748="",E6748="!!!",F6748="NEW"),"",INDEX(B6747:B$2,-1+SUMPRODUCT(MAX(ROW(E6747:E$2)*(E6748=E6747:E$2)))))</f>
        <v> </v>
      </c>
      <c r="J6748" s="26" t="str">
        <f>IF(OR(E6748="",E6748="!!!",F6748="NEW"),"",COUNTBLANK(OFFSET(A$1,,,SUMPRODUCT(MAX(ROW(E$2:E6748)*(E6748=E$2:E6748)))))-COUNTBLANK(OFFSET(A$1,,,SUMPRODUCT(MAX(ROW(E$1:E6747)*(E2=E$1:E6747))))))</f>
        <v> </v>
      </c>
      <c r="K6748" s="26" t="str">
        <f>IF(OR(E6748="",E6748="!!!",F6748="NEW"),"",INDEX(J$1:J6747,SUMPRODUCT(MAX(ROW(E$1:E6747)*(E6748=E$1:E6747)))))</f>
        <v> </v>
      </c>
      <c r="L6748" s="27"/>
    </row>
    <row r="6749" spans="1:12">
      <c r="A6749" s="20" t="s">
        <v>1107</v>
      </c>
      <c r="E6749" s="22">
        <f>IF(D6749="?OLD","!!!","")</f>
        <v/>
      </c>
      <c r="F6749" s="23" t="str">
        <f>IF(OR(E6749="",E6749="!!!"),"",IF(NOT(ISNA(VLOOKUP(E6749,E$1:E6748,1,FALSE()))),"OLD",IF(AND(E6749&lt;&gt;"",E6749&lt;&gt;"!!!"),"NEW","")))</f>
        <v> </v>
      </c>
      <c r="G6749" s="24" t="str">
        <f>IF(OR(E6749="",E6749="!!!"),"",IF(OR(J6749=0,AND(J6749=1,K6749=1),AND(J6749=1,I6749="SBJ"),AND(J6749=1,I6749=0)),"?IN_FOCUS",IF(J6749&lt;=2,"?ACTIVATED",IF(J6749&lt;&gt;"","?FAMILIAR",IF(F6749="NEW",IF(ISNA(VLOOKUP(E6749,#REF!,1,FALSE())),"?TYPE_IDENTIFIABLE","?REFERENTIAL"),"_")))))</f>
        <v> </v>
      </c>
      <c r="H6749" s="25" t="str">
        <f>IF(J6749&lt;&gt;1,"",IF(I6749="SBJ","CB","?"))</f>
        <v> </v>
      </c>
      <c r="I6749" s="26" t="str">
        <f>IF(OR(E6749="",E6749="!!!",F6749="NEW"),"",INDEX(B6748:B$2,-1+SUMPRODUCT(MAX(ROW(E6748:E$2)*(E6749=E6748:E$2)))))</f>
        <v> </v>
      </c>
      <c r="J6749" s="26" t="str">
        <f>IF(OR(E6749="",E6749="!!!",F6749="NEW"),"",COUNTBLANK(OFFSET(A$1,,,SUMPRODUCT(MAX(ROW(E$2:E6749)*(E6749=E$2:E6749)))))-COUNTBLANK(OFFSET(A$1,,,SUMPRODUCT(MAX(ROW(E$1:E6748)*(E2=E$1:E6748))))))</f>
        <v> </v>
      </c>
      <c r="K6749" s="26" t="str">
        <f>IF(OR(E6749="",E6749="!!!",F6749="NEW"),"",INDEX(J$1:J6748,SUMPRODUCT(MAX(ROW(E$1:E6748)*(E6749=E$1:E6748)))))</f>
        <v> </v>
      </c>
      <c r="L6749" s="27"/>
    </row>
    <row r="6750" spans="1:12">
      <c r="A6750" s="20" t="s">
        <v>2882</v>
      </c>
      <c r="B6750" s="21" t="s">
        <v>1097</v>
      </c>
      <c r="C6750" s="21" t="s">
        <v>1109</v>
      </c>
      <c r="E6750" s="22">
        <f>IF(D6750="?OLD","!!!","")</f>
        <v/>
      </c>
      <c r="F6750" s="23" t="str">
        <f>IF(OR(E6750="",E6750="!!!"),"",IF(NOT(ISNA(VLOOKUP(E6750,E$1:E6749,1,FALSE()))),"OLD",IF(AND(E6750&lt;&gt;"",E6750&lt;&gt;"!!!"),"NEW","")))</f>
        <v> </v>
      </c>
      <c r="G6750" s="24" t="str">
        <f>IF(OR(E6750="",E6750="!!!"),"",IF(OR(J6750=0,AND(J6750=1,K6750=1),AND(J6750=1,I6750="SBJ"),AND(J6750=1,I6750=0)),"?IN_FOCUS",IF(J6750&lt;=2,"?ACTIVATED",IF(J6750&lt;&gt;"","?FAMILIAR",IF(F6750="NEW",IF(ISNA(VLOOKUP(E6750,#REF!,1,FALSE())),"?TYPE_IDENTIFIABLE","?REFERENTIAL"),"_")))))</f>
        <v> </v>
      </c>
      <c r="H6750" s="25" t="str">
        <f>IF(J6750&lt;&gt;1,"",IF(I6750="SBJ","CB","?"))</f>
        <v> </v>
      </c>
      <c r="I6750" s="26" t="str">
        <f>IF(OR(E6750="",E6750="!!!",F6750="NEW"),"",INDEX(B6749:B$2,-1+SUMPRODUCT(MAX(ROW(E6749:E$2)*(E6750=E6749:E$2)))))</f>
        <v> </v>
      </c>
      <c r="J6750" s="26" t="str">
        <f>IF(OR(E6750="",E6750="!!!",F6750="NEW"),"",COUNTBLANK(OFFSET(A$1,,,SUMPRODUCT(MAX(ROW(E$2:E6750)*(E6750=E$2:E6750)))))-COUNTBLANK(OFFSET(A$1,,,SUMPRODUCT(MAX(ROW(E$1:E6749)*(E2=E$1:E6749))))))</f>
        <v> </v>
      </c>
      <c r="K6750" s="26" t="str">
        <f>IF(OR(E6750="",E6750="!!!",F6750="NEW"),"",INDEX(J$1:J6749,SUMPRODUCT(MAX(ROW(E$1:E6749)*(E6750=E$1:E6749)))))</f>
        <v> </v>
      </c>
      <c r="L6750" s="27"/>
    </row>
    <row r="6751" spans="1:12">
      <c r="A6751" s="20" t="s">
        <v>2883</v>
      </c>
      <c r="E6751" s="22">
        <f>IF(D6751="?OLD","!!!","")</f>
        <v/>
      </c>
      <c r="F6751" s="23" t="str">
        <f>IF(OR(E6751="",E6751="!!!"),"",IF(NOT(ISNA(VLOOKUP(E6751,E$1:E6750,1,FALSE()))),"OLD",IF(AND(E6751&lt;&gt;"",E6751&lt;&gt;"!!!"),"NEW","")))</f>
        <v> </v>
      </c>
      <c r="G6751" s="24" t="str">
        <f>IF(OR(E6751="",E6751="!!!"),"",IF(OR(J6751=0,AND(J6751=1,K6751=1),AND(J6751=1,I6751="SBJ"),AND(J6751=1,I6751=0)),"?IN_FOCUS",IF(J6751&lt;=2,"?ACTIVATED",IF(J6751&lt;&gt;"","?FAMILIAR",IF(F6751="NEW",IF(ISNA(VLOOKUP(E6751,#REF!,1,FALSE())),"?TYPE_IDENTIFIABLE","?REFERENTIAL"),"_")))))</f>
        <v> </v>
      </c>
      <c r="H6751" s="25" t="str">
        <f>IF(J6751&lt;&gt;1,"",IF(I6751="SBJ","CB","?"))</f>
        <v> </v>
      </c>
      <c r="I6751" s="26" t="str">
        <f>IF(OR(E6751="",E6751="!!!",F6751="NEW"),"",INDEX(B6750:B$2,-1+SUMPRODUCT(MAX(ROW(E6750:E$2)*(E6751=E6750:E$2)))))</f>
        <v> </v>
      </c>
      <c r="J6751" s="26" t="str">
        <f>IF(OR(E6751="",E6751="!!!",F6751="NEW"),"",COUNTBLANK(OFFSET(A$1,,,SUMPRODUCT(MAX(ROW(E$2:E6751)*(E6751=E$2:E6751)))))-COUNTBLANK(OFFSET(A$1,,,SUMPRODUCT(MAX(ROW(E$1:E6750)*(E2=E$1:E6750))))))</f>
        <v> </v>
      </c>
      <c r="K6751" s="26" t="str">
        <f>IF(OR(E6751="",E6751="!!!",F6751="NEW"),"",INDEX(J$1:J6750,SUMPRODUCT(MAX(ROW(E$1:E6750)*(E6751=E$1:E6750)))))</f>
        <v> </v>
      </c>
      <c r="L6751" s="27"/>
    </row>
    <row r="6752" spans="1:12">
      <c r="A6752" s="20" t="s">
        <v>1076</v>
      </c>
      <c r="E6752" s="22">
        <f>IF(D6752="?OLD","!!!","")</f>
        <v/>
      </c>
      <c r="F6752" s="23" t="str">
        <f>IF(OR(E6752="",E6752="!!!"),"",IF(NOT(ISNA(VLOOKUP(E6752,E$1:E6751,1,FALSE()))),"OLD",IF(AND(E6752&lt;&gt;"",E6752&lt;&gt;"!!!"),"NEW","")))</f>
        <v> </v>
      </c>
      <c r="G6752" s="24" t="str">
        <f>IF(OR(E6752="",E6752="!!!"),"",IF(OR(J6752=0,AND(J6752=1,K6752=1),AND(J6752=1,I6752="SBJ"),AND(J6752=1,I6752=0)),"?IN_FOCUS",IF(J6752&lt;=2,"?ACTIVATED",IF(J6752&lt;&gt;"","?FAMILIAR",IF(F6752="NEW",IF(ISNA(VLOOKUP(E6752,#REF!,1,FALSE())),"?TYPE_IDENTIFIABLE","?REFERENTIAL"),"_")))))</f>
        <v> </v>
      </c>
      <c r="H6752" s="25" t="str">
        <f>IF(J6752&lt;&gt;1,"",IF(I6752="SBJ","CB","?"))</f>
        <v> </v>
      </c>
      <c r="I6752" s="26" t="str">
        <f>IF(OR(E6752="",E6752="!!!",F6752="NEW"),"",INDEX(B6751:B$2,-1+SUMPRODUCT(MAX(ROW(E6751:E$2)*(E6752=E6751:E$2)))))</f>
        <v> </v>
      </c>
      <c r="J6752" s="26" t="str">
        <f>IF(OR(E6752="",E6752="!!!",F6752="NEW"),"",COUNTBLANK(OFFSET(A$1,,,SUMPRODUCT(MAX(ROW(E$2:E6752)*(E6752=E$2:E6752)))))-COUNTBLANK(OFFSET(A$1,,,SUMPRODUCT(MAX(ROW(E$1:E6751)*(E2=E$1:E6751))))))</f>
        <v> </v>
      </c>
      <c r="K6752" s="26" t="str">
        <f>IF(OR(E6752="",E6752="!!!",F6752="NEW"),"",INDEX(J$1:J6751,SUMPRODUCT(MAX(ROW(E$1:E6751)*(E6752=E$1:E6751)))))</f>
        <v> </v>
      </c>
      <c r="L6752" s="27"/>
    </row>
    <row r="6753" spans="1:12">
      <c r="A6753" s="20" t="s">
        <v>1429</v>
      </c>
      <c r="E6753" s="22">
        <f>IF(D6753="?OLD","!!!","")</f>
        <v/>
      </c>
      <c r="F6753" s="23" t="str">
        <f>IF(OR(E6753="",E6753="!!!"),"",IF(NOT(ISNA(VLOOKUP(E6753,E$1:E6752,1,FALSE()))),"OLD",IF(AND(E6753&lt;&gt;"",E6753&lt;&gt;"!!!"),"NEW","")))</f>
        <v> </v>
      </c>
      <c r="G6753" s="24" t="str">
        <f>IF(OR(E6753="",E6753="!!!"),"",IF(OR(J6753=0,AND(J6753=1,K6753=1),AND(J6753=1,I6753="SBJ"),AND(J6753=1,I6753=0)),"?IN_FOCUS",IF(J6753&lt;=2,"?ACTIVATED",IF(J6753&lt;&gt;"","?FAMILIAR",IF(F6753="NEW",IF(ISNA(VLOOKUP(E6753,#REF!,1,FALSE())),"?TYPE_IDENTIFIABLE","?REFERENTIAL"),"_")))))</f>
        <v> </v>
      </c>
      <c r="H6753" s="25" t="str">
        <f>IF(J6753&lt;&gt;1,"",IF(I6753="SBJ","CB","?"))</f>
        <v> </v>
      </c>
      <c r="I6753" s="26" t="str">
        <f>IF(OR(E6753="",E6753="!!!",F6753="NEW"),"",INDEX(B6752:B$2,-1+SUMPRODUCT(MAX(ROW(E6752:E$2)*(E6753=E6752:E$2)))))</f>
        <v> </v>
      </c>
      <c r="J6753" s="26" t="str">
        <f>IF(OR(E6753="",E6753="!!!",F6753="NEW"),"",COUNTBLANK(OFFSET(A$1,,,SUMPRODUCT(MAX(ROW(E$2:E6753)*(E6753=E$2:E6753)))))-COUNTBLANK(OFFSET(A$1,,,SUMPRODUCT(MAX(ROW(E$1:E6752)*(E2=E$1:E6752))))))</f>
        <v> </v>
      </c>
      <c r="K6753" s="26" t="str">
        <f>IF(OR(E6753="",E6753="!!!",F6753="NEW"),"",INDEX(J$1:J6752,SUMPRODUCT(MAX(ROW(E$1:E6752)*(E6753=E$1:E6752)))))</f>
        <v> </v>
      </c>
      <c r="L6753" s="27"/>
    </row>
    <row r="6754" spans="1:12">
      <c r="A6754" s="20" t="s">
        <v>1272</v>
      </c>
      <c r="E6754" s="22">
        <f>IF(D6754="?OLD","!!!","")</f>
        <v/>
      </c>
      <c r="F6754" s="23" t="str">
        <f>IF(OR(E6754="",E6754="!!!"),"",IF(NOT(ISNA(VLOOKUP(E6754,E$1:E6753,1,FALSE()))),"OLD",IF(AND(E6754&lt;&gt;"",E6754&lt;&gt;"!!!"),"NEW","")))</f>
        <v> </v>
      </c>
      <c r="G6754" s="24" t="str">
        <f>IF(OR(E6754="",E6754="!!!"),"",IF(OR(J6754=0,AND(J6754=1,K6754=1),AND(J6754=1,I6754="SBJ"),AND(J6754=1,I6754=0)),"?IN_FOCUS",IF(J6754&lt;=2,"?ACTIVATED",IF(J6754&lt;&gt;"","?FAMILIAR",IF(F6754="NEW",IF(ISNA(VLOOKUP(E6754,#REF!,1,FALSE())),"?TYPE_IDENTIFIABLE","?REFERENTIAL"),"_")))))</f>
        <v> </v>
      </c>
      <c r="H6754" s="25" t="str">
        <f>IF(J6754&lt;&gt;1,"",IF(I6754="SBJ","CB","?"))</f>
        <v> </v>
      </c>
      <c r="I6754" s="26" t="str">
        <f>IF(OR(E6754="",E6754="!!!",F6754="NEW"),"",INDEX(B6753:B$2,-1+SUMPRODUCT(MAX(ROW(E6753:E$2)*(E6754=E6753:E$2)))))</f>
        <v> </v>
      </c>
      <c r="J6754" s="26" t="str">
        <f>IF(OR(E6754="",E6754="!!!",F6754="NEW"),"",COUNTBLANK(OFFSET(A$1,,,SUMPRODUCT(MAX(ROW(E$2:E6754)*(E6754=E$2:E6754)))))-COUNTBLANK(OFFSET(A$1,,,SUMPRODUCT(MAX(ROW(E$1:E6753)*(E2=E$1:E6753))))))</f>
        <v> </v>
      </c>
      <c r="K6754" s="26" t="str">
        <f>IF(OR(E6754="",E6754="!!!",F6754="NEW"),"",INDEX(J$1:J6753,SUMPRODUCT(MAX(ROW(E$1:E6753)*(E6754=E$1:E6753)))))</f>
        <v> </v>
      </c>
      <c r="L6754" s="27"/>
    </row>
    <row r="6755" spans="1:12">
      <c r="A6755" s="20" t="s">
        <v>1245</v>
      </c>
      <c r="B6755" s="21" t="s">
        <v>1114</v>
      </c>
      <c r="C6755" s="21" t="s">
        <v>1144</v>
      </c>
      <c r="E6755" s="22">
        <f>IF(D6755="?OLD","!!!","")</f>
        <v/>
      </c>
      <c r="F6755" s="23" t="str">
        <f>IF(OR(E6755="",E6755="!!!"),"",IF(NOT(ISNA(VLOOKUP(E6755,E$1:E6754,1,FALSE()))),"OLD",IF(AND(E6755&lt;&gt;"",E6755&lt;&gt;"!!!"),"NEW","")))</f>
        <v> </v>
      </c>
      <c r="G6755" s="24" t="str">
        <f>IF(OR(E6755="",E6755="!!!"),"",IF(OR(J6755=0,AND(J6755=1,K6755=1),AND(J6755=1,I6755="SBJ"),AND(J6755=1,I6755=0)),"?IN_FOCUS",IF(J6755&lt;=2,"?ACTIVATED",IF(J6755&lt;&gt;"","?FAMILIAR",IF(F6755="NEW",IF(ISNA(VLOOKUP(E6755,#REF!,1,FALSE())),"?TYPE_IDENTIFIABLE","?REFERENTIAL"),"_")))))</f>
        <v> </v>
      </c>
      <c r="H6755" s="25" t="str">
        <f>IF(J6755&lt;&gt;1,"",IF(I6755="SBJ","CB","?"))</f>
        <v> </v>
      </c>
      <c r="I6755" s="26" t="str">
        <f>IF(OR(E6755="",E6755="!!!",F6755="NEW"),"",INDEX(B6754:B$2,-1+SUMPRODUCT(MAX(ROW(E6754:E$2)*(E6755=E6754:E$2)))))</f>
        <v> </v>
      </c>
      <c r="J6755" s="26" t="str">
        <f>IF(OR(E6755="",E6755="!!!",F6755="NEW"),"",COUNTBLANK(OFFSET(A$1,,,SUMPRODUCT(MAX(ROW(E$2:E6755)*(E6755=E$2:E6755)))))-COUNTBLANK(OFFSET(A$1,,,SUMPRODUCT(MAX(ROW(E$1:E6754)*(E2=E$1:E6754))))))</f>
        <v> </v>
      </c>
      <c r="K6755" s="26" t="str">
        <f>IF(OR(E6755="",E6755="!!!",F6755="NEW"),"",INDEX(J$1:J6754,SUMPRODUCT(MAX(ROW(E$1:E6754)*(E6755=E$1:E6754)))))</f>
        <v> </v>
      </c>
      <c r="L6755" s="27"/>
    </row>
    <row r="6756" spans="1:12">
      <c r="A6756" s="20" t="s">
        <v>2137</v>
      </c>
      <c r="B6756" s="21" t="s">
        <v>1278</v>
      </c>
      <c r="C6756" s="21" t="s">
        <v>1151</v>
      </c>
      <c r="D6756" s="21" t="s">
        <v>1065</v>
      </c>
      <c r="E6756" s="22">
        <f>IF(D6756="?OLD","!!!","")</f>
        <v/>
      </c>
      <c r="F6756" s="23" t="str">
        <f>IF(OR(E6756="",E6756="!!!"),"",IF(NOT(ISNA(VLOOKUP(E6756,E$1:E6755,1,FALSE()))),"OLD",IF(AND(E6756&lt;&gt;"",E6756&lt;&gt;"!!!"),"NEW","")))</f>
        <v> </v>
      </c>
      <c r="G6756" s="24" t="str">
        <f>IF(OR(E6756="",E6756="!!!"),"",IF(OR(J6756=0,AND(J6756=1,K6756=1),AND(J6756=1,I6756="SBJ"),AND(J6756=1,I6756=0)),"?IN_FOCUS",IF(J6756&lt;=2,"?ACTIVATED",IF(J6756&lt;&gt;"","?FAMILIAR",IF(F6756="NEW",IF(ISNA(VLOOKUP(E6756,#REF!,1,FALSE())),"?TYPE_IDENTIFIABLE","?REFERENTIAL"),"_")))))</f>
        <v> </v>
      </c>
      <c r="H6756" s="25" t="str">
        <f>IF(J6756&lt;&gt;1,"",IF(I6756="SBJ","CB","?"))</f>
        <v> </v>
      </c>
      <c r="I6756" s="26" t="str">
        <f>IF(OR(E6756="",E6756="!!!",F6756="NEW"),"",INDEX(B6755:B$2,-1+SUMPRODUCT(MAX(ROW(E6755:E$2)*(E6756=E6755:E$2)))))</f>
        <v> </v>
      </c>
      <c r="J6756" s="26" t="str">
        <f>IF(OR(E6756="",E6756="!!!",F6756="NEW"),"",COUNTBLANK(OFFSET(A$1,,,SUMPRODUCT(MAX(ROW(E$2:E6756)*(E6756=E$2:E6756)))))-COUNTBLANK(OFFSET(A$1,,,SUMPRODUCT(MAX(ROW(E$1:E6755)*(E2=E$1:E6755))))))</f>
        <v> </v>
      </c>
      <c r="K6756" s="26" t="str">
        <f>IF(OR(E6756="",E6756="!!!",F6756="NEW"),"",INDEX(J$1:J6755,SUMPRODUCT(MAX(ROW(E$1:E6755)*(E6756=E$1:E6755)))))</f>
        <v> </v>
      </c>
      <c r="L6756" s="27"/>
    </row>
    <row r="6757" spans="1:12">
      <c r="A6757" s="20" t="s">
        <v>2884</v>
      </c>
      <c r="E6757" s="22">
        <f>IF(D6757="?OLD","!!!","")</f>
        <v/>
      </c>
      <c r="F6757" s="23" t="str">
        <f>IF(OR(E6757="",E6757="!!!"),"",IF(NOT(ISNA(VLOOKUP(E6757,E$1:E6756,1,FALSE()))),"OLD",IF(AND(E6757&lt;&gt;"",E6757&lt;&gt;"!!!"),"NEW","")))</f>
        <v> </v>
      </c>
      <c r="G6757" s="24" t="str">
        <f>IF(OR(E6757="",E6757="!!!"),"",IF(OR(J6757=0,AND(J6757=1,K6757=1),AND(J6757=1,I6757="SBJ"),AND(J6757=1,I6757=0)),"?IN_FOCUS",IF(J6757&lt;=2,"?ACTIVATED",IF(J6757&lt;&gt;"","?FAMILIAR",IF(F6757="NEW",IF(ISNA(VLOOKUP(E6757,#REF!,1,FALSE())),"?TYPE_IDENTIFIABLE","?REFERENTIAL"),"_")))))</f>
        <v> </v>
      </c>
      <c r="H6757" s="25" t="str">
        <f>IF(J6757&lt;&gt;1,"",IF(I6757="SBJ","CB","?"))</f>
        <v> </v>
      </c>
      <c r="I6757" s="26" t="str">
        <f>IF(OR(E6757="",E6757="!!!",F6757="NEW"),"",INDEX(B6756:B$2,-1+SUMPRODUCT(MAX(ROW(E6756:E$2)*(E6757=E6756:E$2)))))</f>
        <v> </v>
      </c>
      <c r="J6757" s="26" t="str">
        <f>IF(OR(E6757="",E6757="!!!",F6757="NEW"),"",COUNTBLANK(OFFSET(A$1,,,SUMPRODUCT(MAX(ROW(E$2:E6757)*(E6757=E$2:E6757)))))-COUNTBLANK(OFFSET(A$1,,,SUMPRODUCT(MAX(ROW(E$1:E6756)*(E2=E$1:E6756))))))</f>
        <v> </v>
      </c>
      <c r="K6757" s="26" t="str">
        <f>IF(OR(E6757="",E6757="!!!",F6757="NEW"),"",INDEX(J$1:J6756,SUMPRODUCT(MAX(ROW(E$1:E6756)*(E6757=E$1:E6756)))))</f>
        <v> </v>
      </c>
      <c r="L6757" s="27"/>
    </row>
    <row r="6758" spans="1:12">
      <c r="A6758" s="20" t="s">
        <v>1094</v>
      </c>
      <c r="E6758" s="22">
        <f>IF(D6758="?OLD","!!!","")</f>
        <v/>
      </c>
      <c r="F6758" s="23" t="str">
        <f>IF(OR(E6758="",E6758="!!!"),"",IF(NOT(ISNA(VLOOKUP(E6758,E$1:E6757,1,FALSE()))),"OLD",IF(AND(E6758&lt;&gt;"",E6758&lt;&gt;"!!!"),"NEW","")))</f>
        <v> </v>
      </c>
      <c r="G6758" s="24" t="str">
        <f>IF(OR(E6758="",E6758="!!!"),"",IF(OR(J6758=0,AND(J6758=1,K6758=1),AND(J6758=1,I6758="SBJ"),AND(J6758=1,I6758=0)),"?IN_FOCUS",IF(J6758&lt;=2,"?ACTIVATED",IF(J6758&lt;&gt;"","?FAMILIAR",IF(F6758="NEW",IF(ISNA(VLOOKUP(E6758,#REF!,1,FALSE())),"?TYPE_IDENTIFIABLE","?REFERENTIAL"),"_")))))</f>
        <v> </v>
      </c>
      <c r="H6758" s="25" t="str">
        <f>IF(J6758&lt;&gt;1,"",IF(I6758="SBJ","CB","?"))</f>
        <v> </v>
      </c>
      <c r="I6758" s="26" t="str">
        <f>IF(OR(E6758="",E6758="!!!",F6758="NEW"),"",INDEX(B6757:B$2,-1+SUMPRODUCT(MAX(ROW(E6757:E$2)*(E6758=E6757:E$2)))))</f>
        <v> </v>
      </c>
      <c r="J6758" s="26" t="str">
        <f>IF(OR(E6758="",E6758="!!!",F6758="NEW"),"",COUNTBLANK(OFFSET(A$1,,,SUMPRODUCT(MAX(ROW(E$2:E6758)*(E6758=E$2:E6758)))))-COUNTBLANK(OFFSET(A$1,,,SUMPRODUCT(MAX(ROW(E$1:E6757)*(E2=E$1:E6757))))))</f>
        <v> </v>
      </c>
      <c r="K6758" s="26" t="str">
        <f>IF(OR(E6758="",E6758="!!!",F6758="NEW"),"",INDEX(J$1:J6757,SUMPRODUCT(MAX(ROW(E$1:E6757)*(E6758=E$1:E6757)))))</f>
        <v> </v>
      </c>
      <c r="L6758" s="27"/>
    </row>
    <row r="6759" spans="1:12">
      <c r="A6759" s="20" t="s">
        <v>1095</v>
      </c>
      <c r="E6759" s="22">
        <f>IF(D6759="?OLD","!!!","")</f>
        <v/>
      </c>
      <c r="F6759" s="23" t="str">
        <f>IF(OR(E6759="",E6759="!!!"),"",IF(NOT(ISNA(VLOOKUP(E6759,E$1:E6758,1,FALSE()))),"OLD",IF(AND(E6759&lt;&gt;"",E6759&lt;&gt;"!!!"),"NEW","")))</f>
        <v> </v>
      </c>
      <c r="G6759" s="24" t="str">
        <f>IF(OR(E6759="",E6759="!!!"),"",IF(OR(J6759=0,AND(J6759=1,K6759=1),AND(J6759=1,I6759="SBJ"),AND(J6759=1,I6759=0)),"?IN_FOCUS",IF(J6759&lt;=2,"?ACTIVATED",IF(J6759&lt;&gt;"","?FAMILIAR",IF(F6759="NEW",IF(ISNA(VLOOKUP(E6759,#REF!,1,FALSE())),"?TYPE_IDENTIFIABLE","?REFERENTIAL"),"_")))))</f>
        <v> </v>
      </c>
      <c r="H6759" s="25" t="str">
        <f>IF(J6759&lt;&gt;1,"",IF(I6759="SBJ","CB","?"))</f>
        <v> </v>
      </c>
      <c r="I6759" s="26" t="str">
        <f>IF(OR(E6759="",E6759="!!!",F6759="NEW"),"",INDEX(B6758:B$2,-1+SUMPRODUCT(MAX(ROW(E6758:E$2)*(E6759=E6758:E$2)))))</f>
        <v> </v>
      </c>
      <c r="J6759" s="26" t="str">
        <f>IF(OR(E6759="",E6759="!!!",F6759="NEW"),"",COUNTBLANK(OFFSET(A$1,,,SUMPRODUCT(MAX(ROW(E$2:E6759)*(E6759=E$2:E6759)))))-COUNTBLANK(OFFSET(A$1,,,SUMPRODUCT(MAX(ROW(E$1:E6758)*(E2=E$1:E6758))))))</f>
        <v> </v>
      </c>
      <c r="K6759" s="26" t="str">
        <f>IF(OR(E6759="",E6759="!!!",F6759="NEW"),"",INDEX(J$1:J6758,SUMPRODUCT(MAX(ROW(E$1:E6758)*(E6759=E$1:E6758)))))</f>
        <v> </v>
      </c>
      <c r="L6759" s="27"/>
    </row>
    <row r="6760" spans="1:12">
      <c r="A6760" s="20" t="s">
        <v>1686</v>
      </c>
      <c r="E6760" s="22">
        <f>IF(D6760="?OLD","!!!","")</f>
        <v/>
      </c>
      <c r="F6760" s="23" t="str">
        <f>IF(OR(E6760="",E6760="!!!"),"",IF(NOT(ISNA(VLOOKUP(E6760,E$1:E6759,1,FALSE()))),"OLD",IF(AND(E6760&lt;&gt;"",E6760&lt;&gt;"!!!"),"NEW","")))</f>
        <v> </v>
      </c>
      <c r="G6760" s="24" t="str">
        <f>IF(OR(E6760="",E6760="!!!"),"",IF(OR(J6760=0,AND(J6760=1,K6760=1),AND(J6760=1,I6760="SBJ"),AND(J6760=1,I6760=0)),"?IN_FOCUS",IF(J6760&lt;=2,"?ACTIVATED",IF(J6760&lt;&gt;"","?FAMILIAR",IF(F6760="NEW",IF(ISNA(VLOOKUP(E6760,#REF!,1,FALSE())),"?TYPE_IDENTIFIABLE","?REFERENTIAL"),"_")))))</f>
        <v> </v>
      </c>
      <c r="H6760" s="25" t="str">
        <f>IF(J6760&lt;&gt;1,"",IF(I6760="SBJ","CB","?"))</f>
        <v> </v>
      </c>
      <c r="I6760" s="26" t="str">
        <f>IF(OR(E6760="",E6760="!!!",F6760="NEW"),"",INDEX(B6759:B$2,-1+SUMPRODUCT(MAX(ROW(E6759:E$2)*(E6760=E6759:E$2)))))</f>
        <v> </v>
      </c>
      <c r="J6760" s="26" t="str">
        <f>IF(OR(E6760="",E6760="!!!",F6760="NEW"),"",COUNTBLANK(OFFSET(A$1,,,SUMPRODUCT(MAX(ROW(E$2:E6760)*(E6760=E$2:E6760)))))-COUNTBLANK(OFFSET(A$1,,,SUMPRODUCT(MAX(ROW(E$1:E6759)*(E2=E$1:E6759))))))</f>
        <v> </v>
      </c>
      <c r="K6760" s="26" t="str">
        <f>IF(OR(E6760="",E6760="!!!",F6760="NEW"),"",INDEX(J$1:J6759,SUMPRODUCT(MAX(ROW(E$1:E6759)*(E6760=E$1:E6759)))))</f>
        <v> </v>
      </c>
      <c r="L6760" s="27"/>
    </row>
    <row r="6761" spans="1:12">
      <c r="A6761" s="20" t="s">
        <v>2243</v>
      </c>
      <c r="B6761" s="21" t="s">
        <v>1114</v>
      </c>
      <c r="C6761" s="21" t="s">
        <v>1098</v>
      </c>
      <c r="D6761" s="21" t="s">
        <v>1065</v>
      </c>
      <c r="E6761" s="22">
        <f>IF(D6761="?OLD","!!!","")</f>
        <v/>
      </c>
      <c r="F6761" s="23" t="str">
        <f>IF(OR(E6761="",E6761="!!!"),"",IF(NOT(ISNA(VLOOKUP(E6761,E$1:E6760,1,FALSE()))),"OLD",IF(AND(E6761&lt;&gt;"",E6761&lt;&gt;"!!!"),"NEW","")))</f>
        <v> </v>
      </c>
      <c r="G6761" s="24" t="str">
        <f>IF(OR(E6761="",E6761="!!!"),"",IF(OR(J6761=0,AND(J6761=1,K6761=1),AND(J6761=1,I6761="SBJ"),AND(J6761=1,I6761=0)),"?IN_FOCUS",IF(J6761&lt;=2,"?ACTIVATED",IF(J6761&lt;&gt;"","?FAMILIAR",IF(F6761="NEW",IF(ISNA(VLOOKUP(E6761,#REF!,1,FALSE())),"?TYPE_IDENTIFIABLE","?REFERENTIAL"),"_")))))</f>
        <v> </v>
      </c>
      <c r="H6761" s="25" t="str">
        <f>IF(J6761&lt;&gt;1,"",IF(I6761="SBJ","CB","?"))</f>
        <v> </v>
      </c>
      <c r="I6761" s="26" t="str">
        <f>IF(OR(E6761="",E6761="!!!",F6761="NEW"),"",INDEX(B6760:B$2,-1+SUMPRODUCT(MAX(ROW(E6760:E$2)*(E6761=E6760:E$2)))))</f>
        <v> </v>
      </c>
      <c r="J6761" s="26" t="str">
        <f>IF(OR(E6761="",E6761="!!!",F6761="NEW"),"",COUNTBLANK(OFFSET(A$1,,,SUMPRODUCT(MAX(ROW(E$2:E6761)*(E6761=E$2:E6761)))))-COUNTBLANK(OFFSET(A$1,,,SUMPRODUCT(MAX(ROW(E$1:E6760)*(E2=E$1:E6760))))))</f>
        <v> </v>
      </c>
      <c r="K6761" s="26" t="str">
        <f>IF(OR(E6761="",E6761="!!!",F6761="NEW"),"",INDEX(J$1:J6760,SUMPRODUCT(MAX(ROW(E$1:E6760)*(E6761=E$1:E6760)))))</f>
        <v> </v>
      </c>
      <c r="L6761" s="27"/>
    </row>
    <row r="6762" spans="1:12">
      <c r="A6762" s="20" t="s">
        <v>2431</v>
      </c>
      <c r="E6762" s="22">
        <f>IF(D6762="?OLD","!!!","")</f>
        <v/>
      </c>
      <c r="F6762" s="23" t="str">
        <f>IF(OR(E6762="",E6762="!!!"),"",IF(NOT(ISNA(VLOOKUP(E6762,E$1:E6761,1,FALSE()))),"OLD",IF(AND(E6762&lt;&gt;"",E6762&lt;&gt;"!!!"),"NEW","")))</f>
        <v> </v>
      </c>
      <c r="G6762" s="24" t="str">
        <f>IF(OR(E6762="",E6762="!!!"),"",IF(OR(J6762=0,AND(J6762=1,K6762=1),AND(J6762=1,I6762="SBJ"),AND(J6762=1,I6762=0)),"?IN_FOCUS",IF(J6762&lt;=2,"?ACTIVATED",IF(J6762&lt;&gt;"","?FAMILIAR",IF(F6762="NEW",IF(ISNA(VLOOKUP(E6762,#REF!,1,FALSE())),"?TYPE_IDENTIFIABLE","?REFERENTIAL"),"_")))))</f>
        <v> </v>
      </c>
      <c r="H6762" s="25" t="str">
        <f>IF(J6762&lt;&gt;1,"",IF(I6762="SBJ","CB","?"))</f>
        <v> </v>
      </c>
      <c r="I6762" s="26" t="str">
        <f>IF(OR(E6762="",E6762="!!!",F6762="NEW"),"",INDEX(B6761:B$2,-1+SUMPRODUCT(MAX(ROW(E6761:E$2)*(E6762=E6761:E$2)))))</f>
        <v> </v>
      </c>
      <c r="J6762" s="26" t="str">
        <f>IF(OR(E6762="",E6762="!!!",F6762="NEW"),"",COUNTBLANK(OFFSET(A$1,,,SUMPRODUCT(MAX(ROW(E$2:E6762)*(E6762=E$2:E6762)))))-COUNTBLANK(OFFSET(A$1,,,SUMPRODUCT(MAX(ROW(E$1:E6761)*(E2=E$1:E6761))))))</f>
        <v> </v>
      </c>
      <c r="K6762" s="26" t="str">
        <f>IF(OR(E6762="",E6762="!!!",F6762="NEW"),"",INDEX(J$1:J6761,SUMPRODUCT(MAX(ROW(E$1:E6761)*(E6762=E$1:E6761)))))</f>
        <v> </v>
      </c>
      <c r="L6762" s="27"/>
    </row>
    <row r="6763" spans="1:12">
      <c r="A6763" s="20" t="s">
        <v>1076</v>
      </c>
      <c r="E6763" s="22">
        <f>IF(D6763="?OLD","!!!","")</f>
        <v/>
      </c>
      <c r="F6763" s="23" t="str">
        <f>IF(OR(E6763="",E6763="!!!"),"",IF(NOT(ISNA(VLOOKUP(E6763,E$1:E6762,1,FALSE()))),"OLD",IF(AND(E6763&lt;&gt;"",E6763&lt;&gt;"!!!"),"NEW","")))</f>
        <v> </v>
      </c>
      <c r="G6763" s="24" t="str">
        <f>IF(OR(E6763="",E6763="!!!"),"",IF(OR(J6763=0,AND(J6763=1,K6763=1),AND(J6763=1,I6763="SBJ"),AND(J6763=1,I6763=0)),"?IN_FOCUS",IF(J6763&lt;=2,"?ACTIVATED",IF(J6763&lt;&gt;"","?FAMILIAR",IF(F6763="NEW",IF(ISNA(VLOOKUP(E6763,#REF!,1,FALSE())),"?TYPE_IDENTIFIABLE","?REFERENTIAL"),"_")))))</f>
        <v> </v>
      </c>
      <c r="H6763" s="25" t="str">
        <f>IF(J6763&lt;&gt;1,"",IF(I6763="SBJ","CB","?"))</f>
        <v> </v>
      </c>
      <c r="I6763" s="26" t="str">
        <f>IF(OR(E6763="",E6763="!!!",F6763="NEW"),"",INDEX(B6762:B$2,-1+SUMPRODUCT(MAX(ROW(E6762:E$2)*(E6763=E6762:E$2)))))</f>
        <v> </v>
      </c>
      <c r="J6763" s="26" t="str">
        <f>IF(OR(E6763="",E6763="!!!",F6763="NEW"),"",COUNTBLANK(OFFSET(A$1,,,SUMPRODUCT(MAX(ROW(E$2:E6763)*(E6763=E$2:E6763)))))-COUNTBLANK(OFFSET(A$1,,,SUMPRODUCT(MAX(ROW(E$1:E6762)*(E2=E$1:E6762))))))</f>
        <v> </v>
      </c>
      <c r="K6763" s="26" t="str">
        <f>IF(OR(E6763="",E6763="!!!",F6763="NEW"),"",INDEX(J$1:J6762,SUMPRODUCT(MAX(ROW(E$1:E6762)*(E6763=E$1:E6762)))))</f>
        <v> </v>
      </c>
      <c r="L6763" s="27"/>
    </row>
    <row r="6764" spans="1:12">
      <c r="A6764" s="20" t="s">
        <v>909</v>
      </c>
      <c r="E6764" s="22">
        <f>IF(D6764="?OLD","!!!","")</f>
        <v/>
      </c>
      <c r="F6764" s="23" t="str">
        <f>IF(OR(E6764="",E6764="!!!"),"",IF(NOT(ISNA(VLOOKUP(E6764,E$1:E6763,1,FALSE()))),"OLD",IF(AND(E6764&lt;&gt;"",E6764&lt;&gt;"!!!"),"NEW","")))</f>
        <v> </v>
      </c>
      <c r="G6764" s="24" t="str">
        <f>IF(OR(E6764="",E6764="!!!"),"",IF(OR(J6764=0,AND(J6764=1,K6764=1),AND(J6764=1,I6764="SBJ"),AND(J6764=1,I6764=0)),"?IN_FOCUS",IF(J6764&lt;=2,"?ACTIVATED",IF(J6764&lt;&gt;"","?FAMILIAR",IF(F6764="NEW",IF(ISNA(VLOOKUP(E6764,#REF!,1,FALSE())),"?TYPE_IDENTIFIABLE","?REFERENTIAL"),"_")))))</f>
        <v> </v>
      </c>
      <c r="H6764" s="25" t="str">
        <f>IF(J6764&lt;&gt;1,"",IF(I6764="SBJ","CB","?"))</f>
        <v> </v>
      </c>
      <c r="I6764" s="26" t="str">
        <f>IF(OR(E6764="",E6764="!!!",F6764="NEW"),"",INDEX(B6763:B$2,-1+SUMPRODUCT(MAX(ROW(E6763:E$2)*(E6764=E6763:E$2)))))</f>
        <v> </v>
      </c>
      <c r="J6764" s="26" t="str">
        <f>IF(OR(E6764="",E6764="!!!",F6764="NEW"),"",COUNTBLANK(OFFSET(A$1,,,SUMPRODUCT(MAX(ROW(E$2:E6764)*(E6764=E$2:E6764)))))-COUNTBLANK(OFFSET(A$1,,,SUMPRODUCT(MAX(ROW(E$1:E6763)*(E2=E$1:E6763))))))</f>
        <v> </v>
      </c>
      <c r="K6764" s="26" t="str">
        <f>IF(OR(E6764="",E6764="!!!",F6764="NEW"),"",INDEX(J$1:J6763,SUMPRODUCT(MAX(ROW(E$1:E6763)*(E6764=E$1:E6763)))))</f>
        <v> </v>
      </c>
      <c r="L6764" s="27"/>
    </row>
    <row r="6765" spans="1:12">
      <c r="A6765" s="20" t="s">
        <v>1213</v>
      </c>
      <c r="E6765" s="22">
        <f>IF(D6765="?OLD","!!!","")</f>
        <v/>
      </c>
      <c r="F6765" s="23" t="str">
        <f>IF(OR(E6765="",E6765="!!!"),"",IF(NOT(ISNA(VLOOKUP(E6765,E$1:E6764,1,FALSE()))),"OLD",IF(AND(E6765&lt;&gt;"",E6765&lt;&gt;"!!!"),"NEW","")))</f>
        <v> </v>
      </c>
      <c r="G6765" s="24" t="str">
        <f>IF(OR(E6765="",E6765="!!!"),"",IF(OR(J6765=0,AND(J6765=1,K6765=1),AND(J6765=1,I6765="SBJ"),AND(J6765=1,I6765=0)),"?IN_FOCUS",IF(J6765&lt;=2,"?ACTIVATED",IF(J6765&lt;&gt;"","?FAMILIAR",IF(F6765="NEW",IF(ISNA(VLOOKUP(E6765,#REF!,1,FALSE())),"?TYPE_IDENTIFIABLE","?REFERENTIAL"),"_")))))</f>
        <v> </v>
      </c>
      <c r="H6765" s="25" t="str">
        <f>IF(J6765&lt;&gt;1,"",IF(I6765="SBJ","CB","?"))</f>
        <v> </v>
      </c>
      <c r="I6765" s="26" t="str">
        <f>IF(OR(E6765="",E6765="!!!",F6765="NEW"),"",INDEX(B6764:B$2,-1+SUMPRODUCT(MAX(ROW(E6764:E$2)*(E6765=E6764:E$2)))))</f>
        <v> </v>
      </c>
      <c r="J6765" s="26" t="str">
        <f>IF(OR(E6765="",E6765="!!!",F6765="NEW"),"",COUNTBLANK(OFFSET(A$1,,,SUMPRODUCT(MAX(ROW(E$2:E6765)*(E6765=E$2:E6765)))))-COUNTBLANK(OFFSET(A$1,,,SUMPRODUCT(MAX(ROW(E$1:E6764)*(E2=E$1:E6764))))))</f>
        <v> </v>
      </c>
      <c r="K6765" s="26" t="str">
        <f>IF(OR(E6765="",E6765="!!!",F6765="NEW"),"",INDEX(J$1:J6764,SUMPRODUCT(MAX(ROW(E$1:E6764)*(E6765=E$1:E6764)))))</f>
        <v> </v>
      </c>
      <c r="L6765" s="27"/>
    </row>
    <row r="6766" spans="1:12">
      <c r="A6766" s="20" t="s">
        <v>2208</v>
      </c>
      <c r="E6766" s="22">
        <f>IF(D6766="?OLD","!!!","")</f>
        <v/>
      </c>
      <c r="F6766" s="23" t="str">
        <f>IF(OR(E6766="",E6766="!!!"),"",IF(NOT(ISNA(VLOOKUP(E6766,E$1:E6765,1,FALSE()))),"OLD",IF(AND(E6766&lt;&gt;"",E6766&lt;&gt;"!!!"),"NEW","")))</f>
        <v> </v>
      </c>
      <c r="G6766" s="24" t="str">
        <f>IF(OR(E6766="",E6766="!!!"),"",IF(OR(J6766=0,AND(J6766=1,K6766=1),AND(J6766=1,I6766="SBJ"),AND(J6766=1,I6766=0)),"?IN_FOCUS",IF(J6766&lt;=2,"?ACTIVATED",IF(J6766&lt;&gt;"","?FAMILIAR",IF(F6766="NEW",IF(ISNA(VLOOKUP(E6766,#REF!,1,FALSE())),"?TYPE_IDENTIFIABLE","?REFERENTIAL"),"_")))))</f>
        <v> </v>
      </c>
      <c r="H6766" s="25" t="str">
        <f>IF(J6766&lt;&gt;1,"",IF(I6766="SBJ","CB","?"))</f>
        <v> </v>
      </c>
      <c r="I6766" s="26" t="str">
        <f>IF(OR(E6766="",E6766="!!!",F6766="NEW"),"",INDEX(B6765:B$2,-1+SUMPRODUCT(MAX(ROW(E6765:E$2)*(E6766=E6765:E$2)))))</f>
        <v> </v>
      </c>
      <c r="J6766" s="26" t="str">
        <f>IF(OR(E6766="",E6766="!!!",F6766="NEW"),"",COUNTBLANK(OFFSET(A$1,,,SUMPRODUCT(MAX(ROW(E$2:E6766)*(E6766=E$2:E6766)))))-COUNTBLANK(OFFSET(A$1,,,SUMPRODUCT(MAX(ROW(E$1:E6765)*(E2=E$1:E6765))))))</f>
        <v> </v>
      </c>
      <c r="K6766" s="26" t="str">
        <f>IF(OR(E6766="",E6766="!!!",F6766="NEW"),"",INDEX(J$1:J6765,SUMPRODUCT(MAX(ROW(E$1:E6765)*(E6766=E$1:E6765)))))</f>
        <v> </v>
      </c>
      <c r="L6766" s="27"/>
    </row>
    <row r="6767" spans="1:12">
      <c r="A6767" s="20" t="s">
        <v>1036</v>
      </c>
      <c r="E6767" s="22">
        <f>IF(D6767="?OLD","!!!","")</f>
        <v/>
      </c>
      <c r="F6767" s="23" t="str">
        <f>IF(OR(E6767="",E6767="!!!"),"",IF(NOT(ISNA(VLOOKUP(E6767,E$1:E6766,1,FALSE()))),"OLD",IF(AND(E6767&lt;&gt;"",E6767&lt;&gt;"!!!"),"NEW","")))</f>
        <v> </v>
      </c>
      <c r="G6767" s="24" t="str">
        <f>IF(OR(E6767="",E6767="!!!"),"",IF(OR(J6767=0,AND(J6767=1,K6767=1),AND(J6767=1,I6767="SBJ"),AND(J6767=1,I6767=0)),"?IN_FOCUS",IF(J6767&lt;=2,"?ACTIVATED",IF(J6767&lt;&gt;"","?FAMILIAR",IF(F6767="NEW",IF(ISNA(VLOOKUP(E6767,#REF!,1,FALSE())),"?TYPE_IDENTIFIABLE","?REFERENTIAL"),"_")))))</f>
        <v> </v>
      </c>
      <c r="H6767" s="25" t="str">
        <f>IF(J6767&lt;&gt;1,"",IF(I6767="SBJ","CB","?"))</f>
        <v> </v>
      </c>
      <c r="I6767" s="26" t="str">
        <f>IF(OR(E6767="",E6767="!!!",F6767="NEW"),"",INDEX(B6766:B$2,-1+SUMPRODUCT(MAX(ROW(E6766:E$2)*(E6767=E6766:E$2)))))</f>
        <v> </v>
      </c>
      <c r="J6767" s="26" t="str">
        <f>IF(OR(E6767="",E6767="!!!",F6767="NEW"),"",COUNTBLANK(OFFSET(A$1,,,SUMPRODUCT(MAX(ROW(E$2:E6767)*(E6767=E$2:E6767)))))-COUNTBLANK(OFFSET(A$1,,,SUMPRODUCT(MAX(ROW(E$1:E6766)*(E2=E$1:E6766))))))</f>
        <v> </v>
      </c>
      <c r="K6767" s="26" t="str">
        <f>IF(OR(E6767="",E6767="!!!",F6767="NEW"),"",INDEX(J$1:J6766,SUMPRODUCT(MAX(ROW(E$1:E6766)*(E6767=E$1:E6766)))))</f>
        <v> </v>
      </c>
      <c r="L6767" s="27"/>
    </row>
    <row r="6768" spans="1:12">
      <c r="A6768" s="20" t="s">
        <v>1088</v>
      </c>
      <c r="E6768" s="22">
        <f>IF(D6768="?OLD","!!!","")</f>
        <v/>
      </c>
      <c r="F6768" s="23" t="str">
        <f>IF(OR(E6768="",E6768="!!!"),"",IF(NOT(ISNA(VLOOKUP(E6768,E$1:E6767,1,FALSE()))),"OLD",IF(AND(E6768&lt;&gt;"",E6768&lt;&gt;"!!!"),"NEW","")))</f>
        <v> </v>
      </c>
      <c r="G6768" s="24" t="str">
        <f>IF(OR(E6768="",E6768="!!!"),"",IF(OR(J6768=0,AND(J6768=1,K6768=1),AND(J6768=1,I6768="SBJ"),AND(J6768=1,I6768=0)),"?IN_FOCUS",IF(J6768&lt;=2,"?ACTIVATED",IF(J6768&lt;&gt;"","?FAMILIAR",IF(F6768="NEW",IF(ISNA(VLOOKUP(E6768,#REF!,1,FALSE())),"?TYPE_IDENTIFIABLE","?REFERENTIAL"),"_")))))</f>
        <v> </v>
      </c>
      <c r="H6768" s="25" t="str">
        <f>IF(J6768&lt;&gt;1,"",IF(I6768="SBJ","CB","?"))</f>
        <v> </v>
      </c>
      <c r="I6768" s="26" t="str">
        <f>IF(OR(E6768="",E6768="!!!",F6768="NEW"),"",INDEX(B6767:B$2,-1+SUMPRODUCT(MAX(ROW(E6767:E$2)*(E6768=E6767:E$2)))))</f>
        <v> </v>
      </c>
      <c r="J6768" s="26" t="str">
        <f>IF(OR(E6768="",E6768="!!!",F6768="NEW"),"",COUNTBLANK(OFFSET(A$1,,,SUMPRODUCT(MAX(ROW(E$2:E6768)*(E6768=E$2:E6768)))))-COUNTBLANK(OFFSET(A$1,,,SUMPRODUCT(MAX(ROW(E$1:E6767)*(E2=E$1:E6767))))))</f>
        <v> </v>
      </c>
      <c r="K6768" s="26" t="str">
        <f>IF(OR(E6768="",E6768="!!!",F6768="NEW"),"",INDEX(J$1:J6767,SUMPRODUCT(MAX(ROW(E$1:E6767)*(E6768=E$1:E6767)))))</f>
        <v> </v>
      </c>
      <c r="L6768" s="27"/>
    </row>
    <row r="6769" spans="1:12">
      <c r="A6769" s="20" t="s">
        <v>1204</v>
      </c>
      <c r="E6769" s="22">
        <f>IF(D6769="?OLD","!!!","")</f>
        <v/>
      </c>
      <c r="F6769" s="23" t="str">
        <f>IF(OR(E6769="",E6769="!!!"),"",IF(NOT(ISNA(VLOOKUP(E6769,E$1:E6768,1,FALSE()))),"OLD",IF(AND(E6769&lt;&gt;"",E6769&lt;&gt;"!!!"),"NEW","")))</f>
        <v> </v>
      </c>
      <c r="G6769" s="24" t="str">
        <f>IF(OR(E6769="",E6769="!!!"),"",IF(OR(J6769=0,AND(J6769=1,K6769=1),AND(J6769=1,I6769="SBJ"),AND(J6769=1,I6769=0)),"?IN_FOCUS",IF(J6769&lt;=2,"?ACTIVATED",IF(J6769&lt;&gt;"","?FAMILIAR",IF(F6769="NEW",IF(ISNA(VLOOKUP(E6769,#REF!,1,FALSE())),"?TYPE_IDENTIFIABLE","?REFERENTIAL"),"_")))))</f>
        <v> </v>
      </c>
      <c r="H6769" s="25" t="str">
        <f>IF(J6769&lt;&gt;1,"",IF(I6769="SBJ","CB","?"))</f>
        <v> </v>
      </c>
      <c r="I6769" s="26" t="str">
        <f>IF(OR(E6769="",E6769="!!!",F6769="NEW"),"",INDEX(B6768:B$2,-1+SUMPRODUCT(MAX(ROW(E6768:E$2)*(E6769=E6768:E$2)))))</f>
        <v> </v>
      </c>
      <c r="J6769" s="26" t="str">
        <f>IF(OR(E6769="",E6769="!!!",F6769="NEW"),"",COUNTBLANK(OFFSET(A$1,,,SUMPRODUCT(MAX(ROW(E$2:E6769)*(E6769=E$2:E6769)))))-COUNTBLANK(OFFSET(A$1,,,SUMPRODUCT(MAX(ROW(E$1:E6768)*(E2=E$1:E6768))))))</f>
        <v> </v>
      </c>
      <c r="K6769" s="26" t="str">
        <f>IF(OR(E6769="",E6769="!!!",F6769="NEW"),"",INDEX(J$1:J6768,SUMPRODUCT(MAX(ROW(E$1:E6768)*(E6769=E$1:E6768)))))</f>
        <v> </v>
      </c>
      <c r="L6769" s="27"/>
    </row>
    <row r="6770" spans="1:12">
      <c r="A6770" s="20" t="s">
        <v>1443</v>
      </c>
      <c r="B6770" s="21" t="s">
        <v>1118</v>
      </c>
      <c r="C6770" s="21" t="s">
        <v>1119</v>
      </c>
      <c r="D6770" s="21" t="s">
        <v>1065</v>
      </c>
      <c r="E6770" s="22">
        <f>IF(D6770="?OLD","!!!","")</f>
        <v/>
      </c>
      <c r="F6770" s="23" t="str">
        <f>IF(OR(E6770="",E6770="!!!"),"",IF(NOT(ISNA(VLOOKUP(E6770,E$1:E6769,1,FALSE()))),"OLD",IF(AND(E6770&lt;&gt;"",E6770&lt;&gt;"!!!"),"NEW","")))</f>
        <v> </v>
      </c>
      <c r="G6770" s="24" t="str">
        <f>IF(OR(E6770="",E6770="!!!"),"",IF(OR(J6770=0,AND(J6770=1,K6770=1),AND(J6770=1,I6770="SBJ"),AND(J6770=1,I6770=0)),"?IN_FOCUS",IF(J6770&lt;=2,"?ACTIVATED",IF(J6770&lt;&gt;"","?FAMILIAR",IF(F6770="NEW",IF(ISNA(VLOOKUP(E6770,#REF!,1,FALSE())),"?TYPE_IDENTIFIABLE","?REFERENTIAL"),"_")))))</f>
        <v> </v>
      </c>
      <c r="H6770" s="25" t="str">
        <f>IF(J6770&lt;&gt;1,"",IF(I6770="SBJ","CB","?"))</f>
        <v> </v>
      </c>
      <c r="I6770" s="26" t="str">
        <f>IF(OR(E6770="",E6770="!!!",F6770="NEW"),"",INDEX(B6769:B$2,-1+SUMPRODUCT(MAX(ROW(E6769:E$2)*(E6770=E6769:E$2)))))</f>
        <v> </v>
      </c>
      <c r="J6770" s="26" t="str">
        <f>IF(OR(E6770="",E6770="!!!",F6770="NEW"),"",COUNTBLANK(OFFSET(A$1,,,SUMPRODUCT(MAX(ROW(E$2:E6770)*(E6770=E$2:E6770)))))-COUNTBLANK(OFFSET(A$1,,,SUMPRODUCT(MAX(ROW(E$1:E6769)*(E2=E$1:E6769))))))</f>
        <v> </v>
      </c>
      <c r="K6770" s="26" t="str">
        <f>IF(OR(E6770="",E6770="!!!",F6770="NEW"),"",INDEX(J$1:J6769,SUMPRODUCT(MAX(ROW(E$1:E6769)*(E6770=E$1:E6769)))))</f>
        <v> </v>
      </c>
      <c r="L6770" s="27"/>
    </row>
    <row r="6771" spans="1:12">
      <c r="A6771" s="20" t="s">
        <v>1812</v>
      </c>
      <c r="B6771" s="21" t="s">
        <v>1121</v>
      </c>
      <c r="C6771" s="21" t="s">
        <v>1075</v>
      </c>
      <c r="D6771" s="21" t="s">
        <v>1065</v>
      </c>
      <c r="E6771" s="22">
        <f>IF(D6771="?OLD","!!!","")</f>
        <v/>
      </c>
      <c r="F6771" s="23" t="str">
        <f>IF(OR(E6771="",E6771="!!!"),"",IF(NOT(ISNA(VLOOKUP(E6771,E$1:E6770,1,FALSE()))),"OLD",IF(AND(E6771&lt;&gt;"",E6771&lt;&gt;"!!!"),"NEW","")))</f>
        <v> </v>
      </c>
      <c r="G6771" s="24" t="str">
        <f>IF(OR(E6771="",E6771="!!!"),"",IF(OR(J6771=0,AND(J6771=1,K6771=1),AND(J6771=1,I6771="SBJ"),AND(J6771=1,I6771=0)),"?IN_FOCUS",IF(J6771&lt;=2,"?ACTIVATED",IF(J6771&lt;&gt;"","?FAMILIAR",IF(F6771="NEW",IF(ISNA(VLOOKUP(E6771,#REF!,1,FALSE())),"?TYPE_IDENTIFIABLE","?REFERENTIAL"),"_")))))</f>
        <v> </v>
      </c>
      <c r="H6771" s="25" t="str">
        <f>IF(J6771&lt;&gt;1,"",IF(I6771="SBJ","CB","?"))</f>
        <v> </v>
      </c>
      <c r="I6771" s="26" t="str">
        <f>IF(OR(E6771="",E6771="!!!",F6771="NEW"),"",INDEX(B6770:B$2,-1+SUMPRODUCT(MAX(ROW(E6770:E$2)*(E6771=E6770:E$2)))))</f>
        <v> </v>
      </c>
      <c r="J6771" s="26" t="str">
        <f>IF(OR(E6771="",E6771="!!!",F6771="NEW"),"",COUNTBLANK(OFFSET(A$1,,,SUMPRODUCT(MAX(ROW(E$2:E6771)*(E6771=E$2:E6771)))))-COUNTBLANK(OFFSET(A$1,,,SUMPRODUCT(MAX(ROW(E$1:E6770)*(E2=E$1:E6770))))))</f>
        <v> </v>
      </c>
      <c r="K6771" s="26" t="str">
        <f>IF(OR(E6771="",E6771="!!!",F6771="NEW"),"",INDEX(J$1:J6770,SUMPRODUCT(MAX(ROW(E$1:E6770)*(E6771=E$1:E6770)))))</f>
        <v> </v>
      </c>
      <c r="L6771" s="27"/>
    </row>
    <row r="6772" spans="1:12">
      <c r="A6772" s="20" t="s">
        <v>1106</v>
      </c>
      <c r="E6772" s="22">
        <f>IF(D6772="?OLD","!!!","")</f>
        <v/>
      </c>
      <c r="F6772" s="23" t="str">
        <f>IF(OR(E6772="",E6772="!!!"),"",IF(NOT(ISNA(VLOOKUP(E6772,E$1:E6771,1,FALSE()))),"OLD",IF(AND(E6772&lt;&gt;"",E6772&lt;&gt;"!!!"),"NEW","")))</f>
        <v> </v>
      </c>
      <c r="G6772" s="24" t="str">
        <f>IF(OR(E6772="",E6772="!!!"),"",IF(OR(J6772=0,AND(J6772=1,K6772=1),AND(J6772=1,I6772="SBJ"),AND(J6772=1,I6772=0)),"?IN_FOCUS",IF(J6772&lt;=2,"?ACTIVATED",IF(J6772&lt;&gt;"","?FAMILIAR",IF(F6772="NEW",IF(ISNA(VLOOKUP(E6772,#REF!,1,FALSE())),"?TYPE_IDENTIFIABLE","?REFERENTIAL"),"_")))))</f>
        <v> </v>
      </c>
      <c r="H6772" s="25" t="str">
        <f>IF(J6772&lt;&gt;1,"",IF(I6772="SBJ","CB","?"))</f>
        <v> </v>
      </c>
      <c r="I6772" s="26" t="str">
        <f>IF(OR(E6772="",E6772="!!!",F6772="NEW"),"",INDEX(B6771:B$2,-1+SUMPRODUCT(MAX(ROW(E6771:E$2)*(E6772=E6771:E$2)))))</f>
        <v> </v>
      </c>
      <c r="J6772" s="26" t="str">
        <f>IF(OR(E6772="",E6772="!!!",F6772="NEW"),"",COUNTBLANK(OFFSET(A$1,,,SUMPRODUCT(MAX(ROW(E$2:E6772)*(E6772=E$2:E6772)))))-COUNTBLANK(OFFSET(A$1,,,SUMPRODUCT(MAX(ROW(E$1:E6771)*(E2=E$1:E6771))))))</f>
        <v> </v>
      </c>
      <c r="K6772" s="26" t="str">
        <f>IF(OR(E6772="",E6772="!!!",F6772="NEW"),"",INDEX(J$1:J6771,SUMPRODUCT(MAX(ROW(E$1:E6771)*(E6772=E$1:E6771)))))</f>
        <v> </v>
      </c>
      <c r="L6772" s="27"/>
    </row>
    <row r="6773" spans="1:12">
      <c r="A6773" s="20" t="s">
        <v>2885</v>
      </c>
      <c r="B6773" s="21" t="s">
        <v>1121</v>
      </c>
      <c r="C6773" s="21" t="s">
        <v>1071</v>
      </c>
      <c r="D6773" s="21" t="s">
        <v>1065</v>
      </c>
      <c r="E6773" s="22">
        <f>IF(D6773="?OLD","!!!","")</f>
        <v/>
      </c>
      <c r="F6773" s="23" t="str">
        <f>IF(OR(E6773="",E6773="!!!"),"",IF(NOT(ISNA(VLOOKUP(E6773,E$1:E6772,1,FALSE()))),"OLD",IF(AND(E6773&lt;&gt;"",E6773&lt;&gt;"!!!"),"NEW","")))</f>
        <v> </v>
      </c>
      <c r="G6773" s="24" t="str">
        <f>IF(OR(E6773="",E6773="!!!"),"",IF(OR(J6773=0,AND(J6773=1,K6773=1),AND(J6773=1,I6773="SBJ"),AND(J6773=1,I6773=0)),"?IN_FOCUS",IF(J6773&lt;=2,"?ACTIVATED",IF(J6773&lt;&gt;"","?FAMILIAR",IF(F6773="NEW",IF(ISNA(VLOOKUP(E6773,#REF!,1,FALSE())),"?TYPE_IDENTIFIABLE","?REFERENTIAL"),"_")))))</f>
        <v> </v>
      </c>
      <c r="H6773" s="25" t="str">
        <f>IF(J6773&lt;&gt;1,"",IF(I6773="SBJ","CB","?"))</f>
        <v> </v>
      </c>
      <c r="I6773" s="26" t="str">
        <f>IF(OR(E6773="",E6773="!!!",F6773="NEW"),"",INDEX(B6772:B$2,-1+SUMPRODUCT(MAX(ROW(E6772:E$2)*(E6773=E6772:E$2)))))</f>
        <v> </v>
      </c>
      <c r="J6773" s="26" t="str">
        <f>IF(OR(E6773="",E6773="!!!",F6773="NEW"),"",COUNTBLANK(OFFSET(A$1,,,SUMPRODUCT(MAX(ROW(E$2:E6773)*(E6773=E$2:E6773)))))-COUNTBLANK(OFFSET(A$1,,,SUMPRODUCT(MAX(ROW(E$1:E6772)*(E2=E$1:E6772))))))</f>
        <v> </v>
      </c>
      <c r="K6773" s="26" t="str">
        <f>IF(OR(E6773="",E6773="!!!",F6773="NEW"),"",INDEX(J$1:J6772,SUMPRODUCT(MAX(ROW(E$1:E6772)*(E6773=E$1:E6772)))))</f>
        <v> </v>
      </c>
      <c r="L6773" s="27"/>
    </row>
    <row r="6774" spans="1:12">
      <c r="A6774" s="20" t="s">
        <v>1072</v>
      </c>
      <c r="E6774" s="22">
        <f>IF(D6774="?OLD","!!!","")</f>
        <v/>
      </c>
      <c r="F6774" s="23" t="str">
        <f>IF(OR(E6774="",E6774="!!!"),"",IF(NOT(ISNA(VLOOKUP(E6774,E$1:E6773,1,FALSE()))),"OLD",IF(AND(E6774&lt;&gt;"",E6774&lt;&gt;"!!!"),"NEW","")))</f>
        <v> </v>
      </c>
      <c r="G6774" s="24" t="str">
        <f>IF(OR(E6774="",E6774="!!!"),"",IF(OR(J6774=0,AND(J6774=1,K6774=1),AND(J6774=1,I6774="SBJ"),AND(J6774=1,I6774=0)),"?IN_FOCUS",IF(J6774&lt;=2,"?ACTIVATED",IF(J6774&lt;&gt;"","?FAMILIAR",IF(F6774="NEW",IF(ISNA(VLOOKUP(E6774,#REF!,1,FALSE())),"?TYPE_IDENTIFIABLE","?REFERENTIAL"),"_")))))</f>
        <v> </v>
      </c>
      <c r="H6774" s="25" t="str">
        <f>IF(J6774&lt;&gt;1,"",IF(I6774="SBJ","CB","?"))</f>
        <v> </v>
      </c>
      <c r="I6774" s="26" t="str">
        <f>IF(OR(E6774="",E6774="!!!",F6774="NEW"),"",INDEX(B6773:B$2,-1+SUMPRODUCT(MAX(ROW(E6773:E$2)*(E6774=E6773:E$2)))))</f>
        <v> </v>
      </c>
      <c r="J6774" s="26" t="str">
        <f>IF(OR(E6774="",E6774="!!!",F6774="NEW"),"",COUNTBLANK(OFFSET(A$1,,,SUMPRODUCT(MAX(ROW(E$2:E6774)*(E6774=E$2:E6774)))))-COUNTBLANK(OFFSET(A$1,,,SUMPRODUCT(MAX(ROW(E$1:E6773)*(E2=E$1:E6773))))))</f>
        <v> </v>
      </c>
      <c r="K6774" s="26" t="str">
        <f>IF(OR(E6774="",E6774="!!!",F6774="NEW"),"",INDEX(J$1:J6773,SUMPRODUCT(MAX(ROW(E$1:E6773)*(E6774=E$1:E6773)))))</f>
        <v> </v>
      </c>
      <c r="L6774" s="27"/>
    </row>
    <row r="6775" spans="1:12">
      <c r="A6775" s="20" t="s">
        <v>1124</v>
      </c>
      <c r="E6775" s="22">
        <f>IF(D6775="?OLD","!!!","")</f>
        <v/>
      </c>
      <c r="F6775" s="23" t="str">
        <f>IF(OR(E6775="",E6775="!!!"),"",IF(NOT(ISNA(VLOOKUP(E6775,E$1:E6774,1,FALSE()))),"OLD",IF(AND(E6775&lt;&gt;"",E6775&lt;&gt;"!!!"),"NEW","")))</f>
        <v> </v>
      </c>
      <c r="G6775" s="24" t="str">
        <f>IF(OR(E6775="",E6775="!!!"),"",IF(OR(J6775=0,AND(J6775=1,K6775=1),AND(J6775=1,I6775="SBJ"),AND(J6775=1,I6775=0)),"?IN_FOCUS",IF(J6775&lt;=2,"?ACTIVATED",IF(J6775&lt;&gt;"","?FAMILIAR",IF(F6775="NEW",IF(ISNA(VLOOKUP(E6775,#REF!,1,FALSE())),"?TYPE_IDENTIFIABLE","?REFERENTIAL"),"_")))))</f>
        <v> </v>
      </c>
      <c r="H6775" s="25" t="str">
        <f>IF(J6775&lt;&gt;1,"",IF(I6775="SBJ","CB","?"))</f>
        <v> </v>
      </c>
      <c r="I6775" s="26" t="str">
        <f>IF(OR(E6775="",E6775="!!!",F6775="NEW"),"",INDEX(B6774:B$2,-1+SUMPRODUCT(MAX(ROW(E6774:E$2)*(E6775=E6774:E$2)))))</f>
        <v> </v>
      </c>
      <c r="J6775" s="26" t="str">
        <f>IF(OR(E6775="",E6775="!!!",F6775="NEW"),"",COUNTBLANK(OFFSET(A$1,,,SUMPRODUCT(MAX(ROW(E$2:E6775)*(E6775=E$2:E6775)))))-COUNTBLANK(OFFSET(A$1,,,SUMPRODUCT(MAX(ROW(E$1:E6774)*(E2=E$1:E6774))))))</f>
        <v> </v>
      </c>
      <c r="K6775" s="26" t="str">
        <f>IF(OR(E6775="",E6775="!!!",F6775="NEW"),"",INDEX(J$1:J6774,SUMPRODUCT(MAX(ROW(E$1:E6774)*(E6775=E$1:E6774)))))</f>
        <v> </v>
      </c>
      <c r="L6775" s="27"/>
    </row>
    <row r="6776" spans="1:12">
      <c r="A6776" s="20" t="s">
        <v>2886</v>
      </c>
      <c r="E6776" s="22">
        <f>IF(D6776="?OLD","!!!","")</f>
        <v/>
      </c>
      <c r="F6776" s="23" t="str">
        <f>IF(OR(E6776="",E6776="!!!"),"",IF(NOT(ISNA(VLOOKUP(E6776,E$1:E6775,1,FALSE()))),"OLD",IF(AND(E6776&lt;&gt;"",E6776&lt;&gt;"!!!"),"NEW","")))</f>
        <v> </v>
      </c>
      <c r="G6776" s="24" t="str">
        <f>IF(OR(E6776="",E6776="!!!"),"",IF(OR(J6776=0,AND(J6776=1,K6776=1),AND(J6776=1,I6776="SBJ"),AND(J6776=1,I6776=0)),"?IN_FOCUS",IF(J6776&lt;=2,"?ACTIVATED",IF(J6776&lt;&gt;"","?FAMILIAR",IF(F6776="NEW",IF(ISNA(VLOOKUP(E6776,#REF!,1,FALSE())),"?TYPE_IDENTIFIABLE","?REFERENTIAL"),"_")))))</f>
        <v> </v>
      </c>
      <c r="H6776" s="25" t="str">
        <f>IF(J6776&lt;&gt;1,"",IF(I6776="SBJ","CB","?"))</f>
        <v> </v>
      </c>
      <c r="I6776" s="26" t="str">
        <f>IF(OR(E6776="",E6776="!!!",F6776="NEW"),"",INDEX(B6775:B$2,-1+SUMPRODUCT(MAX(ROW(E6775:E$2)*(E6776=E6775:E$2)))))</f>
        <v> </v>
      </c>
      <c r="J6776" s="26" t="str">
        <f>IF(OR(E6776="",E6776="!!!",F6776="NEW"),"",COUNTBLANK(OFFSET(A$1,,,SUMPRODUCT(MAX(ROW(E$2:E6776)*(E6776=E$2:E6776)))))-COUNTBLANK(OFFSET(A$1,,,SUMPRODUCT(MAX(ROW(E$1:E6775)*(E2=E$1:E6775))))))</f>
        <v> </v>
      </c>
      <c r="K6776" s="26" t="str">
        <f>IF(OR(E6776="",E6776="!!!",F6776="NEW"),"",INDEX(J$1:J6775,SUMPRODUCT(MAX(ROW(E$1:E6775)*(E6776=E$1:E6775)))))</f>
        <v> </v>
      </c>
      <c r="L6776" s="27"/>
    </row>
    <row r="6777" spans="1:12">
      <c r="A6777" s="20" t="s">
        <v>1241</v>
      </c>
      <c r="B6777" s="21" t="s">
        <v>1118</v>
      </c>
      <c r="C6777" s="21" t="s">
        <v>1109</v>
      </c>
      <c r="E6777" s="22">
        <f>IF(D6777="?OLD","!!!","")</f>
        <v/>
      </c>
      <c r="F6777" s="23" t="str">
        <f>IF(OR(E6777="",E6777="!!!"),"",IF(NOT(ISNA(VLOOKUP(E6777,E$1:E6776,1,FALSE()))),"OLD",IF(AND(E6777&lt;&gt;"",E6777&lt;&gt;"!!!"),"NEW","")))</f>
        <v> </v>
      </c>
      <c r="G6777" s="24" t="str">
        <f>IF(OR(E6777="",E6777="!!!"),"",IF(OR(J6777=0,AND(J6777=1,K6777=1),AND(J6777=1,I6777="SBJ"),AND(J6777=1,I6777=0)),"?IN_FOCUS",IF(J6777&lt;=2,"?ACTIVATED",IF(J6777&lt;&gt;"","?FAMILIAR",IF(F6777="NEW",IF(ISNA(VLOOKUP(E6777,#REF!,1,FALSE())),"?TYPE_IDENTIFIABLE","?REFERENTIAL"),"_")))))</f>
        <v> </v>
      </c>
      <c r="H6777" s="25" t="str">
        <f>IF(J6777&lt;&gt;1,"",IF(I6777="SBJ","CB","?"))</f>
        <v> </v>
      </c>
      <c r="I6777" s="26" t="str">
        <f>IF(OR(E6777="",E6777="!!!",F6777="NEW"),"",INDEX(B6776:B$2,-1+SUMPRODUCT(MAX(ROW(E6776:E$2)*(E6777=E6776:E$2)))))</f>
        <v> </v>
      </c>
      <c r="J6777" s="26" t="str">
        <f>IF(OR(E6777="",E6777="!!!",F6777="NEW"),"",COUNTBLANK(OFFSET(A$1,,,SUMPRODUCT(MAX(ROW(E$2:E6777)*(E6777=E$2:E6777)))))-COUNTBLANK(OFFSET(A$1,,,SUMPRODUCT(MAX(ROW(E$1:E6776)*(E2=E$1:E6776))))))</f>
        <v> </v>
      </c>
      <c r="K6777" s="26" t="str">
        <f>IF(OR(E6777="",E6777="!!!",F6777="NEW"),"",INDEX(J$1:J6776,SUMPRODUCT(MAX(ROW(E$1:E6776)*(E6777=E$1:E6776)))))</f>
        <v> </v>
      </c>
      <c r="L6777" s="27"/>
    </row>
    <row r="6778" spans="1:12">
      <c r="A6778" s="20" t="s">
        <v>195</v>
      </c>
      <c r="E6778" s="22">
        <f>IF(D6778="?OLD","!!!","")</f>
        <v/>
      </c>
      <c r="F6778" s="23" t="str">
        <f>IF(OR(E6778="",E6778="!!!"),"",IF(NOT(ISNA(VLOOKUP(E6778,E$1:E6777,1,FALSE()))),"OLD",IF(AND(E6778&lt;&gt;"",E6778&lt;&gt;"!!!"),"NEW","")))</f>
        <v> </v>
      </c>
      <c r="G6778" s="24" t="str">
        <f>IF(OR(E6778="",E6778="!!!"),"",IF(OR(J6778=0,AND(J6778=1,K6778=1),AND(J6778=1,I6778="SBJ"),AND(J6778=1,I6778=0)),"?IN_FOCUS",IF(J6778&lt;=2,"?ACTIVATED",IF(J6778&lt;&gt;"","?FAMILIAR",IF(F6778="NEW",IF(ISNA(VLOOKUP(E6778,#REF!,1,FALSE())),"?TYPE_IDENTIFIABLE","?REFERENTIAL"),"_")))))</f>
        <v> </v>
      </c>
      <c r="H6778" s="25" t="str">
        <f>IF(J6778&lt;&gt;1,"",IF(I6778="SBJ","CB","?"))</f>
        <v> </v>
      </c>
      <c r="I6778" s="26" t="str">
        <f>IF(OR(E6778="",E6778="!!!",F6778="NEW"),"",INDEX(B6777:B$2,-1+SUMPRODUCT(MAX(ROW(E6777:E$2)*(E6778=E6777:E$2)))))</f>
        <v> </v>
      </c>
      <c r="J6778" s="26" t="str">
        <f>IF(OR(E6778="",E6778="!!!",F6778="NEW"),"",COUNTBLANK(OFFSET(A$1,,,SUMPRODUCT(MAX(ROW(E$2:E6778)*(E6778=E$2:E6778)))))-COUNTBLANK(OFFSET(A$1,,,SUMPRODUCT(MAX(ROW(E$1:E6777)*(E2=E$1:E6777))))))</f>
        <v> </v>
      </c>
      <c r="K6778" s="26" t="str">
        <f>IF(OR(E6778="",E6778="!!!",F6778="NEW"),"",INDEX(J$1:J6777,SUMPRODUCT(MAX(ROW(E$1:E6777)*(E6778=E$1:E6777)))))</f>
        <v> </v>
      </c>
      <c r="L6778" s="27"/>
    </row>
    <row r="6779" spans="1:12">
      <c r="A6779" s="20"/>
    </row>
    <row r="6780" spans="1:12">
      <c r="A6780" s="20" t="s">
        <v>2887</v>
      </c>
    </row>
    <row r="6781" spans="1:12">
      <c r="A6781" s="20" t="s">
        <v>1264</v>
      </c>
      <c r="E6781" s="22">
        <f>IF(D6781="?OLD","!!!","")</f>
        <v/>
      </c>
      <c r="F6781" s="23" t="str">
        <f>IF(OR(E6781="",E6781="!!!"),"",IF(NOT(ISNA(VLOOKUP(E6781,E$1:E6780,1,FALSE()))),"OLD",IF(AND(E6781&lt;&gt;"",E6781&lt;&gt;"!!!"),"NEW","")))</f>
        <v> </v>
      </c>
      <c r="G6781" s="24" t="str">
        <f>IF(OR(E6781="",E6781="!!!"),"",IF(OR(J6781=0,AND(J6781=1,K6781=1),AND(J6781=1,I6781="SBJ"),AND(J6781=1,I6781=0)),"?IN_FOCUS",IF(J6781&lt;=2,"?ACTIVATED",IF(J6781&lt;&gt;"","?FAMILIAR",IF(F6781="NEW",IF(ISNA(VLOOKUP(E6781,#REF!,1,FALSE())),"?TYPE_IDENTIFIABLE","?REFERENTIAL"),"_")))))</f>
        <v> </v>
      </c>
      <c r="H6781" s="25" t="str">
        <f>IF(J6781&lt;&gt;1,"",IF(I6781="SBJ","CB","?"))</f>
        <v> </v>
      </c>
      <c r="I6781" s="26" t="str">
        <f>IF(OR(E6781="",E6781="!!!",F6781="NEW"),"",INDEX(B6780:B$2,-1+SUMPRODUCT(MAX(ROW(E6780:E$2)*(E6781=E6780:E$2)))))</f>
        <v> </v>
      </c>
      <c r="J6781" s="26" t="str">
        <f>IF(OR(E6781="",E6781="!!!",F6781="NEW"),"",COUNTBLANK(OFFSET(A$1,,,SUMPRODUCT(MAX(ROW(E$2:E6781)*(E6781=E$2:E6781)))))-COUNTBLANK(OFFSET(A$1,,,SUMPRODUCT(MAX(ROW(E$1:E6780)*(E2=E$1:E6780))))))</f>
        <v> </v>
      </c>
      <c r="K6781" s="26" t="str">
        <f>IF(OR(E6781="",E6781="!!!",F6781="NEW"),"",INDEX(J$1:J6780,SUMPRODUCT(MAX(ROW(E$1:E6780)*(E6781=E$1:E6780)))))</f>
        <v> </v>
      </c>
      <c r="L6781" s="27"/>
    </row>
    <row r="6782" spans="1:12">
      <c r="A6782" s="20" t="s">
        <v>2208</v>
      </c>
      <c r="E6782" s="22">
        <f>IF(D6782="?OLD","!!!","")</f>
        <v/>
      </c>
      <c r="F6782" s="23" t="str">
        <f>IF(OR(E6782="",E6782="!!!"),"",IF(NOT(ISNA(VLOOKUP(E6782,E$1:E6781,1,FALSE()))),"OLD",IF(AND(E6782&lt;&gt;"",E6782&lt;&gt;"!!!"),"NEW","")))</f>
        <v> </v>
      </c>
      <c r="G6782" s="24" t="str">
        <f>IF(OR(E6782="",E6782="!!!"),"",IF(OR(J6782=0,AND(J6782=1,K6782=1),AND(J6782=1,I6782="SBJ"),AND(J6782=1,I6782=0)),"?IN_FOCUS",IF(J6782&lt;=2,"?ACTIVATED",IF(J6782&lt;&gt;"","?FAMILIAR",IF(F6782="NEW",IF(ISNA(VLOOKUP(E6782,#REF!,1,FALSE())),"?TYPE_IDENTIFIABLE","?REFERENTIAL"),"_")))))</f>
        <v> </v>
      </c>
      <c r="H6782" s="25" t="str">
        <f>IF(J6782&lt;&gt;1,"",IF(I6782="SBJ","CB","?"))</f>
        <v> </v>
      </c>
      <c r="I6782" s="26" t="str">
        <f>IF(OR(E6782="",E6782="!!!",F6782="NEW"),"",INDEX(B6781:B$2,-1+SUMPRODUCT(MAX(ROW(E6781:E$2)*(E6782=E6781:E$2)))))</f>
        <v> </v>
      </c>
      <c r="J6782" s="26" t="str">
        <f>IF(OR(E6782="",E6782="!!!",F6782="NEW"),"",COUNTBLANK(OFFSET(A$1,,,SUMPRODUCT(MAX(ROW(E$2:E6782)*(E6782=E$2:E6782)))))-COUNTBLANK(OFFSET(A$1,,,SUMPRODUCT(MAX(ROW(E$1:E6781)*(E2=E$1:E6781))))))</f>
        <v> </v>
      </c>
      <c r="K6782" s="26" t="str">
        <f>IF(OR(E6782="",E6782="!!!",F6782="NEW"),"",INDEX(J$1:J6781,SUMPRODUCT(MAX(ROW(E$1:E6781)*(E6782=E$1:E6781)))))</f>
        <v> </v>
      </c>
      <c r="L6782" s="27"/>
    </row>
    <row r="6783" spans="1:12">
      <c r="A6783" s="20" t="s">
        <v>1036</v>
      </c>
      <c r="E6783" s="22">
        <f>IF(D6783="?OLD","!!!","")</f>
        <v/>
      </c>
      <c r="F6783" s="23" t="str">
        <f>IF(OR(E6783="",E6783="!!!"),"",IF(NOT(ISNA(VLOOKUP(E6783,E$1:E6782,1,FALSE()))),"OLD",IF(AND(E6783&lt;&gt;"",E6783&lt;&gt;"!!!"),"NEW","")))</f>
        <v> </v>
      </c>
      <c r="G6783" s="24" t="str">
        <f>IF(OR(E6783="",E6783="!!!"),"",IF(OR(J6783=0,AND(J6783=1,K6783=1),AND(J6783=1,I6783="SBJ"),AND(J6783=1,I6783=0)),"?IN_FOCUS",IF(J6783&lt;=2,"?ACTIVATED",IF(J6783&lt;&gt;"","?FAMILIAR",IF(F6783="NEW",IF(ISNA(VLOOKUP(E6783,#REF!,1,FALSE())),"?TYPE_IDENTIFIABLE","?REFERENTIAL"),"_")))))</f>
        <v> </v>
      </c>
      <c r="H6783" s="25" t="str">
        <f>IF(J6783&lt;&gt;1,"",IF(I6783="SBJ","CB","?"))</f>
        <v> </v>
      </c>
      <c r="I6783" s="26" t="str">
        <f>IF(OR(E6783="",E6783="!!!",F6783="NEW"),"",INDEX(B6782:B$2,-1+SUMPRODUCT(MAX(ROW(E6782:E$2)*(E6783=E6782:E$2)))))</f>
        <v> </v>
      </c>
      <c r="J6783" s="26" t="str">
        <f>IF(OR(E6783="",E6783="!!!",F6783="NEW"),"",COUNTBLANK(OFFSET(A$1,,,SUMPRODUCT(MAX(ROW(E$2:E6783)*(E6783=E$2:E6783)))))-COUNTBLANK(OFFSET(A$1,,,SUMPRODUCT(MAX(ROW(E$1:E6782)*(E2=E$1:E6782))))))</f>
        <v> </v>
      </c>
      <c r="K6783" s="26" t="str">
        <f>IF(OR(E6783="",E6783="!!!",F6783="NEW"),"",INDEX(J$1:J6782,SUMPRODUCT(MAX(ROW(E$1:E6782)*(E6783=E$1:E6782)))))</f>
        <v> </v>
      </c>
      <c r="L6783" s="27"/>
    </row>
    <row r="6784" spans="1:12">
      <c r="A6784" s="20" t="s">
        <v>1088</v>
      </c>
      <c r="E6784" s="22">
        <f>IF(D6784="?OLD","!!!","")</f>
        <v/>
      </c>
      <c r="F6784" s="23" t="str">
        <f>IF(OR(E6784="",E6784="!!!"),"",IF(NOT(ISNA(VLOOKUP(E6784,E$1:E6783,1,FALSE()))),"OLD",IF(AND(E6784&lt;&gt;"",E6784&lt;&gt;"!!!"),"NEW","")))</f>
        <v> </v>
      </c>
      <c r="G6784" s="24" t="str">
        <f>IF(OR(E6784="",E6784="!!!"),"",IF(OR(J6784=0,AND(J6784=1,K6784=1),AND(J6784=1,I6784="SBJ"),AND(J6784=1,I6784=0)),"?IN_FOCUS",IF(J6784&lt;=2,"?ACTIVATED",IF(J6784&lt;&gt;"","?FAMILIAR",IF(F6784="NEW",IF(ISNA(VLOOKUP(E6784,#REF!,1,FALSE())),"?TYPE_IDENTIFIABLE","?REFERENTIAL"),"_")))))</f>
        <v> </v>
      </c>
      <c r="H6784" s="25" t="str">
        <f>IF(J6784&lt;&gt;1,"",IF(I6784="SBJ","CB","?"))</f>
        <v> </v>
      </c>
      <c r="I6784" s="26" t="str">
        <f>IF(OR(E6784="",E6784="!!!",F6784="NEW"),"",INDEX(B6783:B$2,-1+SUMPRODUCT(MAX(ROW(E6783:E$2)*(E6784=E6783:E$2)))))</f>
        <v> </v>
      </c>
      <c r="J6784" s="26" t="str">
        <f>IF(OR(E6784="",E6784="!!!",F6784="NEW"),"",COUNTBLANK(OFFSET(A$1,,,SUMPRODUCT(MAX(ROW(E$2:E6784)*(E6784=E$2:E6784)))))-COUNTBLANK(OFFSET(A$1,,,SUMPRODUCT(MAX(ROW(E$1:E6783)*(E2=E$1:E6783))))))</f>
        <v> </v>
      </c>
      <c r="K6784" s="26" t="str">
        <f>IF(OR(E6784="",E6784="!!!",F6784="NEW"),"",INDEX(J$1:J6783,SUMPRODUCT(MAX(ROW(E$1:E6783)*(E6784=E$1:E6783)))))</f>
        <v> </v>
      </c>
      <c r="L6784" s="27"/>
    </row>
    <row r="6785" spans="1:12">
      <c r="A6785" s="20" t="s">
        <v>1204</v>
      </c>
      <c r="E6785" s="22">
        <f>IF(D6785="?OLD","!!!","")</f>
        <v/>
      </c>
      <c r="F6785" s="23" t="str">
        <f>IF(OR(E6785="",E6785="!!!"),"",IF(NOT(ISNA(VLOOKUP(E6785,E$1:E6784,1,FALSE()))),"OLD",IF(AND(E6785&lt;&gt;"",E6785&lt;&gt;"!!!"),"NEW","")))</f>
        <v> </v>
      </c>
      <c r="G6785" s="24" t="str">
        <f>IF(OR(E6785="",E6785="!!!"),"",IF(OR(J6785=0,AND(J6785=1,K6785=1),AND(J6785=1,I6785="SBJ"),AND(J6785=1,I6785=0)),"?IN_FOCUS",IF(J6785&lt;=2,"?ACTIVATED",IF(J6785&lt;&gt;"","?FAMILIAR",IF(F6785="NEW",IF(ISNA(VLOOKUP(E6785,#REF!,1,FALSE())),"?TYPE_IDENTIFIABLE","?REFERENTIAL"),"_")))))</f>
        <v> </v>
      </c>
      <c r="H6785" s="25" t="str">
        <f>IF(J6785&lt;&gt;1,"",IF(I6785="SBJ","CB","?"))</f>
        <v> </v>
      </c>
      <c r="I6785" s="26" t="str">
        <f>IF(OR(E6785="",E6785="!!!",F6785="NEW"),"",INDEX(B6784:B$2,-1+SUMPRODUCT(MAX(ROW(E6784:E$2)*(E6785=E6784:E$2)))))</f>
        <v> </v>
      </c>
      <c r="J6785" s="26" t="str">
        <f>IF(OR(E6785="",E6785="!!!",F6785="NEW"),"",COUNTBLANK(OFFSET(A$1,,,SUMPRODUCT(MAX(ROW(E$2:E6785)*(E6785=E$2:E6785)))))-COUNTBLANK(OFFSET(A$1,,,SUMPRODUCT(MAX(ROW(E$1:E6784)*(E2=E$1:E6784))))))</f>
        <v> </v>
      </c>
      <c r="K6785" s="26" t="str">
        <f>IF(OR(E6785="",E6785="!!!",F6785="NEW"),"",INDEX(J$1:J6784,SUMPRODUCT(MAX(ROW(E$1:E6784)*(E6785=E$1:E6784)))))</f>
        <v> </v>
      </c>
      <c r="L6785" s="27"/>
    </row>
    <row r="6786" spans="1:12">
      <c r="A6786" s="20" t="s">
        <v>1443</v>
      </c>
      <c r="B6786" s="21" t="s">
        <v>1080</v>
      </c>
      <c r="C6786" s="21" t="s">
        <v>1119</v>
      </c>
      <c r="D6786" s="21" t="s">
        <v>1065</v>
      </c>
      <c r="E6786" s="22">
        <f>IF(D6786="?OLD","!!!","")</f>
        <v/>
      </c>
      <c r="F6786" s="23" t="str">
        <f>IF(OR(E6786="",E6786="!!!"),"",IF(NOT(ISNA(VLOOKUP(E6786,E$1:E6785,1,FALSE()))),"OLD",IF(AND(E6786&lt;&gt;"",E6786&lt;&gt;"!!!"),"NEW","")))</f>
        <v> </v>
      </c>
      <c r="G6786" s="24" t="str">
        <f>IF(OR(E6786="",E6786="!!!"),"",IF(OR(J6786=0,AND(J6786=1,K6786=1),AND(J6786=1,I6786="SBJ"),AND(J6786=1,I6786=0)),"?IN_FOCUS",IF(J6786&lt;=2,"?ACTIVATED",IF(J6786&lt;&gt;"","?FAMILIAR",IF(F6786="NEW",IF(ISNA(VLOOKUP(E6786,#REF!,1,FALSE())),"?TYPE_IDENTIFIABLE","?REFERENTIAL"),"_")))))</f>
        <v> </v>
      </c>
      <c r="H6786" s="25" t="str">
        <f>IF(J6786&lt;&gt;1,"",IF(I6786="SBJ","CB","?"))</f>
        <v> </v>
      </c>
      <c r="I6786" s="26" t="str">
        <f>IF(OR(E6786="",E6786="!!!",F6786="NEW"),"",INDEX(B6785:B$2,-1+SUMPRODUCT(MAX(ROW(E6785:E$2)*(E6786=E6785:E$2)))))</f>
        <v> </v>
      </c>
      <c r="J6786" s="26" t="str">
        <f>IF(OR(E6786="",E6786="!!!",F6786="NEW"),"",COUNTBLANK(OFFSET(A$1,,,SUMPRODUCT(MAX(ROW(E$2:E6786)*(E6786=E$2:E6786)))))-COUNTBLANK(OFFSET(A$1,,,SUMPRODUCT(MAX(ROW(E$1:E6785)*(E2=E$1:E6785))))))</f>
        <v> </v>
      </c>
      <c r="K6786" s="26" t="str">
        <f>IF(OR(E6786="",E6786="!!!",F6786="NEW"),"",INDEX(J$1:J6785,SUMPRODUCT(MAX(ROW(E$1:E6785)*(E6786=E$1:E6785)))))</f>
        <v> </v>
      </c>
      <c r="L6786" s="27"/>
    </row>
    <row r="6787" spans="1:12">
      <c r="A6787" s="20" t="s">
        <v>1422</v>
      </c>
      <c r="B6787" s="21" t="s">
        <v>1063</v>
      </c>
      <c r="C6787" s="21" t="s">
        <v>1075</v>
      </c>
      <c r="D6787" s="21" t="s">
        <v>1065</v>
      </c>
      <c r="E6787" s="22">
        <f>IF(D6787="?OLD","!!!","")</f>
        <v/>
      </c>
      <c r="F6787" s="23" t="str">
        <f>IF(OR(E6787="",E6787="!!!"),"",IF(NOT(ISNA(VLOOKUP(E6787,E$1:E6786,1,FALSE()))),"OLD",IF(AND(E6787&lt;&gt;"",E6787&lt;&gt;"!!!"),"NEW","")))</f>
        <v> </v>
      </c>
      <c r="G6787" s="24" t="str">
        <f>IF(OR(E6787="",E6787="!!!"),"",IF(OR(J6787=0,AND(J6787=1,K6787=1),AND(J6787=1,I6787="SBJ"),AND(J6787=1,I6787=0)),"?IN_FOCUS",IF(J6787&lt;=2,"?ACTIVATED",IF(J6787&lt;&gt;"","?FAMILIAR",IF(F6787="NEW",IF(ISNA(VLOOKUP(E6787,#REF!,1,FALSE())),"?TYPE_IDENTIFIABLE","?REFERENTIAL"),"_")))))</f>
        <v> </v>
      </c>
      <c r="H6787" s="25" t="str">
        <f>IF(J6787&lt;&gt;1,"",IF(I6787="SBJ","CB","?"))</f>
        <v> </v>
      </c>
      <c r="I6787" s="26" t="str">
        <f>IF(OR(E6787="",E6787="!!!",F6787="NEW"),"",INDEX(B6786:B$2,-1+SUMPRODUCT(MAX(ROW(E6786:E$2)*(E6787=E6786:E$2)))))</f>
        <v> </v>
      </c>
      <c r="J6787" s="26" t="str">
        <f>IF(OR(E6787="",E6787="!!!",F6787="NEW"),"",COUNTBLANK(OFFSET(A$1,,,SUMPRODUCT(MAX(ROW(E$2:E6787)*(E6787=E$2:E6787)))))-COUNTBLANK(OFFSET(A$1,,,SUMPRODUCT(MAX(ROW(E$1:E6786)*(E2=E$1:E6786))))))</f>
        <v> </v>
      </c>
      <c r="K6787" s="26" t="str">
        <f>IF(OR(E6787="",E6787="!!!",F6787="NEW"),"",INDEX(J$1:J6786,SUMPRODUCT(MAX(ROW(E$1:E6786)*(E6787=E$1:E6786)))))</f>
        <v> </v>
      </c>
      <c r="L6787" s="27"/>
    </row>
    <row r="6788" spans="1:12">
      <c r="A6788" s="20" t="s">
        <v>1188</v>
      </c>
      <c r="E6788" s="22">
        <f>IF(D6788="?OLD","!!!","")</f>
        <v/>
      </c>
      <c r="F6788" s="23" t="str">
        <f>IF(OR(E6788="",E6788="!!!"),"",IF(NOT(ISNA(VLOOKUP(E6788,E$1:E6787,1,FALSE()))),"OLD",IF(AND(E6788&lt;&gt;"",E6788&lt;&gt;"!!!"),"NEW","")))</f>
        <v> </v>
      </c>
      <c r="G6788" s="24" t="str">
        <f>IF(OR(E6788="",E6788="!!!"),"",IF(OR(J6788=0,AND(J6788=1,K6788=1),AND(J6788=1,I6788="SBJ"),AND(J6788=1,I6788=0)),"?IN_FOCUS",IF(J6788&lt;=2,"?ACTIVATED",IF(J6788&lt;&gt;"","?FAMILIAR",IF(F6788="NEW",IF(ISNA(VLOOKUP(E6788,#REF!,1,FALSE())),"?TYPE_IDENTIFIABLE","?REFERENTIAL"),"_")))))</f>
        <v> </v>
      </c>
      <c r="H6788" s="25" t="str">
        <f>IF(J6788&lt;&gt;1,"",IF(I6788="SBJ","CB","?"))</f>
        <v> </v>
      </c>
      <c r="I6788" s="26" t="str">
        <f>IF(OR(E6788="",E6788="!!!",F6788="NEW"),"",INDEX(B6787:B$2,-1+SUMPRODUCT(MAX(ROW(E6787:E$2)*(E6788=E6787:E$2)))))</f>
        <v> </v>
      </c>
      <c r="J6788" s="26" t="str">
        <f>IF(OR(E6788="",E6788="!!!",F6788="NEW"),"",COUNTBLANK(OFFSET(A$1,,,SUMPRODUCT(MAX(ROW(E$2:E6788)*(E6788=E$2:E6788)))))-COUNTBLANK(OFFSET(A$1,,,SUMPRODUCT(MAX(ROW(E$1:E6787)*(E2=E$1:E6787))))))</f>
        <v> </v>
      </c>
      <c r="K6788" s="26" t="str">
        <f>IF(OR(E6788="",E6788="!!!",F6788="NEW"),"",INDEX(J$1:J6787,SUMPRODUCT(MAX(ROW(E$1:E6787)*(E6788=E$1:E6787)))))</f>
        <v> </v>
      </c>
      <c r="L6788" s="27"/>
    </row>
    <row r="6789" spans="1:12">
      <c r="A6789" s="20" t="s">
        <v>51</v>
      </c>
      <c r="E6789" s="22">
        <f>IF(D6789="?OLD","!!!","")</f>
        <v/>
      </c>
      <c r="F6789" s="23" t="str">
        <f>IF(OR(E6789="",E6789="!!!"),"",IF(NOT(ISNA(VLOOKUP(E6789,E$1:E6788,1,FALSE()))),"OLD",IF(AND(E6789&lt;&gt;"",E6789&lt;&gt;"!!!"),"NEW","")))</f>
        <v> </v>
      </c>
      <c r="G6789" s="24" t="str">
        <f>IF(OR(E6789="",E6789="!!!"),"",IF(OR(J6789=0,AND(J6789=1,K6789=1),AND(J6789=1,I6789="SBJ"),AND(J6789=1,I6789=0)),"?IN_FOCUS",IF(J6789&lt;=2,"?ACTIVATED",IF(J6789&lt;&gt;"","?FAMILIAR",IF(F6789="NEW",IF(ISNA(VLOOKUP(E6789,#REF!,1,FALSE())),"?TYPE_IDENTIFIABLE","?REFERENTIAL"),"_")))))</f>
        <v> </v>
      </c>
      <c r="H6789" s="25" t="str">
        <f>IF(J6789&lt;&gt;1,"",IF(I6789="SBJ","CB","?"))</f>
        <v> </v>
      </c>
      <c r="I6789" s="26" t="str">
        <f>IF(OR(E6789="",E6789="!!!",F6789="NEW"),"",INDEX(B6788:B$2,-1+SUMPRODUCT(MAX(ROW(E6788:E$2)*(E6789=E6788:E$2)))))</f>
        <v> </v>
      </c>
      <c r="J6789" s="26" t="str">
        <f>IF(OR(E6789="",E6789="!!!",F6789="NEW"),"",COUNTBLANK(OFFSET(A$1,,,SUMPRODUCT(MAX(ROW(E$2:E6789)*(E6789=E$2:E6789)))))-COUNTBLANK(OFFSET(A$1,,,SUMPRODUCT(MAX(ROW(E$1:E6788)*(E2=E$1:E6788))))))</f>
        <v> </v>
      </c>
      <c r="K6789" s="26" t="str">
        <f>IF(OR(E6789="",E6789="!!!",F6789="NEW"),"",INDEX(J$1:J6788,SUMPRODUCT(MAX(ROW(E$1:E6788)*(E6789=E$1:E6788)))))</f>
        <v> </v>
      </c>
      <c r="L6789" s="27"/>
    </row>
    <row r="6790" spans="1:12">
      <c r="A6790" s="20" t="s">
        <v>1204</v>
      </c>
      <c r="E6790" s="22">
        <f>IF(D6790="?OLD","!!!","")</f>
        <v/>
      </c>
      <c r="F6790" s="23" t="str">
        <f>IF(OR(E6790="",E6790="!!!"),"",IF(NOT(ISNA(VLOOKUP(E6790,E$1:E6789,1,FALSE()))),"OLD",IF(AND(E6790&lt;&gt;"",E6790&lt;&gt;"!!!"),"NEW","")))</f>
        <v> </v>
      </c>
      <c r="G6790" s="24" t="str">
        <f>IF(OR(E6790="",E6790="!!!"),"",IF(OR(J6790=0,AND(J6790=1,K6790=1),AND(J6790=1,I6790="SBJ"),AND(J6790=1,I6790=0)),"?IN_FOCUS",IF(J6790&lt;=2,"?ACTIVATED",IF(J6790&lt;&gt;"","?FAMILIAR",IF(F6790="NEW",IF(ISNA(VLOOKUP(E6790,#REF!,1,FALSE())),"?TYPE_IDENTIFIABLE","?REFERENTIAL"),"_")))))</f>
        <v> </v>
      </c>
      <c r="H6790" s="25" t="str">
        <f>IF(J6790&lt;&gt;1,"",IF(I6790="SBJ","CB","?"))</f>
        <v> </v>
      </c>
      <c r="I6790" s="26" t="str">
        <f>IF(OR(E6790="",E6790="!!!",F6790="NEW"),"",INDEX(B6789:B$2,-1+SUMPRODUCT(MAX(ROW(E6789:E$2)*(E6790=E6789:E$2)))))</f>
        <v> </v>
      </c>
      <c r="J6790" s="26" t="str">
        <f>IF(OR(E6790="",E6790="!!!",F6790="NEW"),"",COUNTBLANK(OFFSET(A$1,,,SUMPRODUCT(MAX(ROW(E$2:E6790)*(E6790=E$2:E6790)))))-COUNTBLANK(OFFSET(A$1,,,SUMPRODUCT(MAX(ROW(E$1:E6789)*(E2=E$1:E6789))))))</f>
        <v> </v>
      </c>
      <c r="K6790" s="26" t="str">
        <f>IF(OR(E6790="",E6790="!!!",F6790="NEW"),"",INDEX(J$1:J6789,SUMPRODUCT(MAX(ROW(E$1:E6789)*(E6790=E$1:E6789)))))</f>
        <v> </v>
      </c>
      <c r="L6790" s="27"/>
    </row>
    <row r="6791" spans="1:12">
      <c r="A6791" s="20" t="s">
        <v>1445</v>
      </c>
      <c r="B6791" s="21" t="s">
        <v>1154</v>
      </c>
      <c r="C6791" s="21" t="s">
        <v>1075</v>
      </c>
      <c r="D6791" s="21" t="s">
        <v>1065</v>
      </c>
      <c r="E6791" s="22">
        <f>IF(D6791="?OLD","!!!","")</f>
        <v/>
      </c>
      <c r="F6791" s="23" t="str">
        <f>IF(OR(E6791="",E6791="!!!"),"",IF(NOT(ISNA(VLOOKUP(E6791,E$1:E6790,1,FALSE()))),"OLD",IF(AND(E6791&lt;&gt;"",E6791&lt;&gt;"!!!"),"NEW","")))</f>
        <v> </v>
      </c>
      <c r="G6791" s="24" t="str">
        <f>IF(OR(E6791="",E6791="!!!"),"",IF(OR(J6791=0,AND(J6791=1,K6791=1),AND(J6791=1,I6791="SBJ"),AND(J6791=1,I6791=0)),"?IN_FOCUS",IF(J6791&lt;=2,"?ACTIVATED",IF(J6791&lt;&gt;"","?FAMILIAR",IF(F6791="NEW",IF(ISNA(VLOOKUP(E6791,#REF!,1,FALSE())),"?TYPE_IDENTIFIABLE","?REFERENTIAL"),"_")))))</f>
        <v> </v>
      </c>
      <c r="H6791" s="25" t="str">
        <f>IF(J6791&lt;&gt;1,"",IF(I6791="SBJ","CB","?"))</f>
        <v> </v>
      </c>
      <c r="I6791" s="26" t="str">
        <f>IF(OR(E6791="",E6791="!!!",F6791="NEW"),"",INDEX(B6790:B$2,-1+SUMPRODUCT(MAX(ROW(E6790:E$2)*(E6791=E6790:E$2)))))</f>
        <v> </v>
      </c>
      <c r="J6791" s="26" t="str">
        <f>IF(OR(E6791="",E6791="!!!",F6791="NEW"),"",COUNTBLANK(OFFSET(A$1,,,SUMPRODUCT(MAX(ROW(E$2:E6791)*(E6791=E$2:E6791)))))-COUNTBLANK(OFFSET(A$1,,,SUMPRODUCT(MAX(ROW(E$1:E6790)*(E2=E$1:E6790))))))</f>
        <v> </v>
      </c>
      <c r="K6791" s="26" t="str">
        <f>IF(OR(E6791="",E6791="!!!",F6791="NEW"),"",INDEX(J$1:J6790,SUMPRODUCT(MAX(ROW(E$1:E6790)*(E6791=E$1:E6790)))))</f>
        <v> </v>
      </c>
      <c r="L6791" s="27"/>
    </row>
    <row r="6792" spans="1:12">
      <c r="A6792" s="20" t="s">
        <v>195</v>
      </c>
      <c r="E6792" s="22">
        <f>IF(D6792="?OLD","!!!","")</f>
        <v/>
      </c>
      <c r="F6792" s="23" t="str">
        <f>IF(OR(E6792="",E6792="!!!"),"",IF(NOT(ISNA(VLOOKUP(E6792,E$1:E6791,1,FALSE()))),"OLD",IF(AND(E6792&lt;&gt;"",E6792&lt;&gt;"!!!"),"NEW","")))</f>
        <v> </v>
      </c>
      <c r="G6792" s="24" t="str">
        <f>IF(OR(E6792="",E6792="!!!"),"",IF(OR(J6792=0,AND(J6792=1,K6792=1),AND(J6792=1,I6792="SBJ"),AND(J6792=1,I6792=0)),"?IN_FOCUS",IF(J6792&lt;=2,"?ACTIVATED",IF(J6792&lt;&gt;"","?FAMILIAR",IF(F6792="NEW",IF(ISNA(VLOOKUP(E6792,#REF!,1,FALSE())),"?TYPE_IDENTIFIABLE","?REFERENTIAL"),"_")))))</f>
        <v> </v>
      </c>
      <c r="H6792" s="25" t="str">
        <f>IF(J6792&lt;&gt;1,"",IF(I6792="SBJ","CB","?"))</f>
        <v> </v>
      </c>
      <c r="I6792" s="26" t="str">
        <f>IF(OR(E6792="",E6792="!!!",F6792="NEW"),"",INDEX(B6791:B$2,-1+SUMPRODUCT(MAX(ROW(E6791:E$2)*(E6792=E6791:E$2)))))</f>
        <v> </v>
      </c>
      <c r="J6792" s="26" t="str">
        <f>IF(OR(E6792="",E6792="!!!",F6792="NEW"),"",COUNTBLANK(OFFSET(A$1,,,SUMPRODUCT(MAX(ROW(E$2:E6792)*(E6792=E$2:E6792)))))-COUNTBLANK(OFFSET(A$1,,,SUMPRODUCT(MAX(ROW(E$1:E6791)*(E2=E$1:E6791))))))</f>
        <v> </v>
      </c>
      <c r="K6792" s="26" t="str">
        <f>IF(OR(E6792="",E6792="!!!",F6792="NEW"),"",INDEX(J$1:J6791,SUMPRODUCT(MAX(ROW(E$1:E6791)*(E6792=E$1:E6791)))))</f>
        <v> </v>
      </c>
      <c r="L6792" s="27"/>
    </row>
    <row r="6793" spans="1:12">
      <c r="A6793" s="20"/>
    </row>
    <row r="6794" spans="1:12">
      <c r="A6794" s="20" t="s">
        <v>2888</v>
      </c>
    </row>
    <row r="6795" spans="1:12">
      <c r="A6795" s="20" t="s">
        <v>2371</v>
      </c>
      <c r="B6795" s="21" t="s">
        <v>1150</v>
      </c>
      <c r="C6795" s="21" t="s">
        <v>1151</v>
      </c>
      <c r="D6795" s="21" t="s">
        <v>1065</v>
      </c>
      <c r="E6795" s="22">
        <f>IF(D6795="?OLD","!!!","")</f>
        <v/>
      </c>
      <c r="F6795" s="23" t="str">
        <f>IF(OR(E6795="",E6795="!!!"),"",IF(NOT(ISNA(VLOOKUP(E6795,E$1:E6794,1,FALSE()))),"OLD",IF(AND(E6795&lt;&gt;"",E6795&lt;&gt;"!!!"),"NEW","")))</f>
        <v> </v>
      </c>
      <c r="G6795" s="24" t="str">
        <f>IF(OR(E6795="",E6795="!!!"),"",IF(OR(J6795=0,AND(J6795=1,K6795=1),AND(J6795=1,I6795="SBJ"),AND(J6795=1,I6795=0)),"?IN_FOCUS",IF(J6795&lt;=2,"?ACTIVATED",IF(J6795&lt;&gt;"","?FAMILIAR",IF(F6795="NEW",IF(ISNA(VLOOKUP(E6795,#REF!,1,FALSE())),"?TYPE_IDENTIFIABLE","?REFERENTIAL"),"_")))))</f>
        <v> </v>
      </c>
      <c r="H6795" s="25" t="str">
        <f>IF(J6795&lt;&gt;1,"",IF(I6795="SBJ","CB","?"))</f>
        <v> </v>
      </c>
      <c r="I6795" s="26" t="str">
        <f>IF(OR(E6795="",E6795="!!!",F6795="NEW"),"",INDEX(B6794:B$2,-1+SUMPRODUCT(MAX(ROW(E6794:E$2)*(E6795=E6794:E$2)))))</f>
        <v> </v>
      </c>
      <c r="J6795" s="26" t="str">
        <f>IF(OR(E6795="",E6795="!!!",F6795="NEW"),"",COUNTBLANK(OFFSET(A$1,,,SUMPRODUCT(MAX(ROW(E$2:E6795)*(E6795=E$2:E6795)))))-COUNTBLANK(OFFSET(A$1,,,SUMPRODUCT(MAX(ROW(E$1:E6794)*(E2=E$1:E6794))))))</f>
        <v> </v>
      </c>
      <c r="K6795" s="26" t="str">
        <f>IF(OR(E6795="",E6795="!!!",F6795="NEW"),"",INDEX(J$1:J6794,SUMPRODUCT(MAX(ROW(E$1:E6794)*(E6795=E$1:E6794)))))</f>
        <v> </v>
      </c>
      <c r="L6795" s="27"/>
    </row>
    <row r="6796" spans="1:12">
      <c r="A6796" s="20" t="s">
        <v>1561</v>
      </c>
      <c r="E6796" s="22">
        <f>IF(D6796="?OLD","!!!","")</f>
        <v/>
      </c>
      <c r="F6796" s="23" t="str">
        <f>IF(OR(E6796="",E6796="!!!"),"",IF(NOT(ISNA(VLOOKUP(E6796,E$1:E6795,1,FALSE()))),"OLD",IF(AND(E6796&lt;&gt;"",E6796&lt;&gt;"!!!"),"NEW","")))</f>
        <v> </v>
      </c>
      <c r="G6796" s="24" t="str">
        <f>IF(OR(E6796="",E6796="!!!"),"",IF(OR(J6796=0,AND(J6796=1,K6796=1),AND(J6796=1,I6796="SBJ"),AND(J6796=1,I6796=0)),"?IN_FOCUS",IF(J6796&lt;=2,"?ACTIVATED",IF(J6796&lt;&gt;"","?FAMILIAR",IF(F6796="NEW",IF(ISNA(VLOOKUP(E6796,#REF!,1,FALSE())),"?TYPE_IDENTIFIABLE","?REFERENTIAL"),"_")))))</f>
        <v> </v>
      </c>
      <c r="H6796" s="25" t="str">
        <f>IF(J6796&lt;&gt;1,"",IF(I6796="SBJ","CB","?"))</f>
        <v> </v>
      </c>
      <c r="I6796" s="26" t="str">
        <f>IF(OR(E6796="",E6796="!!!",F6796="NEW"),"",INDEX(B6795:B$2,-1+SUMPRODUCT(MAX(ROW(E6795:E$2)*(E6796=E6795:E$2)))))</f>
        <v> </v>
      </c>
      <c r="J6796" s="26" t="str">
        <f>IF(OR(E6796="",E6796="!!!",F6796="NEW"),"",COUNTBLANK(OFFSET(A$1,,,SUMPRODUCT(MAX(ROW(E$2:E6796)*(E6796=E$2:E6796)))))-COUNTBLANK(OFFSET(A$1,,,SUMPRODUCT(MAX(ROW(E$1:E6795)*(E2=E$1:E6795))))))</f>
        <v> </v>
      </c>
      <c r="K6796" s="26" t="str">
        <f>IF(OR(E6796="",E6796="!!!",F6796="NEW"),"",INDEX(J$1:J6795,SUMPRODUCT(MAX(ROW(E$1:E6795)*(E6796=E$1:E6795)))))</f>
        <v> </v>
      </c>
      <c r="L6796" s="27"/>
    </row>
    <row r="6797" spans="1:12">
      <c r="A6797" s="20" t="s">
        <v>1091</v>
      </c>
      <c r="E6797" s="22">
        <f>IF(D6797="?OLD","!!!","")</f>
        <v/>
      </c>
      <c r="F6797" s="23" t="str">
        <f>IF(OR(E6797="",E6797="!!!"),"",IF(NOT(ISNA(VLOOKUP(E6797,E$1:E6796,1,FALSE()))),"OLD",IF(AND(E6797&lt;&gt;"",E6797&lt;&gt;"!!!"),"NEW","")))</f>
        <v> </v>
      </c>
      <c r="G6797" s="24" t="str">
        <f>IF(OR(E6797="",E6797="!!!"),"",IF(OR(J6797=0,AND(J6797=1,K6797=1),AND(J6797=1,I6797="SBJ"),AND(J6797=1,I6797=0)),"?IN_FOCUS",IF(J6797&lt;=2,"?ACTIVATED",IF(J6797&lt;&gt;"","?FAMILIAR",IF(F6797="NEW",IF(ISNA(VLOOKUP(E6797,#REF!,1,FALSE())),"?TYPE_IDENTIFIABLE","?REFERENTIAL"),"_")))))</f>
        <v> </v>
      </c>
      <c r="H6797" s="25" t="str">
        <f>IF(J6797&lt;&gt;1,"",IF(I6797="SBJ","CB","?"))</f>
        <v> </v>
      </c>
      <c r="I6797" s="26" t="str">
        <f>IF(OR(E6797="",E6797="!!!",F6797="NEW"),"",INDEX(B6796:B$2,-1+SUMPRODUCT(MAX(ROW(E6796:E$2)*(E6797=E6796:E$2)))))</f>
        <v> </v>
      </c>
      <c r="J6797" s="26" t="str">
        <f>IF(OR(E6797="",E6797="!!!",F6797="NEW"),"",COUNTBLANK(OFFSET(A$1,,,SUMPRODUCT(MAX(ROW(E$2:E6797)*(E6797=E$2:E6797)))))-COUNTBLANK(OFFSET(A$1,,,SUMPRODUCT(MAX(ROW(E$1:E6796)*(E2=E$1:E6796))))))</f>
        <v> </v>
      </c>
      <c r="K6797" s="26" t="str">
        <f>IF(OR(E6797="",E6797="!!!",F6797="NEW"),"",INDEX(J$1:J6796,SUMPRODUCT(MAX(ROW(E$1:E6796)*(E6797=E$1:E6796)))))</f>
        <v> </v>
      </c>
      <c r="L6797" s="27"/>
    </row>
    <row r="6798" spans="1:12">
      <c r="A6798" s="20" t="s">
        <v>2889</v>
      </c>
      <c r="E6798" s="22">
        <f>IF(D6798="?OLD","!!!","")</f>
        <v/>
      </c>
      <c r="F6798" s="23" t="str">
        <f>IF(OR(E6798="",E6798="!!!"),"",IF(NOT(ISNA(VLOOKUP(E6798,E$1:E6797,1,FALSE()))),"OLD",IF(AND(E6798&lt;&gt;"",E6798&lt;&gt;"!!!"),"NEW","")))</f>
        <v> </v>
      </c>
      <c r="G6798" s="24" t="str">
        <f>IF(OR(E6798="",E6798="!!!"),"",IF(OR(J6798=0,AND(J6798=1,K6798=1),AND(J6798=1,I6798="SBJ"),AND(J6798=1,I6798=0)),"?IN_FOCUS",IF(J6798&lt;=2,"?ACTIVATED",IF(J6798&lt;&gt;"","?FAMILIAR",IF(F6798="NEW",IF(ISNA(VLOOKUP(E6798,#REF!,1,FALSE())),"?TYPE_IDENTIFIABLE","?REFERENTIAL"),"_")))))</f>
        <v> </v>
      </c>
      <c r="H6798" s="25" t="str">
        <f>IF(J6798&lt;&gt;1,"",IF(I6798="SBJ","CB","?"))</f>
        <v> </v>
      </c>
      <c r="I6798" s="26" t="str">
        <f>IF(OR(E6798="",E6798="!!!",F6798="NEW"),"",INDEX(B6797:B$2,-1+SUMPRODUCT(MAX(ROW(E6797:E$2)*(E6798=E6797:E$2)))))</f>
        <v> </v>
      </c>
      <c r="J6798" s="26" t="str">
        <f>IF(OR(E6798="",E6798="!!!",F6798="NEW"),"",COUNTBLANK(OFFSET(A$1,,,SUMPRODUCT(MAX(ROW(E$2:E6798)*(E6798=E$2:E6798)))))-COUNTBLANK(OFFSET(A$1,,,SUMPRODUCT(MAX(ROW(E$1:E6797)*(E2=E$1:E6797))))))</f>
        <v> </v>
      </c>
      <c r="K6798" s="26" t="str">
        <f>IF(OR(E6798="",E6798="!!!",F6798="NEW"),"",INDEX(J$1:J6797,SUMPRODUCT(MAX(ROW(E$1:E6797)*(E6798=E$1:E6797)))))</f>
        <v> </v>
      </c>
      <c r="L6798" s="27"/>
    </row>
    <row r="6799" spans="1:12">
      <c r="A6799" s="20" t="s">
        <v>1409</v>
      </c>
      <c r="E6799" s="22">
        <f>IF(D6799="?OLD","!!!","")</f>
        <v/>
      </c>
      <c r="F6799" s="23" t="str">
        <f>IF(OR(E6799="",E6799="!!!"),"",IF(NOT(ISNA(VLOOKUP(E6799,E$1:E6798,1,FALSE()))),"OLD",IF(AND(E6799&lt;&gt;"",E6799&lt;&gt;"!!!"),"NEW","")))</f>
        <v> </v>
      </c>
      <c r="G6799" s="24" t="str">
        <f>IF(OR(E6799="",E6799="!!!"),"",IF(OR(J6799=0,AND(J6799=1,K6799=1),AND(J6799=1,I6799="SBJ"),AND(J6799=1,I6799=0)),"?IN_FOCUS",IF(J6799&lt;=2,"?ACTIVATED",IF(J6799&lt;&gt;"","?FAMILIAR",IF(F6799="NEW",IF(ISNA(VLOOKUP(E6799,#REF!,1,FALSE())),"?TYPE_IDENTIFIABLE","?REFERENTIAL"),"_")))))</f>
        <v> </v>
      </c>
      <c r="H6799" s="25" t="str">
        <f>IF(J6799&lt;&gt;1,"",IF(I6799="SBJ","CB","?"))</f>
        <v> </v>
      </c>
      <c r="I6799" s="26" t="str">
        <f>IF(OR(E6799="",E6799="!!!",F6799="NEW"),"",INDEX(B6798:B$2,-1+SUMPRODUCT(MAX(ROW(E6798:E$2)*(E6799=E6798:E$2)))))</f>
        <v> </v>
      </c>
      <c r="J6799" s="26" t="str">
        <f>IF(OR(E6799="",E6799="!!!",F6799="NEW"),"",COUNTBLANK(OFFSET(A$1,,,SUMPRODUCT(MAX(ROW(E$2:E6799)*(E6799=E$2:E6799)))))-COUNTBLANK(OFFSET(A$1,,,SUMPRODUCT(MAX(ROW(E$1:E6798)*(E2=E$1:E6798))))))</f>
        <v> </v>
      </c>
      <c r="K6799" s="26" t="str">
        <f>IF(OR(E6799="",E6799="!!!",F6799="NEW"),"",INDEX(J$1:J6798,SUMPRODUCT(MAX(ROW(E$1:E6798)*(E6799=E$1:E6798)))))</f>
        <v> </v>
      </c>
      <c r="L6799" s="27"/>
    </row>
    <row r="6800" spans="1:12">
      <c r="A6800" s="20" t="s">
        <v>2256</v>
      </c>
      <c r="E6800" s="22">
        <f>IF(D6800="?OLD","!!!","")</f>
        <v/>
      </c>
      <c r="F6800" s="23" t="str">
        <f>IF(OR(E6800="",E6800="!!!"),"",IF(NOT(ISNA(VLOOKUP(E6800,E$1:E6799,1,FALSE()))),"OLD",IF(AND(E6800&lt;&gt;"",E6800&lt;&gt;"!!!"),"NEW","")))</f>
        <v> </v>
      </c>
      <c r="G6800" s="24" t="str">
        <f>IF(OR(E6800="",E6800="!!!"),"",IF(OR(J6800=0,AND(J6800=1,K6800=1),AND(J6800=1,I6800="SBJ"),AND(J6800=1,I6800=0)),"?IN_FOCUS",IF(J6800&lt;=2,"?ACTIVATED",IF(J6800&lt;&gt;"","?FAMILIAR",IF(F6800="NEW",IF(ISNA(VLOOKUP(E6800,#REF!,1,FALSE())),"?TYPE_IDENTIFIABLE","?REFERENTIAL"),"_")))))</f>
        <v> </v>
      </c>
      <c r="H6800" s="25" t="str">
        <f>IF(J6800&lt;&gt;1,"",IF(I6800="SBJ","CB","?"))</f>
        <v> </v>
      </c>
      <c r="I6800" s="26" t="str">
        <f>IF(OR(E6800="",E6800="!!!",F6800="NEW"),"",INDEX(B6799:B$2,-1+SUMPRODUCT(MAX(ROW(E6799:E$2)*(E6800=E6799:E$2)))))</f>
        <v> </v>
      </c>
      <c r="J6800" s="26" t="str">
        <f>IF(OR(E6800="",E6800="!!!",F6800="NEW"),"",COUNTBLANK(OFFSET(A$1,,,SUMPRODUCT(MAX(ROW(E$2:E6800)*(E6800=E$2:E6800)))))-COUNTBLANK(OFFSET(A$1,,,SUMPRODUCT(MAX(ROW(E$1:E6799)*(E2=E$1:E6799))))))</f>
        <v> </v>
      </c>
      <c r="K6800" s="26" t="str">
        <f>IF(OR(E6800="",E6800="!!!",F6800="NEW"),"",INDEX(J$1:J6799,SUMPRODUCT(MAX(ROW(E$1:E6799)*(E6800=E$1:E6799)))))</f>
        <v> </v>
      </c>
      <c r="L6800" s="27"/>
    </row>
    <row r="6801" spans="1:12">
      <c r="A6801" s="20" t="s">
        <v>51</v>
      </c>
      <c r="E6801" s="22">
        <f>IF(D6801="?OLD","!!!","")</f>
        <v/>
      </c>
      <c r="F6801" s="23" t="str">
        <f>IF(OR(E6801="",E6801="!!!"),"",IF(NOT(ISNA(VLOOKUP(E6801,E$1:E6800,1,FALSE()))),"OLD",IF(AND(E6801&lt;&gt;"",E6801&lt;&gt;"!!!"),"NEW","")))</f>
        <v> </v>
      </c>
      <c r="G6801" s="24" t="str">
        <f>IF(OR(E6801="",E6801="!!!"),"",IF(OR(J6801=0,AND(J6801=1,K6801=1),AND(J6801=1,I6801="SBJ"),AND(J6801=1,I6801=0)),"?IN_FOCUS",IF(J6801&lt;=2,"?ACTIVATED",IF(J6801&lt;&gt;"","?FAMILIAR",IF(F6801="NEW",IF(ISNA(VLOOKUP(E6801,#REF!,1,FALSE())),"?TYPE_IDENTIFIABLE","?REFERENTIAL"),"_")))))</f>
        <v> </v>
      </c>
      <c r="H6801" s="25" t="str">
        <f>IF(J6801&lt;&gt;1,"",IF(I6801="SBJ","CB","?"))</f>
        <v> </v>
      </c>
      <c r="I6801" s="26" t="str">
        <f>IF(OR(E6801="",E6801="!!!",F6801="NEW"),"",INDEX(B6800:B$2,-1+SUMPRODUCT(MAX(ROW(E6800:E$2)*(E6801=E6800:E$2)))))</f>
        <v> </v>
      </c>
      <c r="J6801" s="26" t="str">
        <f>IF(OR(E6801="",E6801="!!!",F6801="NEW"),"",COUNTBLANK(OFFSET(A$1,,,SUMPRODUCT(MAX(ROW(E$2:E6801)*(E6801=E$2:E6801)))))-COUNTBLANK(OFFSET(A$1,,,SUMPRODUCT(MAX(ROW(E$1:E6800)*(E2=E$1:E6800))))))</f>
        <v> </v>
      </c>
      <c r="K6801" s="26" t="str">
        <f>IF(OR(E6801="",E6801="!!!",F6801="NEW"),"",INDEX(J$1:J6800,SUMPRODUCT(MAX(ROW(E$1:E6800)*(E6801=E$1:E6800)))))</f>
        <v> </v>
      </c>
      <c r="L6801" s="27"/>
    </row>
    <row r="6802" spans="1:12">
      <c r="A6802" s="20" t="s">
        <v>1882</v>
      </c>
      <c r="B6802" s="21" t="s">
        <v>1154</v>
      </c>
      <c r="C6802" s="21" t="s">
        <v>1155</v>
      </c>
      <c r="E6802" s="22">
        <f>IF(D6802="?OLD","!!!","")</f>
        <v/>
      </c>
      <c r="F6802" s="23" t="str">
        <f>IF(OR(E6802="",E6802="!!!"),"",IF(NOT(ISNA(VLOOKUP(E6802,E$1:E6801,1,FALSE()))),"OLD",IF(AND(E6802&lt;&gt;"",E6802&lt;&gt;"!!!"),"NEW","")))</f>
        <v> </v>
      </c>
      <c r="G6802" s="24" t="str">
        <f>IF(OR(E6802="",E6802="!!!"),"",IF(OR(J6802=0,AND(J6802=1,K6802=1),AND(J6802=1,I6802="SBJ"),AND(J6802=1,I6802=0)),"?IN_FOCUS",IF(J6802&lt;=2,"?ACTIVATED",IF(J6802&lt;&gt;"","?FAMILIAR",IF(F6802="NEW",IF(ISNA(VLOOKUP(E6802,#REF!,1,FALSE())),"?TYPE_IDENTIFIABLE","?REFERENTIAL"),"_")))))</f>
        <v> </v>
      </c>
      <c r="H6802" s="25" t="str">
        <f>IF(J6802&lt;&gt;1,"",IF(I6802="SBJ","CB","?"))</f>
        <v> </v>
      </c>
      <c r="I6802" s="26" t="str">
        <f>IF(OR(E6802="",E6802="!!!",F6802="NEW"),"",INDEX(B6801:B$2,-1+SUMPRODUCT(MAX(ROW(E6801:E$2)*(E6802=E6801:E$2)))))</f>
        <v> </v>
      </c>
      <c r="J6802" s="26" t="str">
        <f>IF(OR(E6802="",E6802="!!!",F6802="NEW"),"",COUNTBLANK(OFFSET(A$1,,,SUMPRODUCT(MAX(ROW(E$2:E6802)*(E6802=E$2:E6802)))))-COUNTBLANK(OFFSET(A$1,,,SUMPRODUCT(MAX(ROW(E$1:E6801)*(E2=E$1:E6801))))))</f>
        <v> </v>
      </c>
      <c r="K6802" s="26" t="str">
        <f>IF(OR(E6802="",E6802="!!!",F6802="NEW"),"",INDEX(J$1:J6801,SUMPRODUCT(MAX(ROW(E$1:E6801)*(E6802=E$1:E6801)))))</f>
        <v> </v>
      </c>
      <c r="L6802" s="27"/>
    </row>
    <row r="6803" spans="1:12">
      <c r="A6803" s="20" t="s">
        <v>1076</v>
      </c>
      <c r="E6803" s="22">
        <f>IF(D6803="?OLD","!!!","")</f>
        <v/>
      </c>
      <c r="F6803" s="23" t="str">
        <f>IF(OR(E6803="",E6803="!!!"),"",IF(NOT(ISNA(VLOOKUP(E6803,E$1:E6802,1,FALSE()))),"OLD",IF(AND(E6803&lt;&gt;"",E6803&lt;&gt;"!!!"),"NEW","")))</f>
        <v> </v>
      </c>
      <c r="G6803" s="24" t="str">
        <f>IF(OR(E6803="",E6803="!!!"),"",IF(OR(J6803=0,AND(J6803=1,K6803=1),AND(J6803=1,I6803="SBJ"),AND(J6803=1,I6803=0)),"?IN_FOCUS",IF(J6803&lt;=2,"?ACTIVATED",IF(J6803&lt;&gt;"","?FAMILIAR",IF(F6803="NEW",IF(ISNA(VLOOKUP(E6803,#REF!,1,FALSE())),"?TYPE_IDENTIFIABLE","?REFERENTIAL"),"_")))))</f>
        <v> </v>
      </c>
      <c r="H6803" s="25" t="str">
        <f>IF(J6803&lt;&gt;1,"",IF(I6803="SBJ","CB","?"))</f>
        <v> </v>
      </c>
      <c r="I6803" s="26" t="str">
        <f>IF(OR(E6803="",E6803="!!!",F6803="NEW"),"",INDEX(B6802:B$2,-1+SUMPRODUCT(MAX(ROW(E6802:E$2)*(E6803=E6802:E$2)))))</f>
        <v> </v>
      </c>
      <c r="J6803" s="26" t="str">
        <f>IF(OR(E6803="",E6803="!!!",F6803="NEW"),"",COUNTBLANK(OFFSET(A$1,,,SUMPRODUCT(MAX(ROW(E$2:E6803)*(E6803=E$2:E6803)))))-COUNTBLANK(OFFSET(A$1,,,SUMPRODUCT(MAX(ROW(E$1:E6802)*(E2=E$1:E6802))))))</f>
        <v> </v>
      </c>
      <c r="K6803" s="26" t="str">
        <f>IF(OR(E6803="",E6803="!!!",F6803="NEW"),"",INDEX(J$1:J6802,SUMPRODUCT(MAX(ROW(E$1:E6802)*(E6803=E$1:E6802)))))</f>
        <v> </v>
      </c>
      <c r="L6803" s="27"/>
    </row>
    <row r="6804" spans="1:12">
      <c r="A6804" s="20" t="s">
        <v>1124</v>
      </c>
      <c r="E6804" s="22">
        <f>IF(D6804="?OLD","!!!","")</f>
        <v/>
      </c>
      <c r="F6804" s="23" t="str">
        <f>IF(OR(E6804="",E6804="!!!"),"",IF(NOT(ISNA(VLOOKUP(E6804,E$1:E6803,1,FALSE()))),"OLD",IF(AND(E6804&lt;&gt;"",E6804&lt;&gt;"!!!"),"NEW","")))</f>
        <v> </v>
      </c>
      <c r="G6804" s="24" t="str">
        <f>IF(OR(E6804="",E6804="!!!"),"",IF(OR(J6804=0,AND(J6804=1,K6804=1),AND(J6804=1,I6804="SBJ"),AND(J6804=1,I6804=0)),"?IN_FOCUS",IF(J6804&lt;=2,"?ACTIVATED",IF(J6804&lt;&gt;"","?FAMILIAR",IF(F6804="NEW",IF(ISNA(VLOOKUP(E6804,#REF!,1,FALSE())),"?TYPE_IDENTIFIABLE","?REFERENTIAL"),"_")))))</f>
        <v> </v>
      </c>
      <c r="H6804" s="25" t="str">
        <f>IF(J6804&lt;&gt;1,"",IF(I6804="SBJ","CB","?"))</f>
        <v> </v>
      </c>
      <c r="I6804" s="26" t="str">
        <f>IF(OR(E6804="",E6804="!!!",F6804="NEW"),"",INDEX(B6803:B$2,-1+SUMPRODUCT(MAX(ROW(E6803:E$2)*(E6804=E6803:E$2)))))</f>
        <v> </v>
      </c>
      <c r="J6804" s="26" t="str">
        <f>IF(OR(E6804="",E6804="!!!",F6804="NEW"),"",COUNTBLANK(OFFSET(A$1,,,SUMPRODUCT(MAX(ROW(E$2:E6804)*(E6804=E$2:E6804)))))-COUNTBLANK(OFFSET(A$1,,,SUMPRODUCT(MAX(ROW(E$1:E6803)*(E2=E$1:E6803))))))</f>
        <v> </v>
      </c>
      <c r="K6804" s="26" t="str">
        <f>IF(OR(E6804="",E6804="!!!",F6804="NEW"),"",INDEX(J$1:J6803,SUMPRODUCT(MAX(ROW(E$1:E6803)*(E6804=E$1:E6803)))))</f>
        <v> </v>
      </c>
      <c r="L6804" s="27"/>
    </row>
    <row r="6805" spans="1:12">
      <c r="A6805" s="20" t="s">
        <v>1241</v>
      </c>
      <c r="B6805" s="21" t="s">
        <v>1154</v>
      </c>
      <c r="C6805" s="21" t="s">
        <v>1109</v>
      </c>
      <c r="E6805" s="22">
        <f>IF(D6805="?OLD","!!!","")</f>
        <v/>
      </c>
      <c r="F6805" s="23" t="str">
        <f>IF(OR(E6805="",E6805="!!!"),"",IF(NOT(ISNA(VLOOKUP(E6805,E$1:E6804,1,FALSE()))),"OLD",IF(AND(E6805&lt;&gt;"",E6805&lt;&gt;"!!!"),"NEW","")))</f>
        <v> </v>
      </c>
      <c r="G6805" s="24" t="str">
        <f>IF(OR(E6805="",E6805="!!!"),"",IF(OR(J6805=0,AND(J6805=1,K6805=1),AND(J6805=1,I6805="SBJ"),AND(J6805=1,I6805=0)),"?IN_FOCUS",IF(J6805&lt;=2,"?ACTIVATED",IF(J6805&lt;&gt;"","?FAMILIAR",IF(F6805="NEW",IF(ISNA(VLOOKUP(E6805,#REF!,1,FALSE())),"?TYPE_IDENTIFIABLE","?REFERENTIAL"),"_")))))</f>
        <v> </v>
      </c>
      <c r="H6805" s="25" t="str">
        <f>IF(J6805&lt;&gt;1,"",IF(I6805="SBJ","CB","?"))</f>
        <v> </v>
      </c>
      <c r="I6805" s="26" t="str">
        <f>IF(OR(E6805="",E6805="!!!",F6805="NEW"),"",INDEX(B6804:B$2,-1+SUMPRODUCT(MAX(ROW(E6804:E$2)*(E6805=E6804:E$2)))))</f>
        <v> </v>
      </c>
      <c r="J6805" s="26" t="str">
        <f>IF(OR(E6805="",E6805="!!!",F6805="NEW"),"",COUNTBLANK(OFFSET(A$1,,,SUMPRODUCT(MAX(ROW(E$2:E6805)*(E6805=E$2:E6805)))))-COUNTBLANK(OFFSET(A$1,,,SUMPRODUCT(MAX(ROW(E$1:E6804)*(E2=E$1:E6804))))))</f>
        <v> </v>
      </c>
      <c r="K6805" s="26" t="str">
        <f>IF(OR(E6805="",E6805="!!!",F6805="NEW"),"",INDEX(J$1:J6804,SUMPRODUCT(MAX(ROW(E$1:E6804)*(E6805=E$1:E6804)))))</f>
        <v> </v>
      </c>
      <c r="L6805" s="27"/>
    </row>
    <row r="6806" spans="1:12">
      <c r="A6806" s="20" t="s">
        <v>2890</v>
      </c>
      <c r="E6806" s="22">
        <f>IF(D6806="?OLD","!!!","")</f>
        <v/>
      </c>
      <c r="F6806" s="23" t="str">
        <f>IF(OR(E6806="",E6806="!!!"),"",IF(NOT(ISNA(VLOOKUP(E6806,E$1:E6805,1,FALSE()))),"OLD",IF(AND(E6806&lt;&gt;"",E6806&lt;&gt;"!!!"),"NEW","")))</f>
        <v> </v>
      </c>
      <c r="G6806" s="24" t="str">
        <f>IF(OR(E6806="",E6806="!!!"),"",IF(OR(J6806=0,AND(J6806=1,K6806=1),AND(J6806=1,I6806="SBJ"),AND(J6806=1,I6806=0)),"?IN_FOCUS",IF(J6806&lt;=2,"?ACTIVATED",IF(J6806&lt;&gt;"","?FAMILIAR",IF(F6806="NEW",IF(ISNA(VLOOKUP(E6806,#REF!,1,FALSE())),"?TYPE_IDENTIFIABLE","?REFERENTIAL"),"_")))))</f>
        <v> </v>
      </c>
      <c r="H6806" s="25" t="str">
        <f>IF(J6806&lt;&gt;1,"",IF(I6806="SBJ","CB","?"))</f>
        <v> </v>
      </c>
      <c r="I6806" s="26" t="str">
        <f>IF(OR(E6806="",E6806="!!!",F6806="NEW"),"",INDEX(B6805:B$2,-1+SUMPRODUCT(MAX(ROW(E6805:E$2)*(E6806=E6805:E$2)))))</f>
        <v> </v>
      </c>
      <c r="J6806" s="26" t="str">
        <f>IF(OR(E6806="",E6806="!!!",F6806="NEW"),"",COUNTBLANK(OFFSET(A$1,,,SUMPRODUCT(MAX(ROW(E$2:E6806)*(E6806=E$2:E6806)))))-COUNTBLANK(OFFSET(A$1,,,SUMPRODUCT(MAX(ROW(E$1:E6805)*(E2=E$1:E6805))))))</f>
        <v> </v>
      </c>
      <c r="K6806" s="26" t="str">
        <f>IF(OR(E6806="",E6806="!!!",F6806="NEW"),"",INDEX(J$1:J6805,SUMPRODUCT(MAX(ROW(E$1:E6805)*(E6806=E$1:E6805)))))</f>
        <v> </v>
      </c>
      <c r="L6806" s="27"/>
    </row>
    <row r="6807" spans="1:12">
      <c r="A6807" s="20" t="s">
        <v>909</v>
      </c>
      <c r="E6807" s="22">
        <f>IF(D6807="?OLD","!!!","")</f>
        <v/>
      </c>
      <c r="F6807" s="23" t="str">
        <f>IF(OR(E6807="",E6807="!!!"),"",IF(NOT(ISNA(VLOOKUP(E6807,E$1:E6806,1,FALSE()))),"OLD",IF(AND(E6807&lt;&gt;"",E6807&lt;&gt;"!!!"),"NEW","")))</f>
        <v> </v>
      </c>
      <c r="G6807" s="24" t="str">
        <f>IF(OR(E6807="",E6807="!!!"),"",IF(OR(J6807=0,AND(J6807=1,K6807=1),AND(J6807=1,I6807="SBJ"),AND(J6807=1,I6807=0)),"?IN_FOCUS",IF(J6807&lt;=2,"?ACTIVATED",IF(J6807&lt;&gt;"","?FAMILIAR",IF(F6807="NEW",IF(ISNA(VLOOKUP(E6807,#REF!,1,FALSE())),"?TYPE_IDENTIFIABLE","?REFERENTIAL"),"_")))))</f>
        <v> </v>
      </c>
      <c r="H6807" s="25" t="str">
        <f>IF(J6807&lt;&gt;1,"",IF(I6807="SBJ","CB","?"))</f>
        <v> </v>
      </c>
      <c r="I6807" s="26" t="str">
        <f>IF(OR(E6807="",E6807="!!!",F6807="NEW"),"",INDEX(B6806:B$2,-1+SUMPRODUCT(MAX(ROW(E6806:E$2)*(E6807=E6806:E$2)))))</f>
        <v> </v>
      </c>
      <c r="J6807" s="26" t="str">
        <f>IF(OR(E6807="",E6807="!!!",F6807="NEW"),"",COUNTBLANK(OFFSET(A$1,,,SUMPRODUCT(MAX(ROW(E$2:E6807)*(E6807=E$2:E6807)))))-COUNTBLANK(OFFSET(A$1,,,SUMPRODUCT(MAX(ROW(E$1:E6806)*(E2=E$1:E6806))))))</f>
        <v> </v>
      </c>
      <c r="K6807" s="26" t="str">
        <f>IF(OR(E6807="",E6807="!!!",F6807="NEW"),"",INDEX(J$1:J6806,SUMPRODUCT(MAX(ROW(E$1:E6806)*(E6807=E$1:E6806)))))</f>
        <v> </v>
      </c>
      <c r="L6807" s="27"/>
    </row>
    <row r="6808" spans="1:12">
      <c r="A6808" s="20" t="s">
        <v>1107</v>
      </c>
      <c r="E6808" s="22">
        <f>IF(D6808="?OLD","!!!","")</f>
        <v/>
      </c>
      <c r="F6808" s="23" t="str">
        <f>IF(OR(E6808="",E6808="!!!"),"",IF(NOT(ISNA(VLOOKUP(E6808,E$1:E6807,1,FALSE()))),"OLD",IF(AND(E6808&lt;&gt;"",E6808&lt;&gt;"!!!"),"NEW","")))</f>
        <v> </v>
      </c>
      <c r="G6808" s="24" t="str">
        <f>IF(OR(E6808="",E6808="!!!"),"",IF(OR(J6808=0,AND(J6808=1,K6808=1),AND(J6808=1,I6808="SBJ"),AND(J6808=1,I6808=0)),"?IN_FOCUS",IF(J6808&lt;=2,"?ACTIVATED",IF(J6808&lt;&gt;"","?FAMILIAR",IF(F6808="NEW",IF(ISNA(VLOOKUP(E6808,#REF!,1,FALSE())),"?TYPE_IDENTIFIABLE","?REFERENTIAL"),"_")))))</f>
        <v> </v>
      </c>
      <c r="H6808" s="25" t="str">
        <f>IF(J6808&lt;&gt;1,"",IF(I6808="SBJ","CB","?"))</f>
        <v> </v>
      </c>
      <c r="I6808" s="26" t="str">
        <f>IF(OR(E6808="",E6808="!!!",F6808="NEW"),"",INDEX(B6807:B$2,-1+SUMPRODUCT(MAX(ROW(E6807:E$2)*(E6808=E6807:E$2)))))</f>
        <v> </v>
      </c>
      <c r="J6808" s="26" t="str">
        <f>IF(OR(E6808="",E6808="!!!",F6808="NEW"),"",COUNTBLANK(OFFSET(A$1,,,SUMPRODUCT(MAX(ROW(E$2:E6808)*(E6808=E$2:E6808)))))-COUNTBLANK(OFFSET(A$1,,,SUMPRODUCT(MAX(ROW(E$1:E6807)*(E2=E$1:E6807))))))</f>
        <v> </v>
      </c>
      <c r="K6808" s="26" t="str">
        <f>IF(OR(E6808="",E6808="!!!",F6808="NEW"),"",INDEX(J$1:J6807,SUMPRODUCT(MAX(ROW(E$1:E6807)*(E6808=E$1:E6807)))))</f>
        <v> </v>
      </c>
      <c r="L6808" s="27"/>
    </row>
    <row r="6809" spans="1:12">
      <c r="A6809" s="20" t="s">
        <v>2725</v>
      </c>
      <c r="B6809" s="21" t="s">
        <v>1097</v>
      </c>
      <c r="C6809" s="21" t="s">
        <v>1109</v>
      </c>
      <c r="E6809" s="22">
        <f>IF(D6809="?OLD","!!!","")</f>
        <v/>
      </c>
      <c r="F6809" s="23" t="str">
        <f>IF(OR(E6809="",E6809="!!!"),"",IF(NOT(ISNA(VLOOKUP(E6809,E$1:E6808,1,FALSE()))),"OLD",IF(AND(E6809&lt;&gt;"",E6809&lt;&gt;"!!!"),"NEW","")))</f>
        <v> </v>
      </c>
      <c r="G6809" s="24" t="str">
        <f>IF(OR(E6809="",E6809="!!!"),"",IF(OR(J6809=0,AND(J6809=1,K6809=1),AND(J6809=1,I6809="SBJ"),AND(J6809=1,I6809=0)),"?IN_FOCUS",IF(J6809&lt;=2,"?ACTIVATED",IF(J6809&lt;&gt;"","?FAMILIAR",IF(F6809="NEW",IF(ISNA(VLOOKUP(E6809,#REF!,1,FALSE())),"?TYPE_IDENTIFIABLE","?REFERENTIAL"),"_")))))</f>
        <v> </v>
      </c>
      <c r="H6809" s="25" t="str">
        <f>IF(J6809&lt;&gt;1,"",IF(I6809="SBJ","CB","?"))</f>
        <v> </v>
      </c>
      <c r="I6809" s="26" t="str">
        <f>IF(OR(E6809="",E6809="!!!",F6809="NEW"),"",INDEX(B6808:B$2,-1+SUMPRODUCT(MAX(ROW(E6808:E$2)*(E6809=E6808:E$2)))))</f>
        <v> </v>
      </c>
      <c r="J6809" s="26" t="str">
        <f>IF(OR(E6809="",E6809="!!!",F6809="NEW"),"",COUNTBLANK(OFFSET(A$1,,,SUMPRODUCT(MAX(ROW(E$2:E6809)*(E6809=E$2:E6809)))))-COUNTBLANK(OFFSET(A$1,,,SUMPRODUCT(MAX(ROW(E$1:E6808)*(E2=E$1:E6808))))))</f>
        <v> </v>
      </c>
      <c r="K6809" s="26" t="str">
        <f>IF(OR(E6809="",E6809="!!!",F6809="NEW"),"",INDEX(J$1:J6808,SUMPRODUCT(MAX(ROW(E$1:E6808)*(E6809=E$1:E6808)))))</f>
        <v> </v>
      </c>
      <c r="L6809" s="27"/>
    </row>
    <row r="6810" spans="1:12">
      <c r="A6810" s="20" t="s">
        <v>2891</v>
      </c>
      <c r="E6810" s="22">
        <f>IF(D6810="?OLD","!!!","")</f>
        <v/>
      </c>
      <c r="F6810" s="23" t="str">
        <f>IF(OR(E6810="",E6810="!!!"),"",IF(NOT(ISNA(VLOOKUP(E6810,E$1:E6809,1,FALSE()))),"OLD",IF(AND(E6810&lt;&gt;"",E6810&lt;&gt;"!!!"),"NEW","")))</f>
        <v> </v>
      </c>
      <c r="G6810" s="24" t="str">
        <f>IF(OR(E6810="",E6810="!!!"),"",IF(OR(J6810=0,AND(J6810=1,K6810=1),AND(J6810=1,I6810="SBJ"),AND(J6810=1,I6810=0)),"?IN_FOCUS",IF(J6810&lt;=2,"?ACTIVATED",IF(J6810&lt;&gt;"","?FAMILIAR",IF(F6810="NEW",IF(ISNA(VLOOKUP(E6810,#REF!,1,FALSE())),"?TYPE_IDENTIFIABLE","?REFERENTIAL"),"_")))))</f>
        <v> </v>
      </c>
      <c r="H6810" s="25" t="str">
        <f>IF(J6810&lt;&gt;1,"",IF(I6810="SBJ","CB","?"))</f>
        <v> </v>
      </c>
      <c r="I6810" s="26" t="str">
        <f>IF(OR(E6810="",E6810="!!!",F6810="NEW"),"",INDEX(B6809:B$2,-1+SUMPRODUCT(MAX(ROW(E6809:E$2)*(E6810=E6809:E$2)))))</f>
        <v> </v>
      </c>
      <c r="J6810" s="26" t="str">
        <f>IF(OR(E6810="",E6810="!!!",F6810="NEW"),"",COUNTBLANK(OFFSET(A$1,,,SUMPRODUCT(MAX(ROW(E$2:E6810)*(E6810=E$2:E6810)))))-COUNTBLANK(OFFSET(A$1,,,SUMPRODUCT(MAX(ROW(E$1:E6809)*(E2=E$1:E6809))))))</f>
        <v> </v>
      </c>
      <c r="K6810" s="26" t="str">
        <f>IF(OR(E6810="",E6810="!!!",F6810="NEW"),"",INDEX(J$1:J6809,SUMPRODUCT(MAX(ROW(E$1:E6809)*(E6810=E$1:E6809)))))</f>
        <v> </v>
      </c>
      <c r="L6810" s="27"/>
    </row>
    <row r="6811" spans="1:12">
      <c r="A6811" s="20" t="s">
        <v>909</v>
      </c>
      <c r="E6811" s="22">
        <f>IF(D6811="?OLD","!!!","")</f>
        <v/>
      </c>
      <c r="F6811" s="23" t="str">
        <f>IF(OR(E6811="",E6811="!!!"),"",IF(NOT(ISNA(VLOOKUP(E6811,E$1:E6810,1,FALSE()))),"OLD",IF(AND(E6811&lt;&gt;"",E6811&lt;&gt;"!!!"),"NEW","")))</f>
        <v> </v>
      </c>
      <c r="G6811" s="24" t="str">
        <f>IF(OR(E6811="",E6811="!!!"),"",IF(OR(J6811=0,AND(J6811=1,K6811=1),AND(J6811=1,I6811="SBJ"),AND(J6811=1,I6811=0)),"?IN_FOCUS",IF(J6811&lt;=2,"?ACTIVATED",IF(J6811&lt;&gt;"","?FAMILIAR",IF(F6811="NEW",IF(ISNA(VLOOKUP(E6811,#REF!,1,FALSE())),"?TYPE_IDENTIFIABLE","?REFERENTIAL"),"_")))))</f>
        <v> </v>
      </c>
      <c r="H6811" s="25" t="str">
        <f>IF(J6811&lt;&gt;1,"",IF(I6811="SBJ","CB","?"))</f>
        <v> </v>
      </c>
      <c r="I6811" s="26" t="str">
        <f>IF(OR(E6811="",E6811="!!!",F6811="NEW"),"",INDEX(B6810:B$2,-1+SUMPRODUCT(MAX(ROW(E6810:E$2)*(E6811=E6810:E$2)))))</f>
        <v> </v>
      </c>
      <c r="J6811" s="26" t="str">
        <f>IF(OR(E6811="",E6811="!!!",F6811="NEW"),"",COUNTBLANK(OFFSET(A$1,,,SUMPRODUCT(MAX(ROW(E$2:E6811)*(E6811=E$2:E6811)))))-COUNTBLANK(OFFSET(A$1,,,SUMPRODUCT(MAX(ROW(E$1:E6810)*(E2=E$1:E6810))))))</f>
        <v> </v>
      </c>
      <c r="K6811" s="26" t="str">
        <f>IF(OR(E6811="",E6811="!!!",F6811="NEW"),"",INDEX(J$1:J6810,SUMPRODUCT(MAX(ROW(E$1:E6810)*(E6811=E$1:E6810)))))</f>
        <v> </v>
      </c>
      <c r="L6811" s="27"/>
    </row>
    <row r="6812" spans="1:12">
      <c r="A6812" s="20" t="s">
        <v>1213</v>
      </c>
      <c r="E6812" s="22">
        <f>IF(D6812="?OLD","!!!","")</f>
        <v/>
      </c>
      <c r="F6812" s="23" t="str">
        <f>IF(OR(E6812="",E6812="!!!"),"",IF(NOT(ISNA(VLOOKUP(E6812,E$1:E6811,1,FALSE()))),"OLD",IF(AND(E6812&lt;&gt;"",E6812&lt;&gt;"!!!"),"NEW","")))</f>
        <v> </v>
      </c>
      <c r="G6812" s="24" t="str">
        <f>IF(OR(E6812="",E6812="!!!"),"",IF(OR(J6812=0,AND(J6812=1,K6812=1),AND(J6812=1,I6812="SBJ"),AND(J6812=1,I6812=0)),"?IN_FOCUS",IF(J6812&lt;=2,"?ACTIVATED",IF(J6812&lt;&gt;"","?FAMILIAR",IF(F6812="NEW",IF(ISNA(VLOOKUP(E6812,#REF!,1,FALSE())),"?TYPE_IDENTIFIABLE","?REFERENTIAL"),"_")))))</f>
        <v> </v>
      </c>
      <c r="H6812" s="25" t="str">
        <f>IF(J6812&lt;&gt;1,"",IF(I6812="SBJ","CB","?"))</f>
        <v> </v>
      </c>
      <c r="I6812" s="26" t="str">
        <f>IF(OR(E6812="",E6812="!!!",F6812="NEW"),"",INDEX(B6811:B$2,-1+SUMPRODUCT(MAX(ROW(E6811:E$2)*(E6812=E6811:E$2)))))</f>
        <v> </v>
      </c>
      <c r="J6812" s="26" t="str">
        <f>IF(OR(E6812="",E6812="!!!",F6812="NEW"),"",COUNTBLANK(OFFSET(A$1,,,SUMPRODUCT(MAX(ROW(E$2:E6812)*(E6812=E$2:E6812)))))-COUNTBLANK(OFFSET(A$1,,,SUMPRODUCT(MAX(ROW(E$1:E6811)*(E2=E$1:E6811))))))</f>
        <v> </v>
      </c>
      <c r="K6812" s="26" t="str">
        <f>IF(OR(E6812="",E6812="!!!",F6812="NEW"),"",INDEX(J$1:J6811,SUMPRODUCT(MAX(ROW(E$1:E6811)*(E6812=E$1:E6811)))))</f>
        <v> </v>
      </c>
      <c r="L6812" s="27"/>
    </row>
    <row r="6813" spans="1:12">
      <c r="A6813" s="20" t="s">
        <v>2540</v>
      </c>
      <c r="E6813" s="22">
        <f>IF(D6813="?OLD","!!!","")</f>
        <v/>
      </c>
      <c r="F6813" s="23" t="str">
        <f>IF(OR(E6813="",E6813="!!!"),"",IF(NOT(ISNA(VLOOKUP(E6813,E$1:E6812,1,FALSE()))),"OLD",IF(AND(E6813&lt;&gt;"",E6813&lt;&gt;"!!!"),"NEW","")))</f>
        <v> </v>
      </c>
      <c r="G6813" s="24" t="str">
        <f>IF(OR(E6813="",E6813="!!!"),"",IF(OR(J6813=0,AND(J6813=1,K6813=1),AND(J6813=1,I6813="SBJ"),AND(J6813=1,I6813=0)),"?IN_FOCUS",IF(J6813&lt;=2,"?ACTIVATED",IF(J6813&lt;&gt;"","?FAMILIAR",IF(F6813="NEW",IF(ISNA(VLOOKUP(E6813,#REF!,1,FALSE())),"?TYPE_IDENTIFIABLE","?REFERENTIAL"),"_")))))</f>
        <v> </v>
      </c>
      <c r="H6813" s="25" t="str">
        <f>IF(J6813&lt;&gt;1,"",IF(I6813="SBJ","CB","?"))</f>
        <v> </v>
      </c>
      <c r="I6813" s="26" t="str">
        <f>IF(OR(E6813="",E6813="!!!",F6813="NEW"),"",INDEX(B6812:B$2,-1+SUMPRODUCT(MAX(ROW(E6812:E$2)*(E6813=E6812:E$2)))))</f>
        <v> </v>
      </c>
      <c r="J6813" s="26" t="str">
        <f>IF(OR(E6813="",E6813="!!!",F6813="NEW"),"",COUNTBLANK(OFFSET(A$1,,,SUMPRODUCT(MAX(ROW(E$2:E6813)*(E6813=E$2:E6813)))))-COUNTBLANK(OFFSET(A$1,,,SUMPRODUCT(MAX(ROW(E$1:E6812)*(E2=E$1:E6812))))))</f>
        <v> </v>
      </c>
      <c r="K6813" s="26" t="str">
        <f>IF(OR(E6813="",E6813="!!!",F6813="NEW"),"",INDEX(J$1:J6812,SUMPRODUCT(MAX(ROW(E$1:E6812)*(E6813=E$1:E6812)))))</f>
        <v> </v>
      </c>
      <c r="L6813" s="27"/>
    </row>
    <row r="6814" spans="1:12">
      <c r="A6814" s="20" t="s">
        <v>1089</v>
      </c>
      <c r="E6814" s="22">
        <f>IF(D6814="?OLD","!!!","")</f>
        <v/>
      </c>
      <c r="F6814" s="23" t="str">
        <f>IF(OR(E6814="",E6814="!!!"),"",IF(NOT(ISNA(VLOOKUP(E6814,E$1:E6813,1,FALSE()))),"OLD",IF(AND(E6814&lt;&gt;"",E6814&lt;&gt;"!!!"),"NEW","")))</f>
        <v> </v>
      </c>
      <c r="G6814" s="24" t="str">
        <f>IF(OR(E6814="",E6814="!!!"),"",IF(OR(J6814=0,AND(J6814=1,K6814=1),AND(J6814=1,I6814="SBJ"),AND(J6814=1,I6814=0)),"?IN_FOCUS",IF(J6814&lt;=2,"?ACTIVATED",IF(J6814&lt;&gt;"","?FAMILIAR",IF(F6814="NEW",IF(ISNA(VLOOKUP(E6814,#REF!,1,FALSE())),"?TYPE_IDENTIFIABLE","?REFERENTIAL"),"_")))))</f>
        <v> </v>
      </c>
      <c r="H6814" s="25" t="str">
        <f>IF(J6814&lt;&gt;1,"",IF(I6814="SBJ","CB","?"))</f>
        <v> </v>
      </c>
      <c r="I6814" s="26" t="str">
        <f>IF(OR(E6814="",E6814="!!!",F6814="NEW"),"",INDEX(B6813:B$2,-1+SUMPRODUCT(MAX(ROW(E6813:E$2)*(E6814=E6813:E$2)))))</f>
        <v> </v>
      </c>
      <c r="J6814" s="26" t="str">
        <f>IF(OR(E6814="",E6814="!!!",F6814="NEW"),"",COUNTBLANK(OFFSET(A$1,,,SUMPRODUCT(MAX(ROW(E$2:E6814)*(E6814=E$2:E6814)))))-COUNTBLANK(OFFSET(A$1,,,SUMPRODUCT(MAX(ROW(E$1:E6813)*(E2=E$1:E6813))))))</f>
        <v> </v>
      </c>
      <c r="K6814" s="26" t="str">
        <f>IF(OR(E6814="",E6814="!!!",F6814="NEW"),"",INDEX(J$1:J6813,SUMPRODUCT(MAX(ROW(E$1:E6813)*(E6814=E$1:E6813)))))</f>
        <v> </v>
      </c>
      <c r="L6814" s="27"/>
    </row>
    <row r="6815" spans="1:12">
      <c r="A6815" s="20" t="s">
        <v>2110</v>
      </c>
      <c r="B6815" s="21" t="s">
        <v>1135</v>
      </c>
      <c r="C6815" s="21" t="s">
        <v>1075</v>
      </c>
      <c r="D6815" s="21" t="s">
        <v>1065</v>
      </c>
      <c r="E6815" s="22">
        <f>IF(D6815="?OLD","!!!","")</f>
        <v/>
      </c>
      <c r="F6815" s="23" t="str">
        <f>IF(OR(E6815="",E6815="!!!"),"",IF(NOT(ISNA(VLOOKUP(E6815,E$1:E6814,1,FALSE()))),"OLD",IF(AND(E6815&lt;&gt;"",E6815&lt;&gt;"!!!"),"NEW","")))</f>
        <v> </v>
      </c>
      <c r="G6815" s="24" t="str">
        <f>IF(OR(E6815="",E6815="!!!"),"",IF(OR(J6815=0,AND(J6815=1,K6815=1),AND(J6815=1,I6815="SBJ"),AND(J6815=1,I6815=0)),"?IN_FOCUS",IF(J6815&lt;=2,"?ACTIVATED",IF(J6815&lt;&gt;"","?FAMILIAR",IF(F6815="NEW",IF(ISNA(VLOOKUP(E6815,#REF!,1,FALSE())),"?TYPE_IDENTIFIABLE","?REFERENTIAL"),"_")))))</f>
        <v> </v>
      </c>
      <c r="H6815" s="25" t="str">
        <f>IF(J6815&lt;&gt;1,"",IF(I6815="SBJ","CB","?"))</f>
        <v> </v>
      </c>
      <c r="I6815" s="26" t="str">
        <f>IF(OR(E6815="",E6815="!!!",F6815="NEW"),"",INDEX(B6814:B$2,-1+SUMPRODUCT(MAX(ROW(E6814:E$2)*(E6815=E6814:E$2)))))</f>
        <v> </v>
      </c>
      <c r="J6815" s="26" t="str">
        <f>IF(OR(E6815="",E6815="!!!",F6815="NEW"),"",COUNTBLANK(OFFSET(A$1,,,SUMPRODUCT(MAX(ROW(E$2:E6815)*(E6815=E$2:E6815)))))-COUNTBLANK(OFFSET(A$1,,,SUMPRODUCT(MAX(ROW(E$1:E6814)*(E2=E$1:E6814))))))</f>
        <v> </v>
      </c>
      <c r="K6815" s="26" t="str">
        <f>IF(OR(E6815="",E6815="!!!",F6815="NEW"),"",INDEX(J$1:J6814,SUMPRODUCT(MAX(ROW(E$1:E6814)*(E6815=E$1:E6814)))))</f>
        <v> </v>
      </c>
      <c r="L6815" s="27"/>
    </row>
    <row r="6816" spans="1:12">
      <c r="A6816" s="20" t="s">
        <v>1072</v>
      </c>
      <c r="E6816" s="22">
        <f>IF(D6816="?OLD","!!!","")</f>
        <v/>
      </c>
      <c r="F6816" s="23" t="str">
        <f>IF(OR(E6816="",E6816="!!!"),"",IF(NOT(ISNA(VLOOKUP(E6816,E$1:E6815,1,FALSE()))),"OLD",IF(AND(E6816&lt;&gt;"",E6816&lt;&gt;"!!!"),"NEW","")))</f>
        <v> </v>
      </c>
      <c r="G6816" s="24" t="str">
        <f>IF(OR(E6816="",E6816="!!!"),"",IF(OR(J6816=0,AND(J6816=1,K6816=1),AND(J6816=1,I6816="SBJ"),AND(J6816=1,I6816=0)),"?IN_FOCUS",IF(J6816&lt;=2,"?ACTIVATED",IF(J6816&lt;&gt;"","?FAMILIAR",IF(F6816="NEW",IF(ISNA(VLOOKUP(E6816,#REF!,1,FALSE())),"?TYPE_IDENTIFIABLE","?REFERENTIAL"),"_")))))</f>
        <v> </v>
      </c>
      <c r="H6816" s="25" t="str">
        <f>IF(J6816&lt;&gt;1,"",IF(I6816="SBJ","CB","?"))</f>
        <v> </v>
      </c>
      <c r="I6816" s="26" t="str">
        <f>IF(OR(E6816="",E6816="!!!",F6816="NEW"),"",INDEX(B6815:B$2,-1+SUMPRODUCT(MAX(ROW(E6815:E$2)*(E6816=E6815:E$2)))))</f>
        <v> </v>
      </c>
      <c r="J6816" s="26" t="str">
        <f>IF(OR(E6816="",E6816="!!!",F6816="NEW"),"",COUNTBLANK(OFFSET(A$1,,,SUMPRODUCT(MAX(ROW(E$2:E6816)*(E6816=E$2:E6816)))))-COUNTBLANK(OFFSET(A$1,,,SUMPRODUCT(MAX(ROW(E$1:E6815)*(E2=E$1:E6815))))))</f>
        <v> </v>
      </c>
      <c r="K6816" s="26" t="str">
        <f>IF(OR(E6816="",E6816="!!!",F6816="NEW"),"",INDEX(J$1:J6815,SUMPRODUCT(MAX(ROW(E$1:E6815)*(E6816=E$1:E6815)))))</f>
        <v> </v>
      </c>
      <c r="L6816" s="27"/>
    </row>
    <row r="6817" spans="1:12">
      <c r="A6817" s="20" t="s">
        <v>1430</v>
      </c>
      <c r="E6817" s="22">
        <f>IF(D6817="?OLD","!!!","")</f>
        <v/>
      </c>
      <c r="F6817" s="23" t="str">
        <f>IF(OR(E6817="",E6817="!!!"),"",IF(NOT(ISNA(VLOOKUP(E6817,E$1:E6816,1,FALSE()))),"OLD",IF(AND(E6817&lt;&gt;"",E6817&lt;&gt;"!!!"),"NEW","")))</f>
        <v> </v>
      </c>
      <c r="G6817" s="24" t="str">
        <f>IF(OR(E6817="",E6817="!!!"),"",IF(OR(J6817=0,AND(J6817=1,K6817=1),AND(J6817=1,I6817="SBJ"),AND(J6817=1,I6817=0)),"?IN_FOCUS",IF(J6817&lt;=2,"?ACTIVATED",IF(J6817&lt;&gt;"","?FAMILIAR",IF(F6817="NEW",IF(ISNA(VLOOKUP(E6817,#REF!,1,FALSE())),"?TYPE_IDENTIFIABLE","?REFERENTIAL"),"_")))))</f>
        <v> </v>
      </c>
      <c r="H6817" s="25" t="str">
        <f>IF(J6817&lt;&gt;1,"",IF(I6817="SBJ","CB","?"))</f>
        <v> </v>
      </c>
      <c r="I6817" s="26" t="str">
        <f>IF(OR(E6817="",E6817="!!!",F6817="NEW"),"",INDEX(B6816:B$2,-1+SUMPRODUCT(MAX(ROW(E6816:E$2)*(E6817=E6816:E$2)))))</f>
        <v> </v>
      </c>
      <c r="J6817" s="26" t="str">
        <f>IF(OR(E6817="",E6817="!!!",F6817="NEW"),"",COUNTBLANK(OFFSET(A$1,,,SUMPRODUCT(MAX(ROW(E$2:E6817)*(E6817=E$2:E6817)))))-COUNTBLANK(OFFSET(A$1,,,SUMPRODUCT(MAX(ROW(E$1:E6816)*(E2=E$1:E6816))))))</f>
        <v> </v>
      </c>
      <c r="K6817" s="26" t="str">
        <f>IF(OR(E6817="",E6817="!!!",F6817="NEW"),"",INDEX(J$1:J6816,SUMPRODUCT(MAX(ROW(E$1:E6816)*(E6817=E$1:E6816)))))</f>
        <v> </v>
      </c>
      <c r="L6817" s="27"/>
    </row>
    <row r="6818" spans="1:12">
      <c r="A6818" s="20" t="s">
        <v>1202</v>
      </c>
      <c r="E6818" s="22">
        <f>IF(D6818="?OLD","!!!","")</f>
        <v/>
      </c>
      <c r="F6818" s="23" t="str">
        <f>IF(OR(E6818="",E6818="!!!"),"",IF(NOT(ISNA(VLOOKUP(E6818,E$1:E6817,1,FALSE()))),"OLD",IF(AND(E6818&lt;&gt;"",E6818&lt;&gt;"!!!"),"NEW","")))</f>
        <v> </v>
      </c>
      <c r="G6818" s="24" t="str">
        <f>IF(OR(E6818="",E6818="!!!"),"",IF(OR(J6818=0,AND(J6818=1,K6818=1),AND(J6818=1,I6818="SBJ"),AND(J6818=1,I6818=0)),"?IN_FOCUS",IF(J6818&lt;=2,"?ACTIVATED",IF(J6818&lt;&gt;"","?FAMILIAR",IF(F6818="NEW",IF(ISNA(VLOOKUP(E6818,#REF!,1,FALSE())),"?TYPE_IDENTIFIABLE","?REFERENTIAL"),"_")))))</f>
        <v> </v>
      </c>
      <c r="H6818" s="25" t="str">
        <f>IF(J6818&lt;&gt;1,"",IF(I6818="SBJ","CB","?"))</f>
        <v> </v>
      </c>
      <c r="I6818" s="26" t="str">
        <f>IF(OR(E6818="",E6818="!!!",F6818="NEW"),"",INDEX(B6817:B$2,-1+SUMPRODUCT(MAX(ROW(E6817:E$2)*(E6818=E6817:E$2)))))</f>
        <v> </v>
      </c>
      <c r="J6818" s="26" t="str">
        <f>IF(OR(E6818="",E6818="!!!",F6818="NEW"),"",COUNTBLANK(OFFSET(A$1,,,SUMPRODUCT(MAX(ROW(E$2:E6818)*(E6818=E$2:E6818)))))-COUNTBLANK(OFFSET(A$1,,,SUMPRODUCT(MAX(ROW(E$1:E6817)*(E2=E$1:E6817))))))</f>
        <v> </v>
      </c>
      <c r="K6818" s="26" t="str">
        <f>IF(OR(E6818="",E6818="!!!",F6818="NEW"),"",INDEX(J$1:J6817,SUMPRODUCT(MAX(ROW(E$1:E6817)*(E6818=E$1:E6817)))))</f>
        <v> </v>
      </c>
      <c r="L6818" s="27"/>
    </row>
    <row r="6819" spans="1:12">
      <c r="A6819" s="20" t="s">
        <v>1153</v>
      </c>
      <c r="B6819" s="21" t="s">
        <v>1438</v>
      </c>
      <c r="C6819" s="21" t="s">
        <v>1155</v>
      </c>
      <c r="E6819" s="22">
        <f>IF(D6819="?OLD","!!!","")</f>
        <v/>
      </c>
      <c r="F6819" s="23" t="str">
        <f>IF(OR(E6819="",E6819="!!!"),"",IF(NOT(ISNA(VLOOKUP(E6819,E$1:E6818,1,FALSE()))),"OLD",IF(AND(E6819&lt;&gt;"",E6819&lt;&gt;"!!!"),"NEW","")))</f>
        <v> </v>
      </c>
      <c r="G6819" s="24" t="str">
        <f>IF(OR(E6819="",E6819="!!!"),"",IF(OR(J6819=0,AND(J6819=1,K6819=1),AND(J6819=1,I6819="SBJ"),AND(J6819=1,I6819=0)),"?IN_FOCUS",IF(J6819&lt;=2,"?ACTIVATED",IF(J6819&lt;&gt;"","?FAMILIAR",IF(F6819="NEW",IF(ISNA(VLOOKUP(E6819,#REF!,1,FALSE())),"?TYPE_IDENTIFIABLE","?REFERENTIAL"),"_")))))</f>
        <v> </v>
      </c>
      <c r="H6819" s="25" t="str">
        <f>IF(J6819&lt;&gt;1,"",IF(I6819="SBJ","CB","?"))</f>
        <v> </v>
      </c>
      <c r="I6819" s="26" t="str">
        <f>IF(OR(E6819="",E6819="!!!",F6819="NEW"),"",INDEX(B6818:B$2,-1+SUMPRODUCT(MAX(ROW(E6818:E$2)*(E6819=E6818:E$2)))))</f>
        <v> </v>
      </c>
      <c r="J6819" s="26" t="str">
        <f>IF(OR(E6819="",E6819="!!!",F6819="NEW"),"",COUNTBLANK(OFFSET(A$1,,,SUMPRODUCT(MAX(ROW(E$2:E6819)*(E6819=E$2:E6819)))))-COUNTBLANK(OFFSET(A$1,,,SUMPRODUCT(MAX(ROW(E$1:E6818)*(E2=E$1:E6818))))))</f>
        <v> </v>
      </c>
      <c r="K6819" s="26" t="str">
        <f>IF(OR(E6819="",E6819="!!!",F6819="NEW"),"",INDEX(J$1:J6818,SUMPRODUCT(MAX(ROW(E$1:E6818)*(E6819=E$1:E6818)))))</f>
        <v> </v>
      </c>
      <c r="L6819" s="27"/>
    </row>
    <row r="6820" spans="1:12">
      <c r="A6820" s="20" t="s">
        <v>1076</v>
      </c>
      <c r="E6820" s="22">
        <f>IF(D6820="?OLD","!!!","")</f>
        <v/>
      </c>
      <c r="F6820" s="23" t="str">
        <f>IF(OR(E6820="",E6820="!!!"),"",IF(NOT(ISNA(VLOOKUP(E6820,E$1:E6819,1,FALSE()))),"OLD",IF(AND(E6820&lt;&gt;"",E6820&lt;&gt;"!!!"),"NEW","")))</f>
        <v> </v>
      </c>
      <c r="G6820" s="24" t="str">
        <f>IF(OR(E6820="",E6820="!!!"),"",IF(OR(J6820=0,AND(J6820=1,K6820=1),AND(J6820=1,I6820="SBJ"),AND(J6820=1,I6820=0)),"?IN_FOCUS",IF(J6820&lt;=2,"?ACTIVATED",IF(J6820&lt;&gt;"","?FAMILIAR",IF(F6820="NEW",IF(ISNA(VLOOKUP(E6820,#REF!,1,FALSE())),"?TYPE_IDENTIFIABLE","?REFERENTIAL"),"_")))))</f>
        <v> </v>
      </c>
      <c r="H6820" s="25" t="str">
        <f>IF(J6820&lt;&gt;1,"",IF(I6820="SBJ","CB","?"))</f>
        <v> </v>
      </c>
      <c r="I6820" s="26" t="str">
        <f>IF(OR(E6820="",E6820="!!!",F6820="NEW"),"",INDEX(B6819:B$2,-1+SUMPRODUCT(MAX(ROW(E6819:E$2)*(E6820=E6819:E$2)))))</f>
        <v> </v>
      </c>
      <c r="J6820" s="26" t="str">
        <f>IF(OR(E6820="",E6820="!!!",F6820="NEW"),"",COUNTBLANK(OFFSET(A$1,,,SUMPRODUCT(MAX(ROW(E$2:E6820)*(E6820=E$2:E6820)))))-COUNTBLANK(OFFSET(A$1,,,SUMPRODUCT(MAX(ROW(E$1:E6819)*(E2=E$1:E6819))))))</f>
        <v> </v>
      </c>
      <c r="K6820" s="26" t="str">
        <f>IF(OR(E6820="",E6820="!!!",F6820="NEW"),"",INDEX(J$1:J6819,SUMPRODUCT(MAX(ROW(E$1:E6819)*(E6820=E$1:E6819)))))</f>
        <v> </v>
      </c>
      <c r="L6820" s="27"/>
    </row>
    <row r="6821" spans="1:12">
      <c r="A6821" s="20" t="s">
        <v>1106</v>
      </c>
      <c r="E6821" s="22">
        <f>IF(D6821="?OLD","!!!","")</f>
        <v/>
      </c>
      <c r="F6821" s="23" t="str">
        <f>IF(OR(E6821="",E6821="!!!"),"",IF(NOT(ISNA(VLOOKUP(E6821,E$1:E6820,1,FALSE()))),"OLD",IF(AND(E6821&lt;&gt;"",E6821&lt;&gt;"!!!"),"NEW","")))</f>
        <v> </v>
      </c>
      <c r="G6821" s="24" t="str">
        <f>IF(OR(E6821="",E6821="!!!"),"",IF(OR(J6821=0,AND(J6821=1,K6821=1),AND(J6821=1,I6821="SBJ"),AND(J6821=1,I6821=0)),"?IN_FOCUS",IF(J6821&lt;=2,"?ACTIVATED",IF(J6821&lt;&gt;"","?FAMILIAR",IF(F6821="NEW",IF(ISNA(VLOOKUP(E6821,#REF!,1,FALSE())),"?TYPE_IDENTIFIABLE","?REFERENTIAL"),"_")))))</f>
        <v> </v>
      </c>
      <c r="H6821" s="25" t="str">
        <f>IF(J6821&lt;&gt;1,"",IF(I6821="SBJ","CB","?"))</f>
        <v> </v>
      </c>
      <c r="I6821" s="26" t="str">
        <f>IF(OR(E6821="",E6821="!!!",F6821="NEW"),"",INDEX(B6820:B$2,-1+SUMPRODUCT(MAX(ROW(E6820:E$2)*(E6821=E6820:E$2)))))</f>
        <v> </v>
      </c>
      <c r="J6821" s="26" t="str">
        <f>IF(OR(E6821="",E6821="!!!",F6821="NEW"),"",COUNTBLANK(OFFSET(A$1,,,SUMPRODUCT(MAX(ROW(E$2:E6821)*(E6821=E$2:E6821)))))-COUNTBLANK(OFFSET(A$1,,,SUMPRODUCT(MAX(ROW(E$1:E6820)*(E2=E$1:E6820))))))</f>
        <v> </v>
      </c>
      <c r="K6821" s="26" t="str">
        <f>IF(OR(E6821="",E6821="!!!",F6821="NEW"),"",INDEX(J$1:J6820,SUMPRODUCT(MAX(ROW(E$1:E6820)*(E6821=E$1:E6820)))))</f>
        <v> </v>
      </c>
      <c r="L6821" s="27"/>
    </row>
    <row r="6822" spans="1:12">
      <c r="A6822" s="20" t="s">
        <v>1530</v>
      </c>
      <c r="E6822" s="22">
        <f>IF(D6822="?OLD","!!!","")</f>
        <v/>
      </c>
      <c r="F6822" s="23" t="str">
        <f>IF(OR(E6822="",E6822="!!!"),"",IF(NOT(ISNA(VLOOKUP(E6822,E$1:E6821,1,FALSE()))),"OLD",IF(AND(E6822&lt;&gt;"",E6822&lt;&gt;"!!!"),"NEW","")))</f>
        <v> </v>
      </c>
      <c r="G6822" s="24" t="str">
        <f>IF(OR(E6822="",E6822="!!!"),"",IF(OR(J6822=0,AND(J6822=1,K6822=1),AND(J6822=1,I6822="SBJ"),AND(J6822=1,I6822=0)),"?IN_FOCUS",IF(J6822&lt;=2,"?ACTIVATED",IF(J6822&lt;&gt;"","?FAMILIAR",IF(F6822="NEW",IF(ISNA(VLOOKUP(E6822,#REF!,1,FALSE())),"?TYPE_IDENTIFIABLE","?REFERENTIAL"),"_")))))</f>
        <v> </v>
      </c>
      <c r="H6822" s="25" t="str">
        <f>IF(J6822&lt;&gt;1,"",IF(I6822="SBJ","CB","?"))</f>
        <v> </v>
      </c>
      <c r="I6822" s="26" t="str">
        <f>IF(OR(E6822="",E6822="!!!",F6822="NEW"),"",INDEX(B6821:B$2,-1+SUMPRODUCT(MAX(ROW(E6821:E$2)*(E6822=E6821:E$2)))))</f>
        <v> </v>
      </c>
      <c r="J6822" s="26" t="str">
        <f>IF(OR(E6822="",E6822="!!!",F6822="NEW"),"",COUNTBLANK(OFFSET(A$1,,,SUMPRODUCT(MAX(ROW(E$2:E6822)*(E6822=E$2:E6822)))))-COUNTBLANK(OFFSET(A$1,,,SUMPRODUCT(MAX(ROW(E$1:E6821)*(E2=E$1:E6821))))))</f>
        <v> </v>
      </c>
      <c r="K6822" s="26" t="str">
        <f>IF(OR(E6822="",E6822="!!!",F6822="NEW"),"",INDEX(J$1:J6821,SUMPRODUCT(MAX(ROW(E$1:E6821)*(E6822=E$1:E6821)))))</f>
        <v> </v>
      </c>
      <c r="L6822" s="27"/>
    </row>
    <row r="6823" spans="1:12">
      <c r="A6823" s="20" t="s">
        <v>1077</v>
      </c>
      <c r="E6823" s="22">
        <f>IF(D6823="?OLD","!!!","")</f>
        <v/>
      </c>
      <c r="F6823" s="23" t="str">
        <f>IF(OR(E6823="",E6823="!!!"),"",IF(NOT(ISNA(VLOOKUP(E6823,E$1:E6822,1,FALSE()))),"OLD",IF(AND(E6823&lt;&gt;"",E6823&lt;&gt;"!!!"),"NEW","")))</f>
        <v> </v>
      </c>
      <c r="G6823" s="24" t="str">
        <f>IF(OR(E6823="",E6823="!!!"),"",IF(OR(J6823=0,AND(J6823=1,K6823=1),AND(J6823=1,I6823="SBJ"),AND(J6823=1,I6823=0)),"?IN_FOCUS",IF(J6823&lt;=2,"?ACTIVATED",IF(J6823&lt;&gt;"","?FAMILIAR",IF(F6823="NEW",IF(ISNA(VLOOKUP(E6823,#REF!,1,FALSE())),"?TYPE_IDENTIFIABLE","?REFERENTIAL"),"_")))))</f>
        <v> </v>
      </c>
      <c r="H6823" s="25" t="str">
        <f>IF(J6823&lt;&gt;1,"",IF(I6823="SBJ","CB","?"))</f>
        <v> </v>
      </c>
      <c r="I6823" s="26" t="str">
        <f>IF(OR(E6823="",E6823="!!!",F6823="NEW"),"",INDEX(B6822:B$2,-1+SUMPRODUCT(MAX(ROW(E6822:E$2)*(E6823=E6822:E$2)))))</f>
        <v> </v>
      </c>
      <c r="J6823" s="26" t="str">
        <f>IF(OR(E6823="",E6823="!!!",F6823="NEW"),"",COUNTBLANK(OFFSET(A$1,,,SUMPRODUCT(MAX(ROW(E$2:E6823)*(E6823=E$2:E6823)))))-COUNTBLANK(OFFSET(A$1,,,SUMPRODUCT(MAX(ROW(E$1:E6822)*(E2=E$1:E6822))))))</f>
        <v> </v>
      </c>
      <c r="K6823" s="26" t="str">
        <f>IF(OR(E6823="",E6823="!!!",F6823="NEW"),"",INDEX(J$1:J6822,SUMPRODUCT(MAX(ROW(E$1:E6822)*(E6823=E$1:E6822)))))</f>
        <v> </v>
      </c>
      <c r="L6823" s="27"/>
    </row>
    <row r="6824" spans="1:12">
      <c r="A6824" s="20" t="s">
        <v>1228</v>
      </c>
      <c r="B6824" s="21" t="s">
        <v>1438</v>
      </c>
      <c r="C6824" s="21" t="s">
        <v>1075</v>
      </c>
      <c r="D6824" s="21" t="s">
        <v>1065</v>
      </c>
      <c r="E6824" s="22">
        <f>IF(D6824="?OLD","!!!","")</f>
        <v/>
      </c>
      <c r="F6824" s="23" t="str">
        <f>IF(OR(E6824="",E6824="!!!"),"",IF(NOT(ISNA(VLOOKUP(E6824,E$1:E6823,1,FALSE()))),"OLD",IF(AND(E6824&lt;&gt;"",E6824&lt;&gt;"!!!"),"NEW","")))</f>
        <v> </v>
      </c>
      <c r="G6824" s="24" t="str">
        <f>IF(OR(E6824="",E6824="!!!"),"",IF(OR(J6824=0,AND(J6824=1,K6824=1),AND(J6824=1,I6824="SBJ"),AND(J6824=1,I6824=0)),"?IN_FOCUS",IF(J6824&lt;=2,"?ACTIVATED",IF(J6824&lt;&gt;"","?FAMILIAR",IF(F6824="NEW",IF(ISNA(VLOOKUP(E6824,#REF!,1,FALSE())),"?TYPE_IDENTIFIABLE","?REFERENTIAL"),"_")))))</f>
        <v> </v>
      </c>
      <c r="H6824" s="25" t="str">
        <f>IF(J6824&lt;&gt;1,"",IF(I6824="SBJ","CB","?"))</f>
        <v> </v>
      </c>
      <c r="I6824" s="26" t="str">
        <f>IF(OR(E6824="",E6824="!!!",F6824="NEW"),"",INDEX(B6823:B$2,-1+SUMPRODUCT(MAX(ROW(E6823:E$2)*(E6824=E6823:E$2)))))</f>
        <v> </v>
      </c>
      <c r="J6824" s="26" t="str">
        <f>IF(OR(E6824="",E6824="!!!",F6824="NEW"),"",COUNTBLANK(OFFSET(A$1,,,SUMPRODUCT(MAX(ROW(E$2:E6824)*(E6824=E$2:E6824)))))-COUNTBLANK(OFFSET(A$1,,,SUMPRODUCT(MAX(ROW(E$1:E6823)*(E2=E$1:E6823))))))</f>
        <v> </v>
      </c>
      <c r="K6824" s="26" t="str">
        <f>IF(OR(E6824="",E6824="!!!",F6824="NEW"),"",INDEX(J$1:J6823,SUMPRODUCT(MAX(ROW(E$1:E6823)*(E6824=E$1:E6823)))))</f>
        <v> </v>
      </c>
      <c r="L6824" s="27"/>
    </row>
    <row r="6825" spans="1:12">
      <c r="A6825" s="20" t="s">
        <v>1076</v>
      </c>
      <c r="E6825" s="22">
        <f>IF(D6825="?OLD","!!!","")</f>
        <v/>
      </c>
      <c r="F6825" s="23" t="str">
        <f>IF(OR(E6825="",E6825="!!!"),"",IF(NOT(ISNA(VLOOKUP(E6825,E$1:E6824,1,FALSE()))),"OLD",IF(AND(E6825&lt;&gt;"",E6825&lt;&gt;"!!!"),"NEW","")))</f>
        <v> </v>
      </c>
      <c r="G6825" s="24" t="str">
        <f>IF(OR(E6825="",E6825="!!!"),"",IF(OR(J6825=0,AND(J6825=1,K6825=1),AND(J6825=1,I6825="SBJ"),AND(J6825=1,I6825=0)),"?IN_FOCUS",IF(J6825&lt;=2,"?ACTIVATED",IF(J6825&lt;&gt;"","?FAMILIAR",IF(F6825="NEW",IF(ISNA(VLOOKUP(E6825,#REF!,1,FALSE())),"?TYPE_IDENTIFIABLE","?REFERENTIAL"),"_")))))</f>
        <v> </v>
      </c>
      <c r="H6825" s="25" t="str">
        <f>IF(J6825&lt;&gt;1,"",IF(I6825="SBJ","CB","?"))</f>
        <v> </v>
      </c>
      <c r="I6825" s="26" t="str">
        <f>IF(OR(E6825="",E6825="!!!",F6825="NEW"),"",INDEX(B6824:B$2,-1+SUMPRODUCT(MAX(ROW(E6824:E$2)*(E6825=E6824:E$2)))))</f>
        <v> </v>
      </c>
      <c r="J6825" s="26" t="str">
        <f>IF(OR(E6825="",E6825="!!!",F6825="NEW"),"",COUNTBLANK(OFFSET(A$1,,,SUMPRODUCT(MAX(ROW(E$2:E6825)*(E6825=E$2:E6825)))))-COUNTBLANK(OFFSET(A$1,,,SUMPRODUCT(MAX(ROW(E$1:E6824)*(E2=E$1:E6824))))))</f>
        <v> </v>
      </c>
      <c r="K6825" s="26" t="str">
        <f>IF(OR(E6825="",E6825="!!!",F6825="NEW"),"",INDEX(J$1:J6824,SUMPRODUCT(MAX(ROW(E$1:E6824)*(E6825=E$1:E6824)))))</f>
        <v> </v>
      </c>
      <c r="L6825" s="27"/>
    </row>
    <row r="6826" spans="1:12">
      <c r="A6826" s="20" t="s">
        <v>1188</v>
      </c>
      <c r="E6826" s="22">
        <f>IF(D6826="?OLD","!!!","")</f>
        <v/>
      </c>
      <c r="F6826" s="23" t="str">
        <f>IF(OR(E6826="",E6826="!!!"),"",IF(NOT(ISNA(VLOOKUP(E6826,E$1:E6825,1,FALSE()))),"OLD",IF(AND(E6826&lt;&gt;"",E6826&lt;&gt;"!!!"),"NEW","")))</f>
        <v> </v>
      </c>
      <c r="G6826" s="24" t="str">
        <f>IF(OR(E6826="",E6826="!!!"),"",IF(OR(J6826=0,AND(J6826=1,K6826=1),AND(J6826=1,I6826="SBJ"),AND(J6826=1,I6826=0)),"?IN_FOCUS",IF(J6826&lt;=2,"?ACTIVATED",IF(J6826&lt;&gt;"","?FAMILIAR",IF(F6826="NEW",IF(ISNA(VLOOKUP(E6826,#REF!,1,FALSE())),"?TYPE_IDENTIFIABLE","?REFERENTIAL"),"_")))))</f>
        <v> </v>
      </c>
      <c r="H6826" s="25" t="str">
        <f>IF(J6826&lt;&gt;1,"",IF(I6826="SBJ","CB","?"))</f>
        <v> </v>
      </c>
      <c r="I6826" s="26" t="str">
        <f>IF(OR(E6826="",E6826="!!!",F6826="NEW"),"",INDEX(B6825:B$2,-1+SUMPRODUCT(MAX(ROW(E6825:E$2)*(E6826=E6825:E$2)))))</f>
        <v> </v>
      </c>
      <c r="J6826" s="26" t="str">
        <f>IF(OR(E6826="",E6826="!!!",F6826="NEW"),"",COUNTBLANK(OFFSET(A$1,,,SUMPRODUCT(MAX(ROW(E$2:E6826)*(E6826=E$2:E6826)))))-COUNTBLANK(OFFSET(A$1,,,SUMPRODUCT(MAX(ROW(E$1:E6825)*(E2=E$1:E6825))))))</f>
        <v> </v>
      </c>
      <c r="K6826" s="26" t="str">
        <f>IF(OR(E6826="",E6826="!!!",F6826="NEW"),"",INDEX(J$1:J6825,SUMPRODUCT(MAX(ROW(E$1:E6825)*(E6826=E$1:E6825)))))</f>
        <v> </v>
      </c>
      <c r="L6826" s="27"/>
    </row>
    <row r="6827" spans="1:12">
      <c r="A6827" s="20" t="s">
        <v>137</v>
      </c>
      <c r="E6827" s="22">
        <f>IF(D6827="?OLD","!!!","")</f>
        <v/>
      </c>
      <c r="F6827" s="23" t="str">
        <f>IF(OR(E6827="",E6827="!!!"),"",IF(NOT(ISNA(VLOOKUP(E6827,E$1:E6826,1,FALSE()))),"OLD",IF(AND(E6827&lt;&gt;"",E6827&lt;&gt;"!!!"),"NEW","")))</f>
        <v> </v>
      </c>
      <c r="G6827" s="24" t="str">
        <f>IF(OR(E6827="",E6827="!!!"),"",IF(OR(J6827=0,AND(J6827=1,K6827=1),AND(J6827=1,I6827="SBJ"),AND(J6827=1,I6827=0)),"?IN_FOCUS",IF(J6827&lt;=2,"?ACTIVATED",IF(J6827&lt;&gt;"","?FAMILIAR",IF(F6827="NEW",IF(ISNA(VLOOKUP(E6827,#REF!,1,FALSE())),"?TYPE_IDENTIFIABLE","?REFERENTIAL"),"_")))))</f>
        <v> </v>
      </c>
      <c r="H6827" s="25" t="str">
        <f>IF(J6827&lt;&gt;1,"",IF(I6827="SBJ","CB","?"))</f>
        <v> </v>
      </c>
      <c r="I6827" s="26" t="str">
        <f>IF(OR(E6827="",E6827="!!!",F6827="NEW"),"",INDEX(B6826:B$2,-1+SUMPRODUCT(MAX(ROW(E6826:E$2)*(E6827=E6826:E$2)))))</f>
        <v> </v>
      </c>
      <c r="J6827" s="26" t="str">
        <f>IF(OR(E6827="",E6827="!!!",F6827="NEW"),"",COUNTBLANK(OFFSET(A$1,,,SUMPRODUCT(MAX(ROW(E$2:E6827)*(E6827=E$2:E6827)))))-COUNTBLANK(OFFSET(A$1,,,SUMPRODUCT(MAX(ROW(E$1:E6826)*(E2=E$1:E6826))))))</f>
        <v> </v>
      </c>
      <c r="K6827" s="26" t="str">
        <f>IF(OR(E6827="",E6827="!!!",F6827="NEW"),"",INDEX(J$1:J6826,SUMPRODUCT(MAX(ROW(E$1:E6826)*(E6827=E$1:E6826)))))</f>
        <v> </v>
      </c>
      <c r="L6827" s="27"/>
    </row>
    <row r="6828" spans="1:12">
      <c r="A6828" s="20" t="s">
        <v>1141</v>
      </c>
      <c r="B6828" s="21" t="s">
        <v>2892</v>
      </c>
      <c r="C6828" s="21" t="s">
        <v>1140</v>
      </c>
      <c r="E6828" s="22">
        <f>IF(D6828="?OLD","!!!","")</f>
        <v/>
      </c>
      <c r="F6828" s="23" t="str">
        <f>IF(OR(E6828="",E6828="!!!"),"",IF(NOT(ISNA(VLOOKUP(E6828,E$1:E6827,1,FALSE()))),"OLD",IF(AND(E6828&lt;&gt;"",E6828&lt;&gt;"!!!"),"NEW","")))</f>
        <v> </v>
      </c>
      <c r="G6828" s="24" t="str">
        <f>IF(OR(E6828="",E6828="!!!"),"",IF(OR(J6828=0,AND(J6828=1,K6828=1),AND(J6828=1,I6828="SBJ"),AND(J6828=1,I6828=0)),"?IN_FOCUS",IF(J6828&lt;=2,"?ACTIVATED",IF(J6828&lt;&gt;"","?FAMILIAR",IF(F6828="NEW",IF(ISNA(VLOOKUP(E6828,#REF!,1,FALSE())),"?TYPE_IDENTIFIABLE","?REFERENTIAL"),"_")))))</f>
        <v> </v>
      </c>
      <c r="H6828" s="25" t="str">
        <f>IF(J6828&lt;&gt;1,"",IF(I6828="SBJ","CB","?"))</f>
        <v> </v>
      </c>
      <c r="I6828" s="26" t="str">
        <f>IF(OR(E6828="",E6828="!!!",F6828="NEW"),"",INDEX(B6827:B$2,-1+SUMPRODUCT(MAX(ROW(E6827:E$2)*(E6828=E6827:E$2)))))</f>
        <v> </v>
      </c>
      <c r="J6828" s="26" t="str">
        <f>IF(OR(E6828="",E6828="!!!",F6828="NEW"),"",COUNTBLANK(OFFSET(A$1,,,SUMPRODUCT(MAX(ROW(E$2:E6828)*(E6828=E$2:E6828)))))-COUNTBLANK(OFFSET(A$1,,,SUMPRODUCT(MAX(ROW(E$1:E6827)*(E2=E$1:E6827))))))</f>
        <v> </v>
      </c>
      <c r="K6828" s="26" t="str">
        <f>IF(OR(E6828="",E6828="!!!",F6828="NEW"),"",INDEX(J$1:J6827,SUMPRODUCT(MAX(ROW(E$1:E6827)*(E6828=E$1:E6827)))))</f>
        <v> </v>
      </c>
      <c r="L6828" s="27"/>
    </row>
    <row r="6829" spans="1:12">
      <c r="A6829" s="20" t="s">
        <v>2893</v>
      </c>
      <c r="E6829" s="22">
        <f>IF(D6829="?OLD","!!!","")</f>
        <v/>
      </c>
      <c r="F6829" s="23" t="str">
        <f>IF(OR(E6829="",E6829="!!!"),"",IF(NOT(ISNA(VLOOKUP(E6829,E$1:E6828,1,FALSE()))),"OLD",IF(AND(E6829&lt;&gt;"",E6829&lt;&gt;"!!!"),"NEW","")))</f>
        <v> </v>
      </c>
      <c r="G6829" s="24" t="str">
        <f>IF(OR(E6829="",E6829="!!!"),"",IF(OR(J6829=0,AND(J6829=1,K6829=1),AND(J6829=1,I6829="SBJ"),AND(J6829=1,I6829=0)),"?IN_FOCUS",IF(J6829&lt;=2,"?ACTIVATED",IF(J6829&lt;&gt;"","?FAMILIAR",IF(F6829="NEW",IF(ISNA(VLOOKUP(E6829,#REF!,1,FALSE())),"?TYPE_IDENTIFIABLE","?REFERENTIAL"),"_")))))</f>
        <v> </v>
      </c>
      <c r="H6829" s="25" t="str">
        <f>IF(J6829&lt;&gt;1,"",IF(I6829="SBJ","CB","?"))</f>
        <v> </v>
      </c>
      <c r="I6829" s="26" t="str">
        <f>IF(OR(E6829="",E6829="!!!",F6829="NEW"),"",INDEX(B6828:B$2,-1+SUMPRODUCT(MAX(ROW(E6828:E$2)*(E6829=E6828:E$2)))))</f>
        <v> </v>
      </c>
      <c r="J6829" s="26" t="str">
        <f>IF(OR(E6829="",E6829="!!!",F6829="NEW"),"",COUNTBLANK(OFFSET(A$1,,,SUMPRODUCT(MAX(ROW(E$2:E6829)*(E6829=E$2:E6829)))))-COUNTBLANK(OFFSET(A$1,,,SUMPRODUCT(MAX(ROW(E$1:E6828)*(E2=E$1:E6828))))))</f>
        <v> </v>
      </c>
      <c r="K6829" s="26" t="str">
        <f>IF(OR(E6829="",E6829="!!!",F6829="NEW"),"",INDEX(J$1:J6828,SUMPRODUCT(MAX(ROW(E$1:E6828)*(E6829=E$1:E6828)))))</f>
        <v> </v>
      </c>
      <c r="L6829" s="27"/>
    </row>
    <row r="6830" spans="1:12">
      <c r="A6830" s="20" t="s">
        <v>195</v>
      </c>
      <c r="E6830" s="22">
        <f>IF(D6830="?OLD","!!!","")</f>
        <v/>
      </c>
      <c r="F6830" s="23" t="str">
        <f>IF(OR(E6830="",E6830="!!!"),"",IF(NOT(ISNA(VLOOKUP(E6830,E$1:E6829,1,FALSE()))),"OLD",IF(AND(E6830&lt;&gt;"",E6830&lt;&gt;"!!!"),"NEW","")))</f>
        <v> </v>
      </c>
      <c r="G6830" s="24" t="str">
        <f>IF(OR(E6830="",E6830="!!!"),"",IF(OR(J6830=0,AND(J6830=1,K6830=1),AND(J6830=1,I6830="SBJ"),AND(J6830=1,I6830=0)),"?IN_FOCUS",IF(J6830&lt;=2,"?ACTIVATED",IF(J6830&lt;&gt;"","?FAMILIAR",IF(F6830="NEW",IF(ISNA(VLOOKUP(E6830,#REF!,1,FALSE())),"?TYPE_IDENTIFIABLE","?REFERENTIAL"),"_")))))</f>
        <v> </v>
      </c>
      <c r="H6830" s="25" t="str">
        <f>IF(J6830&lt;&gt;1,"",IF(I6830="SBJ","CB","?"))</f>
        <v> </v>
      </c>
      <c r="I6830" s="26" t="str">
        <f>IF(OR(E6830="",E6830="!!!",F6830="NEW"),"",INDEX(B6829:B$2,-1+SUMPRODUCT(MAX(ROW(E6829:E$2)*(E6830=E6829:E$2)))))</f>
        <v> </v>
      </c>
      <c r="J6830" s="26" t="str">
        <f>IF(OR(E6830="",E6830="!!!",F6830="NEW"),"",COUNTBLANK(OFFSET(A$1,,,SUMPRODUCT(MAX(ROW(E$2:E6830)*(E6830=E$2:E6830)))))-COUNTBLANK(OFFSET(A$1,,,SUMPRODUCT(MAX(ROW(E$1:E6829)*(E2=E$1:E6829))))))</f>
        <v> </v>
      </c>
      <c r="K6830" s="26" t="str">
        <f>IF(OR(E6830="",E6830="!!!",F6830="NEW"),"",INDEX(J$1:J6829,SUMPRODUCT(MAX(ROW(E$1:E6829)*(E6830=E$1:E6829)))))</f>
        <v> </v>
      </c>
      <c r="L6830" s="27"/>
    </row>
    <row r="6831" spans="1:12">
      <c r="A6831" s="20"/>
    </row>
    <row r="6832" spans="1:12">
      <c r="A6832" s="20" t="s">
        <v>2894</v>
      </c>
    </row>
    <row r="6833" spans="1:12">
      <c r="A6833" s="20" t="s">
        <v>2096</v>
      </c>
      <c r="B6833" s="21" t="s">
        <v>1063</v>
      </c>
      <c r="C6833" s="21" t="s">
        <v>1267</v>
      </c>
      <c r="E6833" s="22">
        <f>IF(D6833="?OLD","!!!","")</f>
        <v/>
      </c>
      <c r="F6833" s="23" t="str">
        <f>IF(OR(E6833="",E6833="!!!"),"",IF(NOT(ISNA(VLOOKUP(E6833,E$1:E6832,1,FALSE()))),"OLD",IF(AND(E6833&lt;&gt;"",E6833&lt;&gt;"!!!"),"NEW","")))</f>
        <v> </v>
      </c>
      <c r="G6833" s="24" t="str">
        <f>IF(OR(E6833="",E6833="!!!"),"",IF(OR(J6833=0,AND(J6833=1,K6833=1),AND(J6833=1,I6833="SBJ"),AND(J6833=1,I6833=0)),"?IN_FOCUS",IF(J6833&lt;=2,"?ACTIVATED",IF(J6833&lt;&gt;"","?FAMILIAR",IF(F6833="NEW",IF(ISNA(VLOOKUP(E6833,#REF!,1,FALSE())),"?TYPE_IDENTIFIABLE","?REFERENTIAL"),"_")))))</f>
        <v> </v>
      </c>
      <c r="H6833" s="25" t="str">
        <f>IF(J6833&lt;&gt;1,"",IF(I6833="SBJ","CB","?"))</f>
        <v> </v>
      </c>
      <c r="I6833" s="26" t="str">
        <f>IF(OR(E6833="",E6833="!!!",F6833="NEW"),"",INDEX(B6832:B$2,-1+SUMPRODUCT(MAX(ROW(E6832:E$2)*(E6833=E6832:E$2)))))</f>
        <v> </v>
      </c>
      <c r="J6833" s="26" t="str">
        <f>IF(OR(E6833="",E6833="!!!",F6833="NEW"),"",COUNTBLANK(OFFSET(A$1,,,SUMPRODUCT(MAX(ROW(E$2:E6833)*(E6833=E$2:E6833)))))-COUNTBLANK(OFFSET(A$1,,,SUMPRODUCT(MAX(ROW(E$1:E6832)*(E2=E$1:E6832))))))</f>
        <v> </v>
      </c>
      <c r="K6833" s="26" t="str">
        <f>IF(OR(E6833="",E6833="!!!",F6833="NEW"),"",INDEX(J$1:J6832,SUMPRODUCT(MAX(ROW(E$1:E6832)*(E6833=E$1:E6832)))))</f>
        <v> </v>
      </c>
      <c r="L6833" s="27"/>
    </row>
    <row r="6834" spans="1:12">
      <c r="A6834" s="20" t="s">
        <v>2895</v>
      </c>
      <c r="E6834" s="22">
        <f>IF(D6834="?OLD","!!!","")</f>
        <v/>
      </c>
      <c r="F6834" s="23" t="str">
        <f>IF(OR(E6834="",E6834="!!!"),"",IF(NOT(ISNA(VLOOKUP(E6834,E$1:E6833,1,FALSE()))),"OLD",IF(AND(E6834&lt;&gt;"",E6834&lt;&gt;"!!!"),"NEW","")))</f>
        <v> </v>
      </c>
      <c r="G6834" s="24" t="str">
        <f>IF(OR(E6834="",E6834="!!!"),"",IF(OR(J6834=0,AND(J6834=1,K6834=1),AND(J6834=1,I6834="SBJ"),AND(J6834=1,I6834=0)),"?IN_FOCUS",IF(J6834&lt;=2,"?ACTIVATED",IF(J6834&lt;&gt;"","?FAMILIAR",IF(F6834="NEW",IF(ISNA(VLOOKUP(E6834,#REF!,1,FALSE())),"?TYPE_IDENTIFIABLE","?REFERENTIAL"),"_")))))</f>
        <v> </v>
      </c>
      <c r="H6834" s="25" t="str">
        <f>IF(J6834&lt;&gt;1,"",IF(I6834="SBJ","CB","?"))</f>
        <v> </v>
      </c>
      <c r="I6834" s="26" t="str">
        <f>IF(OR(E6834="",E6834="!!!",F6834="NEW"),"",INDEX(B6833:B$2,-1+SUMPRODUCT(MAX(ROW(E6833:E$2)*(E6834=E6833:E$2)))))</f>
        <v> </v>
      </c>
      <c r="J6834" s="26" t="str">
        <f>IF(OR(E6834="",E6834="!!!",F6834="NEW"),"",COUNTBLANK(OFFSET(A$1,,,SUMPRODUCT(MAX(ROW(E$2:E6834)*(E6834=E$2:E6834)))))-COUNTBLANK(OFFSET(A$1,,,SUMPRODUCT(MAX(ROW(E$1:E6833)*(E2=E$1:E6833))))))</f>
        <v> </v>
      </c>
      <c r="K6834" s="26" t="str">
        <f>IF(OR(E6834="",E6834="!!!",F6834="NEW"),"",INDEX(J$1:J6833,SUMPRODUCT(MAX(ROW(E$1:E6833)*(E6834=E$1:E6833)))))</f>
        <v> </v>
      </c>
      <c r="L6834" s="27"/>
    </row>
    <row r="6835" spans="1:12">
      <c r="A6835" s="20" t="s">
        <v>195</v>
      </c>
      <c r="E6835" s="22">
        <f>IF(D6835="?OLD","!!!","")</f>
        <v/>
      </c>
      <c r="F6835" s="23" t="str">
        <f>IF(OR(E6835="",E6835="!!!"),"",IF(NOT(ISNA(VLOOKUP(E6835,E$1:E6834,1,FALSE()))),"OLD",IF(AND(E6835&lt;&gt;"",E6835&lt;&gt;"!!!"),"NEW","")))</f>
        <v> </v>
      </c>
      <c r="G6835" s="24" t="str">
        <f>IF(OR(E6835="",E6835="!!!"),"",IF(OR(J6835=0,AND(J6835=1,K6835=1),AND(J6835=1,I6835="SBJ"),AND(J6835=1,I6835=0)),"?IN_FOCUS",IF(J6835&lt;=2,"?ACTIVATED",IF(J6835&lt;&gt;"","?FAMILIAR",IF(F6835="NEW",IF(ISNA(VLOOKUP(E6835,#REF!,1,FALSE())),"?TYPE_IDENTIFIABLE","?REFERENTIAL"),"_")))))</f>
        <v> </v>
      </c>
      <c r="H6835" s="25" t="str">
        <f>IF(J6835&lt;&gt;1,"",IF(I6835="SBJ","CB","?"))</f>
        <v> </v>
      </c>
      <c r="I6835" s="26" t="str">
        <f>IF(OR(E6835="",E6835="!!!",F6835="NEW"),"",INDEX(B6834:B$2,-1+SUMPRODUCT(MAX(ROW(E6834:E$2)*(E6835=E6834:E$2)))))</f>
        <v> </v>
      </c>
      <c r="J6835" s="26" t="str">
        <f>IF(OR(E6835="",E6835="!!!",F6835="NEW"),"",COUNTBLANK(OFFSET(A$1,,,SUMPRODUCT(MAX(ROW(E$2:E6835)*(E6835=E$2:E6835)))))-COUNTBLANK(OFFSET(A$1,,,SUMPRODUCT(MAX(ROW(E$1:E6834)*(E2=E$1:E6834))))))</f>
        <v> </v>
      </c>
      <c r="K6835" s="26" t="str">
        <f>IF(OR(E6835="",E6835="!!!",F6835="NEW"),"",INDEX(J$1:J6834,SUMPRODUCT(MAX(ROW(E$1:E6834)*(E6835=E$1:E6834)))))</f>
        <v> </v>
      </c>
      <c r="L6835" s="27"/>
    </row>
    <row r="6836" spans="1:12">
      <c r="A6836" s="20"/>
    </row>
    <row r="6837" spans="1:12">
      <c r="A6837" s="20" t="s">
        <v>1274</v>
      </c>
    </row>
    <row r="6838" spans="1:12">
      <c r="A6838" s="20" t="s">
        <v>1161</v>
      </c>
      <c r="B6838" s="21" t="s">
        <v>1063</v>
      </c>
      <c r="C6838" s="21" t="s">
        <v>1064</v>
      </c>
      <c r="D6838" s="21" t="s">
        <v>1065</v>
      </c>
      <c r="E6838" s="22">
        <f>IF(D6838="?OLD","!!!","")</f>
        <v/>
      </c>
      <c r="F6838" s="23" t="str">
        <f>IF(OR(E6838="",E6838="!!!"),"",IF(NOT(ISNA(VLOOKUP(E6838,E$1:E6837,1,FALSE()))),"OLD",IF(AND(E6838&lt;&gt;"",E6838&lt;&gt;"!!!"),"NEW","")))</f>
        <v> </v>
      </c>
      <c r="G6838" s="24" t="str">
        <f>IF(OR(E6838="",E6838="!!!"),"",IF(OR(J6838=0,AND(J6838=1,K6838=1),AND(J6838=1,I6838="SBJ"),AND(J6838=1,I6838=0)),"?IN_FOCUS",IF(J6838&lt;=2,"?ACTIVATED",IF(J6838&lt;&gt;"","?FAMILIAR",IF(F6838="NEW",IF(ISNA(VLOOKUP(E6838,#REF!,1,FALSE())),"?TYPE_IDENTIFIABLE","?REFERENTIAL"),"_")))))</f>
        <v> </v>
      </c>
      <c r="H6838" s="25" t="str">
        <f>IF(J6838&lt;&gt;1,"",IF(I6838="SBJ","CB","?"))</f>
        <v> </v>
      </c>
      <c r="I6838" s="26" t="str">
        <f>IF(OR(E6838="",E6838="!!!",F6838="NEW"),"",INDEX(B6837:B$2,-1+SUMPRODUCT(MAX(ROW(E6837:E$2)*(E6838=E6837:E$2)))))</f>
        <v> </v>
      </c>
      <c r="J6838" s="26" t="str">
        <f>IF(OR(E6838="",E6838="!!!",F6838="NEW"),"",COUNTBLANK(OFFSET(A$1,,,SUMPRODUCT(MAX(ROW(E$2:E6838)*(E6838=E$2:E6838)))))-COUNTBLANK(OFFSET(A$1,,,SUMPRODUCT(MAX(ROW(E$1:E6837)*(E2=E$1:E6837))))))</f>
        <v> </v>
      </c>
      <c r="K6838" s="26" t="str">
        <f>IF(OR(E6838="",E6838="!!!",F6838="NEW"),"",INDEX(J$1:J6837,SUMPRODUCT(MAX(ROW(E$1:E6837)*(E6838=E$1:E6837)))))</f>
        <v> </v>
      </c>
      <c r="L6838" s="27"/>
    </row>
    <row r="6839" spans="1:12">
      <c r="A6839" s="20" t="s">
        <v>1067</v>
      </c>
      <c r="E6839" s="22">
        <f>IF(D6839="?OLD","!!!","")</f>
        <v/>
      </c>
      <c r="F6839" s="23" t="str">
        <f>IF(OR(E6839="",E6839="!!!"),"",IF(NOT(ISNA(VLOOKUP(E6839,E$1:E6838,1,FALSE()))),"OLD",IF(AND(E6839&lt;&gt;"",E6839&lt;&gt;"!!!"),"NEW","")))</f>
        <v> </v>
      </c>
      <c r="G6839" s="24" t="str">
        <f>IF(OR(E6839="",E6839="!!!"),"",IF(OR(J6839=0,AND(J6839=1,K6839=1),AND(J6839=1,I6839="SBJ"),AND(J6839=1,I6839=0)),"?IN_FOCUS",IF(J6839&lt;=2,"?ACTIVATED",IF(J6839&lt;&gt;"","?FAMILIAR",IF(F6839="NEW",IF(ISNA(VLOOKUP(E6839,#REF!,1,FALSE())),"?TYPE_IDENTIFIABLE","?REFERENTIAL"),"_")))))</f>
        <v> </v>
      </c>
      <c r="H6839" s="25" t="str">
        <f>IF(J6839&lt;&gt;1,"",IF(I6839="SBJ","CB","?"))</f>
        <v> </v>
      </c>
      <c r="I6839" s="26" t="str">
        <f>IF(OR(E6839="",E6839="!!!",F6839="NEW"),"",INDEX(B6838:B$2,-1+SUMPRODUCT(MAX(ROW(E6838:E$2)*(E6839=E6838:E$2)))))</f>
        <v> </v>
      </c>
      <c r="J6839" s="26" t="str">
        <f>IF(OR(E6839="",E6839="!!!",F6839="NEW"),"",COUNTBLANK(OFFSET(A$1,,,SUMPRODUCT(MAX(ROW(E$2:E6839)*(E6839=E$2:E6839)))))-COUNTBLANK(OFFSET(A$1,,,SUMPRODUCT(MAX(ROW(E$1:E6838)*(E2=E$1:E6838))))))</f>
        <v> </v>
      </c>
      <c r="K6839" s="26" t="str">
        <f>IF(OR(E6839="",E6839="!!!",F6839="NEW"),"",INDEX(J$1:J6838,SUMPRODUCT(MAX(ROW(E$1:E6838)*(E6839=E$1:E6838)))))</f>
        <v> </v>
      </c>
      <c r="L6839" s="27"/>
    </row>
    <row r="6840" spans="1:12">
      <c r="A6840" s="20"/>
    </row>
    <row r="6841" spans="1:12">
      <c r="A6841" s="20" t="s">
        <v>2896</v>
      </c>
    </row>
    <row r="6842" spans="1:12">
      <c r="A6842" s="20" t="s">
        <v>1099</v>
      </c>
      <c r="E6842" s="22">
        <f>IF(D6842="?OLD","!!!","")</f>
        <v/>
      </c>
      <c r="F6842" s="23" t="str">
        <f>IF(OR(E6842="",E6842="!!!"),"",IF(NOT(ISNA(VLOOKUP(E6842,E$1:E6841,1,FALSE()))),"OLD",IF(AND(E6842&lt;&gt;"",E6842&lt;&gt;"!!!"),"NEW","")))</f>
        <v> </v>
      </c>
      <c r="G6842" s="24" t="str">
        <f>IF(OR(E6842="",E6842="!!!"),"",IF(OR(J6842=0,AND(J6842=1,K6842=1),AND(J6842=1,I6842="SBJ"),AND(J6842=1,I6842=0)),"?IN_FOCUS",IF(J6842&lt;=2,"?ACTIVATED",IF(J6842&lt;&gt;"","?FAMILIAR",IF(F6842="NEW",IF(ISNA(VLOOKUP(E6842,#REF!,1,FALSE())),"?TYPE_IDENTIFIABLE","?REFERENTIAL"),"_")))))</f>
        <v> </v>
      </c>
      <c r="H6842" s="25" t="str">
        <f>IF(J6842&lt;&gt;1,"",IF(I6842="SBJ","CB","?"))</f>
        <v> </v>
      </c>
      <c r="I6842" s="26" t="str">
        <f>IF(OR(E6842="",E6842="!!!",F6842="NEW"),"",INDEX(B6841:B$2,-1+SUMPRODUCT(MAX(ROW(E6841:E$2)*(E6842=E6841:E$2)))))</f>
        <v> </v>
      </c>
      <c r="J6842" s="26" t="str">
        <f>IF(OR(E6842="",E6842="!!!",F6842="NEW"),"",COUNTBLANK(OFFSET(A$1,,,SUMPRODUCT(MAX(ROW(E$2:E6842)*(E6842=E$2:E6842)))))-COUNTBLANK(OFFSET(A$1,,,SUMPRODUCT(MAX(ROW(E$1:E6841)*(E2=E$1:E6841))))))</f>
        <v> </v>
      </c>
      <c r="K6842" s="26" t="str">
        <f>IF(OR(E6842="",E6842="!!!",F6842="NEW"),"",INDEX(J$1:J6841,SUMPRODUCT(MAX(ROW(E$1:E6841)*(E6842=E$1:E6841)))))</f>
        <v> </v>
      </c>
      <c r="L6842" s="27"/>
    </row>
    <row r="6843" spans="1:12">
      <c r="A6843" s="20" t="s">
        <v>1076</v>
      </c>
      <c r="E6843" s="22">
        <f>IF(D6843="?OLD","!!!","")</f>
        <v/>
      </c>
      <c r="F6843" s="23" t="str">
        <f>IF(OR(E6843="",E6843="!!!"),"",IF(NOT(ISNA(VLOOKUP(E6843,E$1:E6842,1,FALSE()))),"OLD",IF(AND(E6843&lt;&gt;"",E6843&lt;&gt;"!!!"),"NEW","")))</f>
        <v> </v>
      </c>
      <c r="G6843" s="24" t="str">
        <f>IF(OR(E6843="",E6843="!!!"),"",IF(OR(J6843=0,AND(J6843=1,K6843=1),AND(J6843=1,I6843="SBJ"),AND(J6843=1,I6843=0)),"?IN_FOCUS",IF(J6843&lt;=2,"?ACTIVATED",IF(J6843&lt;&gt;"","?FAMILIAR",IF(F6843="NEW",IF(ISNA(VLOOKUP(E6843,#REF!,1,FALSE())),"?TYPE_IDENTIFIABLE","?REFERENTIAL"),"_")))))</f>
        <v> </v>
      </c>
      <c r="H6843" s="25" t="str">
        <f>IF(J6843&lt;&gt;1,"",IF(I6843="SBJ","CB","?"))</f>
        <v> </v>
      </c>
      <c r="I6843" s="26" t="str">
        <f>IF(OR(E6843="",E6843="!!!",F6843="NEW"),"",INDEX(B6842:B$2,-1+SUMPRODUCT(MAX(ROW(E6842:E$2)*(E6843=E6842:E$2)))))</f>
        <v> </v>
      </c>
      <c r="J6843" s="26" t="str">
        <f>IF(OR(E6843="",E6843="!!!",F6843="NEW"),"",COUNTBLANK(OFFSET(A$1,,,SUMPRODUCT(MAX(ROW(E$2:E6843)*(E6843=E$2:E6843)))))-COUNTBLANK(OFFSET(A$1,,,SUMPRODUCT(MAX(ROW(E$1:E6842)*(E2=E$1:E6842))))))</f>
        <v> </v>
      </c>
      <c r="K6843" s="26" t="str">
        <f>IF(OR(E6843="",E6843="!!!",F6843="NEW"),"",INDEX(J$1:J6842,SUMPRODUCT(MAX(ROW(E$1:E6842)*(E6843=E$1:E6842)))))</f>
        <v> </v>
      </c>
      <c r="L6843" s="27"/>
    </row>
    <row r="6844" spans="1:12">
      <c r="A6844" s="20" t="s">
        <v>483</v>
      </c>
      <c r="B6844" s="21" t="s">
        <v>1063</v>
      </c>
      <c r="C6844" s="21" t="s">
        <v>1144</v>
      </c>
      <c r="E6844" s="22">
        <f>IF(D6844="?OLD","!!!","")</f>
        <v/>
      </c>
      <c r="F6844" s="23" t="str">
        <f>IF(OR(E6844="",E6844="!!!"),"",IF(NOT(ISNA(VLOOKUP(E6844,E$1:E6843,1,FALSE()))),"OLD",IF(AND(E6844&lt;&gt;"",E6844&lt;&gt;"!!!"),"NEW","")))</f>
        <v> </v>
      </c>
      <c r="G6844" s="24" t="str">
        <f>IF(OR(E6844="",E6844="!!!"),"",IF(OR(J6844=0,AND(J6844=1,K6844=1),AND(J6844=1,I6844="SBJ"),AND(J6844=1,I6844=0)),"?IN_FOCUS",IF(J6844&lt;=2,"?ACTIVATED",IF(J6844&lt;&gt;"","?FAMILIAR",IF(F6844="NEW",IF(ISNA(VLOOKUP(E6844,#REF!,1,FALSE())),"?TYPE_IDENTIFIABLE","?REFERENTIAL"),"_")))))</f>
        <v> </v>
      </c>
      <c r="H6844" s="25" t="str">
        <f>IF(J6844&lt;&gt;1,"",IF(I6844="SBJ","CB","?"))</f>
        <v> </v>
      </c>
      <c r="I6844" s="26" t="str">
        <f>IF(OR(E6844="",E6844="!!!",F6844="NEW"),"",INDEX(B6843:B$2,-1+SUMPRODUCT(MAX(ROW(E6843:E$2)*(E6844=E6843:E$2)))))</f>
        <v> </v>
      </c>
      <c r="J6844" s="26" t="str">
        <f>IF(OR(E6844="",E6844="!!!",F6844="NEW"),"",COUNTBLANK(OFFSET(A$1,,,SUMPRODUCT(MAX(ROW(E$2:E6844)*(E6844=E$2:E6844)))))-COUNTBLANK(OFFSET(A$1,,,SUMPRODUCT(MAX(ROW(E$1:E6843)*(E2=E$1:E6843))))))</f>
        <v> </v>
      </c>
      <c r="K6844" s="26" t="str">
        <f>IF(OR(E6844="",E6844="!!!",F6844="NEW"),"",INDEX(J$1:J6843,SUMPRODUCT(MAX(ROW(E$1:E6843)*(E6844=E$1:E6843)))))</f>
        <v> </v>
      </c>
      <c r="L6844" s="27"/>
    </row>
    <row r="6845" spans="1:12">
      <c r="A6845" s="20" t="s">
        <v>1088</v>
      </c>
      <c r="E6845" s="22">
        <f>IF(D6845="?OLD","!!!","")</f>
        <v/>
      </c>
      <c r="F6845" s="23" t="str">
        <f>IF(OR(E6845="",E6845="!!!"),"",IF(NOT(ISNA(VLOOKUP(E6845,E$1:E6844,1,FALSE()))),"OLD",IF(AND(E6845&lt;&gt;"",E6845&lt;&gt;"!!!"),"NEW","")))</f>
        <v> </v>
      </c>
      <c r="G6845" s="24" t="str">
        <f>IF(OR(E6845="",E6845="!!!"),"",IF(OR(J6845=0,AND(J6845=1,K6845=1),AND(J6845=1,I6845="SBJ"),AND(J6845=1,I6845=0)),"?IN_FOCUS",IF(J6845&lt;=2,"?ACTIVATED",IF(J6845&lt;&gt;"","?FAMILIAR",IF(F6845="NEW",IF(ISNA(VLOOKUP(E6845,#REF!,1,FALSE())),"?TYPE_IDENTIFIABLE","?REFERENTIAL"),"_")))))</f>
        <v> </v>
      </c>
      <c r="H6845" s="25" t="str">
        <f>IF(J6845&lt;&gt;1,"",IF(I6845="SBJ","CB","?"))</f>
        <v> </v>
      </c>
      <c r="I6845" s="26" t="str">
        <f>IF(OR(E6845="",E6845="!!!",F6845="NEW"),"",INDEX(B6844:B$2,-1+SUMPRODUCT(MAX(ROW(E6844:E$2)*(E6845=E6844:E$2)))))</f>
        <v> </v>
      </c>
      <c r="J6845" s="26" t="str">
        <f>IF(OR(E6845="",E6845="!!!",F6845="NEW"),"",COUNTBLANK(OFFSET(A$1,,,SUMPRODUCT(MAX(ROW(E$2:E6845)*(E6845=E$2:E6845)))))-COUNTBLANK(OFFSET(A$1,,,SUMPRODUCT(MAX(ROW(E$1:E6844)*(E2=E$1:E6844))))))</f>
        <v> </v>
      </c>
      <c r="K6845" s="26" t="str">
        <f>IF(OR(E6845="",E6845="!!!",F6845="NEW"),"",INDEX(J$1:J6844,SUMPRODUCT(MAX(ROW(E$1:E6844)*(E6845=E$1:E6844)))))</f>
        <v> </v>
      </c>
      <c r="L6845" s="27"/>
    </row>
    <row r="6846" spans="1:12">
      <c r="A6846" s="20" t="s">
        <v>1048</v>
      </c>
      <c r="B6846" s="21" t="s">
        <v>1063</v>
      </c>
      <c r="C6846" s="21" t="s">
        <v>1151</v>
      </c>
      <c r="D6846" s="21" t="s">
        <v>1065</v>
      </c>
      <c r="E6846" s="22">
        <f>IF(D6846="?OLD","!!!","")</f>
        <v/>
      </c>
      <c r="F6846" s="23" t="str">
        <f>IF(OR(E6846="",E6846="!!!"),"",IF(NOT(ISNA(VLOOKUP(E6846,E$1:E6845,1,FALSE()))),"OLD",IF(AND(E6846&lt;&gt;"",E6846&lt;&gt;"!!!"),"NEW","")))</f>
        <v> </v>
      </c>
      <c r="G6846" s="24" t="str">
        <f>IF(OR(E6846="",E6846="!!!"),"",IF(OR(J6846=0,AND(J6846=1,K6846=1),AND(J6846=1,I6846="SBJ"),AND(J6846=1,I6846=0)),"?IN_FOCUS",IF(J6846&lt;=2,"?ACTIVATED",IF(J6846&lt;&gt;"","?FAMILIAR",IF(F6846="NEW",IF(ISNA(VLOOKUP(E6846,#REF!,1,FALSE())),"?TYPE_IDENTIFIABLE","?REFERENTIAL"),"_")))))</f>
        <v> </v>
      </c>
      <c r="H6846" s="25" t="str">
        <f>IF(J6846&lt;&gt;1,"",IF(I6846="SBJ","CB","?"))</f>
        <v> </v>
      </c>
      <c r="I6846" s="26" t="str">
        <f>IF(OR(E6846="",E6846="!!!",F6846="NEW"),"",INDEX(B6845:B$2,-1+SUMPRODUCT(MAX(ROW(E6845:E$2)*(E6846=E6845:E$2)))))</f>
        <v> </v>
      </c>
      <c r="J6846" s="26" t="str">
        <f>IF(OR(E6846="",E6846="!!!",F6846="NEW"),"",COUNTBLANK(OFFSET(A$1,,,SUMPRODUCT(MAX(ROW(E$2:E6846)*(E6846=E$2:E6846)))))-COUNTBLANK(OFFSET(A$1,,,SUMPRODUCT(MAX(ROW(E$1:E6845)*(E2=E$1:E6845))))))</f>
        <v> </v>
      </c>
      <c r="K6846" s="26" t="str">
        <f>IF(OR(E6846="",E6846="!!!",F6846="NEW"),"",INDEX(J$1:J6845,SUMPRODUCT(MAX(ROW(E$1:E6845)*(E6846=E$1:E6845)))))</f>
        <v> </v>
      </c>
      <c r="L6846" s="27"/>
    </row>
    <row r="6847" spans="1:12">
      <c r="A6847" s="20" t="s">
        <v>195</v>
      </c>
      <c r="E6847" s="22">
        <f>IF(D6847="?OLD","!!!","")</f>
        <v/>
      </c>
      <c r="F6847" s="23" t="str">
        <f>IF(OR(E6847="",E6847="!!!"),"",IF(NOT(ISNA(VLOOKUP(E6847,E$1:E6846,1,FALSE()))),"OLD",IF(AND(E6847&lt;&gt;"",E6847&lt;&gt;"!!!"),"NEW","")))</f>
        <v> </v>
      </c>
      <c r="G6847" s="24" t="str">
        <f>IF(OR(E6847="",E6847="!!!"),"",IF(OR(J6847=0,AND(J6847=1,K6847=1),AND(J6847=1,I6847="SBJ"),AND(J6847=1,I6847=0)),"?IN_FOCUS",IF(J6847&lt;=2,"?ACTIVATED",IF(J6847&lt;&gt;"","?FAMILIAR",IF(F6847="NEW",IF(ISNA(VLOOKUP(E6847,#REF!,1,FALSE())),"?TYPE_IDENTIFIABLE","?REFERENTIAL"),"_")))))</f>
        <v> </v>
      </c>
      <c r="H6847" s="25" t="str">
        <f>IF(J6847&lt;&gt;1,"",IF(I6847="SBJ","CB","?"))</f>
        <v> </v>
      </c>
      <c r="I6847" s="26" t="str">
        <f>IF(OR(E6847="",E6847="!!!",F6847="NEW"),"",INDEX(B6846:B$2,-1+SUMPRODUCT(MAX(ROW(E6846:E$2)*(E6847=E6846:E$2)))))</f>
        <v> </v>
      </c>
      <c r="J6847" s="26" t="str">
        <f>IF(OR(E6847="",E6847="!!!",F6847="NEW"),"",COUNTBLANK(OFFSET(A$1,,,SUMPRODUCT(MAX(ROW(E$2:E6847)*(E6847=E$2:E6847)))))-COUNTBLANK(OFFSET(A$1,,,SUMPRODUCT(MAX(ROW(E$1:E6846)*(E2=E$1:E6846))))))</f>
        <v> </v>
      </c>
      <c r="K6847" s="26" t="str">
        <f>IF(OR(E6847="",E6847="!!!",F6847="NEW"),"",INDEX(J$1:J6846,SUMPRODUCT(MAX(ROW(E$1:E6846)*(E6847=E$1:E6846)))))</f>
        <v> </v>
      </c>
      <c r="L6847" s="27"/>
    </row>
    <row r="6848" spans="1:12">
      <c r="A684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2025-07-11T07:04:10Z</dcterms:created>
  <dcterms:modified xsi:type="dcterms:W3CDTF">2025-07-11T07:04:10Z</dcterms:modified>
</cp:coreProperties>
</file>