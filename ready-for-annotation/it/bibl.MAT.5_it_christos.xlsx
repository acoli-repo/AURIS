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<sst xmlns="http://schemas.openxmlformats.org/spreadsheetml/2006/main" count="2622" uniqueCount="765">
  <si>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</si>
  <si>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</si>
  <si>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</si>
  <si>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</si>
  <si>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</si>
  <si>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</si>
  <si>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</si>
  <si>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</si>
  <si>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</si>
  <si>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</si>
  <si>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</si>
  <si>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6</t>
  </si>
  <si>
    <t>e?</t>
  </si>
  <si>
    <t>salire</t>
  </si>
  <si>
    <t>Vedendo le folle , Gesù salì sulla su la montagna e , messosi a sedere , gli si avvicinarono i suoi discepoli</t>
  </si>
  <si>
    <t>file://conllu/it/bibl.MAT.5_it_christos.conllu#s1_0</t>
  </si>
  <si>
    <t>_</t>
  </si>
  <si>
    <t>2</t>
  </si>
  <si>
    <t>7</t>
  </si>
  <si>
    <t>allora?</t>
  </si>
  <si>
    <t>ammaestrare</t>
  </si>
  <si>
    <t>Prendendo allora la parola , li ammaestrava dicendo</t>
  </si>
  <si>
    <t>file://conllu/it/bibl.MAT.5_it_christos.conllu#s2_0</t>
  </si>
  <si>
    <t>3</t>
  </si>
  <si>
    <t>perché?</t>
  </si>
  <si>
    <t>Beare</t>
  </si>
  <si>
    <t>« Beati i poveri in spirito , perché di essi è il regno dei di i cieli</t>
  </si>
  <si>
    <t>file://conllu/it/bibl.MAT.5_it_christos.conllu#s3_0</t>
  </si>
  <si>
    <t>4</t>
  </si>
  <si>
    <t>Beati gli afflitti , perché saranno consolati</t>
  </si>
  <si>
    <t>file://conllu/it/bibl.MAT.5_it_christos.conllu#s4_0</t>
  </si>
  <si>
    <t>5</t>
  </si>
  <si>
    <t>Beati i miti , perché erediteranno la terra</t>
  </si>
  <si>
    <t>file://conllu/it/bibl.MAT.5_it_christos.conllu#s5_0</t>
  </si>
  <si>
    <t>Beati</t>
  </si>
  <si>
    <t>Beati quelli che hanno fame e sete della di la giustizia , perché saranno saziati</t>
  </si>
  <si>
    <t>file://conllu/it/bibl.MAT.5_it_christos.conllu#s6_0</t>
  </si>
  <si>
    <t>Beati i misericordiosi , perché troveranno misericordia</t>
  </si>
  <si>
    <t>file://conllu/it/bibl.MAT.5_it_christos.conllu#s7_0</t>
  </si>
  <si>
    <t>8</t>
  </si>
  <si>
    <t>Beati i puri di cuore , perché vedranno Dio</t>
  </si>
  <si>
    <t>file://conllu/it/bibl.MAT.5_it_christos.conllu#s8_0</t>
  </si>
  <si>
    <t>9</t>
  </si>
  <si>
    <t>Beati gli operatori di pace , perché saranno chiamati figli di Dio</t>
  </si>
  <si>
    <t>file://conllu/it/bibl.MAT.5_it_christos.conllu#s9_0</t>
  </si>
  <si>
    <t>10</t>
  </si>
  <si>
    <t>Beati i perseguitati per causa della di la giustizia , perché di essi è il regno dei di i cieli</t>
  </si>
  <si>
    <t>file://conllu/it/bibl.MAT.5_it_christos.conllu#s10_0</t>
  </si>
  <si>
    <t>11</t>
  </si>
  <si>
    <t>quando?</t>
  </si>
  <si>
    <t>perseguitare</t>
  </si>
  <si>
    <t>Beati voi quando vi insulteranno , vi perseguiteranno e , mentendo , diranno ogni sorta di male contro di voi per causa mia</t>
  </si>
  <si>
    <t>file://conllu/it/bibl.MAT.5_it_christos.conllu#s11_0</t>
  </si>
  <si>
    <t>12</t>
  </si>
  <si>
    <t>Rallegrare</t>
  </si>
  <si>
    <t>Rallegratevi ed esultate , perché grande è la vostra ricompensa nei in i cieli .</t>
  </si>
  <si>
    <t>file://conllu/it/bibl.MAT.5_it_christos.conllu#s12_0</t>
  </si>
  <si>
    <t>13</t>
  </si>
  <si>
    <t>infatti?</t>
  </si>
  <si>
    <t>Così infatti hanno perseguitato i profeti prima di voi</t>
  </si>
  <si>
    <t>file://conllu/it/bibl.MAT.5_it_christos.conllu#s13_0</t>
  </si>
  <si>
    <t>14</t>
  </si>
  <si>
    <t>essere (essere sale)</t>
  </si>
  <si>
    <t>Voi siete il sale della di la terra ;</t>
  </si>
  <si>
    <t>file://conllu/it/bibl.MAT.5_it_christos.conllu#s14_0</t>
  </si>
  <si>
    <t>15</t>
  </si>
  <si>
    <t>se?</t>
  </si>
  <si>
    <t>rendere</t>
  </si>
  <si>
    <t>ma se il sale perdesse il sapore , con che cosa lo si potrà render salato ?</t>
  </si>
  <si>
    <t>file://conllu/it/bibl.MAT.5_it_christos.conllu#s15_0</t>
  </si>
  <si>
    <t>16</t>
  </si>
  <si>
    <t>servire</t>
  </si>
  <si>
    <t>A null' nu l' altro serve che ad essere gettato via e calpestato dagli da gli uomini</t>
  </si>
  <si>
    <t>file://conllu/it/bibl.MAT.5_it_christos.conllu#s16_0</t>
  </si>
  <si>
    <t>17</t>
  </si>
  <si>
    <t>essere (essere luce)</t>
  </si>
  <si>
    <t>Voi siete la luce del di il mondo ; non può restare nascosta una città collocata sopra un monte</t>
  </si>
  <si>
    <t>file://conllu/it/bibl.MAT.5_it_christos.conllu#s17_0</t>
  </si>
  <si>
    <t>18</t>
  </si>
  <si>
    <t>né?</t>
  </si>
  <si>
    <t>accendere</t>
  </si>
  <si>
    <t>né si accende una lucerna per metterla metter la sotto il moggio , ma sopra il lucerniere perché faccia luce a tutti quelli che sono nella in la casa</t>
  </si>
  <si>
    <t>file://conllu/it/bibl.MAT.5_it_christos.conllu#s18_0</t>
  </si>
  <si>
    <t>19</t>
  </si>
  <si>
    <t>risplendere</t>
  </si>
  <si>
    <t>Così risplenda la vostra luce davanti agli a gli uomini , perché vedano le vostre opere buone e rendano gloria al a il vostro Padre che è nei in i cieli</t>
  </si>
  <si>
    <t>file://conllu/it/bibl.MAT.5_it_christos.conllu#s19_0</t>
  </si>
  <si>
    <t>20</t>
  </si>
  <si>
    <t>per?</t>
  </si>
  <si>
    <t>venire</t>
  </si>
  <si>
    <t>Non pensate che io sia venuto ad abolire la Legge o i Profeti ; non son venuto per abolire , ma per dare compimento</t>
  </si>
  <si>
    <t>file://conllu/it/bibl.MAT.5_it_christos.conllu#s20_0</t>
  </si>
  <si>
    <t>21</t>
  </si>
  <si>
    <t>in verità?</t>
  </si>
  <si>
    <t>passare</t>
  </si>
  <si>
    <t>In verità vi dico : finché non siano passati il cielo e la terra , non passerà neppure un iota o un segno dalla da la legge , senza che tutto sia compiuto</t>
  </si>
  <si>
    <t>file://conllu/it/bibl.MAT.5_it_christos.conllu#s21_0</t>
  </si>
  <si>
    <t>22</t>
  </si>
  <si>
    <t>23</t>
  </si>
  <si>
    <t>dunque?</t>
  </si>
  <si>
    <t>considerare</t>
  </si>
  <si>
    <t>Chi dunque trasgredirà uno solo di questi precetti , anche minimi , e insegnerà agli a gli uomini a fare altrettanto , sarà considerato minimo nel in il regno dei di i cieli .</t>
  </si>
  <si>
    <t>file://conllu/it/bibl.MAT.5_it_christos.conllu#s22_0</t>
  </si>
  <si>
    <t>invece?</t>
  </si>
  <si>
    <t>considerare (considerare osservare)</t>
  </si>
  <si>
    <t>Chi invece li osserverà e li insegnerà agli a gli uomini , sarà considerato grande nel in il regno dei di i cieli</t>
  </si>
  <si>
    <t>file://conllu/it/bibl.MAT.5_it_christos.conllu#s23_0</t>
  </si>
  <si>
    <t>24</t>
  </si>
  <si>
    <t>poiché?</t>
  </si>
  <si>
    <t>dire</t>
  </si>
  <si>
    <t>Poiché io vi dico :</t>
  </si>
  <si>
    <t>file://conllu/it/bibl.MAT.5_it_christos.conllu#s24_0</t>
  </si>
  <si>
    <t>25</t>
  </si>
  <si>
    <t>entreere</t>
  </si>
  <si>
    <t>se la vostra giustizia non supererà quella degli di gli scribi e dei di i farisei , non entrerete nel in il regno dei di i cieli</t>
  </si>
  <si>
    <t>file://conllu/it/bibl.MAT.5_it_christos.conllu#s25_0</t>
  </si>
  <si>
    <t>26</t>
  </si>
  <si>
    <t>intendere</t>
  </si>
  <si>
    <t>Avete inteso che fu detto agli a gli antichi :</t>
  </si>
  <si>
    <t>file://conllu/it/bibl.MAT.5_it_christos.conllu#s26_0</t>
  </si>
  <si>
    <t>27</t>
  </si>
  <si>
    <t>uccidere</t>
  </si>
  <si>
    <t>Non uccidere ; chi avrà ucciso sarà sottoposto a giudizio</t>
  </si>
  <si>
    <t>file://conllu/it/bibl.MAT.5_it_christos.conllu#s27_0</t>
  </si>
  <si>
    <t>28</t>
  </si>
  <si>
    <t>ma?</t>
  </si>
  <si>
    <t>Ma io vi dico :</t>
  </si>
  <si>
    <t>file://conllu/it/bibl.MAT.5_it_christos.conllu#s28_0</t>
  </si>
  <si>
    <t>29</t>
  </si>
  <si>
    <t>adirare</t>
  </si>
  <si>
    <t>chiunque si adira con il proprio fratello , sarà sottoposto a giudizio .</t>
  </si>
  <si>
    <t>file://conllu/it/bibl.MAT.5_it_christos.conllu#s29_0</t>
  </si>
  <si>
    <t>30</t>
  </si>
  <si>
    <t>poi?</t>
  </si>
  <si>
    <t>Chi poi dice al a il fratello :</t>
  </si>
  <si>
    <t>file://conllu/it/bibl.MAT.5_it_christos.conllu#s30_0</t>
  </si>
  <si>
    <t>31</t>
  </si>
  <si>
    <t>sottoporre</t>
  </si>
  <si>
    <t>stupido , sarà sottoposto al a il sinedrio ; e chi gli dice : pazzo , sarà sottoposto al a il fuoco della di la Geenna</t>
  </si>
  <si>
    <t>file://conllu/it/bibl.MAT.5_it_christos.conllu#s31_0</t>
  </si>
  <si>
    <t>32</t>
  </si>
  <si>
    <t>ricordare</t>
  </si>
  <si>
    <t>Se dunque presenti la tua offerta sull' su l' altare e lì ti ricordi che tuo fratello ha qualche cosa contro di te</t>
  </si>
  <si>
    <t>file://conllu/it/bibl.MAT.5_it_christos.conllu#s32_0</t>
  </si>
  <si>
    <t>33</t>
  </si>
  <si>
    <t>prima?</t>
  </si>
  <si>
    <t>lasciare</t>
  </si>
  <si>
    <t>lascia lì il tuo dono davanti all' a l' altare e và prima a riconciliarti riconciliar ti con il tuo fratello e poi torna ad offrire il tuo dono</t>
  </si>
  <si>
    <t>file://conllu/it/bibl.MAT.5_it_christos.conllu#s33_0</t>
  </si>
  <si>
    <t>35</t>
  </si>
  <si>
    <t>In verità ti dico :</t>
  </si>
  <si>
    <t>file://conllu/it/bibl.MAT.5_it_christos.conllu#s35_0</t>
  </si>
  <si>
    <t>36</t>
  </si>
  <si>
    <t>uscire</t>
  </si>
  <si>
    <t>non uscirai di là finché tu non abbia pagato fino all' a l' ultimo spicciolo</t>
  </si>
  <si>
    <t>file://conllu/it/bibl.MAT.5_it_christos.conllu#s36_0</t>
  </si>
  <si>
    <t>37</t>
  </si>
  <si>
    <t>Avete inteso che fu detto :</t>
  </si>
  <si>
    <t>file://conllu/it/bibl.MAT.5_it_christos.conllu#s37_0</t>
  </si>
  <si>
    <t>38</t>
  </si>
  <si>
    <t>commettere</t>
  </si>
  <si>
    <t>Non commettere adulterio</t>
  </si>
  <si>
    <t>file://conllu/it/bibl.MAT.5_it_christos.conllu#s38_0</t>
  </si>
  <si>
    <t>39</t>
  </si>
  <si>
    <t>ma io vi dico :</t>
  </si>
  <si>
    <t>file://conllu/it/bibl.MAT.5_it_christos.conllu#s39_0</t>
  </si>
  <si>
    <t>40</t>
  </si>
  <si>
    <t>desiderare (desiderare guardare)</t>
  </si>
  <si>
    <t>chiunque guarda una donna per desiderarla desiderar la , ha gia commesso adulterio con lei nel in il suo cuore</t>
  </si>
  <si>
    <t>file://conllu/it/bibl.MAT.5_it_christos.conllu#s40_0</t>
  </si>
  <si>
    <t>41</t>
  </si>
  <si>
    <t>convenire</t>
  </si>
  <si>
    <t>Se il tuo occhio destro ti è occasione di scandalo , cavalo e gettalo via da te : conviene che perisca uno dei di i tuoi membri , piuttosto che tutto il tuo corpo venga gettato nella in la Geenna</t>
  </si>
  <si>
    <t>file://conllu/it/bibl.MAT.5_it_christos.conllu#s41_0</t>
  </si>
  <si>
    <t>42</t>
  </si>
  <si>
    <t>taglialare</t>
  </si>
  <si>
    <t>E se la tua mano destra ti è occasione di scandalo , tagliala e gettala getta la via da te : conviene che perisca uno dei di i tuoi membri , piuttosto che tutto il tuo corpo vada a finire nella in la Geenna</t>
  </si>
  <si>
    <t>file://conllu/it/bibl.MAT.5_it_christos.conllu#s42_0</t>
  </si>
  <si>
    <t>43</t>
  </si>
  <si>
    <t>pure?</t>
  </si>
  <si>
    <t>Fu pure detto :</t>
  </si>
  <si>
    <t>file://conllu/it/bibl.MAT.5_it_christos.conllu#s43_0</t>
  </si>
  <si>
    <t>44</t>
  </si>
  <si>
    <t>dare</t>
  </si>
  <si>
    <t>Chi ripudia la propria moglie , le dia l' atto di ripudio</t>
  </si>
  <si>
    <t>file://conllu/it/bibl.MAT.5_it_christos.conllu#s44_0</t>
  </si>
  <si>
    <t>45</t>
  </si>
  <si>
    <t>file://conllu/it/bibl.MAT.5_it_christos.conllu#s45_0</t>
  </si>
  <si>
    <t>46</t>
  </si>
  <si>
    <t>ripudiare</t>
  </si>
  <si>
    <t>chiunque ripudia sua moglie , eccetto il caso di concubinato , la espone all' a l' adulterio e chiunque sposa una ripudiata , commette adulterio</t>
  </si>
  <si>
    <t>file://conllu/it/bibl.MAT.5_it_christos.conllu#s46_0</t>
  </si>
  <si>
    <t>47</t>
  </si>
  <si>
    <t>anche?</t>
  </si>
  <si>
    <t>Avete anche inteso che fu detto agli a gli antichi :</t>
  </si>
  <si>
    <t>file://conllu/it/bibl.MAT.5_it_christos.conllu#s47_0</t>
  </si>
  <si>
    <t>48</t>
  </si>
  <si>
    <t>spergiurare</t>
  </si>
  <si>
    <t>Non spergiurare , ma adempi con il Signore i tuoi giuramenti</t>
  </si>
  <si>
    <t>file://conllu/it/bibl.MAT.5_it_christos.conllu#s48_0</t>
  </si>
  <si>
    <t>49</t>
  </si>
  <si>
    <t>file://conllu/it/bibl.MAT.5_it_christos.conllu#s49_0</t>
  </si>
  <si>
    <t>50</t>
  </si>
  <si>
    <t>giurare</t>
  </si>
  <si>
    <t>non giurate affatto :</t>
  </si>
  <si>
    <t>file://conllu/it/bibl.MAT.5_it_christos.conllu#s50_0</t>
  </si>
  <si>
    <t>51</t>
  </si>
  <si>
    <t>cielo</t>
  </si>
  <si>
    <t>né per il cielo , perché è il trono di Dio</t>
  </si>
  <si>
    <t>file://conllu/it/bibl.MAT.5_it_christos.conllu#s51_0</t>
  </si>
  <si>
    <t>52</t>
  </si>
  <si>
    <t>terra</t>
  </si>
  <si>
    <t>né per la terra , perché è lo sgabello per i suoi piedi ; né per Gerusalemme , perché è la città del di il gran re</t>
  </si>
  <si>
    <t>file://conllu/it/bibl.MAT.5_it_christos.conllu#s52_0</t>
  </si>
  <si>
    <t>53</t>
  </si>
  <si>
    <t>Non giurare neppure per la tua testa , perché non hai il potere di rendere bianco o nero un solo capello</t>
  </si>
  <si>
    <t>file://conllu/it/bibl.MAT.5_it_christos.conllu#s53_0</t>
  </si>
  <si>
    <t>54</t>
  </si>
  <si>
    <t>Sia invece il vostro parlare sì , sì ; no , no ; il di più viene dal da il maligno</t>
  </si>
  <si>
    <t>file://conllu/it/bibl.MAT.5_it_christos.conllu#s54_0</t>
  </si>
  <si>
    <t>55</t>
  </si>
  <si>
    <t>file://conllu/it/bibl.MAT.5_it_christos.conllu#s55_0</t>
  </si>
  <si>
    <t>56</t>
  </si>
  <si>
    <t>occhio</t>
  </si>
  <si>
    <t>Occhio per occhio e dente per dente</t>
  </si>
  <si>
    <t>file://conllu/it/bibl.MAT.5_it_christos.conllu#s56_0</t>
  </si>
  <si>
    <t>57</t>
  </si>
  <si>
    <t>dico</t>
  </si>
  <si>
    <t>ma io vi dico di non opporvi al a il malvagio ;</t>
  </si>
  <si>
    <t>file://conllu/it/bibl.MAT.5_it_christos.conllu#s57_0</t>
  </si>
  <si>
    <t>58</t>
  </si>
  <si>
    <t>altro</t>
  </si>
  <si>
    <t>anzi se uno ti percuote la guancia destra , tu porgigli anche l' altra</t>
  </si>
  <si>
    <t>file://conllu/it/bibl.MAT.5_it_christos.conllu#s58_0</t>
  </si>
  <si>
    <t>59</t>
  </si>
  <si>
    <t>e a chi ti vuol chiamare in giudizio per toglierti la tunica , tu lascia anche il mantello</t>
  </si>
  <si>
    <t>file://conllu/it/bibl.MAT.5_it_christos.conllu#s59_0</t>
  </si>
  <si>
    <t>60</t>
  </si>
  <si>
    <t>fanne</t>
  </si>
  <si>
    <t>E se uno ti costringerà a fare un miglio , tu fanne con lui due</t>
  </si>
  <si>
    <t>file://conllu/it/bibl.MAT.5_it_christos.conllu#s60_0</t>
  </si>
  <si>
    <t>61</t>
  </si>
  <si>
    <t>Dà a chi ti domanda e a chi desidera da te un prestito non volgere le spalle</t>
  </si>
  <si>
    <t>file://conllu/it/bibl.MAT.5_it_christos.conllu#s61_0</t>
  </si>
  <si>
    <t>62</t>
  </si>
  <si>
    <t>file://conllu/it/bibl.MAT.5_it_christos.conllu#s62_0</t>
  </si>
  <si>
    <t>63</t>
  </si>
  <si>
    <t>Ameere</t>
  </si>
  <si>
    <t>Amerai il tuo prossimo e odierai il tuo nemico</t>
  </si>
  <si>
    <t>file://conllu/it/bibl.MAT.5_it_christos.conllu#s63_0</t>
  </si>
  <si>
    <t>64</t>
  </si>
  <si>
    <t>file://conllu/it/bibl.MAT.5_it_christos.conllu#s64_0</t>
  </si>
  <si>
    <t>65</t>
  </si>
  <si>
    <t>amare</t>
  </si>
  <si>
    <t>amate i vostri nemici e pregate per i vostri persecutori</t>
  </si>
  <si>
    <t>file://conllu/it/bibl.MAT.5_it_christos.conllu#s65_0</t>
  </si>
  <si>
    <t>66</t>
  </si>
  <si>
    <t>siare</t>
  </si>
  <si>
    <t>perché siate figli del di il Padre vostro celeste , che fa sorgere il suo sole sopra i malvagi e sopra i buoni , e fa piovere sopra i giusti e sopra gli ingiusti</t>
  </si>
  <si>
    <t>file://conllu/it/bibl.MAT.5_it_christos.conllu#s66_0</t>
  </si>
  <si>
    <t>67</t>
  </si>
  <si>
    <t>Infatti se amate quelli che vi amano , quale merito ne avete ?</t>
  </si>
  <si>
    <t>file://conllu/it/bibl.MAT.5_it_christos.conllu#s67_0</t>
  </si>
  <si>
    <t>68</t>
  </si>
  <si>
    <t>fare</t>
  </si>
  <si>
    <t>Non fanno così anche i pubblicani</t>
  </si>
  <si>
    <t>file://conllu/it/bibl.MAT.5_it_christos.conllu#s68_0</t>
  </si>
  <si>
    <t>69</t>
  </si>
  <si>
    <t>E se date il saluto soltanto ai a i vostri fratelli , che cosa fate di straordinario ?</t>
  </si>
  <si>
    <t>file://conllu/it/bibl.MAT.5_it_christos.conllu#s69_0</t>
  </si>
  <si>
    <t>70</t>
  </si>
  <si>
    <t>Non fanno così anche i pagani</t>
  </si>
  <si>
    <t>file://conllu/it/bibl.MAT.5_it_christos.conllu#s70_0</t>
  </si>
  <si>
    <t>71</t>
  </si>
  <si>
    <t>Siare</t>
  </si>
  <si>
    <t>Siate voi dunque perfetti come è perfetto il Padre vostro celeste</t>
  </si>
  <si>
    <t>file://conllu/it/bibl.MAT.5_it_christos.conllu#s71_0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</si>
  <si>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</si>
  <si>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</si>
  <si>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</si>
  <si>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</si>
  <si>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</si>
  <si>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</si>
  <si>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</si>
  <si>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</si>
  <si>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</si>
  <si>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</si>
  <si>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</si>
  <si>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Vedendo le folle, Gesù salì sulla montagna e, messosi a sedere, gli si avvicinarono i suoi discepoli</t>
  </si>
  <si>
    <t>Vedendo</t>
  </si>
  <si>
    <t>le</t>
  </si>
  <si>
    <t>folle</t>
  </si>
  <si>
    <t>OBJ_2</t>
  </si>
  <si>
    <t>def-np.the</t>
  </si>
  <si>
    <t>?OLD</t>
  </si>
  <si>
    <t>,</t>
  </si>
  <si>
    <t>Gesù</t>
  </si>
  <si>
    <t>SBJ</t>
  </si>
  <si>
    <t>ne</t>
  </si>
  <si>
    <t>salì</t>
  </si>
  <si>
    <t>su</t>
  </si>
  <si>
    <t>la</t>
  </si>
  <si>
    <t>montagna</t>
  </si>
  <si>
    <t>other</t>
  </si>
  <si>
    <t>e</t>
  </si>
  <si>
    <t>messosi</t>
  </si>
  <si>
    <t>a</t>
  </si>
  <si>
    <t>sedere</t>
  </si>
  <si>
    <t>gli</t>
  </si>
  <si>
    <t>pron.pper</t>
  </si>
  <si>
    <t>si</t>
  </si>
  <si>
    <t>avvicinarono</t>
  </si>
  <si>
    <t>i</t>
  </si>
  <si>
    <t>suoi</t>
  </si>
  <si>
    <t>other_3</t>
  </si>
  <si>
    <t>pron.ppos</t>
  </si>
  <si>
    <t>discepoli</t>
  </si>
  <si>
    <t># text = Prendendo allora la parola, li ammaestrava dicendo</t>
  </si>
  <si>
    <t>Prendendo</t>
  </si>
  <si>
    <t>allora</t>
  </si>
  <si>
    <t>parola</t>
  </si>
  <si>
    <t>li</t>
  </si>
  <si>
    <t>OBJ</t>
  </si>
  <si>
    <t>ammaestrava</t>
  </si>
  <si>
    <t>dicendo</t>
  </si>
  <si>
    <t># text = «Beati i poveri in spirito, perché di essi è il regno dei cieli</t>
  </si>
  <si>
    <t>«</t>
  </si>
  <si>
    <t>poveri</t>
  </si>
  <si>
    <t>in</t>
  </si>
  <si>
    <t>spirito</t>
  </si>
  <si>
    <t>indef-np.bare</t>
  </si>
  <si>
    <t>perché</t>
  </si>
  <si>
    <t>di</t>
  </si>
  <si>
    <t>essi</t>
  </si>
  <si>
    <t>SBJ_2</t>
  </si>
  <si>
    <t>è</t>
  </si>
  <si>
    <t>il</t>
  </si>
  <si>
    <t>regno</t>
  </si>
  <si>
    <t>def-np.poss</t>
  </si>
  <si>
    <t>cieli</t>
  </si>
  <si>
    <t>other_2</t>
  </si>
  <si>
    <t># text = Beati gli afflitti, perché saranno consolati</t>
  </si>
  <si>
    <t>afflitti</t>
  </si>
  <si>
    <t>saranno</t>
  </si>
  <si>
    <t>consolati</t>
  </si>
  <si>
    <t># text = Beati i miti, perché erediteranno la terra</t>
  </si>
  <si>
    <t>miti</t>
  </si>
  <si>
    <t>erediteranno</t>
  </si>
  <si>
    <t># text = Beati quelli che hanno fame e sete della giustizia, perché saranno saziati</t>
  </si>
  <si>
    <t>quelli</t>
  </si>
  <si>
    <t>pron.pds</t>
  </si>
  <si>
    <t>che</t>
  </si>
  <si>
    <t>SBJ_3</t>
  </si>
  <si>
    <t>hanno</t>
  </si>
  <si>
    <t>fame</t>
  </si>
  <si>
    <t>OBJ_3</t>
  </si>
  <si>
    <t>sete</t>
  </si>
  <si>
    <t>other_4</t>
  </si>
  <si>
    <t>giustizia</t>
  </si>
  <si>
    <t>other_5</t>
  </si>
  <si>
    <t>saziati</t>
  </si>
  <si>
    <t># text = Beati i misericordiosi, perché troveranno misericordia</t>
  </si>
  <si>
    <t>misericordiosi</t>
  </si>
  <si>
    <t>troveranno</t>
  </si>
  <si>
    <t>misericordia</t>
  </si>
  <si>
    <t># text = Beati i puri di cuore, perché vedranno Dio</t>
  </si>
  <si>
    <t>puri</t>
  </si>
  <si>
    <t>cuore</t>
  </si>
  <si>
    <t>vedranno</t>
  </si>
  <si>
    <t>Dio</t>
  </si>
  <si>
    <t># text = Beati gli operatori di pace, perché saranno chiamati figli di Dio</t>
  </si>
  <si>
    <t>operatori</t>
  </si>
  <si>
    <t>pace</t>
  </si>
  <si>
    <t>chiamati</t>
  </si>
  <si>
    <t>figli</t>
  </si>
  <si>
    <t># text = Beati i perseguitati per causa della giustizia, perché di essi è il regno dei cieli</t>
  </si>
  <si>
    <t>perseguitati</t>
  </si>
  <si>
    <t>per</t>
  </si>
  <si>
    <t>causa</t>
  </si>
  <si>
    <t># text = Beati voi quando vi insulteranno, vi perseguiteranno e, mentendo, diranno ogni sorta di male contro di voi per causa mia</t>
  </si>
  <si>
    <t>voi</t>
  </si>
  <si>
    <t>quando</t>
  </si>
  <si>
    <t>vi</t>
  </si>
  <si>
    <t>insulteranno</t>
  </si>
  <si>
    <t>perseguiteranno</t>
  </si>
  <si>
    <t>mentendo</t>
  </si>
  <si>
    <t>diranno</t>
  </si>
  <si>
    <t>ogni</t>
  </si>
  <si>
    <t>sorta</t>
  </si>
  <si>
    <t>male</t>
  </si>
  <si>
    <t>contro</t>
  </si>
  <si>
    <t>indef-np</t>
  </si>
  <si>
    <t>mia</t>
  </si>
  <si>
    <t># text = Rallegratevi ed esultate, perché grande è la vostra ricompensa nei cieli.</t>
  </si>
  <si>
    <t>Rallegratevi</t>
  </si>
  <si>
    <t>ed</t>
  </si>
  <si>
    <t>esultate</t>
  </si>
  <si>
    <t>grande</t>
  </si>
  <si>
    <t>vostra</t>
  </si>
  <si>
    <t>ricompensa</t>
  </si>
  <si>
    <t>.</t>
  </si>
  <si>
    <t># text = Così infatti hanno perseguitato i profeti prima di voi</t>
  </si>
  <si>
    <t>Così</t>
  </si>
  <si>
    <t>infatti</t>
  </si>
  <si>
    <t>perseguitato</t>
  </si>
  <si>
    <t>profeti</t>
  </si>
  <si>
    <t>prima</t>
  </si>
  <si>
    <t># text = Voi siete il sale della terra;</t>
  </si>
  <si>
    <t>Voi</t>
  </si>
  <si>
    <t>siete</t>
  </si>
  <si>
    <t>sale</t>
  </si>
  <si>
    <t>;</t>
  </si>
  <si>
    <t># text = ma se il sale perdesse il sapore, con che cosa lo si potrà render salato?</t>
  </si>
  <si>
    <t>ma</t>
  </si>
  <si>
    <t>se</t>
  </si>
  <si>
    <t>perdesse</t>
  </si>
  <si>
    <t>sapore</t>
  </si>
  <si>
    <t>con</t>
  </si>
  <si>
    <t>pron.pint</t>
  </si>
  <si>
    <t>cosa</t>
  </si>
  <si>
    <t>lo</t>
  </si>
  <si>
    <t>potrà</t>
  </si>
  <si>
    <t>render</t>
  </si>
  <si>
    <t>salato</t>
  </si>
  <si>
    <t>?</t>
  </si>
  <si>
    <t># text = A null'altro serve che ad essere gettato via e calpestato dagli uomini</t>
  </si>
  <si>
    <t>A</t>
  </si>
  <si>
    <t>nu</t>
  </si>
  <si>
    <t>l'</t>
  </si>
  <si>
    <t>pron.pind</t>
  </si>
  <si>
    <t>serve</t>
  </si>
  <si>
    <t>ad</t>
  </si>
  <si>
    <t>essere</t>
  </si>
  <si>
    <t>gettato</t>
  </si>
  <si>
    <t>via</t>
  </si>
  <si>
    <t>calpestato</t>
  </si>
  <si>
    <t>da</t>
  </si>
  <si>
    <t>uomini</t>
  </si>
  <si>
    <t># text = Voi siete la luce del mondo; non può restare nascosta una città collocata sopra un monte</t>
  </si>
  <si>
    <t>luce</t>
  </si>
  <si>
    <t>mondo</t>
  </si>
  <si>
    <t>non</t>
  </si>
  <si>
    <t>può</t>
  </si>
  <si>
    <t>restare</t>
  </si>
  <si>
    <t>nascosta</t>
  </si>
  <si>
    <t>una</t>
  </si>
  <si>
    <t>città</t>
  </si>
  <si>
    <t>indef-np.a</t>
  </si>
  <si>
    <t>collocata</t>
  </si>
  <si>
    <t>sopra</t>
  </si>
  <si>
    <t>un</t>
  </si>
  <si>
    <t>monte</t>
  </si>
  <si>
    <t># text = né si accende una lucerna per metterla sotto il moggio, ma sopra il lucerniere perché faccia luce a tutti quelli che sono nella casa</t>
  </si>
  <si>
    <t>né</t>
  </si>
  <si>
    <t>accende</t>
  </si>
  <si>
    <t>lucerna</t>
  </si>
  <si>
    <t>metter</t>
  </si>
  <si>
    <t>sotto</t>
  </si>
  <si>
    <t>moggio</t>
  </si>
  <si>
    <t>lucerniere</t>
  </si>
  <si>
    <t>faccia</t>
  </si>
  <si>
    <t>OBJ_4</t>
  </si>
  <si>
    <t>tutti</t>
  </si>
  <si>
    <t>SBJ_6</t>
  </si>
  <si>
    <t>sono</t>
  </si>
  <si>
    <t>casa</t>
  </si>
  <si>
    <t>other_6</t>
  </si>
  <si>
    <t># text = Così risplenda la vostra luce davanti agli uomini, perché vedano le vostre opere buone e rendano gloria al vostro Padre che è nei cieli</t>
  </si>
  <si>
    <t>risplenda</t>
  </si>
  <si>
    <t>davanti</t>
  </si>
  <si>
    <t>vedano</t>
  </si>
  <si>
    <t>vostre</t>
  </si>
  <si>
    <t>opere</t>
  </si>
  <si>
    <t>buone</t>
  </si>
  <si>
    <t>rendano</t>
  </si>
  <si>
    <t>gloria</t>
  </si>
  <si>
    <t>vostro</t>
  </si>
  <si>
    <t>Padre</t>
  </si>
  <si>
    <t>SBJ_7</t>
  </si>
  <si>
    <t>other_7</t>
  </si>
  <si>
    <t># text = Non pensate che io sia venuto ad abolire la Legge o i Profeti; non son venuto per abolire, ma per dare compimento</t>
  </si>
  <si>
    <t>Non</t>
  </si>
  <si>
    <t>pensate</t>
  </si>
  <si>
    <t>io</t>
  </si>
  <si>
    <t>sia</t>
  </si>
  <si>
    <t>venuto</t>
  </si>
  <si>
    <t>abolire</t>
  </si>
  <si>
    <t>Legge</t>
  </si>
  <si>
    <t>o</t>
  </si>
  <si>
    <t>Profeti</t>
  </si>
  <si>
    <t>son</t>
  </si>
  <si>
    <t>compimento</t>
  </si>
  <si>
    <t># text = In verità vi dico: finché non siano passati il cielo e la terra, non passerà neppure un iota o un segno dalla legge, senza che tutto sia compiuto</t>
  </si>
  <si>
    <t>In</t>
  </si>
  <si>
    <t>verità</t>
  </si>
  <si>
    <t>:</t>
  </si>
  <si>
    <t>finché</t>
  </si>
  <si>
    <t>siano</t>
  </si>
  <si>
    <t>passati</t>
  </si>
  <si>
    <t>passerà</t>
  </si>
  <si>
    <t>neppure</t>
  </si>
  <si>
    <t>iota</t>
  </si>
  <si>
    <t>segno</t>
  </si>
  <si>
    <t>legge</t>
  </si>
  <si>
    <t>senza</t>
  </si>
  <si>
    <t>tutto</t>
  </si>
  <si>
    <t>compiuto</t>
  </si>
  <si>
    <t># text = Chi dunque trasgredirà uno solo di questi precetti, anche minimi, e insegnerà agli uomini a fare altrettanto, sarà considerato minimo nel regno dei cieli.</t>
  </si>
  <si>
    <t>Chi</t>
  </si>
  <si>
    <t>dunque</t>
  </si>
  <si>
    <t>trasgredirà</t>
  </si>
  <si>
    <t>uno</t>
  </si>
  <si>
    <t>solo</t>
  </si>
  <si>
    <t>questi</t>
  </si>
  <si>
    <t>precetti</t>
  </si>
  <si>
    <t>def-np.dem</t>
  </si>
  <si>
    <t>anche</t>
  </si>
  <si>
    <t>minimi</t>
  </si>
  <si>
    <t>insegnerà</t>
  </si>
  <si>
    <t>altrettanto</t>
  </si>
  <si>
    <t>sarà</t>
  </si>
  <si>
    <t>considerato</t>
  </si>
  <si>
    <t>minimo</t>
  </si>
  <si>
    <t># text = Chi invece li osserverà e li insegnerà agli uomini, sarà considerato grande nel regno dei cieli</t>
  </si>
  <si>
    <t>invece</t>
  </si>
  <si>
    <t>osserverà</t>
  </si>
  <si>
    <t># text = Poiché io vi dico:</t>
  </si>
  <si>
    <t>Poiché</t>
  </si>
  <si>
    <t># text = se la vostra giustizia non supererà quella degli scribi e dei farisei, non entrerete nel regno dei cieli</t>
  </si>
  <si>
    <t>supererà</t>
  </si>
  <si>
    <t>quella</t>
  </si>
  <si>
    <t>scribi</t>
  </si>
  <si>
    <t>farisei</t>
  </si>
  <si>
    <t>entrerete</t>
  </si>
  <si>
    <t># text = Avete inteso che fu detto agli antichi:</t>
  </si>
  <si>
    <t>Avete</t>
  </si>
  <si>
    <t>inteso</t>
  </si>
  <si>
    <t>fu</t>
  </si>
  <si>
    <t>detto</t>
  </si>
  <si>
    <t>antichi</t>
  </si>
  <si>
    <t># text = Non uccidere; chi avrà ucciso sarà sottoposto a giudizio</t>
  </si>
  <si>
    <t>chi</t>
  </si>
  <si>
    <t>avrà</t>
  </si>
  <si>
    <t>ucciso</t>
  </si>
  <si>
    <t>sottoposto</t>
  </si>
  <si>
    <t>giudizio</t>
  </si>
  <si>
    <t># text = Ma io vi dico:</t>
  </si>
  <si>
    <t>Ma</t>
  </si>
  <si>
    <t># text = chiunque si adira con il proprio fratello, sarà sottoposto a giudizio.</t>
  </si>
  <si>
    <t>chiunque</t>
  </si>
  <si>
    <t>adira</t>
  </si>
  <si>
    <t>proprio</t>
  </si>
  <si>
    <t>fratello</t>
  </si>
  <si>
    <t># text = Chi poi dice al fratello:</t>
  </si>
  <si>
    <t>poi</t>
  </si>
  <si>
    <t>dice</t>
  </si>
  <si>
    <t># text = stupido, sarà sottoposto al sinedrio; e chi gli dice: pazzo, sarà sottoposto al fuoco della Geenna</t>
  </si>
  <si>
    <t>stupido</t>
  </si>
  <si>
    <t>sinedrio</t>
  </si>
  <si>
    <t>pazzo</t>
  </si>
  <si>
    <t>fuoco</t>
  </si>
  <si>
    <t>Geenna</t>
  </si>
  <si>
    <t># text = Se dunque presenti la tua offerta sull'altare e lì ti ricordi che tuo fratello ha qualche cosa contro di te</t>
  </si>
  <si>
    <t>Se</t>
  </si>
  <si>
    <t>presenti</t>
  </si>
  <si>
    <t>tua</t>
  </si>
  <si>
    <t>offerta</t>
  </si>
  <si>
    <t>altare</t>
  </si>
  <si>
    <t>lì</t>
  </si>
  <si>
    <t>ti</t>
  </si>
  <si>
    <t>ricordi</t>
  </si>
  <si>
    <t>tuo</t>
  </si>
  <si>
    <t>ha</t>
  </si>
  <si>
    <t>qualche</t>
  </si>
  <si>
    <t>te</t>
  </si>
  <si>
    <t># text = lascia lì il tuo dono davanti all'altare e và prima a riconciliarti con il tuo fratello e poi torna ad offrire il tuo dono</t>
  </si>
  <si>
    <t>lascia</t>
  </si>
  <si>
    <t>dono</t>
  </si>
  <si>
    <t>và</t>
  </si>
  <si>
    <t>riconciliar</t>
  </si>
  <si>
    <t>torna</t>
  </si>
  <si>
    <t>offrire</t>
  </si>
  <si>
    <t># text = Mettiti presto d'accordo con il tuo avversario mentre sei per via con lui, perché l'avversario non ti consegni al giudice e il giudice alla guardia e tu venga gettato in prigione</t>
  </si>
  <si>
    <t>Metti</t>
  </si>
  <si>
    <t>presto</t>
  </si>
  <si>
    <t>d'</t>
  </si>
  <si>
    <t>accordo</t>
  </si>
  <si>
    <t>avversario</t>
  </si>
  <si>
    <t>mentre</t>
  </si>
  <si>
    <t>sei</t>
  </si>
  <si>
    <t>lui</t>
  </si>
  <si>
    <t>consegni</t>
  </si>
  <si>
    <t>giudice</t>
  </si>
  <si>
    <t>guardia</t>
  </si>
  <si>
    <t>tu</t>
  </si>
  <si>
    <t>venga</t>
  </si>
  <si>
    <t>prigione</t>
  </si>
  <si>
    <t># text = In verità ti dico:</t>
  </si>
  <si>
    <t># text = non uscirai di là finché tu non abbia pagato fino all'ultimo spicciolo</t>
  </si>
  <si>
    <t>uscirai</t>
  </si>
  <si>
    <t>là</t>
  </si>
  <si>
    <t>abbia</t>
  </si>
  <si>
    <t>pagato</t>
  </si>
  <si>
    <t>fino</t>
  </si>
  <si>
    <t>ultimo</t>
  </si>
  <si>
    <t>spicciolo</t>
  </si>
  <si>
    <t># text = Avete inteso che fu detto:</t>
  </si>
  <si>
    <t># text = Non commettere adulterio</t>
  </si>
  <si>
    <t>adulterio</t>
  </si>
  <si>
    <t># text = ma io vi dico:</t>
  </si>
  <si>
    <t># text = chiunque guarda una donna per desiderarla, ha gia commesso adulterio con lei nel suo cuore</t>
  </si>
  <si>
    <t>guarda</t>
  </si>
  <si>
    <t>donna</t>
  </si>
  <si>
    <t>desiderar</t>
  </si>
  <si>
    <t>gia</t>
  </si>
  <si>
    <t>commesso</t>
  </si>
  <si>
    <t>lei</t>
  </si>
  <si>
    <t>suo</t>
  </si>
  <si>
    <t># text = Se il tuo occhio destro ti è occasione di scandalo, cavalo e gettalo via da te: conviene che perisca uno dei tuoi membri, piuttosto che tutto il tuo corpo venga gettato nella Geenna</t>
  </si>
  <si>
    <t>destro</t>
  </si>
  <si>
    <t>occasione</t>
  </si>
  <si>
    <t>scandalo</t>
  </si>
  <si>
    <t>cavalo</t>
  </si>
  <si>
    <t>gettalo</t>
  </si>
  <si>
    <t>conviene</t>
  </si>
  <si>
    <t>perisca</t>
  </si>
  <si>
    <t>tuoi</t>
  </si>
  <si>
    <t>membri</t>
  </si>
  <si>
    <t>piuttosto</t>
  </si>
  <si>
    <t>corpo</t>
  </si>
  <si>
    <t># text = E se la tua mano destra ti è occasione di scandalo, tagliala e gettala via da te: conviene che perisca uno dei tuoi membri, piuttosto che tutto il tuo corpo vada a finire nella Geenna</t>
  </si>
  <si>
    <t>E</t>
  </si>
  <si>
    <t>mano</t>
  </si>
  <si>
    <t>destra</t>
  </si>
  <si>
    <t>tagliala</t>
  </si>
  <si>
    <t>getta</t>
  </si>
  <si>
    <t>SBJ_4</t>
  </si>
  <si>
    <t>vada</t>
  </si>
  <si>
    <t>finire</t>
  </si>
  <si>
    <t># text = Fu pure detto:</t>
  </si>
  <si>
    <t>Fu</t>
  </si>
  <si>
    <t>pure</t>
  </si>
  <si>
    <t># text = Chi ripudia la propria moglie, le dia l'atto di ripudio</t>
  </si>
  <si>
    <t>ripudia</t>
  </si>
  <si>
    <t>propria</t>
  </si>
  <si>
    <t>moglie</t>
  </si>
  <si>
    <t>dia</t>
  </si>
  <si>
    <t>atto</t>
  </si>
  <si>
    <t>ripudio</t>
  </si>
  <si>
    <t># text = chiunque ripudia sua moglie, eccetto il caso di concubinato, la espone all'adulterio e chiunque sposa una ripudiata, commette adulterio</t>
  </si>
  <si>
    <t>sua</t>
  </si>
  <si>
    <t>eccetto</t>
  </si>
  <si>
    <t>caso</t>
  </si>
  <si>
    <t>concubinato</t>
  </si>
  <si>
    <t>espone</t>
  </si>
  <si>
    <t>sposa</t>
  </si>
  <si>
    <t>ripudiata</t>
  </si>
  <si>
    <t>commette</t>
  </si>
  <si>
    <t># text = Avete anche inteso che fu detto agli antichi:</t>
  </si>
  <si>
    <t># text = Non spergiurare, ma adempi con il Signore i tuoi giuramenti</t>
  </si>
  <si>
    <t>adempi</t>
  </si>
  <si>
    <t>Signore</t>
  </si>
  <si>
    <t>giuramenti</t>
  </si>
  <si>
    <t># text = non giurate affatto:</t>
  </si>
  <si>
    <t>giurate</t>
  </si>
  <si>
    <t>affatto</t>
  </si>
  <si>
    <t># text = né per il cielo, perché è il trono di Dio</t>
  </si>
  <si>
    <t>trono</t>
  </si>
  <si>
    <t># text = né per la terra, perché è lo sgabello per i suoi piedi; né per Gerusalemme, perché è la città del gran re</t>
  </si>
  <si>
    <t>sgabello</t>
  </si>
  <si>
    <t>piedi</t>
  </si>
  <si>
    <t>Gerusalemme</t>
  </si>
  <si>
    <t>gran</t>
  </si>
  <si>
    <t>re</t>
  </si>
  <si>
    <t># text = Non giurare neppure per la tua testa, perché non hai il potere di rendere bianco o nero un solo capello</t>
  </si>
  <si>
    <t>testa</t>
  </si>
  <si>
    <t>hai</t>
  </si>
  <si>
    <t>potere</t>
  </si>
  <si>
    <t>bianco</t>
  </si>
  <si>
    <t>nero</t>
  </si>
  <si>
    <t>capello</t>
  </si>
  <si>
    <t># text = Sia invece il vostro parlare sì, sì; no, no; il di più viene dal maligno</t>
  </si>
  <si>
    <t>Sia</t>
  </si>
  <si>
    <t>parlare</t>
  </si>
  <si>
    <t>sì</t>
  </si>
  <si>
    <t>no</t>
  </si>
  <si>
    <t>più</t>
  </si>
  <si>
    <t>viene</t>
  </si>
  <si>
    <t>maligno</t>
  </si>
  <si>
    <t># text = Occhio per occhio e dente per dente</t>
  </si>
  <si>
    <t>Occhio</t>
  </si>
  <si>
    <t>dente</t>
  </si>
  <si>
    <t># text = ma io vi dico di non opporvi al malvagio;</t>
  </si>
  <si>
    <t>opporvi</t>
  </si>
  <si>
    <t>malvagio</t>
  </si>
  <si>
    <t># text = anzi se uno ti percuote la guancia destra, tu porgigli anche l'altra</t>
  </si>
  <si>
    <t>anzi</t>
  </si>
  <si>
    <t>percuote</t>
  </si>
  <si>
    <t>guancia</t>
  </si>
  <si>
    <t>porgigli</t>
  </si>
  <si>
    <t>altra</t>
  </si>
  <si>
    <t># text = e a chi ti vuol chiamare in giudizio per toglierti la tunica, tu lascia anche il mantello</t>
  </si>
  <si>
    <t>vuol</t>
  </si>
  <si>
    <t>chiamare</t>
  </si>
  <si>
    <t>toglierti</t>
  </si>
  <si>
    <t>tunica</t>
  </si>
  <si>
    <t>mantello</t>
  </si>
  <si>
    <t># text = E se uno ti costringerà a fare un miglio, tu fanne con lui due</t>
  </si>
  <si>
    <t>costringerà</t>
  </si>
  <si>
    <t>miglio</t>
  </si>
  <si>
    <t>due</t>
  </si>
  <si>
    <t># text = Dà a chi ti domanda e a chi desidera da te un prestito non volgere le spalle</t>
  </si>
  <si>
    <t>Dà</t>
  </si>
  <si>
    <t>domanda</t>
  </si>
  <si>
    <t>desidera</t>
  </si>
  <si>
    <t>prestito</t>
  </si>
  <si>
    <t>volgere</t>
  </si>
  <si>
    <t>spalle</t>
  </si>
  <si>
    <t># text = Amerai il tuo prossimo e odierai il tuo nemico</t>
  </si>
  <si>
    <t>Amerai</t>
  </si>
  <si>
    <t>prossimo</t>
  </si>
  <si>
    <t>odierai</t>
  </si>
  <si>
    <t>nemico</t>
  </si>
  <si>
    <t># text = amate i vostri nemici e pregate per i vostri persecutori</t>
  </si>
  <si>
    <t>amate</t>
  </si>
  <si>
    <t>vostri</t>
  </si>
  <si>
    <t>nemici</t>
  </si>
  <si>
    <t>pregate</t>
  </si>
  <si>
    <t>persecutori</t>
  </si>
  <si>
    <t># text = perché siate figli del Padre vostro celeste, che fa sorgere il suo sole sopra i malvagi e sopra i buoni, e fa piovere sopra i giusti e sopra gli ingiusti</t>
  </si>
  <si>
    <t>siate</t>
  </si>
  <si>
    <t>celeste</t>
  </si>
  <si>
    <t>fa</t>
  </si>
  <si>
    <t>sorgere</t>
  </si>
  <si>
    <t>sole</t>
  </si>
  <si>
    <t>OBJ_5</t>
  </si>
  <si>
    <t>malvagi</t>
  </si>
  <si>
    <t>buoni</t>
  </si>
  <si>
    <t>piovere</t>
  </si>
  <si>
    <t>giusti</t>
  </si>
  <si>
    <t>ingiusti</t>
  </si>
  <si>
    <t># text = Infatti se amate quelli che vi amano, quale merito ne avete?</t>
  </si>
  <si>
    <t>Infatti</t>
  </si>
  <si>
    <t>amano</t>
  </si>
  <si>
    <t>quale</t>
  </si>
  <si>
    <t>merito</t>
  </si>
  <si>
    <t>avete</t>
  </si>
  <si>
    <t># text = Non fanno così anche i pubblicani</t>
  </si>
  <si>
    <t>fanno</t>
  </si>
  <si>
    <t>così</t>
  </si>
  <si>
    <t>pubblicani</t>
  </si>
  <si>
    <t># text = E se date il saluto soltanto ai vostri fratelli, che cosa fate di straordinario?</t>
  </si>
  <si>
    <t>date</t>
  </si>
  <si>
    <t>saluto</t>
  </si>
  <si>
    <t>soltanto</t>
  </si>
  <si>
    <t>fratelli</t>
  </si>
  <si>
    <t>fate</t>
  </si>
  <si>
    <t>straordinario</t>
  </si>
  <si>
    <t># text = Non fanno così anche i pagani</t>
  </si>
  <si>
    <t>pagani</t>
  </si>
  <si>
    <t># text = Siate voi dunque perfetti come è perfetto il Padre vostro celeste</t>
  </si>
  <si>
    <t>Siate</t>
  </si>
  <si>
    <t>perfetti</t>
  </si>
  <si>
    <t>come</t>
  </si>
  <si>
    <t>perfetto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</si>
</sst>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1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16</v>
      </c>
      <c r="I2" s="11" t="s">
        <v>16</v>
      </c>
      <c r="J2" s="12"/>
    </row>
    <row r="3" spans="1:10" ht="60" customHeight="1">
      <c r="A3" s="6" t="s">
        <v>17</v>
      </c>
      <c r="B3" s="6" t="s">
        <v>18</v>
      </c>
      <c r="C3" s="6" t="s">
        <v>19</v>
      </c>
      <c r="D3" s="7" t="s">
        <v>20</v>
      </c>
      <c r="E3" s="8" t="s">
        <v>21</v>
      </c>
      <c r="F3" s="6" t="s">
        <v>22</v>
      </c>
      <c r="G3" s="9" t="s">
        <v>22</v>
      </c>
      <c r="H3" s="10" t="s">
        <v>16</v>
      </c>
      <c r="I3" s="11" t="s">
        <v>16</v>
      </c>
      <c r="J3" s="12"/>
    </row>
    <row r="4" spans="1:10" ht="60" customHeight="1">
      <c r="A4" s="6" t="s">
        <v>23</v>
      </c>
      <c r="B4" s="6" t="s">
        <v>17</v>
      </c>
      <c r="C4" s="6" t="s">
        <v>24</v>
      </c>
      <c r="D4" s="7" t="s">
        <v>25</v>
      </c>
      <c r="E4" s="8" t="s">
        <v>26</v>
      </c>
      <c r="F4" s="6" t="s">
        <v>27</v>
      </c>
      <c r="G4" s="9" t="s">
        <v>27</v>
      </c>
      <c r="H4" s="10" t="s">
        <v>16</v>
      </c>
      <c r="I4" s="11" t="s">
        <v>16</v>
      </c>
      <c r="J4" s="12"/>
    </row>
    <row r="5" spans="1:10" ht="60" customHeight="1">
      <c r="A5" s="6" t="s">
        <v>28</v>
      </c>
      <c r="B5" s="6" t="s">
        <v>10</v>
      </c>
      <c r="C5" s="6" t="s">
        <v>24</v>
      </c>
      <c r="D5" s="7" t="s">
        <v>25</v>
      </c>
      <c r="E5" s="8" t="s">
        <v>29</v>
      </c>
      <c r="F5" s="6" t="s">
        <v>30</v>
      </c>
      <c r="G5" s="9" t="s">
        <v>30</v>
      </c>
      <c r="H5" s="10" t="s">
        <v>16</v>
      </c>
      <c r="I5" s="11" t="s">
        <v>16</v>
      </c>
      <c r="J5" s="12"/>
    </row>
    <row r="6" spans="1:10" ht="60" customHeight="1">
      <c r="A6" s="6" t="s">
        <v>31</v>
      </c>
      <c r="B6" s="6" t="s">
        <v>10</v>
      </c>
      <c r="C6" s="6" t="s">
        <v>24</v>
      </c>
      <c r="D6" s="7" t="s">
        <v>25</v>
      </c>
      <c r="E6" s="8" t="s">
        <v>32</v>
      </c>
      <c r="F6" s="6" t="s">
        <v>33</v>
      </c>
      <c r="G6" s="9" t="s">
        <v>33</v>
      </c>
      <c r="H6" s="10" t="s">
        <v>16</v>
      </c>
      <c r="I6" s="11" t="s">
        <v>16</v>
      </c>
      <c r="J6" s="12"/>
    </row>
    <row r="7" spans="1:10" ht="60" customHeight="1">
      <c r="A7" s="6" t="s">
        <v>11</v>
      </c>
      <c r="B7" s="6" t="s">
        <v>10</v>
      </c>
      <c r="C7" s="6" t="s">
        <v>24</v>
      </c>
      <c r="D7" s="7" t="s">
        <v>34</v>
      </c>
      <c r="E7" s="8" t="s">
        <v>35</v>
      </c>
      <c r="F7" s="6" t="s">
        <v>36</v>
      </c>
      <c r="G7" s="9" t="s">
        <v>36</v>
      </c>
      <c r="H7" s="10" t="s">
        <v>16</v>
      </c>
      <c r="I7" s="11" t="s">
        <v>16</v>
      </c>
      <c r="J7" s="12"/>
    </row>
    <row r="8" spans="1:10" ht="60" customHeight="1">
      <c r="A8" s="6" t="s">
        <v>18</v>
      </c>
      <c r="B8" s="6" t="s">
        <v>10</v>
      </c>
      <c r="C8" s="6" t="s">
        <v>24</v>
      </c>
      <c r="D8" s="7" t="s">
        <v>25</v>
      </c>
      <c r="E8" s="8" t="s">
        <v>37</v>
      </c>
      <c r="F8" s="6" t="s">
        <v>38</v>
      </c>
      <c r="G8" s="9" t="s">
        <v>38</v>
      </c>
      <c r="H8" s="10" t="s">
        <v>16</v>
      </c>
      <c r="I8" s="11" t="s">
        <v>16</v>
      </c>
      <c r="J8" s="12"/>
    </row>
    <row r="9" spans="1:10" ht="60" customHeight="1">
      <c r="A9" s="6" t="s">
        <v>39</v>
      </c>
      <c r="B9" s="6" t="s">
        <v>10</v>
      </c>
      <c r="C9" s="6" t="s">
        <v>24</v>
      </c>
      <c r="D9" s="7" t="s">
        <v>25</v>
      </c>
      <c r="E9" s="8" t="s">
        <v>40</v>
      </c>
      <c r="F9" s="6" t="s">
        <v>41</v>
      </c>
      <c r="G9" s="9" t="s">
        <v>41</v>
      </c>
      <c r="H9" s="10" t="s">
        <v>16</v>
      </c>
      <c r="I9" s="11" t="s">
        <v>16</v>
      </c>
      <c r="J9" s="12"/>
    </row>
    <row r="10" spans="1:10" ht="60" customHeight="1">
      <c r="A10" s="6" t="s">
        <v>42</v>
      </c>
      <c r="B10" s="6" t="s">
        <v>10</v>
      </c>
      <c r="C10" s="6" t="s">
        <v>24</v>
      </c>
      <c r="D10" s="7" t="s">
        <v>25</v>
      </c>
      <c r="E10" s="8" t="s">
        <v>43</v>
      </c>
      <c r="F10" s="6" t="s">
        <v>44</v>
      </c>
      <c r="G10" s="9" t="s">
        <v>44</v>
      </c>
      <c r="H10" s="10" t="s">
        <v>16</v>
      </c>
      <c r="I10" s="11" t="s">
        <v>16</v>
      </c>
      <c r="J10" s="12"/>
    </row>
    <row r="11" spans="1:10" ht="60" customHeight="1">
      <c r="A11" s="6" t="s">
        <v>45</v>
      </c>
      <c r="B11" s="6" t="s">
        <v>10</v>
      </c>
      <c r="C11" s="6" t="s">
        <v>24</v>
      </c>
      <c r="D11" s="7" t="s">
        <v>25</v>
      </c>
      <c r="E11" s="8" t="s">
        <v>46</v>
      </c>
      <c r="F11" s="6" t="s">
        <v>47</v>
      </c>
      <c r="G11" s="9" t="s">
        <v>47</v>
      </c>
      <c r="H11" s="10" t="s">
        <v>16</v>
      </c>
      <c r="I11" s="11" t="s">
        <v>16</v>
      </c>
      <c r="J11" s="12"/>
    </row>
    <row r="12" spans="1:10" ht="60" customHeight="1">
      <c r="A12" s="6" t="s">
        <v>48</v>
      </c>
      <c r="B12" s="6" t="s">
        <v>39</v>
      </c>
      <c r="C12" s="6" t="s">
        <v>49</v>
      </c>
      <c r="D12" s="7" t="s">
        <v>50</v>
      </c>
      <c r="E12" s="8" t="s">
        <v>51</v>
      </c>
      <c r="F12" s="6" t="s">
        <v>52</v>
      </c>
      <c r="G12" s="9" t="s">
        <v>52</v>
      </c>
      <c r="H12" s="10" t="s">
        <v>16</v>
      </c>
      <c r="I12" s="11" t="s">
        <v>16</v>
      </c>
      <c r="J12" s="12"/>
    </row>
    <row r="13" spans="1:10" ht="60" customHeight="1">
      <c r="A13" s="6" t="s">
        <v>53</v>
      </c>
      <c r="B13" s="6" t="s">
        <v>10</v>
      </c>
      <c r="C13" s="6" t="s">
        <v>24</v>
      </c>
      <c r="D13" s="7" t="s">
        <v>54</v>
      </c>
      <c r="E13" s="8" t="s">
        <v>55</v>
      </c>
      <c r="F13" s="6" t="s">
        <v>56</v>
      </c>
      <c r="G13" s="9" t="s">
        <v>56</v>
      </c>
      <c r="H13" s="10" t="s">
        <v>16</v>
      </c>
      <c r="I13" s="11" t="s">
        <v>16</v>
      </c>
      <c r="J13" s="12"/>
    </row>
    <row r="14" spans="1:10" ht="60" customHeight="1">
      <c r="A14" s="6" t="s">
        <v>57</v>
      </c>
      <c r="B14" s="6" t="s">
        <v>28</v>
      </c>
      <c r="C14" s="6" t="s">
        <v>58</v>
      </c>
      <c r="D14" s="7" t="s">
        <v>50</v>
      </c>
      <c r="E14" s="8" t="s">
        <v>59</v>
      </c>
      <c r="F14" s="6" t="s">
        <v>60</v>
      </c>
      <c r="G14" s="9" t="s">
        <v>60</v>
      </c>
      <c r="H14" s="10" t="s">
        <v>16</v>
      </c>
      <c r="I14" s="11" t="s">
        <v>16</v>
      </c>
      <c r="J14" s="12"/>
    </row>
    <row r="15" spans="1:10" ht="60" customHeight="1">
      <c r="A15" s="6" t="s">
        <v>61</v>
      </c>
      <c r="B15" s="6" t="s">
        <v>17</v>
      </c>
      <c r="C15" s="6" t="s">
        <v>16</v>
      </c>
      <c r="D15" s="7" t="s">
        <v>62</v>
      </c>
      <c r="E15" s="8" t="s">
        <v>63</v>
      </c>
      <c r="F15" s="6" t="s">
        <v>64</v>
      </c>
      <c r="G15" s="9" t="s">
        <v>64</v>
      </c>
      <c r="H15" s="10" t="s">
        <v>16</v>
      </c>
      <c r="I15" s="11" t="s">
        <v>16</v>
      </c>
      <c r="J15" s="12"/>
    </row>
    <row r="16" spans="1:10" ht="60" customHeight="1">
      <c r="A16" s="6" t="s">
        <v>65</v>
      </c>
      <c r="B16" s="6" t="s">
        <v>65</v>
      </c>
      <c r="C16" s="6" t="s">
        <v>66</v>
      </c>
      <c r="D16" s="7" t="s">
        <v>67</v>
      </c>
      <c r="E16" s="8" t="s">
        <v>68</v>
      </c>
      <c r="F16" s="6" t="s">
        <v>69</v>
      </c>
      <c r="G16" s="9" t="s">
        <v>69</v>
      </c>
      <c r="H16" s="10" t="s">
        <v>16</v>
      </c>
      <c r="I16" s="11" t="s">
        <v>16</v>
      </c>
      <c r="J16" s="12"/>
    </row>
    <row r="17" spans="1:10" ht="60" customHeight="1">
      <c r="A17" s="6" t="s">
        <v>70</v>
      </c>
      <c r="B17" s="6" t="s">
        <v>31</v>
      </c>
      <c r="C17" s="6" t="s">
        <v>16</v>
      </c>
      <c r="D17" s="7" t="s">
        <v>71</v>
      </c>
      <c r="E17" s="8" t="s">
        <v>72</v>
      </c>
      <c r="F17" s="6" t="s">
        <v>73</v>
      </c>
      <c r="G17" s="9" t="s">
        <v>73</v>
      </c>
      <c r="H17" s="10" t="s">
        <v>16</v>
      </c>
      <c r="I17" s="11" t="s">
        <v>16</v>
      </c>
      <c r="J17" s="12"/>
    </row>
    <row r="18" spans="1:10" ht="60" customHeight="1">
      <c r="A18" s="6" t="s">
        <v>74</v>
      </c>
      <c r="B18" s="6" t="s">
        <v>17</v>
      </c>
      <c r="C18" s="6" t="s">
        <v>16</v>
      </c>
      <c r="D18" s="7" t="s">
        <v>75</v>
      </c>
      <c r="E18" s="8" t="s">
        <v>76</v>
      </c>
      <c r="F18" s="6" t="s">
        <v>77</v>
      </c>
      <c r="G18" s="9" t="s">
        <v>77</v>
      </c>
      <c r="H18" s="10" t="s">
        <v>16</v>
      </c>
      <c r="I18" s="11" t="s">
        <v>16</v>
      </c>
      <c r="J18" s="12"/>
    </row>
    <row r="19" spans="1:10" ht="60" customHeight="1">
      <c r="A19" s="6" t="s">
        <v>78</v>
      </c>
      <c r="B19" s="6" t="s">
        <v>23</v>
      </c>
      <c r="C19" s="6" t="s">
        <v>79</v>
      </c>
      <c r="D19" s="7" t="s">
        <v>80</v>
      </c>
      <c r="E19" s="8" t="s">
        <v>81</v>
      </c>
      <c r="F19" s="6" t="s">
        <v>82</v>
      </c>
      <c r="G19" s="9" t="s">
        <v>82</v>
      </c>
      <c r="H19" s="10" t="s">
        <v>16</v>
      </c>
      <c r="I19" s="11" t="s">
        <v>16</v>
      </c>
      <c r="J19" s="12"/>
    </row>
    <row r="20" spans="1:10" ht="60" customHeight="1">
      <c r="A20" s="6" t="s">
        <v>83</v>
      </c>
      <c r="B20" s="6" t="s">
        <v>17</v>
      </c>
      <c r="C20" s="6" t="s">
        <v>24</v>
      </c>
      <c r="D20" s="7" t="s">
        <v>84</v>
      </c>
      <c r="E20" s="8" t="s">
        <v>85</v>
      </c>
      <c r="F20" s="6" t="s">
        <v>86</v>
      </c>
      <c r="G20" s="9" t="s">
        <v>86</v>
      </c>
      <c r="H20" s="10" t="s">
        <v>16</v>
      </c>
      <c r="I20" s="11" t="s">
        <v>16</v>
      </c>
      <c r="J20" s="12"/>
    </row>
    <row r="21" spans="1:10" ht="60" customHeight="1">
      <c r="A21" s="6" t="s">
        <v>87</v>
      </c>
      <c r="B21" s="6" t="s">
        <v>74</v>
      </c>
      <c r="C21" s="6" t="s">
        <v>88</v>
      </c>
      <c r="D21" s="7" t="s">
        <v>89</v>
      </c>
      <c r="E21" s="8" t="s">
        <v>90</v>
      </c>
      <c r="F21" s="6" t="s">
        <v>91</v>
      </c>
      <c r="G21" s="9" t="s">
        <v>91</v>
      </c>
      <c r="H21" s="10" t="s">
        <v>16</v>
      </c>
      <c r="I21" s="11" t="s">
        <v>16</v>
      </c>
      <c r="J21" s="12"/>
    </row>
    <row r="22" spans="1:10" ht="60" customHeight="1">
      <c r="A22" s="6" t="s">
        <v>92</v>
      </c>
      <c r="B22" s="6" t="s">
        <v>74</v>
      </c>
      <c r="C22" s="6" t="s">
        <v>93</v>
      </c>
      <c r="D22" s="7" t="s">
        <v>94</v>
      </c>
      <c r="E22" s="8" t="s">
        <v>95</v>
      </c>
      <c r="F22" s="6" t="s">
        <v>96</v>
      </c>
      <c r="G22" s="9" t="s">
        <v>96</v>
      </c>
      <c r="H22" s="10" t="s">
        <v>16</v>
      </c>
      <c r="I22" s="11" t="s">
        <v>16</v>
      </c>
      <c r="J22" s="12"/>
    </row>
    <row r="23" spans="1:10" ht="60" customHeight="1">
      <c r="A23" s="6" t="s">
        <v>97</v>
      </c>
      <c r="B23" s="6" t="s">
        <v>98</v>
      </c>
      <c r="C23" s="6" t="s">
        <v>99</v>
      </c>
      <c r="D23" s="7" t="s">
        <v>100</v>
      </c>
      <c r="E23" s="8" t="s">
        <v>101</v>
      </c>
      <c r="F23" s="6" t="s">
        <v>102</v>
      </c>
      <c r="G23" s="9" t="s">
        <v>102</v>
      </c>
      <c r="H23" s="10" t="s">
        <v>16</v>
      </c>
      <c r="I23" s="11" t="s">
        <v>16</v>
      </c>
      <c r="J23" s="12"/>
    </row>
    <row r="24" spans="1:10" ht="60" customHeight="1">
      <c r="A24" s="6" t="s">
        <v>98</v>
      </c>
      <c r="B24" s="6" t="s">
        <v>57</v>
      </c>
      <c r="C24" s="6" t="s">
        <v>103</v>
      </c>
      <c r="D24" s="7" t="s">
        <v>104</v>
      </c>
      <c r="E24" s="8" t="s">
        <v>105</v>
      </c>
      <c r="F24" s="6" t="s">
        <v>106</v>
      </c>
      <c r="G24" s="9" t="s">
        <v>106</v>
      </c>
      <c r="H24" s="10" t="s">
        <v>16</v>
      </c>
      <c r="I24" s="11" t="s">
        <v>16</v>
      </c>
      <c r="J24" s="12"/>
    </row>
    <row r="25" spans="1:10" ht="60" customHeight="1">
      <c r="A25" s="6" t="s">
        <v>107</v>
      </c>
      <c r="B25" s="6" t="s">
        <v>28</v>
      </c>
      <c r="C25" s="6" t="s">
        <v>108</v>
      </c>
      <c r="D25" s="7" t="s">
        <v>109</v>
      </c>
      <c r="E25" s="8" t="s">
        <v>110</v>
      </c>
      <c r="F25" s="6" t="s">
        <v>111</v>
      </c>
      <c r="G25" s="9" t="s">
        <v>111</v>
      </c>
      <c r="H25" s="10" t="s">
        <v>16</v>
      </c>
      <c r="I25" s="11" t="s">
        <v>16</v>
      </c>
      <c r="J25" s="12"/>
    </row>
    <row r="26" spans="1:10" ht="60" customHeight="1">
      <c r="A26" s="6" t="s">
        <v>112</v>
      </c>
      <c r="B26" s="6" t="s">
        <v>74</v>
      </c>
      <c r="C26" s="6" t="s">
        <v>66</v>
      </c>
      <c r="D26" s="7" t="s">
        <v>113</v>
      </c>
      <c r="E26" s="8" t="s">
        <v>114</v>
      </c>
      <c r="F26" s="6" t="s">
        <v>115</v>
      </c>
      <c r="G26" s="9" t="s">
        <v>115</v>
      </c>
      <c r="H26" s="10" t="s">
        <v>16</v>
      </c>
      <c r="I26" s="11" t="s">
        <v>16</v>
      </c>
      <c r="J26" s="12"/>
    </row>
    <row r="27" spans="1:10" ht="60" customHeight="1">
      <c r="A27" s="6" t="s">
        <v>116</v>
      </c>
      <c r="B27" s="6" t="s">
        <v>17</v>
      </c>
      <c r="C27" s="6" t="s">
        <v>16</v>
      </c>
      <c r="D27" s="7" t="s">
        <v>117</v>
      </c>
      <c r="E27" s="8" t="s">
        <v>118</v>
      </c>
      <c r="F27" s="6" t="s">
        <v>119</v>
      </c>
      <c r="G27" s="9" t="s">
        <v>119</v>
      </c>
      <c r="H27" s="10" t="s">
        <v>16</v>
      </c>
      <c r="I27" s="11" t="s">
        <v>16</v>
      </c>
      <c r="J27" s="12"/>
    </row>
    <row r="28" spans="1:10" ht="60" customHeight="1">
      <c r="A28" s="6" t="s">
        <v>120</v>
      </c>
      <c r="B28" s="6" t="s">
        <v>17</v>
      </c>
      <c r="C28" s="6" t="s">
        <v>16</v>
      </c>
      <c r="D28" s="7" t="s">
        <v>121</v>
      </c>
      <c r="E28" s="8" t="s">
        <v>122</v>
      </c>
      <c r="F28" s="6" t="s">
        <v>123</v>
      </c>
      <c r="G28" s="9" t="s">
        <v>123</v>
      </c>
      <c r="H28" s="10" t="s">
        <v>16</v>
      </c>
      <c r="I28" s="11" t="s">
        <v>16</v>
      </c>
      <c r="J28" s="12"/>
    </row>
    <row r="29" spans="1:10" ht="60" customHeight="1">
      <c r="A29" s="6" t="s">
        <v>124</v>
      </c>
      <c r="B29" s="6" t="s">
        <v>28</v>
      </c>
      <c r="C29" s="6" t="s">
        <v>125</v>
      </c>
      <c r="D29" s="7" t="s">
        <v>109</v>
      </c>
      <c r="E29" s="8" t="s">
        <v>126</v>
      </c>
      <c r="F29" s="6" t="s">
        <v>127</v>
      </c>
      <c r="G29" s="9" t="s">
        <v>127</v>
      </c>
      <c r="H29" s="10" t="s">
        <v>16</v>
      </c>
      <c r="I29" s="11" t="s">
        <v>16</v>
      </c>
      <c r="J29" s="12"/>
    </row>
    <row r="30" spans="1:10" ht="60" customHeight="1">
      <c r="A30" s="6" t="s">
        <v>128</v>
      </c>
      <c r="B30" s="6" t="s">
        <v>23</v>
      </c>
      <c r="C30" s="6" t="s">
        <v>16</v>
      </c>
      <c r="D30" s="7" t="s">
        <v>129</v>
      </c>
      <c r="E30" s="8" t="s">
        <v>130</v>
      </c>
      <c r="F30" s="6" t="s">
        <v>131</v>
      </c>
      <c r="G30" s="9" t="s">
        <v>131</v>
      </c>
      <c r="H30" s="10" t="s">
        <v>16</v>
      </c>
      <c r="I30" s="11" t="s">
        <v>16</v>
      </c>
      <c r="J30" s="12"/>
    </row>
    <row r="31" spans="1:10" ht="60" customHeight="1">
      <c r="A31" s="6" t="s">
        <v>132</v>
      </c>
      <c r="B31" s="6" t="s">
        <v>23</v>
      </c>
      <c r="C31" s="6" t="s">
        <v>133</v>
      </c>
      <c r="D31" s="7" t="s">
        <v>109</v>
      </c>
      <c r="E31" s="8" t="s">
        <v>134</v>
      </c>
      <c r="F31" s="6" t="s">
        <v>135</v>
      </c>
      <c r="G31" s="9" t="s">
        <v>135</v>
      </c>
      <c r="H31" s="10" t="s">
        <v>16</v>
      </c>
      <c r="I31" s="11" t="s">
        <v>16</v>
      </c>
      <c r="J31" s="12"/>
    </row>
    <row r="32" spans="1:10" ht="60" customHeight="1">
      <c r="A32" s="6" t="s">
        <v>136</v>
      </c>
      <c r="B32" s="6" t="s">
        <v>74</v>
      </c>
      <c r="C32" s="6" t="s">
        <v>12</v>
      </c>
      <c r="D32" s="7" t="s">
        <v>137</v>
      </c>
      <c r="E32" s="8" t="s">
        <v>138</v>
      </c>
      <c r="F32" s="6" t="s">
        <v>139</v>
      </c>
      <c r="G32" s="9" t="s">
        <v>139</v>
      </c>
      <c r="H32" s="10" t="s">
        <v>16</v>
      </c>
      <c r="I32" s="11" t="s">
        <v>16</v>
      </c>
      <c r="J32" s="12"/>
    </row>
    <row r="33" spans="1:10" ht="60" customHeight="1">
      <c r="A33" s="6" t="s">
        <v>140</v>
      </c>
      <c r="B33" s="6" t="s">
        <v>57</v>
      </c>
      <c r="C33" s="6" t="s">
        <v>99</v>
      </c>
      <c r="D33" s="7" t="s">
        <v>141</v>
      </c>
      <c r="E33" s="8" t="s">
        <v>142</v>
      </c>
      <c r="F33" s="6" t="s">
        <v>143</v>
      </c>
      <c r="G33" s="9" t="s">
        <v>143</v>
      </c>
      <c r="H33" s="10" t="s">
        <v>16</v>
      </c>
      <c r="I33" s="11" t="s">
        <v>16</v>
      </c>
      <c r="J33" s="12"/>
    </row>
    <row r="34" spans="1:10" ht="60" customHeight="1">
      <c r="A34" s="6" t="s">
        <v>144</v>
      </c>
      <c r="B34" s="6" t="s">
        <v>10</v>
      </c>
      <c r="C34" s="6" t="s">
        <v>145</v>
      </c>
      <c r="D34" s="7" t="s">
        <v>146</v>
      </c>
      <c r="E34" s="8" t="s">
        <v>147</v>
      </c>
      <c r="F34" s="6" t="s">
        <v>148</v>
      </c>
      <c r="G34" s="9" t="s">
        <v>148</v>
      </c>
      <c r="H34" s="10" t="s">
        <v>16</v>
      </c>
      <c r="I34" s="11" t="s">
        <v>16</v>
      </c>
      <c r="J34" s="12"/>
    </row>
    <row r="35" spans="1:10" ht="60" customHeight="1">
      <c r="A35" s="6" t="s">
        <v>149</v>
      </c>
      <c r="B35" s="6" t="s">
        <v>28</v>
      </c>
      <c r="C35" s="6" t="s">
        <v>93</v>
      </c>
      <c r="D35" s="7" t="s">
        <v>109</v>
      </c>
      <c r="E35" s="8" t="s">
        <v>150</v>
      </c>
      <c r="F35" s="6" t="s">
        <v>151</v>
      </c>
      <c r="G35" s="9" t="s">
        <v>151</v>
      </c>
      <c r="H35" s="10" t="s">
        <v>16</v>
      </c>
      <c r="I35" s="11" t="s">
        <v>16</v>
      </c>
      <c r="J35" s="12"/>
    </row>
    <row r="36" spans="1:10" ht="60" customHeight="1">
      <c r="A36" s="6" t="s">
        <v>152</v>
      </c>
      <c r="B36" s="6" t="s">
        <v>17</v>
      </c>
      <c r="C36" s="6" t="s">
        <v>16</v>
      </c>
      <c r="D36" s="7" t="s">
        <v>153</v>
      </c>
      <c r="E36" s="8" t="s">
        <v>154</v>
      </c>
      <c r="F36" s="6" t="s">
        <v>155</v>
      </c>
      <c r="G36" s="9" t="s">
        <v>155</v>
      </c>
      <c r="H36" s="10" t="s">
        <v>16</v>
      </c>
      <c r="I36" s="11" t="s">
        <v>16</v>
      </c>
      <c r="J36" s="12"/>
    </row>
    <row r="37" spans="1:10" ht="60" customHeight="1">
      <c r="A37" s="6" t="s">
        <v>156</v>
      </c>
      <c r="B37" s="6" t="s">
        <v>17</v>
      </c>
      <c r="C37" s="6" t="s">
        <v>16</v>
      </c>
      <c r="D37" s="7" t="s">
        <v>117</v>
      </c>
      <c r="E37" s="8" t="s">
        <v>157</v>
      </c>
      <c r="F37" s="6" t="s">
        <v>158</v>
      </c>
      <c r="G37" s="9" t="s">
        <v>158</v>
      </c>
      <c r="H37" s="10" t="s">
        <v>16</v>
      </c>
      <c r="I37" s="11" t="s">
        <v>16</v>
      </c>
      <c r="J37" s="12"/>
    </row>
    <row r="38" spans="1:10" ht="60" customHeight="1">
      <c r="A38" s="6" t="s">
        <v>159</v>
      </c>
      <c r="B38" s="6" t="s">
        <v>17</v>
      </c>
      <c r="C38" s="6" t="s">
        <v>16</v>
      </c>
      <c r="D38" s="7" t="s">
        <v>160</v>
      </c>
      <c r="E38" s="8" t="s">
        <v>161</v>
      </c>
      <c r="F38" s="6" t="s">
        <v>162</v>
      </c>
      <c r="G38" s="9" t="s">
        <v>162</v>
      </c>
      <c r="H38" s="10" t="s">
        <v>16</v>
      </c>
      <c r="I38" s="11" t="s">
        <v>16</v>
      </c>
      <c r="J38" s="12"/>
    </row>
    <row r="39" spans="1:10" ht="60" customHeight="1">
      <c r="A39" s="6" t="s">
        <v>163</v>
      </c>
      <c r="B39" s="6" t="s">
        <v>28</v>
      </c>
      <c r="C39" s="6" t="s">
        <v>125</v>
      </c>
      <c r="D39" s="7" t="s">
        <v>109</v>
      </c>
      <c r="E39" s="8" t="s">
        <v>164</v>
      </c>
      <c r="F39" s="6" t="s">
        <v>165</v>
      </c>
      <c r="G39" s="9" t="s">
        <v>165</v>
      </c>
      <c r="H39" s="10" t="s">
        <v>16</v>
      </c>
      <c r="I39" s="11" t="s">
        <v>16</v>
      </c>
      <c r="J39" s="12"/>
    </row>
    <row r="40" spans="1:10" ht="60" customHeight="1">
      <c r="A40" s="6" t="s">
        <v>166</v>
      </c>
      <c r="B40" s="6" t="s">
        <v>11</v>
      </c>
      <c r="C40" s="6" t="s">
        <v>88</v>
      </c>
      <c r="D40" s="7" t="s">
        <v>167</v>
      </c>
      <c r="E40" s="8" t="s">
        <v>168</v>
      </c>
      <c r="F40" s="6" t="s">
        <v>169</v>
      </c>
      <c r="G40" s="9" t="s">
        <v>169</v>
      </c>
      <c r="H40" s="10" t="s">
        <v>16</v>
      </c>
      <c r="I40" s="11" t="s">
        <v>16</v>
      </c>
      <c r="J40" s="12"/>
    </row>
    <row r="41" spans="1:10" ht="60" customHeight="1">
      <c r="A41" s="6" t="s">
        <v>170</v>
      </c>
      <c r="B41" s="6" t="s">
        <v>83</v>
      </c>
      <c r="C41" s="6" t="s">
        <v>66</v>
      </c>
      <c r="D41" s="7" t="s">
        <v>171</v>
      </c>
      <c r="E41" s="8" t="s">
        <v>172</v>
      </c>
      <c r="F41" s="6" t="s">
        <v>173</v>
      </c>
      <c r="G41" s="9" t="s">
        <v>173</v>
      </c>
      <c r="H41" s="10" t="s">
        <v>16</v>
      </c>
      <c r="I41" s="11" t="s">
        <v>16</v>
      </c>
      <c r="J41" s="12"/>
    </row>
    <row r="42" spans="1:10" ht="60" customHeight="1">
      <c r="A42" s="6" t="s">
        <v>174</v>
      </c>
      <c r="B42" s="6" t="s">
        <v>57</v>
      </c>
      <c r="C42" s="6" t="s">
        <v>66</v>
      </c>
      <c r="D42" s="7" t="s">
        <v>175</v>
      </c>
      <c r="E42" s="8" t="s">
        <v>176</v>
      </c>
      <c r="F42" s="6" t="s">
        <v>177</v>
      </c>
      <c r="G42" s="9" t="s">
        <v>177</v>
      </c>
      <c r="H42" s="10" t="s">
        <v>16</v>
      </c>
      <c r="I42" s="11" t="s">
        <v>16</v>
      </c>
      <c r="J42" s="12"/>
    </row>
    <row r="43" spans="1:10" ht="60" customHeight="1">
      <c r="A43" s="6" t="s">
        <v>178</v>
      </c>
      <c r="B43" s="6" t="s">
        <v>23</v>
      </c>
      <c r="C43" s="6" t="s">
        <v>179</v>
      </c>
      <c r="D43" s="7" t="s">
        <v>109</v>
      </c>
      <c r="E43" s="8" t="s">
        <v>180</v>
      </c>
      <c r="F43" s="6" t="s">
        <v>181</v>
      </c>
      <c r="G43" s="9" t="s">
        <v>181</v>
      </c>
      <c r="H43" s="10" t="s">
        <v>16</v>
      </c>
      <c r="I43" s="11" t="s">
        <v>16</v>
      </c>
      <c r="J43" s="12"/>
    </row>
    <row r="44" spans="1:10" ht="60" customHeight="1">
      <c r="A44" s="6" t="s">
        <v>182</v>
      </c>
      <c r="B44" s="6" t="s">
        <v>39</v>
      </c>
      <c r="C44" s="6" t="s">
        <v>16</v>
      </c>
      <c r="D44" s="7" t="s">
        <v>183</v>
      </c>
      <c r="E44" s="8" t="s">
        <v>184</v>
      </c>
      <c r="F44" s="6" t="s">
        <v>185</v>
      </c>
      <c r="G44" s="9" t="s">
        <v>185</v>
      </c>
      <c r="H44" s="10" t="s">
        <v>16</v>
      </c>
      <c r="I44" s="11" t="s">
        <v>16</v>
      </c>
      <c r="J44" s="12"/>
    </row>
    <row r="45" spans="1:10" ht="60" customHeight="1">
      <c r="A45" s="6" t="s">
        <v>186</v>
      </c>
      <c r="B45" s="6" t="s">
        <v>28</v>
      </c>
      <c r="C45" s="6" t="s">
        <v>125</v>
      </c>
      <c r="D45" s="7" t="s">
        <v>109</v>
      </c>
      <c r="E45" s="8" t="s">
        <v>164</v>
      </c>
      <c r="F45" s="6" t="s">
        <v>187</v>
      </c>
      <c r="G45" s="9" t="s">
        <v>187</v>
      </c>
      <c r="H45" s="10" t="s">
        <v>16</v>
      </c>
      <c r="I45" s="11" t="s">
        <v>16</v>
      </c>
      <c r="J45" s="12"/>
    </row>
    <row r="46" spans="1:10" ht="60" customHeight="1">
      <c r="A46" s="6" t="s">
        <v>188</v>
      </c>
      <c r="B46" s="6" t="s">
        <v>17</v>
      </c>
      <c r="C46" s="6" t="s">
        <v>16</v>
      </c>
      <c r="D46" s="7" t="s">
        <v>189</v>
      </c>
      <c r="E46" s="8" t="s">
        <v>190</v>
      </c>
      <c r="F46" s="6" t="s">
        <v>191</v>
      </c>
      <c r="G46" s="9" t="s">
        <v>191</v>
      </c>
      <c r="H46" s="10" t="s">
        <v>16</v>
      </c>
      <c r="I46" s="11" t="s">
        <v>16</v>
      </c>
      <c r="J46" s="12"/>
    </row>
    <row r="47" spans="1:10" ht="60" customHeight="1">
      <c r="A47" s="6" t="s">
        <v>192</v>
      </c>
      <c r="B47" s="6" t="s">
        <v>23</v>
      </c>
      <c r="C47" s="6" t="s">
        <v>193</v>
      </c>
      <c r="D47" s="7" t="s">
        <v>117</v>
      </c>
      <c r="E47" s="8" t="s">
        <v>194</v>
      </c>
      <c r="F47" s="6" t="s">
        <v>195</v>
      </c>
      <c r="G47" s="9" t="s">
        <v>195</v>
      </c>
      <c r="H47" s="10" t="s">
        <v>16</v>
      </c>
      <c r="I47" s="11" t="s">
        <v>16</v>
      </c>
      <c r="J47" s="12"/>
    </row>
    <row r="48" spans="1:10" ht="60" customHeight="1">
      <c r="A48" s="6" t="s">
        <v>196</v>
      </c>
      <c r="B48" s="6" t="s">
        <v>17</v>
      </c>
      <c r="C48" s="6" t="s">
        <v>125</v>
      </c>
      <c r="D48" s="7" t="s">
        <v>197</v>
      </c>
      <c r="E48" s="8" t="s">
        <v>198</v>
      </c>
      <c r="F48" s="6" t="s">
        <v>199</v>
      </c>
      <c r="G48" s="9" t="s">
        <v>199</v>
      </c>
      <c r="H48" s="10" t="s">
        <v>16</v>
      </c>
      <c r="I48" s="11" t="s">
        <v>16</v>
      </c>
      <c r="J48" s="12"/>
    </row>
    <row r="49" spans="1:10" ht="60" customHeight="1">
      <c r="A49" s="6" t="s">
        <v>200</v>
      </c>
      <c r="B49" s="6" t="s">
        <v>28</v>
      </c>
      <c r="C49" s="6" t="s">
        <v>125</v>
      </c>
      <c r="D49" s="7" t="s">
        <v>109</v>
      </c>
      <c r="E49" s="8" t="s">
        <v>164</v>
      </c>
      <c r="F49" s="6" t="s">
        <v>201</v>
      </c>
      <c r="G49" s="9" t="s">
        <v>201</v>
      </c>
      <c r="H49" s="10" t="s">
        <v>16</v>
      </c>
      <c r="I49" s="11" t="s">
        <v>16</v>
      </c>
      <c r="J49" s="12"/>
    </row>
    <row r="50" spans="1:10" ht="60" customHeight="1">
      <c r="A50" s="6" t="s">
        <v>202</v>
      </c>
      <c r="B50" s="6" t="s">
        <v>17</v>
      </c>
      <c r="C50" s="6" t="s">
        <v>16</v>
      </c>
      <c r="D50" s="7" t="s">
        <v>203</v>
      </c>
      <c r="E50" s="8" t="s">
        <v>204</v>
      </c>
      <c r="F50" s="6" t="s">
        <v>205</v>
      </c>
      <c r="G50" s="9" t="s">
        <v>205</v>
      </c>
      <c r="H50" s="10" t="s">
        <v>16</v>
      </c>
      <c r="I50" s="11" t="s">
        <v>16</v>
      </c>
      <c r="J50" s="12"/>
    </row>
    <row r="51" spans="1:10" ht="60" customHeight="1">
      <c r="A51" s="6" t="s">
        <v>206</v>
      </c>
      <c r="B51" s="6" t="s">
        <v>28</v>
      </c>
      <c r="C51" s="6" t="s">
        <v>24</v>
      </c>
      <c r="D51" s="7" t="s">
        <v>207</v>
      </c>
      <c r="E51" s="8" t="s">
        <v>208</v>
      </c>
      <c r="F51" s="6" t="s">
        <v>209</v>
      </c>
      <c r="G51" s="9" t="s">
        <v>209</v>
      </c>
      <c r="H51" s="10" t="s">
        <v>16</v>
      </c>
      <c r="I51" s="11" t="s">
        <v>16</v>
      </c>
      <c r="J51" s="12"/>
    </row>
    <row r="52" spans="1:10" ht="60" customHeight="1">
      <c r="A52" s="6" t="s">
        <v>210</v>
      </c>
      <c r="B52" s="6" t="s">
        <v>28</v>
      </c>
      <c r="C52" s="6" t="s">
        <v>24</v>
      </c>
      <c r="D52" s="7" t="s">
        <v>211</v>
      </c>
      <c r="E52" s="8" t="s">
        <v>212</v>
      </c>
      <c r="F52" s="6" t="s">
        <v>213</v>
      </c>
      <c r="G52" s="9" t="s">
        <v>213</v>
      </c>
      <c r="H52" s="10" t="s">
        <v>16</v>
      </c>
      <c r="I52" s="11" t="s">
        <v>16</v>
      </c>
      <c r="J52" s="12"/>
    </row>
    <row r="53" spans="1:10" ht="60" customHeight="1">
      <c r="A53" s="6" t="s">
        <v>214</v>
      </c>
      <c r="B53" s="6" t="s">
        <v>17</v>
      </c>
      <c r="C53" s="6" t="s">
        <v>24</v>
      </c>
      <c r="D53" s="7" t="s">
        <v>203</v>
      </c>
      <c r="E53" s="8" t="s">
        <v>215</v>
      </c>
      <c r="F53" s="6" t="s">
        <v>216</v>
      </c>
      <c r="G53" s="9" t="s">
        <v>216</v>
      </c>
      <c r="H53" s="10" t="s">
        <v>16</v>
      </c>
      <c r="I53" s="11" t="s">
        <v>16</v>
      </c>
      <c r="J53" s="12"/>
    </row>
    <row r="54" spans="1:10" ht="60" customHeight="1">
      <c r="A54" s="6" t="s">
        <v>217</v>
      </c>
      <c r="B54" s="6" t="s">
        <v>74</v>
      </c>
      <c r="C54" s="6" t="s">
        <v>103</v>
      </c>
      <c r="D54" s="7" t="s">
        <v>89</v>
      </c>
      <c r="E54" s="8" t="s">
        <v>218</v>
      </c>
      <c r="F54" s="6" t="s">
        <v>219</v>
      </c>
      <c r="G54" s="9" t="s">
        <v>219</v>
      </c>
      <c r="H54" s="10" t="s">
        <v>16</v>
      </c>
      <c r="I54" s="11" t="s">
        <v>16</v>
      </c>
      <c r="J54" s="12"/>
    </row>
    <row r="55" spans="1:10" ht="60" customHeight="1">
      <c r="A55" s="6" t="s">
        <v>220</v>
      </c>
      <c r="B55" s="6" t="s">
        <v>17</v>
      </c>
      <c r="C55" s="6" t="s">
        <v>16</v>
      </c>
      <c r="D55" s="7" t="s">
        <v>117</v>
      </c>
      <c r="E55" s="8" t="s">
        <v>157</v>
      </c>
      <c r="F55" s="6" t="s">
        <v>221</v>
      </c>
      <c r="G55" s="9" t="s">
        <v>221</v>
      </c>
      <c r="H55" s="10" t="s">
        <v>16</v>
      </c>
      <c r="I55" s="11" t="s">
        <v>16</v>
      </c>
      <c r="J55" s="12"/>
    </row>
    <row r="56" spans="1:10" ht="60" customHeight="1">
      <c r="A56" s="6" t="s">
        <v>222</v>
      </c>
      <c r="B56" s="6" t="s">
        <v>10</v>
      </c>
      <c r="C56" s="6" t="s">
        <v>88</v>
      </c>
      <c r="D56" s="7" t="s">
        <v>223</v>
      </c>
      <c r="E56" s="8" t="s">
        <v>224</v>
      </c>
      <c r="F56" s="6" t="s">
        <v>225</v>
      </c>
      <c r="G56" s="9" t="s">
        <v>225</v>
      </c>
      <c r="H56" s="10" t="s">
        <v>16</v>
      </c>
      <c r="I56" s="11" t="s">
        <v>16</v>
      </c>
      <c r="J56" s="12"/>
    </row>
    <row r="57" spans="1:10" ht="60" customHeight="1">
      <c r="A57" s="6" t="s">
        <v>226</v>
      </c>
      <c r="B57" s="6" t="s">
        <v>28</v>
      </c>
      <c r="C57" s="6" t="s">
        <v>125</v>
      </c>
      <c r="D57" s="7" t="s">
        <v>227</v>
      </c>
      <c r="E57" s="8" t="s">
        <v>228</v>
      </c>
      <c r="F57" s="6" t="s">
        <v>229</v>
      </c>
      <c r="G57" s="9" t="s">
        <v>229</v>
      </c>
      <c r="H57" s="10" t="s">
        <v>16</v>
      </c>
      <c r="I57" s="11" t="s">
        <v>16</v>
      </c>
      <c r="J57" s="12"/>
    </row>
    <row r="58" spans="1:10" ht="60" customHeight="1">
      <c r="A58" s="6" t="s">
        <v>230</v>
      </c>
      <c r="B58" s="6" t="s">
        <v>61</v>
      </c>
      <c r="C58" s="6" t="s">
        <v>193</v>
      </c>
      <c r="D58" s="7" t="s">
        <v>231</v>
      </c>
      <c r="E58" s="8" t="s">
        <v>232</v>
      </c>
      <c r="F58" s="6" t="s">
        <v>233</v>
      </c>
      <c r="G58" s="9" t="s">
        <v>233</v>
      </c>
      <c r="H58" s="10" t="s">
        <v>16</v>
      </c>
      <c r="I58" s="11" t="s">
        <v>16</v>
      </c>
      <c r="J58" s="12"/>
    </row>
    <row r="59" spans="1:10" ht="60" customHeight="1">
      <c r="A59" s="6" t="s">
        <v>234</v>
      </c>
      <c r="B59" s="6" t="s">
        <v>65</v>
      </c>
      <c r="C59" s="6" t="s">
        <v>193</v>
      </c>
      <c r="D59" s="7" t="s">
        <v>146</v>
      </c>
      <c r="E59" s="8" t="s">
        <v>235</v>
      </c>
      <c r="F59" s="6" t="s">
        <v>236</v>
      </c>
      <c r="G59" s="9" t="s">
        <v>236</v>
      </c>
      <c r="H59" s="10" t="s">
        <v>16</v>
      </c>
      <c r="I59" s="11" t="s">
        <v>16</v>
      </c>
      <c r="J59" s="12"/>
    </row>
    <row r="60" spans="1:10" ht="60" customHeight="1">
      <c r="A60" s="6" t="s">
        <v>237</v>
      </c>
      <c r="B60" s="6" t="s">
        <v>53</v>
      </c>
      <c r="C60" s="6" t="s">
        <v>66</v>
      </c>
      <c r="D60" s="7" t="s">
        <v>238</v>
      </c>
      <c r="E60" s="8" t="s">
        <v>239</v>
      </c>
      <c r="F60" s="6" t="s">
        <v>240</v>
      </c>
      <c r="G60" s="9" t="s">
        <v>240</v>
      </c>
      <c r="H60" s="10" t="s">
        <v>16</v>
      </c>
      <c r="I60" s="11" t="s">
        <v>16</v>
      </c>
      <c r="J60" s="12"/>
    </row>
    <row r="61" spans="1:10" ht="60" customHeight="1">
      <c r="A61" s="6" t="s">
        <v>241</v>
      </c>
      <c r="B61" s="6" t="s">
        <v>10</v>
      </c>
      <c r="C61" s="6" t="s">
        <v>16</v>
      </c>
      <c r="D61" s="7" t="s">
        <v>183</v>
      </c>
      <c r="E61" s="8" t="s">
        <v>242</v>
      </c>
      <c r="F61" s="6" t="s">
        <v>243</v>
      </c>
      <c r="G61" s="9" t="s">
        <v>243</v>
      </c>
      <c r="H61" s="10" t="s">
        <v>16</v>
      </c>
      <c r="I61" s="11" t="s">
        <v>16</v>
      </c>
      <c r="J61" s="12"/>
    </row>
    <row r="62" spans="1:10" ht="60" customHeight="1">
      <c r="A62" s="6" t="s">
        <v>244</v>
      </c>
      <c r="B62" s="6" t="s">
        <v>17</v>
      </c>
      <c r="C62" s="6" t="s">
        <v>16</v>
      </c>
      <c r="D62" s="7" t="s">
        <v>117</v>
      </c>
      <c r="E62" s="8" t="s">
        <v>157</v>
      </c>
      <c r="F62" s="6" t="s">
        <v>245</v>
      </c>
      <c r="G62" s="9" t="s">
        <v>245</v>
      </c>
      <c r="H62" s="10" t="s">
        <v>16</v>
      </c>
      <c r="I62" s="11" t="s">
        <v>16</v>
      </c>
      <c r="J62" s="12"/>
    </row>
    <row r="63" spans="1:10" ht="60" customHeight="1">
      <c r="A63" s="6" t="s">
        <v>246</v>
      </c>
      <c r="B63" s="6" t="s">
        <v>10</v>
      </c>
      <c r="C63" s="6" t="s">
        <v>12</v>
      </c>
      <c r="D63" s="7" t="s">
        <v>247</v>
      </c>
      <c r="E63" s="8" t="s">
        <v>248</v>
      </c>
      <c r="F63" s="6" t="s">
        <v>249</v>
      </c>
      <c r="G63" s="9" t="s">
        <v>249</v>
      </c>
      <c r="H63" s="10" t="s">
        <v>16</v>
      </c>
      <c r="I63" s="11" t="s">
        <v>16</v>
      </c>
      <c r="J63" s="12"/>
    </row>
    <row r="64" spans="1:10" ht="60" customHeight="1">
      <c r="A64" s="6" t="s">
        <v>250</v>
      </c>
      <c r="B64" s="6" t="s">
        <v>28</v>
      </c>
      <c r="C64" s="6" t="s">
        <v>125</v>
      </c>
      <c r="D64" s="7" t="s">
        <v>109</v>
      </c>
      <c r="E64" s="8" t="s">
        <v>164</v>
      </c>
      <c r="F64" s="6" t="s">
        <v>251</v>
      </c>
      <c r="G64" s="9" t="s">
        <v>251</v>
      </c>
      <c r="H64" s="10" t="s">
        <v>16</v>
      </c>
      <c r="I64" s="11" t="s">
        <v>16</v>
      </c>
      <c r="J64" s="12"/>
    </row>
    <row r="65" spans="1:10" ht="60" customHeight="1">
      <c r="A65" s="6" t="s">
        <v>252</v>
      </c>
      <c r="B65" s="6" t="s">
        <v>10</v>
      </c>
      <c r="C65" s="6" t="s">
        <v>12</v>
      </c>
      <c r="D65" s="7" t="s">
        <v>253</v>
      </c>
      <c r="E65" s="8" t="s">
        <v>254</v>
      </c>
      <c r="F65" s="6" t="s">
        <v>255</v>
      </c>
      <c r="G65" s="9" t="s">
        <v>255</v>
      </c>
      <c r="H65" s="10" t="s">
        <v>16</v>
      </c>
      <c r="I65" s="11" t="s">
        <v>16</v>
      </c>
      <c r="J65" s="12"/>
    </row>
    <row r="66" spans="1:10" ht="60" customHeight="1">
      <c r="A66" s="6" t="s">
        <v>256</v>
      </c>
      <c r="B66" s="6" t="s">
        <v>17</v>
      </c>
      <c r="C66" s="6" t="s">
        <v>24</v>
      </c>
      <c r="D66" s="7" t="s">
        <v>257</v>
      </c>
      <c r="E66" s="8" t="s">
        <v>258</v>
      </c>
      <c r="F66" s="6" t="s">
        <v>259</v>
      </c>
      <c r="G66" s="9" t="s">
        <v>259</v>
      </c>
      <c r="H66" s="10" t="s">
        <v>16</v>
      </c>
      <c r="I66" s="11" t="s">
        <v>16</v>
      </c>
      <c r="J66" s="12"/>
    </row>
    <row r="67" spans="1:10" ht="60" customHeight="1">
      <c r="A67" s="6" t="s">
        <v>260</v>
      </c>
      <c r="B67" s="6" t="s">
        <v>23</v>
      </c>
      <c r="C67" s="6" t="s">
        <v>58</v>
      </c>
      <c r="D67" s="7" t="s">
        <v>253</v>
      </c>
      <c r="E67" s="8" t="s">
        <v>261</v>
      </c>
      <c r="F67" s="6" t="s">
        <v>262</v>
      </c>
      <c r="G67" s="9" t="s">
        <v>262</v>
      </c>
      <c r="H67" s="10" t="s">
        <v>16</v>
      </c>
      <c r="I67" s="11" t="s">
        <v>16</v>
      </c>
      <c r="J67" s="12"/>
    </row>
    <row r="68" spans="1:10" ht="60" customHeight="1">
      <c r="A68" s="6" t="s">
        <v>263</v>
      </c>
      <c r="B68" s="6" t="s">
        <v>17</v>
      </c>
      <c r="C68" s="6" t="s">
        <v>193</v>
      </c>
      <c r="D68" s="7" t="s">
        <v>264</v>
      </c>
      <c r="E68" s="8" t="s">
        <v>265</v>
      </c>
      <c r="F68" s="6" t="s">
        <v>266</v>
      </c>
      <c r="G68" s="9" t="s">
        <v>266</v>
      </c>
      <c r="H68" s="10" t="s">
        <v>16</v>
      </c>
      <c r="I68" s="11" t="s">
        <v>16</v>
      </c>
      <c r="J68" s="12"/>
    </row>
    <row r="69" spans="1:10" ht="60" customHeight="1">
      <c r="A69" s="6" t="s">
        <v>267</v>
      </c>
      <c r="B69" s="6" t="s">
        <v>61</v>
      </c>
      <c r="C69" s="6" t="s">
        <v>66</v>
      </c>
      <c r="D69" s="7" t="s">
        <v>264</v>
      </c>
      <c r="E69" s="8" t="s">
        <v>268</v>
      </c>
      <c r="F69" s="6" t="s">
        <v>269</v>
      </c>
      <c r="G69" s="9" t="s">
        <v>269</v>
      </c>
      <c r="H69" s="10" t="s">
        <v>16</v>
      </c>
      <c r="I69" s="11" t="s">
        <v>16</v>
      </c>
      <c r="J69" s="12"/>
    </row>
    <row r="70" spans="1:10" ht="60" customHeight="1">
      <c r="A70" s="6" t="s">
        <v>270</v>
      </c>
      <c r="B70" s="6" t="s">
        <v>17</v>
      </c>
      <c r="C70" s="6" t="s">
        <v>193</v>
      </c>
      <c r="D70" s="7" t="s">
        <v>264</v>
      </c>
      <c r="E70" s="8" t="s">
        <v>271</v>
      </c>
      <c r="F70" s="6" t="s">
        <v>272</v>
      </c>
      <c r="G70" s="9" t="s">
        <v>272</v>
      </c>
      <c r="H70" s="10" t="s">
        <v>16</v>
      </c>
      <c r="I70" s="11" t="s">
        <v>16</v>
      </c>
      <c r="J70" s="12"/>
    </row>
    <row r="71" spans="1:10" ht="60" customHeight="1">
      <c r="A71" s="6" t="s">
        <v>273</v>
      </c>
      <c r="B71" s="6" t="s">
        <v>10</v>
      </c>
      <c r="C71" s="6" t="s">
        <v>99</v>
      </c>
      <c r="D71" s="7" t="s">
        <v>274</v>
      </c>
      <c r="E71" s="8" t="s">
        <v>275</v>
      </c>
      <c r="F71" s="6" t="s">
        <v>276</v>
      </c>
      <c r="G71" s="9" t="s">
        <v>276</v>
      </c>
      <c r="H71" s="10" t="s">
        <v>16</v>
      </c>
      <c r="I71" s="11" t="s">
        <v>16</v>
      </c>
      <c r="J71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9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277</v>
      </c>
      <c r="B1" s="13" t="s">
        <v>278</v>
      </c>
      <c r="C1" s="13" t="s">
        <v>279</v>
      </c>
      <c r="D1" s="13" t="s">
        <v>280</v>
      </c>
      <c r="E1" s="14" t="s">
        <v>281</v>
      </c>
      <c r="F1" s="15" t="s">
        <v>282</v>
      </c>
      <c r="G1" s="16" t="s">
        <v>283</v>
      </c>
      <c r="H1" s="17" t="s">
        <v>284</v>
      </c>
      <c r="I1" s="18" t="s">
        <v>285</v>
      </c>
      <c r="J1" s="18" t="s">
        <v>286</v>
      </c>
      <c r="K1" s="18" t="s">
        <v>287</v>
      </c>
      <c r="L1" s="19" t="s">
        <v>9</v>
      </c>
    </row>
    <row r="2" spans="1:12">
      <c r="A2" s="20" t="s">
        <v>288</v>
      </c>
    </row>
    <row r="3" spans="1:12">
      <c r="A3" s="20" t="s">
        <v>289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290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291</v>
      </c>
      <c r="B5" s="27" t="s">
        <v>292</v>
      </c>
      <c r="C5" s="27" t="s">
        <v>293</v>
      </c>
      <c r="D5" s="27" t="s">
        <v>294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295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296</v>
      </c>
      <c r="B7" s="27" t="s">
        <v>297</v>
      </c>
      <c r="C7" s="27" t="s">
        <v>298</v>
      </c>
      <c r="D7" s="27" t="s">
        <v>294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299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300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301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302</v>
      </c>
      <c r="B11" s="27" t="s">
        <v>303</v>
      </c>
      <c r="C11" s="27" t="s">
        <v>293</v>
      </c>
      <c r="D11" s="27" t="s">
        <v>294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304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295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305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306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 t="s">
        <v>307</v>
      </c>
      <c r="E16" s="21">
        <f>IF(D16="?OLD","!!!","")</f>
        <v/>
      </c>
      <c r="F16" s="22" t="str">
        <f>IF(OR(E16="",E16="!!!"),"",IF(NOT(ISNA(VLOOKUP(E16,E$1:E15,1,FALSE()))),"OLD",IF(AND(E16&lt;&gt;"",E16&lt;&gt;"!!!"),"NEW","")))</f>
        <v> </v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4" t="str">
        <f>IF(J16&lt;&gt;1,"",IF(I16="SBJ","CB","?"))</f>
        <v> </v>
      </c>
      <c r="I16" s="25" t="str">
        <f>IF(OR(E16="",E16="!!!",F16="NEW"),"",INDEX(B15:B$2,-1+SUMPRODUCT(MAX(ROW(E15:E$2)*(E16=E15:E$2)))))</f>
        <v> </v>
      </c>
      <c r="J16" s="25" t="str">
        <f>IF(OR(E16="",E16="!!!",F16="NEW"),"",COUNTBLANK(OFFSET(A$1,,,SUMPRODUCT(MAX(ROW(E$2:E16)*(E16=E$2:E16)))))-COUNTBLANK(OFFSET(A$1,,,SUMPRODUCT(MAX(ROW(E$1:E15)*(E2=E$1:E15))))))</f>
        <v> </v>
      </c>
      <c r="K16" s="25" t="str">
        <f>IF(OR(E16="",E16="!!!",F16="NEW"),"",INDEX(J$1:J15,SUMPRODUCT(MAX(ROW(E$1:E15)*(E16=E$1:E15)))))</f>
        <v> </v>
      </c>
      <c r="L16" s="26"/>
    </row>
    <row r="17" spans="1:12">
      <c r="A17" s="20" t="s">
        <v>295</v>
      </c>
      <c r="E17" s="21">
        <f>IF(D17="?OLD","!!!","")</f>
        <v/>
      </c>
      <c r="F17" s="22" t="str">
        <f>IF(OR(E17="",E17="!!!"),"",IF(NOT(ISNA(VLOOKUP(E17,E$1:E16,1,FALSE()))),"OLD",IF(AND(E17&lt;&gt;"",E17&lt;&gt;"!!!"),"NEW","")))</f>
        <v> </v>
      </c>
      <c r="G17" s="23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4" t="str">
        <f>IF(J17&lt;&gt;1,"",IF(I17="SBJ","CB","?"))</f>
        <v> </v>
      </c>
      <c r="I17" s="25" t="str">
        <f>IF(OR(E17="",E17="!!!",F17="NEW"),"",INDEX(B16:B$2,-1+SUMPRODUCT(MAX(ROW(E16:E$2)*(E17=E16:E$2)))))</f>
        <v> </v>
      </c>
      <c r="J17" s="25" t="str">
        <f>IF(OR(E17="",E17="!!!",F17="NEW"),"",COUNTBLANK(OFFSET(A$1,,,SUMPRODUCT(MAX(ROW(E$2:E17)*(E17=E$2:E17)))))-COUNTBLANK(OFFSET(A$1,,,SUMPRODUCT(MAX(ROW(E$1:E16)*(E2=E$1:E16))))))</f>
        <v> </v>
      </c>
      <c r="K17" s="25" t="str">
        <f>IF(OR(E17="",E17="!!!",F17="NEW"),"",INDEX(J$1:J16,SUMPRODUCT(MAX(ROW(E$1:E16)*(E17=E$1:E16)))))</f>
        <v> </v>
      </c>
      <c r="L17" s="26"/>
    </row>
    <row r="18" spans="1:12">
      <c r="A18" s="20" t="s">
        <v>308</v>
      </c>
      <c r="B18" s="27" t="s">
        <v>292</v>
      </c>
      <c r="C18" s="27" t="s">
        <v>309</v>
      </c>
      <c r="D18" s="27" t="s">
        <v>294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310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311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312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313</v>
      </c>
      <c r="B22" s="27" t="s">
        <v>314</v>
      </c>
      <c r="C22" s="27" t="s">
        <v>315</v>
      </c>
      <c r="D22" s="27" t="s">
        <v>294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316</v>
      </c>
      <c r="B23" s="27" t="s">
        <v>292</v>
      </c>
      <c r="C23" s="27" t="s">
        <v>293</v>
      </c>
      <c r="D23" s="27" t="s">
        <v>294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/>
    </row>
    <row r="25" spans="1:12">
      <c r="A25" s="20" t="s">
        <v>317</v>
      </c>
    </row>
    <row r="26" spans="1:12">
      <c r="A26" s="20" t="s">
        <v>318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319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301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320</v>
      </c>
      <c r="B29" s="27" t="s">
        <v>292</v>
      </c>
      <c r="C29" s="27" t="s">
        <v>293</v>
      </c>
      <c r="D29" s="27" t="s">
        <v>294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295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321</v>
      </c>
      <c r="B31" s="27" t="s">
        <v>322</v>
      </c>
      <c r="C31" s="27" t="s">
        <v>309</v>
      </c>
      <c r="D31" s="27" t="s">
        <v>294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323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324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/>
    </row>
    <row r="35" spans="1:12">
      <c r="A35" s="20" t="s">
        <v>325</v>
      </c>
    </row>
    <row r="36" spans="1:12">
      <c r="A36" s="20" t="s">
        <v>326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34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312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327</v>
      </c>
      <c r="B39" s="27" t="s">
        <v>322</v>
      </c>
      <c r="C39" s="27" t="s">
        <v>293</v>
      </c>
      <c r="D39" s="27" t="s">
        <v>294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328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329</v>
      </c>
      <c r="B41" s="27" t="s">
        <v>303</v>
      </c>
      <c r="C41" s="27" t="s">
        <v>330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295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331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332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333</v>
      </c>
      <c r="B45" s="27" t="s">
        <v>334</v>
      </c>
      <c r="C45" s="27" t="s">
        <v>309</v>
      </c>
      <c r="D45" s="27" t="s">
        <v>294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 t="s">
        <v>335</v>
      </c>
      <c r="E46" s="21">
        <f>IF(D46="?OLD","!!!","")</f>
        <v/>
      </c>
      <c r="F46" s="22" t="str">
        <f>IF(OR(E46="",E46="!!!"),"",IF(NOT(ISNA(VLOOKUP(E46,E$1:E45,1,FALSE()))),"OLD",IF(AND(E46&lt;&gt;"",E46&lt;&gt;"!!!"),"NEW","")))</f>
        <v> </v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4" t="str">
        <f>IF(J46&lt;&gt;1,"",IF(I46="SBJ","CB","?"))</f>
        <v> </v>
      </c>
      <c r="I46" s="25" t="str">
        <f>IF(OR(E46="",E46="!!!",F46="NEW"),"",INDEX(B45:B$2,-1+SUMPRODUCT(MAX(ROW(E45:E$2)*(E46=E45:E$2)))))</f>
        <v> </v>
      </c>
      <c r="J46" s="25" t="str">
        <f>IF(OR(E46="",E46="!!!",F46="NEW"),"",COUNTBLANK(OFFSET(A$1,,,SUMPRODUCT(MAX(ROW(E$2:E46)*(E46=E$2:E46)))))-COUNTBLANK(OFFSET(A$1,,,SUMPRODUCT(MAX(ROW(E$1:E45)*(E2=E$1:E45))))))</f>
        <v> </v>
      </c>
      <c r="K46" s="25" t="str">
        <f>IF(OR(E46="",E46="!!!",F46="NEW"),"",INDEX(J$1:J45,SUMPRODUCT(MAX(ROW(E$1:E45)*(E46=E$1:E45)))))</f>
        <v> </v>
      </c>
      <c r="L46" s="26"/>
    </row>
    <row r="47" spans="1:12">
      <c r="A47" s="20" t="s">
        <v>336</v>
      </c>
      <c r="E47" s="21">
        <f>IF(D47="?OLD","!!!","")</f>
        <v/>
      </c>
      <c r="F47" s="22" t="str">
        <f>IF(OR(E47="",E47="!!!"),"",IF(NOT(ISNA(VLOOKUP(E47,E$1:E46,1,FALSE()))),"OLD",IF(AND(E47&lt;&gt;"",E47&lt;&gt;"!!!"),"NEW","")))</f>
        <v> </v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4" t="str">
        <f>IF(J47&lt;&gt;1,"",IF(I47="SBJ","CB","?"))</f>
        <v> </v>
      </c>
      <c r="I47" s="25" t="str">
        <f>IF(OR(E47="",E47="!!!",F47="NEW"),"",INDEX(B46:B$2,-1+SUMPRODUCT(MAX(ROW(E46:E$2)*(E47=E46:E$2)))))</f>
        <v> </v>
      </c>
      <c r="J47" s="25" t="str">
        <f>IF(OR(E47="",E47="!!!",F47="NEW"),"",COUNTBLANK(OFFSET(A$1,,,SUMPRODUCT(MAX(ROW(E$2:E47)*(E47=E$2:E47)))))-COUNTBLANK(OFFSET(A$1,,,SUMPRODUCT(MAX(ROW(E$1:E46)*(E2=E$1:E46))))))</f>
        <v> </v>
      </c>
      <c r="K47" s="25" t="str">
        <f>IF(OR(E47="",E47="!!!",F47="NEW"),"",INDEX(J$1:J46,SUMPRODUCT(MAX(ROW(E$1:E46)*(E47=E$1:E46)))))</f>
        <v> </v>
      </c>
      <c r="L47" s="26"/>
    </row>
    <row r="48" spans="1:12">
      <c r="A48" s="20" t="s">
        <v>337</v>
      </c>
      <c r="B48" s="27" t="s">
        <v>303</v>
      </c>
      <c r="C48" s="27" t="s">
        <v>338</v>
      </c>
      <c r="D48" s="27" t="s">
        <v>294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332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312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339</v>
      </c>
      <c r="B51" s="27" t="s">
        <v>340</v>
      </c>
      <c r="C51" s="27" t="s">
        <v>293</v>
      </c>
      <c r="D51" s="27" t="s">
        <v>294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/>
    </row>
    <row r="53" spans="1:12">
      <c r="A53" s="20" t="s">
        <v>341</v>
      </c>
    </row>
    <row r="54" spans="1:12">
      <c r="A54" s="20" t="s">
        <v>34</v>
      </c>
      <c r="E54" s="21">
        <f>IF(D54="?OLD","!!!","")</f>
        <v/>
      </c>
      <c r="F54" s="22" t="str">
        <f>IF(OR(E54="",E54="!!!"),"",IF(NOT(ISNA(VLOOKUP(E54,E$1:E53,1,FALSE()))),"OLD",IF(AND(E54&lt;&gt;"",E54&lt;&gt;"!!!"),"NEW","")))</f>
        <v> </v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4" t="str">
        <f>IF(J54&lt;&gt;1,"",IF(I54="SBJ","CB","?"))</f>
        <v> </v>
      </c>
      <c r="I54" s="25" t="str">
        <f>IF(OR(E54="",E54="!!!",F54="NEW"),"",INDEX(B53:B$2,-1+SUMPRODUCT(MAX(ROW(E53:E$2)*(E54=E53:E$2)))))</f>
        <v> </v>
      </c>
      <c r="J54" s="25" t="str">
        <f>IF(OR(E54="",E54="!!!",F54="NEW"),"",COUNTBLANK(OFFSET(A$1,,,SUMPRODUCT(MAX(ROW(E$2:E54)*(E54=E$2:E54)))))-COUNTBLANK(OFFSET(A$1,,,SUMPRODUCT(MAX(ROW(E$1:E53)*(E2=E$1:E53))))))</f>
        <v> </v>
      </c>
      <c r="K54" s="25" t="str">
        <f>IF(OR(E54="",E54="!!!",F54="NEW"),"",INDEX(J$1:J53,SUMPRODUCT(MAX(ROW(E$1:E53)*(E54=E$1:E53)))))</f>
        <v> </v>
      </c>
      <c r="L54" s="26"/>
    </row>
    <row r="55" spans="1:12">
      <c r="A55" s="20" t="s">
        <v>308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342</v>
      </c>
      <c r="B56" s="27" t="s">
        <v>297</v>
      </c>
      <c r="C56" s="27" t="s">
        <v>293</v>
      </c>
      <c r="D56" s="27" t="s">
        <v>294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295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331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343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344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/>
    </row>
    <row r="62" spans="1:12">
      <c r="A62" s="20" t="s">
        <v>345</v>
      </c>
    </row>
    <row r="63" spans="1:12">
      <c r="A63" s="20" t="s">
        <v>34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312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346</v>
      </c>
      <c r="B65" s="27" t="s">
        <v>322</v>
      </c>
      <c r="C65" s="27" t="s">
        <v>293</v>
      </c>
      <c r="D65" s="27" t="s">
        <v>294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295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331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347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301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211</v>
      </c>
      <c r="B70" s="27" t="s">
        <v>292</v>
      </c>
      <c r="C70" s="27" t="s">
        <v>293</v>
      </c>
      <c r="D70" s="27" t="s">
        <v>294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/>
    </row>
    <row r="72" spans="1:12">
      <c r="A72" s="20" t="s">
        <v>348</v>
      </c>
    </row>
    <row r="73" spans="1:12">
      <c r="A73" s="20" t="s">
        <v>34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349</v>
      </c>
      <c r="B74" s="27" t="s">
        <v>322</v>
      </c>
      <c r="C74" s="27" t="s">
        <v>350</v>
      </c>
      <c r="D74" s="27" t="s">
        <v>294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351</v>
      </c>
      <c r="B75" s="27" t="s">
        <v>352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353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354</v>
      </c>
      <c r="B77" s="27" t="s">
        <v>355</v>
      </c>
      <c r="C77" s="27" t="s">
        <v>330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304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356</v>
      </c>
      <c r="B79" s="27" t="s">
        <v>357</v>
      </c>
      <c r="C79" s="27" t="s">
        <v>338</v>
      </c>
      <c r="D79" s="27" t="s">
        <v>294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332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301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358</v>
      </c>
      <c r="B82" s="27" t="s">
        <v>359</v>
      </c>
      <c r="C82" s="27" t="s">
        <v>293</v>
      </c>
      <c r="D82" s="27" t="s">
        <v>294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295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331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343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360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/>
    </row>
    <row r="88" spans="1:12">
      <c r="A88" s="20" t="s">
        <v>361</v>
      </c>
    </row>
    <row r="89" spans="1:12">
      <c r="A89" s="20" t="s">
        <v>34</v>
      </c>
      <c r="E89" s="21">
        <f>IF(D89="?OLD","!!!","")</f>
        <v/>
      </c>
      <c r="F89" s="22" t="str">
        <f>IF(OR(E89="",E89="!!!"),"",IF(NOT(ISNA(VLOOKUP(E89,E$1:E88,1,FALSE()))),"OLD",IF(AND(E89&lt;&gt;"",E89&lt;&gt;"!!!"),"NEW","")))</f>
        <v> </v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4" t="str">
        <f>IF(J89&lt;&gt;1,"",IF(I89="SBJ","CB","?"))</f>
        <v> </v>
      </c>
      <c r="I89" s="25" t="str">
        <f>IF(OR(E89="",E89="!!!",F89="NEW"),"",INDEX(B88:B$2,-1+SUMPRODUCT(MAX(ROW(E88:E$2)*(E89=E88:E$2)))))</f>
        <v> </v>
      </c>
      <c r="J89" s="25" t="str">
        <f>IF(OR(E89="",E89="!!!",F89="NEW"),"",COUNTBLANK(OFFSET(A$1,,,SUMPRODUCT(MAX(ROW(E$2:E89)*(E89=E$2:E89)))))-COUNTBLANK(OFFSET(A$1,,,SUMPRODUCT(MAX(ROW(E$1:E88)*(E2=E$1:E88))))))</f>
        <v> </v>
      </c>
      <c r="K89" s="25" t="str">
        <f>IF(OR(E89="",E89="!!!",F89="NEW"),"",INDEX(J$1:J88,SUMPRODUCT(MAX(ROW(E$1:E88)*(E89=E$1:E88)))))</f>
        <v> </v>
      </c>
      <c r="L89" s="26"/>
    </row>
    <row r="90" spans="1:12">
      <c r="A90" s="20" t="s">
        <v>312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362</v>
      </c>
      <c r="B91" s="27" t="s">
        <v>322</v>
      </c>
      <c r="C91" s="27" t="s">
        <v>293</v>
      </c>
      <c r="D91" s="27" t="s">
        <v>294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295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331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363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364</v>
      </c>
      <c r="B95" s="27" t="s">
        <v>292</v>
      </c>
      <c r="C95" s="27" t="s">
        <v>330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/>
    </row>
    <row r="97" spans="1:12">
      <c r="A97" s="20" t="s">
        <v>365</v>
      </c>
    </row>
    <row r="98" spans="1:12">
      <c r="A98" s="20" t="s">
        <v>34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312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366</v>
      </c>
      <c r="B100" s="27" t="s">
        <v>297</v>
      </c>
      <c r="C100" s="27" t="s">
        <v>338</v>
      </c>
      <c r="D100" s="27" t="s">
        <v>294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332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367</v>
      </c>
      <c r="B102" s="27" t="s">
        <v>340</v>
      </c>
      <c r="C102" s="27" t="s">
        <v>330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295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331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368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369</v>
      </c>
      <c r="B106" s="27" t="s">
        <v>292</v>
      </c>
      <c r="C106" s="27" t="s">
        <v>298</v>
      </c>
      <c r="D106" s="27" t="s">
        <v>294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/>
    </row>
    <row r="108" spans="1:12">
      <c r="A108" s="20" t="s">
        <v>370</v>
      </c>
    </row>
    <row r="109" spans="1:12">
      <c r="A109" s="20" t="s">
        <v>34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308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371</v>
      </c>
      <c r="B111" s="27" t="s">
        <v>322</v>
      </c>
      <c r="C111" s="27" t="s">
        <v>338</v>
      </c>
      <c r="D111" s="27" t="s">
        <v>294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332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372</v>
      </c>
      <c r="B113" s="27" t="s">
        <v>340</v>
      </c>
      <c r="C113" s="27" t="s">
        <v>330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 t="s">
        <v>295</v>
      </c>
      <c r="E114" s="21">
        <f>IF(D114="?OLD","!!!","")</f>
        <v/>
      </c>
      <c r="F114" s="22" t="str">
        <f>IF(OR(E114="",E114="!!!"),"",IF(NOT(ISNA(VLOOKUP(E114,E$1:E113,1,FALSE()))),"OLD",IF(AND(E114&lt;&gt;"",E114&lt;&gt;"!!!"),"NEW","")))</f>
        <v> </v>
      </c>
      <c r="G114" s="23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4" t="str">
        <f>IF(J114&lt;&gt;1,"",IF(I114="SBJ","CB","?"))</f>
        <v> </v>
      </c>
      <c r="I114" s="25" t="str">
        <f>IF(OR(E114="",E114="!!!",F114="NEW"),"",INDEX(B113:B$2,-1+SUMPRODUCT(MAX(ROW(E113:E$2)*(E114=E113:E$2)))))</f>
        <v> </v>
      </c>
      <c r="J114" s="25" t="str">
        <f>IF(OR(E114="",E114="!!!",F114="NEW"),"",COUNTBLANK(OFFSET(A$1,,,SUMPRODUCT(MAX(ROW(E$2:E114)*(E114=E$2:E114)))))-COUNTBLANK(OFFSET(A$1,,,SUMPRODUCT(MAX(ROW(E$1:E113)*(E2=E$1:E113))))))</f>
        <v> </v>
      </c>
      <c r="K114" s="25" t="str">
        <f>IF(OR(E114="",E114="!!!",F114="NEW"),"",INDEX(J$1:J113,SUMPRODUCT(MAX(ROW(E$1:E113)*(E114=E$1:E113)))))</f>
        <v> </v>
      </c>
      <c r="L114" s="26"/>
    </row>
    <row r="115" spans="1:12">
      <c r="A115" s="20" t="s">
        <v>331</v>
      </c>
      <c r="E115" s="21">
        <f>IF(D115="?OLD","!!!","")</f>
        <v/>
      </c>
      <c r="F115" s="22" t="str">
        <f>IF(OR(E115="",E115="!!!"),"",IF(NOT(ISNA(VLOOKUP(E115,E$1:E114,1,FALSE()))),"OLD",IF(AND(E115&lt;&gt;"",E115&lt;&gt;"!!!"),"NEW","")))</f>
        <v> </v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4" t="str">
        <f>IF(J115&lt;&gt;1,"",IF(I115="SBJ","CB","?"))</f>
        <v> </v>
      </c>
      <c r="I115" s="25" t="str">
        <f>IF(OR(E115="",E115="!!!",F115="NEW"),"",INDEX(B114:B$2,-1+SUMPRODUCT(MAX(ROW(E114:E$2)*(E115=E114:E$2)))))</f>
        <v> </v>
      </c>
      <c r="J115" s="25" t="str">
        <f>IF(OR(E115="",E115="!!!",F115="NEW"),"",COUNTBLANK(OFFSET(A$1,,,SUMPRODUCT(MAX(ROW(E$2:E115)*(E115=E$2:E115)))))-COUNTBLANK(OFFSET(A$1,,,SUMPRODUCT(MAX(ROW(E$1:E114)*(E2=E$1:E114))))))</f>
        <v> </v>
      </c>
      <c r="K115" s="25" t="str">
        <f>IF(OR(E115="",E115="!!!",F115="NEW"),"",INDEX(J$1:J114,SUMPRODUCT(MAX(ROW(E$1:E114)*(E115=E$1:E114)))))</f>
        <v> </v>
      </c>
      <c r="L115" s="26"/>
    </row>
    <row r="116" spans="1:12">
      <c r="A116" s="20" t="s">
        <v>343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373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374</v>
      </c>
      <c r="B118" s="27" t="s">
        <v>334</v>
      </c>
      <c r="C118" s="27" t="s">
        <v>338</v>
      </c>
      <c r="D118" s="27" t="s">
        <v>294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332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369</v>
      </c>
      <c r="B120" s="27" t="s">
        <v>314</v>
      </c>
      <c r="C120" s="27" t="s">
        <v>298</v>
      </c>
      <c r="D120" s="27" t="s">
        <v>294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/>
    </row>
    <row r="122" spans="1:12">
      <c r="A122" s="20" t="s">
        <v>375</v>
      </c>
    </row>
    <row r="123" spans="1:12">
      <c r="A123" s="20" t="s">
        <v>34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312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376</v>
      </c>
      <c r="B125" s="27" t="s">
        <v>297</v>
      </c>
      <c r="C125" s="27" t="s">
        <v>293</v>
      </c>
      <c r="D125" s="27" t="s">
        <v>294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 t="s">
        <v>377</v>
      </c>
      <c r="E126" s="21">
        <f>IF(D126="?OLD","!!!","")</f>
        <v/>
      </c>
      <c r="F126" s="22" t="str">
        <f>IF(OR(E126="",E126="!!!"),"",IF(NOT(ISNA(VLOOKUP(E126,E$1:E125,1,FALSE()))),"OLD",IF(AND(E126&lt;&gt;"",E126&lt;&gt;"!!!"),"NEW","")))</f>
        <v> </v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4" t="str">
        <f>IF(J126&lt;&gt;1,"",IF(I126="SBJ","CB","?"))</f>
        <v> </v>
      </c>
      <c r="I126" s="25" t="str">
        <f>IF(OR(E126="",E126="!!!",F126="NEW"),"",INDEX(B125:B$2,-1+SUMPRODUCT(MAX(ROW(E125:E$2)*(E126=E125:E$2)))))</f>
        <v> </v>
      </c>
      <c r="J126" s="25" t="str">
        <f>IF(OR(E126="",E126="!!!",F126="NEW"),"",COUNTBLANK(OFFSET(A$1,,,SUMPRODUCT(MAX(ROW(E$2:E126)*(E126=E$2:E126)))))-COUNTBLANK(OFFSET(A$1,,,SUMPRODUCT(MAX(ROW(E$1:E125)*(E2=E$1:E125))))))</f>
        <v> </v>
      </c>
      <c r="K126" s="25" t="str">
        <f>IF(OR(E126="",E126="!!!",F126="NEW"),"",INDEX(J$1:J125,SUMPRODUCT(MAX(ROW(E$1:E125)*(E126=E$1:E125)))))</f>
        <v> </v>
      </c>
      <c r="L126" s="26"/>
    </row>
    <row r="127" spans="1:12">
      <c r="A127" s="20" t="s">
        <v>378</v>
      </c>
      <c r="B127" s="27" t="s">
        <v>303</v>
      </c>
      <c r="C127" s="27" t="s">
        <v>338</v>
      </c>
      <c r="D127" s="27" t="s">
        <v>294</v>
      </c>
      <c r="E127" s="21">
        <f>IF(D127="?OLD","!!!","")</f>
        <v/>
      </c>
      <c r="F127" s="22" t="str">
        <f>IF(OR(E127="",E127="!!!"),"",IF(NOT(ISNA(VLOOKUP(E127,E$1:E126,1,FALSE()))),"OLD",IF(AND(E127&lt;&gt;"",E127&lt;&gt;"!!!"),"NEW","")))</f>
        <v> </v>
      </c>
      <c r="G127" s="23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4" t="str">
        <f>IF(J127&lt;&gt;1,"",IF(I127="SBJ","CB","?"))</f>
        <v> </v>
      </c>
      <c r="I127" s="25" t="str">
        <f>IF(OR(E127="",E127="!!!",F127="NEW"),"",INDEX(B126:B$2,-1+SUMPRODUCT(MAX(ROW(E126:E$2)*(E127=E126:E$2)))))</f>
        <v> </v>
      </c>
      <c r="J127" s="25" t="str">
        <f>IF(OR(E127="",E127="!!!",F127="NEW"),"",COUNTBLANK(OFFSET(A$1,,,SUMPRODUCT(MAX(ROW(E$2:E127)*(E127=E$2:E127)))))-COUNTBLANK(OFFSET(A$1,,,SUMPRODUCT(MAX(ROW(E$1:E126)*(E2=E$1:E126))))))</f>
        <v> </v>
      </c>
      <c r="K127" s="25" t="str">
        <f>IF(OR(E127="",E127="!!!",F127="NEW"),"",INDEX(J$1:J126,SUMPRODUCT(MAX(ROW(E$1:E126)*(E127=E$1:E126)))))</f>
        <v> </v>
      </c>
      <c r="L127" s="26"/>
    </row>
    <row r="128" spans="1:12">
      <c r="A128" s="20" t="s">
        <v>332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301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358</v>
      </c>
      <c r="B130" s="27" t="s">
        <v>340</v>
      </c>
      <c r="C130" s="27" t="s">
        <v>293</v>
      </c>
      <c r="D130" s="27" t="s">
        <v>294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295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331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332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333</v>
      </c>
      <c r="B134" s="27" t="s">
        <v>334</v>
      </c>
      <c r="C134" s="27" t="s">
        <v>309</v>
      </c>
      <c r="D134" s="27" t="s">
        <v>294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335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336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337</v>
      </c>
      <c r="B137" s="27" t="s">
        <v>303</v>
      </c>
      <c r="C137" s="27" t="s">
        <v>338</v>
      </c>
      <c r="D137" s="27" t="s">
        <v>294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332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312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 t="s">
        <v>339</v>
      </c>
      <c r="B140" s="27" t="s">
        <v>340</v>
      </c>
      <c r="C140" s="27" t="s">
        <v>293</v>
      </c>
      <c r="D140" s="27" t="s">
        <v>294</v>
      </c>
      <c r="E140" s="21">
        <f>IF(D140="?OLD","!!!","")</f>
        <v/>
      </c>
      <c r="F140" s="22" t="str">
        <f>IF(OR(E140="",E140="!!!"),"",IF(NOT(ISNA(VLOOKUP(E140,E$1:E139,1,FALSE()))),"OLD",IF(AND(E140&lt;&gt;"",E140&lt;&gt;"!!!"),"NEW","")))</f>
        <v> </v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4" t="str">
        <f>IF(J140&lt;&gt;1,"",IF(I140="SBJ","CB","?"))</f>
        <v> </v>
      </c>
      <c r="I140" s="25" t="str">
        <f>IF(OR(E140="",E140="!!!",F140="NEW"),"",INDEX(B139:B$2,-1+SUMPRODUCT(MAX(ROW(E139:E$2)*(E140=E139:E$2)))))</f>
        <v> </v>
      </c>
      <c r="J140" s="25" t="str">
        <f>IF(OR(E140="",E140="!!!",F140="NEW"),"",COUNTBLANK(OFFSET(A$1,,,SUMPRODUCT(MAX(ROW(E$2:E140)*(E140=E$2:E140)))))-COUNTBLANK(OFFSET(A$1,,,SUMPRODUCT(MAX(ROW(E$1:E139)*(E2=E$1:E139))))))</f>
        <v> </v>
      </c>
      <c r="K140" s="25" t="str">
        <f>IF(OR(E140="",E140="!!!",F140="NEW"),"",INDEX(J$1:J139,SUMPRODUCT(MAX(ROW(E$1:E139)*(E140=E$1:E139)))))</f>
        <v> </v>
      </c>
      <c r="L140" s="26"/>
    </row>
    <row r="141" spans="1:12">
      <c r="A141" s="20"/>
    </row>
    <row r="142" spans="1:12">
      <c r="A142" s="20" t="s">
        <v>379</v>
      </c>
    </row>
    <row r="143" spans="1:12">
      <c r="A143" s="20" t="s">
        <v>34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380</v>
      </c>
      <c r="B144" s="27" t="s">
        <v>292</v>
      </c>
      <c r="C144" s="27" t="s">
        <v>309</v>
      </c>
      <c r="D144" s="27" t="s">
        <v>294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381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382</v>
      </c>
      <c r="B146" s="27" t="s">
        <v>292</v>
      </c>
      <c r="C146" s="27" t="s">
        <v>309</v>
      </c>
      <c r="D146" s="27" t="s">
        <v>294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383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295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382</v>
      </c>
      <c r="B149" s="27" t="s">
        <v>322</v>
      </c>
      <c r="C149" s="27" t="s">
        <v>309</v>
      </c>
      <c r="D149" s="27" t="s">
        <v>294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384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304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295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385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295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 t="s">
        <v>386</v>
      </c>
      <c r="E155" s="21">
        <f>IF(D155="?OLD","!!!","")</f>
        <v/>
      </c>
      <c r="F155" s="22" t="str">
        <f>IF(OR(E155="",E155="!!!"),"",IF(NOT(ISNA(VLOOKUP(E155,E$1:E154,1,FALSE()))),"OLD",IF(AND(E155&lt;&gt;"",E155&lt;&gt;"!!!"),"NEW","")))</f>
        <v> </v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4" t="str">
        <f>IF(J155&lt;&gt;1,"",IF(I155="SBJ","CB","?"))</f>
        <v> </v>
      </c>
      <c r="I155" s="25" t="str">
        <f>IF(OR(E155="",E155="!!!",F155="NEW"),"",INDEX(B154:B$2,-1+SUMPRODUCT(MAX(ROW(E154:E$2)*(E155=E154:E$2)))))</f>
        <v> </v>
      </c>
      <c r="J155" s="25" t="str">
        <f>IF(OR(E155="",E155="!!!",F155="NEW"),"",COUNTBLANK(OFFSET(A$1,,,SUMPRODUCT(MAX(ROW(E$2:E155)*(E155=E$2:E155)))))-COUNTBLANK(OFFSET(A$1,,,SUMPRODUCT(MAX(ROW(E$1:E154)*(E2=E$1:E154))))))</f>
        <v> </v>
      </c>
      <c r="K155" s="25" t="str">
        <f>IF(OR(E155="",E155="!!!",F155="NEW"),"",INDEX(J$1:J154,SUMPRODUCT(MAX(ROW(E$1:E154)*(E155=E$1:E154)))))</f>
        <v> </v>
      </c>
      <c r="L155" s="26"/>
    </row>
    <row r="156" spans="1:12">
      <c r="A156" s="20" t="s">
        <v>387</v>
      </c>
      <c r="E156" s="21">
        <f>IF(D156="?OLD","!!!","")</f>
        <v/>
      </c>
      <c r="F156" s="22" t="str">
        <f>IF(OR(E156="",E156="!!!"),"",IF(NOT(ISNA(VLOOKUP(E156,E$1:E155,1,FALSE()))),"OLD",IF(AND(E156&lt;&gt;"",E156&lt;&gt;"!!!"),"NEW","")))</f>
        <v> </v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4" t="str">
        <f>IF(J156&lt;&gt;1,"",IF(I156="SBJ","CB","?"))</f>
        <v> </v>
      </c>
      <c r="I156" s="25" t="str">
        <f>IF(OR(E156="",E156="!!!",F156="NEW"),"",INDEX(B155:B$2,-1+SUMPRODUCT(MAX(ROW(E155:E$2)*(E156=E155:E$2)))))</f>
        <v> </v>
      </c>
      <c r="J156" s="25" t="str">
        <f>IF(OR(E156="",E156="!!!",F156="NEW"),"",COUNTBLANK(OFFSET(A$1,,,SUMPRODUCT(MAX(ROW(E$2:E156)*(E156=E$2:E156)))))-COUNTBLANK(OFFSET(A$1,,,SUMPRODUCT(MAX(ROW(E$1:E155)*(E2=E$1:E155))))))</f>
        <v> </v>
      </c>
      <c r="K156" s="25" t="str">
        <f>IF(OR(E156="",E156="!!!",F156="NEW"),"",INDEX(J$1:J155,SUMPRODUCT(MAX(ROW(E$1:E155)*(E156=E$1:E155)))))</f>
        <v> </v>
      </c>
      <c r="L156" s="26"/>
    </row>
    <row r="157" spans="1:12">
      <c r="A157" s="20" t="s">
        <v>388</v>
      </c>
      <c r="B157" s="27" t="s">
        <v>292</v>
      </c>
      <c r="C157" s="27" t="s">
        <v>338</v>
      </c>
      <c r="D157" s="27" t="s">
        <v>294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332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389</v>
      </c>
      <c r="B159" s="27" t="s">
        <v>314</v>
      </c>
      <c r="C159" s="27" t="s">
        <v>330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390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332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380</v>
      </c>
      <c r="B162" s="27" t="s">
        <v>340</v>
      </c>
      <c r="C162" s="27" t="s">
        <v>309</v>
      </c>
      <c r="D162" s="27" t="s">
        <v>294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377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378</v>
      </c>
      <c r="B164" s="27" t="s">
        <v>340</v>
      </c>
      <c r="C164" s="27" t="s">
        <v>391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392</v>
      </c>
      <c r="B165" s="27" t="s">
        <v>314</v>
      </c>
      <c r="C165" s="27" t="s">
        <v>315</v>
      </c>
      <c r="D165" s="27" t="s">
        <v>294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/>
    </row>
    <row r="167" spans="1:12">
      <c r="A167" s="20" t="s">
        <v>393</v>
      </c>
    </row>
    <row r="168" spans="1:12">
      <c r="A168" s="20" t="s">
        <v>394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395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396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295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331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397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335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301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398</v>
      </c>
      <c r="B176" s="27" t="s">
        <v>314</v>
      </c>
      <c r="C176" s="27" t="s">
        <v>315</v>
      </c>
      <c r="D176" s="27" t="s">
        <v>294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399</v>
      </c>
      <c r="B177" s="27" t="s">
        <v>334</v>
      </c>
      <c r="C177" s="27" t="s">
        <v>293</v>
      </c>
      <c r="D177" s="27" t="s">
        <v>294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328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312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339</v>
      </c>
      <c r="B180" s="27" t="s">
        <v>340</v>
      </c>
      <c r="C180" s="27" t="s">
        <v>293</v>
      </c>
      <c r="D180" s="27" t="s">
        <v>294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400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/>
    </row>
    <row r="183" spans="1:12">
      <c r="A183" s="20" t="s">
        <v>401</v>
      </c>
    </row>
    <row r="184" spans="1:12">
      <c r="A184" s="20" t="s">
        <v>402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403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353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 t="s">
        <v>404</v>
      </c>
      <c r="E187" s="21">
        <f>IF(D187="?OLD","!!!","")</f>
        <v/>
      </c>
      <c r="F187" s="22" t="str">
        <f>IF(OR(E187="",E187="!!!"),"",IF(NOT(ISNA(VLOOKUP(E187,E$1:E186,1,FALSE()))),"OLD",IF(AND(E187&lt;&gt;"",E187&lt;&gt;"!!!"),"NEW","")))</f>
        <v> </v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4" t="str">
        <f>IF(J187&lt;&gt;1,"",IF(I187="SBJ","CB","?"))</f>
        <v> </v>
      </c>
      <c r="I187" s="25" t="str">
        <f>IF(OR(E187="",E187="!!!",F187="NEW"),"",INDEX(B186:B$2,-1+SUMPRODUCT(MAX(ROW(E186:E$2)*(E187=E186:E$2)))))</f>
        <v> </v>
      </c>
      <c r="J187" s="25" t="str">
        <f>IF(OR(E187="",E187="!!!",F187="NEW"),"",COUNTBLANK(OFFSET(A$1,,,SUMPRODUCT(MAX(ROW(E$2:E187)*(E187=E$2:E187)))))-COUNTBLANK(OFFSET(A$1,,,SUMPRODUCT(MAX(ROW(E$1:E186)*(E2=E$1:E186))))))</f>
        <v> </v>
      </c>
      <c r="K187" s="25" t="str">
        <f>IF(OR(E187="",E187="!!!",F187="NEW"),"",INDEX(J$1:J186,SUMPRODUCT(MAX(ROW(E$1:E186)*(E187=E$1:E186)))))</f>
        <v> </v>
      </c>
      <c r="L187" s="26"/>
    </row>
    <row r="188" spans="1:12">
      <c r="A188" s="20" t="s">
        <v>312</v>
      </c>
      <c r="E188" s="21">
        <f>IF(D188="?OLD","!!!","")</f>
        <v/>
      </c>
      <c r="F188" s="22" t="str">
        <f>IF(OR(E188="",E188="!!!"),"",IF(NOT(ISNA(VLOOKUP(E188,E$1:E187,1,FALSE()))),"OLD",IF(AND(E188&lt;&gt;"",E188&lt;&gt;"!!!"),"NEW","")))</f>
        <v> </v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4" t="str">
        <f>IF(J188&lt;&gt;1,"",IF(I188="SBJ","CB","?"))</f>
        <v> </v>
      </c>
      <c r="I188" s="25" t="str">
        <f>IF(OR(E188="",E188="!!!",F188="NEW"),"",INDEX(B187:B$2,-1+SUMPRODUCT(MAX(ROW(E187:E$2)*(E188=E187:E$2)))))</f>
        <v> </v>
      </c>
      <c r="J188" s="25" t="str">
        <f>IF(OR(E188="",E188="!!!",F188="NEW"),"",COUNTBLANK(OFFSET(A$1,,,SUMPRODUCT(MAX(ROW(E$2:E188)*(E188=E$2:E188)))))-COUNTBLANK(OFFSET(A$1,,,SUMPRODUCT(MAX(ROW(E$1:E187)*(E2=E$1:E187))))))</f>
        <v> </v>
      </c>
      <c r="K188" s="25" t="str">
        <f>IF(OR(E188="",E188="!!!",F188="NEW"),"",INDEX(J$1:J187,SUMPRODUCT(MAX(ROW(E$1:E187)*(E188=E$1:E187)))))</f>
        <v> </v>
      </c>
      <c r="L188" s="26"/>
    </row>
    <row r="189" spans="1:12">
      <c r="A189" s="20" t="s">
        <v>405</v>
      </c>
      <c r="B189" s="27" t="s">
        <v>322</v>
      </c>
      <c r="C189" s="27" t="s">
        <v>293</v>
      </c>
      <c r="D189" s="27" t="s">
        <v>294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406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332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380</v>
      </c>
      <c r="B192" s="27" t="s">
        <v>303</v>
      </c>
      <c r="C192" s="27" t="s">
        <v>309</v>
      </c>
      <c r="D192" s="27" t="s">
        <v>294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/>
    </row>
    <row r="194" spans="1:12">
      <c r="A194" s="20" t="s">
        <v>407</v>
      </c>
    </row>
    <row r="195" spans="1:12">
      <c r="A195" s="20" t="s">
        <v>408</v>
      </c>
      <c r="B195" s="27" t="s">
        <v>297</v>
      </c>
      <c r="C195" s="27" t="s">
        <v>309</v>
      </c>
      <c r="D195" s="27" t="s">
        <v>294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409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336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410</v>
      </c>
      <c r="B198" s="27" t="s">
        <v>303</v>
      </c>
      <c r="C198" s="27" t="s">
        <v>338</v>
      </c>
      <c r="D198" s="27" t="s">
        <v>294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332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301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211</v>
      </c>
      <c r="B201" s="27" t="s">
        <v>303</v>
      </c>
      <c r="C201" s="27" t="s">
        <v>293</v>
      </c>
      <c r="D201" s="27" t="s">
        <v>294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411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/>
    </row>
    <row r="204" spans="1:12">
      <c r="A204" s="20" t="s">
        <v>412</v>
      </c>
    </row>
    <row r="205" spans="1:12">
      <c r="A205" s="20" t="s">
        <v>413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414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336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 t="s">
        <v>410</v>
      </c>
      <c r="B208" s="27" t="s">
        <v>334</v>
      </c>
      <c r="C208" s="27" t="s">
        <v>293</v>
      </c>
      <c r="D208" s="27" t="s">
        <v>294</v>
      </c>
      <c r="E208" s="21">
        <f>IF(D208="?OLD","!!!","")</f>
        <v/>
      </c>
      <c r="F208" s="22" t="str">
        <f>IF(OR(E208="",E208="!!!"),"",IF(NOT(ISNA(VLOOKUP(E208,E$1:E207,1,FALSE()))),"OLD",IF(AND(E208&lt;&gt;"",E208&lt;&gt;"!!!"),"NEW","")))</f>
        <v> </v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4" t="str">
        <f>IF(J208&lt;&gt;1,"",IF(I208="SBJ","CB","?"))</f>
        <v> </v>
      </c>
      <c r="I208" s="25" t="str">
        <f>IF(OR(E208="",E208="!!!",F208="NEW"),"",INDEX(B207:B$2,-1+SUMPRODUCT(MAX(ROW(E207:E$2)*(E208=E207:E$2)))))</f>
        <v> </v>
      </c>
      <c r="J208" s="25" t="str">
        <f>IF(OR(E208="",E208="!!!",F208="NEW"),"",COUNTBLANK(OFFSET(A$1,,,SUMPRODUCT(MAX(ROW(E$2:E208)*(E208=E$2:E208)))))-COUNTBLANK(OFFSET(A$1,,,SUMPRODUCT(MAX(ROW(E$1:E207)*(E2=E$1:E207))))))</f>
        <v> </v>
      </c>
      <c r="K208" s="25" t="str">
        <f>IF(OR(E208="",E208="!!!",F208="NEW"),"",INDEX(J$1:J207,SUMPRODUCT(MAX(ROW(E$1:E207)*(E208=E$1:E207)))))</f>
        <v> </v>
      </c>
      <c r="L208" s="26"/>
    </row>
    <row r="209" spans="1:12">
      <c r="A209" s="20" t="s">
        <v>415</v>
      </c>
      <c r="E209" s="21">
        <f>IF(D209="?OLD","!!!","")</f>
        <v/>
      </c>
      <c r="F209" s="22" t="str">
        <f>IF(OR(E209="",E209="!!!"),"",IF(NOT(ISNA(VLOOKUP(E209,E$1:E208,1,FALSE()))),"OLD",IF(AND(E209&lt;&gt;"",E209&lt;&gt;"!!!"),"NEW","")))</f>
        <v> </v>
      </c>
      <c r="G209" s="23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4" t="str">
        <f>IF(J209&lt;&gt;1,"",IF(I209="SBJ","CB","?"))</f>
        <v> </v>
      </c>
      <c r="I209" s="25" t="str">
        <f>IF(OR(E209="",E209="!!!",F209="NEW"),"",INDEX(B208:B$2,-1+SUMPRODUCT(MAX(ROW(E208:E$2)*(E209=E208:E$2)))))</f>
        <v> </v>
      </c>
      <c r="J209" s="25" t="str">
        <f>IF(OR(E209="",E209="!!!",F209="NEW"),"",COUNTBLANK(OFFSET(A$1,,,SUMPRODUCT(MAX(ROW(E$2:E209)*(E209=E$2:E209)))))-COUNTBLANK(OFFSET(A$1,,,SUMPRODUCT(MAX(ROW(E$1:E208)*(E2=E$1:E208))))))</f>
        <v> </v>
      </c>
      <c r="K209" s="25" t="str">
        <f>IF(OR(E209="",E209="!!!",F209="NEW"),"",INDEX(J$1:J208,SUMPRODUCT(MAX(ROW(E$1:E208)*(E209=E$1:E208)))))</f>
        <v> </v>
      </c>
      <c r="L209" s="26"/>
    </row>
    <row r="210" spans="1:12">
      <c r="A210" s="20" t="s">
        <v>336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416</v>
      </c>
      <c r="B211" s="27" t="s">
        <v>292</v>
      </c>
      <c r="C211" s="27" t="s">
        <v>293</v>
      </c>
      <c r="D211" s="27" t="s">
        <v>294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295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417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 t="s">
        <v>351</v>
      </c>
      <c r="B214" s="27" t="s">
        <v>340</v>
      </c>
      <c r="C214" s="27" t="s">
        <v>418</v>
      </c>
      <c r="E214" s="21">
        <f>IF(D214="?OLD","!!!","")</f>
        <v/>
      </c>
      <c r="F214" s="22" t="str">
        <f>IF(OR(E214="",E214="!!!"),"",IF(NOT(ISNA(VLOOKUP(E214,E$1:E213,1,FALSE()))),"OLD",IF(AND(E214&lt;&gt;"",E214&lt;&gt;"!!!"),"NEW","")))</f>
        <v> </v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4" t="str">
        <f>IF(J214&lt;&gt;1,"",IF(I214="SBJ","CB","?"))</f>
        <v> </v>
      </c>
      <c r="I214" s="25" t="str">
        <f>IF(OR(E214="",E214="!!!",F214="NEW"),"",INDEX(B213:B$2,-1+SUMPRODUCT(MAX(ROW(E213:E$2)*(E214=E213:E$2)))))</f>
        <v> </v>
      </c>
      <c r="J214" s="25" t="str">
        <f>IF(OR(E214="",E214="!!!",F214="NEW"),"",COUNTBLANK(OFFSET(A$1,,,SUMPRODUCT(MAX(ROW(E$2:E214)*(E214=E$2:E214)))))-COUNTBLANK(OFFSET(A$1,,,SUMPRODUCT(MAX(ROW(E$1:E213)*(E2=E$1:E213))))))</f>
        <v> </v>
      </c>
      <c r="K214" s="25" t="str">
        <f>IF(OR(E214="",E214="!!!",F214="NEW"),"",INDEX(J$1:J213,SUMPRODUCT(MAX(ROW(E$1:E213)*(E214=E$1:E213)))))</f>
        <v> </v>
      </c>
      <c r="L214" s="26"/>
    </row>
    <row r="215" spans="1:12">
      <c r="A215" s="20" t="s">
        <v>419</v>
      </c>
      <c r="B215" s="27" t="s">
        <v>303</v>
      </c>
      <c r="C215" s="27" t="s">
        <v>391</v>
      </c>
      <c r="E215" s="21">
        <f>IF(D215="?OLD","!!!","")</f>
        <v/>
      </c>
      <c r="F215" s="22" t="str">
        <f>IF(OR(E215="",E215="!!!"),"",IF(NOT(ISNA(VLOOKUP(E215,E$1:E214,1,FALSE()))),"OLD",IF(AND(E215&lt;&gt;"",E215&lt;&gt;"!!!"),"NEW","")))</f>
        <v> </v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4" t="str">
        <f>IF(J215&lt;&gt;1,"",IF(I215="SBJ","CB","?"))</f>
        <v> </v>
      </c>
      <c r="I215" s="25" t="str">
        <f>IF(OR(E215="",E215="!!!",F215="NEW"),"",INDEX(B214:B$2,-1+SUMPRODUCT(MAX(ROW(E214:E$2)*(E215=E214:E$2)))))</f>
        <v> </v>
      </c>
      <c r="J215" s="25" t="str">
        <f>IF(OR(E215="",E215="!!!",F215="NEW"),"",COUNTBLANK(OFFSET(A$1,,,SUMPRODUCT(MAX(ROW(E$2:E215)*(E215=E$2:E215)))))-COUNTBLANK(OFFSET(A$1,,,SUMPRODUCT(MAX(ROW(E$1:E214)*(E2=E$1:E214))))))</f>
        <v> </v>
      </c>
      <c r="K215" s="25" t="str">
        <f>IF(OR(E215="",E215="!!!",F215="NEW"),"",INDEX(J$1:J214,SUMPRODUCT(MAX(ROW(E$1:E214)*(E215=E$1:E214)))))</f>
        <v> </v>
      </c>
      <c r="L215" s="26"/>
    </row>
    <row r="216" spans="1:12">
      <c r="A216" s="20" t="s">
        <v>420</v>
      </c>
      <c r="B216" s="27" t="s">
        <v>322</v>
      </c>
      <c r="C216" s="27" t="s">
        <v>309</v>
      </c>
      <c r="D216" s="27" t="s">
        <v>294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310</v>
      </c>
      <c r="B217" s="27" t="s">
        <v>303</v>
      </c>
      <c r="C217" s="27" t="s">
        <v>309</v>
      </c>
      <c r="D217" s="27" t="s">
        <v>294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421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422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423</v>
      </c>
      <c r="B220" s="27" t="s">
        <v>322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424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/>
    </row>
    <row r="223" spans="1:12">
      <c r="A223" s="20" t="s">
        <v>425</v>
      </c>
    </row>
    <row r="224" spans="1:12">
      <c r="A224" s="20" t="s">
        <v>426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427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428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231</v>
      </c>
      <c r="B227" s="27" t="s">
        <v>303</v>
      </c>
      <c r="C227" s="27" t="s">
        <v>429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430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 t="s">
        <v>351</v>
      </c>
      <c r="E229" s="21">
        <f>IF(D229="?OLD","!!!","")</f>
        <v/>
      </c>
      <c r="F229" s="22" t="str">
        <f>IF(OR(E229="",E229="!!!"),"",IF(NOT(ISNA(VLOOKUP(E229,E$1:E228,1,FALSE()))),"OLD",IF(AND(E229&lt;&gt;"",E229&lt;&gt;"!!!"),"NEW","")))</f>
        <v> </v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4" t="str">
        <f>IF(J229&lt;&gt;1,"",IF(I229="SBJ","CB","?"))</f>
        <v> </v>
      </c>
      <c r="I229" s="25" t="str">
        <f>IF(OR(E229="",E229="!!!",F229="NEW"),"",INDEX(B228:B$2,-1+SUMPRODUCT(MAX(ROW(E228:E$2)*(E229=E228:E$2)))))</f>
        <v> </v>
      </c>
      <c r="J229" s="25" t="str">
        <f>IF(OR(E229="",E229="!!!",F229="NEW"),"",COUNTBLANK(OFFSET(A$1,,,SUMPRODUCT(MAX(ROW(E$2:E229)*(E229=E$2:E229)))))-COUNTBLANK(OFFSET(A$1,,,SUMPRODUCT(MAX(ROW(E$1:E228)*(E2=E$1:E228))))))</f>
        <v> </v>
      </c>
      <c r="K229" s="25" t="str">
        <f>IF(OR(E229="",E229="!!!",F229="NEW"),"",INDEX(J$1:J228,SUMPRODUCT(MAX(ROW(E$1:E228)*(E229=E$1:E228)))))</f>
        <v> </v>
      </c>
      <c r="L229" s="26"/>
    </row>
    <row r="230" spans="1:12">
      <c r="A230" s="20" t="s">
        <v>431</v>
      </c>
      <c r="E230" s="21">
        <f>IF(D230="?OLD","!!!","")</f>
        <v/>
      </c>
      <c r="F230" s="22" t="str">
        <f>IF(OR(E230="",E230="!!!"),"",IF(NOT(ISNA(VLOOKUP(E230,E$1:E229,1,FALSE()))),"OLD",IF(AND(E230&lt;&gt;"",E230&lt;&gt;"!!!"),"NEW","")))</f>
        <v> </v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4" t="str">
        <f>IF(J230&lt;&gt;1,"",IF(I230="SBJ","CB","?"))</f>
        <v> </v>
      </c>
      <c r="I230" s="25" t="str">
        <f>IF(OR(E230="",E230="!!!",F230="NEW"),"",INDEX(B229:B$2,-1+SUMPRODUCT(MAX(ROW(E229:E$2)*(E230=E229:E$2)))))</f>
        <v> </v>
      </c>
      <c r="J230" s="25" t="str">
        <f>IF(OR(E230="",E230="!!!",F230="NEW"),"",COUNTBLANK(OFFSET(A$1,,,SUMPRODUCT(MAX(ROW(E$2:E230)*(E230=E$2:E230)))))-COUNTBLANK(OFFSET(A$1,,,SUMPRODUCT(MAX(ROW(E$1:E229)*(E2=E$1:E229))))))</f>
        <v> </v>
      </c>
      <c r="K230" s="25" t="str">
        <f>IF(OR(E230="",E230="!!!",F230="NEW"),"",INDEX(J$1:J229,SUMPRODUCT(MAX(ROW(E$1:E229)*(E230=E$1:E229)))))</f>
        <v> </v>
      </c>
      <c r="L230" s="26"/>
    </row>
    <row r="231" spans="1:12">
      <c r="A231" s="20" t="s">
        <v>432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433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434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304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435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436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308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437</v>
      </c>
      <c r="B238" s="27" t="s">
        <v>314</v>
      </c>
      <c r="C238" s="27" t="s">
        <v>293</v>
      </c>
      <c r="D238" s="27" t="s">
        <v>294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/>
    </row>
    <row r="240" spans="1:12">
      <c r="A240" s="20" t="s">
        <v>438</v>
      </c>
    </row>
    <row r="241" spans="1:12">
      <c r="A241" s="20" t="s">
        <v>408</v>
      </c>
      <c r="B241" s="27" t="s">
        <v>297</v>
      </c>
      <c r="C241" s="27" t="s">
        <v>309</v>
      </c>
      <c r="D241" s="27" t="s">
        <v>294</v>
      </c>
      <c r="E241" s="21">
        <f>IF(D241="?OLD","!!!","")</f>
        <v/>
      </c>
      <c r="F241" s="22" t="str">
        <f>IF(OR(E241="",E241="!!!"),"",IF(NOT(ISNA(VLOOKUP(E241,E$1:E240,1,FALSE()))),"OLD",IF(AND(E241&lt;&gt;"",E241&lt;&gt;"!!!"),"NEW","")))</f>
        <v> </v>
      </c>
      <c r="G241" s="23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4" t="str">
        <f>IF(J241&lt;&gt;1,"",IF(I241="SBJ","CB","?"))</f>
        <v> </v>
      </c>
      <c r="I241" s="25" t="str">
        <f>IF(OR(E241="",E241="!!!",F241="NEW"),"",INDEX(B240:B$2,-1+SUMPRODUCT(MAX(ROW(E240:E$2)*(E241=E240:E$2)))))</f>
        <v> </v>
      </c>
      <c r="J241" s="25" t="str">
        <f>IF(OR(E241="",E241="!!!",F241="NEW"),"",COUNTBLANK(OFFSET(A$1,,,SUMPRODUCT(MAX(ROW(E$2:E241)*(E241=E$2:E241)))))-COUNTBLANK(OFFSET(A$1,,,SUMPRODUCT(MAX(ROW(E$1:E240)*(E2=E$1:E240))))))</f>
        <v> </v>
      </c>
      <c r="K241" s="25" t="str">
        <f>IF(OR(E241="",E241="!!!",F241="NEW"),"",INDEX(J$1:J240,SUMPRODUCT(MAX(ROW(E$1:E240)*(E241=E$1:E240)))))</f>
        <v> </v>
      </c>
      <c r="L241" s="26"/>
    </row>
    <row r="242" spans="1:12">
      <c r="A242" s="20" t="s">
        <v>409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301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439</v>
      </c>
      <c r="B244" s="27" t="s">
        <v>303</v>
      </c>
      <c r="C244" s="27" t="s">
        <v>338</v>
      </c>
      <c r="D244" s="27" t="s">
        <v>294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332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336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 t="s">
        <v>440</v>
      </c>
      <c r="B247" s="27" t="s">
        <v>303</v>
      </c>
      <c r="C247" s="27" t="s">
        <v>293</v>
      </c>
      <c r="D247" s="27" t="s">
        <v>294</v>
      </c>
      <c r="E247" s="21">
        <f>IF(D247="?OLD","!!!","")</f>
        <v/>
      </c>
      <c r="F247" s="22" t="str">
        <f>IF(OR(E247="",E247="!!!"),"",IF(NOT(ISNA(VLOOKUP(E247,E$1:E246,1,FALSE()))),"OLD",IF(AND(E247&lt;&gt;"",E247&lt;&gt;"!!!"),"NEW","")))</f>
        <v> </v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4" t="str">
        <f>IF(J247&lt;&gt;1,"",IF(I247="SBJ","CB","?"))</f>
        <v> </v>
      </c>
      <c r="I247" s="25" t="str">
        <f>IF(OR(E247="",E247="!!!",F247="NEW"),"",INDEX(B246:B$2,-1+SUMPRODUCT(MAX(ROW(E246:E$2)*(E247=E246:E$2)))))</f>
        <v> </v>
      </c>
      <c r="J247" s="25" t="str">
        <f>IF(OR(E247="",E247="!!!",F247="NEW"),"",COUNTBLANK(OFFSET(A$1,,,SUMPRODUCT(MAX(ROW(E$2:E247)*(E247=E$2:E247)))))-COUNTBLANK(OFFSET(A$1,,,SUMPRODUCT(MAX(ROW(E$1:E246)*(E2=E$1:E246))))))</f>
        <v> </v>
      </c>
      <c r="K247" s="25" t="str">
        <f>IF(OR(E247="",E247="!!!",F247="NEW"),"",INDEX(J$1:J246,SUMPRODUCT(MAX(ROW(E$1:E246)*(E247=E$1:E246)))))</f>
        <v> </v>
      </c>
      <c r="L247" s="26"/>
    </row>
    <row r="248" spans="1:12">
      <c r="A248" s="20" t="s">
        <v>411</v>
      </c>
      <c r="E248" s="21">
        <f>IF(D248="?OLD","!!!","")</f>
        <v/>
      </c>
      <c r="F248" s="22" t="str">
        <f>IF(OR(E248="",E248="!!!"),"",IF(NOT(ISNA(VLOOKUP(E248,E$1:E247,1,FALSE()))),"OLD",IF(AND(E248&lt;&gt;"",E248&lt;&gt;"!!!"),"NEW","")))</f>
        <v> </v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4" t="str">
        <f>IF(J248&lt;&gt;1,"",IF(I248="SBJ","CB","?"))</f>
        <v> </v>
      </c>
      <c r="I248" s="25" t="str">
        <f>IF(OR(E248="",E248="!!!",F248="NEW"),"",INDEX(B247:B$2,-1+SUMPRODUCT(MAX(ROW(E247:E$2)*(E248=E247:E$2)))))</f>
        <v> </v>
      </c>
      <c r="J248" s="25" t="str">
        <f>IF(OR(E248="",E248="!!!",F248="NEW"),"",COUNTBLANK(OFFSET(A$1,,,SUMPRODUCT(MAX(ROW(E$2:E248)*(E248=E$2:E248)))))-COUNTBLANK(OFFSET(A$1,,,SUMPRODUCT(MAX(ROW(E$1:E247)*(E2=E$1:E247))))))</f>
        <v> </v>
      </c>
      <c r="K248" s="25" t="str">
        <f>IF(OR(E248="",E248="!!!",F248="NEW"),"",INDEX(J$1:J247,SUMPRODUCT(MAX(ROW(E$1:E247)*(E248=E$1:E247)))))</f>
        <v> </v>
      </c>
      <c r="L248" s="26"/>
    </row>
    <row r="249" spans="1:12">
      <c r="A249" s="20" t="s">
        <v>441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442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443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444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445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446</v>
      </c>
      <c r="B254" s="27" t="s">
        <v>352</v>
      </c>
      <c r="C254" s="27" t="s">
        <v>447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448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449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450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451</v>
      </c>
      <c r="B258" s="27" t="s">
        <v>359</v>
      </c>
      <c r="C258" s="27" t="s">
        <v>447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/>
    </row>
    <row r="260" spans="1:12">
      <c r="A260" s="20" t="s">
        <v>452</v>
      </c>
    </row>
    <row r="261" spans="1:12">
      <c r="A261" s="20" t="s">
        <v>453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310</v>
      </c>
      <c r="B262" s="27" t="s">
        <v>303</v>
      </c>
      <c r="C262" s="27" t="s">
        <v>309</v>
      </c>
      <c r="D262" s="27" t="s">
        <v>294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 t="s">
        <v>454</v>
      </c>
      <c r="E263" s="21">
        <f>IF(D263="?OLD","!!!","")</f>
        <v/>
      </c>
      <c r="F263" s="22" t="str">
        <f>IF(OR(E263="",E263="!!!"),"",IF(NOT(ISNA(VLOOKUP(E263,E$1:E262,1,FALSE()))),"OLD",IF(AND(E263&lt;&gt;"",E263&lt;&gt;"!!!"),"NEW","")))</f>
        <v> </v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4" t="str">
        <f>IF(J263&lt;&gt;1,"",IF(I263="SBJ","CB","?"))</f>
        <v> </v>
      </c>
      <c r="I263" s="25" t="str">
        <f>IF(OR(E263="",E263="!!!",F263="NEW"),"",INDEX(B262:B$2,-1+SUMPRODUCT(MAX(ROW(E262:E$2)*(E263=E262:E$2)))))</f>
        <v> </v>
      </c>
      <c r="J263" s="25" t="str">
        <f>IF(OR(E263="",E263="!!!",F263="NEW"),"",COUNTBLANK(OFFSET(A$1,,,SUMPRODUCT(MAX(ROW(E$2:E263)*(E263=E$2:E263)))))-COUNTBLANK(OFFSET(A$1,,,SUMPRODUCT(MAX(ROW(E$1:E262)*(E2=E$1:E262))))))</f>
        <v> </v>
      </c>
      <c r="K263" s="25" t="str">
        <f>IF(OR(E263="",E263="!!!",F263="NEW"),"",INDEX(J$1:J262,SUMPRODUCT(MAX(ROW(E$1:E262)*(E263=E$1:E262)))))</f>
        <v> </v>
      </c>
      <c r="L263" s="26"/>
    </row>
    <row r="264" spans="1:12">
      <c r="A264" s="20" t="s">
        <v>445</v>
      </c>
      <c r="E264" s="21">
        <f>IF(D264="?OLD","!!!","")</f>
        <v/>
      </c>
      <c r="F264" s="22" t="str">
        <f>IF(OR(E264="",E264="!!!"),"",IF(NOT(ISNA(VLOOKUP(E264,E$1:E263,1,FALSE()))),"OLD",IF(AND(E264&lt;&gt;"",E264&lt;&gt;"!!!"),"NEW","")))</f>
        <v> </v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4" t="str">
        <f>IF(J264&lt;&gt;1,"",IF(I264="SBJ","CB","?"))</f>
        <v> </v>
      </c>
      <c r="I264" s="25" t="str">
        <f>IF(OR(E264="",E264="!!!",F264="NEW"),"",INDEX(B263:B$2,-1+SUMPRODUCT(MAX(ROW(E263:E$2)*(E264=E263:E$2)))))</f>
        <v> </v>
      </c>
      <c r="J264" s="25" t="str">
        <f>IF(OR(E264="",E264="!!!",F264="NEW"),"",COUNTBLANK(OFFSET(A$1,,,SUMPRODUCT(MAX(ROW(E$2:E264)*(E264=E$2:E264)))))-COUNTBLANK(OFFSET(A$1,,,SUMPRODUCT(MAX(ROW(E$1:E263)*(E2=E$1:E263))))))</f>
        <v> </v>
      </c>
      <c r="K264" s="25" t="str">
        <f>IF(OR(E264="",E264="!!!",F264="NEW"),"",INDEX(J$1:J263,SUMPRODUCT(MAX(ROW(E$1:E263)*(E264=E$1:E263)))))</f>
        <v> </v>
      </c>
      <c r="L264" s="26"/>
    </row>
    <row r="265" spans="1:12">
      <c r="A265" s="20" t="s">
        <v>455</v>
      </c>
      <c r="B265" s="27" t="s">
        <v>297</v>
      </c>
      <c r="C265" s="27" t="s">
        <v>447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377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456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301</v>
      </c>
      <c r="B268" s="27" t="s">
        <v>355</v>
      </c>
      <c r="C268" s="27" t="s">
        <v>309</v>
      </c>
      <c r="D268" s="27" t="s">
        <v>294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457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336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458</v>
      </c>
      <c r="B271" s="27" t="s">
        <v>314</v>
      </c>
      <c r="C271" s="27" t="s">
        <v>293</v>
      </c>
      <c r="D271" s="27" t="s">
        <v>294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295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413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449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336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459</v>
      </c>
      <c r="B276" s="27" t="s">
        <v>340</v>
      </c>
      <c r="C276" s="27" t="s">
        <v>293</v>
      </c>
      <c r="D276" s="27" t="s">
        <v>294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331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460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439</v>
      </c>
      <c r="B279" s="27" t="s">
        <v>461</v>
      </c>
      <c r="C279" s="27" t="s">
        <v>330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306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462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349</v>
      </c>
      <c r="B282" s="27" t="s">
        <v>357</v>
      </c>
      <c r="C282" s="27" t="s">
        <v>350</v>
      </c>
      <c r="D282" s="27" t="s">
        <v>294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351</v>
      </c>
      <c r="B283" s="27" t="s">
        <v>463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464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 t="s">
        <v>328</v>
      </c>
      <c r="E285" s="21">
        <f>IF(D285="?OLD","!!!","")</f>
        <v/>
      </c>
      <c r="F285" s="22" t="str">
        <f>IF(OR(E285="",E285="!!!"),"",IF(NOT(ISNA(VLOOKUP(E285,E$1:E284,1,FALSE()))),"OLD",IF(AND(E285&lt;&gt;"",E285&lt;&gt;"!!!"),"NEW","")))</f>
        <v> </v>
      </c>
      <c r="G285" s="23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4" t="str">
        <f>IF(J285&lt;&gt;1,"",IF(I285="SBJ","CB","?"))</f>
        <v> </v>
      </c>
      <c r="I285" s="25" t="str">
        <f>IF(OR(E285="",E285="!!!",F285="NEW"),"",INDEX(B284:B$2,-1+SUMPRODUCT(MAX(ROW(E284:E$2)*(E285=E284:E$2)))))</f>
        <v> </v>
      </c>
      <c r="J285" s="25" t="str">
        <f>IF(OR(E285="",E285="!!!",F285="NEW"),"",COUNTBLANK(OFFSET(A$1,,,SUMPRODUCT(MAX(ROW(E$2:E285)*(E285=E$2:E285)))))-COUNTBLANK(OFFSET(A$1,,,SUMPRODUCT(MAX(ROW(E$1:E284)*(E2=E$1:E284))))))</f>
        <v> </v>
      </c>
      <c r="K285" s="25" t="str">
        <f>IF(OR(E285="",E285="!!!",F285="NEW"),"",INDEX(J$1:J284,SUMPRODUCT(MAX(ROW(E$1:E284)*(E285=E$1:E284)))))</f>
        <v> </v>
      </c>
      <c r="L285" s="26"/>
    </row>
    <row r="286" spans="1:12">
      <c r="A286" s="20" t="s">
        <v>301</v>
      </c>
      <c r="E286" s="21">
        <f>IF(D286="?OLD","!!!","")</f>
        <v/>
      </c>
      <c r="F286" s="22" t="str">
        <f>IF(OR(E286="",E286="!!!"),"",IF(NOT(ISNA(VLOOKUP(E286,E$1:E285,1,FALSE()))),"OLD",IF(AND(E286&lt;&gt;"",E286&lt;&gt;"!!!"),"NEW","")))</f>
        <v> </v>
      </c>
      <c r="G286" s="23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4" t="str">
        <f>IF(J286&lt;&gt;1,"",IF(I286="SBJ","CB","?"))</f>
        <v> </v>
      </c>
      <c r="I286" s="25" t="str">
        <f>IF(OR(E286="",E286="!!!",F286="NEW"),"",INDEX(B285:B$2,-1+SUMPRODUCT(MAX(ROW(E285:E$2)*(E286=E285:E$2)))))</f>
        <v> </v>
      </c>
      <c r="J286" s="25" t="str">
        <f>IF(OR(E286="",E286="!!!",F286="NEW"),"",COUNTBLANK(OFFSET(A$1,,,SUMPRODUCT(MAX(ROW(E$2:E286)*(E286=E$2:E286)))))-COUNTBLANK(OFFSET(A$1,,,SUMPRODUCT(MAX(ROW(E$1:E285)*(E2=E$1:E285))))))</f>
        <v> </v>
      </c>
      <c r="K286" s="25" t="str">
        <f>IF(OR(E286="",E286="!!!",F286="NEW"),"",INDEX(J$1:J285,SUMPRODUCT(MAX(ROW(E$1:E285)*(E286=E$1:E285)))))</f>
        <v> </v>
      </c>
      <c r="L286" s="26"/>
    </row>
    <row r="287" spans="1:12">
      <c r="A287" s="20" t="s">
        <v>465</v>
      </c>
      <c r="B287" s="27" t="s">
        <v>466</v>
      </c>
      <c r="C287" s="27" t="s">
        <v>293</v>
      </c>
      <c r="D287" s="27" t="s">
        <v>294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/>
    </row>
    <row r="289" spans="1:12">
      <c r="A289" s="20" t="s">
        <v>467</v>
      </c>
    </row>
    <row r="290" spans="1:12">
      <c r="A290" s="20" t="s">
        <v>402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468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301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398</v>
      </c>
      <c r="B293" s="27" t="s">
        <v>340</v>
      </c>
      <c r="C293" s="27" t="s">
        <v>315</v>
      </c>
      <c r="D293" s="27" t="s">
        <v>294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439</v>
      </c>
      <c r="B294" s="27" t="s">
        <v>322</v>
      </c>
      <c r="C294" s="27" t="s">
        <v>293</v>
      </c>
      <c r="D294" s="27" t="s">
        <v>294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469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306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308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 t="s">
        <v>437</v>
      </c>
      <c r="B298" s="27" t="s">
        <v>303</v>
      </c>
      <c r="C298" s="27" t="s">
        <v>293</v>
      </c>
      <c r="D298" s="27" t="s">
        <v>294</v>
      </c>
      <c r="E298" s="21">
        <f>IF(D298="?OLD","!!!","")</f>
        <v/>
      </c>
      <c r="F298" s="22" t="str">
        <f>IF(OR(E298="",E298="!!!"),"",IF(NOT(ISNA(VLOOKUP(E298,E$1:E297,1,FALSE()))),"OLD",IF(AND(E298&lt;&gt;"",E298&lt;&gt;"!!!"),"NEW","")))</f>
        <v> </v>
      </c>
      <c r="G298" s="23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4" t="str">
        <f>IF(J298&lt;&gt;1,"",IF(I298="SBJ","CB","?"))</f>
        <v> </v>
      </c>
      <c r="I298" s="25" t="str">
        <f>IF(OR(E298="",E298="!!!",F298="NEW"),"",INDEX(B297:B$2,-1+SUMPRODUCT(MAX(ROW(E297:E$2)*(E298=E297:E$2)))))</f>
        <v> </v>
      </c>
      <c r="J298" s="25" t="str">
        <f>IF(OR(E298="",E298="!!!",F298="NEW"),"",COUNTBLANK(OFFSET(A$1,,,SUMPRODUCT(MAX(ROW(E$2:E298)*(E298=E$2:E298)))))-COUNTBLANK(OFFSET(A$1,,,SUMPRODUCT(MAX(ROW(E$1:E297)*(E2=E$1:E297))))))</f>
        <v> </v>
      </c>
      <c r="K298" s="25" t="str">
        <f>IF(OR(E298="",E298="!!!",F298="NEW"),"",INDEX(J$1:J297,SUMPRODUCT(MAX(ROW(E$1:E297)*(E298=E$1:E297)))))</f>
        <v> </v>
      </c>
      <c r="L298" s="26"/>
    </row>
    <row r="299" spans="1:12">
      <c r="A299" s="20" t="s">
        <v>295</v>
      </c>
      <c r="E299" s="21">
        <f>IF(D299="?OLD","!!!","")</f>
        <v/>
      </c>
      <c r="F299" s="22" t="str">
        <f>IF(OR(E299="",E299="!!!"),"",IF(NOT(ISNA(VLOOKUP(E299,E$1:E298,1,FALSE()))),"OLD",IF(AND(E299&lt;&gt;"",E299&lt;&gt;"!!!"),"NEW","")))</f>
        <v> </v>
      </c>
      <c r="G299" s="23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4" t="str">
        <f>IF(J299&lt;&gt;1,"",IF(I299="SBJ","CB","?"))</f>
        <v> </v>
      </c>
      <c r="I299" s="25" t="str">
        <f>IF(OR(E299="",E299="!!!",F299="NEW"),"",INDEX(B298:B$2,-1+SUMPRODUCT(MAX(ROW(E298:E$2)*(E299=E298:E$2)))))</f>
        <v> </v>
      </c>
      <c r="J299" s="25" t="str">
        <f>IF(OR(E299="",E299="!!!",F299="NEW"),"",COUNTBLANK(OFFSET(A$1,,,SUMPRODUCT(MAX(ROW(E$2:E299)*(E299=E$2:E299)))))-COUNTBLANK(OFFSET(A$1,,,SUMPRODUCT(MAX(ROW(E$1:E298)*(E2=E$1:E298))))))</f>
        <v> </v>
      </c>
      <c r="K299" s="25" t="str">
        <f>IF(OR(E299="",E299="!!!",F299="NEW"),"",INDEX(J$1:J298,SUMPRODUCT(MAX(ROW(E$1:E298)*(E299=E$1:E298)))))</f>
        <v> </v>
      </c>
      <c r="L299" s="26"/>
    </row>
    <row r="300" spans="1:12">
      <c r="A300" s="20" t="s">
        <v>331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470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290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471</v>
      </c>
      <c r="B303" s="27" t="s">
        <v>314</v>
      </c>
      <c r="C303" s="27" t="s">
        <v>315</v>
      </c>
      <c r="D303" s="27" t="s">
        <v>294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472</v>
      </c>
      <c r="B304" s="27" t="s">
        <v>292</v>
      </c>
      <c r="C304" s="27" t="s">
        <v>293</v>
      </c>
      <c r="D304" s="27" t="s">
        <v>294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473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304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474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475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306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336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476</v>
      </c>
      <c r="B311" s="27" t="s">
        <v>466</v>
      </c>
      <c r="C311" s="27" t="s">
        <v>315</v>
      </c>
      <c r="D311" s="27" t="s">
        <v>294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477</v>
      </c>
      <c r="B312" s="27" t="s">
        <v>359</v>
      </c>
      <c r="C312" s="27" t="s">
        <v>298</v>
      </c>
      <c r="D312" s="27" t="s">
        <v>294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351</v>
      </c>
      <c r="B313" s="27" t="s">
        <v>478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335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328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312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339</v>
      </c>
      <c r="B317" s="27" t="s">
        <v>479</v>
      </c>
      <c r="C317" s="27" t="s">
        <v>293</v>
      </c>
      <c r="D317" s="27" t="s">
        <v>294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/>
    </row>
    <row r="319" spans="1:12">
      <c r="A319" s="20" t="s">
        <v>480</v>
      </c>
    </row>
    <row r="320" spans="1:12">
      <c r="A320" s="20" t="s">
        <v>481</v>
      </c>
      <c r="E320" s="21">
        <f>IF(D320="?OLD","!!!","")</f>
        <v/>
      </c>
      <c r="F320" s="22" t="str">
        <f>IF(OR(E320="",E320="!!!"),"",IF(NOT(ISNA(VLOOKUP(E320,E$1:E319,1,FALSE()))),"OLD",IF(AND(E320&lt;&gt;"",E320&lt;&gt;"!!!"),"NEW","")))</f>
        <v> </v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4" t="str">
        <f>IF(J320&lt;&gt;1,"",IF(I320="SBJ","CB","?"))</f>
        <v> </v>
      </c>
      <c r="I320" s="25" t="str">
        <f>IF(OR(E320="",E320="!!!",F320="NEW"),"",INDEX(B319:B$2,-1+SUMPRODUCT(MAX(ROW(E319:E$2)*(E320=E319:E$2)))))</f>
        <v> </v>
      </c>
      <c r="J320" s="25" t="str">
        <f>IF(OR(E320="",E320="!!!",F320="NEW"),"",COUNTBLANK(OFFSET(A$1,,,SUMPRODUCT(MAX(ROW(E$2:E320)*(E320=E$2:E320)))))-COUNTBLANK(OFFSET(A$1,,,SUMPRODUCT(MAX(ROW(E$1:E319)*(E2=E$1:E319))))))</f>
        <v> </v>
      </c>
      <c r="K320" s="25" t="str">
        <f>IF(OR(E320="",E320="!!!",F320="NEW"),"",INDEX(J$1:J319,SUMPRODUCT(MAX(ROW(E$1:E319)*(E320=E$1:E319)))))</f>
        <v> </v>
      </c>
      <c r="L320" s="26"/>
    </row>
    <row r="321" spans="1:12">
      <c r="A321" s="20" t="s">
        <v>482</v>
      </c>
      <c r="E321" s="21">
        <f>IF(D321="?OLD","!!!","")</f>
        <v/>
      </c>
      <c r="F321" s="22" t="str">
        <f>IF(OR(E321="",E321="!!!"),"",IF(NOT(ISNA(VLOOKUP(E321,E$1:E320,1,FALSE()))),"OLD",IF(AND(E321&lt;&gt;"",E321&lt;&gt;"!!!"),"NEW","")))</f>
        <v> </v>
      </c>
      <c r="G321" s="23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4" t="str">
        <f>IF(J321&lt;&gt;1,"",IF(I321="SBJ","CB","?"))</f>
        <v> </v>
      </c>
      <c r="I321" s="25" t="str">
        <f>IF(OR(E321="",E321="!!!",F321="NEW"),"",INDEX(B320:B$2,-1+SUMPRODUCT(MAX(ROW(E320:E$2)*(E321=E320:E$2)))))</f>
        <v> </v>
      </c>
      <c r="J321" s="25" t="str">
        <f>IF(OR(E321="",E321="!!!",F321="NEW"),"",COUNTBLANK(OFFSET(A$1,,,SUMPRODUCT(MAX(ROW(E$2:E321)*(E321=E$2:E321)))))-COUNTBLANK(OFFSET(A$1,,,SUMPRODUCT(MAX(ROW(E$1:E320)*(E2=E$1:E320))))))</f>
        <v> </v>
      </c>
      <c r="K321" s="25" t="str">
        <f>IF(OR(E321="",E321="!!!",F321="NEW"),"",INDEX(J$1:J320,SUMPRODUCT(MAX(ROW(E$1:E320)*(E321=E$1:E320)))))</f>
        <v> </v>
      </c>
      <c r="L321" s="26"/>
    </row>
    <row r="322" spans="1:12">
      <c r="A322" s="20" t="s">
        <v>351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483</v>
      </c>
      <c r="B323" s="27" t="s">
        <v>352</v>
      </c>
      <c r="C323" s="27" t="s">
        <v>309</v>
      </c>
      <c r="D323" s="27" t="s">
        <v>294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484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485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431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486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301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487</v>
      </c>
      <c r="B329" s="27" t="s">
        <v>461</v>
      </c>
      <c r="C329" s="27" t="s">
        <v>298</v>
      </c>
      <c r="D329" s="27" t="s">
        <v>294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488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312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489</v>
      </c>
      <c r="B332" s="27" t="s">
        <v>359</v>
      </c>
      <c r="C332" s="27" t="s">
        <v>293</v>
      </c>
      <c r="D332" s="27" t="s">
        <v>294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411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441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490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485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377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486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295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 t="s">
        <v>413</v>
      </c>
      <c r="E340" s="21">
        <f>IF(D340="?OLD","!!!","")</f>
        <v/>
      </c>
      <c r="F340" s="22" t="str">
        <f>IF(OR(E340="",E340="!!!"),"",IF(NOT(ISNA(VLOOKUP(E340,E$1:E339,1,FALSE()))),"OLD",IF(AND(E340&lt;&gt;"",E340&lt;&gt;"!!!"),"NEW","")))</f>
        <v> </v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4" t="str">
        <f>IF(J340&lt;&gt;1,"",IF(I340="SBJ","CB","?"))</f>
        <v> </v>
      </c>
      <c r="I340" s="25" t="str">
        <f>IF(OR(E340="",E340="!!!",F340="NEW"),"",INDEX(B339:B$2,-1+SUMPRODUCT(MAX(ROW(E339:E$2)*(E340=E339:E$2)))))</f>
        <v> </v>
      </c>
      <c r="J340" s="25" t="str">
        <f>IF(OR(E340="",E340="!!!",F340="NEW"),"",COUNTBLANK(OFFSET(A$1,,,SUMPRODUCT(MAX(ROW(E$2:E340)*(E340=E$2:E340)))))-COUNTBLANK(OFFSET(A$1,,,SUMPRODUCT(MAX(ROW(E$1:E339)*(E2=E$1:E339))))))</f>
        <v> </v>
      </c>
      <c r="K340" s="25" t="str">
        <f>IF(OR(E340="",E340="!!!",F340="NEW"),"",INDEX(J$1:J339,SUMPRODUCT(MAX(ROW(E$1:E339)*(E340=E$1:E339)))))</f>
        <v> </v>
      </c>
      <c r="L340" s="26"/>
    </row>
    <row r="341" spans="1:12">
      <c r="A341" s="20" t="s">
        <v>377</v>
      </c>
      <c r="E341" s="21">
        <f>IF(D341="?OLD","!!!","")</f>
        <v/>
      </c>
      <c r="F341" s="22" t="str">
        <f>IF(OR(E341="",E341="!!!"),"",IF(NOT(ISNA(VLOOKUP(E341,E$1:E340,1,FALSE()))),"OLD",IF(AND(E341&lt;&gt;"",E341&lt;&gt;"!!!"),"NEW","")))</f>
        <v> </v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4" t="str">
        <f>IF(J341&lt;&gt;1,"",IF(I341="SBJ","CB","?"))</f>
        <v> </v>
      </c>
      <c r="I341" s="25" t="str">
        <f>IF(OR(E341="",E341="!!!",F341="NEW"),"",INDEX(B340:B$2,-1+SUMPRODUCT(MAX(ROW(E340:E$2)*(E341=E340:E$2)))))</f>
        <v> </v>
      </c>
      <c r="J341" s="25" t="str">
        <f>IF(OR(E341="",E341="!!!",F341="NEW"),"",COUNTBLANK(OFFSET(A$1,,,SUMPRODUCT(MAX(ROW(E$2:E341)*(E341=E$2:E341)))))-COUNTBLANK(OFFSET(A$1,,,SUMPRODUCT(MAX(ROW(E$1:E340)*(E2=E$1:E340))))))</f>
        <v> </v>
      </c>
      <c r="K341" s="25" t="str">
        <f>IF(OR(E341="",E341="!!!",F341="NEW"),"",INDEX(J$1:J340,SUMPRODUCT(MAX(ROW(E$1:E340)*(E341=E$1:E340)))))</f>
        <v> </v>
      </c>
      <c r="L341" s="26"/>
    </row>
    <row r="342" spans="1:12">
      <c r="A342" s="20" t="s">
        <v>183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491</v>
      </c>
      <c r="B343" s="27" t="s">
        <v>292</v>
      </c>
      <c r="C343" s="27" t="s">
        <v>330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/>
    </row>
    <row r="345" spans="1:12">
      <c r="A345" s="20" t="s">
        <v>492</v>
      </c>
    </row>
    <row r="346" spans="1:12">
      <c r="A346" s="20" t="s">
        <v>493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494</v>
      </c>
      <c r="B347" s="27" t="s">
        <v>303</v>
      </c>
      <c r="C347" s="27" t="s">
        <v>330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382</v>
      </c>
      <c r="B348" s="27" t="s">
        <v>322</v>
      </c>
      <c r="C348" s="27" t="s">
        <v>309</v>
      </c>
      <c r="D348" s="27" t="s">
        <v>294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227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495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496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441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497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498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336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 t="s">
        <v>207</v>
      </c>
      <c r="B356" s="27" t="s">
        <v>334</v>
      </c>
      <c r="C356" s="27" t="s">
        <v>293</v>
      </c>
      <c r="D356" s="27" t="s">
        <v>294</v>
      </c>
      <c r="E356" s="21">
        <f>IF(D356="?OLD","!!!","")</f>
        <v/>
      </c>
      <c r="F356" s="22" t="str">
        <f>IF(OR(E356="",E356="!!!"),"",IF(NOT(ISNA(VLOOKUP(E356,E$1:E355,1,FALSE()))),"OLD",IF(AND(E356&lt;&gt;"",E356&lt;&gt;"!!!"),"NEW","")))</f>
        <v> </v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4" t="str">
        <f>IF(J356&lt;&gt;1,"",IF(I356="SBJ","CB","?"))</f>
        <v> </v>
      </c>
      <c r="I356" s="25" t="str">
        <f>IF(OR(E356="",E356="!!!",F356="NEW"),"",INDEX(B355:B$2,-1+SUMPRODUCT(MAX(ROW(E355:E$2)*(E356=E355:E$2)))))</f>
        <v> </v>
      </c>
      <c r="J356" s="25" t="str">
        <f>IF(OR(E356="",E356="!!!",F356="NEW"),"",COUNTBLANK(OFFSET(A$1,,,SUMPRODUCT(MAX(ROW(E$2:E356)*(E356=E$2:E356)))))-COUNTBLANK(OFFSET(A$1,,,SUMPRODUCT(MAX(ROW(E$1:E355)*(E2=E$1:E355))))))</f>
        <v> </v>
      </c>
      <c r="K356" s="25" t="str">
        <f>IF(OR(E356="",E356="!!!",F356="NEW"),"",INDEX(J$1:J355,SUMPRODUCT(MAX(ROW(E$1:E355)*(E356=E$1:E355)))))</f>
        <v> </v>
      </c>
      <c r="L356" s="26"/>
    </row>
    <row r="357" spans="1:12">
      <c r="A357" s="20" t="s">
        <v>304</v>
      </c>
      <c r="E357" s="21">
        <f>IF(D357="?OLD","!!!","")</f>
        <v/>
      </c>
      <c r="F357" s="22" t="str">
        <f>IF(OR(E357="",E357="!!!"),"",IF(NOT(ISNA(VLOOKUP(E357,E$1:E356,1,FALSE()))),"OLD",IF(AND(E357&lt;&gt;"",E357&lt;&gt;"!!!"),"NEW","")))</f>
        <v> </v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> </v>
      </c>
      <c r="H357" s="24" t="str">
        <f>IF(J357&lt;&gt;1,"",IF(I357="SBJ","CB","?"))</f>
        <v> </v>
      </c>
      <c r="I357" s="25" t="str">
        <f>IF(OR(E357="",E357="!!!",F357="NEW"),"",INDEX(B356:B$2,-1+SUMPRODUCT(MAX(ROW(E356:E$2)*(E357=E356:E$2)))))</f>
        <v> </v>
      </c>
      <c r="J357" s="25" t="str">
        <f>IF(OR(E357="",E357="!!!",F357="NEW"),"",COUNTBLANK(OFFSET(A$1,,,SUMPRODUCT(MAX(ROW(E$2:E357)*(E357=E$2:E357)))))-COUNTBLANK(OFFSET(A$1,,,SUMPRODUCT(MAX(ROW(E$1:E356)*(E2=E$1:E356))))))</f>
        <v> </v>
      </c>
      <c r="K357" s="25" t="str">
        <f>IF(OR(E357="",E357="!!!",F357="NEW"),"",INDEX(J$1:J356,SUMPRODUCT(MAX(ROW(E$1:E356)*(E357=E$1:E356)))))</f>
        <v> </v>
      </c>
      <c r="L357" s="26"/>
    </row>
    <row r="358" spans="1:12">
      <c r="A358" s="20" t="s">
        <v>301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211</v>
      </c>
      <c r="B359" s="27" t="s">
        <v>314</v>
      </c>
      <c r="C359" s="27" t="s">
        <v>293</v>
      </c>
      <c r="D359" s="27" t="s">
        <v>294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295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441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499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500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450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501</v>
      </c>
      <c r="B365" s="27" t="s">
        <v>322</v>
      </c>
      <c r="C365" s="27" t="s">
        <v>447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488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450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 t="s">
        <v>502</v>
      </c>
      <c r="B368" s="27" t="s">
        <v>340</v>
      </c>
      <c r="C368" s="27" t="s">
        <v>338</v>
      </c>
      <c r="D368" s="27" t="s">
        <v>294</v>
      </c>
      <c r="E368" s="21">
        <f>IF(D368="?OLD","!!!","")</f>
        <v/>
      </c>
      <c r="F368" s="22" t="str">
        <f>IF(OR(E368="",E368="!!!"),"",IF(NOT(ISNA(VLOOKUP(E368,E$1:E367,1,FALSE()))),"OLD",IF(AND(E368&lt;&gt;"",E368&lt;&gt;"!!!"),"NEW","")))</f>
        <v> </v>
      </c>
      <c r="G368" s="23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4" t="str">
        <f>IF(J368&lt;&gt;1,"",IF(I368="SBJ","CB","?"))</f>
        <v> </v>
      </c>
      <c r="I368" s="25" t="str">
        <f>IF(OR(E368="",E368="!!!",F368="NEW"),"",INDEX(B367:B$2,-1+SUMPRODUCT(MAX(ROW(E367:E$2)*(E368=E367:E$2)))))</f>
        <v> </v>
      </c>
      <c r="J368" s="25" t="str">
        <f>IF(OR(E368="",E368="!!!",F368="NEW"),"",COUNTBLANK(OFFSET(A$1,,,SUMPRODUCT(MAX(ROW(E$2:E368)*(E368=E$2:E368)))))-COUNTBLANK(OFFSET(A$1,,,SUMPRODUCT(MAX(ROW(E$1:E367)*(E2=E$1:E367))))))</f>
        <v> </v>
      </c>
      <c r="K368" s="25" t="str">
        <f>IF(OR(E368="",E368="!!!",F368="NEW"),"",INDEX(J$1:J367,SUMPRODUCT(MAX(ROW(E$1:E367)*(E368=E$1:E367)))))</f>
        <v> </v>
      </c>
      <c r="L368" s="26"/>
    </row>
    <row r="369" spans="1:12">
      <c r="A369" s="20" t="s">
        <v>436</v>
      </c>
      <c r="E369" s="21">
        <f>IF(D369="?OLD","!!!","")</f>
        <v/>
      </c>
      <c r="F369" s="22" t="str">
        <f>IF(OR(E369="",E369="!!!"),"",IF(NOT(ISNA(VLOOKUP(E369,E$1:E368,1,FALSE()))),"OLD",IF(AND(E369&lt;&gt;"",E369&lt;&gt;"!!!"),"NEW","")))</f>
        <v> </v>
      </c>
      <c r="G369" s="23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4" t="str">
        <f>IF(J369&lt;&gt;1,"",IF(I369="SBJ","CB","?"))</f>
        <v> </v>
      </c>
      <c r="I369" s="25" t="str">
        <f>IF(OR(E369="",E369="!!!",F369="NEW"),"",INDEX(B368:B$2,-1+SUMPRODUCT(MAX(ROW(E368:E$2)*(E369=E368:E$2)))))</f>
        <v> </v>
      </c>
      <c r="J369" s="25" t="str">
        <f>IF(OR(E369="",E369="!!!",F369="NEW"),"",COUNTBLANK(OFFSET(A$1,,,SUMPRODUCT(MAX(ROW(E$2:E369)*(E369=E$2:E369)))))-COUNTBLANK(OFFSET(A$1,,,SUMPRODUCT(MAX(ROW(E$1:E368)*(E2=E$1:E368))))))</f>
        <v> </v>
      </c>
      <c r="K369" s="25" t="str">
        <f>IF(OR(E369="",E369="!!!",F369="NEW"),"",INDEX(J$1:J368,SUMPRODUCT(MAX(ROW(E$1:E368)*(E369=E$1:E368)))))</f>
        <v> </v>
      </c>
      <c r="L369" s="26"/>
    </row>
    <row r="370" spans="1:12">
      <c r="A370" s="20" t="s">
        <v>301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503</v>
      </c>
      <c r="B371" s="27" t="s">
        <v>314</v>
      </c>
      <c r="C371" s="27" t="s">
        <v>293</v>
      </c>
      <c r="D371" s="27" t="s">
        <v>294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295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504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351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505</v>
      </c>
      <c r="B375" s="27" t="s">
        <v>334</v>
      </c>
      <c r="C375" s="27" t="s">
        <v>429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484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506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/>
    </row>
    <row r="379" spans="1:12">
      <c r="A379" s="20" t="s">
        <v>507</v>
      </c>
    </row>
    <row r="380" spans="1:12">
      <c r="A380" s="20" t="s">
        <v>508</v>
      </c>
      <c r="B380" s="27" t="s">
        <v>334</v>
      </c>
      <c r="C380" s="27" t="s">
        <v>418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509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510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511</v>
      </c>
      <c r="B383" s="27" t="s">
        <v>297</v>
      </c>
      <c r="C383" s="27" t="s">
        <v>429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512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332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 t="s">
        <v>513</v>
      </c>
      <c r="E386" s="21">
        <f>IF(D386="?OLD","!!!","")</f>
        <v/>
      </c>
      <c r="F386" s="22" t="str">
        <f>IF(OR(E386="",E386="!!!"),"",IF(NOT(ISNA(VLOOKUP(E386,E$1:E385,1,FALSE()))),"OLD",IF(AND(E386&lt;&gt;"",E386&lt;&gt;"!!!"),"NEW","")))</f>
        <v> </v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4" t="str">
        <f>IF(J386&lt;&gt;1,"",IF(I386="SBJ","CB","?"))</f>
        <v> </v>
      </c>
      <c r="I386" s="25" t="str">
        <f>IF(OR(E386="",E386="!!!",F386="NEW"),"",INDEX(B385:B$2,-1+SUMPRODUCT(MAX(ROW(E385:E$2)*(E386=E385:E$2)))))</f>
        <v> </v>
      </c>
      <c r="J386" s="25" t="str">
        <f>IF(OR(E386="",E386="!!!",F386="NEW"),"",COUNTBLANK(OFFSET(A$1,,,SUMPRODUCT(MAX(ROW(E$2:E386)*(E386=E$2:E386)))))-COUNTBLANK(OFFSET(A$1,,,SUMPRODUCT(MAX(ROW(E$1:E385)*(E2=E$1:E385))))))</f>
        <v> </v>
      </c>
      <c r="K386" s="25" t="str">
        <f>IF(OR(E386="",E386="!!!",F386="NEW"),"",INDEX(J$1:J385,SUMPRODUCT(MAX(ROW(E$1:E385)*(E386=E$1:E385)))))</f>
        <v> </v>
      </c>
      <c r="L386" s="26"/>
    </row>
    <row r="387" spans="1:12">
      <c r="A387" s="20" t="s">
        <v>514</v>
      </c>
      <c r="B387" s="27" t="s">
        <v>340</v>
      </c>
      <c r="C387" s="27" t="s">
        <v>515</v>
      </c>
      <c r="D387" s="27" t="s">
        <v>294</v>
      </c>
      <c r="E387" s="21">
        <f>IF(D387="?OLD","!!!","")</f>
        <v/>
      </c>
      <c r="F387" s="22" t="str">
        <f>IF(OR(E387="",E387="!!!"),"",IF(NOT(ISNA(VLOOKUP(E387,E$1:E386,1,FALSE()))),"OLD",IF(AND(E387&lt;&gt;"",E387&lt;&gt;"!!!"),"NEW","")))</f>
        <v> </v>
      </c>
      <c r="G387" s="23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4" t="str">
        <f>IF(J387&lt;&gt;1,"",IF(I387="SBJ","CB","?"))</f>
        <v> </v>
      </c>
      <c r="I387" s="25" t="str">
        <f>IF(OR(E387="",E387="!!!",F387="NEW"),"",INDEX(B386:B$2,-1+SUMPRODUCT(MAX(ROW(E386:E$2)*(E387=E386:E$2)))))</f>
        <v> </v>
      </c>
      <c r="J387" s="25" t="str">
        <f>IF(OR(E387="",E387="!!!",F387="NEW"),"",COUNTBLANK(OFFSET(A$1,,,SUMPRODUCT(MAX(ROW(E$2:E387)*(E387=E$2:E387)))))-COUNTBLANK(OFFSET(A$1,,,SUMPRODUCT(MAX(ROW(E$1:E386)*(E2=E$1:E386))))))</f>
        <v> </v>
      </c>
      <c r="K387" s="25" t="str">
        <f>IF(OR(E387="",E387="!!!",F387="NEW"),"",INDEX(J$1:J386,SUMPRODUCT(MAX(ROW(E$1:E386)*(E387=E$1:E386)))))</f>
        <v> </v>
      </c>
      <c r="L387" s="26"/>
    </row>
    <row r="388" spans="1:12">
      <c r="A388" s="20" t="s">
        <v>295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516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517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295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304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518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306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308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437</v>
      </c>
      <c r="B396" s="27" t="s">
        <v>314</v>
      </c>
      <c r="C396" s="27" t="s">
        <v>293</v>
      </c>
      <c r="D396" s="27" t="s">
        <v>294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306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264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519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295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520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521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522</v>
      </c>
      <c r="B403" s="27" t="s">
        <v>303</v>
      </c>
      <c r="C403" s="27" t="s">
        <v>330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328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 t="s">
        <v>336</v>
      </c>
      <c r="E405" s="21">
        <f>IF(D405="?OLD","!!!","")</f>
        <v/>
      </c>
      <c r="F405" s="22" t="str">
        <f>IF(OR(E405="",E405="!!!"),"",IF(NOT(ISNA(VLOOKUP(E405,E$1:E404,1,FALSE()))),"OLD",IF(AND(E405&lt;&gt;"",E405&lt;&gt;"!!!"),"NEW","")))</f>
        <v> </v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4" t="str">
        <f>IF(J405&lt;&gt;1,"",IF(I405="SBJ","CB","?"))</f>
        <v> </v>
      </c>
      <c r="I405" s="25" t="str">
        <f>IF(OR(E405="",E405="!!!",F405="NEW"),"",INDEX(B404:B$2,-1+SUMPRODUCT(MAX(ROW(E404:E$2)*(E405=E404:E$2)))))</f>
        <v> </v>
      </c>
      <c r="J405" s="25" t="str">
        <f>IF(OR(E405="",E405="!!!",F405="NEW"),"",COUNTBLANK(OFFSET(A$1,,,SUMPRODUCT(MAX(ROW(E$2:E405)*(E405=E$2:E405)))))-COUNTBLANK(OFFSET(A$1,,,SUMPRODUCT(MAX(ROW(E$1:E404)*(E2=E$1:E404))))))</f>
        <v> </v>
      </c>
      <c r="K405" s="25" t="str">
        <f>IF(OR(E405="",E405="!!!",F405="NEW"),"",INDEX(J$1:J404,SUMPRODUCT(MAX(ROW(E$1:E404)*(E405=E$1:E404)))))</f>
        <v> </v>
      </c>
      <c r="L405" s="26"/>
    </row>
    <row r="406" spans="1:12">
      <c r="A406" s="20" t="s">
        <v>337</v>
      </c>
      <c r="B406" s="27" t="s">
        <v>303</v>
      </c>
      <c r="C406" s="27" t="s">
        <v>338</v>
      </c>
      <c r="D406" s="27" t="s">
        <v>294</v>
      </c>
      <c r="E406" s="21">
        <f>IF(D406="?OLD","!!!","")</f>
        <v/>
      </c>
      <c r="F406" s="22" t="str">
        <f>IF(OR(E406="",E406="!!!"),"",IF(NOT(ISNA(VLOOKUP(E406,E$1:E405,1,FALSE()))),"OLD",IF(AND(E406&lt;&gt;"",E406&lt;&gt;"!!!"),"NEW","")))</f>
        <v> </v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4" t="str">
        <f>IF(J406&lt;&gt;1,"",IF(I406="SBJ","CB","?"))</f>
        <v> </v>
      </c>
      <c r="I406" s="25" t="str">
        <f>IF(OR(E406="",E406="!!!",F406="NEW"),"",INDEX(B405:B$2,-1+SUMPRODUCT(MAX(ROW(E405:E$2)*(E406=E405:E$2)))))</f>
        <v> </v>
      </c>
      <c r="J406" s="25" t="str">
        <f>IF(OR(E406="",E406="!!!",F406="NEW"),"",COUNTBLANK(OFFSET(A$1,,,SUMPRODUCT(MAX(ROW(E$2:E406)*(E406=E$2:E406)))))-COUNTBLANK(OFFSET(A$1,,,SUMPRODUCT(MAX(ROW(E$1:E405)*(E2=E$1:E405))))))</f>
        <v> </v>
      </c>
      <c r="K406" s="25" t="str">
        <f>IF(OR(E406="",E406="!!!",F406="NEW"),"",INDEX(J$1:J405,SUMPRODUCT(MAX(ROW(E$1:E405)*(E406=E$1:E405)))))</f>
        <v> </v>
      </c>
      <c r="L406" s="26"/>
    </row>
    <row r="407" spans="1:12">
      <c r="A407" s="20" t="s">
        <v>332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312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339</v>
      </c>
      <c r="B409" s="27" t="s">
        <v>340</v>
      </c>
      <c r="C409" s="27" t="s">
        <v>293</v>
      </c>
      <c r="D409" s="27" t="s">
        <v>294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400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/>
    </row>
    <row r="412" spans="1:12">
      <c r="A412" s="20" t="s">
        <v>523</v>
      </c>
    </row>
    <row r="413" spans="1:12">
      <c r="A413" s="20" t="s">
        <v>508</v>
      </c>
      <c r="B413" s="27" t="s">
        <v>297</v>
      </c>
      <c r="C413" s="27" t="s">
        <v>418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524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321</v>
      </c>
      <c r="B415" s="27" t="s">
        <v>322</v>
      </c>
      <c r="C415" s="27" t="s">
        <v>309</v>
      </c>
      <c r="D415" s="27" t="s">
        <v>294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525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304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321</v>
      </c>
      <c r="B418" s="27" t="s">
        <v>292</v>
      </c>
      <c r="C418" s="27" t="s">
        <v>309</v>
      </c>
      <c r="D418" s="27" t="s">
        <v>294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518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306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308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437</v>
      </c>
      <c r="B422" s="27" t="s">
        <v>340</v>
      </c>
      <c r="C422" s="27" t="s">
        <v>293</v>
      </c>
      <c r="D422" s="27" t="s">
        <v>294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295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520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521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397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328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336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337</v>
      </c>
      <c r="B429" s="27" t="s">
        <v>340</v>
      </c>
      <c r="C429" s="27" t="s">
        <v>338</v>
      </c>
      <c r="D429" s="27" t="s">
        <v>294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332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312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339</v>
      </c>
      <c r="B432" s="27" t="s">
        <v>314</v>
      </c>
      <c r="C432" s="27" t="s">
        <v>293</v>
      </c>
      <c r="D432" s="27" t="s">
        <v>294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/>
    </row>
    <row r="434" spans="1:12">
      <c r="A434" s="20" t="s">
        <v>526</v>
      </c>
    </row>
    <row r="435" spans="1:12">
      <c r="A435" s="20" t="s">
        <v>527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483</v>
      </c>
      <c r="B436" s="27" t="s">
        <v>297</v>
      </c>
      <c r="C436" s="27" t="s">
        <v>309</v>
      </c>
      <c r="D436" s="27" t="s">
        <v>294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382</v>
      </c>
      <c r="B437" s="27" t="s">
        <v>322</v>
      </c>
      <c r="C437" s="27" t="s">
        <v>309</v>
      </c>
      <c r="D437" s="27" t="s">
        <v>294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227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495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/>
    </row>
    <row r="441" spans="1:12">
      <c r="A441" s="20" t="s">
        <v>528</v>
      </c>
    </row>
    <row r="442" spans="1:12">
      <c r="A442" s="20" t="s">
        <v>414</v>
      </c>
      <c r="E442" s="21">
        <f>IF(D442="?OLD","!!!","")</f>
        <v/>
      </c>
      <c r="F442" s="22" t="str">
        <f>IF(OR(E442="",E442="!!!"),"",IF(NOT(ISNA(VLOOKUP(E442,E$1:E441,1,FALSE()))),"OLD",IF(AND(E442&lt;&gt;"",E442&lt;&gt;"!!!"),"NEW","")))</f>
        <v> </v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4" t="str">
        <f>IF(J442&lt;&gt;1,"",IF(I442="SBJ","CB","?"))</f>
        <v> </v>
      </c>
      <c r="I442" s="25" t="str">
        <f>IF(OR(E442="",E442="!!!",F442="NEW"),"",INDEX(B441:B$2,-1+SUMPRODUCT(MAX(ROW(E441:E$2)*(E442=E441:E$2)))))</f>
        <v> </v>
      </c>
      <c r="J442" s="25" t="str">
        <f>IF(OR(E442="",E442="!!!",F442="NEW"),"",COUNTBLANK(OFFSET(A$1,,,SUMPRODUCT(MAX(ROW(E$2:E442)*(E442=E$2:E442)))))-COUNTBLANK(OFFSET(A$1,,,SUMPRODUCT(MAX(ROW(E$1:E441)*(E2=E$1:E441))))))</f>
        <v> </v>
      </c>
      <c r="K442" s="25" t="str">
        <f>IF(OR(E442="",E442="!!!",F442="NEW"),"",INDEX(J$1:J441,SUMPRODUCT(MAX(ROW(E$1:E441)*(E442=E$1:E441)))))</f>
        <v> </v>
      </c>
      <c r="L442" s="26"/>
    </row>
    <row r="443" spans="1:12">
      <c r="A443" s="20" t="s">
        <v>301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398</v>
      </c>
      <c r="B444" s="27" t="s">
        <v>314</v>
      </c>
      <c r="C444" s="27" t="s">
        <v>315</v>
      </c>
      <c r="D444" s="27" t="s">
        <v>294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358</v>
      </c>
      <c r="B445" s="27" t="s">
        <v>334</v>
      </c>
      <c r="C445" s="27" t="s">
        <v>293</v>
      </c>
      <c r="D445" s="27" t="s">
        <v>294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441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529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530</v>
      </c>
      <c r="B448" s="27" t="s">
        <v>292</v>
      </c>
      <c r="C448" s="27" t="s">
        <v>350</v>
      </c>
      <c r="D448" s="27" t="s">
        <v>294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332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308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531</v>
      </c>
      <c r="B451" s="27" t="s">
        <v>314</v>
      </c>
      <c r="C451" s="27" t="s">
        <v>293</v>
      </c>
      <c r="D451" s="27" t="s">
        <v>294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304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332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312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532</v>
      </c>
      <c r="B455" s="27" t="s">
        <v>357</v>
      </c>
      <c r="C455" s="27" t="s">
        <v>293</v>
      </c>
      <c r="D455" s="27" t="s">
        <v>294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295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441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533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328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336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337</v>
      </c>
      <c r="B461" s="27" t="s">
        <v>303</v>
      </c>
      <c r="C461" s="27" t="s">
        <v>338</v>
      </c>
      <c r="D461" s="27" t="s">
        <v>294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332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312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339</v>
      </c>
      <c r="B464" s="27" t="s">
        <v>340</v>
      </c>
      <c r="C464" s="27" t="s">
        <v>293</v>
      </c>
      <c r="D464" s="27" t="s">
        <v>294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/>
    </row>
    <row r="466" spans="1:12">
      <c r="A466" s="20" t="s">
        <v>534</v>
      </c>
    </row>
    <row r="467" spans="1:12">
      <c r="A467" s="20" t="s">
        <v>535</v>
      </c>
      <c r="E467" s="21">
        <f>IF(D467="?OLD","!!!","")</f>
        <v/>
      </c>
      <c r="F467" s="22" t="str">
        <f>IF(OR(E467="",E467="!!!"),"",IF(NOT(ISNA(VLOOKUP(E467,E$1:E466,1,FALSE()))),"OLD",IF(AND(E467&lt;&gt;"",E467&lt;&gt;"!!!"),"NEW","")))</f>
        <v> </v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4" t="str">
        <f>IF(J467&lt;&gt;1,"",IF(I467="SBJ","CB","?"))</f>
        <v> </v>
      </c>
      <c r="I467" s="25" t="str">
        <f>IF(OR(E467="",E467="!!!",F467="NEW"),"",INDEX(B466:B$2,-1+SUMPRODUCT(MAX(ROW(E466:E$2)*(E467=E466:E$2)))))</f>
        <v> </v>
      </c>
      <c r="J467" s="25" t="str">
        <f>IF(OR(E467="",E467="!!!",F467="NEW"),"",COUNTBLANK(OFFSET(A$1,,,SUMPRODUCT(MAX(ROW(E$2:E467)*(E467=E$2:E467)))))-COUNTBLANK(OFFSET(A$1,,,SUMPRODUCT(MAX(ROW(E$1:E466)*(E2=E$1:E466))))))</f>
        <v> </v>
      </c>
      <c r="K467" s="25" t="str">
        <f>IF(OR(E467="",E467="!!!",F467="NEW"),"",INDEX(J$1:J466,SUMPRODUCT(MAX(ROW(E$1:E466)*(E467=E$1:E466)))))</f>
        <v> </v>
      </c>
      <c r="L467" s="26"/>
    </row>
    <row r="468" spans="1:12">
      <c r="A468" s="20" t="s">
        <v>536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351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537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538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306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308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539</v>
      </c>
      <c r="B474" s="27" t="s">
        <v>340</v>
      </c>
      <c r="C474" s="27" t="s">
        <v>293</v>
      </c>
      <c r="D474" s="27" t="s">
        <v>294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495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/>
    </row>
    <row r="477" spans="1:12">
      <c r="A477" s="20" t="s">
        <v>540</v>
      </c>
    </row>
    <row r="478" spans="1:12">
      <c r="A478" s="20" t="s">
        <v>481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121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411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541</v>
      </c>
      <c r="B481" s="27" t="s">
        <v>334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542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543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520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544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306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545</v>
      </c>
      <c r="B487" s="27" t="s">
        <v>340</v>
      </c>
      <c r="C487" s="27" t="s">
        <v>330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/>
    </row>
    <row r="489" spans="1:12">
      <c r="A489" s="20" t="s">
        <v>546</v>
      </c>
    </row>
    <row r="490" spans="1:12">
      <c r="A490" s="20" t="s">
        <v>547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 t="s">
        <v>483</v>
      </c>
      <c r="B491" s="27" t="s">
        <v>297</v>
      </c>
      <c r="C491" s="27" t="s">
        <v>309</v>
      </c>
      <c r="D491" s="27" t="s">
        <v>294</v>
      </c>
      <c r="E491" s="21">
        <f>IF(D491="?OLD","!!!","")</f>
        <v/>
      </c>
      <c r="F491" s="22" t="str">
        <f>IF(OR(E491="",E491="!!!"),"",IF(NOT(ISNA(VLOOKUP(E491,E$1:E490,1,FALSE()))),"OLD",IF(AND(E491&lt;&gt;"",E491&lt;&gt;"!!!"),"NEW","")))</f>
        <v> </v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4" t="str">
        <f>IF(J491&lt;&gt;1,"",IF(I491="SBJ","CB","?"))</f>
        <v> </v>
      </c>
      <c r="I491" s="25" t="str">
        <f>IF(OR(E491="",E491="!!!",F491="NEW"),"",INDEX(B490:B$2,-1+SUMPRODUCT(MAX(ROW(E490:E$2)*(E491=E490:E$2)))))</f>
        <v> </v>
      </c>
      <c r="J491" s="25" t="str">
        <f>IF(OR(E491="",E491="!!!",F491="NEW"),"",COUNTBLANK(OFFSET(A$1,,,SUMPRODUCT(MAX(ROW(E$2:E491)*(E491=E$2:E491)))))-COUNTBLANK(OFFSET(A$1,,,SUMPRODUCT(MAX(ROW(E$1:E490)*(E2=E$1:E490))))))</f>
        <v> </v>
      </c>
      <c r="K491" s="25" t="str">
        <f>IF(OR(E491="",E491="!!!",F491="NEW"),"",INDEX(J$1:J490,SUMPRODUCT(MAX(ROW(E$1:E490)*(E491=E$1:E490)))))</f>
        <v> </v>
      </c>
      <c r="L491" s="26"/>
    </row>
    <row r="492" spans="1:12">
      <c r="A492" s="20" t="s">
        <v>382</v>
      </c>
      <c r="B492" s="27" t="s">
        <v>322</v>
      </c>
      <c r="C492" s="27" t="s">
        <v>309</v>
      </c>
      <c r="D492" s="27" t="s">
        <v>294</v>
      </c>
      <c r="E492" s="21">
        <f>IF(D492="?OLD","!!!","")</f>
        <v/>
      </c>
      <c r="F492" s="22" t="str">
        <f>IF(OR(E492="",E492="!!!"),"",IF(NOT(ISNA(VLOOKUP(E492,E$1:E491,1,FALSE()))),"OLD",IF(AND(E492&lt;&gt;"",E492&lt;&gt;"!!!"),"NEW","")))</f>
        <v> </v>
      </c>
      <c r="G492" s="23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4" t="str">
        <f>IF(J492&lt;&gt;1,"",IF(I492="SBJ","CB","?"))</f>
        <v> </v>
      </c>
      <c r="I492" s="25" t="str">
        <f>IF(OR(E492="",E492="!!!",F492="NEW"),"",INDEX(B491:B$2,-1+SUMPRODUCT(MAX(ROW(E491:E$2)*(E492=E491:E$2)))))</f>
        <v> </v>
      </c>
      <c r="J492" s="25" t="str">
        <f>IF(OR(E492="",E492="!!!",F492="NEW"),"",COUNTBLANK(OFFSET(A$1,,,SUMPRODUCT(MAX(ROW(E$2:E492)*(E492=E$2:E492)))))-COUNTBLANK(OFFSET(A$1,,,SUMPRODUCT(MAX(ROW(E$1:E491)*(E2=E$1:E491))))))</f>
        <v> </v>
      </c>
      <c r="K492" s="25" t="str">
        <f>IF(OR(E492="",E492="!!!",F492="NEW"),"",INDEX(J$1:J491,SUMPRODUCT(MAX(ROW(E$1:E491)*(E492=E$1:E491)))))</f>
        <v> </v>
      </c>
      <c r="L492" s="26"/>
    </row>
    <row r="493" spans="1:12">
      <c r="A493" s="20" t="s">
        <v>227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495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/>
    </row>
    <row r="496" spans="1:12">
      <c r="A496" s="20" t="s">
        <v>548</v>
      </c>
    </row>
    <row r="497" spans="1:12">
      <c r="A497" s="20" t="s">
        <v>549</v>
      </c>
      <c r="B497" s="27" t="s">
        <v>297</v>
      </c>
      <c r="C497" s="27" t="s">
        <v>429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310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550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417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336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551</v>
      </c>
      <c r="B502" s="27" t="s">
        <v>340</v>
      </c>
      <c r="C502" s="27" t="s">
        <v>315</v>
      </c>
      <c r="D502" s="27" t="s">
        <v>294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552</v>
      </c>
      <c r="B503" s="27" t="s">
        <v>303</v>
      </c>
      <c r="C503" s="27" t="s">
        <v>293</v>
      </c>
      <c r="D503" s="27" t="s">
        <v>294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295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 t="s">
        <v>520</v>
      </c>
      <c r="E505" s="21">
        <f>IF(D505="?OLD","!!!","")</f>
        <v/>
      </c>
      <c r="F505" s="22" t="str">
        <f>IF(OR(E505="",E505="!!!"),"",IF(NOT(ISNA(VLOOKUP(E505,E$1:E504,1,FALSE()))),"OLD",IF(AND(E505&lt;&gt;"",E505&lt;&gt;"!!!"),"NEW","")))</f>
        <v> </v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4" t="str">
        <f>IF(J505&lt;&gt;1,"",IF(I505="SBJ","CB","?"))</f>
        <v> </v>
      </c>
      <c r="I505" s="25" t="str">
        <f>IF(OR(E505="",E505="!!!",F505="NEW"),"",INDEX(B504:B$2,-1+SUMPRODUCT(MAX(ROW(E504:E$2)*(E505=E504:E$2)))))</f>
        <v> </v>
      </c>
      <c r="J505" s="25" t="str">
        <f>IF(OR(E505="",E505="!!!",F505="NEW"),"",COUNTBLANK(OFFSET(A$1,,,SUMPRODUCT(MAX(ROW(E$2:E505)*(E505=E$2:E505)))))-COUNTBLANK(OFFSET(A$1,,,SUMPRODUCT(MAX(ROW(E$1:E504)*(E2=E$1:E504))))))</f>
        <v> </v>
      </c>
      <c r="K505" s="25" t="str">
        <f>IF(OR(E505="",E505="!!!",F505="NEW"),"",INDEX(J$1:J504,SUMPRODUCT(MAX(ROW(E$1:E504)*(E505=E$1:E504)))))</f>
        <v> </v>
      </c>
      <c r="L505" s="26"/>
    </row>
    <row r="506" spans="1:12">
      <c r="A506" s="20" t="s">
        <v>544</v>
      </c>
      <c r="E506" s="21">
        <f>IF(D506="?OLD","!!!","")</f>
        <v/>
      </c>
      <c r="F506" s="22" t="str">
        <f>IF(OR(E506="",E506="!!!"),"",IF(NOT(ISNA(VLOOKUP(E506,E$1:E505,1,FALSE()))),"OLD",IF(AND(E506&lt;&gt;"",E506&lt;&gt;"!!!"),"NEW","")))</f>
        <v> </v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4" t="str">
        <f>IF(J506&lt;&gt;1,"",IF(I506="SBJ","CB","?"))</f>
        <v> </v>
      </c>
      <c r="I506" s="25" t="str">
        <f>IF(OR(E506="",E506="!!!",F506="NEW"),"",INDEX(B505:B$2,-1+SUMPRODUCT(MAX(ROW(E505:E$2)*(E506=E505:E$2)))))</f>
        <v> </v>
      </c>
      <c r="J506" s="25" t="str">
        <f>IF(OR(E506="",E506="!!!",F506="NEW"),"",COUNTBLANK(OFFSET(A$1,,,SUMPRODUCT(MAX(ROW(E$2:E506)*(E506=E$2:E506)))))-COUNTBLANK(OFFSET(A$1,,,SUMPRODUCT(MAX(ROW(E$1:E505)*(E2=E$1:E505))))))</f>
        <v> </v>
      </c>
      <c r="K506" s="25" t="str">
        <f>IF(OR(E506="",E506="!!!",F506="NEW"),"",INDEX(J$1:J505,SUMPRODUCT(MAX(ROW(E$1:E505)*(E506=E$1:E505)))))</f>
        <v> </v>
      </c>
      <c r="L506" s="26"/>
    </row>
    <row r="507" spans="1:12">
      <c r="A507" s="20" t="s">
        <v>306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545</v>
      </c>
      <c r="B508" s="27" t="s">
        <v>340</v>
      </c>
      <c r="C508" s="27" t="s">
        <v>330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400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/>
    </row>
    <row r="511" spans="1:12">
      <c r="A511" s="20" t="s">
        <v>553</v>
      </c>
    </row>
    <row r="512" spans="1:12">
      <c r="A512" s="20" t="s">
        <v>508</v>
      </c>
      <c r="B512" s="27" t="s">
        <v>297</v>
      </c>
      <c r="C512" s="27" t="s">
        <v>418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554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555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306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336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552</v>
      </c>
      <c r="B517" s="27" t="s">
        <v>303</v>
      </c>
      <c r="C517" s="27" t="s">
        <v>293</v>
      </c>
      <c r="D517" s="27" t="s">
        <v>294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495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/>
    </row>
    <row r="520" spans="1:12">
      <c r="A520" s="20" t="s">
        <v>556</v>
      </c>
    </row>
    <row r="521" spans="1:12">
      <c r="A521" s="20" t="s">
        <v>557</v>
      </c>
      <c r="B521" s="27" t="s">
        <v>334</v>
      </c>
      <c r="C521" s="27" t="s">
        <v>330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295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520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544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306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336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558</v>
      </c>
      <c r="B527" s="27" t="s">
        <v>340</v>
      </c>
      <c r="C527" s="27" t="s">
        <v>293</v>
      </c>
      <c r="D527" s="27" t="s">
        <v>294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 t="s">
        <v>411</v>
      </c>
      <c r="E528" s="21">
        <f>IF(D528="?OLD","!!!","")</f>
        <v/>
      </c>
      <c r="F528" s="22" t="str">
        <f>IF(OR(E528="",E528="!!!"),"",IF(NOT(ISNA(VLOOKUP(E528,E$1:E527,1,FALSE()))),"OLD",IF(AND(E528&lt;&gt;"",E528&lt;&gt;"!!!"),"NEW","")))</f>
        <v> </v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4" t="str">
        <f>IF(J528&lt;&gt;1,"",IF(I528="SBJ","CB","?"))</f>
        <v> </v>
      </c>
      <c r="I528" s="25" t="str">
        <f>IF(OR(E528="",E528="!!!",F528="NEW"),"",INDEX(B527:B$2,-1+SUMPRODUCT(MAX(ROW(E527:E$2)*(E528=E527:E$2)))))</f>
        <v> </v>
      </c>
      <c r="J528" s="25" t="str">
        <f>IF(OR(E528="",E528="!!!",F528="NEW"),"",COUNTBLANK(OFFSET(A$1,,,SUMPRODUCT(MAX(ROW(E$2:E528)*(E528=E$2:E528)))))-COUNTBLANK(OFFSET(A$1,,,SUMPRODUCT(MAX(ROW(E$1:E527)*(E2=E$1:E527))))))</f>
        <v> </v>
      </c>
      <c r="K528" s="25" t="str">
        <f>IF(OR(E528="",E528="!!!",F528="NEW"),"",INDEX(J$1:J527,SUMPRODUCT(MAX(ROW(E$1:E527)*(E528=E$1:E527)))))</f>
        <v> </v>
      </c>
      <c r="L528" s="26"/>
    </row>
    <row r="529" spans="1:12">
      <c r="A529" s="20" t="s">
        <v>304</v>
      </c>
      <c r="E529" s="21">
        <f>IF(D529="?OLD","!!!","")</f>
        <v/>
      </c>
      <c r="F529" s="22" t="str">
        <f>IF(OR(E529="",E529="!!!"),"",IF(NOT(ISNA(VLOOKUP(E529,E$1:E528,1,FALSE()))),"OLD",IF(AND(E529&lt;&gt;"",E529&lt;&gt;"!!!"),"NEW","")))</f>
        <v> </v>
      </c>
      <c r="G529" s="23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4" t="str">
        <f>IF(J529&lt;&gt;1,"",IF(I529="SBJ","CB","?"))</f>
        <v> </v>
      </c>
      <c r="I529" s="25" t="str">
        <f>IF(OR(E529="",E529="!!!",F529="NEW"),"",INDEX(B528:B$2,-1+SUMPRODUCT(MAX(ROW(E528:E$2)*(E529=E528:E$2)))))</f>
        <v> </v>
      </c>
      <c r="J529" s="25" t="str">
        <f>IF(OR(E529="",E529="!!!",F529="NEW"),"",COUNTBLANK(OFFSET(A$1,,,SUMPRODUCT(MAX(ROW(E$2:E529)*(E529=E$2:E529)))))-COUNTBLANK(OFFSET(A$1,,,SUMPRODUCT(MAX(ROW(E$1:E528)*(E2=E$1:E528))))))</f>
        <v> </v>
      </c>
      <c r="K529" s="25" t="str">
        <f>IF(OR(E529="",E529="!!!",F529="NEW"),"",INDEX(J$1:J528,SUMPRODUCT(MAX(ROW(E$1:E528)*(E529=E$1:E528)))))</f>
        <v> </v>
      </c>
      <c r="L529" s="26"/>
    </row>
    <row r="530" spans="1:12">
      <c r="A530" s="20" t="s">
        <v>541</v>
      </c>
      <c r="B530" s="27" t="s">
        <v>334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308</v>
      </c>
      <c r="B531" s="27" t="s">
        <v>292</v>
      </c>
      <c r="C531" s="27" t="s">
        <v>309</v>
      </c>
      <c r="D531" s="27" t="s">
        <v>294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555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495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559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295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520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544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306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336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560</v>
      </c>
      <c r="B540" s="27" t="s">
        <v>303</v>
      </c>
      <c r="C540" s="27" t="s">
        <v>338</v>
      </c>
      <c r="D540" s="27" t="s">
        <v>294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332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301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561</v>
      </c>
      <c r="B543" s="27" t="s">
        <v>340</v>
      </c>
      <c r="C543" s="27" t="s">
        <v>298</v>
      </c>
      <c r="D543" s="27" t="s">
        <v>294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/>
    </row>
    <row r="545" spans="1:12">
      <c r="A545" s="20" t="s">
        <v>562</v>
      </c>
    </row>
    <row r="546" spans="1:12">
      <c r="A546" s="20" t="s">
        <v>563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509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564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 t="s">
        <v>301</v>
      </c>
      <c r="E549" s="21">
        <f>IF(D549="?OLD","!!!","")</f>
        <v/>
      </c>
      <c r="F549" s="22" t="str">
        <f>IF(OR(E549="",E549="!!!"),"",IF(NOT(ISNA(VLOOKUP(E549,E$1:E548,1,FALSE()))),"OLD",IF(AND(E549&lt;&gt;"",E549&lt;&gt;"!!!"),"NEW","")))</f>
        <v> </v>
      </c>
      <c r="G549" s="23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4" t="str">
        <f>IF(J549&lt;&gt;1,"",IF(I549="SBJ","CB","?"))</f>
        <v> </v>
      </c>
      <c r="I549" s="25" t="str">
        <f>IF(OR(E549="",E549="!!!",F549="NEW"),"",INDEX(B548:B$2,-1+SUMPRODUCT(MAX(ROW(E548:E$2)*(E549=E548:E$2)))))</f>
        <v> </v>
      </c>
      <c r="J549" s="25" t="str">
        <f>IF(OR(E549="",E549="!!!",F549="NEW"),"",COUNTBLANK(OFFSET(A$1,,,SUMPRODUCT(MAX(ROW(E$2:E549)*(E549=E$2:E549)))))-COUNTBLANK(OFFSET(A$1,,,SUMPRODUCT(MAX(ROW(E$1:E548)*(E2=E$1:E548))))))</f>
        <v> </v>
      </c>
      <c r="K549" s="25" t="str">
        <f>IF(OR(E549="",E549="!!!",F549="NEW"),"",INDEX(J$1:J548,SUMPRODUCT(MAX(ROW(E$1:E548)*(E549=E$1:E548)))))</f>
        <v> </v>
      </c>
      <c r="L549" s="26"/>
    </row>
    <row r="550" spans="1:12">
      <c r="A550" s="20" t="s">
        <v>565</v>
      </c>
      <c r="B550" s="27" t="s">
        <v>314</v>
      </c>
      <c r="C550" s="27" t="s">
        <v>315</v>
      </c>
      <c r="D550" s="27" t="s">
        <v>294</v>
      </c>
      <c r="E550" s="21">
        <f>IF(D550="?OLD","!!!","")</f>
        <v/>
      </c>
      <c r="F550" s="22" t="str">
        <f>IF(OR(E550="",E550="!!!"),"",IF(NOT(ISNA(VLOOKUP(E550,E$1:E549,1,FALSE()))),"OLD",IF(AND(E550&lt;&gt;"",E550&lt;&gt;"!!!"),"NEW","")))</f>
        <v> </v>
      </c>
      <c r="G550" s="23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4" t="str">
        <f>IF(J550&lt;&gt;1,"",IF(I550="SBJ","CB","?"))</f>
        <v> </v>
      </c>
      <c r="I550" s="25" t="str">
        <f>IF(OR(E550="",E550="!!!",F550="NEW"),"",INDEX(B549:B$2,-1+SUMPRODUCT(MAX(ROW(E549:E$2)*(E550=E549:E$2)))))</f>
        <v> </v>
      </c>
      <c r="J550" s="25" t="str">
        <f>IF(OR(E550="",E550="!!!",F550="NEW"),"",COUNTBLANK(OFFSET(A$1,,,SUMPRODUCT(MAX(ROW(E$2:E550)*(E550=E$2:E550)))))-COUNTBLANK(OFFSET(A$1,,,SUMPRODUCT(MAX(ROW(E$1:E549)*(E2=E$1:E549))))))</f>
        <v> </v>
      </c>
      <c r="K550" s="25" t="str">
        <f>IF(OR(E550="",E550="!!!",F550="NEW"),"",INDEX(J$1:J549,SUMPRODUCT(MAX(ROW(E$1:E549)*(E550=E$1:E549)))))</f>
        <v> </v>
      </c>
      <c r="L550" s="26"/>
    </row>
    <row r="551" spans="1:12">
      <c r="A551" s="20" t="s">
        <v>566</v>
      </c>
      <c r="B551" s="27" t="s">
        <v>334</v>
      </c>
      <c r="C551" s="27" t="s">
        <v>293</v>
      </c>
      <c r="D551" s="27" t="s">
        <v>294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300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428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567</v>
      </c>
      <c r="B554" s="27" t="s">
        <v>340</v>
      </c>
      <c r="C554" s="27" t="s">
        <v>293</v>
      </c>
      <c r="D554" s="27" t="s">
        <v>294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304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568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569</v>
      </c>
      <c r="B557" s="27" t="s">
        <v>322</v>
      </c>
      <c r="C557" s="27" t="s">
        <v>309</v>
      </c>
      <c r="D557" s="27" t="s">
        <v>294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570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351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571</v>
      </c>
      <c r="B560" s="27" t="s">
        <v>314</v>
      </c>
      <c r="C560" s="27" t="s">
        <v>315</v>
      </c>
      <c r="D560" s="27" t="s">
        <v>294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552</v>
      </c>
      <c r="B561" s="27" t="s">
        <v>334</v>
      </c>
      <c r="C561" s="27" t="s">
        <v>391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572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573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419</v>
      </c>
      <c r="B564" s="27" t="s">
        <v>292</v>
      </c>
      <c r="C564" s="27" t="s">
        <v>391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390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332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574</v>
      </c>
      <c r="B567" s="27" t="s">
        <v>340</v>
      </c>
      <c r="C567" s="27" t="s">
        <v>309</v>
      </c>
      <c r="D567" s="27" t="s">
        <v>294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/>
    </row>
    <row r="569" spans="1:12">
      <c r="A569" s="20" t="s">
        <v>575</v>
      </c>
    </row>
    <row r="570" spans="1:12">
      <c r="A570" s="20" t="s">
        <v>576</v>
      </c>
      <c r="E570" s="21">
        <f>IF(D570="?OLD","!!!","")</f>
        <v/>
      </c>
      <c r="F570" s="22" t="str">
        <f>IF(OR(E570="",E570="!!!"),"",IF(NOT(ISNA(VLOOKUP(E570,E$1:E569,1,FALSE()))),"OLD",IF(AND(E570&lt;&gt;"",E570&lt;&gt;"!!!"),"NEW","")))</f>
        <v> </v>
      </c>
      <c r="G570" s="23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4" t="str">
        <f>IF(J570&lt;&gt;1,"",IF(I570="SBJ","CB","?"))</f>
        <v> </v>
      </c>
      <c r="I570" s="25" t="str">
        <f>IF(OR(E570="",E570="!!!",F570="NEW"),"",INDEX(B569:B$2,-1+SUMPRODUCT(MAX(ROW(E569:E$2)*(E570=E569:E$2)))))</f>
        <v> </v>
      </c>
      <c r="J570" s="25" t="str">
        <f>IF(OR(E570="",E570="!!!",F570="NEW"),"",COUNTBLANK(OFFSET(A$1,,,SUMPRODUCT(MAX(ROW(E$2:E570)*(E570=E$2:E570)))))-COUNTBLANK(OFFSET(A$1,,,SUMPRODUCT(MAX(ROW(E$1:E569)*(E2=E$1:E569))))))</f>
        <v> </v>
      </c>
      <c r="K570" s="25" t="str">
        <f>IF(OR(E570="",E570="!!!",F570="NEW"),"",INDEX(J$1:J569,SUMPRODUCT(MAX(ROW(E$1:E569)*(E570=E$1:E569)))))</f>
        <v> </v>
      </c>
      <c r="L570" s="26"/>
    </row>
    <row r="571" spans="1:12">
      <c r="A571" s="20" t="s">
        <v>568</v>
      </c>
      <c r="E571" s="21">
        <f>IF(D571="?OLD","!!!","")</f>
        <v/>
      </c>
      <c r="F571" s="22" t="str">
        <f>IF(OR(E571="",E571="!!!"),"",IF(NOT(ISNA(VLOOKUP(E571,E$1:E570,1,FALSE()))),"OLD",IF(AND(E571&lt;&gt;"",E571&lt;&gt;"!!!"),"NEW","")))</f>
        <v> </v>
      </c>
      <c r="G571" s="23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4" t="str">
        <f>IF(J571&lt;&gt;1,"",IF(I571="SBJ","CB","?"))</f>
        <v> </v>
      </c>
      <c r="I571" s="25" t="str">
        <f>IF(OR(E571="",E571="!!!",F571="NEW"),"",INDEX(B570:B$2,-1+SUMPRODUCT(MAX(ROW(E570:E$2)*(E571=E570:E$2)))))</f>
        <v> </v>
      </c>
      <c r="J571" s="25" t="str">
        <f>IF(OR(E571="",E571="!!!",F571="NEW"),"",COUNTBLANK(OFFSET(A$1,,,SUMPRODUCT(MAX(ROW(E$2:E571)*(E571=E$2:E571)))))-COUNTBLANK(OFFSET(A$1,,,SUMPRODUCT(MAX(ROW(E$1:E570)*(E2=E$1:E570))))))</f>
        <v> </v>
      </c>
      <c r="K571" s="25" t="str">
        <f>IF(OR(E571="",E571="!!!",F571="NEW"),"",INDEX(J$1:J570,SUMPRODUCT(MAX(ROW(E$1:E570)*(E571=E$1:E570)))))</f>
        <v> </v>
      </c>
      <c r="L571" s="26"/>
    </row>
    <row r="572" spans="1:12">
      <c r="A572" s="20" t="s">
        <v>336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571</v>
      </c>
      <c r="B573" s="27" t="s">
        <v>340</v>
      </c>
      <c r="C573" s="27" t="s">
        <v>315</v>
      </c>
      <c r="D573" s="27" t="s">
        <v>294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577</v>
      </c>
      <c r="B574" s="27" t="s">
        <v>322</v>
      </c>
      <c r="C574" s="27" t="s">
        <v>293</v>
      </c>
      <c r="D574" s="27" t="s">
        <v>294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469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306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428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567</v>
      </c>
      <c r="B578" s="27" t="s">
        <v>303</v>
      </c>
      <c r="C578" s="27" t="s">
        <v>293</v>
      </c>
      <c r="D578" s="27" t="s">
        <v>294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304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578</v>
      </c>
      <c r="B580" s="27" t="s">
        <v>340</v>
      </c>
      <c r="C580" s="27" t="s">
        <v>330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406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306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579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569</v>
      </c>
      <c r="B584" s="27" t="s">
        <v>292</v>
      </c>
      <c r="C584" s="27" t="s">
        <v>309</v>
      </c>
      <c r="D584" s="27" t="s">
        <v>294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417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336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571</v>
      </c>
      <c r="B587" s="27" t="s">
        <v>314</v>
      </c>
      <c r="C587" s="27" t="s">
        <v>315</v>
      </c>
      <c r="D587" s="27" t="s">
        <v>294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552</v>
      </c>
      <c r="B588" s="27" t="s">
        <v>340</v>
      </c>
      <c r="C588" s="27" t="s">
        <v>293</v>
      </c>
      <c r="D588" s="27" t="s">
        <v>294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304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554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580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431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581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336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571</v>
      </c>
      <c r="B595" s="27" t="s">
        <v>357</v>
      </c>
      <c r="C595" s="27" t="s">
        <v>315</v>
      </c>
      <c r="D595" s="27" t="s">
        <v>294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577</v>
      </c>
      <c r="B596" s="27" t="s">
        <v>355</v>
      </c>
      <c r="C596" s="27" t="s">
        <v>293</v>
      </c>
      <c r="D596" s="27" t="s">
        <v>294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/>
    </row>
    <row r="598" spans="1:12">
      <c r="A598" s="20" t="s">
        <v>582</v>
      </c>
    </row>
    <row r="599" spans="1:12">
      <c r="A599" s="20" t="s">
        <v>583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569</v>
      </c>
      <c r="B600" s="27" t="s">
        <v>322</v>
      </c>
      <c r="C600" s="27" t="s">
        <v>309</v>
      </c>
      <c r="D600" s="27" t="s">
        <v>294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584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585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586</v>
      </c>
      <c r="B603" s="27" t="s">
        <v>303</v>
      </c>
      <c r="C603" s="27" t="s">
        <v>330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417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336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 t="s">
        <v>571</v>
      </c>
      <c r="B606" s="27" t="s">
        <v>340</v>
      </c>
      <c r="C606" s="27" t="s">
        <v>315</v>
      </c>
      <c r="D606" s="27" t="s">
        <v>294</v>
      </c>
      <c r="E606" s="21">
        <f>IF(D606="?OLD","!!!","")</f>
        <v/>
      </c>
      <c r="F606" s="22" t="str">
        <f>IF(OR(E606="",E606="!!!"),"",IF(NOT(ISNA(VLOOKUP(E606,E$1:E605,1,FALSE()))),"OLD",IF(AND(E606&lt;&gt;"",E606&lt;&gt;"!!!"),"NEW","")))</f>
        <v> </v>
      </c>
      <c r="G606" s="23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4" t="str">
        <f>IF(J606&lt;&gt;1,"",IF(I606="SBJ","CB","?"))</f>
        <v> </v>
      </c>
      <c r="I606" s="25" t="str">
        <f>IF(OR(E606="",E606="!!!",F606="NEW"),"",INDEX(B605:B$2,-1+SUMPRODUCT(MAX(ROW(E605:E$2)*(E606=E605:E$2)))))</f>
        <v> </v>
      </c>
      <c r="J606" s="25" t="str">
        <f>IF(OR(E606="",E606="!!!",F606="NEW"),"",COUNTBLANK(OFFSET(A$1,,,SUMPRODUCT(MAX(ROW(E$2:E606)*(E606=E$2:E606)))))-COUNTBLANK(OFFSET(A$1,,,SUMPRODUCT(MAX(ROW(E$1:E605)*(E2=E$1:E605))))))</f>
        <v> </v>
      </c>
      <c r="K606" s="25" t="str">
        <f>IF(OR(E606="",E606="!!!",F606="NEW"),"",INDEX(J$1:J605,SUMPRODUCT(MAX(ROW(E$1:E605)*(E606=E$1:E605)))))</f>
        <v> </v>
      </c>
      <c r="L606" s="26"/>
    </row>
    <row r="607" spans="1:12">
      <c r="A607" s="20" t="s">
        <v>587</v>
      </c>
      <c r="B607" s="27" t="s">
        <v>303</v>
      </c>
      <c r="C607" s="27" t="s">
        <v>293</v>
      </c>
      <c r="D607" s="27" t="s">
        <v>294</v>
      </c>
      <c r="E607" s="21">
        <f>IF(D607="?OLD","!!!","")</f>
        <v/>
      </c>
      <c r="F607" s="22" t="str">
        <f>IF(OR(E607="",E607="!!!"),"",IF(NOT(ISNA(VLOOKUP(E607,E$1:E606,1,FALSE()))),"OLD",IF(AND(E607&lt;&gt;"",E607&lt;&gt;"!!!"),"NEW","")))</f>
        <v> </v>
      </c>
      <c r="G607" s="23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4" t="str">
        <f>IF(J607&lt;&gt;1,"",IF(I607="SBJ","CB","?"))</f>
        <v> </v>
      </c>
      <c r="I607" s="25" t="str">
        <f>IF(OR(E607="",E607="!!!",F607="NEW"),"",INDEX(B606:B$2,-1+SUMPRODUCT(MAX(ROW(E606:E$2)*(E607=E606:E$2)))))</f>
        <v> </v>
      </c>
      <c r="J607" s="25" t="str">
        <f>IF(OR(E607="",E607="!!!",F607="NEW"),"",COUNTBLANK(OFFSET(A$1,,,SUMPRODUCT(MAX(ROW(E$2:E607)*(E607=E$2:E607)))))-COUNTBLANK(OFFSET(A$1,,,SUMPRODUCT(MAX(ROW(E$1:E606)*(E2=E$1:E606))))))</f>
        <v> </v>
      </c>
      <c r="K607" s="25" t="str">
        <f>IF(OR(E607="",E607="!!!",F607="NEW"),"",INDEX(J$1:J606,SUMPRODUCT(MAX(ROW(E$1:E606)*(E607=E$1:E606)))))</f>
        <v> </v>
      </c>
      <c r="L607" s="26"/>
    </row>
    <row r="608" spans="1:12">
      <c r="A608" s="20" t="s">
        <v>588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589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377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434</v>
      </c>
      <c r="B611" s="27" t="s">
        <v>303</v>
      </c>
      <c r="C611" s="27" t="s">
        <v>330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417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590</v>
      </c>
      <c r="B613" s="27" t="s">
        <v>340</v>
      </c>
      <c r="C613" s="27" t="s">
        <v>309</v>
      </c>
      <c r="D613" s="27" t="s">
        <v>294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295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331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428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587</v>
      </c>
      <c r="B617" s="27" t="s">
        <v>334</v>
      </c>
      <c r="C617" s="27" t="s">
        <v>293</v>
      </c>
      <c r="D617" s="27" t="s">
        <v>294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441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569</v>
      </c>
      <c r="B619" s="27" t="s">
        <v>292</v>
      </c>
      <c r="C619" s="27" t="s">
        <v>309</v>
      </c>
      <c r="D619" s="27" t="s">
        <v>294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591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306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336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592</v>
      </c>
      <c r="B623" s="27" t="s">
        <v>340</v>
      </c>
      <c r="C623" s="27" t="s">
        <v>293</v>
      </c>
      <c r="D623" s="27" t="s">
        <v>294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304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336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592</v>
      </c>
      <c r="B626" s="27" t="s">
        <v>314</v>
      </c>
      <c r="C626" s="27" t="s">
        <v>293</v>
      </c>
      <c r="D626" s="27" t="s">
        <v>294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 t="s">
        <v>306</v>
      </c>
      <c r="E627" s="21">
        <f>IF(D627="?OLD","!!!","")</f>
        <v/>
      </c>
      <c r="F627" s="22" t="str">
        <f>IF(OR(E627="",E627="!!!"),"",IF(NOT(ISNA(VLOOKUP(E627,E$1:E626,1,FALSE()))),"OLD",IF(AND(E627&lt;&gt;"",E627&lt;&gt;"!!!"),"NEW","")))</f>
        <v> </v>
      </c>
      <c r="G627" s="23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4" t="str">
        <f>IF(J627&lt;&gt;1,"",IF(I627="SBJ","CB","?"))</f>
        <v> </v>
      </c>
      <c r="I627" s="25" t="str">
        <f>IF(OR(E627="",E627="!!!",F627="NEW"),"",INDEX(B626:B$2,-1+SUMPRODUCT(MAX(ROW(E626:E$2)*(E627=E626:E$2)))))</f>
        <v> </v>
      </c>
      <c r="J627" s="25" t="str">
        <f>IF(OR(E627="",E627="!!!",F627="NEW"),"",COUNTBLANK(OFFSET(A$1,,,SUMPRODUCT(MAX(ROW(E$2:E627)*(E627=E$2:E627)))))-COUNTBLANK(OFFSET(A$1,,,SUMPRODUCT(MAX(ROW(E$1:E626)*(E2=E$1:E626))))))</f>
        <v> </v>
      </c>
      <c r="K627" s="25" t="str">
        <f>IF(OR(E627="",E627="!!!",F627="NEW"),"",INDEX(J$1:J626,SUMPRODUCT(MAX(ROW(E$1:E626)*(E627=E$1:E626)))))</f>
        <v> </v>
      </c>
      <c r="L627" s="26"/>
    </row>
    <row r="628" spans="1:12">
      <c r="A628" s="20" t="s">
        <v>301</v>
      </c>
      <c r="E628" s="21">
        <f>IF(D628="?OLD","!!!","")</f>
        <v/>
      </c>
      <c r="F628" s="22" t="str">
        <f>IF(OR(E628="",E628="!!!"),"",IF(NOT(ISNA(VLOOKUP(E628,E$1:E627,1,FALSE()))),"OLD",IF(AND(E628&lt;&gt;"",E628&lt;&gt;"!!!"),"NEW","")))</f>
        <v> </v>
      </c>
      <c r="G628" s="23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4" t="str">
        <f>IF(J628&lt;&gt;1,"",IF(I628="SBJ","CB","?"))</f>
        <v> </v>
      </c>
      <c r="I628" s="25" t="str">
        <f>IF(OR(E628="",E628="!!!",F628="NEW"),"",INDEX(B627:B$2,-1+SUMPRODUCT(MAX(ROW(E627:E$2)*(E628=E627:E$2)))))</f>
        <v> </v>
      </c>
      <c r="J628" s="25" t="str">
        <f>IF(OR(E628="",E628="!!!",F628="NEW"),"",COUNTBLANK(OFFSET(A$1,,,SUMPRODUCT(MAX(ROW(E$2:E628)*(E628=E$2:E628)))))-COUNTBLANK(OFFSET(A$1,,,SUMPRODUCT(MAX(ROW(E$1:E627)*(E2=E$1:E627))))))</f>
        <v> </v>
      </c>
      <c r="K628" s="25" t="str">
        <f>IF(OR(E628="",E628="!!!",F628="NEW"),"",INDEX(J$1:J627,SUMPRODUCT(MAX(ROW(E$1:E627)*(E628=E$1:E627)))))</f>
        <v> </v>
      </c>
      <c r="L628" s="26"/>
    </row>
    <row r="629" spans="1:12">
      <c r="A629" s="20" t="s">
        <v>593</v>
      </c>
      <c r="B629" s="27" t="s">
        <v>340</v>
      </c>
      <c r="C629" s="27" t="s">
        <v>293</v>
      </c>
      <c r="D629" s="27" t="s">
        <v>294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304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594</v>
      </c>
      <c r="B631" s="27" t="s">
        <v>352</v>
      </c>
      <c r="C631" s="27" t="s">
        <v>309</v>
      </c>
      <c r="D631" s="27" t="s">
        <v>294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595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433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328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596</v>
      </c>
      <c r="B635" s="27" t="s">
        <v>314</v>
      </c>
      <c r="C635" s="27" t="s">
        <v>330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/>
    </row>
    <row r="637" spans="1:12">
      <c r="A637" s="20" t="s">
        <v>597</v>
      </c>
    </row>
    <row r="638" spans="1:12">
      <c r="A638" s="20" t="s">
        <v>493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494</v>
      </c>
      <c r="B639" s="27" t="s">
        <v>303</v>
      </c>
      <c r="C639" s="27" t="s">
        <v>330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569</v>
      </c>
      <c r="B640" s="27" t="s">
        <v>322</v>
      </c>
      <c r="C640" s="27" t="s">
        <v>309</v>
      </c>
      <c r="D640" s="27" t="s">
        <v>294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227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495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/>
    </row>
    <row r="644" spans="1:12">
      <c r="A644" s="20" t="s">
        <v>598</v>
      </c>
    </row>
    <row r="645" spans="1:12">
      <c r="A645" s="20" t="s">
        <v>441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599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332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600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496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594</v>
      </c>
      <c r="B650" s="27" t="s">
        <v>334</v>
      </c>
      <c r="C650" s="27" t="s">
        <v>309</v>
      </c>
      <c r="D650" s="27" t="s">
        <v>294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441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601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602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603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306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428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604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605</v>
      </c>
      <c r="B658" s="27" t="s">
        <v>340</v>
      </c>
      <c r="C658" s="27" t="s">
        <v>293</v>
      </c>
      <c r="D658" s="27" t="s">
        <v>294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/>
    </row>
    <row r="660" spans="1:12">
      <c r="A660" s="20" t="s">
        <v>606</v>
      </c>
    </row>
    <row r="661" spans="1:12">
      <c r="A661" s="20" t="s">
        <v>535</v>
      </c>
      <c r="E661" s="21">
        <f>IF(D661="?OLD","!!!","")</f>
        <v/>
      </c>
      <c r="F661" s="22" t="str">
        <f>IF(OR(E661="",E661="!!!"),"",IF(NOT(ISNA(VLOOKUP(E661,E$1:E660,1,FALSE()))),"OLD",IF(AND(E661&lt;&gt;"",E661&lt;&gt;"!!!"),"NEW","")))</f>
        <v> </v>
      </c>
      <c r="G661" s="23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4" t="str">
        <f>IF(J661&lt;&gt;1,"",IF(I661="SBJ","CB","?"))</f>
        <v> </v>
      </c>
      <c r="I661" s="25" t="str">
        <f>IF(OR(E661="",E661="!!!",F661="NEW"),"",INDEX(B660:B$2,-1+SUMPRODUCT(MAX(ROW(E660:E$2)*(E661=E660:E$2)))))</f>
        <v> </v>
      </c>
      <c r="J661" s="25" t="str">
        <f>IF(OR(E661="",E661="!!!",F661="NEW"),"",COUNTBLANK(OFFSET(A$1,,,SUMPRODUCT(MAX(ROW(E$2:E661)*(E661=E$2:E661)))))-COUNTBLANK(OFFSET(A$1,,,SUMPRODUCT(MAX(ROW(E$1:E660)*(E2=E$1:E660))))))</f>
        <v> </v>
      </c>
      <c r="K661" s="25" t="str">
        <f>IF(OR(E661="",E661="!!!",F661="NEW"),"",INDEX(J$1:J660,SUMPRODUCT(MAX(ROW(E$1:E660)*(E661=E$1:E660)))))</f>
        <v> </v>
      </c>
      <c r="L661" s="26"/>
    </row>
    <row r="662" spans="1:12">
      <c r="A662" s="20" t="s">
        <v>536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351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537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538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495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/>
    </row>
    <row r="668" spans="1:12">
      <c r="A668" s="20" t="s">
        <v>607</v>
      </c>
    </row>
    <row r="669" spans="1:12">
      <c r="A669" s="20" t="s">
        <v>481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160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608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/>
    </row>
    <row r="673" spans="1:12">
      <c r="A673" s="20" t="s">
        <v>609</v>
      </c>
    </row>
    <row r="674" spans="1:12">
      <c r="A674" s="20" t="s">
        <v>413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483</v>
      </c>
      <c r="B675" s="27" t="s">
        <v>297</v>
      </c>
      <c r="C675" s="27" t="s">
        <v>309</v>
      </c>
      <c r="D675" s="27" t="s">
        <v>294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382</v>
      </c>
      <c r="B676" s="27" t="s">
        <v>322</v>
      </c>
      <c r="C676" s="27" t="s">
        <v>309</v>
      </c>
      <c r="D676" s="27" t="s">
        <v>294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227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495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/>
    </row>
    <row r="680" spans="1:12">
      <c r="A680" s="20" t="s">
        <v>610</v>
      </c>
    </row>
    <row r="681" spans="1:12">
      <c r="A681" s="20" t="s">
        <v>549</v>
      </c>
      <c r="B681" s="27" t="s">
        <v>297</v>
      </c>
      <c r="C681" s="27" t="s">
        <v>429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611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445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 t="s">
        <v>612</v>
      </c>
      <c r="B684" s="27" t="s">
        <v>322</v>
      </c>
      <c r="C684" s="27" t="s">
        <v>447</v>
      </c>
      <c r="E684" s="21">
        <f>IF(D684="?OLD","!!!","")</f>
        <v/>
      </c>
      <c r="F684" s="22" t="str">
        <f>IF(OR(E684="",E684="!!!"),"",IF(NOT(ISNA(VLOOKUP(E684,E$1:E683,1,FALSE()))),"OLD",IF(AND(E684&lt;&gt;"",E684&lt;&gt;"!!!"),"NEW","")))</f>
        <v> </v>
      </c>
      <c r="G684" s="23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4" t="str">
        <f>IF(J684&lt;&gt;1,"",IF(I684="SBJ","CB","?"))</f>
        <v> </v>
      </c>
      <c r="I684" s="25" t="str">
        <f>IF(OR(E684="",E684="!!!",F684="NEW"),"",INDEX(B683:B$2,-1+SUMPRODUCT(MAX(ROW(E683:E$2)*(E684=E683:E$2)))))</f>
        <v> </v>
      </c>
      <c r="J684" s="25" t="str">
        <f>IF(OR(E684="",E684="!!!",F684="NEW"),"",COUNTBLANK(OFFSET(A$1,,,SUMPRODUCT(MAX(ROW(E$2:E684)*(E684=E$2:E684)))))-COUNTBLANK(OFFSET(A$1,,,SUMPRODUCT(MAX(ROW(E$1:E683)*(E2=E$1:E683))))))</f>
        <v> </v>
      </c>
      <c r="K684" s="25" t="str">
        <f>IF(OR(E684="",E684="!!!",F684="NEW"),"",INDEX(J$1:J683,SUMPRODUCT(MAX(ROW(E$1:E683)*(E684=E$1:E683)))))</f>
        <v> </v>
      </c>
      <c r="L684" s="26"/>
    </row>
    <row r="685" spans="1:12">
      <c r="A685" s="20" t="s">
        <v>377</v>
      </c>
      <c r="E685" s="21">
        <f>IF(D685="?OLD","!!!","")</f>
        <v/>
      </c>
      <c r="F685" s="22" t="str">
        <f>IF(OR(E685="",E685="!!!"),"",IF(NOT(ISNA(VLOOKUP(E685,E$1:E684,1,FALSE()))),"OLD",IF(AND(E685&lt;&gt;"",E685&lt;&gt;"!!!"),"NEW","")))</f>
        <v> </v>
      </c>
      <c r="G685" s="23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4" t="str">
        <f>IF(J685&lt;&gt;1,"",IF(I685="SBJ","CB","?"))</f>
        <v> </v>
      </c>
      <c r="I685" s="25" t="str">
        <f>IF(OR(E685="",E685="!!!",F685="NEW"),"",INDEX(B684:B$2,-1+SUMPRODUCT(MAX(ROW(E684:E$2)*(E685=E684:E$2)))))</f>
        <v> </v>
      </c>
      <c r="J685" s="25" t="str">
        <f>IF(OR(E685="",E685="!!!",F685="NEW"),"",COUNTBLANK(OFFSET(A$1,,,SUMPRODUCT(MAX(ROW(E$2:E685)*(E685=E$2:E685)))))-COUNTBLANK(OFFSET(A$1,,,SUMPRODUCT(MAX(ROW(E$1:E684)*(E2=E$1:E684))))))</f>
        <v> </v>
      </c>
      <c r="K685" s="25" t="str">
        <f>IF(OR(E685="",E685="!!!",F685="NEW"),"",INDEX(J$1:J684,SUMPRODUCT(MAX(ROW(E$1:E684)*(E685=E$1:E684)))))</f>
        <v> </v>
      </c>
      <c r="L685" s="26"/>
    </row>
    <row r="686" spans="1:12">
      <c r="A686" s="20" t="s">
        <v>613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301</v>
      </c>
      <c r="B687" s="27" t="s">
        <v>292</v>
      </c>
      <c r="C687" s="27" t="s">
        <v>309</v>
      </c>
      <c r="D687" s="27" t="s">
        <v>294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295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572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614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615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608</v>
      </c>
      <c r="B692" s="27" t="s">
        <v>292</v>
      </c>
      <c r="C692" s="27" t="s">
        <v>330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 t="s">
        <v>417</v>
      </c>
      <c r="E693" s="21">
        <f>IF(D693="?OLD","!!!","")</f>
        <v/>
      </c>
      <c r="F693" s="22" t="str">
        <f>IF(OR(E693="",E693="!!!"),"",IF(NOT(ISNA(VLOOKUP(E693,E$1:E692,1,FALSE()))),"OLD",IF(AND(E693&lt;&gt;"",E693&lt;&gt;"!!!"),"NEW","")))</f>
        <v> </v>
      </c>
      <c r="G693" s="23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4" t="str">
        <f>IF(J693&lt;&gt;1,"",IF(I693="SBJ","CB","?"))</f>
        <v> </v>
      </c>
      <c r="I693" s="25" t="str">
        <f>IF(OR(E693="",E693="!!!",F693="NEW"),"",INDEX(B692:B$2,-1+SUMPRODUCT(MAX(ROW(E692:E$2)*(E693=E692:E$2)))))</f>
        <v> </v>
      </c>
      <c r="J693" s="25" t="str">
        <f>IF(OR(E693="",E693="!!!",F693="NEW"),"",COUNTBLANK(OFFSET(A$1,,,SUMPRODUCT(MAX(ROW(E$2:E693)*(E693=E$2:E693)))))-COUNTBLANK(OFFSET(A$1,,,SUMPRODUCT(MAX(ROW(E$1:E692)*(E2=E$1:E692))))))</f>
        <v> </v>
      </c>
      <c r="K693" s="25" t="str">
        <f>IF(OR(E693="",E693="!!!",F693="NEW"),"",INDEX(J$1:J692,SUMPRODUCT(MAX(ROW(E$1:E692)*(E693=E$1:E692)))))</f>
        <v> </v>
      </c>
      <c r="L693" s="26"/>
    </row>
    <row r="694" spans="1:12">
      <c r="A694" s="20" t="s">
        <v>616</v>
      </c>
      <c r="B694" s="27" t="s">
        <v>340</v>
      </c>
      <c r="C694" s="27" t="s">
        <v>309</v>
      </c>
      <c r="D694" s="27" t="s">
        <v>294</v>
      </c>
      <c r="E694" s="21">
        <f>IF(D694="?OLD","!!!","")</f>
        <v/>
      </c>
      <c r="F694" s="22" t="str">
        <f>IF(OR(E694="",E694="!!!"),"",IF(NOT(ISNA(VLOOKUP(E694,E$1:E693,1,FALSE()))),"OLD",IF(AND(E694&lt;&gt;"",E694&lt;&gt;"!!!"),"NEW","")))</f>
        <v> </v>
      </c>
      <c r="G694" s="23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4" t="str">
        <f>IF(J694&lt;&gt;1,"",IF(I694="SBJ","CB","?"))</f>
        <v> </v>
      </c>
      <c r="I694" s="25" t="str">
        <f>IF(OR(E694="",E694="!!!",F694="NEW"),"",INDEX(B693:B$2,-1+SUMPRODUCT(MAX(ROW(E693:E$2)*(E694=E693:E$2)))))</f>
        <v> </v>
      </c>
      <c r="J694" s="25" t="str">
        <f>IF(OR(E694="",E694="!!!",F694="NEW"),"",COUNTBLANK(OFFSET(A$1,,,SUMPRODUCT(MAX(ROW(E$2:E694)*(E694=E$2:E694)))))-COUNTBLANK(OFFSET(A$1,,,SUMPRODUCT(MAX(ROW(E$1:E693)*(E2=E$1:E693))))))</f>
        <v> </v>
      </c>
      <c r="K694" s="25" t="str">
        <f>IF(OR(E694="",E694="!!!",F694="NEW"),"",INDEX(J$1:J693,SUMPRODUCT(MAX(ROW(E$1:E693)*(E694=E$1:E693)))))</f>
        <v> </v>
      </c>
      <c r="L694" s="26"/>
    </row>
    <row r="695" spans="1:12">
      <c r="A695" s="20" t="s">
        <v>328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336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617</v>
      </c>
      <c r="B697" s="27" t="s">
        <v>314</v>
      </c>
      <c r="C697" s="27" t="s">
        <v>315</v>
      </c>
      <c r="D697" s="27" t="s">
        <v>294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367</v>
      </c>
      <c r="B698" s="27" t="s">
        <v>340</v>
      </c>
      <c r="C698" s="27" t="s">
        <v>293</v>
      </c>
      <c r="D698" s="27" t="s">
        <v>294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/>
    </row>
    <row r="700" spans="1:12">
      <c r="A700" s="20" t="s">
        <v>618</v>
      </c>
    </row>
    <row r="701" spans="1:12">
      <c r="A701" s="20" t="s">
        <v>563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336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571</v>
      </c>
      <c r="B703" s="27" t="s">
        <v>314</v>
      </c>
      <c r="C703" s="27" t="s">
        <v>315</v>
      </c>
      <c r="D703" s="27" t="s">
        <v>294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223</v>
      </c>
      <c r="B704" s="27" t="s">
        <v>334</v>
      </c>
      <c r="C704" s="27" t="s">
        <v>293</v>
      </c>
      <c r="D704" s="27" t="s">
        <v>294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619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569</v>
      </c>
      <c r="B706" s="27" t="s">
        <v>292</v>
      </c>
      <c r="C706" s="27" t="s">
        <v>309</v>
      </c>
      <c r="D706" s="27" t="s">
        <v>294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335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620</v>
      </c>
      <c r="B708" s="27" t="s">
        <v>303</v>
      </c>
      <c r="C708" s="27" t="s">
        <v>338</v>
      </c>
      <c r="D708" s="27" t="s">
        <v>294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332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621</v>
      </c>
      <c r="B710" s="27" t="s">
        <v>340</v>
      </c>
      <c r="C710" s="27" t="s">
        <v>330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295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622</v>
      </c>
      <c r="B712" s="27" t="s">
        <v>314</v>
      </c>
      <c r="C712" s="27" t="s">
        <v>330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304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623</v>
      </c>
      <c r="B714" s="27" t="s">
        <v>314</v>
      </c>
      <c r="C714" s="27" t="s">
        <v>338</v>
      </c>
      <c r="D714" s="27" t="s">
        <v>294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434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 t="s">
        <v>436</v>
      </c>
      <c r="E716" s="21">
        <f>IF(D716="?OLD","!!!","")</f>
        <v/>
      </c>
      <c r="F716" s="22" t="str">
        <f>IF(OR(E716="",E716="!!!"),"",IF(NOT(ISNA(VLOOKUP(E716,E$1:E715,1,FALSE()))),"OLD",IF(AND(E716&lt;&gt;"",E716&lt;&gt;"!!!"),"NEW","")))</f>
        <v> </v>
      </c>
      <c r="G716" s="23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4" t="str">
        <f>IF(J716&lt;&gt;1,"",IF(I716="SBJ","CB","?"))</f>
        <v> </v>
      </c>
      <c r="I716" s="25" t="str">
        <f>IF(OR(E716="",E716="!!!",F716="NEW"),"",INDEX(B715:B$2,-1+SUMPRODUCT(MAX(ROW(E715:E$2)*(E716=E715:E$2)))))</f>
        <v> </v>
      </c>
      <c r="J716" s="25" t="str">
        <f>IF(OR(E716="",E716="!!!",F716="NEW"),"",COUNTBLANK(OFFSET(A$1,,,SUMPRODUCT(MAX(ROW(E$2:E716)*(E716=E$2:E716)))))-COUNTBLANK(OFFSET(A$1,,,SUMPRODUCT(MAX(ROW(E$1:E715)*(E2=E$1:E715))))))</f>
        <v> </v>
      </c>
      <c r="K716" s="25" t="str">
        <f>IF(OR(E716="",E716="!!!",F716="NEW"),"",INDEX(J$1:J715,SUMPRODUCT(MAX(ROW(E$1:E715)*(E716=E$1:E715)))))</f>
        <v> </v>
      </c>
      <c r="L716" s="26"/>
    </row>
    <row r="717" spans="1:12">
      <c r="A717" s="20" t="s">
        <v>574</v>
      </c>
      <c r="B717" s="27" t="s">
        <v>357</v>
      </c>
      <c r="C717" s="27" t="s">
        <v>309</v>
      </c>
      <c r="D717" s="27" t="s">
        <v>294</v>
      </c>
      <c r="E717" s="21">
        <f>IF(D717="?OLD","!!!","")</f>
        <v/>
      </c>
      <c r="F717" s="22" t="str">
        <f>IF(OR(E717="",E717="!!!"),"",IF(NOT(ISNA(VLOOKUP(E717,E$1:E716,1,FALSE()))),"OLD",IF(AND(E717&lt;&gt;"",E717&lt;&gt;"!!!"),"NEW","")))</f>
        <v> </v>
      </c>
      <c r="G717" s="23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4" t="str">
        <f>IF(J717&lt;&gt;1,"",IF(I717="SBJ","CB","?"))</f>
        <v> </v>
      </c>
      <c r="I717" s="25" t="str">
        <f>IF(OR(E717="",E717="!!!",F717="NEW"),"",INDEX(B716:B$2,-1+SUMPRODUCT(MAX(ROW(E716:E$2)*(E717=E716:E$2)))))</f>
        <v> </v>
      </c>
      <c r="J717" s="25" t="str">
        <f>IF(OR(E717="",E717="!!!",F717="NEW"),"",COUNTBLANK(OFFSET(A$1,,,SUMPRODUCT(MAX(ROW(E$2:E717)*(E717=E$2:E717)))))-COUNTBLANK(OFFSET(A$1,,,SUMPRODUCT(MAX(ROW(E$1:E716)*(E2=E$1:E716))))))</f>
        <v> </v>
      </c>
      <c r="K717" s="25" t="str">
        <f>IF(OR(E717="",E717="!!!",F717="NEW"),"",INDEX(J$1:J716,SUMPRODUCT(MAX(ROW(E$1:E716)*(E717=E$1:E716)))))</f>
        <v> </v>
      </c>
      <c r="L717" s="26"/>
    </row>
    <row r="718" spans="1:12">
      <c r="A718" s="20" t="s">
        <v>495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624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351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625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511</v>
      </c>
      <c r="B722" s="27" t="s">
        <v>292</v>
      </c>
      <c r="C722" s="27" t="s">
        <v>429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332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312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626</v>
      </c>
      <c r="B725" s="27" t="s">
        <v>357</v>
      </c>
      <c r="C725" s="27" t="s">
        <v>315</v>
      </c>
      <c r="D725" s="27" t="s">
        <v>294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627</v>
      </c>
      <c r="B726" s="27" t="s">
        <v>314</v>
      </c>
      <c r="C726" s="27" t="s">
        <v>293</v>
      </c>
      <c r="D726" s="27" t="s">
        <v>294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295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628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351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505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336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571</v>
      </c>
      <c r="B732" s="27" t="s">
        <v>357</v>
      </c>
      <c r="C732" s="27" t="s">
        <v>315</v>
      </c>
      <c r="D732" s="27" t="s">
        <v>294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629</v>
      </c>
      <c r="B733" s="27" t="s">
        <v>352</v>
      </c>
      <c r="C733" s="27" t="s">
        <v>293</v>
      </c>
      <c r="D733" s="27" t="s">
        <v>294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595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433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328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301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561</v>
      </c>
      <c r="B738" s="27" t="s">
        <v>314</v>
      </c>
      <c r="C738" s="27" t="s">
        <v>298</v>
      </c>
      <c r="D738" s="27" t="s">
        <v>294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/>
    </row>
    <row r="740" spans="1:12">
      <c r="A740" s="20" t="s">
        <v>630</v>
      </c>
    </row>
    <row r="741" spans="1:12">
      <c r="A741" s="20" t="s">
        <v>631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414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301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565</v>
      </c>
      <c r="B744" s="27" t="s">
        <v>314</v>
      </c>
      <c r="C744" s="27" t="s">
        <v>315</v>
      </c>
      <c r="D744" s="27" t="s">
        <v>294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 t="s">
        <v>632</v>
      </c>
      <c r="B745" s="27" t="s">
        <v>334</v>
      </c>
      <c r="C745" s="27" t="s">
        <v>293</v>
      </c>
      <c r="D745" s="27" t="s">
        <v>294</v>
      </c>
      <c r="E745" s="21">
        <f>IF(D745="?OLD","!!!","")</f>
        <v/>
      </c>
      <c r="F745" s="22" t="str">
        <f>IF(OR(E745="",E745="!!!"),"",IF(NOT(ISNA(VLOOKUP(E745,E$1:E744,1,FALSE()))),"OLD",IF(AND(E745&lt;&gt;"",E745&lt;&gt;"!!!"),"NEW","")))</f>
        <v> </v>
      </c>
      <c r="G745" s="23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4" t="str">
        <f>IF(J745&lt;&gt;1,"",IF(I745="SBJ","CB","?"))</f>
        <v> </v>
      </c>
      <c r="I745" s="25" t="str">
        <f>IF(OR(E745="",E745="!!!",F745="NEW"),"",INDEX(B744:B$2,-1+SUMPRODUCT(MAX(ROW(E744:E$2)*(E745=E744:E$2)))))</f>
        <v> </v>
      </c>
      <c r="J745" s="25" t="str">
        <f>IF(OR(E745="",E745="!!!",F745="NEW"),"",COUNTBLANK(OFFSET(A$1,,,SUMPRODUCT(MAX(ROW(E$2:E745)*(E745=E$2:E745)))))-COUNTBLANK(OFFSET(A$1,,,SUMPRODUCT(MAX(ROW(E$1:E744)*(E2=E$1:E744))))))</f>
        <v> </v>
      </c>
      <c r="K745" s="25" t="str">
        <f>IF(OR(E745="",E745="!!!",F745="NEW"),"",INDEX(J$1:J744,SUMPRODUCT(MAX(ROW(E$1:E744)*(E745=E$1:E744)))))</f>
        <v> </v>
      </c>
      <c r="L745" s="26"/>
    </row>
    <row r="746" spans="1:12">
      <c r="A746" s="20" t="s">
        <v>633</v>
      </c>
      <c r="E746" s="21">
        <f>IF(D746="?OLD","!!!","")</f>
        <v/>
      </c>
      <c r="F746" s="22" t="str">
        <f>IF(OR(E746="",E746="!!!"),"",IF(NOT(ISNA(VLOOKUP(E746,E$1:E745,1,FALSE()))),"OLD",IF(AND(E746&lt;&gt;"",E746&lt;&gt;"!!!"),"NEW","")))</f>
        <v> </v>
      </c>
      <c r="G746" s="23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4" t="str">
        <f>IF(J746&lt;&gt;1,"",IF(I746="SBJ","CB","?"))</f>
        <v> </v>
      </c>
      <c r="I746" s="25" t="str">
        <f>IF(OR(E746="",E746="!!!",F746="NEW"),"",INDEX(B745:B$2,-1+SUMPRODUCT(MAX(ROW(E745:E$2)*(E746=E745:E$2)))))</f>
        <v> </v>
      </c>
      <c r="J746" s="25" t="str">
        <f>IF(OR(E746="",E746="!!!",F746="NEW"),"",COUNTBLANK(OFFSET(A$1,,,SUMPRODUCT(MAX(ROW(E$2:E746)*(E746=E$2:E746)))))-COUNTBLANK(OFFSET(A$1,,,SUMPRODUCT(MAX(ROW(E$1:E745)*(E2=E$1:E745))))))</f>
        <v> </v>
      </c>
      <c r="K746" s="25" t="str">
        <f>IF(OR(E746="",E746="!!!",F746="NEW"),"",INDEX(J$1:J745,SUMPRODUCT(MAX(ROW(E$1:E745)*(E746=E$1:E745)))))</f>
        <v> </v>
      </c>
      <c r="L746" s="26"/>
    </row>
    <row r="747" spans="1:12">
      <c r="A747" s="20" t="s">
        <v>569</v>
      </c>
      <c r="B747" s="27" t="s">
        <v>292</v>
      </c>
      <c r="C747" s="27" t="s">
        <v>309</v>
      </c>
      <c r="D747" s="27" t="s">
        <v>294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335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620</v>
      </c>
      <c r="B749" s="27" t="s">
        <v>303</v>
      </c>
      <c r="C749" s="27" t="s">
        <v>338</v>
      </c>
      <c r="D749" s="27" t="s">
        <v>294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332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621</v>
      </c>
      <c r="B751" s="27" t="s">
        <v>340</v>
      </c>
      <c r="C751" s="27" t="s">
        <v>330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295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634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304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635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 t="s">
        <v>301</v>
      </c>
      <c r="E756" s="21">
        <f>IF(D756="?OLD","!!!","")</f>
        <v/>
      </c>
      <c r="F756" s="22" t="str">
        <f>IF(OR(E756="",E756="!!!"),"",IF(NOT(ISNA(VLOOKUP(E756,E$1:E755,1,FALSE()))),"OLD",IF(AND(E756&lt;&gt;"",E756&lt;&gt;"!!!"),"NEW","")))</f>
        <v> </v>
      </c>
      <c r="G756" s="23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4" t="str">
        <f>IF(J756&lt;&gt;1,"",IF(I756="SBJ","CB","?"))</f>
        <v> </v>
      </c>
      <c r="I756" s="25" t="str">
        <f>IF(OR(E756="",E756="!!!",F756="NEW"),"",INDEX(B755:B$2,-1+SUMPRODUCT(MAX(ROW(E755:E$2)*(E756=E755:E$2)))))</f>
        <v> </v>
      </c>
      <c r="J756" s="25" t="str">
        <f>IF(OR(E756="",E756="!!!",F756="NEW"),"",COUNTBLANK(OFFSET(A$1,,,SUMPRODUCT(MAX(ROW(E$2:E756)*(E756=E$2:E756)))))-COUNTBLANK(OFFSET(A$1,,,SUMPRODUCT(MAX(ROW(E$1:E755)*(E2=E$1:E755))))))</f>
        <v> </v>
      </c>
      <c r="K756" s="25" t="str">
        <f>IF(OR(E756="",E756="!!!",F756="NEW"),"",INDEX(J$1:J755,SUMPRODUCT(MAX(ROW(E$1:E755)*(E756=E$1:E755)))))</f>
        <v> </v>
      </c>
      <c r="L756" s="26"/>
    </row>
    <row r="757" spans="1:12">
      <c r="A757" s="20" t="s">
        <v>434</v>
      </c>
      <c r="B757" s="27" t="s">
        <v>292</v>
      </c>
      <c r="C757" s="27" t="s">
        <v>338</v>
      </c>
      <c r="D757" s="27" t="s">
        <v>294</v>
      </c>
      <c r="E757" s="21">
        <f>IF(D757="?OLD","!!!","")</f>
        <v/>
      </c>
      <c r="F757" s="22" t="str">
        <f>IF(OR(E757="",E757="!!!"),"",IF(NOT(ISNA(VLOOKUP(E757,E$1:E756,1,FALSE()))),"OLD",IF(AND(E757&lt;&gt;"",E757&lt;&gt;"!!!"),"NEW","")))</f>
        <v> </v>
      </c>
      <c r="G757" s="23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4" t="str">
        <f>IF(J757&lt;&gt;1,"",IF(I757="SBJ","CB","?"))</f>
        <v> </v>
      </c>
      <c r="I757" s="25" t="str">
        <f>IF(OR(E757="",E757="!!!",F757="NEW"),"",INDEX(B756:B$2,-1+SUMPRODUCT(MAX(ROW(E756:E$2)*(E757=E756:E$2)))))</f>
        <v> </v>
      </c>
      <c r="J757" s="25" t="str">
        <f>IF(OR(E757="",E757="!!!",F757="NEW"),"",COUNTBLANK(OFFSET(A$1,,,SUMPRODUCT(MAX(ROW(E$2:E757)*(E757=E$2:E757)))))-COUNTBLANK(OFFSET(A$1,,,SUMPRODUCT(MAX(ROW(E$1:E756)*(E2=E$1:E756))))))</f>
        <v> </v>
      </c>
      <c r="K757" s="25" t="str">
        <f>IF(OR(E757="",E757="!!!",F757="NEW"),"",INDEX(J$1:J756,SUMPRODUCT(MAX(ROW(E$1:E756)*(E757=E$1:E756)))))</f>
        <v> </v>
      </c>
      <c r="L757" s="26"/>
    </row>
    <row r="758" spans="1:12">
      <c r="A758" s="20" t="s">
        <v>436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574</v>
      </c>
      <c r="B759" s="27" t="s">
        <v>314</v>
      </c>
      <c r="C759" s="27" t="s">
        <v>309</v>
      </c>
      <c r="D759" s="27" t="s">
        <v>294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495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624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351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625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511</v>
      </c>
      <c r="B764" s="27" t="s">
        <v>355</v>
      </c>
      <c r="C764" s="27" t="s">
        <v>429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332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 t="s">
        <v>312</v>
      </c>
      <c r="E766" s="21">
        <f>IF(D766="?OLD","!!!","")</f>
        <v/>
      </c>
      <c r="F766" s="22" t="str">
        <f>IF(OR(E766="",E766="!!!"),"",IF(NOT(ISNA(VLOOKUP(E766,E$1:E765,1,FALSE()))),"OLD",IF(AND(E766&lt;&gt;"",E766&lt;&gt;"!!!"),"NEW","")))</f>
        <v> </v>
      </c>
      <c r="G766" s="23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4" t="str">
        <f>IF(J766&lt;&gt;1,"",IF(I766="SBJ","CB","?"))</f>
        <v> </v>
      </c>
      <c r="I766" s="25" t="str">
        <f>IF(OR(E766="",E766="!!!",F766="NEW"),"",INDEX(B765:B$2,-1+SUMPRODUCT(MAX(ROW(E765:E$2)*(E766=E765:E$2)))))</f>
        <v> </v>
      </c>
      <c r="J766" s="25" t="str">
        <f>IF(OR(E766="",E766="!!!",F766="NEW"),"",COUNTBLANK(OFFSET(A$1,,,SUMPRODUCT(MAX(ROW(E$2:E766)*(E766=E$2:E766)))))-COUNTBLANK(OFFSET(A$1,,,SUMPRODUCT(MAX(ROW(E$1:E765)*(E2=E$1:E765))))))</f>
        <v> </v>
      </c>
      <c r="K766" s="25" t="str">
        <f>IF(OR(E766="",E766="!!!",F766="NEW"),"",INDEX(J$1:J765,SUMPRODUCT(MAX(ROW(E$1:E765)*(E766=E$1:E765)))))</f>
        <v> </v>
      </c>
      <c r="L766" s="26"/>
    </row>
    <row r="767" spans="1:12">
      <c r="A767" s="20" t="s">
        <v>626</v>
      </c>
      <c r="B767" s="27" t="s">
        <v>359</v>
      </c>
      <c r="C767" s="27" t="s">
        <v>315</v>
      </c>
      <c r="D767" s="27" t="s">
        <v>294</v>
      </c>
      <c r="E767" s="21">
        <f>IF(D767="?OLD","!!!","")</f>
        <v/>
      </c>
      <c r="F767" s="22" t="str">
        <f>IF(OR(E767="",E767="!!!"),"",IF(NOT(ISNA(VLOOKUP(E767,E$1:E766,1,FALSE()))),"OLD",IF(AND(E767&lt;&gt;"",E767&lt;&gt;"!!!"),"NEW","")))</f>
        <v> </v>
      </c>
      <c r="G767" s="23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4" t="str">
        <f>IF(J767&lt;&gt;1,"",IF(I767="SBJ","CB","?"))</f>
        <v> </v>
      </c>
      <c r="I767" s="25" t="str">
        <f>IF(OR(E767="",E767="!!!",F767="NEW"),"",INDEX(B766:B$2,-1+SUMPRODUCT(MAX(ROW(E766:E$2)*(E767=E766:E$2)))))</f>
        <v> </v>
      </c>
      <c r="J767" s="25" t="str">
        <f>IF(OR(E767="",E767="!!!",F767="NEW"),"",COUNTBLANK(OFFSET(A$1,,,SUMPRODUCT(MAX(ROW(E$2:E767)*(E767=E$2:E767)))))-COUNTBLANK(OFFSET(A$1,,,SUMPRODUCT(MAX(ROW(E$1:E766)*(E2=E$1:E766))))))</f>
        <v> </v>
      </c>
      <c r="K767" s="25" t="str">
        <f>IF(OR(E767="",E767="!!!",F767="NEW"),"",INDEX(J$1:J766,SUMPRODUCT(MAX(ROW(E$1:E766)*(E767=E$1:E766)))))</f>
        <v> </v>
      </c>
      <c r="L767" s="26"/>
    </row>
    <row r="768" spans="1:12">
      <c r="A768" s="20" t="s">
        <v>627</v>
      </c>
      <c r="B768" s="27" t="s">
        <v>357</v>
      </c>
      <c r="C768" s="27" t="s">
        <v>293</v>
      </c>
      <c r="D768" s="27" t="s">
        <v>294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295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628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351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505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336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571</v>
      </c>
      <c r="B774" s="27" t="s">
        <v>359</v>
      </c>
      <c r="C774" s="27" t="s">
        <v>315</v>
      </c>
      <c r="D774" s="27" t="s">
        <v>294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629</v>
      </c>
      <c r="B775" s="27" t="s">
        <v>636</v>
      </c>
      <c r="C775" s="27" t="s">
        <v>293</v>
      </c>
      <c r="D775" s="27" t="s">
        <v>294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637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306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638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328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301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561</v>
      </c>
      <c r="B781" s="27" t="s">
        <v>359</v>
      </c>
      <c r="C781" s="27" t="s">
        <v>298</v>
      </c>
      <c r="D781" s="27" t="s">
        <v>294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/>
    </row>
    <row r="783" spans="1:12">
      <c r="A783" s="20" t="s">
        <v>639</v>
      </c>
    </row>
    <row r="784" spans="1:12">
      <c r="A784" s="20" t="s">
        <v>640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641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538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495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/>
    </row>
    <row r="789" spans="1:12">
      <c r="A789" s="20" t="s">
        <v>642</v>
      </c>
    </row>
    <row r="790" spans="1:12">
      <c r="A790" s="20" t="s">
        <v>508</v>
      </c>
      <c r="B790" s="27" t="s">
        <v>297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643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301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644</v>
      </c>
      <c r="B793" s="27" t="s">
        <v>357</v>
      </c>
      <c r="C793" s="27" t="s">
        <v>315</v>
      </c>
      <c r="D793" s="27" t="s">
        <v>294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645</v>
      </c>
      <c r="B794" s="27" t="s">
        <v>355</v>
      </c>
      <c r="C794" s="27" t="s">
        <v>293</v>
      </c>
      <c r="D794" s="27" t="s">
        <v>294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295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290</v>
      </c>
      <c r="B796" s="27" t="s">
        <v>322</v>
      </c>
      <c r="C796" s="27" t="s">
        <v>309</v>
      </c>
      <c r="D796" s="27" t="s">
        <v>294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646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428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647</v>
      </c>
      <c r="B799" s="27" t="s">
        <v>322</v>
      </c>
      <c r="C799" s="27" t="s">
        <v>338</v>
      </c>
      <c r="D799" s="27" t="s">
        <v>294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332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648</v>
      </c>
      <c r="B801" s="27" t="s">
        <v>340</v>
      </c>
      <c r="C801" s="27" t="s">
        <v>330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/>
    </row>
    <row r="803" spans="1:12">
      <c r="A803" s="20" t="s">
        <v>609</v>
      </c>
    </row>
    <row r="804" spans="1:12">
      <c r="A804" s="20" t="s">
        <v>413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483</v>
      </c>
      <c r="B805" s="27" t="s">
        <v>297</v>
      </c>
      <c r="C805" s="27" t="s">
        <v>309</v>
      </c>
      <c r="D805" s="27" t="s">
        <v>294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 t="s">
        <v>382</v>
      </c>
      <c r="B806" s="27" t="s">
        <v>322</v>
      </c>
      <c r="C806" s="27" t="s">
        <v>309</v>
      </c>
      <c r="D806" s="27" t="s">
        <v>294</v>
      </c>
      <c r="E806" s="21">
        <f>IF(D806="?OLD","!!!","")</f>
        <v/>
      </c>
      <c r="F806" s="22" t="str">
        <f>IF(OR(E806="",E806="!!!"),"",IF(NOT(ISNA(VLOOKUP(E806,E$1:E805,1,FALSE()))),"OLD",IF(AND(E806&lt;&gt;"",E806&lt;&gt;"!!!"),"NEW","")))</f>
        <v> </v>
      </c>
      <c r="G806" s="23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4" t="str">
        <f>IF(J806&lt;&gt;1,"",IF(I806="SBJ","CB","?"))</f>
        <v> </v>
      </c>
      <c r="I806" s="25" t="str">
        <f>IF(OR(E806="",E806="!!!",F806="NEW"),"",INDEX(B805:B$2,-1+SUMPRODUCT(MAX(ROW(E805:E$2)*(E806=E805:E$2)))))</f>
        <v> </v>
      </c>
      <c r="J806" s="25" t="str">
        <f>IF(OR(E806="",E806="!!!",F806="NEW"),"",COUNTBLANK(OFFSET(A$1,,,SUMPRODUCT(MAX(ROW(E$2:E806)*(E806=E$2:E806)))))-COUNTBLANK(OFFSET(A$1,,,SUMPRODUCT(MAX(ROW(E$1:E805)*(E2=E$1:E805))))))</f>
        <v> </v>
      </c>
      <c r="K806" s="25" t="str">
        <f>IF(OR(E806="",E806="!!!",F806="NEW"),"",INDEX(J$1:J805,SUMPRODUCT(MAX(ROW(E$1:E805)*(E806=E$1:E805)))))</f>
        <v> </v>
      </c>
      <c r="L806" s="26"/>
    </row>
    <row r="807" spans="1:12">
      <c r="A807" s="20" t="s">
        <v>227</v>
      </c>
      <c r="E807" s="21">
        <f>IF(D807="?OLD","!!!","")</f>
        <v/>
      </c>
      <c r="F807" s="22" t="str">
        <f>IF(OR(E807="",E807="!!!"),"",IF(NOT(ISNA(VLOOKUP(E807,E$1:E806,1,FALSE()))),"OLD",IF(AND(E807&lt;&gt;"",E807&lt;&gt;"!!!"),"NEW","")))</f>
        <v> </v>
      </c>
      <c r="G807" s="23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4" t="str">
        <f>IF(J807&lt;&gt;1,"",IF(I807="SBJ","CB","?"))</f>
        <v> </v>
      </c>
      <c r="I807" s="25" t="str">
        <f>IF(OR(E807="",E807="!!!",F807="NEW"),"",INDEX(B806:B$2,-1+SUMPRODUCT(MAX(ROW(E806:E$2)*(E807=E806:E$2)))))</f>
        <v> </v>
      </c>
      <c r="J807" s="25" t="str">
        <f>IF(OR(E807="",E807="!!!",F807="NEW"),"",COUNTBLANK(OFFSET(A$1,,,SUMPRODUCT(MAX(ROW(E$2:E807)*(E807=E$2:E807)))))-COUNTBLANK(OFFSET(A$1,,,SUMPRODUCT(MAX(ROW(E$1:E806)*(E2=E$1:E806))))))</f>
        <v> </v>
      </c>
      <c r="K807" s="25" t="str">
        <f>IF(OR(E807="",E807="!!!",F807="NEW"),"",INDEX(J$1:J806,SUMPRODUCT(MAX(ROW(E$1:E806)*(E807=E$1:E806)))))</f>
        <v> </v>
      </c>
      <c r="L807" s="26"/>
    </row>
    <row r="808" spans="1:12">
      <c r="A808" s="20" t="s">
        <v>495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/>
    </row>
    <row r="810" spans="1:12">
      <c r="A810" s="20" t="s">
        <v>649</v>
      </c>
    </row>
    <row r="811" spans="1:12">
      <c r="A811" s="20" t="s">
        <v>549</v>
      </c>
      <c r="B811" s="27" t="s">
        <v>297</v>
      </c>
      <c r="C811" s="27" t="s">
        <v>429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643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650</v>
      </c>
      <c r="B813" s="27" t="s">
        <v>314</v>
      </c>
      <c r="C813" s="27" t="s">
        <v>315</v>
      </c>
      <c r="D813" s="27" t="s">
        <v>294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645</v>
      </c>
      <c r="B814" s="27" t="s">
        <v>340</v>
      </c>
      <c r="C814" s="27" t="s">
        <v>338</v>
      </c>
      <c r="D814" s="27" t="s">
        <v>294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295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 t="s">
        <v>651</v>
      </c>
      <c r="E816" s="21">
        <f>IF(D816="?OLD","!!!","")</f>
        <v/>
      </c>
      <c r="F816" s="22" t="str">
        <f>IF(OR(E816="",E816="!!!"),"",IF(NOT(ISNA(VLOOKUP(E816,E$1:E815,1,FALSE()))),"OLD",IF(AND(E816&lt;&gt;"",E816&lt;&gt;"!!!"),"NEW","")))</f>
        <v> </v>
      </c>
      <c r="G816" s="23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4" t="str">
        <f>IF(J816&lt;&gt;1,"",IF(I816="SBJ","CB","?"))</f>
        <v> </v>
      </c>
      <c r="I816" s="25" t="str">
        <f>IF(OR(E816="",E816="!!!",F816="NEW"),"",INDEX(B815:B$2,-1+SUMPRODUCT(MAX(ROW(E815:E$2)*(E816=E815:E$2)))))</f>
        <v> </v>
      </c>
      <c r="J816" s="25" t="str">
        <f>IF(OR(E816="",E816="!!!",F816="NEW"),"",COUNTBLANK(OFFSET(A$1,,,SUMPRODUCT(MAX(ROW(E$2:E816)*(E816=E$2:E816)))))-COUNTBLANK(OFFSET(A$1,,,SUMPRODUCT(MAX(ROW(E$1:E815)*(E2=E$1:E815))))))</f>
        <v> </v>
      </c>
      <c r="K816" s="25" t="str">
        <f>IF(OR(E816="",E816="!!!",F816="NEW"),"",INDEX(J$1:J815,SUMPRODUCT(MAX(ROW(E$1:E815)*(E816=E$1:E815)))))</f>
        <v> </v>
      </c>
      <c r="L816" s="26"/>
    </row>
    <row r="817" spans="1:12">
      <c r="A817" s="20" t="s">
        <v>336</v>
      </c>
      <c r="E817" s="21">
        <f>IF(D817="?OLD","!!!","")</f>
        <v/>
      </c>
      <c r="F817" s="22" t="str">
        <f>IF(OR(E817="",E817="!!!"),"",IF(NOT(ISNA(VLOOKUP(E817,E$1:E816,1,FALSE()))),"OLD",IF(AND(E817&lt;&gt;"",E817&lt;&gt;"!!!"),"NEW","")))</f>
        <v> </v>
      </c>
      <c r="G817" s="23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4" t="str">
        <f>IF(J817&lt;&gt;1,"",IF(I817="SBJ","CB","?"))</f>
        <v> </v>
      </c>
      <c r="I817" s="25" t="str">
        <f>IF(OR(E817="",E817="!!!",F817="NEW"),"",INDEX(B816:B$2,-1+SUMPRODUCT(MAX(ROW(E816:E$2)*(E817=E816:E$2)))))</f>
        <v> </v>
      </c>
      <c r="J817" s="25" t="str">
        <f>IF(OR(E817="",E817="!!!",F817="NEW"),"",COUNTBLANK(OFFSET(A$1,,,SUMPRODUCT(MAX(ROW(E$2:E817)*(E817=E$2:E817)))))-COUNTBLANK(OFFSET(A$1,,,SUMPRODUCT(MAX(ROW(E$1:E816)*(E2=E$1:E816))))))</f>
        <v> </v>
      </c>
      <c r="K817" s="25" t="str">
        <f>IF(OR(E817="",E817="!!!",F817="NEW"),"",INDEX(J$1:J816,SUMPRODUCT(MAX(ROW(E$1:E816)*(E817=E$1:E816)))))</f>
        <v> </v>
      </c>
      <c r="L817" s="26"/>
    </row>
    <row r="818" spans="1:12">
      <c r="A818" s="20" t="s">
        <v>652</v>
      </c>
      <c r="B818" s="27" t="s">
        <v>314</v>
      </c>
      <c r="C818" s="27" t="s">
        <v>338</v>
      </c>
      <c r="D818" s="27" t="s">
        <v>294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332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653</v>
      </c>
      <c r="B820" s="27" t="s">
        <v>357</v>
      </c>
      <c r="C820" s="27" t="s">
        <v>330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295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301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654</v>
      </c>
      <c r="B823" s="27" t="s">
        <v>334</v>
      </c>
      <c r="C823" s="27" t="s">
        <v>338</v>
      </c>
      <c r="D823" s="27" t="s">
        <v>294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306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428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608</v>
      </c>
      <c r="B826" s="27" t="s">
        <v>314</v>
      </c>
      <c r="C826" s="27" t="s">
        <v>293</v>
      </c>
      <c r="D826" s="27" t="s">
        <v>294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304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 t="s">
        <v>549</v>
      </c>
      <c r="B828" s="27" t="s">
        <v>352</v>
      </c>
      <c r="C828" s="27" t="s">
        <v>429</v>
      </c>
      <c r="E828" s="21">
        <f>IF(D828="?OLD","!!!","")</f>
        <v/>
      </c>
      <c r="F828" s="22" t="str">
        <f>IF(OR(E828="",E828="!!!"),"",IF(NOT(ISNA(VLOOKUP(E828,E$1:E827,1,FALSE()))),"OLD",IF(AND(E828&lt;&gt;"",E828&lt;&gt;"!!!"),"NEW","")))</f>
        <v> </v>
      </c>
      <c r="G828" s="23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4" t="str">
        <f>IF(J828&lt;&gt;1,"",IF(I828="SBJ","CB","?"))</f>
        <v> </v>
      </c>
      <c r="I828" s="25" t="str">
        <f>IF(OR(E828="",E828="!!!",F828="NEW"),"",INDEX(B827:B$2,-1+SUMPRODUCT(MAX(ROW(E827:E$2)*(E828=E827:E$2)))))</f>
        <v> </v>
      </c>
      <c r="J828" s="25" t="str">
        <f>IF(OR(E828="",E828="!!!",F828="NEW"),"",COUNTBLANK(OFFSET(A$1,,,SUMPRODUCT(MAX(ROW(E$2:E828)*(E828=E$2:E828)))))-COUNTBLANK(OFFSET(A$1,,,SUMPRODUCT(MAX(ROW(E$1:E827)*(E2=E$1:E827))))))</f>
        <v> </v>
      </c>
      <c r="K828" s="25" t="str">
        <f>IF(OR(E828="",E828="!!!",F828="NEW"),"",INDEX(J$1:J827,SUMPRODUCT(MAX(ROW(E$1:E827)*(E828=E$1:E827)))))</f>
        <v> </v>
      </c>
      <c r="L828" s="26"/>
    </row>
    <row r="829" spans="1:12">
      <c r="A829" s="20" t="s">
        <v>655</v>
      </c>
      <c r="E829" s="21">
        <f>IF(D829="?OLD","!!!","")</f>
        <v/>
      </c>
      <c r="F829" s="22" t="str">
        <f>IF(OR(E829="",E829="!!!"),"",IF(NOT(ISNA(VLOOKUP(E829,E$1:E828,1,FALSE()))),"OLD",IF(AND(E829&lt;&gt;"",E829&lt;&gt;"!!!"),"NEW","")))</f>
        <v> </v>
      </c>
      <c r="G829" s="23" t="str">
        <f>IF(OR(E829="",E829="!!!"),"",IF(OR(J829=0,AND(J829=1,K829=1),AND(J829=1,I829="SBJ"),AND(J829=1,I829=0)),"?IN_FOCUS",IF(J829&lt;=2,"?ACTIVATED",IF(J829&lt;&gt;"","?FAMILIAR",IF(F829="NEW",IF(ISNA(VLOOKUP(E829,#REF!,1,FALSE())),"?TYPE_IDENTIFIABLE","?REFERENTIAL"),"_")))))</f>
        <v> </v>
      </c>
      <c r="H829" s="24" t="str">
        <f>IF(J829&lt;&gt;1,"",IF(I829="SBJ","CB","?"))</f>
        <v> </v>
      </c>
      <c r="I829" s="25" t="str">
        <f>IF(OR(E829="",E829="!!!",F829="NEW"),"",INDEX(B828:B$2,-1+SUMPRODUCT(MAX(ROW(E828:E$2)*(E829=E828:E$2)))))</f>
        <v> </v>
      </c>
      <c r="J829" s="25" t="str">
        <f>IF(OR(E829="",E829="!!!",F829="NEW"),"",COUNTBLANK(OFFSET(A$1,,,SUMPRODUCT(MAX(ROW(E$2:E829)*(E829=E$2:E829)))))-COUNTBLANK(OFFSET(A$1,,,SUMPRODUCT(MAX(ROW(E$1:E828)*(E2=E$1:E828))))))</f>
        <v> </v>
      </c>
      <c r="K829" s="25" t="str">
        <f>IF(OR(E829="",E829="!!!",F829="NEW"),"",INDEX(J$1:J828,SUMPRODUCT(MAX(ROW(E$1:E828)*(E829=E$1:E828)))))</f>
        <v> </v>
      </c>
      <c r="L829" s="26"/>
    </row>
    <row r="830" spans="1:12">
      <c r="A830" s="20" t="s">
        <v>445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656</v>
      </c>
      <c r="B831" s="27" t="s">
        <v>334</v>
      </c>
      <c r="C831" s="27" t="s">
        <v>447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295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657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608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/>
    </row>
    <row r="836" spans="1:12">
      <c r="A836" s="20" t="s">
        <v>658</v>
      </c>
    </row>
    <row r="837" spans="1:12">
      <c r="A837" s="20" t="s">
        <v>535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516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536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351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537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538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306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308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539</v>
      </c>
      <c r="B845" s="27" t="s">
        <v>340</v>
      </c>
      <c r="C845" s="27" t="s">
        <v>293</v>
      </c>
      <c r="D845" s="27" t="s">
        <v>294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495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/>
    </row>
    <row r="848" spans="1:12">
      <c r="A848" s="20" t="s">
        <v>659</v>
      </c>
    </row>
    <row r="849" spans="1:12">
      <c r="A849" s="20" t="s">
        <v>481</v>
      </c>
      <c r="E849" s="21">
        <f>IF(D849="?OLD","!!!","")</f>
        <v/>
      </c>
      <c r="F849" s="22" t="str">
        <f>IF(OR(E849="",E849="!!!"),"",IF(NOT(ISNA(VLOOKUP(E849,E$1:E848,1,FALSE()))),"OLD",IF(AND(E849&lt;&gt;"",E849&lt;&gt;"!!!"),"NEW","")))</f>
        <v> </v>
      </c>
      <c r="G849" s="23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4" t="str">
        <f>IF(J849&lt;&gt;1,"",IF(I849="SBJ","CB","?"))</f>
        <v> </v>
      </c>
      <c r="I849" s="25" t="str">
        <f>IF(OR(E849="",E849="!!!",F849="NEW"),"",INDEX(B848:B$2,-1+SUMPRODUCT(MAX(ROW(E848:E$2)*(E849=E848:E$2)))))</f>
        <v> </v>
      </c>
      <c r="J849" s="25" t="str">
        <f>IF(OR(E849="",E849="!!!",F849="NEW"),"",COUNTBLANK(OFFSET(A$1,,,SUMPRODUCT(MAX(ROW(E$2:E849)*(E849=E$2:E849)))))-COUNTBLANK(OFFSET(A$1,,,SUMPRODUCT(MAX(ROW(E$1:E848)*(E2=E$1:E848))))))</f>
        <v> </v>
      </c>
      <c r="K849" s="25" t="str">
        <f>IF(OR(E849="",E849="!!!",F849="NEW"),"",INDEX(J$1:J848,SUMPRODUCT(MAX(ROW(E$1:E848)*(E849=E$1:E848)))))</f>
        <v> </v>
      </c>
      <c r="L849" s="26"/>
    </row>
    <row r="850" spans="1:12">
      <c r="A850" s="20" t="s">
        <v>197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295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413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660</v>
      </c>
      <c r="B853" s="27" t="s">
        <v>303</v>
      </c>
      <c r="C853" s="27" t="s">
        <v>338</v>
      </c>
      <c r="D853" s="27" t="s">
        <v>294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417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336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661</v>
      </c>
      <c r="B856" s="27" t="s">
        <v>340</v>
      </c>
      <c r="C856" s="27" t="s">
        <v>293</v>
      </c>
      <c r="D856" s="27" t="s">
        <v>294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312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626</v>
      </c>
      <c r="B858" s="27" t="s">
        <v>340</v>
      </c>
      <c r="C858" s="27" t="s">
        <v>315</v>
      </c>
      <c r="D858" s="27" t="s">
        <v>294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662</v>
      </c>
      <c r="B859" s="27" t="s">
        <v>322</v>
      </c>
      <c r="C859" s="27" t="s">
        <v>293</v>
      </c>
      <c r="D859" s="27" t="s">
        <v>294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/>
    </row>
    <row r="861" spans="1:12">
      <c r="A861" s="20" t="s">
        <v>609</v>
      </c>
    </row>
    <row r="862" spans="1:12">
      <c r="A862" s="20" t="s">
        <v>413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483</v>
      </c>
      <c r="B863" s="27" t="s">
        <v>297</v>
      </c>
      <c r="C863" s="27" t="s">
        <v>309</v>
      </c>
      <c r="D863" s="27" t="s">
        <v>294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382</v>
      </c>
      <c r="B864" s="27" t="s">
        <v>322</v>
      </c>
      <c r="C864" s="27" t="s">
        <v>309</v>
      </c>
      <c r="D864" s="27" t="s">
        <v>294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227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495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/>
    </row>
    <row r="868" spans="1:12">
      <c r="A868" s="20" t="s">
        <v>663</v>
      </c>
    </row>
    <row r="869" spans="1:12">
      <c r="A869" s="20" t="s">
        <v>441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664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665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495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/>
    </row>
    <row r="874" spans="1:12">
      <c r="A874" s="20" t="s">
        <v>666</v>
      </c>
    </row>
    <row r="875" spans="1:12">
      <c r="A875" s="20" t="s">
        <v>453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377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336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 t="s">
        <v>207</v>
      </c>
      <c r="B878" s="27" t="s">
        <v>303</v>
      </c>
      <c r="C878" s="27" t="s">
        <v>293</v>
      </c>
      <c r="D878" s="27" t="s">
        <v>294</v>
      </c>
      <c r="E878" s="21">
        <f>IF(D878="?OLD","!!!","")</f>
        <v/>
      </c>
      <c r="F878" s="22" t="str">
        <f>IF(OR(E878="",E878="!!!"),"",IF(NOT(ISNA(VLOOKUP(E878,E$1:E877,1,FALSE()))),"OLD",IF(AND(E878&lt;&gt;"",E878&lt;&gt;"!!!"),"NEW","")))</f>
        <v> </v>
      </c>
      <c r="G878" s="23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4" t="str">
        <f>IF(J878&lt;&gt;1,"",IF(I878="SBJ","CB","?"))</f>
        <v> </v>
      </c>
      <c r="I878" s="25" t="str">
        <f>IF(OR(E878="",E878="!!!",F878="NEW"),"",INDEX(B877:B$2,-1+SUMPRODUCT(MAX(ROW(E877:E$2)*(E878=E877:E$2)))))</f>
        <v> </v>
      </c>
      <c r="J878" s="25" t="str">
        <f>IF(OR(E878="",E878="!!!",F878="NEW"),"",COUNTBLANK(OFFSET(A$1,,,SUMPRODUCT(MAX(ROW(E$2:E878)*(E878=E$2:E878)))))-COUNTBLANK(OFFSET(A$1,,,SUMPRODUCT(MAX(ROW(E$1:E877)*(E2=E$1:E877))))))</f>
        <v> </v>
      </c>
      <c r="K878" s="25" t="str">
        <f>IF(OR(E878="",E878="!!!",F878="NEW"),"",INDEX(J$1:J877,SUMPRODUCT(MAX(ROW(E$1:E877)*(E878=E$1:E877)))))</f>
        <v> </v>
      </c>
      <c r="L878" s="26"/>
    </row>
    <row r="879" spans="1:12">
      <c r="A879" s="20" t="s">
        <v>295</v>
      </c>
      <c r="E879" s="21">
        <f>IF(D879="?OLD","!!!","")</f>
        <v/>
      </c>
      <c r="F879" s="22" t="str">
        <f>IF(OR(E879="",E879="!!!"),"",IF(NOT(ISNA(VLOOKUP(E879,E$1:E878,1,FALSE()))),"OLD",IF(AND(E879&lt;&gt;"",E879&lt;&gt;"!!!"),"NEW","")))</f>
        <v> </v>
      </c>
      <c r="G879" s="23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4" t="str">
        <f>IF(J879&lt;&gt;1,"",IF(I879="SBJ","CB","?"))</f>
        <v> </v>
      </c>
      <c r="I879" s="25" t="str">
        <f>IF(OR(E879="",E879="!!!",F879="NEW"),"",INDEX(B878:B$2,-1+SUMPRODUCT(MAX(ROW(E878:E$2)*(E879=E878:E$2)))))</f>
        <v> </v>
      </c>
      <c r="J879" s="25" t="str">
        <f>IF(OR(E879="",E879="!!!",F879="NEW"),"",COUNTBLANK(OFFSET(A$1,,,SUMPRODUCT(MAX(ROW(E$2:E879)*(E879=E$2:E879)))))-COUNTBLANK(OFFSET(A$1,,,SUMPRODUCT(MAX(ROW(E$1:E878)*(E2=E$1:E878))))))</f>
        <v> </v>
      </c>
      <c r="K879" s="25" t="str">
        <f>IF(OR(E879="",E879="!!!",F879="NEW"),"",INDEX(J$1:J878,SUMPRODUCT(MAX(ROW(E$1:E878)*(E879=E$1:E878)))))</f>
        <v> </v>
      </c>
      <c r="L879" s="26"/>
    </row>
    <row r="880" spans="1:12">
      <c r="A880" s="20" t="s">
        <v>331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335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336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667</v>
      </c>
      <c r="B883" s="27" t="s">
        <v>303</v>
      </c>
      <c r="C883" s="27" t="s">
        <v>338</v>
      </c>
      <c r="D883" s="27" t="s">
        <v>294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332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369</v>
      </c>
      <c r="B885" s="27" t="s">
        <v>340</v>
      </c>
      <c r="C885" s="27" t="s">
        <v>298</v>
      </c>
      <c r="D885" s="27" t="s">
        <v>294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/>
    </row>
    <row r="887" spans="1:12">
      <c r="A887" s="20" t="s">
        <v>668</v>
      </c>
    </row>
    <row r="888" spans="1:12">
      <c r="A888" s="20" t="s">
        <v>453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377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301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211</v>
      </c>
      <c r="B891" s="27" t="s">
        <v>303</v>
      </c>
      <c r="C891" s="27" t="s">
        <v>293</v>
      </c>
      <c r="D891" s="27" t="s">
        <v>294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295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331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335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420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669</v>
      </c>
      <c r="B896" s="27" t="s">
        <v>303</v>
      </c>
      <c r="C896" s="27" t="s">
        <v>293</v>
      </c>
      <c r="D896" s="27" t="s">
        <v>294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377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312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313</v>
      </c>
      <c r="B899" s="27" t="s">
        <v>314</v>
      </c>
      <c r="C899" s="27" t="s">
        <v>315</v>
      </c>
      <c r="D899" s="27" t="s">
        <v>294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670</v>
      </c>
      <c r="B900" s="27" t="s">
        <v>340</v>
      </c>
      <c r="C900" s="27" t="s">
        <v>293</v>
      </c>
      <c r="D900" s="27" t="s">
        <v>294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411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453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377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 t="s">
        <v>671</v>
      </c>
      <c r="B904" s="27" t="s">
        <v>303</v>
      </c>
      <c r="C904" s="27" t="s">
        <v>298</v>
      </c>
      <c r="D904" s="27" t="s">
        <v>294</v>
      </c>
      <c r="E904" s="21">
        <f>IF(D904="?OLD","!!!","")</f>
        <v/>
      </c>
      <c r="F904" s="22" t="str">
        <f>IF(OR(E904="",E904="!!!"),"",IF(NOT(ISNA(VLOOKUP(E904,E$1:E903,1,FALSE()))),"OLD",IF(AND(E904&lt;&gt;"",E904&lt;&gt;"!!!"),"NEW","")))</f>
        <v> </v>
      </c>
      <c r="G904" s="23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4" t="str">
        <f>IF(J904&lt;&gt;1,"",IF(I904="SBJ","CB","?"))</f>
        <v> </v>
      </c>
      <c r="I904" s="25" t="str">
        <f>IF(OR(E904="",E904="!!!",F904="NEW"),"",INDEX(B903:B$2,-1+SUMPRODUCT(MAX(ROW(E903:E$2)*(E904=E903:E$2)))))</f>
        <v> </v>
      </c>
      <c r="J904" s="25" t="str">
        <f>IF(OR(E904="",E904="!!!",F904="NEW"),"",COUNTBLANK(OFFSET(A$1,,,SUMPRODUCT(MAX(ROW(E$2:E904)*(E904=E$2:E904)))))-COUNTBLANK(OFFSET(A$1,,,SUMPRODUCT(MAX(ROW(E$1:E903)*(E2=E$1:E903))))))</f>
        <v> </v>
      </c>
      <c r="K904" s="25" t="str">
        <f>IF(OR(E904="",E904="!!!",F904="NEW"),"",INDEX(J$1:J903,SUMPRODUCT(MAX(ROW(E$1:E903)*(E904=E$1:E903)))))</f>
        <v> </v>
      </c>
      <c r="L904" s="26"/>
    </row>
    <row r="905" spans="1:12">
      <c r="A905" s="20" t="s">
        <v>295</v>
      </c>
      <c r="E905" s="21">
        <f>IF(D905="?OLD","!!!","")</f>
        <v/>
      </c>
      <c r="F905" s="22" t="str">
        <f>IF(OR(E905="",E905="!!!"),"",IF(NOT(ISNA(VLOOKUP(E905,E$1:E904,1,FALSE()))),"OLD",IF(AND(E905&lt;&gt;"",E905&lt;&gt;"!!!"),"NEW","")))</f>
        <v> </v>
      </c>
      <c r="G905" s="23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4" t="str">
        <f>IF(J905&lt;&gt;1,"",IF(I905="SBJ","CB","?"))</f>
        <v> </v>
      </c>
      <c r="I905" s="25" t="str">
        <f>IF(OR(E905="",E905="!!!",F905="NEW"),"",INDEX(B904:B$2,-1+SUMPRODUCT(MAX(ROW(E904:E$2)*(E905=E904:E$2)))))</f>
        <v> </v>
      </c>
      <c r="J905" s="25" t="str">
        <f>IF(OR(E905="",E905="!!!",F905="NEW"),"",COUNTBLANK(OFFSET(A$1,,,SUMPRODUCT(MAX(ROW(E$2:E905)*(E905=E$2:E905)))))-COUNTBLANK(OFFSET(A$1,,,SUMPRODUCT(MAX(ROW(E$1:E904)*(E2=E$1:E904))))))</f>
        <v> </v>
      </c>
      <c r="K905" s="25" t="str">
        <f>IF(OR(E905="",E905="!!!",F905="NEW"),"",INDEX(J$1:J904,SUMPRODUCT(MAX(ROW(E$1:E904)*(E905=E$1:E904)))))</f>
        <v> </v>
      </c>
      <c r="L905" s="26"/>
    </row>
    <row r="906" spans="1:12">
      <c r="A906" s="20" t="s">
        <v>331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335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301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446</v>
      </c>
      <c r="B909" s="27" t="s">
        <v>340</v>
      </c>
      <c r="C909" s="27" t="s">
        <v>338</v>
      </c>
      <c r="D909" s="27" t="s">
        <v>294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332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336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672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673</v>
      </c>
      <c r="B913" s="27" t="s">
        <v>314</v>
      </c>
      <c r="C913" s="27" t="s">
        <v>293</v>
      </c>
      <c r="D913" s="27" t="s">
        <v>294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/>
    </row>
    <row r="915" spans="1:12">
      <c r="A915" s="20" t="s">
        <v>674</v>
      </c>
    </row>
    <row r="916" spans="1:12">
      <c r="A916" s="20" t="s">
        <v>481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203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500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377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 t="s">
        <v>301</v>
      </c>
      <c r="E920" s="21">
        <f>IF(D920="?OLD","!!!","")</f>
        <v/>
      </c>
      <c r="F920" s="22" t="str">
        <f>IF(OR(E920="",E920="!!!"),"",IF(NOT(ISNA(VLOOKUP(E920,E$1:E919,1,FALSE()))),"OLD",IF(AND(E920&lt;&gt;"",E920&lt;&gt;"!!!"),"NEW","")))</f>
        <v> </v>
      </c>
      <c r="G920" s="23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4" t="str">
        <f>IF(J920&lt;&gt;1,"",IF(I920="SBJ","CB","?"))</f>
        <v> </v>
      </c>
      <c r="I920" s="25" t="str">
        <f>IF(OR(E920="",E920="!!!",F920="NEW"),"",INDEX(B919:B$2,-1+SUMPRODUCT(MAX(ROW(E919:E$2)*(E920=E919:E$2)))))</f>
        <v> </v>
      </c>
      <c r="J920" s="25" t="str">
        <f>IF(OR(E920="",E920="!!!",F920="NEW"),"",COUNTBLANK(OFFSET(A$1,,,SUMPRODUCT(MAX(ROW(E$2:E920)*(E920=E$2:E920)))))-COUNTBLANK(OFFSET(A$1,,,SUMPRODUCT(MAX(ROW(E$1:E919)*(E2=E$1:E919))))))</f>
        <v> </v>
      </c>
      <c r="K920" s="25" t="str">
        <f>IF(OR(E920="",E920="!!!",F920="NEW"),"",INDEX(J$1:J919,SUMPRODUCT(MAX(ROW(E$1:E919)*(E920=E$1:E919)))))</f>
        <v> </v>
      </c>
      <c r="L920" s="26"/>
    </row>
    <row r="921" spans="1:12">
      <c r="A921" s="20" t="s">
        <v>565</v>
      </c>
      <c r="B921" s="27" t="s">
        <v>340</v>
      </c>
      <c r="C921" s="27" t="s">
        <v>315</v>
      </c>
      <c r="D921" s="27" t="s">
        <v>294</v>
      </c>
      <c r="E921" s="21">
        <f>IF(D921="?OLD","!!!","")</f>
        <v/>
      </c>
      <c r="F921" s="22" t="str">
        <f>IF(OR(E921="",E921="!!!"),"",IF(NOT(ISNA(VLOOKUP(E921,E$1:E920,1,FALSE()))),"OLD",IF(AND(E921&lt;&gt;"",E921&lt;&gt;"!!!"),"NEW","")))</f>
        <v> </v>
      </c>
      <c r="G921" s="23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4" t="str">
        <f>IF(J921&lt;&gt;1,"",IF(I921="SBJ","CB","?"))</f>
        <v> </v>
      </c>
      <c r="I921" s="25" t="str">
        <f>IF(OR(E921="",E921="!!!",F921="NEW"),"",INDEX(B920:B$2,-1+SUMPRODUCT(MAX(ROW(E920:E$2)*(E921=E920:E$2)))))</f>
        <v> </v>
      </c>
      <c r="J921" s="25" t="str">
        <f>IF(OR(E921="",E921="!!!",F921="NEW"),"",COUNTBLANK(OFFSET(A$1,,,SUMPRODUCT(MAX(ROW(E$2:E921)*(E921=E$2:E921)))))-COUNTBLANK(OFFSET(A$1,,,SUMPRODUCT(MAX(ROW(E$1:E920)*(E2=E$1:E920))))))</f>
        <v> </v>
      </c>
      <c r="K921" s="25" t="str">
        <f>IF(OR(E921="",E921="!!!",F921="NEW"),"",INDEX(J$1:J920,SUMPRODUCT(MAX(ROW(E$1:E920)*(E921=E$1:E920)))))</f>
        <v> </v>
      </c>
      <c r="L921" s="26"/>
    </row>
    <row r="922" spans="1:12">
      <c r="A922" s="20" t="s">
        <v>675</v>
      </c>
      <c r="B922" s="27" t="s">
        <v>303</v>
      </c>
      <c r="C922" s="27" t="s">
        <v>293</v>
      </c>
      <c r="D922" s="27" t="s">
        <v>294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295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331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441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676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336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677</v>
      </c>
      <c r="B928" s="27" t="s">
        <v>292</v>
      </c>
      <c r="C928" s="27" t="s">
        <v>293</v>
      </c>
      <c r="D928" s="27" t="s">
        <v>294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332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67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678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488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679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450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512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680</v>
      </c>
      <c r="B936" s="27" t="s">
        <v>461</v>
      </c>
      <c r="C936" s="27" t="s">
        <v>447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/>
    </row>
    <row r="938" spans="1:12">
      <c r="A938" s="20" t="s">
        <v>681</v>
      </c>
    </row>
    <row r="939" spans="1:12">
      <c r="A939" s="20" t="s">
        <v>682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524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336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476</v>
      </c>
      <c r="B942" s="27" t="s">
        <v>303</v>
      </c>
      <c r="C942" s="27" t="s">
        <v>293</v>
      </c>
      <c r="D942" s="27" t="s">
        <v>294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683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684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295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 t="s">
        <v>684</v>
      </c>
      <c r="E946" s="21">
        <f>IF(D946="?OLD","!!!","")</f>
        <v/>
      </c>
      <c r="F946" s="22" t="str">
        <f>IF(OR(E946="",E946="!!!"),"",IF(NOT(ISNA(VLOOKUP(E946,E$1:E945,1,FALSE()))),"OLD",IF(AND(E946&lt;&gt;"",E946&lt;&gt;"!!!"),"NEW","")))</f>
        <v> </v>
      </c>
      <c r="G946" s="23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4" t="str">
        <f>IF(J946&lt;&gt;1,"",IF(I946="SBJ","CB","?"))</f>
        <v> </v>
      </c>
      <c r="I946" s="25" t="str">
        <f>IF(OR(E946="",E946="!!!",F946="NEW"),"",INDEX(B945:B$2,-1+SUMPRODUCT(MAX(ROW(E945:E$2)*(E946=E945:E$2)))))</f>
        <v> </v>
      </c>
      <c r="J946" s="25" t="str">
        <f>IF(OR(E946="",E946="!!!",F946="NEW"),"",COUNTBLANK(OFFSET(A$1,,,SUMPRODUCT(MAX(ROW(E$2:E946)*(E946=E$2:E946)))))-COUNTBLANK(OFFSET(A$1,,,SUMPRODUCT(MAX(ROW(E$1:E945)*(E2=E$1:E945))))))</f>
        <v> </v>
      </c>
      <c r="K946" s="25" t="str">
        <f>IF(OR(E946="",E946="!!!",F946="NEW"),"",INDEX(J$1:J945,SUMPRODUCT(MAX(ROW(E$1:E945)*(E946=E$1:E945)))))</f>
        <v> </v>
      </c>
      <c r="L946" s="26"/>
    </row>
    <row r="947" spans="1:12">
      <c r="A947" s="20" t="s">
        <v>411</v>
      </c>
      <c r="E947" s="21">
        <f>IF(D947="?OLD","!!!","")</f>
        <v/>
      </c>
      <c r="F947" s="22" t="str">
        <f>IF(OR(E947="",E947="!!!"),"",IF(NOT(ISNA(VLOOKUP(E947,E$1:E946,1,FALSE()))),"OLD",IF(AND(E947&lt;&gt;"",E947&lt;&gt;"!!!"),"NEW","")))</f>
        <v> </v>
      </c>
      <c r="G947" s="23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4" t="str">
        <f>IF(J947&lt;&gt;1,"",IF(I947="SBJ","CB","?"))</f>
        <v> </v>
      </c>
      <c r="I947" s="25" t="str">
        <f>IF(OR(E947="",E947="!!!",F947="NEW"),"",INDEX(B946:B$2,-1+SUMPRODUCT(MAX(ROW(E946:E$2)*(E947=E946:E$2)))))</f>
        <v> </v>
      </c>
      <c r="J947" s="25" t="str">
        <f>IF(OR(E947="",E947="!!!",F947="NEW"),"",COUNTBLANK(OFFSET(A$1,,,SUMPRODUCT(MAX(ROW(E$2:E947)*(E947=E$2:E947)))))-COUNTBLANK(OFFSET(A$1,,,SUMPRODUCT(MAX(ROW(E$1:E946)*(E2=E$1:E946))))))</f>
        <v> </v>
      </c>
      <c r="K947" s="25" t="str">
        <f>IF(OR(E947="",E947="!!!",F947="NEW"),"",INDEX(J$1:J946,SUMPRODUCT(MAX(ROW(E$1:E946)*(E947=E$1:E946)))))</f>
        <v> </v>
      </c>
      <c r="L947" s="26"/>
    </row>
    <row r="948" spans="1:12">
      <c r="A948" s="20" t="s">
        <v>685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295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685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411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336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332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686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687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436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336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 t="s">
        <v>688</v>
      </c>
      <c r="B958" s="27" t="s">
        <v>303</v>
      </c>
      <c r="C958" s="27" t="s">
        <v>293</v>
      </c>
      <c r="D958" s="27" t="s">
        <v>294</v>
      </c>
      <c r="E958" s="21">
        <f>IF(D958="?OLD","!!!","")</f>
        <v/>
      </c>
      <c r="F958" s="22" t="str">
        <f>IF(OR(E958="",E958="!!!"),"",IF(NOT(ISNA(VLOOKUP(E958,E$1:E957,1,FALSE()))),"OLD",IF(AND(E958&lt;&gt;"",E958&lt;&gt;"!!!"),"NEW","")))</f>
        <v> </v>
      </c>
      <c r="G958" s="23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4" t="str">
        <f>IF(J958&lt;&gt;1,"",IF(I958="SBJ","CB","?"))</f>
        <v> </v>
      </c>
      <c r="I958" s="25" t="str">
        <f>IF(OR(E958="",E958="!!!",F958="NEW"),"",INDEX(B957:B$2,-1+SUMPRODUCT(MAX(ROW(E957:E$2)*(E958=E957:E$2)))))</f>
        <v> </v>
      </c>
      <c r="J958" s="25" t="str">
        <f>IF(OR(E958="",E958="!!!",F958="NEW"),"",COUNTBLANK(OFFSET(A$1,,,SUMPRODUCT(MAX(ROW(E$2:E958)*(E958=E$2:E958)))))-COUNTBLANK(OFFSET(A$1,,,SUMPRODUCT(MAX(ROW(E$1:E957)*(E2=E$1:E957))))))</f>
        <v> </v>
      </c>
      <c r="K958" s="25" t="str">
        <f>IF(OR(E958="",E958="!!!",F958="NEW"),"",INDEX(J$1:J957,SUMPRODUCT(MAX(ROW(E$1:E957)*(E958=E$1:E957)))))</f>
        <v> </v>
      </c>
      <c r="L958" s="26"/>
    </row>
    <row r="959" spans="1:12">
      <c r="A959" s="20"/>
    </row>
    <row r="960" spans="1:12">
      <c r="A960" s="20" t="s">
        <v>606</v>
      </c>
    </row>
    <row r="961" spans="1:12">
      <c r="A961" s="20" t="s">
        <v>535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 t="s">
        <v>536</v>
      </c>
      <c r="E962" s="21">
        <f>IF(D962="?OLD","!!!","")</f>
        <v/>
      </c>
      <c r="F962" s="22" t="str">
        <f>IF(OR(E962="",E962="!!!"),"",IF(NOT(ISNA(VLOOKUP(E962,E$1:E961,1,FALSE()))),"OLD",IF(AND(E962&lt;&gt;"",E962&lt;&gt;"!!!"),"NEW","")))</f>
        <v> </v>
      </c>
      <c r="G962" s="23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4" t="str">
        <f>IF(J962&lt;&gt;1,"",IF(I962="SBJ","CB","?"))</f>
        <v> </v>
      </c>
      <c r="I962" s="25" t="str">
        <f>IF(OR(E962="",E962="!!!",F962="NEW"),"",INDEX(B961:B$2,-1+SUMPRODUCT(MAX(ROW(E961:E$2)*(E962=E961:E$2)))))</f>
        <v> </v>
      </c>
      <c r="J962" s="25" t="str">
        <f>IF(OR(E962="",E962="!!!",F962="NEW"),"",COUNTBLANK(OFFSET(A$1,,,SUMPRODUCT(MAX(ROW(E$2:E962)*(E962=E$2:E962)))))-COUNTBLANK(OFFSET(A$1,,,SUMPRODUCT(MAX(ROW(E$1:E961)*(E2=E$1:E961))))))</f>
        <v> </v>
      </c>
      <c r="K962" s="25" t="str">
        <f>IF(OR(E962="",E962="!!!",F962="NEW"),"",INDEX(J$1:J961,SUMPRODUCT(MAX(ROW(E$1:E961)*(E962=E$1:E961)))))</f>
        <v> </v>
      </c>
      <c r="L962" s="26"/>
    </row>
    <row r="963" spans="1:12">
      <c r="A963" s="20" t="s">
        <v>351</v>
      </c>
      <c r="E963" s="21">
        <f>IF(D963="?OLD","!!!","")</f>
        <v/>
      </c>
      <c r="F963" s="22" t="str">
        <f>IF(OR(E963="",E963="!!!"),"",IF(NOT(ISNA(VLOOKUP(E963,E$1:E962,1,FALSE()))),"OLD",IF(AND(E963&lt;&gt;"",E963&lt;&gt;"!!!"),"NEW","")))</f>
        <v> </v>
      </c>
      <c r="G963" s="23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4" t="str">
        <f>IF(J963&lt;&gt;1,"",IF(I963="SBJ","CB","?"))</f>
        <v> </v>
      </c>
      <c r="I963" s="25" t="str">
        <f>IF(OR(E963="",E963="!!!",F963="NEW"),"",INDEX(B962:B$2,-1+SUMPRODUCT(MAX(ROW(E962:E$2)*(E963=E962:E$2)))))</f>
        <v> </v>
      </c>
      <c r="J963" s="25" t="str">
        <f>IF(OR(E963="",E963="!!!",F963="NEW"),"",COUNTBLANK(OFFSET(A$1,,,SUMPRODUCT(MAX(ROW(E$2:E963)*(E963=E$2:E963)))))-COUNTBLANK(OFFSET(A$1,,,SUMPRODUCT(MAX(ROW(E$1:E962)*(E2=E$1:E962))))))</f>
        <v> </v>
      </c>
      <c r="K963" s="25" t="str">
        <f>IF(OR(E963="",E963="!!!",F963="NEW"),"",INDEX(J$1:J962,SUMPRODUCT(MAX(ROW(E$1:E962)*(E963=E$1:E962)))))</f>
        <v> </v>
      </c>
      <c r="L963" s="26"/>
    </row>
    <row r="964" spans="1:12">
      <c r="A964" s="20" t="s">
        <v>537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538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495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/>
    </row>
    <row r="968" spans="1:12">
      <c r="A968" s="20" t="s">
        <v>689</v>
      </c>
    </row>
    <row r="969" spans="1:12">
      <c r="A969" s="20" t="s">
        <v>690</v>
      </c>
      <c r="B969" s="27" t="s">
        <v>303</v>
      </c>
      <c r="C969" s="27" t="s">
        <v>338</v>
      </c>
      <c r="D969" s="27" t="s">
        <v>294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377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223</v>
      </c>
      <c r="B971" s="27" t="s">
        <v>303</v>
      </c>
      <c r="C971" s="27" t="s">
        <v>330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304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691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377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691</v>
      </c>
      <c r="B975" s="27" t="s">
        <v>340</v>
      </c>
      <c r="C975" s="27" t="s">
        <v>330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/>
    </row>
    <row r="977" spans="1:12">
      <c r="A977" s="20" t="s">
        <v>692</v>
      </c>
    </row>
    <row r="978" spans="1:12">
      <c r="A978" s="20" t="s">
        <v>413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483</v>
      </c>
      <c r="B979" s="27" t="s">
        <v>297</v>
      </c>
      <c r="C979" s="27" t="s">
        <v>309</v>
      </c>
      <c r="D979" s="27" t="s">
        <v>294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 t="s">
        <v>382</v>
      </c>
      <c r="B980" s="27" t="s">
        <v>322</v>
      </c>
      <c r="C980" s="27" t="s">
        <v>309</v>
      </c>
      <c r="D980" s="27" t="s">
        <v>294</v>
      </c>
      <c r="E980" s="21">
        <f>IF(D980="?OLD","!!!","")</f>
        <v/>
      </c>
      <c r="F980" s="22" t="str">
        <f>IF(OR(E980="",E980="!!!"),"",IF(NOT(ISNA(VLOOKUP(E980,E$1:E979,1,FALSE()))),"OLD",IF(AND(E980&lt;&gt;"",E980&lt;&gt;"!!!"),"NEW","")))</f>
        <v> </v>
      </c>
      <c r="G980" s="23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4" t="str">
        <f>IF(J980&lt;&gt;1,"",IF(I980="SBJ","CB","?"))</f>
        <v> </v>
      </c>
      <c r="I980" s="25" t="str">
        <f>IF(OR(E980="",E980="!!!",F980="NEW"),"",INDEX(B979:B$2,-1+SUMPRODUCT(MAX(ROW(E979:E$2)*(E980=E979:E$2)))))</f>
        <v> </v>
      </c>
      <c r="J980" s="25" t="str">
        <f>IF(OR(E980="",E980="!!!",F980="NEW"),"",COUNTBLANK(OFFSET(A$1,,,SUMPRODUCT(MAX(ROW(E$2:E980)*(E980=E$2:E980)))))-COUNTBLANK(OFFSET(A$1,,,SUMPRODUCT(MAX(ROW(E$1:E979)*(E2=E$1:E979))))))</f>
        <v> </v>
      </c>
      <c r="K980" s="25" t="str">
        <f>IF(OR(E980="",E980="!!!",F980="NEW"),"",INDEX(J$1:J979,SUMPRODUCT(MAX(ROW(E$1:E979)*(E980=E$1:E979)))))</f>
        <v> </v>
      </c>
      <c r="L980" s="26"/>
    </row>
    <row r="981" spans="1:12">
      <c r="A981" s="20" t="s">
        <v>227</v>
      </c>
      <c r="E981" s="21">
        <f>IF(D981="?OLD","!!!","")</f>
        <v/>
      </c>
      <c r="F981" s="22" t="str">
        <f>IF(OR(E981="",E981="!!!"),"",IF(NOT(ISNA(VLOOKUP(E981,E$1:E980,1,FALSE()))),"OLD",IF(AND(E981&lt;&gt;"",E981&lt;&gt;"!!!"),"NEW","")))</f>
        <v> </v>
      </c>
      <c r="G981" s="23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4" t="str">
        <f>IF(J981&lt;&gt;1,"",IF(I981="SBJ","CB","?"))</f>
        <v> </v>
      </c>
      <c r="I981" s="25" t="str">
        <f>IF(OR(E981="",E981="!!!",F981="NEW"),"",INDEX(B980:B$2,-1+SUMPRODUCT(MAX(ROW(E980:E$2)*(E981=E980:E$2)))))</f>
        <v> </v>
      </c>
      <c r="J981" s="25" t="str">
        <f>IF(OR(E981="",E981="!!!",F981="NEW"),"",COUNTBLANK(OFFSET(A$1,,,SUMPRODUCT(MAX(ROW(E$2:E981)*(E981=E$2:E981)))))-COUNTBLANK(OFFSET(A$1,,,SUMPRODUCT(MAX(ROW(E$1:E980)*(E2=E$1:E980))))))</f>
        <v> </v>
      </c>
      <c r="K981" s="25" t="str">
        <f>IF(OR(E981="",E981="!!!",F981="NEW"),"",INDEX(J$1:J980,SUMPRODUCT(MAX(ROW(E$1:E980)*(E981=E$1:E980)))))</f>
        <v> </v>
      </c>
      <c r="L981" s="26"/>
    </row>
    <row r="982" spans="1:12">
      <c r="A982" s="20" t="s">
        <v>332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441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693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306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336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694</v>
      </c>
      <c r="B987" s="27" t="s">
        <v>303</v>
      </c>
      <c r="C987" s="27" t="s">
        <v>293</v>
      </c>
      <c r="D987" s="27" t="s">
        <v>294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411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/>
    </row>
    <row r="990" spans="1:12">
      <c r="A990" s="20" t="s">
        <v>695</v>
      </c>
    </row>
    <row r="991" spans="1:12">
      <c r="A991" s="20" t="s">
        <v>696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414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511</v>
      </c>
      <c r="B993" s="27" t="s">
        <v>334</v>
      </c>
      <c r="C993" s="27" t="s">
        <v>429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569</v>
      </c>
      <c r="B994" s="27" t="s">
        <v>314</v>
      </c>
      <c r="C994" s="27" t="s">
        <v>309</v>
      </c>
      <c r="D994" s="27" t="s">
        <v>294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697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301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698</v>
      </c>
      <c r="B997" s="27" t="s">
        <v>292</v>
      </c>
      <c r="C997" s="27" t="s">
        <v>293</v>
      </c>
      <c r="D997" s="27" t="s">
        <v>294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633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295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594</v>
      </c>
      <c r="B1000" s="27" t="s">
        <v>297</v>
      </c>
      <c r="C1000" s="27" t="s">
        <v>309</v>
      </c>
      <c r="D1000" s="27" t="s">
        <v>294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699</v>
      </c>
      <c r="B1001" s="27" t="s">
        <v>340</v>
      </c>
      <c r="C1001" s="27" t="s">
        <v>330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 t="s">
        <v>516</v>
      </c>
      <c r="E1002" s="21">
        <f>IF(D1002="?OLD","!!!","")</f>
        <v/>
      </c>
      <c r="F1002" s="22" t="str">
        <f>IF(OR(E1002="",E1002="!!!"),"",IF(NOT(ISNA(VLOOKUP(E1002,E$1:E1001,1,FALSE()))),"OLD",IF(AND(E1002&lt;&gt;"",E1002&lt;&gt;"!!!"),"NEW","")))</f>
        <v> </v>
      </c>
      <c r="G1002" s="23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4" t="str">
        <f>IF(J1002&lt;&gt;1,"",IF(I1002="SBJ","CB","?"))</f>
        <v> </v>
      </c>
      <c r="I1002" s="25" t="str">
        <f>IF(OR(E1002="",E1002="!!!",F1002="NEW"),"",INDEX(B1001:B$2,-1+SUMPRODUCT(MAX(ROW(E1001:E$2)*(E1002=E1001:E$2)))))</f>
        <v> </v>
      </c>
      <c r="J1002" s="25" t="str">
        <f>IF(OR(E1002="",E1002="!!!",F1002="NEW"),"",COUNTBLANK(OFFSET(A$1,,,SUMPRODUCT(MAX(ROW(E$2:E1002)*(E1002=E$2:E1002)))))-COUNTBLANK(OFFSET(A$1,,,SUMPRODUCT(MAX(ROW(E$1:E1001)*(E2=E$1:E1001))))))</f>
        <v> </v>
      </c>
      <c r="K1002" s="25" t="str">
        <f>IF(OR(E1002="",E1002="!!!",F1002="NEW"),"",INDEX(J$1:J1001,SUMPRODUCT(MAX(ROW(E$1:E1001)*(E1002=E$1:E1001)))))</f>
        <v> </v>
      </c>
      <c r="L1002" s="26"/>
    </row>
    <row r="1003" spans="1:12">
      <c r="A1003" s="20" t="s">
        <v>428</v>
      </c>
      <c r="E1003" s="21">
        <f>IF(D1003="?OLD","!!!","")</f>
        <v/>
      </c>
      <c r="F1003" s="22" t="str">
        <f>IF(OR(E1003="",E1003="!!!"),"",IF(NOT(ISNA(VLOOKUP(E1003,E$1:E1002,1,FALSE()))),"OLD",IF(AND(E1003&lt;&gt;"",E1003&lt;&gt;"!!!"),"NEW","")))</f>
        <v> </v>
      </c>
      <c r="G1003" s="23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4" t="str">
        <f>IF(J1003&lt;&gt;1,"",IF(I1003="SBJ","CB","?"))</f>
        <v> </v>
      </c>
      <c r="I1003" s="25" t="str">
        <f>IF(OR(E1003="",E1003="!!!",F1003="NEW"),"",INDEX(B1002:B$2,-1+SUMPRODUCT(MAX(ROW(E1002:E$2)*(E1003=E1002:E$2)))))</f>
        <v> </v>
      </c>
      <c r="J1003" s="25" t="str">
        <f>IF(OR(E1003="",E1003="!!!",F1003="NEW"),"",COUNTBLANK(OFFSET(A$1,,,SUMPRODUCT(MAX(ROW(E$2:E1003)*(E1003=E$2:E1003)))))-COUNTBLANK(OFFSET(A$1,,,SUMPRODUCT(MAX(ROW(E$1:E1002)*(E2=E$1:E1002))))))</f>
        <v> </v>
      </c>
      <c r="K1003" s="25" t="str">
        <f>IF(OR(E1003="",E1003="!!!",F1003="NEW"),"",INDEX(J$1:J1002,SUMPRODUCT(MAX(ROW(E$1:E1002)*(E1003=E$1:E1002)))))</f>
        <v> </v>
      </c>
      <c r="L1003" s="26"/>
    </row>
    <row r="1004" spans="1:12">
      <c r="A1004" s="20" t="s">
        <v>700</v>
      </c>
      <c r="B1004" s="27" t="s">
        <v>303</v>
      </c>
      <c r="C1004" s="27" t="s">
        <v>429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/>
    </row>
    <row r="1006" spans="1:12">
      <c r="A1006" s="20" t="s">
        <v>701</v>
      </c>
    </row>
    <row r="1007" spans="1:12">
      <c r="A1007" s="20" t="s">
        <v>304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306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541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569</v>
      </c>
      <c r="B1010" s="27" t="s">
        <v>355</v>
      </c>
      <c r="C1010" s="27" t="s">
        <v>309</v>
      </c>
      <c r="D1010" s="27" t="s">
        <v>294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702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703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328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545</v>
      </c>
      <c r="B1014" s="27" t="s">
        <v>314</v>
      </c>
      <c r="C1014" s="27" t="s">
        <v>330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377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704</v>
      </c>
      <c r="B1016" s="27" t="s">
        <v>314</v>
      </c>
      <c r="C1016" s="27" t="s">
        <v>330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301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705</v>
      </c>
      <c r="B1018" s="27" t="s">
        <v>355</v>
      </c>
      <c r="C1018" s="27" t="s">
        <v>293</v>
      </c>
      <c r="D1018" s="27" t="s">
        <v>294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295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594</v>
      </c>
      <c r="B1020" s="27" t="s">
        <v>297</v>
      </c>
      <c r="C1020" s="27" t="s">
        <v>309</v>
      </c>
      <c r="D1020" s="27" t="s">
        <v>294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576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516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 t="s">
        <v>336</v>
      </c>
      <c r="E1023" s="21">
        <f>IF(D1023="?OLD","!!!","")</f>
        <v/>
      </c>
      <c r="F1023" s="22" t="str">
        <f>IF(OR(E1023="",E1023="!!!"),"",IF(NOT(ISNA(VLOOKUP(E1023,E$1:E1022,1,FALSE()))),"OLD",IF(AND(E1023&lt;&gt;"",E1023&lt;&gt;"!!!"),"NEW","")))</f>
        <v> </v>
      </c>
      <c r="G1023" s="23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4" t="str">
        <f>IF(J1023&lt;&gt;1,"",IF(I1023="SBJ","CB","?"))</f>
        <v> </v>
      </c>
      <c r="I1023" s="25" t="str">
        <f>IF(OR(E1023="",E1023="!!!",F1023="NEW"),"",INDEX(B1022:B$2,-1+SUMPRODUCT(MAX(ROW(E1022:E$2)*(E1023=E1022:E$2)))))</f>
        <v> </v>
      </c>
      <c r="J1023" s="25" t="str">
        <f>IF(OR(E1023="",E1023="!!!",F1023="NEW"),"",COUNTBLANK(OFFSET(A$1,,,SUMPRODUCT(MAX(ROW(E$2:E1023)*(E1023=E$2:E1023)))))-COUNTBLANK(OFFSET(A$1,,,SUMPRODUCT(MAX(ROW(E$1:E1022)*(E2=E$1:E1022))))))</f>
        <v> </v>
      </c>
      <c r="K1023" s="25" t="str">
        <f>IF(OR(E1023="",E1023="!!!",F1023="NEW"),"",INDEX(J$1:J1022,SUMPRODUCT(MAX(ROW(E$1:E1022)*(E1023=E$1:E1022)))))</f>
        <v> </v>
      </c>
      <c r="L1023" s="26"/>
    </row>
    <row r="1024" spans="1:12">
      <c r="A1024" s="20" t="s">
        <v>706</v>
      </c>
      <c r="B1024" s="27" t="s">
        <v>322</v>
      </c>
      <c r="C1024" s="27" t="s">
        <v>293</v>
      </c>
      <c r="D1024" s="27" t="s">
        <v>294</v>
      </c>
      <c r="E1024" s="21">
        <f>IF(D1024="?OLD","!!!","")</f>
        <v/>
      </c>
      <c r="F1024" s="22" t="str">
        <f>IF(OR(E1024="",E1024="!!!"),"",IF(NOT(ISNA(VLOOKUP(E1024,E$1:E1023,1,FALSE()))),"OLD",IF(AND(E1024&lt;&gt;"",E1024&lt;&gt;"!!!"),"NEW","")))</f>
        <v> </v>
      </c>
      <c r="G1024" s="23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4" t="str">
        <f>IF(J1024&lt;&gt;1,"",IF(I1024="SBJ","CB","?"))</f>
        <v> </v>
      </c>
      <c r="I1024" s="25" t="str">
        <f>IF(OR(E1024="",E1024="!!!",F1024="NEW"),"",INDEX(B1023:B$2,-1+SUMPRODUCT(MAX(ROW(E1023:E$2)*(E1024=E1023:E$2)))))</f>
        <v> </v>
      </c>
      <c r="J1024" s="25" t="str">
        <f>IF(OR(E1024="",E1024="!!!",F1024="NEW"),"",COUNTBLANK(OFFSET(A$1,,,SUMPRODUCT(MAX(ROW(E$2:E1024)*(E1024=E$2:E1024)))))-COUNTBLANK(OFFSET(A$1,,,SUMPRODUCT(MAX(ROW(E$1:E1023)*(E2=E$1:E1023))))))</f>
        <v> </v>
      </c>
      <c r="K1024" s="25" t="str">
        <f>IF(OR(E1024="",E1024="!!!",F1024="NEW"),"",INDEX(J$1:J1023,SUMPRODUCT(MAX(ROW(E$1:E1023)*(E1024=E$1:E1023)))))</f>
        <v> </v>
      </c>
      <c r="L1024" s="26"/>
    </row>
    <row r="1025" spans="1:12">
      <c r="A1025" s="20"/>
    </row>
    <row r="1026" spans="1:12">
      <c r="A1026" s="20" t="s">
        <v>707</v>
      </c>
    </row>
    <row r="1027" spans="1:12">
      <c r="A1027" s="20" t="s">
        <v>631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414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511</v>
      </c>
      <c r="B1029" s="27" t="s">
        <v>334</v>
      </c>
      <c r="C1029" s="27" t="s">
        <v>429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569</v>
      </c>
      <c r="B1030" s="27" t="s">
        <v>292</v>
      </c>
      <c r="C1030" s="27" t="s">
        <v>309</v>
      </c>
      <c r="D1030" s="27" t="s">
        <v>294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708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306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264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450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709</v>
      </c>
      <c r="B1035" s="27" t="s">
        <v>355</v>
      </c>
      <c r="C1035" s="27" t="s">
        <v>447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295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594</v>
      </c>
      <c r="B1037" s="27" t="s">
        <v>297</v>
      </c>
      <c r="C1037" s="27" t="s">
        <v>309</v>
      </c>
      <c r="D1037" s="27" t="s">
        <v>294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238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417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590</v>
      </c>
      <c r="B1040" s="27" t="s">
        <v>303</v>
      </c>
      <c r="C1040" s="27" t="s">
        <v>309</v>
      </c>
      <c r="D1040" s="27" t="s">
        <v>294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710</v>
      </c>
      <c r="B1041" s="27" t="s">
        <v>322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/>
    </row>
    <row r="1043" spans="1:12">
      <c r="A1043" s="20" t="s">
        <v>711</v>
      </c>
    </row>
    <row r="1044" spans="1:12">
      <c r="A1044" s="20" t="s">
        <v>712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306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541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569</v>
      </c>
      <c r="B1047" s="27" t="s">
        <v>355</v>
      </c>
      <c r="C1047" s="27" t="s">
        <v>309</v>
      </c>
      <c r="D1047" s="27" t="s">
        <v>294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713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304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306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541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714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436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574</v>
      </c>
      <c r="B1054" s="27" t="s">
        <v>357</v>
      </c>
      <c r="C1054" s="27" t="s">
        <v>309</v>
      </c>
      <c r="D1054" s="27" t="s">
        <v>294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450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715</v>
      </c>
      <c r="B1056" s="27" t="s">
        <v>461</v>
      </c>
      <c r="C1056" s="27" t="s">
        <v>447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441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716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290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717</v>
      </c>
      <c r="B1060" s="27" t="s">
        <v>292</v>
      </c>
      <c r="C1060" s="27" t="s">
        <v>293</v>
      </c>
      <c r="D1060" s="27" t="s">
        <v>294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/>
    </row>
    <row r="1062" spans="1:12">
      <c r="A1062" s="20" t="s">
        <v>606</v>
      </c>
    </row>
    <row r="1063" spans="1:12">
      <c r="A1063" s="20" t="s">
        <v>535</v>
      </c>
      <c r="E1063" s="21">
        <f>IF(D1063="?OLD","!!!","")</f>
        <v/>
      </c>
      <c r="F1063" s="22" t="str">
        <f>IF(OR(E1063="",E1063="!!!"),"",IF(NOT(ISNA(VLOOKUP(E1063,E$1:E1062,1,FALSE()))),"OLD",IF(AND(E1063&lt;&gt;"",E1063&lt;&gt;"!!!"),"NEW","")))</f>
        <v> </v>
      </c>
      <c r="G1063" s="23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4" t="str">
        <f>IF(J1063&lt;&gt;1,"",IF(I1063="SBJ","CB","?"))</f>
        <v> </v>
      </c>
      <c r="I1063" s="25" t="str">
        <f>IF(OR(E1063="",E1063="!!!",F1063="NEW"),"",INDEX(B1062:B$2,-1+SUMPRODUCT(MAX(ROW(E1062:E$2)*(E1063=E1062:E$2)))))</f>
        <v> </v>
      </c>
      <c r="J1063" s="25" t="str">
        <f>IF(OR(E1063="",E1063="!!!",F1063="NEW"),"",COUNTBLANK(OFFSET(A$1,,,SUMPRODUCT(MAX(ROW(E$2:E1063)*(E1063=E$2:E1063)))))-COUNTBLANK(OFFSET(A$1,,,SUMPRODUCT(MAX(ROW(E$1:E1062)*(E2=E$1:E1062))))))</f>
        <v> </v>
      </c>
      <c r="K1063" s="25" t="str">
        <f>IF(OR(E1063="",E1063="!!!",F1063="NEW"),"",INDEX(J$1:J1062,SUMPRODUCT(MAX(ROW(E$1:E1062)*(E1063=E$1:E1062)))))</f>
        <v> </v>
      </c>
      <c r="L1063" s="26"/>
    </row>
    <row r="1064" spans="1:12">
      <c r="A1064" s="20" t="s">
        <v>536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351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537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538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495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/>
    </row>
    <row r="1070" spans="1:12">
      <c r="A1070" s="20" t="s">
        <v>718</v>
      </c>
    </row>
    <row r="1071" spans="1:12">
      <c r="A1071" s="20" t="s">
        <v>719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336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571</v>
      </c>
      <c r="B1073" s="27" t="s">
        <v>322</v>
      </c>
      <c r="C1073" s="27" t="s">
        <v>293</v>
      </c>
      <c r="D1073" s="27" t="s">
        <v>294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720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304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721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 t="s">
        <v>336</v>
      </c>
      <c r="E1077" s="21">
        <f>IF(D1077="?OLD","!!!","")</f>
        <v/>
      </c>
      <c r="F1077" s="22" t="str">
        <f>IF(OR(E1077="",E1077="!!!"),"",IF(NOT(ISNA(VLOOKUP(E1077,E$1:E1076,1,FALSE()))),"OLD",IF(AND(E1077&lt;&gt;"",E1077&lt;&gt;"!!!"),"NEW","")))</f>
        <v> </v>
      </c>
      <c r="G1077" s="23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4" t="str">
        <f>IF(J1077&lt;&gt;1,"",IF(I1077="SBJ","CB","?"))</f>
        <v> </v>
      </c>
      <c r="I1077" s="25" t="str">
        <f>IF(OR(E1077="",E1077="!!!",F1077="NEW"),"",INDEX(B1076:B$2,-1+SUMPRODUCT(MAX(ROW(E1076:E$2)*(E1077=E1076:E$2)))))</f>
        <v> </v>
      </c>
      <c r="J1077" s="25" t="str">
        <f>IF(OR(E1077="",E1077="!!!",F1077="NEW"),"",COUNTBLANK(OFFSET(A$1,,,SUMPRODUCT(MAX(ROW(E$2:E1077)*(E1077=E$2:E1077)))))-COUNTBLANK(OFFSET(A$1,,,SUMPRODUCT(MAX(ROW(E$1:E1076)*(E2=E$1:E1076))))))</f>
        <v> </v>
      </c>
      <c r="K1077" s="25" t="str">
        <f>IF(OR(E1077="",E1077="!!!",F1077="NEW"),"",INDEX(J$1:J1076,SUMPRODUCT(MAX(ROW(E$1:E1076)*(E1077=E$1:E1076)))))</f>
        <v> </v>
      </c>
      <c r="L1077" s="26"/>
    </row>
    <row r="1078" spans="1:12">
      <c r="A1078" s="20" t="s">
        <v>571</v>
      </c>
      <c r="B1078" s="27" t="s">
        <v>314</v>
      </c>
      <c r="C1078" s="27" t="s">
        <v>315</v>
      </c>
      <c r="D1078" s="27" t="s">
        <v>294</v>
      </c>
      <c r="E1078" s="21">
        <f>IF(D1078="?OLD","!!!","")</f>
        <v/>
      </c>
      <c r="F1078" s="22" t="str">
        <f>IF(OR(E1078="",E1078="!!!"),"",IF(NOT(ISNA(VLOOKUP(E1078,E$1:E1077,1,FALSE()))),"OLD",IF(AND(E1078&lt;&gt;"",E1078&lt;&gt;"!!!"),"NEW","")))</f>
        <v> </v>
      </c>
      <c r="G1078" s="23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4" t="str">
        <f>IF(J1078&lt;&gt;1,"",IF(I1078="SBJ","CB","?"))</f>
        <v> </v>
      </c>
      <c r="I1078" s="25" t="str">
        <f>IF(OR(E1078="",E1078="!!!",F1078="NEW"),"",INDEX(B1077:B$2,-1+SUMPRODUCT(MAX(ROW(E1077:E$2)*(E1078=E1077:E$2)))))</f>
        <v> </v>
      </c>
      <c r="J1078" s="25" t="str">
        <f>IF(OR(E1078="",E1078="!!!",F1078="NEW"),"",COUNTBLANK(OFFSET(A$1,,,SUMPRODUCT(MAX(ROW(E$2:E1078)*(E1078=E$2:E1078)))))-COUNTBLANK(OFFSET(A$1,,,SUMPRODUCT(MAX(ROW(E$1:E1077)*(E2=E$1:E1077))))))</f>
        <v> </v>
      </c>
      <c r="K1078" s="25" t="str">
        <f>IF(OR(E1078="",E1078="!!!",F1078="NEW"),"",INDEX(J$1:J1077,SUMPRODUCT(MAX(ROW(E$1:E1077)*(E1078=E$1:E1077)))))</f>
        <v> </v>
      </c>
      <c r="L1078" s="26"/>
    </row>
    <row r="1079" spans="1:12">
      <c r="A1079" s="20" t="s">
        <v>722</v>
      </c>
      <c r="B1079" s="27" t="s">
        <v>292</v>
      </c>
      <c r="C1079" s="27" t="s">
        <v>293</v>
      </c>
      <c r="D1079" s="27" t="s">
        <v>294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/>
    </row>
    <row r="1081" spans="1:12">
      <c r="A1081" s="20" t="s">
        <v>609</v>
      </c>
    </row>
    <row r="1082" spans="1:12">
      <c r="A1082" s="20" t="s">
        <v>413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483</v>
      </c>
      <c r="B1083" s="27" t="s">
        <v>297</v>
      </c>
      <c r="C1083" s="27" t="s">
        <v>309</v>
      </c>
      <c r="D1083" s="27" t="s">
        <v>294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382</v>
      </c>
      <c r="B1084" s="27" t="s">
        <v>322</v>
      </c>
      <c r="C1084" s="27" t="s">
        <v>309</v>
      </c>
      <c r="D1084" s="27" t="s">
        <v>294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227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495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/>
    </row>
    <row r="1088" spans="1:12">
      <c r="A1088" s="20" t="s">
        <v>723</v>
      </c>
    </row>
    <row r="1089" spans="1:12">
      <c r="A1089" s="20" t="s">
        <v>724</v>
      </c>
      <c r="E1089" s="21">
        <f>IF(D1089="?OLD","!!!","")</f>
        <v/>
      </c>
      <c r="F1089" s="22" t="str">
        <f>IF(OR(E1089="",E1089="!!!"),"",IF(NOT(ISNA(VLOOKUP(E1089,E$1:E1088,1,FALSE()))),"OLD",IF(AND(E1089&lt;&gt;"",E1089&lt;&gt;"!!!"),"NEW","")))</f>
        <v> </v>
      </c>
      <c r="G1089" s="23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4" t="str">
        <f>IF(J1089&lt;&gt;1,"",IF(I1089="SBJ","CB","?"))</f>
        <v> </v>
      </c>
      <c r="I1089" s="25" t="str">
        <f>IF(OR(E1089="",E1089="!!!",F1089="NEW"),"",INDEX(B1088:B$2,-1+SUMPRODUCT(MAX(ROW(E1088:E$2)*(E1089=E1088:E$2)))))</f>
        <v> </v>
      </c>
      <c r="J1089" s="25" t="str">
        <f>IF(OR(E1089="",E1089="!!!",F1089="NEW"),"",COUNTBLANK(OFFSET(A$1,,,SUMPRODUCT(MAX(ROW(E$2:E1089)*(E1089=E$2:E1089)))))-COUNTBLANK(OFFSET(A$1,,,SUMPRODUCT(MAX(ROW(E$1:E1088)*(E2=E$1:E1088))))))</f>
        <v> </v>
      </c>
      <c r="K1089" s="25" t="str">
        <f>IF(OR(E1089="",E1089="!!!",F1089="NEW"),"",INDEX(J$1:J1088,SUMPRODUCT(MAX(ROW(E$1:E1088)*(E1089=E$1:E1088)))))</f>
        <v> </v>
      </c>
      <c r="L1089" s="26"/>
    </row>
    <row r="1090" spans="1:12">
      <c r="A1090" s="20" t="s">
        <v>312</v>
      </c>
      <c r="E1090" s="21">
        <f>IF(D1090="?OLD","!!!","")</f>
        <v/>
      </c>
      <c r="F1090" s="22" t="str">
        <f>IF(OR(E1090="",E1090="!!!"),"",IF(NOT(ISNA(VLOOKUP(E1090,E$1:E1089,1,FALSE()))),"OLD",IF(AND(E1090&lt;&gt;"",E1090&lt;&gt;"!!!"),"NEW","")))</f>
        <v> </v>
      </c>
      <c r="G1090" s="23" t="str">
        <f>IF(OR(E1090="",E1090="!!!"),"",IF(OR(J1090=0,AND(J1090=1,K1090=1),AND(J1090=1,I1090="SBJ"),AND(J1090=1,I1090=0)),"?IN_FOCUS",IF(J1090&lt;=2,"?ACTIVATED",IF(J1090&lt;&gt;"","?FAMILIAR",IF(F1090="NEW",IF(ISNA(VLOOKUP(E1090,#REF!,1,FALSE())),"?TYPE_IDENTIFIABLE","?REFERENTIAL"),"_")))))</f>
        <v> </v>
      </c>
      <c r="H1090" s="24" t="str">
        <f>IF(J1090&lt;&gt;1,"",IF(I1090="SBJ","CB","?"))</f>
        <v> </v>
      </c>
      <c r="I1090" s="25" t="str">
        <f>IF(OR(E1090="",E1090="!!!",F1090="NEW"),"",INDEX(B1089:B$2,-1+SUMPRODUCT(MAX(ROW(E1089:E$2)*(E1090=E1089:E$2)))))</f>
        <v> </v>
      </c>
      <c r="J1090" s="25" t="str">
        <f>IF(OR(E1090="",E1090="!!!",F1090="NEW"),"",COUNTBLANK(OFFSET(A$1,,,SUMPRODUCT(MAX(ROW(E$2:E1090)*(E1090=E$2:E1090)))))-COUNTBLANK(OFFSET(A$1,,,SUMPRODUCT(MAX(ROW(E$1:E1089)*(E2=E$1:E1089))))))</f>
        <v> </v>
      </c>
      <c r="K1090" s="25" t="str">
        <f>IF(OR(E1090="",E1090="!!!",F1090="NEW"),"",INDEX(J$1:J1089,SUMPRODUCT(MAX(ROW(E$1:E1089)*(E1090=E$1:E1089)))))</f>
        <v> </v>
      </c>
      <c r="L1090" s="26"/>
    </row>
    <row r="1091" spans="1:12">
      <c r="A1091" s="20" t="s">
        <v>725</v>
      </c>
      <c r="B1091" s="27" t="s">
        <v>340</v>
      </c>
      <c r="C1091" s="27" t="s">
        <v>315</v>
      </c>
      <c r="D1091" s="27" t="s">
        <v>294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726</v>
      </c>
      <c r="B1092" s="27" t="s">
        <v>322</v>
      </c>
      <c r="C1092" s="27" t="s">
        <v>293</v>
      </c>
      <c r="D1092" s="27" t="s">
        <v>294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304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727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377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312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725</v>
      </c>
      <c r="B1097" s="27" t="s">
        <v>314</v>
      </c>
      <c r="C1097" s="27" t="s">
        <v>315</v>
      </c>
      <c r="D1097" s="27" t="s">
        <v>294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728</v>
      </c>
      <c r="B1098" s="27" t="s">
        <v>340</v>
      </c>
      <c r="C1098" s="27" t="s">
        <v>293</v>
      </c>
      <c r="D1098" s="27" t="s">
        <v>294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/>
    </row>
    <row r="1100" spans="1:12">
      <c r="A1100" s="20" t="s">
        <v>729</v>
      </c>
    </row>
    <row r="1101" spans="1:12">
      <c r="A1101" s="20" t="s">
        <v>331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730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374</v>
      </c>
      <c r="B1103" s="27" t="s">
        <v>322</v>
      </c>
      <c r="C1103" s="27" t="s">
        <v>338</v>
      </c>
      <c r="D1103" s="27" t="s">
        <v>294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332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 t="s">
        <v>336</v>
      </c>
      <c r="E1105" s="21">
        <f>IF(D1105="?OLD","!!!","")</f>
        <v/>
      </c>
      <c r="F1105" s="22" t="str">
        <f>IF(OR(E1105="",E1105="!!!"),"",IF(NOT(ISNA(VLOOKUP(E1105,E$1:E1104,1,FALSE()))),"OLD",IF(AND(E1105&lt;&gt;"",E1105&lt;&gt;"!!!"),"NEW","")))</f>
        <v> </v>
      </c>
      <c r="G1105" s="23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4" t="str">
        <f>IF(J1105&lt;&gt;1,"",IF(I1105="SBJ","CB","?"))</f>
        <v> </v>
      </c>
      <c r="I1105" s="25" t="str">
        <f>IF(OR(E1105="",E1105="!!!",F1105="NEW"),"",INDEX(B1104:B$2,-1+SUMPRODUCT(MAX(ROW(E1104:E$2)*(E1105=E1104:E$2)))))</f>
        <v> </v>
      </c>
      <c r="J1105" s="25" t="str">
        <f>IF(OR(E1105="",E1105="!!!",F1105="NEW"),"",COUNTBLANK(OFFSET(A$1,,,SUMPRODUCT(MAX(ROW(E$2:E1105)*(E1105=E$2:E1105)))))-COUNTBLANK(OFFSET(A$1,,,SUMPRODUCT(MAX(ROW(E$1:E1104)*(E2=E$1:E1104))))))</f>
        <v> </v>
      </c>
      <c r="K1105" s="25" t="str">
        <f>IF(OR(E1105="",E1105="!!!",F1105="NEW"),"",INDEX(J$1:J1104,SUMPRODUCT(MAX(ROW(E$1:E1104)*(E1105=E$1:E1104)))))</f>
        <v> </v>
      </c>
      <c r="L1105" s="26"/>
    </row>
    <row r="1106" spans="1:12">
      <c r="A1106" s="20" t="s">
        <v>477</v>
      </c>
      <c r="B1106" s="27" t="s">
        <v>340</v>
      </c>
      <c r="C1106" s="27" t="s">
        <v>293</v>
      </c>
      <c r="D1106" s="27" t="s">
        <v>294</v>
      </c>
      <c r="E1106" s="21">
        <f>IF(D1106="?OLD","!!!","")</f>
        <v/>
      </c>
      <c r="F1106" s="22" t="str">
        <f>IF(OR(E1106="",E1106="!!!"),"",IF(NOT(ISNA(VLOOKUP(E1106,E$1:E1105,1,FALSE()))),"OLD",IF(AND(E1106&lt;&gt;"",E1106&lt;&gt;"!!!"),"NEW","")))</f>
        <v> </v>
      </c>
      <c r="G1106" s="23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4" t="str">
        <f>IF(J1106&lt;&gt;1,"",IF(I1106="SBJ","CB","?"))</f>
        <v> </v>
      </c>
      <c r="I1106" s="25" t="str">
        <f>IF(OR(E1106="",E1106="!!!",F1106="NEW"),"",INDEX(B1105:B$2,-1+SUMPRODUCT(MAX(ROW(E1105:E$2)*(E1106=E1105:E$2)))))</f>
        <v> </v>
      </c>
      <c r="J1106" s="25" t="str">
        <f>IF(OR(E1106="",E1106="!!!",F1106="NEW"),"",COUNTBLANK(OFFSET(A$1,,,SUMPRODUCT(MAX(ROW(E$2:E1106)*(E1106=E$2:E1106)))))-COUNTBLANK(OFFSET(A$1,,,SUMPRODUCT(MAX(ROW(E$1:E1105)*(E2=E$1:E1105))))))</f>
        <v> </v>
      </c>
      <c r="K1106" s="25" t="str">
        <f>IF(OR(E1106="",E1106="!!!",F1106="NEW"),"",INDEX(J$1:J1105,SUMPRODUCT(MAX(ROW(E$1:E1105)*(E1106=E$1:E1105)))))</f>
        <v> </v>
      </c>
      <c r="L1106" s="26"/>
    </row>
    <row r="1107" spans="1:12">
      <c r="A1107" s="20" t="s">
        <v>476</v>
      </c>
      <c r="B1107" s="27" t="s">
        <v>314</v>
      </c>
      <c r="C1107" s="27" t="s">
        <v>315</v>
      </c>
      <c r="D1107" s="27" t="s">
        <v>294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731</v>
      </c>
      <c r="B1108" s="27" t="s">
        <v>340</v>
      </c>
      <c r="C1108" s="27" t="s">
        <v>391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295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351</v>
      </c>
      <c r="B1110" s="27" t="s">
        <v>636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732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733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336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617</v>
      </c>
      <c r="B1114" s="27" t="s">
        <v>466</v>
      </c>
      <c r="C1114" s="27" t="s">
        <v>315</v>
      </c>
      <c r="D1114" s="27" t="s">
        <v>294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734</v>
      </c>
      <c r="B1115" s="27" t="s">
        <v>735</v>
      </c>
      <c r="C1115" s="27" t="s">
        <v>293</v>
      </c>
      <c r="D1115" s="27" t="s">
        <v>294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449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312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736</v>
      </c>
      <c r="B1118" s="27" t="s">
        <v>359</v>
      </c>
      <c r="C1118" s="27" t="s">
        <v>293</v>
      </c>
      <c r="D1118" s="27" t="s">
        <v>294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304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449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312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737</v>
      </c>
      <c r="B1122" s="27" t="s">
        <v>466</v>
      </c>
      <c r="C1122" s="27" t="s">
        <v>293</v>
      </c>
      <c r="D1122" s="27" t="s">
        <v>294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295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304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732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738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449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312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739</v>
      </c>
      <c r="B1129" s="27" t="s">
        <v>314</v>
      </c>
      <c r="C1129" s="27" t="s">
        <v>293</v>
      </c>
      <c r="D1129" s="27" t="s">
        <v>294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304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449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 t="s">
        <v>308</v>
      </c>
      <c r="E1132" s="21">
        <f>IF(D1132="?OLD","!!!","")</f>
        <v/>
      </c>
      <c r="F1132" s="22" t="str">
        <f>IF(OR(E1132="",E1132="!!!"),"",IF(NOT(ISNA(VLOOKUP(E1132,E$1:E1131,1,FALSE()))),"OLD",IF(AND(E1132&lt;&gt;"",E1132&lt;&gt;"!!!"),"NEW","")))</f>
        <v> </v>
      </c>
      <c r="G1132" s="23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4" t="str">
        <f>IF(J1132&lt;&gt;1,"",IF(I1132="SBJ","CB","?"))</f>
        <v> </v>
      </c>
      <c r="I1132" s="25" t="str">
        <f>IF(OR(E1132="",E1132="!!!",F1132="NEW"),"",INDEX(B1131:B$2,-1+SUMPRODUCT(MAX(ROW(E1131:E$2)*(E1132=E1131:E$2)))))</f>
        <v> </v>
      </c>
      <c r="J1132" s="25" t="str">
        <f>IF(OR(E1132="",E1132="!!!",F1132="NEW"),"",COUNTBLANK(OFFSET(A$1,,,SUMPRODUCT(MAX(ROW(E$2:E1132)*(E1132=E$2:E1132)))))-COUNTBLANK(OFFSET(A$1,,,SUMPRODUCT(MAX(ROW(E$1:E1131)*(E2=E$1:E1131))))))</f>
        <v> </v>
      </c>
      <c r="K1132" s="25" t="str">
        <f>IF(OR(E1132="",E1132="!!!",F1132="NEW"),"",INDEX(J$1:J1131,SUMPRODUCT(MAX(ROW(E$1:E1131)*(E1132=E$1:E1131)))))</f>
        <v> </v>
      </c>
      <c r="L1132" s="26"/>
    </row>
    <row r="1133" spans="1:12">
      <c r="A1133" s="20" t="s">
        <v>740</v>
      </c>
      <c r="B1133" s="27" t="s">
        <v>357</v>
      </c>
      <c r="C1133" s="27" t="s">
        <v>293</v>
      </c>
      <c r="D1133" s="27" t="s">
        <v>294</v>
      </c>
      <c r="E1133" s="21">
        <f>IF(D1133="?OLD","!!!","")</f>
        <v/>
      </c>
      <c r="F1133" s="22" t="str">
        <f>IF(OR(E1133="",E1133="!!!"),"",IF(NOT(ISNA(VLOOKUP(E1133,E$1:E1132,1,FALSE()))),"OLD",IF(AND(E1133&lt;&gt;"",E1133&lt;&gt;"!!!"),"NEW","")))</f>
        <v> </v>
      </c>
      <c r="G1133" s="23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4" t="str">
        <f>IF(J1133&lt;&gt;1,"",IF(I1133="SBJ","CB","?"))</f>
        <v> </v>
      </c>
      <c r="I1133" s="25" t="str">
        <f>IF(OR(E1133="",E1133="!!!",F1133="NEW"),"",INDEX(B1132:B$2,-1+SUMPRODUCT(MAX(ROW(E1132:E$2)*(E1133=E1132:E$2)))))</f>
        <v> </v>
      </c>
      <c r="J1133" s="25" t="str">
        <f>IF(OR(E1133="",E1133="!!!",F1133="NEW"),"",COUNTBLANK(OFFSET(A$1,,,SUMPRODUCT(MAX(ROW(E$2:E1133)*(E1133=E$2:E1133)))))-COUNTBLANK(OFFSET(A$1,,,SUMPRODUCT(MAX(ROW(E$1:E1132)*(E2=E$1:E1132))))))</f>
        <v> </v>
      </c>
      <c r="K1133" s="25" t="str">
        <f>IF(OR(E1133="",E1133="!!!",F1133="NEW"),"",INDEX(J$1:J1132,SUMPRODUCT(MAX(ROW(E$1:E1132)*(E1133=E$1:E1132)))))</f>
        <v> </v>
      </c>
      <c r="L1133" s="26"/>
    </row>
    <row r="1134" spans="1:12">
      <c r="A1134" s="20"/>
    </row>
    <row r="1135" spans="1:12">
      <c r="A1135" s="20" t="s">
        <v>741</v>
      </c>
    </row>
    <row r="1136" spans="1:12">
      <c r="A1136" s="20" t="s">
        <v>742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414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724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349</v>
      </c>
      <c r="B1139" s="27" t="s">
        <v>297</v>
      </c>
      <c r="C1139" s="27" t="s">
        <v>350</v>
      </c>
      <c r="D1139" s="27" t="s">
        <v>294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351</v>
      </c>
      <c r="B1140" s="27" t="s">
        <v>352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382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743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295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744</v>
      </c>
      <c r="B1144" s="27" t="s">
        <v>357</v>
      </c>
      <c r="C1144" s="27" t="s">
        <v>418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745</v>
      </c>
      <c r="B1145" s="27" t="s">
        <v>355</v>
      </c>
      <c r="C1145" s="27" t="s">
        <v>391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298</v>
      </c>
      <c r="B1146" s="27" t="s">
        <v>355</v>
      </c>
      <c r="C1146" s="27" t="s">
        <v>309</v>
      </c>
      <c r="D1146" s="27" t="s">
        <v>294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746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424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/>
    </row>
    <row r="1150" spans="1:12">
      <c r="A1150" s="20" t="s">
        <v>747</v>
      </c>
    </row>
    <row r="1151" spans="1:12">
      <c r="A1151" s="20" t="s">
        <v>481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748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749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516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312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750</v>
      </c>
      <c r="B1156" s="27" t="s">
        <v>297</v>
      </c>
      <c r="C1156" s="27" t="s">
        <v>293</v>
      </c>
      <c r="D1156" s="27" t="s">
        <v>294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/>
    </row>
    <row r="1158" spans="1:12">
      <c r="A1158" s="20" t="s">
        <v>751</v>
      </c>
    </row>
    <row r="1159" spans="1:12">
      <c r="A1159" s="20" t="s">
        <v>631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414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752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336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753</v>
      </c>
      <c r="B1163" s="27" t="s">
        <v>292</v>
      </c>
      <c r="C1163" s="27" t="s">
        <v>293</v>
      </c>
      <c r="D1163" s="27" t="s">
        <v>294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754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306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 t="s">
        <v>312</v>
      </c>
      <c r="E1166" s="21">
        <f>IF(D1166="?OLD","!!!","")</f>
        <v/>
      </c>
      <c r="F1166" s="22" t="str">
        <f>IF(OR(E1166="",E1166="!!!"),"",IF(NOT(ISNA(VLOOKUP(E1166,E$1:E1165,1,FALSE()))),"OLD",IF(AND(E1166&lt;&gt;"",E1166&lt;&gt;"!!!"),"NEW","")))</f>
        <v> </v>
      </c>
      <c r="G1166" s="23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4" t="str">
        <f>IF(J1166&lt;&gt;1,"",IF(I1166="SBJ","CB","?"))</f>
        <v> </v>
      </c>
      <c r="I1166" s="25" t="str">
        <f>IF(OR(E1166="",E1166="!!!",F1166="NEW"),"",INDEX(B1165:B$2,-1+SUMPRODUCT(MAX(ROW(E1165:E$2)*(E1166=E1165:E$2)))))</f>
        <v> </v>
      </c>
      <c r="J1166" s="25" t="str">
        <f>IF(OR(E1166="",E1166="!!!",F1166="NEW"),"",COUNTBLANK(OFFSET(A$1,,,SUMPRODUCT(MAX(ROW(E$2:E1166)*(E1166=E$2:E1166)))))-COUNTBLANK(OFFSET(A$1,,,SUMPRODUCT(MAX(ROW(E$1:E1165)*(E2=E$1:E1165))))))</f>
        <v> </v>
      </c>
      <c r="K1166" s="25" t="str">
        <f>IF(OR(E1166="",E1166="!!!",F1166="NEW"),"",INDEX(J$1:J1165,SUMPRODUCT(MAX(ROW(E$1:E1165)*(E1166=E$1:E1165)))))</f>
        <v> </v>
      </c>
      <c r="L1166" s="26"/>
    </row>
    <row r="1167" spans="1:12">
      <c r="A1167" s="20" t="s">
        <v>725</v>
      </c>
      <c r="B1167" s="27" t="s">
        <v>314</v>
      </c>
      <c r="C1167" s="27" t="s">
        <v>315</v>
      </c>
      <c r="D1167" s="27" t="s">
        <v>294</v>
      </c>
      <c r="E1167" s="21">
        <f>IF(D1167="?OLD","!!!","")</f>
        <v/>
      </c>
      <c r="F1167" s="22" t="str">
        <f>IF(OR(E1167="",E1167="!!!"),"",IF(NOT(ISNA(VLOOKUP(E1167,E$1:E1166,1,FALSE()))),"OLD",IF(AND(E1167&lt;&gt;"",E1167&lt;&gt;"!!!"),"NEW","")))</f>
        <v> </v>
      </c>
      <c r="G1167" s="23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4" t="str">
        <f>IF(J1167&lt;&gt;1,"",IF(I1167="SBJ","CB","?"))</f>
        <v> </v>
      </c>
      <c r="I1167" s="25" t="str">
        <f>IF(OR(E1167="",E1167="!!!",F1167="NEW"),"",INDEX(B1166:B$2,-1+SUMPRODUCT(MAX(ROW(E1166:E$2)*(E1167=E1166:E$2)))))</f>
        <v> </v>
      </c>
      <c r="J1167" s="25" t="str">
        <f>IF(OR(E1167="",E1167="!!!",F1167="NEW"),"",COUNTBLANK(OFFSET(A$1,,,SUMPRODUCT(MAX(ROW(E$2:E1167)*(E1167=E$2:E1167)))))-COUNTBLANK(OFFSET(A$1,,,SUMPRODUCT(MAX(ROW(E$1:E1166)*(E2=E$1:E1166))))))</f>
        <v> </v>
      </c>
      <c r="K1167" s="25" t="str">
        <f>IF(OR(E1167="",E1167="!!!",F1167="NEW"),"",INDEX(J$1:J1166,SUMPRODUCT(MAX(ROW(E$1:E1166)*(E1167=E$1:E1166)))))</f>
        <v> </v>
      </c>
      <c r="L1167" s="26"/>
    </row>
    <row r="1168" spans="1:12">
      <c r="A1168" s="20" t="s">
        <v>755</v>
      </c>
      <c r="B1168" s="27" t="s">
        <v>340</v>
      </c>
      <c r="C1168" s="27" t="s">
        <v>293</v>
      </c>
      <c r="D1168" s="27" t="s">
        <v>294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295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351</v>
      </c>
      <c r="B1170" s="27" t="s">
        <v>340</v>
      </c>
      <c r="C1170" s="27" t="s">
        <v>418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419</v>
      </c>
      <c r="B1171" s="27" t="s">
        <v>322</v>
      </c>
      <c r="C1171" s="27" t="s">
        <v>391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756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332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757</v>
      </c>
      <c r="B1174" s="27" t="s">
        <v>303</v>
      </c>
      <c r="C1174" s="27" t="s">
        <v>330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424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/>
    </row>
    <row r="1177" spans="1:12">
      <c r="A1177" s="20" t="s">
        <v>758</v>
      </c>
    </row>
    <row r="1178" spans="1:12">
      <c r="A1178" s="20" t="s">
        <v>481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748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749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516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312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759</v>
      </c>
      <c r="B1183" s="27" t="s">
        <v>297</v>
      </c>
      <c r="C1183" s="27" t="s">
        <v>293</v>
      </c>
      <c r="D1183" s="27" t="s">
        <v>294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/>
    </row>
    <row r="1185" spans="1:12">
      <c r="A1185" s="20" t="s">
        <v>760</v>
      </c>
    </row>
    <row r="1186" spans="1:12">
      <c r="A1186" s="20" t="s">
        <v>761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380</v>
      </c>
      <c r="B1187" s="27" t="s">
        <v>322</v>
      </c>
      <c r="C1187" s="27" t="s">
        <v>309</v>
      </c>
      <c r="D1187" s="27" t="s">
        <v>294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 t="s">
        <v>509</v>
      </c>
      <c r="E1188" s="21">
        <f>IF(D1188="?OLD","!!!","")</f>
        <v/>
      </c>
      <c r="F1188" s="22" t="str">
        <f>IF(OR(E1188="",E1188="!!!"),"",IF(NOT(ISNA(VLOOKUP(E1188,E$1:E1187,1,FALSE()))),"OLD",IF(AND(E1188&lt;&gt;"",E1188&lt;&gt;"!!!"),"NEW","")))</f>
        <v> </v>
      </c>
      <c r="G1188" s="23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4" t="str">
        <f>IF(J1188&lt;&gt;1,"",IF(I1188="SBJ","CB","?"))</f>
        <v> </v>
      </c>
      <c r="I1188" s="25" t="str">
        <f>IF(OR(E1188="",E1188="!!!",F1188="NEW"),"",INDEX(B1187:B$2,-1+SUMPRODUCT(MAX(ROW(E1187:E$2)*(E1188=E1187:E$2)))))</f>
        <v> </v>
      </c>
      <c r="J1188" s="25" t="str">
        <f>IF(OR(E1188="",E1188="!!!",F1188="NEW"),"",COUNTBLANK(OFFSET(A$1,,,SUMPRODUCT(MAX(ROW(E$2:E1188)*(E1188=E$2:E1188)))))-COUNTBLANK(OFFSET(A$1,,,SUMPRODUCT(MAX(ROW(E$1:E1187)*(E2=E$1:E1187))))))</f>
        <v> </v>
      </c>
      <c r="K1188" s="25" t="str">
        <f>IF(OR(E1188="",E1188="!!!",F1188="NEW"),"",INDEX(J$1:J1187,SUMPRODUCT(MAX(ROW(E$1:E1187)*(E1188=E$1:E1187)))))</f>
        <v> </v>
      </c>
      <c r="L1188" s="26"/>
    </row>
    <row r="1189" spans="1:12">
      <c r="A1189" s="20" t="s">
        <v>762</v>
      </c>
      <c r="E1189" s="21">
        <f>IF(D1189="?OLD","!!!","")</f>
        <v/>
      </c>
      <c r="F1189" s="22" t="str">
        <f>IF(OR(E1189="",E1189="!!!"),"",IF(NOT(ISNA(VLOOKUP(E1189,E$1:E1188,1,FALSE()))),"OLD",IF(AND(E1189&lt;&gt;"",E1189&lt;&gt;"!!!"),"NEW","")))</f>
        <v> </v>
      </c>
      <c r="G1189" s="23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4" t="str">
        <f>IF(J1189&lt;&gt;1,"",IF(I1189="SBJ","CB","?"))</f>
        <v> </v>
      </c>
      <c r="I1189" s="25" t="str">
        <f>IF(OR(E1189="",E1189="!!!",F1189="NEW"),"",INDEX(B1188:B$2,-1+SUMPRODUCT(MAX(ROW(E1188:E$2)*(E1189=E1188:E$2)))))</f>
        <v> </v>
      </c>
      <c r="J1189" s="25" t="str">
        <f>IF(OR(E1189="",E1189="!!!",F1189="NEW"),"",COUNTBLANK(OFFSET(A$1,,,SUMPRODUCT(MAX(ROW(E$2:E1189)*(E1189=E$2:E1189)))))-COUNTBLANK(OFFSET(A$1,,,SUMPRODUCT(MAX(ROW(E$1:E1188)*(E2=E$1:E1188))))))</f>
        <v> </v>
      </c>
      <c r="K1189" s="25" t="str">
        <f>IF(OR(E1189="",E1189="!!!",F1189="NEW"),"",INDEX(J$1:J1188,SUMPRODUCT(MAX(ROW(E$1:E1188)*(E1189=E$1:E1188)))))</f>
        <v> </v>
      </c>
      <c r="L1189" s="26"/>
    </row>
    <row r="1190" spans="1:12">
      <c r="A1190" s="20" t="s">
        <v>763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335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764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336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477</v>
      </c>
      <c r="B1194" s="27" t="s">
        <v>334</v>
      </c>
      <c r="C1194" s="27" t="s">
        <v>338</v>
      </c>
      <c r="D1194" s="27" t="s">
        <v>294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476</v>
      </c>
      <c r="B1195" s="27" t="s">
        <v>357</v>
      </c>
      <c r="C1195" s="27" t="s">
        <v>315</v>
      </c>
      <c r="D1195" s="27" t="s">
        <v>294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731</v>
      </c>
      <c r="B1196" s="27" t="s">
        <v>314</v>
      </c>
      <c r="C1196" s="27" t="s">
        <v>391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2026-01-26T16:53:28Z</dcterms:created>
  <dcterms:modified xsi:type="dcterms:W3CDTF">2026-01-26T16:53:28Z</dcterms:modified>
</cp:coreProperties>
</file>