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<sst xmlns="http://schemas.openxmlformats.org/spreadsheetml/2006/main" count="1292" uniqueCount="390">
  <si>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</si>
  <si>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</si>
  <si>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</si>
  <si>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</si>
  <si>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</si>
  <si>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</si>
  <si>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</si>
  <si>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</si>
  <si>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</si>
  <si>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</si>
  <si>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</si>
  <si>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</si>
  <si>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_</t>
  </si>
  <si>
    <t>ricordare</t>
  </si>
  <si>
    <t>Dio si ricordò di Noè , di tutte le fiere e di tutti gli animali domestici che erano con lui nell' in l' arca .</t>
  </si>
  <si>
    <t>file://conllu/it/bibl.it_christos.GEN.8.conllu#s1_0</t>
  </si>
  <si>
    <t>2</t>
  </si>
  <si>
    <t>e?</t>
  </si>
  <si>
    <t>fare</t>
  </si>
  <si>
    <t>Dio fece passare un vento sulla su la terra e le acque si abbassarono</t>
  </si>
  <si>
    <t>file://conllu/it/bibl.it_christos.GEN.8.conllu#s2_0</t>
  </si>
  <si>
    <t>13</t>
  </si>
  <si>
    <t>chiuso</t>
  </si>
  <si>
    <t>Le fonti dell' di l' abisso e le cateratte del di il cielo furono chiuse e fu trattenuta la pioggia dal da il cielo</t>
  </si>
  <si>
    <t>file://conllu/it/bibl.it_christos.GEN.8.conllu#s3_0</t>
  </si>
  <si>
    <t>4</t>
  </si>
  <si>
    <t>andare</t>
  </si>
  <si>
    <t>le acque andarono via via ritirandosi ritirando si dalla da la terra e calarono dopo centocinquanta giorni</t>
  </si>
  <si>
    <t>file://conllu/it/bibl.it_christos.GEN.8.conllu#s4_0</t>
  </si>
  <si>
    <t>6</t>
  </si>
  <si>
    <t>Le acque andarono via via diminuendo fino al a il decimo mese .</t>
  </si>
  <si>
    <t>file://conllu/it/bibl.it_christos.GEN.8.conllu#s6_0</t>
  </si>
  <si>
    <t>8</t>
  </si>
  <si>
    <t>aprire</t>
  </si>
  <si>
    <t>Trascorsi quaranta giorni , Noè aprì la finestra che aveva fatta nell' in l' arca e fece uscire un corvo per vedere se le acque si fossero ritirate</t>
  </si>
  <si>
    <t>file://conllu/it/bibl.it_christos.GEN.8.conllu#s8_0</t>
  </si>
  <si>
    <t>9</t>
  </si>
  <si>
    <t>uscire</t>
  </si>
  <si>
    <t>Esso uscì andando e tornando finché si prosciugarono le acque sulla su la terra</t>
  </si>
  <si>
    <t>file://conllu/it/bibl.it_christos.GEN.8.conllu#s9_0</t>
  </si>
  <si>
    <t>10</t>
  </si>
  <si>
    <t>poi?</t>
  </si>
  <si>
    <t>Noè poi fece uscire una colomba , per vedere se le acque si fossero ritirate dal da il suolo</t>
  </si>
  <si>
    <t>file://conllu/it/bibl.it_christos.GEN.8.conllu#s10_0</t>
  </si>
  <si>
    <t>11</t>
  </si>
  <si>
    <t>15</t>
  </si>
  <si>
    <t>perché?</t>
  </si>
  <si>
    <t>tornare</t>
  </si>
  <si>
    <t>ma la colomba , non trovando dove posare la pianta del di il piede , tornò a lui nell' in l' arca , perché c' era ancora l' acqua su tutta la terra .</t>
  </si>
  <si>
    <t>file://conllu/it/bibl.it_christos.GEN.8.conllu#s11_0</t>
  </si>
  <si>
    <t>12</t>
  </si>
  <si>
    <t>stendere</t>
  </si>
  <si>
    <t>Egli stese la mano , la prese e la fece rientrare presso di sé nell' in l' arca</t>
  </si>
  <si>
    <t>file://conllu/it/bibl.it_christos.GEN.8.conllu#s12_0</t>
  </si>
  <si>
    <t>Attese altri sette giorni e di nuovo fece uscire la colomba dall' da l' arc</t>
  </si>
  <si>
    <t>file://conllu/it/bibl.it_christos.GEN.8.conllu#s13_0</t>
  </si>
  <si>
    <t>14</t>
  </si>
  <si>
    <t>e la colomba tornò a lui sul su il far della di la sera ; ecco , essa aveva nel in il becco un ramoscello di ulivo .</t>
  </si>
  <si>
    <t>file://conllu/it/bibl.it_christos.GEN.8.conllu#s14_0</t>
  </si>
  <si>
    <t>comprendere</t>
  </si>
  <si>
    <t>Noè comprese che le acque si erano ritirate dalla da la terra</t>
  </si>
  <si>
    <t>file://conllu/it/bibl.it_christos.GEN.8.conllu#s15_0</t>
  </si>
  <si>
    <t>16</t>
  </si>
  <si>
    <t>Aspettare</t>
  </si>
  <si>
    <t>Aspettò altri sette giorni , poi lasciò andare la colomba ;</t>
  </si>
  <si>
    <t>file://conllu/it/bibl.it_christos.GEN.8.conllu#s16_0</t>
  </si>
  <si>
    <t>17</t>
  </si>
  <si>
    <t>essa non tornò più da lui</t>
  </si>
  <si>
    <t>file://conllu/it/bibl.it_christos.GEN.8.conllu#s17_0</t>
  </si>
  <si>
    <t>18</t>
  </si>
  <si>
    <t>25</t>
  </si>
  <si>
    <t>prosciugare</t>
  </si>
  <si>
    <t>L' anno seicentouno della di la vita di Noè , il primo mese , il primo giorno del di il mese , le acque si erano prosciugate sulla su la terra ;</t>
  </si>
  <si>
    <t>file://conllu/it/bibl.it_christos.GEN.8.conllu#s18_0</t>
  </si>
  <si>
    <t>19</t>
  </si>
  <si>
    <t>asciutto</t>
  </si>
  <si>
    <t>Noè tolse la copertura dell' di l' arca ed ecco la superficie del di il suolo era asciutta</t>
  </si>
  <si>
    <t>file://conllu/it/bibl.it_christos.GEN.8.conllu#s19_0</t>
  </si>
  <si>
    <t>21</t>
  </si>
  <si>
    <t>ordinare</t>
  </si>
  <si>
    <t>Dio ordinò a Noè</t>
  </si>
  <si>
    <t>file://conllu/it/bibl.it_christos.GEN.8.conllu#s21_0</t>
  </si>
  <si>
    <t>22</t>
  </si>
  <si>
    <t>Ere</t>
  </si>
  <si>
    <t>« Esci dall' da l' arca tu e tua moglie , i tuoi figli e le mogli dei di i tuoi figli con te</t>
  </si>
  <si>
    <t>file://conllu/it/bibl.it_christos.GEN.8.conllu#s22_0</t>
  </si>
  <si>
    <t>23</t>
  </si>
  <si>
    <t>38</t>
  </si>
  <si>
    <t>essere (essere fecondo)</t>
  </si>
  <si>
    <t>Tutti gli animali d' ogni specie che hai con te , uccelli , bestiame e tutti i rettili che strisciano sulla su la terra , falli uscire con te , perché possano diffondersi diffonder si sulla su la terra , siano fecondi e si moltiplichino su di essa »</t>
  </si>
  <si>
    <t>file://conllu/it/bibl.it_christos.GEN.8.conllu#s23_0</t>
  </si>
  <si>
    <t>24</t>
  </si>
  <si>
    <t>Noè uscì con i figli , la moglie e le mogli dei di i figli</t>
  </si>
  <si>
    <t>file://conllu/it/bibl.it_christos.GEN.8.conllu#s24_0</t>
  </si>
  <si>
    <t>27</t>
  </si>
  <si>
    <t>Tutti i viventi e tutto il bestiame e tutti gli uccelli e tutti i rettili che strisciano sulla su la terra , secondo la loro specie , uscirono dall' da l' arca</t>
  </si>
  <si>
    <t>file://conllu/it/bibl.it_christos.GEN.8.conllu#s25_0</t>
  </si>
  <si>
    <t>26</t>
  </si>
  <si>
    <t>allora?</t>
  </si>
  <si>
    <t>edificare</t>
  </si>
  <si>
    <t>Allora Noè edificò un altare al a il Signore ; prese ogni sorta di animali mondi e di uccelli mondi e offrì olocausti sull' su l' altare</t>
  </si>
  <si>
    <t>file://conllu/it/bibl.it_christos.GEN.8.conllu#s26_0</t>
  </si>
  <si>
    <t>odorare</t>
  </si>
  <si>
    <t>Il Signore ne odorò la soave fragranza e pensò :</t>
  </si>
  <si>
    <t>file://conllu/it/bibl.it_christos.GEN.8.conllu#s27_0</t>
  </si>
  <si>
    <t>28</t>
  </si>
  <si>
    <t>maledirare</t>
  </si>
  <si>
    <t>« Non maledirò più il suolo a causa dell' di l' uomo , perché l' istinto del di il cuore umano è incline al a il male fin dalla da la adolescenza ; né colpirò più ogni essere vivente come ho fatto</t>
  </si>
  <si>
    <t>file://conllu/it/bibl.it_christos.GEN.8.conllu#s28_0</t>
  </si>
  <si>
    <t>29</t>
  </si>
  <si>
    <t>cessare</t>
  </si>
  <si>
    <t>Finché durerà la terra , seme e messe , freddo e caldo , estate e inverno , giorno e notte non cesseranno »</t>
  </si>
  <si>
    <t>file://conllu/it/bibl.it_christos.GEN.8.conllu#s29_0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</si>
  <si>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</si>
  <si>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</si>
  <si>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</si>
  <si>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</si>
  <si>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</si>
  <si>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</si>
  <si>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</si>
  <si>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</si>
  <si>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</si>
  <si>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</si>
  <si>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</si>
  <si>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Dio si ricordò di Noè, di tutte le fiere e di tutti gli animali domestici che erano con lui nell'arca.</t>
  </si>
  <si>
    <t>Dio</t>
  </si>
  <si>
    <t>SBJ</t>
  </si>
  <si>
    <t>indef-np.bare</t>
  </si>
  <si>
    <t>si</t>
  </si>
  <si>
    <t>ricordò</t>
  </si>
  <si>
    <t>di</t>
  </si>
  <si>
    <t>Noè</t>
  </si>
  <si>
    <t>other</t>
  </si>
  <si>
    <t>ne</t>
  </si>
  <si>
    <t>?OLD</t>
  </si>
  <si>
    <t>,</t>
  </si>
  <si>
    <t>tutte</t>
  </si>
  <si>
    <t>le</t>
  </si>
  <si>
    <t>fiere</t>
  </si>
  <si>
    <t>other_2</t>
  </si>
  <si>
    <t>def-np.the</t>
  </si>
  <si>
    <t>e</t>
  </si>
  <si>
    <t>tutti</t>
  </si>
  <si>
    <t>gli</t>
  </si>
  <si>
    <t>animali</t>
  </si>
  <si>
    <t>other_3</t>
  </si>
  <si>
    <t>domestici</t>
  </si>
  <si>
    <t>che</t>
  </si>
  <si>
    <t>SBJ_5</t>
  </si>
  <si>
    <t>erano</t>
  </si>
  <si>
    <t>con</t>
  </si>
  <si>
    <t>lui</t>
  </si>
  <si>
    <t>other_5</t>
  </si>
  <si>
    <t>pron.pper</t>
  </si>
  <si>
    <t>in</t>
  </si>
  <si>
    <t>l'</t>
  </si>
  <si>
    <t>arca</t>
  </si>
  <si>
    <t>other_4</t>
  </si>
  <si>
    <t>.</t>
  </si>
  <si>
    <t># text = Dio fece passare un vento sulla terra e le acque si abbassarono</t>
  </si>
  <si>
    <t>fece</t>
  </si>
  <si>
    <t>passare</t>
  </si>
  <si>
    <t>un</t>
  </si>
  <si>
    <t>vento</t>
  </si>
  <si>
    <t>OBJ_2</t>
  </si>
  <si>
    <t>indef-np.a</t>
  </si>
  <si>
    <t>su</t>
  </si>
  <si>
    <t>la</t>
  </si>
  <si>
    <t>terra</t>
  </si>
  <si>
    <t>acque</t>
  </si>
  <si>
    <t>SBJ_2</t>
  </si>
  <si>
    <t>abbassarono</t>
  </si>
  <si>
    <t># text = Le fonti dell'abisso e le cateratte del cielo furono chiuse e fu trattenuta la pioggia dal cielo</t>
  </si>
  <si>
    <t>Le</t>
  </si>
  <si>
    <t>fonti</t>
  </si>
  <si>
    <t>def-np.poss</t>
  </si>
  <si>
    <t>abisso</t>
  </si>
  <si>
    <t>cateratte</t>
  </si>
  <si>
    <t>il</t>
  </si>
  <si>
    <t>cielo</t>
  </si>
  <si>
    <t>furono</t>
  </si>
  <si>
    <t>chiuse</t>
  </si>
  <si>
    <t>fu</t>
  </si>
  <si>
    <t>trattenuta</t>
  </si>
  <si>
    <t>pioggia</t>
  </si>
  <si>
    <t>da</t>
  </si>
  <si>
    <t># text = le acque andarono via via ritirandosi dalla terra e calarono dopo centocinquanta giorni</t>
  </si>
  <si>
    <t>andarono</t>
  </si>
  <si>
    <t>via</t>
  </si>
  <si>
    <t>ritirando</t>
  </si>
  <si>
    <t>calarono</t>
  </si>
  <si>
    <t>dopo</t>
  </si>
  <si>
    <t>centocinquanta</t>
  </si>
  <si>
    <t>giorni</t>
  </si>
  <si>
    <t>indef-np.quant</t>
  </si>
  <si>
    <t># text = Nel settimo mese, il diciassette del mese, l'arca si posò sui monti dell'Ararat</t>
  </si>
  <si>
    <t>In</t>
  </si>
  <si>
    <t>settimo</t>
  </si>
  <si>
    <t>mese</t>
  </si>
  <si>
    <t>diciassette</t>
  </si>
  <si>
    <t>posò</t>
  </si>
  <si>
    <t>i</t>
  </si>
  <si>
    <t>monti</t>
  </si>
  <si>
    <t>Ararat</t>
  </si>
  <si>
    <t># text = Le acque andarono via via diminuendo fino al decimo mese.</t>
  </si>
  <si>
    <t>diminuendo</t>
  </si>
  <si>
    <t>fino</t>
  </si>
  <si>
    <t>a</t>
  </si>
  <si>
    <t>decimo</t>
  </si>
  <si>
    <t># text = Nel decimo mese, il primo giorno del mese, apparvero le cime dei monti</t>
  </si>
  <si>
    <t>primo</t>
  </si>
  <si>
    <t>giorno</t>
  </si>
  <si>
    <t>apparvero</t>
  </si>
  <si>
    <t>cime</t>
  </si>
  <si>
    <t># text = Trascorsi quaranta giorni, Noè aprì la finestra che aveva fatta nell'arca e fece uscire un corvo per vedere se le acque si fossero ritirate</t>
  </si>
  <si>
    <t>Trascorsi</t>
  </si>
  <si>
    <t>quaranta</t>
  </si>
  <si>
    <t>aprì</t>
  </si>
  <si>
    <t>finestra</t>
  </si>
  <si>
    <t>OBJ</t>
  </si>
  <si>
    <t>SBJ_3</t>
  </si>
  <si>
    <t>aveva</t>
  </si>
  <si>
    <t>fatta</t>
  </si>
  <si>
    <t>corvo</t>
  </si>
  <si>
    <t>OBJ_3</t>
  </si>
  <si>
    <t>per</t>
  </si>
  <si>
    <t>vedere</t>
  </si>
  <si>
    <t>se</t>
  </si>
  <si>
    <t>fossero</t>
  </si>
  <si>
    <t>ritirate</t>
  </si>
  <si>
    <t># text = Esso uscì andando e tornando finché si prosciugarono le acque sulla terra</t>
  </si>
  <si>
    <t>Esso</t>
  </si>
  <si>
    <t>uscì</t>
  </si>
  <si>
    <t>andando</t>
  </si>
  <si>
    <t>tornando</t>
  </si>
  <si>
    <t>finché</t>
  </si>
  <si>
    <t>prosciugarono</t>
  </si>
  <si>
    <t>SBJ_4</t>
  </si>
  <si>
    <t># text = Noè poi fece uscire una colomba, per vedere se le acque si fossero ritirate dal suolo</t>
  </si>
  <si>
    <t>poi</t>
  </si>
  <si>
    <t>una</t>
  </si>
  <si>
    <t>colomba</t>
  </si>
  <si>
    <t>suolo</t>
  </si>
  <si>
    <t># text = ma la colomba, non trovando dove posare la pianta del piede, tornò a lui nell'arca, perché c'era ancora l'acqua su tutta la terra.</t>
  </si>
  <si>
    <t>ma</t>
  </si>
  <si>
    <t>non</t>
  </si>
  <si>
    <t>trovando</t>
  </si>
  <si>
    <t>dove</t>
  </si>
  <si>
    <t>posare</t>
  </si>
  <si>
    <t>pianta</t>
  </si>
  <si>
    <t>piede</t>
  </si>
  <si>
    <t>tornò</t>
  </si>
  <si>
    <t>perché</t>
  </si>
  <si>
    <t>c'</t>
  </si>
  <si>
    <t>era</t>
  </si>
  <si>
    <t>ancora</t>
  </si>
  <si>
    <t>acqua</t>
  </si>
  <si>
    <t>tutta</t>
  </si>
  <si>
    <t># text = Egli stese la mano, la prese e la fece rientrare presso di sé nell'arca</t>
  </si>
  <si>
    <t>Egli</t>
  </si>
  <si>
    <t>stese</t>
  </si>
  <si>
    <t>mano</t>
  </si>
  <si>
    <t>prese</t>
  </si>
  <si>
    <t>rientrare</t>
  </si>
  <si>
    <t>presso</t>
  </si>
  <si>
    <t>sé</t>
  </si>
  <si>
    <t># text = Attese altri sette giorni e di nuovo fece uscire la colomba dall'arc</t>
  </si>
  <si>
    <t>Attese</t>
  </si>
  <si>
    <t>altri</t>
  </si>
  <si>
    <t>sette</t>
  </si>
  <si>
    <t>nuovo</t>
  </si>
  <si>
    <t>arc</t>
  </si>
  <si>
    <t># text = e la colomba tornò a lui sul far della sera; ecco, essa aveva nel becco un ramoscello di ulivo.</t>
  </si>
  <si>
    <t>far</t>
  </si>
  <si>
    <t>sera</t>
  </si>
  <si>
    <t>;</t>
  </si>
  <si>
    <t>ecco</t>
  </si>
  <si>
    <t>essa</t>
  </si>
  <si>
    <t>becco</t>
  </si>
  <si>
    <t>ramoscello</t>
  </si>
  <si>
    <t>ulivo</t>
  </si>
  <si>
    <t># text = Noè comprese che le acque si erano ritirate dalla terra</t>
  </si>
  <si>
    <t>comprese</t>
  </si>
  <si>
    <t># text = Aspettò altri sette giorni, poi lasciò andare la colomba;</t>
  </si>
  <si>
    <t>Aspettò</t>
  </si>
  <si>
    <t>pron.pind</t>
  </si>
  <si>
    <t>lasciò</t>
  </si>
  <si>
    <t># text = essa non tornò più da lui</t>
  </si>
  <si>
    <t>più</t>
  </si>
  <si>
    <t># text = L'anno seicentouno della vita di Noè, il primo mese, il primo giorno del mese, le acque si erano prosciugate sulla terra;</t>
  </si>
  <si>
    <t>L'</t>
  </si>
  <si>
    <t>anno</t>
  </si>
  <si>
    <t>seicentouno</t>
  </si>
  <si>
    <t>vita</t>
  </si>
  <si>
    <t>prosciugate</t>
  </si>
  <si>
    <t># text = Noè tolse la copertura dell'arca ed ecco la superficie del suolo era asciutta</t>
  </si>
  <si>
    <t>tolse</t>
  </si>
  <si>
    <t>copertura</t>
  </si>
  <si>
    <t>ed</t>
  </si>
  <si>
    <t>superficie</t>
  </si>
  <si>
    <t>asciutta</t>
  </si>
  <si>
    <t># text = Nel secondo mese, il ventisette del mese, tutta la terra fu asciutta</t>
  </si>
  <si>
    <t>secondo</t>
  </si>
  <si>
    <t>ventisette</t>
  </si>
  <si>
    <t># text = Dio ordinò a Noè</t>
  </si>
  <si>
    <t>ordinò</t>
  </si>
  <si>
    <t># text = «Esci dall'arca tu e tua moglie, i tuoi figli e le mogli dei tuoi figli con te</t>
  </si>
  <si>
    <t>«</t>
  </si>
  <si>
    <t>Esci</t>
  </si>
  <si>
    <t>tu</t>
  </si>
  <si>
    <t>tua</t>
  </si>
  <si>
    <t>pron.ppos</t>
  </si>
  <si>
    <t>moglie</t>
  </si>
  <si>
    <t>indef-np</t>
  </si>
  <si>
    <t>tuoi</t>
  </si>
  <si>
    <t>figli</t>
  </si>
  <si>
    <t>mogli</t>
  </si>
  <si>
    <t>te</t>
  </si>
  <si>
    <t># text = Tutti gli animali d'ogni specie che hai con te, uccelli, bestiame e tutti i rettili che strisciano sulla terra, falli uscire con te, perché possano diffondersi sulla terra, siano fecondi e si moltiplichino su di essa»</t>
  </si>
  <si>
    <t>Tutti</t>
  </si>
  <si>
    <t>d'</t>
  </si>
  <si>
    <t>ogni</t>
  </si>
  <si>
    <t>specie</t>
  </si>
  <si>
    <t>hai</t>
  </si>
  <si>
    <t>uccelli</t>
  </si>
  <si>
    <t>bestiame</t>
  </si>
  <si>
    <t>rettili</t>
  </si>
  <si>
    <t>SBJ_6</t>
  </si>
  <si>
    <t>strisciano</t>
  </si>
  <si>
    <t>other_6</t>
  </si>
  <si>
    <t>falli</t>
  </si>
  <si>
    <t>possano</t>
  </si>
  <si>
    <t>diffonder</t>
  </si>
  <si>
    <t>siano</t>
  </si>
  <si>
    <t>fecondi</t>
  </si>
  <si>
    <t>moltiplichino</t>
  </si>
  <si>
    <t>»</t>
  </si>
  <si>
    <t># text = Noè uscì con i figli, la moglie e le mogli dei figli</t>
  </si>
  <si>
    <t># text = Tutti i viventi e tutto il bestiame e tutti gli uccelli e tutti i rettili che strisciano sulla terra, secondo la loro specie, uscirono dall'arca</t>
  </si>
  <si>
    <t>viventi</t>
  </si>
  <si>
    <t>tutto</t>
  </si>
  <si>
    <t>loro</t>
  </si>
  <si>
    <t>uscirono</t>
  </si>
  <si>
    <t># text = Allora Noè edificò un altare al Signore; prese ogni sorta di animali mondi e di uccelli mondi e offrì olocausti sull'altare</t>
  </si>
  <si>
    <t>Allora</t>
  </si>
  <si>
    <t>edificò</t>
  </si>
  <si>
    <t>altare</t>
  </si>
  <si>
    <t>Signore</t>
  </si>
  <si>
    <t>sorta</t>
  </si>
  <si>
    <t>mondi</t>
  </si>
  <si>
    <t>offrì</t>
  </si>
  <si>
    <t>olocausti</t>
  </si>
  <si>
    <t># text = Il Signore ne odorò la soave fragranza e pensò:</t>
  </si>
  <si>
    <t>Il</t>
  </si>
  <si>
    <t>odorò</t>
  </si>
  <si>
    <t>soave</t>
  </si>
  <si>
    <t>fragranza</t>
  </si>
  <si>
    <t>pensò</t>
  </si>
  <si>
    <t>:</t>
  </si>
  <si>
    <t># text = «Non maledirò più il suolo a causa dell'uomo, perché l'istinto del cuore umano è incline al male fin dalla adolescenza; né colpirò più ogni essere vivente come ho fatto</t>
  </si>
  <si>
    <t>Non</t>
  </si>
  <si>
    <t>maledirò</t>
  </si>
  <si>
    <t>causa</t>
  </si>
  <si>
    <t>uomo</t>
  </si>
  <si>
    <t>istinto</t>
  </si>
  <si>
    <t>cuore</t>
  </si>
  <si>
    <t>umano</t>
  </si>
  <si>
    <t>è</t>
  </si>
  <si>
    <t>incline</t>
  </si>
  <si>
    <t>male</t>
  </si>
  <si>
    <t>fin</t>
  </si>
  <si>
    <t>adolescenza</t>
  </si>
  <si>
    <t>né</t>
  </si>
  <si>
    <t>colpirò</t>
  </si>
  <si>
    <t>essere</t>
  </si>
  <si>
    <t>vivente</t>
  </si>
  <si>
    <t>come</t>
  </si>
  <si>
    <t>ho</t>
  </si>
  <si>
    <t>fatto</t>
  </si>
  <si>
    <t># text = Finché durerà la terra, seme e messe, freddo e caldo, estate e inverno, giorno e notte non cesseranno»</t>
  </si>
  <si>
    <t>Finché</t>
  </si>
  <si>
    <t>durerà</t>
  </si>
  <si>
    <t>seme</t>
  </si>
  <si>
    <t>messe</t>
  </si>
  <si>
    <t>freddo</t>
  </si>
  <si>
    <t>caldo</t>
  </si>
  <si>
    <t>estate</t>
  </si>
  <si>
    <t>inverno</t>
  </si>
  <si>
    <t>notte</t>
  </si>
  <si>
    <t>cesseranno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</si>
</sst>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16</v>
      </c>
      <c r="C3" s="6" t="s">
        <v>17</v>
      </c>
      <c r="D3" s="7" t="s">
        <v>18</v>
      </c>
      <c r="E3" s="8" t="s">
        <v>19</v>
      </c>
      <c r="F3" s="6" t="s">
        <v>20</v>
      </c>
      <c r="G3" s="9" t="s">
        <v>20</v>
      </c>
      <c r="H3" s="10" t="s">
        <v>12</v>
      </c>
      <c r="I3" s="11" t="s">
        <v>12</v>
      </c>
      <c r="J3" s="12"/>
    </row>
    <row r="4" spans="1:10" ht="60" customHeight="1">
      <c r="A4" s="6" t="s">
        <v>11</v>
      </c>
      <c r="B4" s="6" t="s">
        <v>21</v>
      </c>
      <c r="C4" s="6" t="s">
        <v>17</v>
      </c>
      <c r="D4" s="7" t="s">
        <v>22</v>
      </c>
      <c r="E4" s="8" t="s">
        <v>23</v>
      </c>
      <c r="F4" s="6" t="s">
        <v>24</v>
      </c>
      <c r="G4" s="9" t="s">
        <v>24</v>
      </c>
      <c r="H4" s="10" t="s">
        <v>12</v>
      </c>
      <c r="I4" s="11" t="s">
        <v>12</v>
      </c>
      <c r="J4" s="12"/>
    </row>
    <row r="5" spans="1:10" ht="60" customHeight="1">
      <c r="A5" s="6" t="s">
        <v>25</v>
      </c>
      <c r="B5" s="6" t="s">
        <v>11</v>
      </c>
      <c r="C5" s="6" t="s">
        <v>12</v>
      </c>
      <c r="D5" s="7" t="s">
        <v>26</v>
      </c>
      <c r="E5" s="8" t="s">
        <v>27</v>
      </c>
      <c r="F5" s="6" t="s">
        <v>28</v>
      </c>
      <c r="G5" s="9" t="s">
        <v>28</v>
      </c>
      <c r="H5" s="10" t="s">
        <v>12</v>
      </c>
      <c r="I5" s="11" t="s">
        <v>12</v>
      </c>
      <c r="J5" s="12"/>
    </row>
    <row r="6" spans="1:10" ht="60" customHeight="1">
      <c r="A6" s="6" t="s">
        <v>29</v>
      </c>
      <c r="B6" s="6" t="s">
        <v>11</v>
      </c>
      <c r="C6" s="6" t="s">
        <v>12</v>
      </c>
      <c r="D6" s="7" t="s">
        <v>26</v>
      </c>
      <c r="E6" s="8" t="s">
        <v>30</v>
      </c>
      <c r="F6" s="6" t="s">
        <v>31</v>
      </c>
      <c r="G6" s="9" t="s">
        <v>31</v>
      </c>
      <c r="H6" s="10" t="s">
        <v>12</v>
      </c>
      <c r="I6" s="11" t="s">
        <v>12</v>
      </c>
      <c r="J6" s="12"/>
    </row>
    <row r="7" spans="1:10" ht="60" customHeight="1">
      <c r="A7" s="6" t="s">
        <v>32</v>
      </c>
      <c r="B7" s="6" t="s">
        <v>29</v>
      </c>
      <c r="C7" s="6" t="s">
        <v>17</v>
      </c>
      <c r="D7" s="7" t="s">
        <v>33</v>
      </c>
      <c r="E7" s="8" t="s">
        <v>34</v>
      </c>
      <c r="F7" s="6" t="s">
        <v>35</v>
      </c>
      <c r="G7" s="9" t="s">
        <v>35</v>
      </c>
      <c r="H7" s="10" t="s">
        <v>12</v>
      </c>
      <c r="I7" s="11" t="s">
        <v>12</v>
      </c>
      <c r="J7" s="12"/>
    </row>
    <row r="8" spans="1:10" ht="60" customHeight="1">
      <c r="A8" s="6" t="s">
        <v>36</v>
      </c>
      <c r="B8" s="6" t="s">
        <v>16</v>
      </c>
      <c r="C8" s="6" t="s">
        <v>12</v>
      </c>
      <c r="D8" s="7" t="s">
        <v>37</v>
      </c>
      <c r="E8" s="8" t="s">
        <v>38</v>
      </c>
      <c r="F8" s="6" t="s">
        <v>39</v>
      </c>
      <c r="G8" s="9" t="s">
        <v>39</v>
      </c>
      <c r="H8" s="10" t="s">
        <v>12</v>
      </c>
      <c r="I8" s="11" t="s">
        <v>12</v>
      </c>
      <c r="J8" s="12"/>
    </row>
    <row r="9" spans="1:10" ht="60" customHeight="1">
      <c r="A9" s="6" t="s">
        <v>40</v>
      </c>
      <c r="B9" s="6" t="s">
        <v>11</v>
      </c>
      <c r="C9" s="6" t="s">
        <v>41</v>
      </c>
      <c r="D9" s="7" t="s">
        <v>18</v>
      </c>
      <c r="E9" s="8" t="s">
        <v>42</v>
      </c>
      <c r="F9" s="6" t="s">
        <v>43</v>
      </c>
      <c r="G9" s="9" t="s">
        <v>43</v>
      </c>
      <c r="H9" s="10" t="s">
        <v>12</v>
      </c>
      <c r="I9" s="11" t="s">
        <v>12</v>
      </c>
      <c r="J9" s="12"/>
    </row>
    <row r="10" spans="1:10" ht="60" customHeight="1">
      <c r="A10" s="6" t="s">
        <v>44</v>
      </c>
      <c r="B10" s="6" t="s">
        <v>45</v>
      </c>
      <c r="C10" s="6" t="s">
        <v>46</v>
      </c>
      <c r="D10" s="7" t="s">
        <v>47</v>
      </c>
      <c r="E10" s="8" t="s">
        <v>48</v>
      </c>
      <c r="F10" s="6" t="s">
        <v>49</v>
      </c>
      <c r="G10" s="9" t="s">
        <v>49</v>
      </c>
      <c r="H10" s="10" t="s">
        <v>12</v>
      </c>
      <c r="I10" s="11" t="s">
        <v>12</v>
      </c>
      <c r="J10" s="12"/>
    </row>
    <row r="11" spans="1:10" ht="60" customHeight="1">
      <c r="A11" s="6" t="s">
        <v>50</v>
      </c>
      <c r="B11" s="6" t="s">
        <v>16</v>
      </c>
      <c r="C11" s="6" t="s">
        <v>17</v>
      </c>
      <c r="D11" s="7" t="s">
        <v>51</v>
      </c>
      <c r="E11" s="8" t="s">
        <v>52</v>
      </c>
      <c r="F11" s="6" t="s">
        <v>53</v>
      </c>
      <c r="G11" s="9" t="s">
        <v>53</v>
      </c>
      <c r="H11" s="10" t="s">
        <v>12</v>
      </c>
      <c r="I11" s="11" t="s">
        <v>12</v>
      </c>
      <c r="J11" s="12"/>
    </row>
    <row r="12" spans="1:10" ht="60" customHeight="1">
      <c r="A12" s="6" t="s">
        <v>21</v>
      </c>
      <c r="B12" s="6" t="s">
        <v>32</v>
      </c>
      <c r="C12" s="6" t="s">
        <v>12</v>
      </c>
      <c r="D12" s="7" t="s">
        <v>18</v>
      </c>
      <c r="E12" s="8" t="s">
        <v>54</v>
      </c>
      <c r="F12" s="6" t="s">
        <v>55</v>
      </c>
      <c r="G12" s="9" t="s">
        <v>55</v>
      </c>
      <c r="H12" s="10" t="s">
        <v>12</v>
      </c>
      <c r="I12" s="11" t="s">
        <v>12</v>
      </c>
      <c r="J12" s="12"/>
    </row>
    <row r="13" spans="1:10" ht="60" customHeight="1">
      <c r="A13" s="6" t="s">
        <v>56</v>
      </c>
      <c r="B13" s="6" t="s">
        <v>25</v>
      </c>
      <c r="C13" s="6" t="s">
        <v>17</v>
      </c>
      <c r="D13" s="7" t="s">
        <v>47</v>
      </c>
      <c r="E13" s="8" t="s">
        <v>57</v>
      </c>
      <c r="F13" s="6" t="s">
        <v>58</v>
      </c>
      <c r="G13" s="9" t="s">
        <v>58</v>
      </c>
      <c r="H13" s="10" t="s">
        <v>12</v>
      </c>
      <c r="I13" s="11" t="s">
        <v>12</v>
      </c>
      <c r="J13" s="12"/>
    </row>
    <row r="14" spans="1:10" ht="60" customHeight="1">
      <c r="A14" s="6" t="s">
        <v>45</v>
      </c>
      <c r="B14" s="6" t="s">
        <v>16</v>
      </c>
      <c r="C14" s="6" t="s">
        <v>12</v>
      </c>
      <c r="D14" s="7" t="s">
        <v>59</v>
      </c>
      <c r="E14" s="8" t="s">
        <v>60</v>
      </c>
      <c r="F14" s="6" t="s">
        <v>61</v>
      </c>
      <c r="G14" s="9" t="s">
        <v>61</v>
      </c>
      <c r="H14" s="10" t="s">
        <v>12</v>
      </c>
      <c r="I14" s="11" t="s">
        <v>12</v>
      </c>
      <c r="J14" s="12"/>
    </row>
    <row r="15" spans="1:10" ht="60" customHeight="1">
      <c r="A15" s="6" t="s">
        <v>62</v>
      </c>
      <c r="B15" s="6" t="s">
        <v>10</v>
      </c>
      <c r="C15" s="6" t="s">
        <v>41</v>
      </c>
      <c r="D15" s="7" t="s">
        <v>63</v>
      </c>
      <c r="E15" s="8" t="s">
        <v>64</v>
      </c>
      <c r="F15" s="6" t="s">
        <v>65</v>
      </c>
      <c r="G15" s="9" t="s">
        <v>65</v>
      </c>
      <c r="H15" s="10" t="s">
        <v>12</v>
      </c>
      <c r="I15" s="11" t="s">
        <v>12</v>
      </c>
      <c r="J15" s="12"/>
    </row>
    <row r="16" spans="1:10" ht="60" customHeight="1">
      <c r="A16" s="6" t="s">
        <v>66</v>
      </c>
      <c r="B16" s="6" t="s">
        <v>11</v>
      </c>
      <c r="C16" s="6" t="s">
        <v>12</v>
      </c>
      <c r="D16" s="7" t="s">
        <v>47</v>
      </c>
      <c r="E16" s="8" t="s">
        <v>67</v>
      </c>
      <c r="F16" s="6" t="s">
        <v>68</v>
      </c>
      <c r="G16" s="9" t="s">
        <v>68</v>
      </c>
      <c r="H16" s="10" t="s">
        <v>12</v>
      </c>
      <c r="I16" s="11" t="s">
        <v>12</v>
      </c>
      <c r="J16" s="12"/>
    </row>
    <row r="17" spans="1:10" ht="60" customHeight="1">
      <c r="A17" s="6" t="s">
        <v>69</v>
      </c>
      <c r="B17" s="6" t="s">
        <v>70</v>
      </c>
      <c r="C17" s="6" t="s">
        <v>12</v>
      </c>
      <c r="D17" s="7" t="s">
        <v>71</v>
      </c>
      <c r="E17" s="8" t="s">
        <v>72</v>
      </c>
      <c r="F17" s="6" t="s">
        <v>73</v>
      </c>
      <c r="G17" s="9" t="s">
        <v>73</v>
      </c>
      <c r="H17" s="10" t="s">
        <v>12</v>
      </c>
      <c r="I17" s="11" t="s">
        <v>12</v>
      </c>
      <c r="J17" s="12"/>
    </row>
    <row r="18" spans="1:10" ht="60" customHeight="1">
      <c r="A18" s="6" t="s">
        <v>74</v>
      </c>
      <c r="B18" s="6" t="s">
        <v>62</v>
      </c>
      <c r="C18" s="6" t="s">
        <v>12</v>
      </c>
      <c r="D18" s="7" t="s">
        <v>75</v>
      </c>
      <c r="E18" s="8" t="s">
        <v>76</v>
      </c>
      <c r="F18" s="6" t="s">
        <v>77</v>
      </c>
      <c r="G18" s="9" t="s">
        <v>77</v>
      </c>
      <c r="H18" s="10" t="s">
        <v>12</v>
      </c>
      <c r="I18" s="11" t="s">
        <v>12</v>
      </c>
      <c r="J18" s="12"/>
    </row>
    <row r="19" spans="1:10" ht="60" customHeight="1">
      <c r="A19" s="6" t="s">
        <v>78</v>
      </c>
      <c r="B19" s="6" t="s">
        <v>16</v>
      </c>
      <c r="C19" s="6" t="s">
        <v>12</v>
      </c>
      <c r="D19" s="7" t="s">
        <v>79</v>
      </c>
      <c r="E19" s="8" t="s">
        <v>80</v>
      </c>
      <c r="F19" s="6" t="s">
        <v>81</v>
      </c>
      <c r="G19" s="9" t="s">
        <v>81</v>
      </c>
      <c r="H19" s="10" t="s">
        <v>12</v>
      </c>
      <c r="I19" s="11" t="s">
        <v>12</v>
      </c>
      <c r="J19" s="12"/>
    </row>
    <row r="20" spans="1:10" ht="60" customHeight="1">
      <c r="A20" s="6" t="s">
        <v>82</v>
      </c>
      <c r="B20" s="6" t="s">
        <v>16</v>
      </c>
      <c r="C20" s="6" t="s">
        <v>12</v>
      </c>
      <c r="D20" s="7" t="s">
        <v>83</v>
      </c>
      <c r="E20" s="8" t="s">
        <v>84</v>
      </c>
      <c r="F20" s="6" t="s">
        <v>85</v>
      </c>
      <c r="G20" s="9" t="s">
        <v>85</v>
      </c>
      <c r="H20" s="10" t="s">
        <v>12</v>
      </c>
      <c r="I20" s="11" t="s">
        <v>12</v>
      </c>
      <c r="J20" s="12"/>
    </row>
    <row r="21" spans="1:10" ht="60" customHeight="1">
      <c r="A21" s="6" t="s">
        <v>86</v>
      </c>
      <c r="B21" s="6" t="s">
        <v>87</v>
      </c>
      <c r="C21" s="6" t="s">
        <v>46</v>
      </c>
      <c r="D21" s="7" t="s">
        <v>88</v>
      </c>
      <c r="E21" s="8" t="s">
        <v>89</v>
      </c>
      <c r="F21" s="6" t="s">
        <v>90</v>
      </c>
      <c r="G21" s="9" t="s">
        <v>90</v>
      </c>
      <c r="H21" s="10" t="s">
        <v>12</v>
      </c>
      <c r="I21" s="11" t="s">
        <v>12</v>
      </c>
      <c r="J21" s="12"/>
    </row>
    <row r="22" spans="1:10" ht="60" customHeight="1">
      <c r="A22" s="6" t="s">
        <v>91</v>
      </c>
      <c r="B22" s="6" t="s">
        <v>16</v>
      </c>
      <c r="C22" s="6" t="s">
        <v>12</v>
      </c>
      <c r="D22" s="7" t="s">
        <v>37</v>
      </c>
      <c r="E22" s="8" t="s">
        <v>92</v>
      </c>
      <c r="F22" s="6" t="s">
        <v>93</v>
      </c>
      <c r="G22" s="9" t="s">
        <v>93</v>
      </c>
      <c r="H22" s="10" t="s">
        <v>12</v>
      </c>
      <c r="I22" s="11" t="s">
        <v>12</v>
      </c>
      <c r="J22" s="12"/>
    </row>
    <row r="23" spans="1:10" ht="60" customHeight="1">
      <c r="A23" s="6" t="s">
        <v>70</v>
      </c>
      <c r="B23" s="6" t="s">
        <v>94</v>
      </c>
      <c r="C23" s="6" t="s">
        <v>12</v>
      </c>
      <c r="D23" s="7" t="s">
        <v>37</v>
      </c>
      <c r="E23" s="8" t="s">
        <v>95</v>
      </c>
      <c r="F23" s="6" t="s">
        <v>96</v>
      </c>
      <c r="G23" s="9" t="s">
        <v>96</v>
      </c>
      <c r="H23" s="10" t="s">
        <v>12</v>
      </c>
      <c r="I23" s="11" t="s">
        <v>12</v>
      </c>
      <c r="J23" s="12"/>
    </row>
    <row r="24" spans="1:10" ht="60" customHeight="1">
      <c r="A24" s="6" t="s">
        <v>97</v>
      </c>
      <c r="B24" s="6" t="s">
        <v>11</v>
      </c>
      <c r="C24" s="6" t="s">
        <v>98</v>
      </c>
      <c r="D24" s="7" t="s">
        <v>99</v>
      </c>
      <c r="E24" s="8" t="s">
        <v>100</v>
      </c>
      <c r="F24" s="6" t="s">
        <v>101</v>
      </c>
      <c r="G24" s="9" t="s">
        <v>101</v>
      </c>
      <c r="H24" s="10" t="s">
        <v>12</v>
      </c>
      <c r="I24" s="11" t="s">
        <v>12</v>
      </c>
      <c r="J24" s="12"/>
    </row>
    <row r="25" spans="1:10" ht="60" customHeight="1">
      <c r="A25" s="6" t="s">
        <v>94</v>
      </c>
      <c r="B25" s="6" t="s">
        <v>25</v>
      </c>
      <c r="C25" s="6" t="s">
        <v>17</v>
      </c>
      <c r="D25" s="7" t="s">
        <v>102</v>
      </c>
      <c r="E25" s="8" t="s">
        <v>103</v>
      </c>
      <c r="F25" s="6" t="s">
        <v>104</v>
      </c>
      <c r="G25" s="9" t="s">
        <v>104</v>
      </c>
      <c r="H25" s="10" t="s">
        <v>12</v>
      </c>
      <c r="I25" s="11" t="s">
        <v>12</v>
      </c>
      <c r="J25" s="12"/>
    </row>
    <row r="26" spans="1:10" ht="60" customHeight="1">
      <c r="A26" s="6" t="s">
        <v>105</v>
      </c>
      <c r="B26" s="6" t="s">
        <v>11</v>
      </c>
      <c r="C26" s="6" t="s">
        <v>46</v>
      </c>
      <c r="D26" s="7" t="s">
        <v>106</v>
      </c>
      <c r="E26" s="8" t="s">
        <v>107</v>
      </c>
      <c r="F26" s="6" t="s">
        <v>108</v>
      </c>
      <c r="G26" s="9" t="s">
        <v>108</v>
      </c>
      <c r="H26" s="10" t="s">
        <v>12</v>
      </c>
      <c r="I26" s="11" t="s">
        <v>12</v>
      </c>
      <c r="J26" s="12"/>
    </row>
    <row r="27" spans="1:10" ht="60" customHeight="1">
      <c r="A27" s="6" t="s">
        <v>109</v>
      </c>
      <c r="B27" s="6" t="s">
        <v>82</v>
      </c>
      <c r="C27" s="6" t="s">
        <v>12</v>
      </c>
      <c r="D27" s="7" t="s">
        <v>110</v>
      </c>
      <c r="E27" s="8" t="s">
        <v>111</v>
      </c>
      <c r="F27" s="6" t="s">
        <v>112</v>
      </c>
      <c r="G27" s="9" t="s">
        <v>112</v>
      </c>
      <c r="H27" s="10" t="s">
        <v>12</v>
      </c>
      <c r="I27" s="11" t="s">
        <v>12</v>
      </c>
      <c r="J27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3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113</v>
      </c>
      <c r="B1" s="13" t="s">
        <v>114</v>
      </c>
      <c r="C1" s="13" t="s">
        <v>115</v>
      </c>
      <c r="D1" s="13" t="s">
        <v>116</v>
      </c>
      <c r="E1" s="14" t="s">
        <v>117</v>
      </c>
      <c r="F1" s="15" t="s">
        <v>118</v>
      </c>
      <c r="G1" s="16" t="s">
        <v>119</v>
      </c>
      <c r="H1" s="17" t="s">
        <v>120</v>
      </c>
      <c r="I1" s="18" t="s">
        <v>121</v>
      </c>
      <c r="J1" s="18" t="s">
        <v>122</v>
      </c>
      <c r="K1" s="18" t="s">
        <v>123</v>
      </c>
      <c r="L1" s="19" t="s">
        <v>9</v>
      </c>
    </row>
    <row r="2" spans="1:12">
      <c r="A2" s="20" t="s">
        <v>124</v>
      </c>
    </row>
    <row r="3" spans="1:12">
      <c r="A3" s="20" t="s">
        <v>125</v>
      </c>
      <c r="B3" s="21" t="s">
        <v>126</v>
      </c>
      <c r="C3" s="21" t="s">
        <v>127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128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129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130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131</v>
      </c>
      <c r="B7" s="21" t="s">
        <v>132</v>
      </c>
      <c r="C7" s="21" t="s">
        <v>133</v>
      </c>
      <c r="D7" s="21" t="s">
        <v>134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135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130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136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137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138</v>
      </c>
      <c r="B12" s="21" t="s">
        <v>139</v>
      </c>
      <c r="C12" s="21" t="s">
        <v>140</v>
      </c>
      <c r="D12" s="21" t="s">
        <v>134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141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130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142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143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144</v>
      </c>
      <c r="B17" s="21" t="s">
        <v>145</v>
      </c>
      <c r="C17" s="21" t="s">
        <v>140</v>
      </c>
      <c r="D17" s="21" t="s">
        <v>134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146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147</v>
      </c>
      <c r="B19" s="21" t="s">
        <v>148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149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150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151</v>
      </c>
      <c r="B22" s="21" t="s">
        <v>152</v>
      </c>
      <c r="C22" s="21" t="s">
        <v>153</v>
      </c>
      <c r="D22" s="21" t="s">
        <v>134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154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155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156</v>
      </c>
      <c r="B25" s="21" t="s">
        <v>157</v>
      </c>
      <c r="C25" s="21" t="s">
        <v>140</v>
      </c>
      <c r="D25" s="21" t="s">
        <v>134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158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/>
    </row>
    <row r="28" spans="1:12">
      <c r="A28" s="20" t="s">
        <v>159</v>
      </c>
    </row>
    <row r="29" spans="1:12">
      <c r="A29" s="20" t="s">
        <v>125</v>
      </c>
      <c r="B29" s="21" t="s">
        <v>126</v>
      </c>
      <c r="C29" s="21" t="s">
        <v>127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160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161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162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163</v>
      </c>
      <c r="B33" s="21" t="s">
        <v>164</v>
      </c>
      <c r="C33" s="21" t="s">
        <v>165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166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167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168</v>
      </c>
      <c r="B36" s="21" t="s">
        <v>139</v>
      </c>
      <c r="C36" s="21" t="s">
        <v>140</v>
      </c>
      <c r="D36" s="21" t="s">
        <v>134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141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137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169</v>
      </c>
      <c r="B39" s="21" t="s">
        <v>170</v>
      </c>
      <c r="C39" s="21" t="s">
        <v>140</v>
      </c>
      <c r="D39" s="21" t="s">
        <v>134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128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171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/>
    </row>
    <row r="43" spans="1:12">
      <c r="A43" s="20" t="s">
        <v>172</v>
      </c>
    </row>
    <row r="44" spans="1:12">
      <c r="A44" s="20" t="s">
        <v>173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174</v>
      </c>
      <c r="B45" s="21" t="s">
        <v>126</v>
      </c>
      <c r="C45" s="21" t="s">
        <v>175</v>
      </c>
      <c r="D45" s="21" t="s">
        <v>134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130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155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176</v>
      </c>
      <c r="B48" s="21" t="s">
        <v>139</v>
      </c>
      <c r="C48" s="21" t="s">
        <v>140</v>
      </c>
      <c r="D48" s="21" t="s">
        <v>134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141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137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177</v>
      </c>
      <c r="B51" s="21" t="s">
        <v>139</v>
      </c>
      <c r="C51" s="21" t="s">
        <v>175</v>
      </c>
      <c r="D51" s="21" t="s">
        <v>134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130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178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179</v>
      </c>
      <c r="B54" s="21" t="s">
        <v>145</v>
      </c>
      <c r="C54" s="21" t="s">
        <v>140</v>
      </c>
      <c r="D54" s="21" t="s">
        <v>134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180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181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141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182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183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167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184</v>
      </c>
      <c r="B61" s="21" t="s">
        <v>170</v>
      </c>
      <c r="C61" s="21" t="s">
        <v>140</v>
      </c>
      <c r="D61" s="21" t="s">
        <v>134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185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178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179</v>
      </c>
      <c r="B64" s="21" t="s">
        <v>139</v>
      </c>
      <c r="C64" s="21" t="s">
        <v>140</v>
      </c>
      <c r="D64" s="21" t="s">
        <v>134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/>
    </row>
    <row r="66" spans="1:12">
      <c r="A66" s="20" t="s">
        <v>186</v>
      </c>
    </row>
    <row r="67" spans="1:12">
      <c r="A67" s="20" t="s">
        <v>137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169</v>
      </c>
      <c r="B68" s="21" t="s">
        <v>126</v>
      </c>
      <c r="C68" s="21" t="s">
        <v>140</v>
      </c>
      <c r="D68" s="21" t="s">
        <v>134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187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188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188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189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128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185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167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168</v>
      </c>
      <c r="B76" s="21" t="s">
        <v>139</v>
      </c>
      <c r="C76" s="21" t="s">
        <v>140</v>
      </c>
      <c r="D76" s="21" t="s">
        <v>134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141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190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191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192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193</v>
      </c>
      <c r="B81" s="21" t="s">
        <v>145</v>
      </c>
      <c r="C81" s="21" t="s">
        <v>194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/>
    </row>
    <row r="83" spans="1:12">
      <c r="A83" s="20" t="s">
        <v>195</v>
      </c>
    </row>
    <row r="84" spans="1:12">
      <c r="A84" s="20" t="s">
        <v>196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178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197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198</v>
      </c>
      <c r="B87" s="21" t="s">
        <v>132</v>
      </c>
      <c r="C87" s="21" t="s">
        <v>140</v>
      </c>
      <c r="D87" s="21" t="s">
        <v>134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135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178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199</v>
      </c>
      <c r="B90" s="21" t="s">
        <v>126</v>
      </c>
      <c r="C90" s="21" t="s">
        <v>175</v>
      </c>
      <c r="D90" s="21" t="s">
        <v>134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130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178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198</v>
      </c>
      <c r="B93" s="21" t="s">
        <v>139</v>
      </c>
      <c r="C93" s="21" t="s">
        <v>140</v>
      </c>
      <c r="D93" s="21" t="s">
        <v>134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135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155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156</v>
      </c>
      <c r="B96" s="21" t="s">
        <v>139</v>
      </c>
      <c r="C96" s="21" t="s">
        <v>140</v>
      </c>
      <c r="D96" s="21" t="s">
        <v>134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128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200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166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201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202</v>
      </c>
      <c r="B101" s="21" t="s">
        <v>132</v>
      </c>
      <c r="C101" s="21" t="s">
        <v>175</v>
      </c>
      <c r="D101" s="21" t="s">
        <v>134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130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155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203</v>
      </c>
      <c r="B104" s="21" t="s">
        <v>139</v>
      </c>
      <c r="C104" s="21" t="s">
        <v>133</v>
      </c>
      <c r="D104" s="21" t="s">
        <v>134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/>
    </row>
    <row r="106" spans="1:12">
      <c r="A106" s="20" t="s">
        <v>204</v>
      </c>
    </row>
    <row r="107" spans="1:12">
      <c r="A107" s="20" t="s">
        <v>173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169</v>
      </c>
      <c r="B108" s="21" t="s">
        <v>126</v>
      </c>
      <c r="C108" s="21" t="s">
        <v>140</v>
      </c>
      <c r="D108" s="21" t="s">
        <v>134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187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188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188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205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206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207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178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208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198</v>
      </c>
      <c r="B117" s="21" t="s">
        <v>139</v>
      </c>
      <c r="C117" s="21" t="s">
        <v>140</v>
      </c>
      <c r="D117" s="21" t="s">
        <v>134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158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/>
    </row>
    <row r="120" spans="1:12">
      <c r="A120" s="20" t="s">
        <v>209</v>
      </c>
    </row>
    <row r="121" spans="1:12">
      <c r="A121" s="20" t="s">
        <v>196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178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208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198</v>
      </c>
      <c r="B124" s="21" t="s">
        <v>132</v>
      </c>
      <c r="C124" s="21" t="s">
        <v>140</v>
      </c>
      <c r="D124" s="21" t="s">
        <v>134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135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178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210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211</v>
      </c>
      <c r="B128" s="21" t="s">
        <v>132</v>
      </c>
      <c r="C128" s="21" t="s">
        <v>175</v>
      </c>
      <c r="D128" s="21" t="s">
        <v>134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130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178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198</v>
      </c>
      <c r="B131" s="21" t="s">
        <v>139</v>
      </c>
      <c r="C131" s="21" t="s">
        <v>140</v>
      </c>
      <c r="D131" s="21" t="s">
        <v>134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135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212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137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213</v>
      </c>
      <c r="B135" s="21" t="s">
        <v>126</v>
      </c>
      <c r="C135" s="21" t="s">
        <v>175</v>
      </c>
      <c r="D135" s="21" t="s">
        <v>134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130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201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202</v>
      </c>
      <c r="B138" s="21" t="s">
        <v>139</v>
      </c>
      <c r="C138" s="21" t="s">
        <v>140</v>
      </c>
      <c r="D138" s="21" t="s">
        <v>134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/>
    </row>
    <row r="140" spans="1:12">
      <c r="A140" s="20" t="s">
        <v>214</v>
      </c>
    </row>
    <row r="141" spans="1:12">
      <c r="A141" s="20" t="s">
        <v>215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216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193</v>
      </c>
      <c r="B143" s="21" t="s">
        <v>132</v>
      </c>
      <c r="C143" s="21" t="s">
        <v>194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135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131</v>
      </c>
      <c r="B145" s="21" t="s">
        <v>126</v>
      </c>
      <c r="C145" s="21" t="s">
        <v>133</v>
      </c>
      <c r="D145" s="21" t="s">
        <v>134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217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167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218</v>
      </c>
      <c r="B148" s="21" t="s">
        <v>219</v>
      </c>
      <c r="C148" s="21" t="s">
        <v>140</v>
      </c>
      <c r="D148" s="21" t="s">
        <v>134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147</v>
      </c>
      <c r="B149" s="21" t="s">
        <v>220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221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222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154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155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156</v>
      </c>
      <c r="B154" s="21" t="s">
        <v>145</v>
      </c>
      <c r="C154" s="21" t="s">
        <v>140</v>
      </c>
      <c r="D154" s="21" t="s">
        <v>134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141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160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37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162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223</v>
      </c>
      <c r="B159" s="21" t="s">
        <v>224</v>
      </c>
      <c r="C159" s="21" t="s">
        <v>165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225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226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227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137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169</v>
      </c>
      <c r="B164" s="21" t="s">
        <v>148</v>
      </c>
      <c r="C164" s="21" t="s">
        <v>140</v>
      </c>
      <c r="D164" s="21" t="s">
        <v>134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128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228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229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/>
    </row>
    <row r="169" spans="1:12">
      <c r="A169" s="20" t="s">
        <v>230</v>
      </c>
    </row>
    <row r="170" spans="1:12">
      <c r="A170" s="20" t="s">
        <v>231</v>
      </c>
      <c r="B170" s="21" t="s">
        <v>126</v>
      </c>
      <c r="C170" s="21" t="s">
        <v>153</v>
      </c>
      <c r="D170" s="21" t="s">
        <v>134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232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233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141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234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235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128</v>
      </c>
      <c r="B176" s="21" t="s">
        <v>157</v>
      </c>
      <c r="C176" s="21" t="s">
        <v>153</v>
      </c>
      <c r="D176" s="21" t="s">
        <v>134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236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137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169</v>
      </c>
      <c r="B179" s="21" t="s">
        <v>237</v>
      </c>
      <c r="C179" s="21" t="s">
        <v>175</v>
      </c>
      <c r="D179" s="21" t="s">
        <v>134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166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167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168</v>
      </c>
      <c r="B182" s="21" t="s">
        <v>152</v>
      </c>
      <c r="C182" s="21" t="s">
        <v>140</v>
      </c>
      <c r="D182" s="21" t="s">
        <v>134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/>
    </row>
    <row r="184" spans="1:12">
      <c r="A184" s="20" t="s">
        <v>238</v>
      </c>
    </row>
    <row r="185" spans="1:12">
      <c r="A185" s="20" t="s">
        <v>131</v>
      </c>
      <c r="B185" s="21" t="s">
        <v>219</v>
      </c>
      <c r="C185" s="21" t="s">
        <v>153</v>
      </c>
      <c r="D185" s="21" t="s">
        <v>134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239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160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37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240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241</v>
      </c>
      <c r="B190" s="21" t="s">
        <v>164</v>
      </c>
      <c r="C190" s="21" t="s">
        <v>165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135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225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226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227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137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169</v>
      </c>
      <c r="B196" s="21" t="s">
        <v>237</v>
      </c>
      <c r="C196" s="21" t="s">
        <v>140</v>
      </c>
      <c r="D196" s="21" t="s">
        <v>134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128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228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229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185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178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242</v>
      </c>
      <c r="B202" s="21" t="s">
        <v>157</v>
      </c>
      <c r="C202" s="21" t="s">
        <v>140</v>
      </c>
      <c r="D202" s="21" t="s">
        <v>134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/>
    </row>
    <row r="204" spans="1:12">
      <c r="A204" s="20" t="s">
        <v>243</v>
      </c>
    </row>
    <row r="205" spans="1:12">
      <c r="A205" s="20" t="s">
        <v>244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167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241</v>
      </c>
      <c r="B207" s="21" t="s">
        <v>126</v>
      </c>
      <c r="C207" s="21" t="s">
        <v>140</v>
      </c>
      <c r="D207" s="21" t="s">
        <v>134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135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245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246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247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248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167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249</v>
      </c>
      <c r="B214" s="21" t="s">
        <v>224</v>
      </c>
      <c r="C214" s="21" t="s">
        <v>175</v>
      </c>
      <c r="D214" s="21" t="s">
        <v>134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130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178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250</v>
      </c>
      <c r="B217" s="21" t="s">
        <v>157</v>
      </c>
      <c r="C217" s="21" t="s">
        <v>140</v>
      </c>
      <c r="D217" s="21" t="s">
        <v>134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135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251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207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151</v>
      </c>
      <c r="B221" s="21" t="s">
        <v>132</v>
      </c>
      <c r="C221" s="21" t="s">
        <v>153</v>
      </c>
      <c r="D221" s="21" t="s">
        <v>134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154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155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156</v>
      </c>
      <c r="B224" s="21" t="s">
        <v>132</v>
      </c>
      <c r="C224" s="21" t="s">
        <v>140</v>
      </c>
      <c r="D224" s="21" t="s">
        <v>134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135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252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253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254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255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155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256</v>
      </c>
      <c r="B231" s="21" t="s">
        <v>170</v>
      </c>
      <c r="C231" s="21" t="s">
        <v>140</v>
      </c>
      <c r="D231" s="21" t="s">
        <v>134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166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257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167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168</v>
      </c>
      <c r="B235" s="21" t="s">
        <v>139</v>
      </c>
      <c r="C235" s="21" t="s">
        <v>140</v>
      </c>
      <c r="D235" s="21" t="s">
        <v>134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158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/>
    </row>
    <row r="238" spans="1:12">
      <c r="A238" s="20" t="s">
        <v>258</v>
      </c>
    </row>
    <row r="239" spans="1:12">
      <c r="A239" s="20" t="s">
        <v>259</v>
      </c>
      <c r="B239" s="21" t="s">
        <v>126</v>
      </c>
      <c r="C239" s="21" t="s">
        <v>153</v>
      </c>
      <c r="D239" s="21" t="s">
        <v>134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260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167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261</v>
      </c>
      <c r="B242" s="21" t="s">
        <v>219</v>
      </c>
      <c r="C242" s="21" t="s">
        <v>140</v>
      </c>
      <c r="D242" s="21" t="s">
        <v>134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135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167</v>
      </c>
      <c r="B244" s="21" t="s">
        <v>164</v>
      </c>
      <c r="C244" s="21" t="s">
        <v>153</v>
      </c>
      <c r="D244" s="21" t="s">
        <v>134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262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141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167</v>
      </c>
      <c r="B247" s="21" t="s">
        <v>164</v>
      </c>
      <c r="C247" s="21" t="s">
        <v>153</v>
      </c>
      <c r="D247" s="21" t="s">
        <v>134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160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263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264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130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265</v>
      </c>
      <c r="B252" s="21" t="s">
        <v>145</v>
      </c>
      <c r="C252" s="21" t="s">
        <v>153</v>
      </c>
      <c r="D252" s="21" t="s">
        <v>134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154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155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156</v>
      </c>
      <c r="B255" s="21" t="s">
        <v>145</v>
      </c>
      <c r="C255" s="21" t="s">
        <v>140</v>
      </c>
      <c r="D255" s="21" t="s">
        <v>134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/>
    </row>
    <row r="257" spans="1:12">
      <c r="A257" s="20" t="s">
        <v>266</v>
      </c>
    </row>
    <row r="258" spans="1:12">
      <c r="A258" s="20" t="s">
        <v>267</v>
      </c>
      <c r="B258" s="21" t="s">
        <v>126</v>
      </c>
      <c r="C258" s="21" t="s">
        <v>175</v>
      </c>
      <c r="D258" s="21" t="s">
        <v>134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268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269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193</v>
      </c>
      <c r="B261" s="21" t="s">
        <v>139</v>
      </c>
      <c r="C261" s="21" t="s">
        <v>194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141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130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270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160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37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167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241</v>
      </c>
      <c r="B268" s="21" t="s">
        <v>164</v>
      </c>
      <c r="C268" s="21" t="s">
        <v>175</v>
      </c>
      <c r="D268" s="21" t="s">
        <v>134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185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155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271</v>
      </c>
      <c r="B271" s="21" t="s">
        <v>145</v>
      </c>
      <c r="C271" s="21" t="s">
        <v>140</v>
      </c>
      <c r="D271" s="21" t="s">
        <v>134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/>
    </row>
    <row r="273" spans="1:12">
      <c r="A273" s="20" t="s">
        <v>272</v>
      </c>
    </row>
    <row r="274" spans="1:12">
      <c r="A274" s="20" t="s">
        <v>141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167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241</v>
      </c>
      <c r="B276" s="21" t="s">
        <v>126</v>
      </c>
      <c r="C276" s="21" t="s">
        <v>140</v>
      </c>
      <c r="D276" s="21" t="s">
        <v>134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251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207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151</v>
      </c>
      <c r="B279" s="21" t="s">
        <v>132</v>
      </c>
      <c r="C279" s="21" t="s">
        <v>153</v>
      </c>
      <c r="D279" s="21" t="s">
        <v>134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166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178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273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130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167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274</v>
      </c>
      <c r="B285" s="21" t="s">
        <v>139</v>
      </c>
      <c r="C285" s="21" t="s">
        <v>140</v>
      </c>
      <c r="D285" s="21" t="s">
        <v>134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275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276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135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277</v>
      </c>
      <c r="B289" s="21" t="s">
        <v>170</v>
      </c>
      <c r="C289" s="21" t="s">
        <v>153</v>
      </c>
      <c r="D289" s="21" t="s">
        <v>134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221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154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178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278</v>
      </c>
      <c r="B293" s="21" t="s">
        <v>139</v>
      </c>
      <c r="C293" s="21" t="s">
        <v>140</v>
      </c>
      <c r="D293" s="21" t="s">
        <v>134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162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279</v>
      </c>
      <c r="B295" s="21" t="s">
        <v>164</v>
      </c>
      <c r="C295" s="21" t="s">
        <v>175</v>
      </c>
      <c r="D295" s="21" t="s">
        <v>134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130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280</v>
      </c>
      <c r="B297" s="21" t="s">
        <v>145</v>
      </c>
      <c r="C297" s="21" t="s">
        <v>127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158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/>
    </row>
    <row r="300" spans="1:12">
      <c r="A300" s="20" t="s">
        <v>281</v>
      </c>
    </row>
    <row r="301" spans="1:12">
      <c r="A301" s="20" t="s">
        <v>131</v>
      </c>
      <c r="B301" s="21" t="s">
        <v>132</v>
      </c>
      <c r="C301" s="21" t="s">
        <v>153</v>
      </c>
      <c r="D301" s="21" t="s">
        <v>134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282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147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137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169</v>
      </c>
      <c r="B305" s="21" t="s">
        <v>170</v>
      </c>
      <c r="C305" s="21" t="s">
        <v>140</v>
      </c>
      <c r="D305" s="21" t="s">
        <v>134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128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149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229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185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167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168</v>
      </c>
      <c r="B311" s="21" t="s">
        <v>139</v>
      </c>
      <c r="C311" s="21" t="s">
        <v>140</v>
      </c>
      <c r="D311" s="21" t="s">
        <v>134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/>
    </row>
    <row r="313" spans="1:12">
      <c r="A313" s="20" t="s">
        <v>283</v>
      </c>
    </row>
    <row r="314" spans="1:12">
      <c r="A314" s="20" t="s">
        <v>284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268</v>
      </c>
      <c r="B315" s="21" t="s">
        <v>219</v>
      </c>
      <c r="C315" s="21" t="s">
        <v>285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269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193</v>
      </c>
      <c r="B317" s="21" t="s">
        <v>139</v>
      </c>
      <c r="C317" s="21" t="s">
        <v>194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135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239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286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26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167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241</v>
      </c>
      <c r="B323" s="21" t="s">
        <v>224</v>
      </c>
      <c r="C323" s="21" t="s">
        <v>140</v>
      </c>
      <c r="D323" s="21" t="s">
        <v>134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275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/>
    </row>
    <row r="326" spans="1:12">
      <c r="A326" s="20" t="s">
        <v>287</v>
      </c>
    </row>
    <row r="327" spans="1:12">
      <c r="A327" s="20" t="s">
        <v>277</v>
      </c>
      <c r="B327" s="21" t="s">
        <v>126</v>
      </c>
      <c r="C327" s="21" t="s">
        <v>153</v>
      </c>
      <c r="D327" s="21" t="s">
        <v>134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245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251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288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185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151</v>
      </c>
      <c r="B332" s="21" t="s">
        <v>132</v>
      </c>
      <c r="C332" s="21" t="s">
        <v>153</v>
      </c>
      <c r="D332" s="21" t="s">
        <v>134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/>
    </row>
    <row r="334" spans="1:12">
      <c r="A334" s="20" t="s">
        <v>289</v>
      </c>
    </row>
    <row r="335" spans="1:12">
      <c r="A335" s="20" t="s">
        <v>290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291</v>
      </c>
      <c r="B336" s="21" t="s">
        <v>132</v>
      </c>
      <c r="C336" s="21" t="s">
        <v>175</v>
      </c>
      <c r="D336" s="21" t="s">
        <v>134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292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130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167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293</v>
      </c>
      <c r="B340" s="21" t="s">
        <v>139</v>
      </c>
      <c r="C340" s="21" t="s">
        <v>175</v>
      </c>
      <c r="D340" s="21" t="s">
        <v>134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130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131</v>
      </c>
      <c r="B342" s="21" t="s">
        <v>145</v>
      </c>
      <c r="C342" s="21" t="s">
        <v>133</v>
      </c>
      <c r="D342" s="21" t="s">
        <v>134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135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178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210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198</v>
      </c>
      <c r="B346" s="21" t="s">
        <v>132</v>
      </c>
      <c r="C346" s="21" t="s">
        <v>140</v>
      </c>
      <c r="D346" s="21" t="s">
        <v>134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135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178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210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211</v>
      </c>
      <c r="B350" s="21" t="s">
        <v>132</v>
      </c>
      <c r="C350" s="21" t="s">
        <v>175</v>
      </c>
      <c r="D350" s="21" t="s">
        <v>134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130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178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198</v>
      </c>
      <c r="B353" s="21" t="s">
        <v>139</v>
      </c>
      <c r="C353" s="21" t="s">
        <v>140</v>
      </c>
      <c r="D353" s="21" t="s">
        <v>134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135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137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169</v>
      </c>
      <c r="B356" s="21" t="s">
        <v>126</v>
      </c>
      <c r="C356" s="21" t="s">
        <v>140</v>
      </c>
      <c r="D356" s="21" t="s">
        <v>134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128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149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294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166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167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168</v>
      </c>
      <c r="B362" s="21" t="s">
        <v>132</v>
      </c>
      <c r="C362" s="21" t="s">
        <v>140</v>
      </c>
      <c r="D362" s="21" t="s">
        <v>134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275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/>
    </row>
    <row r="365" spans="1:12">
      <c r="A365" s="20" t="s">
        <v>295</v>
      </c>
    </row>
    <row r="366" spans="1:12">
      <c r="A366" s="20" t="s">
        <v>131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296</v>
      </c>
      <c r="B367" s="21" t="s">
        <v>126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167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297</v>
      </c>
      <c r="B369" s="21" t="s">
        <v>164</v>
      </c>
      <c r="C369" s="21" t="s">
        <v>175</v>
      </c>
      <c r="D369" s="21" t="s">
        <v>134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130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155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156</v>
      </c>
      <c r="B372" s="21" t="s">
        <v>145</v>
      </c>
      <c r="C372" s="21" t="s">
        <v>140</v>
      </c>
      <c r="D372" s="21" t="s">
        <v>134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298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276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167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299</v>
      </c>
      <c r="B376" s="21" t="s">
        <v>139</v>
      </c>
      <c r="C376" s="21" t="s">
        <v>175</v>
      </c>
      <c r="D376" s="21" t="s">
        <v>134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130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178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242</v>
      </c>
      <c r="B379" s="21" t="s">
        <v>145</v>
      </c>
      <c r="C379" s="21" t="s">
        <v>140</v>
      </c>
      <c r="D379" s="21" t="s">
        <v>134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254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300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/>
    </row>
    <row r="383" spans="1:12">
      <c r="A383" s="20" t="s">
        <v>301</v>
      </c>
    </row>
    <row r="384" spans="1:12">
      <c r="A384" s="20" t="s">
        <v>196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178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302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198</v>
      </c>
      <c r="B387" s="21" t="s">
        <v>132</v>
      </c>
      <c r="C387" s="21" t="s">
        <v>140</v>
      </c>
      <c r="D387" s="21" t="s">
        <v>134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135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178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303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130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178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198</v>
      </c>
      <c r="B393" s="21" t="s">
        <v>139</v>
      </c>
      <c r="C393" s="21" t="s">
        <v>140</v>
      </c>
      <c r="D393" s="21" t="s">
        <v>134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135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257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167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168</v>
      </c>
      <c r="B397" s="21" t="s">
        <v>126</v>
      </c>
      <c r="C397" s="21" t="s">
        <v>140</v>
      </c>
      <c r="D397" s="21" t="s">
        <v>134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182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300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/>
    </row>
    <row r="401" spans="1:12">
      <c r="A401" s="20" t="s">
        <v>304</v>
      </c>
    </row>
    <row r="402" spans="1:12">
      <c r="A402" s="20" t="s">
        <v>125</v>
      </c>
      <c r="B402" s="21" t="s">
        <v>126</v>
      </c>
      <c r="C402" s="21" t="s">
        <v>127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305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207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131</v>
      </c>
      <c r="B405" s="21" t="s">
        <v>132</v>
      </c>
      <c r="C405" s="21" t="s">
        <v>133</v>
      </c>
      <c r="D405" s="21" t="s">
        <v>134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/>
    </row>
    <row r="407" spans="1:12">
      <c r="A407" s="20" t="s">
        <v>306</v>
      </c>
    </row>
    <row r="408" spans="1:12">
      <c r="A408" s="20" t="s">
        <v>307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308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185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155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156</v>
      </c>
      <c r="B412" s="21" t="s">
        <v>132</v>
      </c>
      <c r="C412" s="21" t="s">
        <v>140</v>
      </c>
      <c r="D412" s="21" t="s">
        <v>134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309</v>
      </c>
      <c r="B413" s="21" t="s">
        <v>219</v>
      </c>
      <c r="C413" s="21" t="s">
        <v>153</v>
      </c>
      <c r="D413" s="21" t="s">
        <v>134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141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310</v>
      </c>
      <c r="B415" s="21" t="s">
        <v>145</v>
      </c>
      <c r="C415" s="21" t="s">
        <v>311</v>
      </c>
      <c r="D415" s="21" t="s">
        <v>134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312</v>
      </c>
      <c r="B416" s="21" t="s">
        <v>139</v>
      </c>
      <c r="C416" s="21" t="s">
        <v>313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135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201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314</v>
      </c>
      <c r="B419" s="21" t="s">
        <v>139</v>
      </c>
      <c r="C419" s="21" t="s">
        <v>311</v>
      </c>
      <c r="D419" s="21" t="s">
        <v>134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315</v>
      </c>
      <c r="B420" s="21" t="s">
        <v>126</v>
      </c>
      <c r="C420" s="21" t="s">
        <v>175</v>
      </c>
      <c r="D420" s="21" t="s">
        <v>134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141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137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316</v>
      </c>
      <c r="B423" s="21" t="s">
        <v>139</v>
      </c>
      <c r="C423" s="21" t="s">
        <v>175</v>
      </c>
      <c r="D423" s="21" t="s">
        <v>134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130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201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314</v>
      </c>
      <c r="B426" s="21" t="s">
        <v>157</v>
      </c>
      <c r="C426" s="21" t="s">
        <v>311</v>
      </c>
      <c r="D426" s="21" t="s">
        <v>134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315</v>
      </c>
      <c r="B427" s="21" t="s">
        <v>145</v>
      </c>
      <c r="C427" s="21" t="s">
        <v>140</v>
      </c>
      <c r="D427" s="21" t="s">
        <v>134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150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317</v>
      </c>
      <c r="B429" s="21" t="s">
        <v>139</v>
      </c>
      <c r="C429" s="21" t="s">
        <v>153</v>
      </c>
      <c r="D429" s="21" t="s">
        <v>134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/>
    </row>
    <row r="431" spans="1:12">
      <c r="A431" s="20" t="s">
        <v>318</v>
      </c>
    </row>
    <row r="432" spans="1:12">
      <c r="A432" s="20" t="s">
        <v>319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143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144</v>
      </c>
      <c r="B434" s="21" t="s">
        <v>126</v>
      </c>
      <c r="C434" s="21" t="s">
        <v>175</v>
      </c>
      <c r="D434" s="21" t="s">
        <v>134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320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321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322</v>
      </c>
      <c r="B437" s="21" t="s">
        <v>139</v>
      </c>
      <c r="C437" s="21" t="s">
        <v>313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147</v>
      </c>
      <c r="B438" s="21" t="s">
        <v>224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323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150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317</v>
      </c>
      <c r="B441" s="21" t="s">
        <v>145</v>
      </c>
      <c r="C441" s="21" t="s">
        <v>153</v>
      </c>
      <c r="D441" s="21" t="s">
        <v>134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135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324</v>
      </c>
      <c r="B443" s="21" t="s">
        <v>157</v>
      </c>
      <c r="C443" s="21" t="s">
        <v>127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135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325</v>
      </c>
      <c r="B445" s="21" t="s">
        <v>157</v>
      </c>
      <c r="C445" s="21" t="s">
        <v>127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141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142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201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326</v>
      </c>
      <c r="B449" s="21" t="s">
        <v>157</v>
      </c>
      <c r="C449" s="21" t="s">
        <v>140</v>
      </c>
      <c r="D449" s="21" t="s">
        <v>134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147</v>
      </c>
      <c r="B450" s="21" t="s">
        <v>327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328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166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167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168</v>
      </c>
      <c r="B454" s="21" t="s">
        <v>329</v>
      </c>
      <c r="C454" s="21" t="s">
        <v>140</v>
      </c>
      <c r="D454" s="21" t="s">
        <v>134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135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330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37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150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317</v>
      </c>
      <c r="B459" s="21" t="s">
        <v>145</v>
      </c>
      <c r="C459" s="21" t="s">
        <v>153</v>
      </c>
      <c r="D459" s="21" t="s">
        <v>134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135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252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331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332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128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166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167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168</v>
      </c>
      <c r="B467" s="21" t="s">
        <v>139</v>
      </c>
      <c r="C467" s="21" t="s">
        <v>140</v>
      </c>
      <c r="D467" s="21" t="s">
        <v>134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135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333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334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141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128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335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166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130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277</v>
      </c>
      <c r="B476" s="21" t="s">
        <v>139</v>
      </c>
      <c r="C476" s="21" t="s">
        <v>153</v>
      </c>
      <c r="D476" s="21" t="s">
        <v>134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336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/>
    </row>
    <row r="479" spans="1:12">
      <c r="A479" s="20" t="s">
        <v>337</v>
      </c>
    </row>
    <row r="480" spans="1:12">
      <c r="A480" s="20" t="s">
        <v>131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232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150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201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315</v>
      </c>
      <c r="B484" s="21" t="s">
        <v>132</v>
      </c>
      <c r="C484" s="21" t="s">
        <v>140</v>
      </c>
      <c r="D484" s="21" t="s">
        <v>134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135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167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312</v>
      </c>
      <c r="B487" s="21" t="s">
        <v>126</v>
      </c>
      <c r="C487" s="21" t="s">
        <v>140</v>
      </c>
      <c r="D487" s="21" t="s">
        <v>134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141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137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316</v>
      </c>
      <c r="B490" s="21" t="s">
        <v>139</v>
      </c>
      <c r="C490" s="21" t="s">
        <v>175</v>
      </c>
      <c r="D490" s="21" t="s">
        <v>134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130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201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315</v>
      </c>
      <c r="B493" s="21" t="s">
        <v>145</v>
      </c>
      <c r="C493" s="21" t="s">
        <v>140</v>
      </c>
      <c r="D493" s="21" t="s">
        <v>134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/>
    </row>
    <row r="495" spans="1:12">
      <c r="A495" s="20" t="s">
        <v>338</v>
      </c>
    </row>
    <row r="496" spans="1:12">
      <c r="A496" s="20" t="s">
        <v>319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201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339</v>
      </c>
      <c r="B498" s="21" t="s">
        <v>126</v>
      </c>
      <c r="C498" s="21" t="s">
        <v>140</v>
      </c>
      <c r="D498" s="21" t="s">
        <v>134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141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340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178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325</v>
      </c>
      <c r="B502" s="21" t="s">
        <v>139</v>
      </c>
      <c r="C502" s="21" t="s">
        <v>140</v>
      </c>
      <c r="D502" s="21" t="s">
        <v>134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141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142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143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324</v>
      </c>
      <c r="B506" s="21" t="s">
        <v>139</v>
      </c>
      <c r="C506" s="21" t="s">
        <v>140</v>
      </c>
      <c r="D506" s="21" t="s">
        <v>134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141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142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201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326</v>
      </c>
      <c r="B510" s="21" t="s">
        <v>145</v>
      </c>
      <c r="C510" s="21" t="s">
        <v>140</v>
      </c>
      <c r="D510" s="21" t="s">
        <v>134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147</v>
      </c>
      <c r="B511" s="21" t="s">
        <v>148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328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166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167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168</v>
      </c>
      <c r="B515" s="21" t="s">
        <v>152</v>
      </c>
      <c r="C515" s="21" t="s">
        <v>140</v>
      </c>
      <c r="D515" s="21" t="s">
        <v>134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135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302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167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 t="s">
        <v>341</v>
      </c>
      <c r="B519" s="21" t="s">
        <v>139</v>
      </c>
      <c r="C519" s="21" t="s">
        <v>311</v>
      </c>
      <c r="D519" s="21" t="s">
        <v>134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322</v>
      </c>
      <c r="B520" s="21" t="s">
        <v>132</v>
      </c>
      <c r="C520" s="21" t="s">
        <v>140</v>
      </c>
      <c r="D520" s="21" t="s">
        <v>134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135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342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185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155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156</v>
      </c>
      <c r="B525" s="21" t="s">
        <v>132</v>
      </c>
      <c r="C525" s="21" t="s">
        <v>140</v>
      </c>
      <c r="D525" s="21" t="s">
        <v>134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/>
    </row>
    <row r="527" spans="1:12">
      <c r="A527" s="20" t="s">
        <v>343</v>
      </c>
    </row>
    <row r="528" spans="1:12">
      <c r="A528" s="20" t="s">
        <v>344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131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345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 t="s">
        <v>162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 t="s">
        <v>346</v>
      </c>
      <c r="B532" s="21" t="s">
        <v>219</v>
      </c>
      <c r="C532" s="21" t="s">
        <v>175</v>
      </c>
      <c r="D532" s="21" t="s">
        <v>134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 t="s">
        <v>207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178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347</v>
      </c>
      <c r="B535" s="21" t="s">
        <v>139</v>
      </c>
      <c r="C535" s="21" t="s">
        <v>133</v>
      </c>
      <c r="D535" s="21" t="s">
        <v>134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275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262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321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348</v>
      </c>
      <c r="B539" s="21" t="s">
        <v>164</v>
      </c>
      <c r="C539" s="21" t="s">
        <v>175</v>
      </c>
      <c r="D539" s="21" t="s">
        <v>134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130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 t="s">
        <v>144</v>
      </c>
      <c r="B541" s="21" t="s">
        <v>145</v>
      </c>
      <c r="C541" s="21" t="s">
        <v>127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 t="s">
        <v>349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141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130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324</v>
      </c>
      <c r="B545" s="21" t="s">
        <v>157</v>
      </c>
      <c r="C545" s="21" t="s">
        <v>127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349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141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 t="s">
        <v>350</v>
      </c>
      <c r="E548" s="22">
        <f>IF(D548="?OLD","!!!","")</f>
        <v/>
      </c>
      <c r="F548" s="23" t="str">
        <f>IF(OR(E548="",E548="!!!"),"",IF(NOT(ISNA(VLOOKUP(E548,E$1:E547,1,FALSE()))),"OLD",IF(AND(E548&lt;&gt;"",E548&lt;&gt;"!!!"),"NEW","")))</f>
        <v> </v>
      </c>
      <c r="G548" s="24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5" t="str">
        <f>IF(J548&lt;&gt;1,"",IF(I548="SBJ","CB","?"))</f>
        <v> </v>
      </c>
      <c r="I548" s="26" t="str">
        <f>IF(OR(E548="",E548="!!!",F548="NEW"),"",INDEX(B547:B$2,-1+SUMPRODUCT(MAX(ROW(E547:E$2)*(E548=E547:E$2)))))</f>
        <v> </v>
      </c>
      <c r="J548" s="26" t="str">
        <f>IF(OR(E548="",E548="!!!",F548="NEW"),"",COUNTBLANK(OFFSET(A$1,,,SUMPRODUCT(MAX(ROW(E$2:E548)*(E548=E$2:E548)))))-COUNTBLANK(OFFSET(A$1,,,SUMPRODUCT(MAX(ROW(E$1:E547)*(E2=E$1:E547))))))</f>
        <v> </v>
      </c>
      <c r="K548" s="26" t="str">
        <f>IF(OR(E548="",E548="!!!",F548="NEW"),"",INDEX(J$1:J547,SUMPRODUCT(MAX(ROW(E$1:E547)*(E548=E$1:E547)))))</f>
        <v> </v>
      </c>
      <c r="L548" s="27"/>
    </row>
    <row r="549" spans="1:12">
      <c r="A549" s="20" t="s">
        <v>351</v>
      </c>
      <c r="B549" s="21" t="s">
        <v>164</v>
      </c>
      <c r="C549" s="21" t="s">
        <v>175</v>
      </c>
      <c r="D549" s="21" t="s">
        <v>134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166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155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346</v>
      </c>
      <c r="B552" s="21" t="s">
        <v>145</v>
      </c>
      <c r="C552" s="21" t="s">
        <v>140</v>
      </c>
      <c r="D552" s="21" t="s">
        <v>134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/>
    </row>
    <row r="554" spans="1:12">
      <c r="A554" s="20" t="s">
        <v>352</v>
      </c>
    </row>
    <row r="555" spans="1:12">
      <c r="A555" s="20" t="s">
        <v>353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347</v>
      </c>
      <c r="B556" s="21" t="s">
        <v>126</v>
      </c>
      <c r="C556" s="21" t="s">
        <v>133</v>
      </c>
      <c r="D556" s="21" t="s">
        <v>134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133</v>
      </c>
      <c r="B557" s="21" t="s">
        <v>219</v>
      </c>
      <c r="C557" s="21" t="s">
        <v>153</v>
      </c>
      <c r="D557" s="21" t="s">
        <v>134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354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167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355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 t="s">
        <v>356</v>
      </c>
      <c r="B561" s="21" t="s">
        <v>219</v>
      </c>
      <c r="C561" s="21" t="s">
        <v>140</v>
      </c>
      <c r="D561" s="21" t="s">
        <v>134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141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357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358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/>
    </row>
    <row r="566" spans="1:12">
      <c r="A566" s="20" t="s">
        <v>359</v>
      </c>
    </row>
    <row r="567" spans="1:12">
      <c r="A567" s="20" t="s">
        <v>307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 t="s">
        <v>360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361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288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178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242</v>
      </c>
      <c r="B572" s="21" t="s">
        <v>219</v>
      </c>
      <c r="C572" s="21" t="s">
        <v>140</v>
      </c>
      <c r="D572" s="21" t="s">
        <v>134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207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362</v>
      </c>
      <c r="B574" s="21" t="s">
        <v>132</v>
      </c>
      <c r="C574" s="21" t="s">
        <v>175</v>
      </c>
      <c r="D574" s="21" t="s">
        <v>134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130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155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363</v>
      </c>
      <c r="B577" s="21" t="s">
        <v>139</v>
      </c>
      <c r="C577" s="21" t="s">
        <v>140</v>
      </c>
      <c r="D577" s="21" t="s">
        <v>134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135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252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155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364</v>
      </c>
      <c r="B581" s="21" t="s">
        <v>170</v>
      </c>
      <c r="C581" s="21" t="s">
        <v>175</v>
      </c>
      <c r="D581" s="21" t="s">
        <v>134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130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178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365</v>
      </c>
      <c r="B584" s="21" t="s">
        <v>145</v>
      </c>
      <c r="C584" s="21" t="s">
        <v>140</v>
      </c>
      <c r="D584" s="21" t="s">
        <v>134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366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367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368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207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178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369</v>
      </c>
      <c r="B590" s="21" t="s">
        <v>139</v>
      </c>
      <c r="C590" s="21" t="s">
        <v>175</v>
      </c>
      <c r="D590" s="21" t="s">
        <v>134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370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185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167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371</v>
      </c>
      <c r="B594" s="21" t="s">
        <v>145</v>
      </c>
      <c r="C594" s="21" t="s">
        <v>140</v>
      </c>
      <c r="D594" s="21" t="s">
        <v>134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 t="s">
        <v>275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372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373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288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 t="s">
        <v>321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 t="s">
        <v>374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375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376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377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378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/>
    </row>
    <row r="606" spans="1:12">
      <c r="A606" s="20" t="s">
        <v>379</v>
      </c>
    </row>
    <row r="607" spans="1:12">
      <c r="A607" s="20" t="s">
        <v>380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381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167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168</v>
      </c>
      <c r="B610" s="21" t="s">
        <v>164</v>
      </c>
      <c r="C610" s="21" t="s">
        <v>140</v>
      </c>
      <c r="D610" s="21" t="s">
        <v>134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135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382</v>
      </c>
      <c r="B612" s="21" t="s">
        <v>145</v>
      </c>
      <c r="C612" s="21" t="s">
        <v>127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141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 t="s">
        <v>383</v>
      </c>
      <c r="B614" s="21" t="s">
        <v>145</v>
      </c>
      <c r="C614" s="21" t="s">
        <v>175</v>
      </c>
      <c r="D614" s="21" t="s">
        <v>134</v>
      </c>
      <c r="E614" s="22">
        <f>IF(D614="?OLD","!!!","")</f>
        <v/>
      </c>
      <c r="F614" s="23" t="str">
        <f>IF(OR(E614="",E614="!!!"),"",IF(NOT(ISNA(VLOOKUP(E614,E$1:E613,1,FALSE()))),"OLD",IF(AND(E614&lt;&gt;"",E614&lt;&gt;"!!!"),"NEW","")))</f>
        <v> </v>
      </c>
      <c r="G614" s="24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5" t="str">
        <f>IF(J614&lt;&gt;1,"",IF(I614="SBJ","CB","?"))</f>
        <v> </v>
      </c>
      <c r="I614" s="26" t="str">
        <f>IF(OR(E614="",E614="!!!",F614="NEW"),"",INDEX(B613:B$2,-1+SUMPRODUCT(MAX(ROW(E613:E$2)*(E614=E613:E$2)))))</f>
        <v> </v>
      </c>
      <c r="J614" s="26" t="str">
        <f>IF(OR(E614="",E614="!!!",F614="NEW"),"",COUNTBLANK(OFFSET(A$1,,,SUMPRODUCT(MAX(ROW(E$2:E614)*(E614=E$2:E614)))))-COUNTBLANK(OFFSET(A$1,,,SUMPRODUCT(MAX(ROW(E$1:E613)*(E2=E$1:E613))))))</f>
        <v> </v>
      </c>
      <c r="K614" s="26" t="str">
        <f>IF(OR(E614="",E614="!!!",F614="NEW"),"",INDEX(J$1:J613,SUMPRODUCT(MAX(ROW(E$1:E613)*(E614=E$1:E613)))))</f>
        <v> </v>
      </c>
      <c r="L614" s="27"/>
    </row>
    <row r="615" spans="1:12">
      <c r="A615" s="20" t="s">
        <v>135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 t="s">
        <v>384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141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385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135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386</v>
      </c>
      <c r="B620" s="21" t="s">
        <v>157</v>
      </c>
      <c r="C620" s="21" t="s">
        <v>127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 t="s">
        <v>141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 t="s">
        <v>387</v>
      </c>
      <c r="B622" s="21" t="s">
        <v>152</v>
      </c>
      <c r="C622" s="21" t="s">
        <v>127</v>
      </c>
      <c r="E622" s="22">
        <f>IF(D622="?OLD","!!!","")</f>
        <v/>
      </c>
      <c r="F622" s="23" t="str">
        <f>IF(OR(E622="",E622="!!!"),"",IF(NOT(ISNA(VLOOKUP(E622,E$1:E621,1,FALSE()))),"OLD",IF(AND(E622&lt;&gt;"",E622&lt;&gt;"!!!"),"NEW","")))</f>
        <v> </v>
      </c>
      <c r="G622" s="24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5" t="str">
        <f>IF(J622&lt;&gt;1,"",IF(I622="SBJ","CB","?"))</f>
        <v> </v>
      </c>
      <c r="I622" s="26" t="str">
        <f>IF(OR(E622="",E622="!!!",F622="NEW"),"",INDEX(B621:B$2,-1+SUMPRODUCT(MAX(ROW(E621:E$2)*(E622=E621:E$2)))))</f>
        <v> </v>
      </c>
      <c r="J622" s="26" t="str">
        <f>IF(OR(E622="",E622="!!!",F622="NEW"),"",COUNTBLANK(OFFSET(A$1,,,SUMPRODUCT(MAX(ROW(E$2:E622)*(E622=E$2:E622)))))-COUNTBLANK(OFFSET(A$1,,,SUMPRODUCT(MAX(ROW(E$1:E621)*(E2=E$1:E621))))))</f>
        <v> </v>
      </c>
      <c r="K622" s="26" t="str">
        <f>IF(OR(E622="",E622="!!!",F622="NEW"),"",INDEX(J$1:J621,SUMPRODUCT(MAX(ROW(E$1:E621)*(E622=E$1:E621)))))</f>
        <v> </v>
      </c>
      <c r="L622" s="27"/>
    </row>
    <row r="623" spans="1:12">
      <c r="A623" s="20" t="s">
        <v>135</v>
      </c>
      <c r="E623" s="22">
        <f>IF(D623="?OLD","!!!","")</f>
        <v/>
      </c>
      <c r="F623" s="23" t="str">
        <f>IF(OR(E623="",E623="!!!"),"",IF(NOT(ISNA(VLOOKUP(E623,E$1:E622,1,FALSE()))),"OLD",IF(AND(E623&lt;&gt;"",E623&lt;&gt;"!!!"),"NEW","")))</f>
        <v> </v>
      </c>
      <c r="G623" s="24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5" t="str">
        <f>IF(J623&lt;&gt;1,"",IF(I623="SBJ","CB","?"))</f>
        <v> </v>
      </c>
      <c r="I623" s="26" t="str">
        <f>IF(OR(E623="",E623="!!!",F623="NEW"),"",INDEX(B622:B$2,-1+SUMPRODUCT(MAX(ROW(E622:E$2)*(E623=E622:E$2)))))</f>
        <v> </v>
      </c>
      <c r="J623" s="26" t="str">
        <f>IF(OR(E623="",E623="!!!",F623="NEW"),"",COUNTBLANK(OFFSET(A$1,,,SUMPRODUCT(MAX(ROW(E$2:E623)*(E623=E$2:E623)))))-COUNTBLANK(OFFSET(A$1,,,SUMPRODUCT(MAX(ROW(E$1:E622)*(E2=E$1:E622))))))</f>
        <v> </v>
      </c>
      <c r="K623" s="26" t="str">
        <f>IF(OR(E623="",E623="!!!",F623="NEW"),"",INDEX(J$1:J622,SUMPRODUCT(MAX(ROW(E$1:E622)*(E623=E$1:E622)))))</f>
        <v> </v>
      </c>
      <c r="L623" s="27"/>
    </row>
    <row r="624" spans="1:12">
      <c r="A624" s="20" t="s">
        <v>211</v>
      </c>
      <c r="B624" s="21" t="s">
        <v>145</v>
      </c>
      <c r="C624" s="21" t="s">
        <v>127</v>
      </c>
      <c r="E624" s="22">
        <f>IF(D624="?OLD","!!!","")</f>
        <v/>
      </c>
      <c r="F624" s="23" t="str">
        <f>IF(OR(E624="",E624="!!!"),"",IF(NOT(ISNA(VLOOKUP(E624,E$1:E623,1,FALSE()))),"OLD",IF(AND(E624&lt;&gt;"",E624&lt;&gt;"!!!"),"NEW","")))</f>
        <v> </v>
      </c>
      <c r="G624" s="24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5" t="str">
        <f>IF(J624&lt;&gt;1,"",IF(I624="SBJ","CB","?"))</f>
        <v> </v>
      </c>
      <c r="I624" s="26" t="str">
        <f>IF(OR(E624="",E624="!!!",F624="NEW"),"",INDEX(B623:B$2,-1+SUMPRODUCT(MAX(ROW(E623:E$2)*(E624=E623:E$2)))))</f>
        <v> </v>
      </c>
      <c r="J624" s="26" t="str">
        <f>IF(OR(E624="",E624="!!!",F624="NEW"),"",COUNTBLANK(OFFSET(A$1,,,SUMPRODUCT(MAX(ROW(E$2:E624)*(E624=E$2:E624)))))-COUNTBLANK(OFFSET(A$1,,,SUMPRODUCT(MAX(ROW(E$1:E623)*(E2=E$1:E623))))))</f>
        <v> </v>
      </c>
      <c r="K624" s="26" t="str">
        <f>IF(OR(E624="",E624="!!!",F624="NEW"),"",INDEX(J$1:J623,SUMPRODUCT(MAX(ROW(E$1:E623)*(E624=E$1:E623)))))</f>
        <v> </v>
      </c>
      <c r="L624" s="27"/>
    </row>
    <row r="625" spans="1:12">
      <c r="A625" s="20" t="s">
        <v>141</v>
      </c>
      <c r="E625" s="22">
        <f>IF(D625="?OLD","!!!","")</f>
        <v/>
      </c>
      <c r="F625" s="23" t="str">
        <f>IF(OR(E625="",E625="!!!"),"",IF(NOT(ISNA(VLOOKUP(E625,E$1:E624,1,FALSE()))),"OLD",IF(AND(E625&lt;&gt;"",E625&lt;&gt;"!!!"),"NEW","")))</f>
        <v> </v>
      </c>
      <c r="G625" s="24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5" t="str">
        <f>IF(J625&lt;&gt;1,"",IF(I625="SBJ","CB","?"))</f>
        <v> </v>
      </c>
      <c r="I625" s="26" t="str">
        <f>IF(OR(E625="",E625="!!!",F625="NEW"),"",INDEX(B624:B$2,-1+SUMPRODUCT(MAX(ROW(E624:E$2)*(E625=E624:E$2)))))</f>
        <v> </v>
      </c>
      <c r="J625" s="26" t="str">
        <f>IF(OR(E625="",E625="!!!",F625="NEW"),"",COUNTBLANK(OFFSET(A$1,,,SUMPRODUCT(MAX(ROW(E$2:E625)*(E625=E$2:E625)))))-COUNTBLANK(OFFSET(A$1,,,SUMPRODUCT(MAX(ROW(E$1:E624)*(E2=E$1:E624))))))</f>
        <v> </v>
      </c>
      <c r="K625" s="26" t="str">
        <f>IF(OR(E625="",E625="!!!",F625="NEW"),"",INDEX(J$1:J624,SUMPRODUCT(MAX(ROW(E$1:E624)*(E625=E$1:E624)))))</f>
        <v> </v>
      </c>
      <c r="L625" s="27"/>
    </row>
    <row r="626" spans="1:12">
      <c r="A626" s="20" t="s">
        <v>388</v>
      </c>
      <c r="B626" s="21" t="s">
        <v>145</v>
      </c>
      <c r="C626" s="21" t="s">
        <v>127</v>
      </c>
      <c r="E626" s="22">
        <f>IF(D626="?OLD","!!!","")</f>
        <v/>
      </c>
      <c r="F626" s="23" t="str">
        <f>IF(OR(E626="",E626="!!!"),"",IF(NOT(ISNA(VLOOKUP(E626,E$1:E625,1,FALSE()))),"OLD",IF(AND(E626&lt;&gt;"",E626&lt;&gt;"!!!"),"NEW","")))</f>
        <v> </v>
      </c>
      <c r="G626" s="24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5" t="str">
        <f>IF(J626&lt;&gt;1,"",IF(I626="SBJ","CB","?"))</f>
        <v> </v>
      </c>
      <c r="I626" s="26" t="str">
        <f>IF(OR(E626="",E626="!!!",F626="NEW"),"",INDEX(B625:B$2,-1+SUMPRODUCT(MAX(ROW(E625:E$2)*(E626=E625:E$2)))))</f>
        <v> </v>
      </c>
      <c r="J626" s="26" t="str">
        <f>IF(OR(E626="",E626="!!!",F626="NEW"),"",COUNTBLANK(OFFSET(A$1,,,SUMPRODUCT(MAX(ROW(E$2:E626)*(E626=E$2:E626)))))-COUNTBLANK(OFFSET(A$1,,,SUMPRODUCT(MAX(ROW(E$1:E625)*(E2=E$1:E625))))))</f>
        <v> </v>
      </c>
      <c r="K626" s="26" t="str">
        <f>IF(OR(E626="",E626="!!!",F626="NEW"),"",INDEX(J$1:J625,SUMPRODUCT(MAX(ROW(E$1:E625)*(E626=E$1:E625)))))</f>
        <v> </v>
      </c>
      <c r="L626" s="27"/>
    </row>
    <row r="627" spans="1:12">
      <c r="A627" s="20" t="s">
        <v>245</v>
      </c>
      <c r="E627" s="22">
        <f>IF(D627="?OLD","!!!","")</f>
        <v/>
      </c>
      <c r="F627" s="23" t="str">
        <f>IF(OR(E627="",E627="!!!"),"",IF(NOT(ISNA(VLOOKUP(E627,E$1:E626,1,FALSE()))),"OLD",IF(AND(E627&lt;&gt;"",E627&lt;&gt;"!!!"),"NEW","")))</f>
        <v> </v>
      </c>
      <c r="G627" s="24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5" t="str">
        <f>IF(J627&lt;&gt;1,"",IF(I627="SBJ","CB","?"))</f>
        <v> </v>
      </c>
      <c r="I627" s="26" t="str">
        <f>IF(OR(E627="",E627="!!!",F627="NEW"),"",INDEX(B626:B$2,-1+SUMPRODUCT(MAX(ROW(E626:E$2)*(E627=E626:E$2)))))</f>
        <v> </v>
      </c>
      <c r="J627" s="26" t="str">
        <f>IF(OR(E627="",E627="!!!",F627="NEW"),"",COUNTBLANK(OFFSET(A$1,,,SUMPRODUCT(MAX(ROW(E$2:E627)*(E627=E$2:E627)))))-COUNTBLANK(OFFSET(A$1,,,SUMPRODUCT(MAX(ROW(E$1:E626)*(E2=E$1:E626))))))</f>
        <v> </v>
      </c>
      <c r="K627" s="26" t="str">
        <f>IF(OR(E627="",E627="!!!",F627="NEW"),"",INDEX(J$1:J626,SUMPRODUCT(MAX(ROW(E$1:E626)*(E627=E$1:E626)))))</f>
        <v> </v>
      </c>
      <c r="L627" s="27"/>
    </row>
    <row r="628" spans="1:12">
      <c r="A628" s="20" t="s">
        <v>389</v>
      </c>
      <c r="E628" s="22">
        <f>IF(D628="?OLD","!!!","")</f>
        <v/>
      </c>
      <c r="F628" s="23" t="str">
        <f>IF(OR(E628="",E628="!!!"),"",IF(NOT(ISNA(VLOOKUP(E628,E$1:E627,1,FALSE()))),"OLD",IF(AND(E628&lt;&gt;"",E628&lt;&gt;"!!!"),"NEW","")))</f>
        <v> </v>
      </c>
      <c r="G628" s="24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5" t="str">
        <f>IF(J628&lt;&gt;1,"",IF(I628="SBJ","CB","?"))</f>
        <v> </v>
      </c>
      <c r="I628" s="26" t="str">
        <f>IF(OR(E628="",E628="!!!",F628="NEW"),"",INDEX(B627:B$2,-1+SUMPRODUCT(MAX(ROW(E627:E$2)*(E628=E627:E$2)))))</f>
        <v> </v>
      </c>
      <c r="J628" s="26" t="str">
        <f>IF(OR(E628="",E628="!!!",F628="NEW"),"",COUNTBLANK(OFFSET(A$1,,,SUMPRODUCT(MAX(ROW(E$2:E628)*(E628=E$2:E628)))))-COUNTBLANK(OFFSET(A$1,,,SUMPRODUCT(MAX(ROW(E$1:E627)*(E2=E$1:E627))))))</f>
        <v> </v>
      </c>
      <c r="K628" s="26" t="str">
        <f>IF(OR(E628="",E628="!!!",F628="NEW"),"",INDEX(J$1:J627,SUMPRODUCT(MAX(ROW(E$1:E627)*(E628=E$1:E627)))))</f>
        <v> </v>
      </c>
      <c r="L628" s="27"/>
    </row>
    <row r="629" spans="1:12">
      <c r="A629" s="20" t="s">
        <v>336</v>
      </c>
      <c r="E629" s="22">
        <f>IF(D629="?OLD","!!!","")</f>
        <v/>
      </c>
      <c r="F629" s="23" t="str">
        <f>IF(OR(E629="",E629="!!!"),"",IF(NOT(ISNA(VLOOKUP(E629,E$1:E628,1,FALSE()))),"OLD",IF(AND(E629&lt;&gt;"",E629&lt;&gt;"!!!"),"NEW","")))</f>
        <v> </v>
      </c>
      <c r="G629" s="24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5" t="str">
        <f>IF(J629&lt;&gt;1,"",IF(I629="SBJ","CB","?"))</f>
        <v> </v>
      </c>
      <c r="I629" s="26" t="str">
        <f>IF(OR(E629="",E629="!!!",F629="NEW"),"",INDEX(B628:B$2,-1+SUMPRODUCT(MAX(ROW(E628:E$2)*(E629=E628:E$2)))))</f>
        <v> </v>
      </c>
      <c r="J629" s="26" t="str">
        <f>IF(OR(E629="",E629="!!!",F629="NEW"),"",COUNTBLANK(OFFSET(A$1,,,SUMPRODUCT(MAX(ROW(E$2:E629)*(E629=E$2:E629)))))-COUNTBLANK(OFFSET(A$1,,,SUMPRODUCT(MAX(ROW(E$1:E628)*(E2=E$1:E628))))))</f>
        <v> </v>
      </c>
      <c r="K629" s="26" t="str">
        <f>IF(OR(E629="",E629="!!!",F629="NEW"),"",INDEX(J$1:J628,SUMPRODUCT(MAX(ROW(E$1:E628)*(E629=E$1:E628)))))</f>
        <v> </v>
      </c>
      <c r="L629" s="27"/>
    </row>
    <row r="630" spans="1:12">
      <c r="A630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2026-01-26T16:53:21Z</dcterms:created>
  <dcterms:modified xsi:type="dcterms:W3CDTF">2026-01-26T16:53:21Z</dcterms:modified>
</cp:coreProperties>
</file>