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<sst xmlns="http://schemas.openxmlformats.org/spreadsheetml/2006/main" count="10946" uniqueCount="2590">
  <si>
    <t>ID</t>
  </si>
  <si>
    <t>PRED_ID</t>
  </si>
  <si>
    <t>MARKER_AUTO</t>
  </si>
  <si>
    <t>PREDICATE</t>
  </si>
  <si>
    <t>TEXT</t>
  </si>
  <si>
    <t>SENTENCE</t>
  </si>
  <si>
    <t>MARKER</t>
  </si>
  <si>
    <t>TARGET</t>
  </si>
  <si>
    <t>RELATION</t>
  </si>
  <si>
    <t>COMMENT</t>
  </si>
  <si>
    <t>1</t>
  </si>
  <si>
    <t>e?</t>
  </si>
  <si>
    <t>sentire</t>
  </si>
  <si>
    <t>Sentivo un funerale nel in il cervello , e i dolenti avanti e indietro andavano , andavano finché sembrò che il senso fosse frantumato .</t>
  </si>
  <si>
    <t>file://conllu/it/teddy-1323.conllu#s1_0</t>
  </si>
  <si>
    <t>_</t>
  </si>
  <si>
    <t>2</t>
  </si>
  <si>
    <t>13</t>
  </si>
  <si>
    <t>quando?</t>
  </si>
  <si>
    <t>battere</t>
  </si>
  <si>
    <t>E quando tutti furono seduti , una funzione , come un tamburo batteva , batteva , finché pensai che la mente si fosse intorpidita .</t>
  </si>
  <si>
    <t>file://conllu/it/teddy-1323.conllu#s2_0</t>
  </si>
  <si>
    <t>3</t>
  </si>
  <si>
    <t>5</t>
  </si>
  <si>
    <t>poi?</t>
  </si>
  <si>
    <t>sollevare</t>
  </si>
  <si>
    <t>E poi li udii sollevare una cassa e cigolare di traverso all' a l' anima con quegli stessi stivali di piombo , ancora , Poi lo spazio iniziò a rintoccare , come se tutti i cieli fossero una campana e l' esistenza , solo un orecchio , ed io , e il silenzio , una razza estranea naufragata , solitaria , qui .</t>
  </si>
  <si>
    <t>file://conllu/it/teddy-1323.conllu#s3_0</t>
  </si>
  <si>
    <t>4</t>
  </si>
  <si>
    <t>9</t>
  </si>
  <si>
    <t>spezzare</t>
  </si>
  <si>
    <t>E poi un' asse nella in la ragione si spezzò , e caddi giù , e giù , e urtai contro un mondo a ogni tuffo e finii di sapere allora . &amp;quot;</t>
  </si>
  <si>
    <t>file://conllu/it/teddy-1323.conllu#s4_0</t>
  </si>
  <si>
    <t>conoscere</t>
  </si>
  <si>
    <t>Conosciamo la depressione attraverso delle di le metafore .</t>
  </si>
  <si>
    <t>file://conllu/it/teddy-1323.conllu#s5_0</t>
  </si>
  <si>
    <t>6</t>
  </si>
  <si>
    <t>riuscire</t>
  </si>
  <si>
    <t>Emily Dickinson riusciva ad esprimerla con il linguaggio , Goya con un' immagine .</t>
  </si>
  <si>
    <t>file://conllu/it/teddy-1323.conllu#s6_0</t>
  </si>
  <si>
    <t>7</t>
  </si>
  <si>
    <t>descrivere</t>
  </si>
  <si>
    <t>Metà dello di lo scopo dell' di l' arte è descrivere questi stati d' animo emblematici .</t>
  </si>
  <si>
    <t>file://conllu/it/teddy-1323.conllu#s7_0</t>
  </si>
  <si>
    <t>8</t>
  </si>
  <si>
    <t>ritenere</t>
  </si>
  <si>
    <t>Quanto a me , mi sono sempre ritenuto un tipo tosto , uno di quelli in grado di sopravvivere se fossi stato mandato in un campo di concentramento .</t>
  </si>
  <si>
    <t>file://conllu/it/teddy-1323.conllu#s8_0</t>
  </si>
  <si>
    <t>10</t>
  </si>
  <si>
    <t>11</t>
  </si>
  <si>
    <t>dopo?</t>
  </si>
  <si>
    <t>tornai</t>
  </si>
  <si>
    <t>Mia madre morì , la relazione che avevo finì , tornai negli in gli Stati Uniti dopo diversi anni trascorsi all' a l' estero , e ho superato indenne tutte queste esperienze .</t>
  </si>
  <si>
    <t>file://conllu/it/teddy-1323.conllu#s10_0</t>
  </si>
  <si>
    <t>12</t>
  </si>
  <si>
    <t>ma?</t>
  </si>
  <si>
    <t>ritrovai</t>
  </si>
  <si>
    <t>Ma nel in il 1994 , tre anni più tardi , mi ritrovai ad aver perso interesse per quasi tutto .</t>
  </si>
  <si>
    <t>file://conllu/it/teddy-1323.conllu#s11_0</t>
  </si>
  <si>
    <t>perché?</t>
  </si>
  <si>
    <t>fare</t>
  </si>
  <si>
    <t>Non volevo fare nessuna delle di le cose che volevo fare prima , e non sapevo perché .</t>
  </si>
  <si>
    <t>file://conllu/it/teddy-1323.conllu#s12_0</t>
  </si>
  <si>
    <t>essere (essere felicità)</t>
  </si>
  <si>
    <t>Il contrario di depressione non è felicità , ma vitalità , ed era la vitalità che sembrava sfuggirmi sfuggir mi in quel momento .</t>
  </si>
  <si>
    <t>file://conllu/it/teddy-1323.conllu#s13_0</t>
  </si>
  <si>
    <t>14</t>
  </si>
  <si>
    <t>Qualsiasi cosa dovessi fare mi sembrava troppo impegnativa .</t>
  </si>
  <si>
    <t>file://conllu/it/teddy-1323.conllu#s14_0</t>
  </si>
  <si>
    <t>15</t>
  </si>
  <si>
    <t>Tornare</t>
  </si>
  <si>
    <t>Tornavo a casa e vedevo la luce rossa lampeggiare sulla su la segreteria telefonica , e invece di non vedere l' ora di sentire i miei amici , pensavo &amp;quot; Quanta gente che devo richiamare . &amp;quot;</t>
  </si>
  <si>
    <t>file://conllu/it/teddy-1323.conllu#s15_0</t>
  </si>
  <si>
    <t>16</t>
  </si>
  <si>
    <t>decidere</t>
  </si>
  <si>
    <t>Quando avrei dovuto decidere di pranzare pensavo :</t>
  </si>
  <si>
    <t>file://conllu/it/teddy-1323.conllu#s16_0</t>
  </si>
  <si>
    <t>17</t>
  </si>
  <si>
    <t>tirare</t>
  </si>
  <si>
    <t>&amp;quot; Dovrei tirar fuori il cibo , metterlo metter lo su un piatto , tagliarlo tagliar lo , masticarlo masticar lo ed ingoiarlo ingoiar lo &amp;quot; , e mi sembrava la Via Crucis .</t>
  </si>
  <si>
    <t>file://conllu/it/teddy-1323.conllu#s17_0</t>
  </si>
  <si>
    <t>18</t>
  </si>
  <si>
    <t>essere</t>
  </si>
  <si>
    <t>Una delle di le cose che spesso si dimentica parlando di depressione è che sai che è una cosa ridicola .</t>
  </si>
  <si>
    <t>file://conllu/it/teddy-1323.conllu#s18_0</t>
  </si>
  <si>
    <t>19</t>
  </si>
  <si>
    <t>sapere</t>
  </si>
  <si>
    <t>Sai che è ridicola mentre ci sei dentro .</t>
  </si>
  <si>
    <t>file://conllu/it/teddy-1323.conllu#s19_0</t>
  </si>
  <si>
    <t>20</t>
  </si>
  <si>
    <t>Sai che molte persone riescono ad ascoltare i propri messaggi , pranzare , organizzarsi organizzar si per fare una doccia ed uscire dalla da la porta principale e che non è un grande sforzo , eppure ti trovi in questa morsa e non riesci a capire come uscirne uscir ne .</t>
  </si>
  <si>
    <t>file://conllu/it/teddy-1323.conllu#s20_0</t>
  </si>
  <si>
    <t>21</t>
  </si>
  <si>
    <t>così?</t>
  </si>
  <si>
    <t>accorrere</t>
  </si>
  <si>
    <t>Così mi accorsi che facevo di meno , pensavo di meno e provavo meno sentimenti .</t>
  </si>
  <si>
    <t>file://conllu/it/teddy-1323.conllu#s21_0</t>
  </si>
  <si>
    <t>22</t>
  </si>
  <si>
    <t>essere (essere sorta)</t>
  </si>
  <si>
    <t>Era una sorta di nulla assoluto .</t>
  </si>
  <si>
    <t>file://conllu/it/teddy-1323.conllu#s22_0</t>
  </si>
  <si>
    <t>23</t>
  </si>
  <si>
    <t>arrivare</t>
  </si>
  <si>
    <t>Poi arrivò l' ansia .</t>
  </si>
  <si>
    <t>file://conllu/it/teddy-1323.conllu#s23_0</t>
  </si>
  <si>
    <t>24</t>
  </si>
  <si>
    <t>se?</t>
  </si>
  <si>
    <t>dire (dire rispondere)</t>
  </si>
  <si>
    <t>Se mi avessero detto che avrei dovuto essere depresso per tutto il mese successivo , avrei risposto &amp;quot; Dato che so che a novembre sarà tutto finito , posso farcela . &amp;quot;</t>
  </si>
  <si>
    <t>file://conllu/it/teddy-1323.conllu#s24_0</t>
  </si>
  <si>
    <t>25</t>
  </si>
  <si>
    <t>piuttosto?</t>
  </si>
  <si>
    <t>soffrire</t>
  </si>
  <si>
    <t>Ma se mi avessero detto , &amp;quot; Devi soffrire di ansia acuta per tutto il prossimo mese &amp;quot; , piuttosto mi sarei tagliato una mano .</t>
  </si>
  <si>
    <t>file://conllu/it/teddy-1323.conllu#s25_0</t>
  </si>
  <si>
    <t>26</t>
  </si>
  <si>
    <t>come?</t>
  </si>
  <si>
    <t>essere (essere onnipresente)</t>
  </si>
  <si>
    <t>Quella sensazione era onnipresente come la sensazione che provi quando camminando scivoli , o inciampi e il terreno si avvicina all' a l' improvviso , ma invece di durare mezzo secondo , come dovrebbe , è durata sei mesi .</t>
  </si>
  <si>
    <t>file://conllu/it/teddy-1323.conllu#s26_0</t>
  </si>
  <si>
    <t>27</t>
  </si>
  <si>
    <t>sapere (sapere provare)</t>
  </si>
  <si>
    <t>È come provare paura sempre , senza sapere di cosa hai paura .</t>
  </si>
  <si>
    <t>file://conllu/it/teddy-1323.conllu#s27_0</t>
  </si>
  <si>
    <t>28</t>
  </si>
  <si>
    <t>essere (essere punto)</t>
  </si>
  <si>
    <t>È stato a quel punto che ho iniziato a pensare che essere vivi faceva troppo male , e che l' unica ragione per non suicidarsi suicidar si era non ferire altre persone .</t>
  </si>
  <si>
    <t>file://conllu/it/teddy-1323.conllu#s28_0</t>
  </si>
  <si>
    <t>29</t>
  </si>
  <si>
    <t>svegliai</t>
  </si>
  <si>
    <t>Finalmente , un giorno mi svegliai e pensai che forse avevo avuto un ictus , perché ero disteso sul su il letto , completamente immobile , guardavo il telefono , e pensavo , &amp;quot; Qualcosa non va , dovrei chiedere aiuto &amp;quot; e non riuscivo ad alzare il braccio per prendere il telefono e comporre il numero .</t>
  </si>
  <si>
    <t>file://conllu/it/teddy-1323.conllu#s29_0</t>
  </si>
  <si>
    <t>30</t>
  </si>
  <si>
    <t>suonare</t>
  </si>
  <si>
    <t>Finalmente , dopo aver passato quattro lunghe ore disteso a guardarlo guardar lo , il telefono suonò e in qualche modo riuscii a rispondere , era mio padre , gli dissi , &amp;quot; Ho problemi seri .</t>
  </si>
  <si>
    <t>file://conllu/it/teddy-1323.conllu#s30_0</t>
  </si>
  <si>
    <t>31</t>
  </si>
  <si>
    <t>Dobbiamo fare qualcosa .</t>
  </si>
  <si>
    <t>file://conllu/it/teddy-1323.conllu#s31_0</t>
  </si>
  <si>
    <t>32</t>
  </si>
  <si>
    <t>&amp;quot;</t>
  </si>
  <si>
    <t>file://conllu/it/teddy-1323.conllu#s32_0</t>
  </si>
  <si>
    <t>33</t>
  </si>
  <si>
    <t>iniziai</t>
  </si>
  <si>
    <t>Il giorno successivo iniziai a prendere farmaci e cominciai la terapia .</t>
  </si>
  <si>
    <t>file://conllu/it/teddy-1323.conllu#s33_0</t>
  </si>
  <si>
    <t>34</t>
  </si>
  <si>
    <t>anche?</t>
  </si>
  <si>
    <t>porme</t>
  </si>
  <si>
    <t>Iniziai anche a pormi questa terribile domanda :</t>
  </si>
  <si>
    <t>file://conllu/it/teddy-1323.conllu#s34_0</t>
  </si>
  <si>
    <t>35</t>
  </si>
  <si>
    <t>allora?</t>
  </si>
  <si>
    <t>se non sono la persona tosta che sarebbe sopravvissuta ad un campo di concentramento , allora chi sono ?</t>
  </si>
  <si>
    <t>file://conllu/it/teddy-1323.conllu#s35_0</t>
  </si>
  <si>
    <t>36</t>
  </si>
  <si>
    <t>essere (essere farmaco)</t>
  </si>
  <si>
    <t>E se devo prendere dei di i farmaci , sono questi farmaci che mi rendono pienamente me stesso , o mi stanno trasformando in qualcun altro ?</t>
  </si>
  <si>
    <t>file://conllu/it/teddy-1323.conllu#s36_0</t>
  </si>
  <si>
    <t>37</t>
  </si>
  <si>
    <t>E come mi sento se mi stanno trasformando in qualcun altro ?</t>
  </si>
  <si>
    <t>file://conllu/it/teddy-1323.conllu#s37_0</t>
  </si>
  <si>
    <t>38</t>
  </si>
  <si>
    <t>mentre?</t>
  </si>
  <si>
    <t>avere</t>
  </si>
  <si>
    <t>Mentre mi preparavo allo a lo scontro , avevo due vantaggi .</t>
  </si>
  <si>
    <t>file://conllu/it/teddy-1323.conllu#s38_0</t>
  </si>
  <si>
    <t>39</t>
  </si>
  <si>
    <t>Il primo è che , obiettivamente , sapevo di avere una bella vita , che se solo fossi guarito c' era qualcosa dall' da l' altra parte per cui valeva la pena vivere .</t>
  </si>
  <si>
    <t>file://conllu/it/teddy-1323.conllu#s39_0</t>
  </si>
  <si>
    <t>40</t>
  </si>
  <si>
    <t>stare</t>
  </si>
  <si>
    <t>L' altro era che stavo seguendo una terapia valida .</t>
  </si>
  <si>
    <t>file://conllu/it/teddy-1323.conllu#s40_0</t>
  </si>
  <si>
    <t>41</t>
  </si>
  <si>
    <t>ciononostante?</t>
  </si>
  <si>
    <t>uscire</t>
  </si>
  <si>
    <t>Ciononostante , ne uscivo e ci ricadevo , ne uscivo e ci ricadevo , e alla a la fine capii che avrei dovuto continuare a prendere farmaci e a restare in terapia per sempre .</t>
  </si>
  <si>
    <t>file://conllu/it/teddy-1323.conllu#s41_0</t>
  </si>
  <si>
    <t>42</t>
  </si>
  <si>
    <t>essere (essere problema)</t>
  </si>
  <si>
    <t>Mi pensai , &amp;quot; È un problema chimico o psicologico ?</t>
  </si>
  <si>
    <t>file://conllu/it/teddy-1323.conllu#s42_0</t>
  </si>
  <si>
    <t>43</t>
  </si>
  <si>
    <t>servire</t>
  </si>
  <si>
    <t>Serve una cura chimica o filosofica ? &amp;quot;</t>
  </si>
  <si>
    <t>file://conllu/it/teddy-1323.conllu#s43_0</t>
  </si>
  <si>
    <t>44</t>
  </si>
  <si>
    <t>Non riuscivo a capire quale fosse la risposta .</t>
  </si>
  <si>
    <t>file://conllu/it/teddy-1323.conllu#s44_0</t>
  </si>
  <si>
    <t>45</t>
  </si>
  <si>
    <t>quindi?</t>
  </si>
  <si>
    <t>capio</t>
  </si>
  <si>
    <t>Quindi capii che , in realtà , non abbiamo fatto abbastanza progressi in nessuno dei di i due campi per trovare una spiegazione esauriente .</t>
  </si>
  <si>
    <t>file://conllu/it/teddy-1323.conllu#s45_0</t>
  </si>
  <si>
    <t>46</t>
  </si>
  <si>
    <t>cura</t>
  </si>
  <si>
    <t>Sia la cura chimica che quella psicologica hanno un ruolo e capii anche che la depressione era qualcosa che si era radicata in noi così in profondità che non c' era modo di separarla separar la dal da il nostro carattere e dalla da la nostra personalità .</t>
  </si>
  <si>
    <t>file://conllu/it/teddy-1323.conllu#s46_0</t>
  </si>
  <si>
    <t>47</t>
  </si>
  <si>
    <t>volere (volere dire)</t>
  </si>
  <si>
    <t>Voglio dire che le terapie per la depressione sono pessime .</t>
  </si>
  <si>
    <t>file://conllu/it/teddy-1323.conllu#s47_0</t>
  </si>
  <si>
    <t>48</t>
  </si>
  <si>
    <t>essere (essere efficace)</t>
  </si>
  <si>
    <t>Non sono molto efficaci .</t>
  </si>
  <si>
    <t>file://conllu/it/teddy-1323.conllu#s48_0</t>
  </si>
  <si>
    <t>49</t>
  </si>
  <si>
    <t>essere (essere costoso)</t>
  </si>
  <si>
    <t>Sono estremamente costose .</t>
  </si>
  <si>
    <t>file://conllu/it/teddy-1323.conllu#s49_0</t>
  </si>
  <si>
    <t>50</t>
  </si>
  <si>
    <t>presentare</t>
  </si>
  <si>
    <t>Presentano innumerevoli effetti collaterali .</t>
  </si>
  <si>
    <t>file://conllu/it/teddy-1323.conllu#s50_0</t>
  </si>
  <si>
    <t>51</t>
  </si>
  <si>
    <t>essere (essere disastro)</t>
  </si>
  <si>
    <t>Sono un vero disastro .</t>
  </si>
  <si>
    <t>file://conllu/it/teddy-1323.conllu#s51_0</t>
  </si>
  <si>
    <t>52</t>
  </si>
  <si>
    <t>tuttavia?</t>
  </si>
  <si>
    <t>essere (essere grato)</t>
  </si>
  <si>
    <t>Tuttavia sono molto grato di vivere in quest' epoca e non 50 anni fa , quando non ci sarebbe stato quasi nulla da fare .</t>
  </si>
  <si>
    <t>file://conllu/it/teddy-1323.conllu#s52_0</t>
  </si>
  <si>
    <t>53</t>
  </si>
  <si>
    <t>sperare</t>
  </si>
  <si>
    <t>Spero che fra 50 anni si senta parlare delle di le mie terapie e che sconvolga il fatto che qualcuno sia sopravvissuto ad una scienza tanto arretrata .</t>
  </si>
  <si>
    <t>file://conllu/it/teddy-1323.conllu#s53_0</t>
  </si>
  <si>
    <t>54</t>
  </si>
  <si>
    <t>La depressione è il punto debole dell' di l' amore .</t>
  </si>
  <si>
    <t>file://conllu/it/teddy-1323.conllu#s54_0</t>
  </si>
  <si>
    <t>55</t>
  </si>
  <si>
    <t>Se una persona sposata pensasse , &amp;quot; Se mia moglie muore , ne troverò un' altra &amp;quot; non sarebbe amore così come lo conosciamo .</t>
  </si>
  <si>
    <t>file://conllu/it/teddy-1323.conllu#s55_0</t>
  </si>
  <si>
    <t>56</t>
  </si>
  <si>
    <t>esistere</t>
  </si>
  <si>
    <t>L' amore non esiste senza la previsione della di la perdita , e lo spettro della di la disperazione può essere il motore dell' di l' intimità .</t>
  </si>
  <si>
    <t>file://conllu/it/teddy-1323.conllu#s56_0</t>
  </si>
  <si>
    <t>57</t>
  </si>
  <si>
    <t>Ci sono tre cose che le persone tendono a confondere : depressione , dolore e tristezza .</t>
  </si>
  <si>
    <t>file://conllu/it/teddy-1323.conllu#s57_0</t>
  </si>
  <si>
    <t>58</t>
  </si>
  <si>
    <t>essere (essere reattivo)</t>
  </si>
  <si>
    <t>Il dolore è esplicitamente reattivo .</t>
  </si>
  <si>
    <t>file://conllu/it/teddy-1323.conllu#s58_0</t>
  </si>
  <si>
    <t>59</t>
  </si>
  <si>
    <t>subire</t>
  </si>
  <si>
    <t>Se subisci una perdita e ti senti incredibilmente infelice , e poi , sei mesi più tardi , sei ancora profondamente triste , ma ti senti un po' meglio , probabilmente è dolore , e probabilmente alla a la fine se ne andrà da solo in qualche modo .</t>
  </si>
  <si>
    <t>file://conllu/it/teddy-1323.conllu#s59_0</t>
  </si>
  <si>
    <t>60</t>
  </si>
  <si>
    <t>essere (essere probabile)</t>
  </si>
  <si>
    <t>Se subisci una perdita catastrofica , e ti senti a pezzi , e sei mesi più tardi sei a malapena in grado di cavartela , allora è probabile che sia una depressione scatenata dalle da le circostanze catastrofiche .</t>
  </si>
  <si>
    <t>file://conllu/it/teddy-1323.conllu#s60_0</t>
  </si>
  <si>
    <t>61</t>
  </si>
  <si>
    <t>dare</t>
  </si>
  <si>
    <t>Il decorso ci dà tante informazioni .</t>
  </si>
  <si>
    <t>file://conllu/it/teddy-1323.conllu#s61_0</t>
  </si>
  <si>
    <t>62</t>
  </si>
  <si>
    <t>solo?</t>
  </si>
  <si>
    <t>credere</t>
  </si>
  <si>
    <t>Le persone credono che la depressione sia solo tristezza .</t>
  </si>
  <si>
    <t>file://conllu/it/teddy-1323.conllu#s62_0</t>
  </si>
  <si>
    <t>63</t>
  </si>
  <si>
    <t>essere (essere tristezza)</t>
  </si>
  <si>
    <t>È tanta , decisamente troppa tristezza , tanto , troppo dolore decisamente non una causa .</t>
  </si>
  <si>
    <t>file://conllu/it/teddy-1323.conllu#s63_0</t>
  </si>
  <si>
    <t>64</t>
  </si>
  <si>
    <t>scoprire</t>
  </si>
  <si>
    <t>Quando ho iniziato a comprendere la depressione , e ad intervistare coloro che ne erano affetti , ho scoperto che alcune persone , che sembravano avere ciò che pareva una depressione relativamente lieve , che ne erano totalmente interdette .</t>
  </si>
  <si>
    <t>file://conllu/it/teddy-1323.conllu#s64_0</t>
  </si>
  <si>
    <t>65</t>
  </si>
  <si>
    <t>C' erano altre persone che sembravano avere , a loro dire , una depressione terribilmente grave , le quali ciononostante vivevano una vita soddisfacente negli in gli intervalli fra un episodio depressivo e l' altro .</t>
  </si>
  <si>
    <t>file://conllu/it/teddy-1323.conllu#s65_0</t>
  </si>
  <si>
    <t>66</t>
  </si>
  <si>
    <t>accingere</t>
  </si>
  <si>
    <t>Mi accingevo a scoprire ciò che fa sì che alcuni resistano meglio rispetto ad altri .</t>
  </si>
  <si>
    <t>file://conllu/it/teddy-1323.conllu#s66_0</t>
  </si>
  <si>
    <t>67</t>
  </si>
  <si>
    <t>essere (essere quale)</t>
  </si>
  <si>
    <t>Quali sono i meccanismi che consentono alle a le persone di sopravvivere ?</t>
  </si>
  <si>
    <t>file://conllu/it/teddy-1323.conllu#s67_0</t>
  </si>
  <si>
    <t>68</t>
  </si>
  <si>
    <t>Così sono uscito ed ho intervistato una ad una persone che soffrivano di depressione .</t>
  </si>
  <si>
    <t>file://conllu/it/teddy-1323.conllu#s68_0</t>
  </si>
  <si>
    <t>69</t>
  </si>
  <si>
    <t>Una delle di le prime persone che ho intervistato ha descritto la depressione come un modo più lento di morire e mi ha fatto bene sentirlo sentir lo dire poiché mi ricordava che quel modo più lento di morire può davvero causare la morte , che questa è una faccenda seria .</t>
  </si>
  <si>
    <t>file://conllu/it/teddy-1323.conllu#s69_0</t>
  </si>
  <si>
    <t>70</t>
  </si>
  <si>
    <t>essere (essere disabilità)</t>
  </si>
  <si>
    <t>È la disabilità più diffusa al a il mondo , e miete vittime ogni giorno .</t>
  </si>
  <si>
    <t>file://conllu/it/teddy-1323.conllu#s70_0</t>
  </si>
  <si>
    <t>71</t>
  </si>
  <si>
    <t>essere (essere amico)</t>
  </si>
  <si>
    <t>Una delle di le persone con cui ho parlato mentre cercavo di capire tutto questo era una cara amica che conoscevo da tanti anni , e che aveva avuto un episodio psicotico durante il primo anno di università , ed era poi precipitata in una terribile depressione .</t>
  </si>
  <si>
    <t>file://conllu/it/teddy-1323.conllu#s71_0</t>
  </si>
  <si>
    <t>72</t>
  </si>
  <si>
    <t>affetto</t>
  </si>
  <si>
    <t>Era affetta da disturbo bipolare o mania depressiva , com' era nota all' a l' epoca .</t>
  </si>
  <si>
    <t>file://conllu/it/teddy-1323.conllu#s72_0</t>
  </si>
  <si>
    <t>73</t>
  </si>
  <si>
    <t>Poi fece notevoli progressi grazie ad anni di terapia a base di litio , alla a la fine la terapia al a il litio fu interrotta per vedere come si comportava senza .</t>
  </si>
  <si>
    <t>file://conllu/it/teddy-1323.conllu#s73_0</t>
  </si>
  <si>
    <t>74</t>
  </si>
  <si>
    <t>Ebbe un' altra psicosi e piombò nella in la peggiore depressione che avessi mai visto durante la quale restava seduta nell' in l' appartamento dei di i genitori , pressoché catatonica , praticamente immobile , giorno dopo giorno .</t>
  </si>
  <si>
    <t>file://conllu/it/teddy-1323.conllu#s74_0</t>
  </si>
  <si>
    <t>75</t>
  </si>
  <si>
    <t>dire (dire chiamare)</t>
  </si>
  <si>
    <t>Diversi anni dopo , quando l' ho intervistata a proposito di quell' esperienza si chiama Maggie Robbins , è una poetessa ed una psicoterapeuta quando l' ho intervistata , disse , &amp;quot; Cantavo ' Where Have All The Flowers Gone ' ripetutamente per tenere la mente occupata .</t>
  </si>
  <si>
    <t>file://conllu/it/teddy-1323.conllu#s75_0</t>
  </si>
  <si>
    <t>76</t>
  </si>
  <si>
    <t>cioè?</t>
  </si>
  <si>
    <t>Cantare</t>
  </si>
  <si>
    <t>Cantavo per rimuovere ciò che la mia mente diceva , e cioè , ' Non sei niente .</t>
  </si>
  <si>
    <t>file://conllu/it/teddy-1323.conllu#s76_0</t>
  </si>
  <si>
    <t>77</t>
  </si>
  <si>
    <t>essere (essere nessuno)</t>
  </si>
  <si>
    <t>Non sei nessuno .</t>
  </si>
  <si>
    <t>file://conllu/it/teddy-1323.conllu#s77_0</t>
  </si>
  <si>
    <t>78</t>
  </si>
  <si>
    <t>merito</t>
  </si>
  <si>
    <t>Non meriti nemmeno di vivere .</t>
  </si>
  <si>
    <t>file://conllu/it/teddy-1323.conllu#s78_0</t>
  </si>
  <si>
    <t>79</t>
  </si>
  <si>
    <t>'</t>
  </si>
  <si>
    <t>file://conllu/it/teddy-1323.conllu#s79_0</t>
  </si>
  <si>
    <t>80</t>
  </si>
  <si>
    <t>essere (essere allora)</t>
  </si>
  <si>
    <t>È stato allora che ho iniziato davvero a pensare di suicidarmi suicidar mi . &amp;quot;</t>
  </si>
  <si>
    <t>file://conllu/it/teddy-1323.conllu#s80_0</t>
  </si>
  <si>
    <t>81</t>
  </si>
  <si>
    <t>pensare</t>
  </si>
  <si>
    <t>Quando sei depresso , non pensi di essere coperto da un velo grigio e che stai vedendo il mondo attraverso la foschia del di il cattivo umore .</t>
  </si>
  <si>
    <t>file://conllu/it/teddy-1323.conllu#s81_0</t>
  </si>
  <si>
    <t>82</t>
  </si>
  <si>
    <t>Pensi che il velo sia stato portato via , il velo della di la felicità , e che ora stai guardando la realtà .</t>
  </si>
  <si>
    <t>file://conllu/it/teddy-1323.conllu#s82_0</t>
  </si>
  <si>
    <t>83</t>
  </si>
  <si>
    <t>essere (essere semplice)</t>
  </si>
  <si>
    <t>È più semplice aiutare gli schizofrenici i quali percepiscono che c' è qualcosa di estraneo dentro di loro che deve essere esorcizzato , ma è difficile con i depressi , perché pensiamo di stare guardando la realtà .</t>
  </si>
  <si>
    <t>file://conllu/it/teddy-1323.conllu#s83_0</t>
  </si>
  <si>
    <t>84</t>
  </si>
  <si>
    <t>realtà</t>
  </si>
  <si>
    <t>Ma la realtà mente .</t>
  </si>
  <si>
    <t>file://conllu/it/teddy-1323.conllu#s84_0</t>
  </si>
  <si>
    <t>85</t>
  </si>
  <si>
    <t>diventare</t>
  </si>
  <si>
    <t>Questa frase è diventata la mia ossessione :</t>
  </si>
  <si>
    <t>file://conllu/it/teddy-1323.conllu#s85_0</t>
  </si>
  <si>
    <t>86</t>
  </si>
  <si>
    <t>&amp;quot; La realtà mente . &amp;quot;</t>
  </si>
  <si>
    <t>file://conllu/it/teddy-1323.conllu#s86_0</t>
  </si>
  <si>
    <t>87</t>
  </si>
  <si>
    <t>parlare (parlare scoprire)</t>
  </si>
  <si>
    <t>Mentre parlavo con persone depresse , ho scoperto che hanno molte percezioni deliranti .</t>
  </si>
  <si>
    <t>file://conllu/it/teddy-1323.conllu#s87_0</t>
  </si>
  <si>
    <t>88</t>
  </si>
  <si>
    <t>Le persone diranno &amp;quot; nessuno mi vuole bene &amp;quot; .</t>
  </si>
  <si>
    <t>file://conllu/it/teddy-1323.conllu#s88_0</t>
  </si>
  <si>
    <t>89</t>
  </si>
  <si>
    <t>volere (volere volere dire)</t>
  </si>
  <si>
    <t>E tu dici &amp;quot; io ti voglio bene , tua moglie ti vuole bene , tua madre ti vuole bene . &amp;quot;</t>
  </si>
  <si>
    <t>file://conllu/it/teddy-1323.conllu#s89_0</t>
  </si>
  <si>
    <t>90</t>
  </si>
  <si>
    <t>rispondere</t>
  </si>
  <si>
    <t>Rispondere a questa frase viene abbastanza spontaneo , almeno a molte persone .</t>
  </si>
  <si>
    <t>file://conllu/it/teddy-1323.conllu#s90_0</t>
  </si>
  <si>
    <t>91</t>
  </si>
  <si>
    <t>dire</t>
  </si>
  <si>
    <t>Ma le persone depresse diranno anche &amp;quot; non importa cosa facciamo , tanto alla a la fine moriremo tutti . &amp;quot;</t>
  </si>
  <si>
    <t>file://conllu/it/teddy-1323.conllu#s91_0</t>
  </si>
  <si>
    <t>92</t>
  </si>
  <si>
    <t>oppure?</t>
  </si>
  <si>
    <t>Oppure diranno &amp;quot; non può esistere una vera unione fra due esseri umani .</t>
  </si>
  <si>
    <t>file://conllu/it/teddy-1323.conllu#s92_0</t>
  </si>
  <si>
    <t>93</t>
  </si>
  <si>
    <t>intrappolare</t>
  </si>
  <si>
    <t>Ognuno di noi è intrappolato nel in il proprio corpo . &amp;quot;</t>
  </si>
  <si>
    <t>file://conllu/it/teddy-1323.conllu#s93_0</t>
  </si>
  <si>
    <t>94</t>
  </si>
  <si>
    <t>bisognare</t>
  </si>
  <si>
    <t>In questo caso bisogna rispondere &amp;quot; È vero , ma credo che ora dovremmo pensare a cosa mangiare per colazione . &amp;quot; ( Risate ) La maggior parte del di il tempo , ciò che esprimono non è un disturbo , ma una visione , si arriva a pensare che la cosa veramente straordinaria sia che molti di noi conoscono queste domande esistenziali ma non ci distraggono più di tanto .</t>
  </si>
  <si>
    <t>file://conllu/it/teddy-1323.conllu#s94_0</t>
  </si>
  <si>
    <t>95</t>
  </si>
  <si>
    <t>essere (essere studio)</t>
  </si>
  <si>
    <t>C' è stato uno studio che ho particolarmente apprezzato in cui ad un gruppo di persone depresse e ad un gruppo di persone non depresse è stato chiesto di giocare ad un videogioco per un' ora , alla a la fine dell' di l' ora è stato chiesto loro quanti mostriciattoli pensavano di avere ucciso .</t>
  </si>
  <si>
    <t>file://conllu/it/teddy-1323.conllu#s95_0</t>
  </si>
  <si>
    <t>96</t>
  </si>
  <si>
    <t>precidere</t>
  </si>
  <si>
    <t>Il gruppo di persone depresse è stato preciso rispondendo circa il 10 percento , mentre le persone non depresse credevano di avere ucciso 15 o 20 volte più mostriciattoli ( Risate ) di quelli che avevano eliminato realmente .</t>
  </si>
  <si>
    <t>file://conllu/it/teddy-1323.conllu#s96_0</t>
  </si>
  <si>
    <t>97</t>
  </si>
  <si>
    <t>Quando ho scelto di scrivere della di la mia depressione , molti hanno detto che dev' essere davvero difficile uscire allo a lo scoperto , e parlare agli a gli altri della di la propria condizione .</t>
  </si>
  <si>
    <t>file://conllu/it/teddy-1323.conllu#s97_0</t>
  </si>
  <si>
    <t>98</t>
  </si>
  <si>
    <t>chiedere (chiedere parlare)</t>
  </si>
  <si>
    <t>Chiedevano , &amp;quot; Le altre persone ti parlano in modo diverso ? &amp;quot; Risposi , &amp;quot; Sì , le altre persone mi parlano in modo diverso .</t>
  </si>
  <si>
    <t>file://conllu/it/teddy-1323.conllu#s98_0</t>
  </si>
  <si>
    <t>99</t>
  </si>
  <si>
    <t>poiché?</t>
  </si>
  <si>
    <t>parlare</t>
  </si>
  <si>
    <t>Mi parlano in modo diverso poiché iniziano a parlarmi parlar mi della di la loro esperienza , dell' di l' esperienza della di la loro sorella , dell' di l' esperienza del di il loro amico .</t>
  </si>
  <si>
    <t>file://conllu/it/teddy-1323.conllu#s99_0</t>
  </si>
  <si>
    <t>100</t>
  </si>
  <si>
    <t>essere (essere diverso)</t>
  </si>
  <si>
    <t>È diverso perché ora so che la depressione è il segreto di famiglia di ognuno di noi .</t>
  </si>
  <si>
    <t>file://conllu/it/teddy-1323.conllu#s100_0</t>
  </si>
  <si>
    <t>101</t>
  </si>
  <si>
    <t>andare</t>
  </si>
  <si>
    <t>Qualche anno fa andai ad una conferenza , ed il venerdì della di la tre giorni di conferenza una delle di le partecipanti mi prese da parte , e mi disse , &amp;quot; Soffro di depressione e mi imbarazza un po' , ma sto prendendo questo farmaco e volevo chiederle chieder le cosa ne pensa &amp;quot; Così feci del di il mio meglio per darle dar le i consigli di cui aveva bisogno .</t>
  </si>
  <si>
    <t>file://conllu/it/teddy-1323.conllu#s101_0</t>
  </si>
  <si>
    <t>102</t>
  </si>
  <si>
    <t>Lei disse &amp;quot; Sa , mio marito non capirebbe mai .</t>
  </si>
  <si>
    <t>file://conllu/it/teddy-1323.conllu#s102_0</t>
  </si>
  <si>
    <t>103</t>
  </si>
  <si>
    <t>essere (essere tipo)</t>
  </si>
  <si>
    <t>Lui è il tipo di persona per cui tutto questo non ha senso , perciò è una cosa fra me e lei . &amp;quot;</t>
  </si>
  <si>
    <t>file://conllu/it/teddy-1323.conllu#s103_0</t>
  </si>
  <si>
    <t>104</t>
  </si>
  <si>
    <t>Ed io risposi &amp;quot; Va bene . &amp;quot;</t>
  </si>
  <si>
    <t>file://conllu/it/teddy-1323.conllu#s104_0</t>
  </si>
  <si>
    <t>105</t>
  </si>
  <si>
    <t>prendere</t>
  </si>
  <si>
    <t>La domenica della di la stessa conferenza , suo marito mi prese da parte e disse , &amp;quot; Mia moglie non penserebbe che io sia un brav' uomo se lo sapesse , ma ho avuto a che fare con questa depressione e sto prendendo qualche farmaco , e mi chiedevo lei cosa ne pensa &amp;quot; Nascondevano lo stesso farmaco in due posti diversi nella in la stessa camera da letto .</t>
  </si>
  <si>
    <t>file://conllu/it/teddy-1323.conllu#s105_0</t>
  </si>
  <si>
    <t>106</t>
  </si>
  <si>
    <t>disso</t>
  </si>
  <si>
    <t>Io dissi che pensavo che la comunicazione all' a l' interno del di il matrimonio potrebbe essere la causa di alcuni dei di i loro problemi .</t>
  </si>
  <si>
    <t>file://conllu/it/teddy-1323.conllu#s106_0</t>
  </si>
  <si>
    <t>107</t>
  </si>
  <si>
    <t>rimanere</t>
  </si>
  <si>
    <t>Ma sono anche rimasto colpito dalla da la natura opprimente di quella segretezza reciproca .</t>
  </si>
  <si>
    <t>file://conllu/it/teddy-1323.conllu#s107_0</t>
  </si>
  <si>
    <t>108</t>
  </si>
  <si>
    <t>essere (essere estenuante)</t>
  </si>
  <si>
    <t>La depressione è davvero estenuante .</t>
  </si>
  <si>
    <t>file://conllu/it/teddy-1323.conllu#s108_0</t>
  </si>
  <si>
    <t>109</t>
  </si>
  <si>
    <t>assorbe</t>
  </si>
  <si>
    <t>Assorbe una gran quantità di tempo ed energia , e non parlarne parlar ne la rende solamente peggiore .</t>
  </si>
  <si>
    <t>file://conllu/it/teddy-1323.conllu#s109_0</t>
  </si>
  <si>
    <t>110</t>
  </si>
  <si>
    <t>iniziare</t>
  </si>
  <si>
    <t>Poi ho iniziato a pensare a tutto ciò che fanno le persone per sentirsi sentir si meglio .</t>
  </si>
  <si>
    <t>file://conllu/it/teddy-1323.conllu#s110_0</t>
  </si>
  <si>
    <t>112</t>
  </si>
  <si>
    <t>essere (essere chiaro)</t>
  </si>
  <si>
    <t>Pensavo esistessero poche terapie efficaci , era chiaro quali fossero , c' erano i farmaci , c' erano certe psicoterapie , c' era la terapia elettroconvulsivante , e tutto il resto non aveva senso .</t>
  </si>
  <si>
    <t>file://conllu/it/teddy-1323.conllu#s112_0</t>
  </si>
  <si>
    <t>113</t>
  </si>
  <si>
    <t>Poi ho fatto una scoperta .</t>
  </si>
  <si>
    <t>file://conllu/it/teddy-1323.conllu#s113_0</t>
  </si>
  <si>
    <t>114</t>
  </si>
  <si>
    <t>potere (potere farto)</t>
  </si>
  <si>
    <t>Se soffri di cancro al a il cervello e dici che restare in equilibrio sulla su la testa ogni mattina per 20 minuti ti fa stare meglio , può anche farti stare meglio , ma hai ancora un cancro al a il cervello che forse ti porterà alla a la morte .</t>
  </si>
  <si>
    <t>file://conllu/it/teddy-1323.conllu#s114_0</t>
  </si>
  <si>
    <t>115</t>
  </si>
  <si>
    <t>funzione</t>
  </si>
  <si>
    <t>Ma se dici di soffrire di depressione , e restare in equilibrio sulla su la testa per 20 minuti al a il giorno ti fa stare meglio , allora funziona , perché la depressione è un disturbo del di il modo in cui ti senti , e se ti senti meglio , allora davvero non sei più depresso .</t>
  </si>
  <si>
    <t>file://conllu/it/teddy-1323.conllu#s115_0</t>
  </si>
  <si>
    <t>116</t>
  </si>
  <si>
    <t>Così sono diventato molto più tollerante nei in i confronti del di il vasto mondo delle di le terapie alternative .</t>
  </si>
  <si>
    <t>file://conllu/it/teddy-1323.conllu#s116_0</t>
  </si>
  <si>
    <t>117</t>
  </si>
  <si>
    <t>ricevere</t>
  </si>
  <si>
    <t>Ricevo lettere , centinaia di lettere da persone che mi scrivono per raccontarmi raccontar mi cosa si è rivelato efficace per loro .</t>
  </si>
  <si>
    <t>file://conllu/it/teddy-1323.conllu#s117_0</t>
  </si>
  <si>
    <t>118</t>
  </si>
  <si>
    <t>chiedere</t>
  </si>
  <si>
    <t>Oggi qualcuno dietro le quinte mi chiedeva informazioni sulla su la meditazione .</t>
  </si>
  <si>
    <t>file://conllu/it/teddy-1323.conllu#s118_0</t>
  </si>
  <si>
    <t>119</t>
  </si>
  <si>
    <t>essere (essere quello)</t>
  </si>
  <si>
    <t>Fra le lettere che ho ricevuto , la mia preferita è stata quella che ho ricevuto da una donna che mi ha scritto dicendo di aver tentato con la terapia , di aver tentato con i farmaci , di aver tentato con tutto , e di aver trovato una soluzione che sperava io rivelassi al a il mondo , che consisteva nel in il creare piccole cose a maglia .</t>
  </si>
  <si>
    <t>file://conllu/it/teddy-1323.conllu#s119_0</t>
  </si>
  <si>
    <t>120</t>
  </si>
  <si>
    <t>mandata</t>
  </si>
  <si>
    <t>Me ne ha mandate alcune .</t>
  </si>
  <si>
    <t>file://conllu/it/teddy-1323.conllu#s120_0</t>
  </si>
  <si>
    <t>121</t>
  </si>
  <si>
    <t>indossare</t>
  </si>
  <si>
    <t>Ma non le sto indossando in questo momento .</t>
  </si>
  <si>
    <t>file://conllu/it/teddy-1323.conllu#s121_0</t>
  </si>
  <si>
    <t>122</t>
  </si>
  <si>
    <t>suggerire</t>
  </si>
  <si>
    <t>Le ho anche suggerito di cercare la definizione di disturbo ossessivo compulsivo nel in il manuale diagnostico e statistico dei di i disturbi mentali .</t>
  </si>
  <si>
    <t>file://conllu/it/teddy-1323.conllu#s122_0</t>
  </si>
  <si>
    <t>123</t>
  </si>
  <si>
    <t>acquisire</t>
  </si>
  <si>
    <t>Quando ho preso in considerazione le terapie alternative , ho anche acquisito una prospettiva su altre terapie .</t>
  </si>
  <si>
    <t>file://conllu/it/teddy-1323.conllu#s123_0</t>
  </si>
  <si>
    <t>124</t>
  </si>
  <si>
    <t>sottoporre</t>
  </si>
  <si>
    <t>Mi sono sottoposto ad un esorcismo tribale in Senegal con tantissimo sangue di montone che ora non descriverò nel in il dettaglio , ma qualche anno più tardi ero in Ruanda a lavorare ad un altro progetto , e mi è capitato di descrivere la mia esperienza a qualcun altro , il quale disse , &amp;quot; Beh , sai , quella è l' Africa occidentale , e questa è l' Africa orientale , i nostri rituali sono molto diversi , ma alcuni dei di i nostri rituali hanno alcune cose in comune con ciò che stai descrivendo .</t>
  </si>
  <si>
    <t>file://conllu/it/teddy-1323.conllu#s124_0</t>
  </si>
  <si>
    <t>125</t>
  </si>
  <si>
    <t>file://conllu/it/teddy-1323.conllu#s125_0</t>
  </si>
  <si>
    <t>126</t>
  </si>
  <si>
    <t>Io dissi , &amp;quot; Oh &amp;quot; , lui disse &amp;quot; Sì , ma abbiamo avuto grossi problemi con gli psichiatri occidentali , in particolare quelli che arrivarono subito dopo il genocidio .</t>
  </si>
  <si>
    <t>file://conllu/it/teddy-1323.conllu#s126_0</t>
  </si>
  <si>
    <t>127</t>
  </si>
  <si>
    <t>file://conllu/it/teddy-1323.conllu#s127_0</t>
  </si>
  <si>
    <t>128</t>
  </si>
  <si>
    <t>Io chiesi , &amp;quot; Che tipo di problemi avete avuto ? &amp;quot; Lui rispose &amp;quot; Beh , fecero una cosa bizzarra .</t>
  </si>
  <si>
    <t>file://conllu/it/teddy-1323.conllu#s128_0</t>
  </si>
  <si>
    <t>129</t>
  </si>
  <si>
    <t>portare</t>
  </si>
  <si>
    <t>Non portarono la gente fuori all' a l' aperto dove cominci a sentirti sentir ti meglio .</t>
  </si>
  <si>
    <t>file://conllu/it/teddy-1323.conllu#s129_0</t>
  </si>
  <si>
    <t>130</t>
  </si>
  <si>
    <t>per?</t>
  </si>
  <si>
    <t>usare</t>
  </si>
  <si>
    <t>Non usarono percussioni o musica per creare emozioni nelle in le persone .</t>
  </si>
  <si>
    <t>file://conllu/it/teddy-1323.conllu#s130_0</t>
  </si>
  <si>
    <t>131</t>
  </si>
  <si>
    <t>coinvoldere</t>
  </si>
  <si>
    <t>Non coinvolsero l' intera comunità .</t>
  </si>
  <si>
    <t>file://conllu/it/teddy-1323.conllu#s131_0</t>
  </si>
  <si>
    <t>132</t>
  </si>
  <si>
    <t>esternare</t>
  </si>
  <si>
    <t>Non esternavano la depressione come fosse uno spirito invadente .</t>
  </si>
  <si>
    <t>file://conllu/it/teddy-1323.conllu#s132_0</t>
  </si>
  <si>
    <t>133</t>
  </si>
  <si>
    <t>invece?</t>
  </si>
  <si>
    <t>Invece , ciò che fecero fu portare una persona alla a la volta in stanze piccole e squallide e farle far le parlare per un' ora delle di le cose brutte che erano capitate loro . &amp;quot; ( Risate ) ( Applausi ) Lui disse &amp;quot; Abbiamo dovuto chiedere loro di lasciare il paese . &amp;quot;</t>
  </si>
  <si>
    <t>file://conllu/it/teddy-1323.conllu#s133_0</t>
  </si>
  <si>
    <t>134</t>
  </si>
  <si>
    <t>per quanto?</t>
  </si>
  <si>
    <t>lasciare</t>
  </si>
  <si>
    <t>Ora , per quanto riguarda le terapie alternative , lasciate che vi parli par li di Frank Russakoff .</t>
  </si>
  <si>
    <t>file://conllu/it/teddy-1323.conllu#s134_0</t>
  </si>
  <si>
    <t>135</t>
  </si>
  <si>
    <t>essere (essere affetto)</t>
  </si>
  <si>
    <t>Frank Russakoff era affetto forse dalla da la depressione più grave che abbia mai visto in una persona .</t>
  </si>
  <si>
    <t>file://conllu/it/teddy-1323.conllu#s135_0</t>
  </si>
  <si>
    <t>136</t>
  </si>
  <si>
    <t>deprimere</t>
  </si>
  <si>
    <t>Era costantemente depresso .</t>
  </si>
  <si>
    <t>file://conllu/it/teddy-1323.conllu#s136_0</t>
  </si>
  <si>
    <t>137</t>
  </si>
  <si>
    <t>Quando lo incontrai , era arrivato ad un punto in cui si sottoponeva ad elettroshock ogni mese , dopo il quale si sentiva disorientato per una settimana .</t>
  </si>
  <si>
    <t>file://conllu/it/teddy-1323.conllu#s137_0</t>
  </si>
  <si>
    <t>138</t>
  </si>
  <si>
    <t>Poi stava bene per una settimana , e la settimana successiva tutto precipitava .</t>
  </si>
  <si>
    <t>file://conllu/it/teddy-1323.conllu#s138_0</t>
  </si>
  <si>
    <t>139</t>
  </si>
  <si>
    <t>Quindi si sottoponeva ad un' altra seduta di elettroshock .</t>
  </si>
  <si>
    <t>file://conllu/it/teddy-1323.conllu#s139_0</t>
  </si>
  <si>
    <t>140</t>
  </si>
  <si>
    <t>Quando lo incontrai , mi disse , &amp;quot; È insopportabile trascorrere le settimane in questo modo .</t>
  </si>
  <si>
    <t>file://conllu/it/teddy-1323.conllu#s140_0</t>
  </si>
  <si>
    <t>141</t>
  </si>
  <si>
    <t>sentire (sentire continuare)</t>
  </si>
  <si>
    <t>Non posso continuare così , e mi è venuto in mente come porvi fine se non mi sentirò meglio .</t>
  </si>
  <si>
    <t>file://conllu/it/teddy-1323.conllu#s141_0</t>
  </si>
  <si>
    <t>142</t>
  </si>
  <si>
    <t>sapere (sapere dire)</t>
  </si>
  <si>
    <t>&amp;quot; Ma &amp;quot; mi disse , &amp;quot; ho saputo di un protocollo al a il Mass General riguardante una procedura chiamata cingulotomia , che sarebbe neurochirurgia , e penso che farò un tentativo con quella . &amp;quot;</t>
  </si>
  <si>
    <t>file://conllu/it/teddy-1323.conllu#s142_0</t>
  </si>
  <si>
    <t>143</t>
  </si>
  <si>
    <t>ricordare</t>
  </si>
  <si>
    <t>Ricordo che fui davvero sospreso di vedere che qualcuno che chiaramente aveva vissuto tante brutte esperienze con tante terapie diverse avesse ancora sepolto da qualche parte dentro di sè abbastanza ottimismo per fare un altro tentativo .</t>
  </si>
  <si>
    <t>file://conllu/it/teddy-1323.conllu#s143_0</t>
  </si>
  <si>
    <t>144</t>
  </si>
  <si>
    <t>Si sottopose a cingulotomia , e l' intervento ebbe un successo incredibile .</t>
  </si>
  <si>
    <t>file://conllu/it/teddy-1323.conllu#s144_0</t>
  </si>
  <si>
    <t>145</t>
  </si>
  <si>
    <t>Ora è mio amico .</t>
  </si>
  <si>
    <t>file://conllu/it/teddy-1323.conllu#s145_0</t>
  </si>
  <si>
    <t>146</t>
  </si>
  <si>
    <t>Ha una moglie adorabile e due bellissimi bambini .</t>
  </si>
  <si>
    <t>file://conllu/it/teddy-1323.conllu#s146_0</t>
  </si>
  <si>
    <t>147</t>
  </si>
  <si>
    <t>scrivere</t>
  </si>
  <si>
    <t>Il Natale dopo l' intervento mi scrisse una lettera , in cui diceva , &amp;quot; Mio padre mi ha fatto due regali quest' anno , il primo è un porta CD a motore da The Sharper Image , di cui non è che avessi bisogno , ma sapevo che me lo regalava per festeggiare il fatto che vivo per conto mio e che ho un lavoro che adoro .</t>
  </si>
  <si>
    <t>file://conllu/it/teddy-1323.conllu#s147_0</t>
  </si>
  <si>
    <t>148</t>
  </si>
  <si>
    <t>essere (essere foto)</t>
  </si>
  <si>
    <t>L' altro regalo era una foto di mia nonna morta suicida .</t>
  </si>
  <si>
    <t>file://conllu/it/teddy-1323.conllu#s148_0</t>
  </si>
  <si>
    <t>149</t>
  </si>
  <si>
    <t>venire</t>
  </si>
  <si>
    <t>Mentre la scartavo , ho iniziato a piangere , mia madre venne da me e mi disse , &amp;quot; Stai piangendo per i parenti che non hai mai conosciuto ? &amp;quot;</t>
  </si>
  <si>
    <t>file://conllu/it/teddy-1323.conllu#s149_0</t>
  </si>
  <si>
    <t>150</t>
  </si>
  <si>
    <t>Io risposi , &amp;quot; Lei aveva la mia stessa malattia . &amp;quot;</t>
  </si>
  <si>
    <t>file://conllu/it/teddy-1323.conllu#s150_0</t>
  </si>
  <si>
    <t>151</t>
  </si>
  <si>
    <t>piangere</t>
  </si>
  <si>
    <t>Sto piangendo anche adesso mentre ti scrivo .</t>
  </si>
  <si>
    <t>file://conllu/it/teddy-1323.conllu#s151_0</t>
  </si>
  <si>
    <t>152</t>
  </si>
  <si>
    <t>Non è che mi sento triste , ma l' emozione è troppo forte , forse perché avrei potuto suicidarmi suicidar mi , ma sono andato avanti grazie ai a i miei genitori e ai a i medici , e ho fatto l' intervento .</t>
  </si>
  <si>
    <t>file://conllu/it/teddy-1323.conllu#s152_0</t>
  </si>
  <si>
    <t>153</t>
  </si>
  <si>
    <t>essere (essere vivo)</t>
  </si>
  <si>
    <t>Sono vivo , e sono riconoscente .</t>
  </si>
  <si>
    <t>file://conllu/it/teddy-1323.conllu#s153_0</t>
  </si>
  <si>
    <t>154</t>
  </si>
  <si>
    <t>Vivare</t>
  </si>
  <si>
    <t>Viviamo nel in il periodo giusto , anche se non sempre ci sembra che sia così . &amp;quot;</t>
  </si>
  <si>
    <t>file://conllu/it/teddy-1323.conllu#s154_0</t>
  </si>
  <si>
    <t>155</t>
  </si>
  <si>
    <t>essere (essere depressione)</t>
  </si>
  <si>
    <t>Mi ha colpito il fatto che la depressione viene generalmente percepita come una malattia moderna dell' di l' Occidente , che colpisce il ceto medio , così mi sono informato su come agisce in contesti diversi , ed una delle di le cose a cui mi sono interessato di più è stata la depressione fra gli indigenti .</t>
  </si>
  <si>
    <t>file://conllu/it/teddy-1323.conllu#s155_0</t>
  </si>
  <si>
    <t>156</t>
  </si>
  <si>
    <t>provare</t>
  </si>
  <si>
    <t>Così ho provato a raccogliere informazioni su ciò che veniva fatto per i poveri affetti da depressione .</t>
  </si>
  <si>
    <t>file://conllu/it/teddy-1323.conllu#s156_0</t>
  </si>
  <si>
    <t>157</t>
  </si>
  <si>
    <t>Ho scoperto che la maggior parte dei di i poveri non vengono sottoposti a terapie antidepressive .</t>
  </si>
  <si>
    <t>file://conllu/it/teddy-1323.conllu#s157_0</t>
  </si>
  <si>
    <t>158</t>
  </si>
  <si>
    <t>essere (essere risultato)</t>
  </si>
  <si>
    <t>La depressione è il risultato di una vulnerabilità genetica , che presumibilmente è equamente distribuita fra la popolazione , e di circostanze scatenanti che probabilmente sono molto più gravi per gli indigenti .</t>
  </si>
  <si>
    <t>file://conllu/it/teddy-1323.conllu#s158_0</t>
  </si>
  <si>
    <t>159</t>
  </si>
  <si>
    <t>Eppure , se ti senti sempre una nullità anche se hai una moglie adorabile , arrivi a pensare , &amp;quot; Ma perché mi sento così ?</t>
  </si>
  <si>
    <t>file://conllu/it/teddy-1323.conllu#s159_0</t>
  </si>
  <si>
    <t>160</t>
  </si>
  <si>
    <t>Devo essere depresso . &amp;quot;</t>
  </si>
  <si>
    <t>file://conllu/it/teddy-1323.conllu#s160_0</t>
  </si>
  <si>
    <t>161</t>
  </si>
  <si>
    <t>metto</t>
  </si>
  <si>
    <t>Ti metti in testa di cercare una terapia .</t>
  </si>
  <si>
    <t>file://conllu/it/teddy-1323.conllu#s161_0</t>
  </si>
  <si>
    <t>162</t>
  </si>
  <si>
    <t>curare</t>
  </si>
  <si>
    <t>Ma se vivi una vita tremenda , e ti senti sempre una nullità , ciò che senti è commisurato alla a la tua vita , e non ti viene da pensare , &amp;quot; Forse si può curare . &amp;quot;</t>
  </si>
  <si>
    <t>file://conllu/it/teddy-1323.conllu#s162_0</t>
  </si>
  <si>
    <t>163</t>
  </si>
  <si>
    <t>perciò?</t>
  </si>
  <si>
    <t>Perciò in questo paese esiste un' epidemia di depressione fra gli indigenti che non viene diagnosticata , né curata , né tantomeno affrontata , ed è una tragedia enorme .</t>
  </si>
  <si>
    <t>file://conllu/it/teddy-1323.conllu#s163_0</t>
  </si>
  <si>
    <t>164</t>
  </si>
  <si>
    <t>trovare</t>
  </si>
  <si>
    <t>Così ho trovato una ricercatrice che stava conducendo un progetto di ricerca nei in i quartieri poveri fuori Washington D.C. , in cui selezionava donne affette da altri problemi di salute e diagnosticava loro una forma di depressione , quindi procedeva con un protocollo di sperimentazione di sei mesi .</t>
  </si>
  <si>
    <t>file://conllu/it/teddy-1323.conllu#s164_0</t>
  </si>
  <si>
    <t>165</t>
  </si>
  <si>
    <t>Una di loro , Lolly , arrivò e quello stesso giorno disse queste parole .</t>
  </si>
  <si>
    <t>file://conllu/it/teddy-1323.conllu#s165_0</t>
  </si>
  <si>
    <t>166</t>
  </si>
  <si>
    <t>essere (essere donna)</t>
  </si>
  <si>
    <t>Fra l' altro , era una donna con sette figli .</t>
  </si>
  <si>
    <t>file://conllu/it/teddy-1323.conllu#s166_0</t>
  </si>
  <si>
    <t>167</t>
  </si>
  <si>
    <t>Disse , &amp;quot; Avevo un lavoro ma ho dovuto lasciarlo lasciar lo perché non riuscivo a uscire di casa .</t>
  </si>
  <si>
    <t>file://conllu/it/teddy-1323.conllu#s167_0</t>
  </si>
  <si>
    <t>168</t>
  </si>
  <si>
    <t>Non ho nulla da dire ai a i miei figli .</t>
  </si>
  <si>
    <t>file://conllu/it/teddy-1323.conllu#s168_0</t>
  </si>
  <si>
    <t>170</t>
  </si>
  <si>
    <t>disse</t>
  </si>
  <si>
    <t>Disse , &amp;quot; Ho preso tanto Tylenol e qualunque cosa potessi prendere per dormire di più .</t>
  </si>
  <si>
    <t>file://conllu/it/teddy-1323.conllu#s170_0</t>
  </si>
  <si>
    <t>171</t>
  </si>
  <si>
    <t>Mio marito mi ha detto che sono stupida , e che sono brutta .</t>
  </si>
  <si>
    <t>file://conllu/it/teddy-1323.conllu#s171_0</t>
  </si>
  <si>
    <t>172</t>
  </si>
  <si>
    <t>porre</t>
  </si>
  <si>
    <t>Vorrei poter porre fine a questa sofferenza . &amp;quot;</t>
  </si>
  <si>
    <t>file://conllu/it/teddy-1323.conllu#s172_0</t>
  </si>
  <si>
    <t>173</t>
  </si>
  <si>
    <t>Venne iscritta nel in il protocollo sperimentale , e quando la intervistai sei mesi più tardi aveva ottenuto un lavoro da educatrice per la marina militare americana , aveva lasciato il marito che la insultava e mi disse , &amp;quot; I miei figli sono molto più felici adesso . &amp;quot;</t>
  </si>
  <si>
    <t>file://conllu/it/teddy-1323.conllu#s173_0</t>
  </si>
  <si>
    <t>174</t>
  </si>
  <si>
    <t>Disse , &amp;quot; La mia nuova casa ha una stanza per i maschi e una per le femmine , ma di notte vengono tutti nel in il mio letto , facciamo i compiti e tutto il resto tutti insieme .</t>
  </si>
  <si>
    <t>file://conllu/it/teddy-1323.conllu#s174_0</t>
  </si>
  <si>
    <t>175</t>
  </si>
  <si>
    <t>Uno di loro vuole diventare pastore , un altro vuole fare il pompiere , e una delle di le femmine dice che diventerà avvocato .</t>
  </si>
  <si>
    <t>file://conllu/it/teddy-1323.conllu#s175_0</t>
  </si>
  <si>
    <t>176</t>
  </si>
  <si>
    <t>prima?</t>
  </si>
  <si>
    <t>Non piangono più come prima , e non litigano più .</t>
  </si>
  <si>
    <t>file://conllu/it/teddy-1323.conllu#s176_0</t>
  </si>
  <si>
    <t>177</t>
  </si>
  <si>
    <t>ciò</t>
  </si>
  <si>
    <t>Tutto ciò di cui ho bisogno adesso sono i miei figli .</t>
  </si>
  <si>
    <t>file://conllu/it/teddy-1323.conllu#s177_0</t>
  </si>
  <si>
    <t>178</t>
  </si>
  <si>
    <t>cambiare</t>
  </si>
  <si>
    <t>Le cose cambiano di continuo , come mi vesto , come mi sento , come mi comporto .</t>
  </si>
  <si>
    <t>file://conllu/it/teddy-1323.conllu#s178_0</t>
  </si>
  <si>
    <t>179</t>
  </si>
  <si>
    <t>Posso uscire senza avere più paura , e non credo che quelle brutte sensazioni torneranno , se non fosse stato per la Dr.ssa Miranda sarei ancora a casa con le coperte sopra la testa , ammesso di essere ancora viva .</t>
  </si>
  <si>
    <t>file://conllu/it/teddy-1323.conllu#s179_0</t>
  </si>
  <si>
    <t>180</t>
  </si>
  <si>
    <t>ascoltare (ascoltare chiedere)</t>
  </si>
  <si>
    <t>Ho chiesto al a il Signore di mandarmi mandar mi un angelo , ed ha ascoltato le mie preghiere . &amp;quot;</t>
  </si>
  <si>
    <t>file://conllu/it/teddy-1323.conllu#s180_0</t>
  </si>
  <si>
    <t>181</t>
  </si>
  <si>
    <t>scosso</t>
  </si>
  <si>
    <t>Queste esperienze mi hanno davvero scosso , e ho deciso di raccontarle raccontar le non solo scrivendo un libro su cui stavo lavorando , ma anche in un articolo , così il The New York Times Magazine mi ha incaricato di scrivere riguardo la depressione fra gli indigenti .</t>
  </si>
  <si>
    <t>file://conllu/it/teddy-1323.conllu#s181_0</t>
  </si>
  <si>
    <t>182</t>
  </si>
  <si>
    <t>chiamare (chiamare raccontare)</t>
  </si>
  <si>
    <t>Ho raccontato la mia storia , e la mia editrice mi chiamò e mi disse , &amp;quot; Non possiamo pubblicarlo pubblicar lo &amp;quot; Io chiesi &amp;quot; Perché no ? &amp;quot; Lei rispose , &amp;quot; È troppo inverosimile .</t>
  </si>
  <si>
    <t>file://conllu/it/teddy-1323.conllu#s182_0</t>
  </si>
  <si>
    <t>183</t>
  </si>
  <si>
    <t>vivere</t>
  </si>
  <si>
    <t>Queste persone vivono ai a i margini della di la società , poi si sottopongono a qualche mese di terapia e sono virtualmente pronte a gestire aziende tipo Morgan Stanley ?</t>
  </si>
  <si>
    <t>file://conllu/it/teddy-1323.conllu#s183_0</t>
  </si>
  <si>
    <t>184</t>
  </si>
  <si>
    <t>essere (essere inverosimile)</t>
  </si>
  <si>
    <t>È troppo inverosimile . &amp;quot;</t>
  </si>
  <si>
    <t>file://conllu/it/teddy-1323.conllu#s184_0</t>
  </si>
  <si>
    <t>185</t>
  </si>
  <si>
    <t>dire (dire sentire)</t>
  </si>
  <si>
    <t>Lei disse , &amp;quot; Non ho mai sentito niente di simile . &amp;quot;</t>
  </si>
  <si>
    <t>file://conllu/it/teddy-1323.conllu#s185_0</t>
  </si>
  <si>
    <t>186</t>
  </si>
  <si>
    <t>significare</t>
  </si>
  <si>
    <t>Io risposi , &amp;quot; Il fatto che non ne ha mai sentito parlare significa che sono notizie nuove . &amp;quot; &amp;quot; E lei rappresenta una rivista d' informazione . &amp;quot;</t>
  </si>
  <si>
    <t>file://conllu/it/teddy-1323.conllu#s186_0</t>
  </si>
  <si>
    <t>187</t>
  </si>
  <si>
    <t>accettato</t>
  </si>
  <si>
    <t>Così , dopo vari negoziati , il pezzo è stato accettato .</t>
  </si>
  <si>
    <t>file://conllu/it/teddy-1323.conllu#s187_0</t>
  </si>
  <si>
    <t>188</t>
  </si>
  <si>
    <t>Ma credo che molte cose che mi dissero siano in qualche modo collegate al a il disgusto che molti provano ancora per l' idea di terapia , l' idea che se andassimo a curare tante persone delle di le comunità indigenti questa sarebbe una cosa da sfruttatori , poiché cambieremmo queste persone .</t>
  </si>
  <si>
    <t>file://conllu/it/teddy-1323.conllu#s188_0</t>
  </si>
  <si>
    <t>189</t>
  </si>
  <si>
    <t>Esiste un falso imperativo morale che sembra essere tutto intorno a noi , secondo cui la cura della di la depressione , le medicine e tutto il resto , sono un artificio , una cosa innaturale .</t>
  </si>
  <si>
    <t>file://conllu/it/teddy-1323.conllu#s189_0</t>
  </si>
  <si>
    <t>190</t>
  </si>
  <si>
    <t>Io penso che sia molto fuorviante .</t>
  </si>
  <si>
    <t>file://conllu/it/teddy-1323.conllu#s190_0</t>
  </si>
  <si>
    <t>191</t>
  </si>
  <si>
    <t>essere (essere naturale)</t>
  </si>
  <si>
    <t>Sarebbe naturale che i denti delle di le persone cadessero , ma nessuno fa campagne contro il dentifricio , almeno non fra i miei conoscenti .</t>
  </si>
  <si>
    <t>file://conllu/it/teddy-1323.conllu#s191_0</t>
  </si>
  <si>
    <t>192</t>
  </si>
  <si>
    <t>E poi la gente dice , &amp;quot; Ma la depressione non fa parte dell' di l' esperienza delle di le persone ?</t>
  </si>
  <si>
    <t>file://conllu/it/teddy-1323.conllu#s192_0</t>
  </si>
  <si>
    <t>193</t>
  </si>
  <si>
    <t>evolvere</t>
  </si>
  <si>
    <t>Non ci evolviamo per essere depressi ?</t>
  </si>
  <si>
    <t>file://conllu/it/teddy-1323.conllu#s193_0</t>
  </si>
  <si>
    <t>194</t>
  </si>
  <si>
    <t>essere (essere parte)</t>
  </si>
  <si>
    <t>Non è parte della di la nostra personalità ? &amp;quot;</t>
  </si>
  <si>
    <t>file://conllu/it/teddy-1323.conllu#s194_0</t>
  </si>
  <si>
    <t>195</t>
  </si>
  <si>
    <t>volere (volere rispondere)</t>
  </si>
  <si>
    <t>A loro vorrei rispondere che lo stato d' animo si adatta .</t>
  </si>
  <si>
    <t>file://conllu/it/teddy-1323.conllu#s195_0</t>
  </si>
  <si>
    <t>196</t>
  </si>
  <si>
    <t>capacità</t>
  </si>
  <si>
    <t>La capacità di provare tristezza e paura , gioia e piacere , e tutti gli altri stati d' animo , hanno un grandissimo valore .</t>
  </si>
  <si>
    <t>file://conllu/it/teddy-1323.conllu#s196_0</t>
  </si>
  <si>
    <t>197</t>
  </si>
  <si>
    <t>essere (essere qualcosa)</t>
  </si>
  <si>
    <t>La depressione grave è qualcosa che si verifica quando questo sistema si rompe .</t>
  </si>
  <si>
    <t>file://conllu/it/teddy-1323.conllu#s197_0</t>
  </si>
  <si>
    <t>198</t>
  </si>
  <si>
    <t>essere (essere maladattivo)</t>
  </si>
  <si>
    <t>È maladattivo .</t>
  </si>
  <si>
    <t>file://conllu/it/teddy-1323.conllu#s198_0</t>
  </si>
  <si>
    <t>199</t>
  </si>
  <si>
    <t>Le persone vengono da me e mi dicono , &amp;quot; Io penso che , se resisto anche solo per un altro anno , credo di riuscire a venirne venir ne fuori . &amp;quot;</t>
  </si>
  <si>
    <t>file://conllu/it/teddy-1323.conllu#s199_0</t>
  </si>
  <si>
    <t>200</t>
  </si>
  <si>
    <t>rispondo</t>
  </si>
  <si>
    <t>E io rispondo sempre loro , &amp;quot; Potrai anche venirne venir ne fuori , ma non avrai più 37 anni .</t>
  </si>
  <si>
    <t>file://conllu/it/teddy-1323.conllu#s200_0</t>
  </si>
  <si>
    <t>201</t>
  </si>
  <si>
    <t>essere (essere breve)</t>
  </si>
  <si>
    <t>La vita è breve , e stai parlando di rinunciare ad un intero anno .</t>
  </si>
  <si>
    <t>file://conllu/it/teddy-1323.conllu#s201_0</t>
  </si>
  <si>
    <t>203</t>
  </si>
  <si>
    <t>essere (essere carenza)</t>
  </si>
  <si>
    <t>È una strana carenza della di la lingua inglese , ed anche di molte altre lingue , il fatto che usiamo questa stessa parola depressione per descrivere lo stato d' animo di un bambino se il giorno del di il suo compleanno piove , e per descrivere come si sente una persona un minuto prima di suicidarsi suicidar si .</t>
  </si>
  <si>
    <t>file://conllu/it/teddy-1323.conllu#s203_0</t>
  </si>
  <si>
    <t>204</t>
  </si>
  <si>
    <t>La gente mi dice , &amp;quot; C' è continuità con la normale tristezza ? &amp;quot;</t>
  </si>
  <si>
    <t>file://conllu/it/teddy-1323.conllu#s204_0</t>
  </si>
  <si>
    <t>205</t>
  </si>
  <si>
    <t>Io dico , &amp;quot; In un certo senso c' è continuità con la normale tristezza .</t>
  </si>
  <si>
    <t>file://conllu/it/teddy-1323.conllu#s205_0</t>
  </si>
  <si>
    <t>206</t>
  </si>
  <si>
    <t>C' è una certa dose di continuità , ma allo a lo stesso modo in cui c' è continuità fra avere una recinzione metallica fuori casa su cui si forma un po' di ruggine , che poi devi raschiare via e ridipingere , e ciò che accade se abbandoni la casa per 100 anni e questa si arrugginisce fino a diventare un mucchio di polvere arancione .</t>
  </si>
  <si>
    <t>file://conllu/it/teddy-1323.conllu#s206_0</t>
  </si>
  <si>
    <t>207</t>
  </si>
  <si>
    <t>È quel punto di ruggine arancione , quella polvere arancione , è proprio quello che ci prepariamo ad affrontare .</t>
  </si>
  <si>
    <t>file://conllu/it/teddy-1323.conllu#s207_0</t>
  </si>
  <si>
    <t>208</t>
  </si>
  <si>
    <t>Ora la gente dice , &amp;quot; Prendi queste pillole della di la felicità , e ti senti felice ? &amp;quot; No .</t>
  </si>
  <si>
    <t>file://conllu/it/teddy-1323.conllu#s208_0</t>
  </si>
  <si>
    <t>209</t>
  </si>
  <si>
    <t>essere (essere tredere)</t>
  </si>
  <si>
    <t>Ma non sono triste di dover pranzare , e non sono triste a causa della di la mia segreteria telefonica , e non sono triste se faccio una doccia .</t>
  </si>
  <si>
    <t>file://conllu/it/teddy-1323.conllu#s209_0</t>
  </si>
  <si>
    <t>210</t>
  </si>
  <si>
    <t>provo</t>
  </si>
  <si>
    <t>Invece provo più emozioni , rifletto , perché posso provare tristezza senza nullità .</t>
  </si>
  <si>
    <t>file://conllu/it/teddy-1323.conllu#s210_0</t>
  </si>
  <si>
    <t>211</t>
  </si>
  <si>
    <t>tredere</t>
  </si>
  <si>
    <t>Sono triste per via di delusioni professionali , per via di rapporti logorati , per via del di il riscaldamento globale .</t>
  </si>
  <si>
    <t>file://conllu/it/teddy-1323.conllu#s211_0</t>
  </si>
  <si>
    <t>212</t>
  </si>
  <si>
    <t>essere (essere questo)</t>
  </si>
  <si>
    <t>Sono queste le cose che ora mi rendono triste .</t>
  </si>
  <si>
    <t>file://conllu/it/teddy-1323.conllu#s212_0</t>
  </si>
  <si>
    <t>213</t>
  </si>
  <si>
    <t>E mi sono chiesto quale fosse la conclusione .</t>
  </si>
  <si>
    <t>file://conllu/it/teddy-1323.conllu#s213_0</t>
  </si>
  <si>
    <t>214</t>
  </si>
  <si>
    <t>Come fanno queste persone che hanno vite migliori e soffrono di depressione anche più grave , a venirne venir ne fuori ?</t>
  </si>
  <si>
    <t>file://conllu/it/teddy-1323.conllu#s214_0</t>
  </si>
  <si>
    <t>215</t>
  </si>
  <si>
    <t>funzionare</t>
  </si>
  <si>
    <t>Come funziona il meccanismo di ripresa ?</t>
  </si>
  <si>
    <t>file://conllu/it/teddy-1323.conllu#s215_0</t>
  </si>
  <si>
    <t>216</t>
  </si>
  <si>
    <t>E la risposta che mi sono dato col con il tempo è che le persone che negano la propria esperienza , quelle che dicono , &amp;quot; Molto tempo fa ero depresso e non voglio pensarci pensar ci più , non mi ci soffermerò , mi limiterò ad andare avanti con la mia vita &amp;quot; , ironicamente , sono le persone che sono più sottomesse dalla da la propria patologia .</t>
  </si>
  <si>
    <t>file://conllu/it/teddy-1323.conllu#s216_0</t>
  </si>
  <si>
    <t>217</t>
  </si>
  <si>
    <t>Chiudere fuori la depressione non fa che rinforzarla rinforzar la .</t>
  </si>
  <si>
    <t>file://conllu/it/teddy-1323.conllu#s217_0</t>
  </si>
  <si>
    <t>218</t>
  </si>
  <si>
    <t>crescere</t>
  </si>
  <si>
    <t>Mentre ti nascondi da lei , quella cresce .</t>
  </si>
  <si>
    <t>file://conllu/it/teddy-1323.conllu#s218_0</t>
  </si>
  <si>
    <t>219</t>
  </si>
  <si>
    <t>E le persone che migliorano sono quelle in grado di sopportare il fatto di esserne esser ne affetti .</t>
  </si>
  <si>
    <t>file://conllu/it/teddy-1323.conllu#s219_0</t>
  </si>
  <si>
    <t>220</t>
  </si>
  <si>
    <t>Le persone che riescono a tollerare la depressione sono quelle che riescono a riprendersi riprender si .</t>
  </si>
  <si>
    <t>file://conllu/it/teddy-1323.conllu#s220_0</t>
  </si>
  <si>
    <t>221</t>
  </si>
  <si>
    <t>dire (dire credere)</t>
  </si>
  <si>
    <t>Così Frank Russakoff mi disse , &amp;quot; Se dovessi rifare tutto , non credo che lo rifarei in questo modo , ma stranamente sono grato per l' esperienza che ho vissuto .</t>
  </si>
  <si>
    <t>file://conllu/it/teddy-1323.conllu#s221_0</t>
  </si>
  <si>
    <t>222</t>
  </si>
  <si>
    <t>essere (essere felice)</t>
  </si>
  <si>
    <t>Sono felice di essere andato 40 volte in ospedale .</t>
  </si>
  <si>
    <t>file://conllu/it/teddy-1323.conllu#s222_0</t>
  </si>
  <si>
    <t>223</t>
  </si>
  <si>
    <t>dire (dire insegnare)</t>
  </si>
  <si>
    <t>Mi ha insegnato così tanto sull' su l' amore , ed il mio rapporto con i miei genitori ed i miei medici è stato davvero prezioso per me , e lo sarà sempre . &amp;quot; Maggie Robbins disse , &amp;quot; Ho fatto la volontaria in una clinica di malati di AIDS , non facevo altro che parlare e parlare , e le persone con cui avevo a che fare non erano molto reattive , così pensavo , &amp;quot; Non sono molto amichevoli , non mi aiutano . &amp;quot;</t>
  </si>
  <si>
    <t>file://conllu/it/teddy-1323.conllu#s223_0</t>
  </si>
  <si>
    <t>224</t>
  </si>
  <si>
    <t>capire (capire capire)</t>
  </si>
  <si>
    <t>Allora ho capito , ho capito che non avrebbero fatto altro che chiacchierare per qualche minuto .</t>
  </si>
  <si>
    <t>file://conllu/it/teddy-1323.conllu#s224_0</t>
  </si>
  <si>
    <t>225</t>
  </si>
  <si>
    <t>essere (essere occasione)</t>
  </si>
  <si>
    <t>Era semplicemente un' occasione in cui non ero affetta da AIDS e non stavo morendo , ma riuscivo a tollerare il fatto che loro ne erano affetti e stavano morendo .</t>
  </si>
  <si>
    <t>file://conllu/it/teddy-1323.conllu#s225_0</t>
  </si>
  <si>
    <t>226</t>
  </si>
  <si>
    <t>essere (essere risorsa)</t>
  </si>
  <si>
    <t>I nostri bisogni sono le nostre risorse più importanti .</t>
  </si>
  <si>
    <t>file://conllu/it/teddy-1323.conllu#s226_0</t>
  </si>
  <si>
    <t>228</t>
  </si>
  <si>
    <t>impedire</t>
  </si>
  <si>
    <t>Valorizzare la depressione di una persona non impedisce una ricaduta , ma può rendere la prospettiva di una ricaduta , e perfino la ricaduta stessa , più semplice da tollerare .</t>
  </si>
  <si>
    <t>file://conllu/it/teddy-1323.conllu#s228_0</t>
  </si>
  <si>
    <t>229</t>
  </si>
  <si>
    <t>decidere (decidere trovare)</t>
  </si>
  <si>
    <t>Il problema non è tanto trovare un grande significato e decidere che la depressione è stata molto importante .</t>
  </si>
  <si>
    <t>file://conllu/it/teddy-1323.conllu#s229_0</t>
  </si>
  <si>
    <t>230</t>
  </si>
  <si>
    <t>cercare</t>
  </si>
  <si>
    <t>È cercare quel significato e pensare , quando ritorna , &amp;quot; Sarà un inferno , ma imparerò qualcosa . &amp;quot;</t>
  </si>
  <si>
    <t>file://conllu/it/teddy-1323.conllu#s230_0</t>
  </si>
  <si>
    <t>231</t>
  </si>
  <si>
    <t>imparare</t>
  </si>
  <si>
    <t>Durante la mia depressione ho imparato quanto può essere forte un' emozione , quanto può essere reale e ho capito che quell' esperienza mi ha consentito di provare emozioni positive in modo più intenso e concentrato .</t>
  </si>
  <si>
    <t>file://conllu/it/teddy-1323.conllu#s231_0</t>
  </si>
  <si>
    <t>232</t>
  </si>
  <si>
    <t>Il contrario di depressione non è felicità , ma vitalità , ed ora la mia vita è vitale , anche nei in i giorni in cui sono triste .</t>
  </si>
  <si>
    <t>file://conllu/it/teddy-1323.conllu#s232_0</t>
  </si>
  <si>
    <t>233</t>
  </si>
  <si>
    <t>scoprire (scoprire sentire)</t>
  </si>
  <si>
    <t>Ho sentito quel funerale nella in la mia testa , e mi sono seduto accanto al a il colosso ai a i confini del di il mondo ed ho scoperto qualcosa dentro di me che chiamerei anima e che non avevo mai concepito fino a quel giorno di 20 anni fa , quando l' inferno mi fece visita a sorpresa .</t>
  </si>
  <si>
    <t>file://conllu/it/teddy-1323.conllu#s233_0</t>
  </si>
  <si>
    <t>234</t>
  </si>
  <si>
    <t>Credo che , anche se odiavo essere depresso e odierei essere depresso di nuovo , di aver trovato un modo di amare la mia depressione .</t>
  </si>
  <si>
    <t>file://conllu/it/teddy-1323.conllu#s234_0</t>
  </si>
  <si>
    <t>235</t>
  </si>
  <si>
    <t>amare</t>
  </si>
  <si>
    <t>La amo perché mi ha costretto a trovare la gioia e ad aggrapparmi ad essa .</t>
  </si>
  <si>
    <t>file://conllu/it/teddy-1323.conllu#s235_0</t>
  </si>
  <si>
    <t>236</t>
  </si>
  <si>
    <t>La amo perché ogni giorno decido , a volte con coraggio , a volte contro il buon senso del di il momento , di attaccarmi attaccar mi alle a le ragioni per cui vivere .</t>
  </si>
  <si>
    <t>file://conllu/it/teddy-1323.conllu#s236_0</t>
  </si>
  <si>
    <t>237</t>
  </si>
  <si>
    <t>essere (essere privilegio)</t>
  </si>
  <si>
    <t>Questo , secondo me , è un grande privilegio .</t>
  </si>
  <si>
    <t>file://conllu/it/teddy-1323.conllu#s237_0</t>
  </si>
  <si>
    <t>238</t>
  </si>
  <si>
    <t>grazie</t>
  </si>
  <si>
    <t>Grazie .</t>
  </si>
  <si>
    <t>file://conllu/it/teddy-1323.conllu#s238_0</t>
  </si>
  <si>
    <t>WORD</t>
  </si>
  <si>
    <t>GR</t>
  </si>
  <si>
    <t>NP_TYPE</t>
  </si>
  <si>
    <t>REF_AUTO</t>
  </si>
  <si>
    <t>COREF</t>
  </si>
  <si>
    <t>REF</t>
  </si>
  <si>
    <t>IS</t>
  </si>
  <si>
    <t>CB</t>
  </si>
  <si>
    <t>GR_ANTE</t>
  </si>
  <si>
    <t>REF_DIST</t>
  </si>
  <si>
    <t>REF_DIST_ANTE</t>
  </si>
  <si>
    <t># text = Sentivo un funerale nel cervello, e i dolenti avanti e indietro andavano, andavano finché sembrò che il senso fosse frantumato.</t>
  </si>
  <si>
    <t>Sentivo</t>
  </si>
  <si>
    <t>un</t>
  </si>
  <si>
    <t>funerale</t>
  </si>
  <si>
    <t>OBJ</t>
  </si>
  <si>
    <t>indef-np.a</t>
  </si>
  <si>
    <t>in</t>
  </si>
  <si>
    <t>il</t>
  </si>
  <si>
    <t>cervello</t>
  </si>
  <si>
    <t>other</t>
  </si>
  <si>
    <t>def-np.the</t>
  </si>
  <si>
    <t>?OLD</t>
  </si>
  <si>
    <t>,</t>
  </si>
  <si>
    <t>e</t>
  </si>
  <si>
    <t>i</t>
  </si>
  <si>
    <t>dolenti</t>
  </si>
  <si>
    <t>avanti</t>
  </si>
  <si>
    <t>indietro</t>
  </si>
  <si>
    <t>andavano</t>
  </si>
  <si>
    <t>finché</t>
  </si>
  <si>
    <t>sembrò</t>
  </si>
  <si>
    <t>che</t>
  </si>
  <si>
    <t>senso</t>
  </si>
  <si>
    <t>SBJ_4</t>
  </si>
  <si>
    <t>fosse</t>
  </si>
  <si>
    <t>frantumato</t>
  </si>
  <si>
    <t>.</t>
  </si>
  <si>
    <t># text = E quando tutti furono seduti, una funzione, come un tamburo batteva, batteva, finché pensai che la mente si fosse intorpidita.</t>
  </si>
  <si>
    <t>E</t>
  </si>
  <si>
    <t>quando</t>
  </si>
  <si>
    <t>tutti</t>
  </si>
  <si>
    <t>SBJ_2</t>
  </si>
  <si>
    <t>pron.pind</t>
  </si>
  <si>
    <t>furono</t>
  </si>
  <si>
    <t>seduti</t>
  </si>
  <si>
    <t>una</t>
  </si>
  <si>
    <t>SBJ</t>
  </si>
  <si>
    <t>def-np.poss</t>
  </si>
  <si>
    <t>come</t>
  </si>
  <si>
    <t>tamburo</t>
  </si>
  <si>
    <t>other_2</t>
  </si>
  <si>
    <t>batteva</t>
  </si>
  <si>
    <t>pensai</t>
  </si>
  <si>
    <t>la</t>
  </si>
  <si>
    <t>mente</t>
  </si>
  <si>
    <t>si</t>
  </si>
  <si>
    <t>intorpidita</t>
  </si>
  <si>
    <t># text = E poi li udii sollevare una cassa e cigolare di traverso all'anima con quegli stessi stivali di piombo, ancora, Poi lo spazio iniziò a rintoccare, come se tutti i cieli fossero una campana e l'esistenza, solo un orecchio, ed io, e il silenzio, una razza estranea naufragata, solitaria, qui.</t>
  </si>
  <si>
    <t>poi</t>
  </si>
  <si>
    <t>li</t>
  </si>
  <si>
    <t>pron.pper</t>
  </si>
  <si>
    <t>udii</t>
  </si>
  <si>
    <t>cassa</t>
  </si>
  <si>
    <t>cigolare</t>
  </si>
  <si>
    <t>di</t>
  </si>
  <si>
    <t>traverso</t>
  </si>
  <si>
    <t>other_3</t>
  </si>
  <si>
    <t>a</t>
  </si>
  <si>
    <t>l'</t>
  </si>
  <si>
    <t>anima</t>
  </si>
  <si>
    <t>con</t>
  </si>
  <si>
    <t>quegli</t>
  </si>
  <si>
    <t>stessi</t>
  </si>
  <si>
    <t>stivali</t>
  </si>
  <si>
    <t>other_4</t>
  </si>
  <si>
    <t>def-np.dem</t>
  </si>
  <si>
    <t>piombo</t>
  </si>
  <si>
    <t>other_5</t>
  </si>
  <si>
    <t>indef-np.bare</t>
  </si>
  <si>
    <t>ancora</t>
  </si>
  <si>
    <t>Poi</t>
  </si>
  <si>
    <t>lo</t>
  </si>
  <si>
    <t>spazio</t>
  </si>
  <si>
    <t>iniziò</t>
  </si>
  <si>
    <t>rintoccare</t>
  </si>
  <si>
    <t>se</t>
  </si>
  <si>
    <t>cieli</t>
  </si>
  <si>
    <t>SBJ_6</t>
  </si>
  <si>
    <t>fossero</t>
  </si>
  <si>
    <t>campana</t>
  </si>
  <si>
    <t>esistenza</t>
  </si>
  <si>
    <t>other_6</t>
  </si>
  <si>
    <t>solo</t>
  </si>
  <si>
    <t>orecchio</t>
  </si>
  <si>
    <t>other_7</t>
  </si>
  <si>
    <t>ed</t>
  </si>
  <si>
    <t>io</t>
  </si>
  <si>
    <t>silenzio</t>
  </si>
  <si>
    <t>razza</t>
  </si>
  <si>
    <t>estranea</t>
  </si>
  <si>
    <t>naufragata</t>
  </si>
  <si>
    <t>solitaria</t>
  </si>
  <si>
    <t>qui</t>
  </si>
  <si>
    <t>--</t>
  </si>
  <si>
    <t># text = E poi un'asse nella ragione si spezzò, e caddi giù, e giù, e urtai contro un mondo a ogni tuffo e finii di sapere allora.\"</t>
  </si>
  <si>
    <t>un'</t>
  </si>
  <si>
    <t>asse</t>
  </si>
  <si>
    <t>ragione</t>
  </si>
  <si>
    <t>spezzò</t>
  </si>
  <si>
    <t>caddi</t>
  </si>
  <si>
    <t>giù</t>
  </si>
  <si>
    <t>urtai</t>
  </si>
  <si>
    <t>contro</t>
  </si>
  <si>
    <t>mondo</t>
  </si>
  <si>
    <t>ogni</t>
  </si>
  <si>
    <t>tuffo</t>
  </si>
  <si>
    <t>indef-np</t>
  </si>
  <si>
    <t>finii</t>
  </si>
  <si>
    <t>allora</t>
  </si>
  <si>
    <t># text = Conosciamo la depressione attraverso delle metafore.</t>
  </si>
  <si>
    <t>Conosciamo</t>
  </si>
  <si>
    <t>depressione</t>
  </si>
  <si>
    <t>attraverso</t>
  </si>
  <si>
    <t>le</t>
  </si>
  <si>
    <t>metafore</t>
  </si>
  <si>
    <t># text = Emily Dickinson riusciva ad esprimerla con il linguaggio, Goya con un'immagine.</t>
  </si>
  <si>
    <t>Emily</t>
  </si>
  <si>
    <t>ne</t>
  </si>
  <si>
    <t>Dickinson</t>
  </si>
  <si>
    <t>riusciva</t>
  </si>
  <si>
    <t>ad</t>
  </si>
  <si>
    <t>esprimerla</t>
  </si>
  <si>
    <t>linguaggio</t>
  </si>
  <si>
    <t>Goya</t>
  </si>
  <si>
    <t>immagine</t>
  </si>
  <si>
    <t># text = Metà dello scopo dell'arte è descrivere questi stati d'animo emblematici.</t>
  </si>
  <si>
    <t>Metà</t>
  </si>
  <si>
    <t>scopo</t>
  </si>
  <si>
    <t>arte</t>
  </si>
  <si>
    <t>è</t>
  </si>
  <si>
    <t>questi</t>
  </si>
  <si>
    <t>stati</t>
  </si>
  <si>
    <t>d'</t>
  </si>
  <si>
    <t>animo</t>
  </si>
  <si>
    <t>emblematici</t>
  </si>
  <si>
    <t># text = Quanto a me, mi sono sempre ritenuto un tipo tosto, uno di quelli in grado di sopravvivere se fossi stato mandato in un campo di concentramento.</t>
  </si>
  <si>
    <t>Quanto</t>
  </si>
  <si>
    <t>me</t>
  </si>
  <si>
    <t>mi</t>
  </si>
  <si>
    <t>sono</t>
  </si>
  <si>
    <t>sempre</t>
  </si>
  <si>
    <t>ritenuto</t>
  </si>
  <si>
    <t>tipo</t>
  </si>
  <si>
    <t>tosto</t>
  </si>
  <si>
    <t>uno</t>
  </si>
  <si>
    <t>quelli</t>
  </si>
  <si>
    <t>pron.pds</t>
  </si>
  <si>
    <t>grado</t>
  </si>
  <si>
    <t>sopravvivere</t>
  </si>
  <si>
    <t>fossi</t>
  </si>
  <si>
    <t>stato</t>
  </si>
  <si>
    <t>mandato</t>
  </si>
  <si>
    <t>campo</t>
  </si>
  <si>
    <t>concentramento</t>
  </si>
  <si>
    <t>other_8</t>
  </si>
  <si>
    <t># text = Nel 1991 subii diverse perdite.</t>
  </si>
  <si>
    <t>In</t>
  </si>
  <si>
    <t>1991</t>
  </si>
  <si>
    <t>subii</t>
  </si>
  <si>
    <t>diverse</t>
  </si>
  <si>
    <t>perdite</t>
  </si>
  <si>
    <t># text = Mia madre morì, la relazione che avevo finì, tornai negli Stati Uniti dopo diversi anni trascorsi all'estero, e ho superato indenne tutte queste esperienze.</t>
  </si>
  <si>
    <t>Mia</t>
  </si>
  <si>
    <t>pron.ppos</t>
  </si>
  <si>
    <t>madre</t>
  </si>
  <si>
    <t>morì</t>
  </si>
  <si>
    <t>relazione</t>
  </si>
  <si>
    <t>SBJ_3</t>
  </si>
  <si>
    <t>avevo</t>
  </si>
  <si>
    <t>finì</t>
  </si>
  <si>
    <t>gli</t>
  </si>
  <si>
    <t>Stati</t>
  </si>
  <si>
    <t>Uniti</t>
  </si>
  <si>
    <t>dopo</t>
  </si>
  <si>
    <t>diversi</t>
  </si>
  <si>
    <t>anni</t>
  </si>
  <si>
    <t>trascorsi</t>
  </si>
  <si>
    <t>estero</t>
  </si>
  <si>
    <t>ho</t>
  </si>
  <si>
    <t>superato</t>
  </si>
  <si>
    <t>indenne</t>
  </si>
  <si>
    <t>tutte</t>
  </si>
  <si>
    <t>queste</t>
  </si>
  <si>
    <t>esperienze</t>
  </si>
  <si>
    <t>OBJ_3</t>
  </si>
  <si>
    <t># text = Ma nel 1994, tre anni più tardi, mi ritrovai ad aver perso interesse per quasi tutto.</t>
  </si>
  <si>
    <t>Ma</t>
  </si>
  <si>
    <t>1994</t>
  </si>
  <si>
    <t>tre</t>
  </si>
  <si>
    <t>indef-np.quant</t>
  </si>
  <si>
    <t>più</t>
  </si>
  <si>
    <t>tardi</t>
  </si>
  <si>
    <t>aver</t>
  </si>
  <si>
    <t>perso</t>
  </si>
  <si>
    <t>interesse</t>
  </si>
  <si>
    <t>OBJ_2</t>
  </si>
  <si>
    <t>per</t>
  </si>
  <si>
    <t>quasi</t>
  </si>
  <si>
    <t>tutto</t>
  </si>
  <si>
    <t># text = Non volevo fare nessuna delle cose che volevo fare prima, e non sapevo perché.</t>
  </si>
  <si>
    <t>Non</t>
  </si>
  <si>
    <t>volevo</t>
  </si>
  <si>
    <t>nessuna</t>
  </si>
  <si>
    <t>cose</t>
  </si>
  <si>
    <t>OBJ_4</t>
  </si>
  <si>
    <t>prima</t>
  </si>
  <si>
    <t>non</t>
  </si>
  <si>
    <t>sapevo</t>
  </si>
  <si>
    <t>perché</t>
  </si>
  <si>
    <t># text = Il contrario di depressione non è felicità, ma vitalità, ed era la vitalità che sembrava sfuggirmi in quel momento.</t>
  </si>
  <si>
    <t>Il</t>
  </si>
  <si>
    <t>contrario</t>
  </si>
  <si>
    <t>felicità</t>
  </si>
  <si>
    <t>ma</t>
  </si>
  <si>
    <t>vitalità</t>
  </si>
  <si>
    <t>era</t>
  </si>
  <si>
    <t>sembrava</t>
  </si>
  <si>
    <t>sfuggir</t>
  </si>
  <si>
    <t>quel</t>
  </si>
  <si>
    <t>momento</t>
  </si>
  <si>
    <t># text = Qualsiasi cosa dovessi fare mi sembrava troppo impegnativa.</t>
  </si>
  <si>
    <t>Qualsiasi</t>
  </si>
  <si>
    <t>cosa</t>
  </si>
  <si>
    <t>dovessi</t>
  </si>
  <si>
    <t>troppo</t>
  </si>
  <si>
    <t>impegnativa</t>
  </si>
  <si>
    <t># text = Tornavo a casa e vedevo la luce rossa lampeggiare sulla segreteria telefonica, e invece di non vedere l'ora di sentire i miei amici, pensavo "Quanta gente che devo richiamare."</t>
  </si>
  <si>
    <t>Tornavo</t>
  </si>
  <si>
    <t>casa</t>
  </si>
  <si>
    <t>vedevo</t>
  </si>
  <si>
    <t>luce</t>
  </si>
  <si>
    <t>rossa</t>
  </si>
  <si>
    <t>lampeggiare</t>
  </si>
  <si>
    <t>su</t>
  </si>
  <si>
    <t>segreteria</t>
  </si>
  <si>
    <t>telefonica</t>
  </si>
  <si>
    <t>invece</t>
  </si>
  <si>
    <t>vedere</t>
  </si>
  <si>
    <t>ora</t>
  </si>
  <si>
    <t>miei</t>
  </si>
  <si>
    <t>amici</t>
  </si>
  <si>
    <t>OBJ_6</t>
  </si>
  <si>
    <t>pensavo</t>
  </si>
  <si>
    <t>Quanta</t>
  </si>
  <si>
    <t>pron.pint</t>
  </si>
  <si>
    <t>gente</t>
  </si>
  <si>
    <t>devo</t>
  </si>
  <si>
    <t>richiamare</t>
  </si>
  <si>
    <t># text = Quando avrei dovuto decidere di pranzare pensavo:</t>
  </si>
  <si>
    <t>Quando</t>
  </si>
  <si>
    <t>avrei</t>
  </si>
  <si>
    <t>dovuto</t>
  </si>
  <si>
    <t>pranzare</t>
  </si>
  <si>
    <t>:</t>
  </si>
  <si>
    <t># text = "Dovrei tirar fuori il cibo, metterlo su un piatto, tagliarlo, masticarlo ed ingoiarlo", e mi sembrava la Via Crucis.</t>
  </si>
  <si>
    <t>Dovrei</t>
  </si>
  <si>
    <t>tirar</t>
  </si>
  <si>
    <t>fuori</t>
  </si>
  <si>
    <t>cibo</t>
  </si>
  <si>
    <t>metter</t>
  </si>
  <si>
    <t>piatto</t>
  </si>
  <si>
    <t>tagliar</t>
  </si>
  <si>
    <t>masticar</t>
  </si>
  <si>
    <t>ingoiar</t>
  </si>
  <si>
    <t>Via</t>
  </si>
  <si>
    <t>Crucis</t>
  </si>
  <si>
    <t># text = Una delle cose che spesso si dimentica parlando di depressione è che sai che è una cosa ridicola.</t>
  </si>
  <si>
    <t>Una</t>
  </si>
  <si>
    <t>spesso</t>
  </si>
  <si>
    <t>dimentica</t>
  </si>
  <si>
    <t>parlando</t>
  </si>
  <si>
    <t>sai</t>
  </si>
  <si>
    <t>ridicola</t>
  </si>
  <si>
    <t># text = Sai che è ridicola mentre ci sei dentro.</t>
  </si>
  <si>
    <t>Sai</t>
  </si>
  <si>
    <t>mentre</t>
  </si>
  <si>
    <t>ci</t>
  </si>
  <si>
    <t>sei</t>
  </si>
  <si>
    <t>dentro</t>
  </si>
  <si>
    <t># text = Sai che molte persone riescono ad ascoltare i propri messaggi, pranzare, organizzarsi per fare una doccia ed uscire dalla porta principale e che non è un grande sforzo, eppure ti trovi in questa morsa e non riesci a capire come uscirne.</t>
  </si>
  <si>
    <t>molte</t>
  </si>
  <si>
    <t>persone</t>
  </si>
  <si>
    <t>riescono</t>
  </si>
  <si>
    <t>ascoltare</t>
  </si>
  <si>
    <t>propri</t>
  </si>
  <si>
    <t>messaggi</t>
  </si>
  <si>
    <t>organizzar</t>
  </si>
  <si>
    <t>doccia</t>
  </si>
  <si>
    <t>da</t>
  </si>
  <si>
    <t>porta</t>
  </si>
  <si>
    <t>principale</t>
  </si>
  <si>
    <t>SBJ_5</t>
  </si>
  <si>
    <t>grande</t>
  </si>
  <si>
    <t>sforzo</t>
  </si>
  <si>
    <t>eppure</t>
  </si>
  <si>
    <t>ti</t>
  </si>
  <si>
    <t>trovi</t>
  </si>
  <si>
    <t>questa</t>
  </si>
  <si>
    <t>morsa</t>
  </si>
  <si>
    <t>riesci</t>
  </si>
  <si>
    <t>capire</t>
  </si>
  <si>
    <t>uscir</t>
  </si>
  <si>
    <t>OBJ_9</t>
  </si>
  <si>
    <t># text = Così mi accorsi che facevo di meno, pensavo di meno e provavo meno sentimenti.</t>
  </si>
  <si>
    <t>Così</t>
  </si>
  <si>
    <t>accorsi</t>
  </si>
  <si>
    <t>facevo</t>
  </si>
  <si>
    <t>meno</t>
  </si>
  <si>
    <t>provavo</t>
  </si>
  <si>
    <t>sentimenti</t>
  </si>
  <si>
    <t># text = Era una sorta di nulla assoluto.</t>
  </si>
  <si>
    <t>Era</t>
  </si>
  <si>
    <t>sorta</t>
  </si>
  <si>
    <t>nulla</t>
  </si>
  <si>
    <t>assoluto</t>
  </si>
  <si>
    <t># text = Poi arrivò l'ansia.</t>
  </si>
  <si>
    <t>arrivò</t>
  </si>
  <si>
    <t>ansia</t>
  </si>
  <si>
    <t># text = Se mi avessero detto che avrei dovuto essere depresso per tutto il mese successivo, avrei risposto "Dato che so che a novembre sarà tutto finito, posso farcela."</t>
  </si>
  <si>
    <t>Se</t>
  </si>
  <si>
    <t>avessero</t>
  </si>
  <si>
    <t>detto</t>
  </si>
  <si>
    <t>depresso</t>
  </si>
  <si>
    <t>mese</t>
  </si>
  <si>
    <t>successivo</t>
  </si>
  <si>
    <t>risposto</t>
  </si>
  <si>
    <t>Dato</t>
  </si>
  <si>
    <t>so</t>
  </si>
  <si>
    <t>novembre</t>
  </si>
  <si>
    <t>sarà</t>
  </si>
  <si>
    <t>finito</t>
  </si>
  <si>
    <t>posso</t>
  </si>
  <si>
    <t>farcela</t>
  </si>
  <si>
    <t># text = Ma se mi avessero detto, \"Devi soffrire di ansia acuta per tutto il prossimo mese\", piuttosto mi sarei tagliato una mano.</t>
  </si>
  <si>
    <t>Devi</t>
  </si>
  <si>
    <t>acuta</t>
  </si>
  <si>
    <t>prossimo</t>
  </si>
  <si>
    <t>piuttosto</t>
  </si>
  <si>
    <t>sarei</t>
  </si>
  <si>
    <t>tagliato</t>
  </si>
  <si>
    <t>mano</t>
  </si>
  <si>
    <t># text = Quella sensazione era onnipresente come la sensazione che provi quando camminando scivoli, o inciampi e il terreno si avvicina all'improvviso, ma invece di durare mezzo secondo, come dovrebbe, è durata sei mesi.</t>
  </si>
  <si>
    <t>Quella</t>
  </si>
  <si>
    <t>sensazione</t>
  </si>
  <si>
    <t>onnipresente</t>
  </si>
  <si>
    <t>provi</t>
  </si>
  <si>
    <t>camminando</t>
  </si>
  <si>
    <t>scivoli</t>
  </si>
  <si>
    <t>o</t>
  </si>
  <si>
    <t>inciampi</t>
  </si>
  <si>
    <t>terreno</t>
  </si>
  <si>
    <t>avvicina</t>
  </si>
  <si>
    <t>improvviso</t>
  </si>
  <si>
    <t>durare</t>
  </si>
  <si>
    <t>mezzo</t>
  </si>
  <si>
    <t>OBJ_7</t>
  </si>
  <si>
    <t>secondo</t>
  </si>
  <si>
    <t>dovrebbe</t>
  </si>
  <si>
    <t>durata</t>
  </si>
  <si>
    <t>mesi</t>
  </si>
  <si>
    <t>other_10</t>
  </si>
  <si>
    <t># text = È come provare paura sempre, senza sapere di cosa hai paura.</t>
  </si>
  <si>
    <t>È</t>
  </si>
  <si>
    <t>paura</t>
  </si>
  <si>
    <t>senza</t>
  </si>
  <si>
    <t>hai</t>
  </si>
  <si>
    <t># text = È stato a quel punto che ho iniziato a pensare che essere vivi faceva troppo male, e che l'unica ragione per non suicidarsi era non ferire altre persone.</t>
  </si>
  <si>
    <t>punto</t>
  </si>
  <si>
    <t>iniziato</t>
  </si>
  <si>
    <t>vivi</t>
  </si>
  <si>
    <t>faceva</t>
  </si>
  <si>
    <t>male</t>
  </si>
  <si>
    <t>unica</t>
  </si>
  <si>
    <t>suicidar</t>
  </si>
  <si>
    <t>ferire</t>
  </si>
  <si>
    <t>altre</t>
  </si>
  <si>
    <t># text = Finalmente, un giorno mi svegliai e pensai che forse avevo avuto un ictus, perché ero disteso sul letto, completamente immobile, guardavo il telefono, e pensavo, "Qualcosa non va, dovrei chiedere aiuto" e non riuscivo ad alzare il braccio per prendere il telefono e comporre il numero.</t>
  </si>
  <si>
    <t>Finalmente</t>
  </si>
  <si>
    <t>giorno</t>
  </si>
  <si>
    <t>forse</t>
  </si>
  <si>
    <t>avuto</t>
  </si>
  <si>
    <t>ictus</t>
  </si>
  <si>
    <t>ero</t>
  </si>
  <si>
    <t>disteso</t>
  </si>
  <si>
    <t>letto</t>
  </si>
  <si>
    <t>completamente</t>
  </si>
  <si>
    <t>immobile</t>
  </si>
  <si>
    <t>guardavo</t>
  </si>
  <si>
    <t>telefono</t>
  </si>
  <si>
    <t>Qualcosa</t>
  </si>
  <si>
    <t>va</t>
  </si>
  <si>
    <t>dovrei</t>
  </si>
  <si>
    <t>aiuto</t>
  </si>
  <si>
    <t>riuscivo</t>
  </si>
  <si>
    <t>alzare</t>
  </si>
  <si>
    <t>braccio</t>
  </si>
  <si>
    <t>OBJ_5</t>
  </si>
  <si>
    <t>comporre</t>
  </si>
  <si>
    <t>numero</t>
  </si>
  <si>
    <t># text = Finalmente, dopo aver passato quattro lunghe ore disteso a guardarlo, il telefono suonò e in qualche modo riuscii a rispondere, era mio padre, gli dissi, "Ho problemi seri.</t>
  </si>
  <si>
    <t>passato</t>
  </si>
  <si>
    <t>quattro</t>
  </si>
  <si>
    <t>lunghe</t>
  </si>
  <si>
    <t>ore</t>
  </si>
  <si>
    <t>guardar</t>
  </si>
  <si>
    <t>suonò</t>
  </si>
  <si>
    <t>qualche</t>
  </si>
  <si>
    <t>modo</t>
  </si>
  <si>
    <t>riuscii</t>
  </si>
  <si>
    <t>mio</t>
  </si>
  <si>
    <t>padre</t>
  </si>
  <si>
    <t>dissi</t>
  </si>
  <si>
    <t>Ho</t>
  </si>
  <si>
    <t>problemi</t>
  </si>
  <si>
    <t>seri</t>
  </si>
  <si>
    <t># text = Dobbiamo fare qualcosa.</t>
  </si>
  <si>
    <t>Dobbiamo</t>
  </si>
  <si>
    <t>qualcosa</t>
  </si>
  <si>
    <t># text = "</t>
  </si>
  <si>
    <t># text = Il giorno successivo iniziai a prendere farmaci e cominciai la terapia.</t>
  </si>
  <si>
    <t>farmaci</t>
  </si>
  <si>
    <t>cominciai</t>
  </si>
  <si>
    <t>terapia</t>
  </si>
  <si>
    <t># text = Iniziai anche a pormi questa terribile domanda:</t>
  </si>
  <si>
    <t>Iniziai</t>
  </si>
  <si>
    <t>anche</t>
  </si>
  <si>
    <t>pormi</t>
  </si>
  <si>
    <t>terribile</t>
  </si>
  <si>
    <t>domanda</t>
  </si>
  <si>
    <t># text = se non sono la persona tosta che sarebbe sopravvissuta ad un campo di concentramento, allora chi sono?</t>
  </si>
  <si>
    <t>persona</t>
  </si>
  <si>
    <t>tosta</t>
  </si>
  <si>
    <t>sarebbe</t>
  </si>
  <si>
    <t>sopravvissuta</t>
  </si>
  <si>
    <t>chi</t>
  </si>
  <si>
    <t>?</t>
  </si>
  <si>
    <t># text = E se devo prendere dei farmaci, sono questi farmaci che mi rendono pienamente me stesso, o mi stanno trasformando in qualcun altro?</t>
  </si>
  <si>
    <t>rendono</t>
  </si>
  <si>
    <t>pienamente</t>
  </si>
  <si>
    <t>stesso</t>
  </si>
  <si>
    <t>stanno</t>
  </si>
  <si>
    <t>trasformando</t>
  </si>
  <si>
    <t>qualcun</t>
  </si>
  <si>
    <t>altro</t>
  </si>
  <si>
    <t># text = E come mi sento se mi stanno trasformando in qualcun altro?</t>
  </si>
  <si>
    <t>sento</t>
  </si>
  <si>
    <t># text = Mentre mi preparavo allo scontro, avevo due vantaggi.</t>
  </si>
  <si>
    <t>Mentre</t>
  </si>
  <si>
    <t>preparavo</t>
  </si>
  <si>
    <t>scontro</t>
  </si>
  <si>
    <t>due</t>
  </si>
  <si>
    <t>vantaggi</t>
  </si>
  <si>
    <t># text = Il primo è che, obiettivamente, sapevo di avere una bella vita, che se solo fossi guarito c'era qualcosa dall'altra parte per cui valeva la pena vivere.</t>
  </si>
  <si>
    <t>primo</t>
  </si>
  <si>
    <t>obiettivamente</t>
  </si>
  <si>
    <t>bella</t>
  </si>
  <si>
    <t>vita</t>
  </si>
  <si>
    <t>guarito</t>
  </si>
  <si>
    <t>c'</t>
  </si>
  <si>
    <t>altra</t>
  </si>
  <si>
    <t>parte</t>
  </si>
  <si>
    <t>cui</t>
  </si>
  <si>
    <t>valeva</t>
  </si>
  <si>
    <t>pena</t>
  </si>
  <si>
    <t># text = L'altro era che stavo seguendo una terapia valida.</t>
  </si>
  <si>
    <t>L'</t>
  </si>
  <si>
    <t>stavo</t>
  </si>
  <si>
    <t>seguendo</t>
  </si>
  <si>
    <t>valida</t>
  </si>
  <si>
    <t># text = Ciononostante, ne uscivo e ci ricadevo, ne uscivo e ci ricadevo, e alla fine capii che avrei dovuto continuare a prendere farmaci e a restare in terapia per sempre.</t>
  </si>
  <si>
    <t>Ciononostante</t>
  </si>
  <si>
    <t>uscivo</t>
  </si>
  <si>
    <t>ricadevo</t>
  </si>
  <si>
    <t>fine</t>
  </si>
  <si>
    <t>capii</t>
  </si>
  <si>
    <t>continuare</t>
  </si>
  <si>
    <t>restare</t>
  </si>
  <si>
    <t># text = Mi pensai, "È un problema chimico o psicologico?</t>
  </si>
  <si>
    <t>Mi</t>
  </si>
  <si>
    <t>problema</t>
  </si>
  <si>
    <t>chimico</t>
  </si>
  <si>
    <t>psicologico</t>
  </si>
  <si>
    <t># text = Serve una cura chimica o filosofica?"</t>
  </si>
  <si>
    <t>Serve</t>
  </si>
  <si>
    <t>chimica</t>
  </si>
  <si>
    <t>filosofica</t>
  </si>
  <si>
    <t># text = Non riuscivo a capire quale fosse la risposta.</t>
  </si>
  <si>
    <t>quale</t>
  </si>
  <si>
    <t>risposta</t>
  </si>
  <si>
    <t># text = Quindi capii che, in realtà, non abbiamo fatto abbastanza progressi in nessuno dei due campi per trovare una spiegazione esauriente.</t>
  </si>
  <si>
    <t>Quindi</t>
  </si>
  <si>
    <t>abbiamo</t>
  </si>
  <si>
    <t>fatto</t>
  </si>
  <si>
    <t>abbastanza</t>
  </si>
  <si>
    <t>progressi</t>
  </si>
  <si>
    <t>nessuno</t>
  </si>
  <si>
    <t>campi</t>
  </si>
  <si>
    <t>spiegazione</t>
  </si>
  <si>
    <t>esauriente</t>
  </si>
  <si>
    <t># text = Sia la cura chimica che quella psicologica hanno un ruolo e capii anche che la depressione era qualcosa che si era radicata in noi così in profondità che non c'era modo di separarla dal nostro carattere e dalla nostra personalità.</t>
  </si>
  <si>
    <t>Sia</t>
  </si>
  <si>
    <t>quella</t>
  </si>
  <si>
    <t>psicologica</t>
  </si>
  <si>
    <t>hanno</t>
  </si>
  <si>
    <t>ruolo</t>
  </si>
  <si>
    <t>radicata</t>
  </si>
  <si>
    <t>noi</t>
  </si>
  <si>
    <t>così</t>
  </si>
  <si>
    <t>profondità</t>
  </si>
  <si>
    <t>separar</t>
  </si>
  <si>
    <t>nostro</t>
  </si>
  <si>
    <t>carattere</t>
  </si>
  <si>
    <t>nostra</t>
  </si>
  <si>
    <t>other_9</t>
  </si>
  <si>
    <t>personalità</t>
  </si>
  <si>
    <t># text = Voglio dire che le terapie per la depressione sono pessime.</t>
  </si>
  <si>
    <t>Voglio</t>
  </si>
  <si>
    <t>terapie</t>
  </si>
  <si>
    <t>pessime</t>
  </si>
  <si>
    <t># text = Non sono molto efficaci.</t>
  </si>
  <si>
    <t>molto</t>
  </si>
  <si>
    <t>efficaci</t>
  </si>
  <si>
    <t># text = Sono estremamente costose.</t>
  </si>
  <si>
    <t>Sono</t>
  </si>
  <si>
    <t>estremamente</t>
  </si>
  <si>
    <t>costose</t>
  </si>
  <si>
    <t># text = Presentano innumerevoli effetti collaterali.</t>
  </si>
  <si>
    <t>Presentano</t>
  </si>
  <si>
    <t>innumerevoli</t>
  </si>
  <si>
    <t>effetti</t>
  </si>
  <si>
    <t>collaterali</t>
  </si>
  <si>
    <t># text = Sono un vero disastro.</t>
  </si>
  <si>
    <t>vero</t>
  </si>
  <si>
    <t>disastro</t>
  </si>
  <si>
    <t># text = Tuttavia sono molto grato di vivere in quest'epoca e non 50 anni fa, quando non ci sarebbe stato quasi nulla da fare.</t>
  </si>
  <si>
    <t>Tuttavia</t>
  </si>
  <si>
    <t>grato</t>
  </si>
  <si>
    <t>quest'</t>
  </si>
  <si>
    <t>epoca</t>
  </si>
  <si>
    <t>fa</t>
  </si>
  <si>
    <t># text = Spero che fra 50 anni si senta parlare delle mie terapie e che sconvolga il fatto che qualcuno sia sopravvissuto ad una scienza tanto arretrata.</t>
  </si>
  <si>
    <t>Spero</t>
  </si>
  <si>
    <t>fra</t>
  </si>
  <si>
    <t>senta</t>
  </si>
  <si>
    <t>mie</t>
  </si>
  <si>
    <t>sconvolga</t>
  </si>
  <si>
    <t>qualcuno</t>
  </si>
  <si>
    <t>sia</t>
  </si>
  <si>
    <t>sopravvissuto</t>
  </si>
  <si>
    <t>scienza</t>
  </si>
  <si>
    <t>tanto</t>
  </si>
  <si>
    <t>arretrata</t>
  </si>
  <si>
    <t># text = La depressione è il punto debole dell'amore.</t>
  </si>
  <si>
    <t>La</t>
  </si>
  <si>
    <t>debole</t>
  </si>
  <si>
    <t>amore</t>
  </si>
  <si>
    <t># text = Se una persona sposata pensasse, "Se mia moglie muore, ne troverò un'altra" non sarebbe amore così come lo conosciamo.</t>
  </si>
  <si>
    <t>sposata</t>
  </si>
  <si>
    <t>pensasse</t>
  </si>
  <si>
    <t>mia</t>
  </si>
  <si>
    <t>moglie</t>
  </si>
  <si>
    <t>muore</t>
  </si>
  <si>
    <t>troverò</t>
  </si>
  <si>
    <t>conosciamo</t>
  </si>
  <si>
    <t># text = L'amore non esiste senza la previsione della perdita, e lo spettro della disperazione può essere il motore dell'intimità.</t>
  </si>
  <si>
    <t>esiste</t>
  </si>
  <si>
    <t>previsione</t>
  </si>
  <si>
    <t>perdita</t>
  </si>
  <si>
    <t>spettro</t>
  </si>
  <si>
    <t>disperazione</t>
  </si>
  <si>
    <t>può</t>
  </si>
  <si>
    <t>motore</t>
  </si>
  <si>
    <t>intimità</t>
  </si>
  <si>
    <t># text = Ci sono tre cose che le persone tendono a confondere: depressione, dolore e tristezza.</t>
  </si>
  <si>
    <t>Ci</t>
  </si>
  <si>
    <t>tendono</t>
  </si>
  <si>
    <t>confondere</t>
  </si>
  <si>
    <t>dolore</t>
  </si>
  <si>
    <t>tristezza</t>
  </si>
  <si>
    <t># text = Il dolore è esplicitamente reattivo.</t>
  </si>
  <si>
    <t>esplicitamente</t>
  </si>
  <si>
    <t>reattivo</t>
  </si>
  <si>
    <t># text = Se subisci una perdita e ti senti incredibilmente infelice, e poi, sei mesi più tardi, sei ancora profondamente triste, ma ti senti un po' meglio, probabilmente è dolore, e probabilmente alla fine se ne andrà da solo in qualche modo.</t>
  </si>
  <si>
    <t>subisci</t>
  </si>
  <si>
    <t>senti</t>
  </si>
  <si>
    <t>incredibilmente</t>
  </si>
  <si>
    <t>infelice</t>
  </si>
  <si>
    <t>profondamente</t>
  </si>
  <si>
    <t>triste</t>
  </si>
  <si>
    <t>po'</t>
  </si>
  <si>
    <t>meglio</t>
  </si>
  <si>
    <t>probabilmente</t>
  </si>
  <si>
    <t>andrà</t>
  </si>
  <si>
    <t># text = Se subisci una perdita catastrofica, e ti senti a pezzi, e sei mesi più tardi sei a malapena in grado di cavartela, allora è probabile che sia una depressione scatenata dalle circostanze catastrofiche.</t>
  </si>
  <si>
    <t>catastrofica</t>
  </si>
  <si>
    <t>pezzi</t>
  </si>
  <si>
    <t>malapena</t>
  </si>
  <si>
    <t>cavartela</t>
  </si>
  <si>
    <t>probabile</t>
  </si>
  <si>
    <t>scatenata</t>
  </si>
  <si>
    <t>circostanze</t>
  </si>
  <si>
    <t>catastrofiche</t>
  </si>
  <si>
    <t># text = Il decorso ci dà tante informazioni.</t>
  </si>
  <si>
    <t>decorso</t>
  </si>
  <si>
    <t>dà</t>
  </si>
  <si>
    <t>tante</t>
  </si>
  <si>
    <t>informazioni</t>
  </si>
  <si>
    <t># text = Le persone credono che la depressione sia solo tristezza.</t>
  </si>
  <si>
    <t>Le</t>
  </si>
  <si>
    <t>credono</t>
  </si>
  <si>
    <t># text = È tanta, decisamente troppa tristezza, tanto, troppo dolore decisamente non una causa.</t>
  </si>
  <si>
    <t>tanta</t>
  </si>
  <si>
    <t>decisamente</t>
  </si>
  <si>
    <t>troppa</t>
  </si>
  <si>
    <t>causa</t>
  </si>
  <si>
    <t># text = Quando ho iniziato a comprendere la depressione, e ad intervistare coloro che ne erano affetti, ho scoperto che alcune persone, che sembravano avere ciò che pareva una depressione relativamente lieve, che ne erano totalmente interdette.</t>
  </si>
  <si>
    <t>comprendere</t>
  </si>
  <si>
    <t>intervistare</t>
  </si>
  <si>
    <t>coloro</t>
  </si>
  <si>
    <t>erano</t>
  </si>
  <si>
    <t>affetti</t>
  </si>
  <si>
    <t>scoperto</t>
  </si>
  <si>
    <t>alcune</t>
  </si>
  <si>
    <t>sembravano</t>
  </si>
  <si>
    <t>pareva</t>
  </si>
  <si>
    <t>relativamente</t>
  </si>
  <si>
    <t>lieve</t>
  </si>
  <si>
    <t>SBJ_8</t>
  </si>
  <si>
    <t>OBJ_8</t>
  </si>
  <si>
    <t>totalmente</t>
  </si>
  <si>
    <t>interdette</t>
  </si>
  <si>
    <t># text = C'erano altre persone che sembravano avere, a loro dire, una depressione terribilmente grave, le quali ciononostante vivevano una vita soddisfacente negli intervalli fra un episodio depressivo e l'altro.</t>
  </si>
  <si>
    <t>C'</t>
  </si>
  <si>
    <t>loro</t>
  </si>
  <si>
    <t>terribilmente</t>
  </si>
  <si>
    <t>grave</t>
  </si>
  <si>
    <t>quali</t>
  </si>
  <si>
    <t>SBJ_7</t>
  </si>
  <si>
    <t>ciononostante</t>
  </si>
  <si>
    <t>vivevano</t>
  </si>
  <si>
    <t>soddisfacente</t>
  </si>
  <si>
    <t>intervalli</t>
  </si>
  <si>
    <t>episodio</t>
  </si>
  <si>
    <t>depressivo</t>
  </si>
  <si>
    <t># text = Mi accingevo a scoprire ciò che fa sì che alcuni resistano meglio rispetto ad altri.</t>
  </si>
  <si>
    <t>accingevo</t>
  </si>
  <si>
    <t>sì</t>
  </si>
  <si>
    <t>alcuni</t>
  </si>
  <si>
    <t>resistano</t>
  </si>
  <si>
    <t>rispetto</t>
  </si>
  <si>
    <t>altri</t>
  </si>
  <si>
    <t># text = Quali sono i meccanismi che consentono alle persone di sopravvivere?</t>
  </si>
  <si>
    <t>Quali</t>
  </si>
  <si>
    <t>meccanismi</t>
  </si>
  <si>
    <t>consentono</t>
  </si>
  <si>
    <t># text = Così sono uscito ed ho intervistato una ad una persone che soffrivano di depressione.</t>
  </si>
  <si>
    <t>uscito</t>
  </si>
  <si>
    <t>intervistato</t>
  </si>
  <si>
    <t>soffrivano</t>
  </si>
  <si>
    <t># text = Una delle prime persone che ho intervistato ha descritto la depressione come un modo più lento di morire e mi ha fatto bene sentirlo dire poiché mi ricordava che quel modo più lento di morire può davvero causare la morte, che questa è una faccenda seria.</t>
  </si>
  <si>
    <t>prime</t>
  </si>
  <si>
    <t>ha</t>
  </si>
  <si>
    <t>descritto</t>
  </si>
  <si>
    <t>lento</t>
  </si>
  <si>
    <t>morire</t>
  </si>
  <si>
    <t>bene</t>
  </si>
  <si>
    <t>sentir</t>
  </si>
  <si>
    <t>poiché</t>
  </si>
  <si>
    <t>ricordava</t>
  </si>
  <si>
    <t>davvero</t>
  </si>
  <si>
    <t>causare</t>
  </si>
  <si>
    <t>morte</t>
  </si>
  <si>
    <t>faccenda</t>
  </si>
  <si>
    <t>seria</t>
  </si>
  <si>
    <t># text = È la disabilità più diffusa al mondo, e miete vittime ogni giorno.</t>
  </si>
  <si>
    <t>disabilità</t>
  </si>
  <si>
    <t>diffusa</t>
  </si>
  <si>
    <t>miete</t>
  </si>
  <si>
    <t>vittime</t>
  </si>
  <si>
    <t># text = Una delle persone con cui ho parlato mentre cercavo di capire tutto questo era una cara amica che conoscevo da tanti anni, e che aveva avuto un episodio psicotico durante il primo anno di università, ed era poi precipitata in una terribile depressione.</t>
  </si>
  <si>
    <t>parlato</t>
  </si>
  <si>
    <t>cercavo</t>
  </si>
  <si>
    <t>questo</t>
  </si>
  <si>
    <t>cara</t>
  </si>
  <si>
    <t>amica</t>
  </si>
  <si>
    <t>conoscevo</t>
  </si>
  <si>
    <t>tanti</t>
  </si>
  <si>
    <t>aveva</t>
  </si>
  <si>
    <t>psicotico</t>
  </si>
  <si>
    <t>durante</t>
  </si>
  <si>
    <t>anno</t>
  </si>
  <si>
    <t>università</t>
  </si>
  <si>
    <t>precipitata</t>
  </si>
  <si>
    <t># text = Era affetta da disturbo bipolare o mania depressiva, com'era nota all'epoca.</t>
  </si>
  <si>
    <t>affetta</t>
  </si>
  <si>
    <t>disturbo</t>
  </si>
  <si>
    <t>bipolare</t>
  </si>
  <si>
    <t>mania</t>
  </si>
  <si>
    <t>depressiva</t>
  </si>
  <si>
    <t>com'</t>
  </si>
  <si>
    <t>nota</t>
  </si>
  <si>
    <t># text = Poi fece notevoli progressi grazie ad anni di terapia a base di litio, alla fine la terapia al litio fu interrotta per vedere come si comportava senza.</t>
  </si>
  <si>
    <t>fece</t>
  </si>
  <si>
    <t>notevoli</t>
  </si>
  <si>
    <t>base</t>
  </si>
  <si>
    <t>litio</t>
  </si>
  <si>
    <t>fu</t>
  </si>
  <si>
    <t>interrotta</t>
  </si>
  <si>
    <t>comportava</t>
  </si>
  <si>
    <t># text = Ebbe un'altra psicosi e piombò nella peggiore depressione che avessi mai visto durante la quale restava seduta nell'appartamento dei genitori, pressoché catatonica, praticamente immobile, giorno dopo giorno.</t>
  </si>
  <si>
    <t>Ebbe</t>
  </si>
  <si>
    <t>psicosi</t>
  </si>
  <si>
    <t>piombò</t>
  </si>
  <si>
    <t>peggiore</t>
  </si>
  <si>
    <t>avessi</t>
  </si>
  <si>
    <t>mai</t>
  </si>
  <si>
    <t>visto</t>
  </si>
  <si>
    <t>restava</t>
  </si>
  <si>
    <t>seduta</t>
  </si>
  <si>
    <t>appartamento</t>
  </si>
  <si>
    <t>genitori</t>
  </si>
  <si>
    <t>pressoché</t>
  </si>
  <si>
    <t>catatonica</t>
  </si>
  <si>
    <t>praticamente</t>
  </si>
  <si>
    <t># text = Diversi anni dopo, quando l'ho intervistata a proposito di quell'esperienza - si chiama Maggie Robbins, è una poetessa ed una psicoterapeuta - quando l'ho intervistata, disse, "Cantavo 'Where Have All The Flowers Gone' ripetutamente per tenere la mente occupata.</t>
  </si>
  <si>
    <t>Diversi</t>
  </si>
  <si>
    <t>intervistata</t>
  </si>
  <si>
    <t>proposito</t>
  </si>
  <si>
    <t>quell'</t>
  </si>
  <si>
    <t>esperienza</t>
  </si>
  <si>
    <t>chiama</t>
  </si>
  <si>
    <t>Maggie</t>
  </si>
  <si>
    <t>Robbins</t>
  </si>
  <si>
    <t>poetessa</t>
  </si>
  <si>
    <t>psicoterapeuta</t>
  </si>
  <si>
    <t>Cantavo</t>
  </si>
  <si>
    <t>Where</t>
  </si>
  <si>
    <t>Have</t>
  </si>
  <si>
    <t>All</t>
  </si>
  <si>
    <t>The</t>
  </si>
  <si>
    <t>Flowers</t>
  </si>
  <si>
    <t>Gone</t>
  </si>
  <si>
    <t>ripetutamente</t>
  </si>
  <si>
    <t>tenere</t>
  </si>
  <si>
    <t>occupata</t>
  </si>
  <si>
    <t># text = Cantavo per rimuovere ciò che la mia mente diceva, e cioè, 'Non sei niente.</t>
  </si>
  <si>
    <t>rimuovere</t>
  </si>
  <si>
    <t>diceva</t>
  </si>
  <si>
    <t>cioè</t>
  </si>
  <si>
    <t>niente</t>
  </si>
  <si>
    <t># text = Non sei nessuno.</t>
  </si>
  <si>
    <t># text = Non meriti nemmeno di vivere.</t>
  </si>
  <si>
    <t>meriti</t>
  </si>
  <si>
    <t>nemmeno</t>
  </si>
  <si>
    <t># text = '</t>
  </si>
  <si>
    <t># text = È stato allora che ho iniziato davvero a pensare di suicidarmi."</t>
  </si>
  <si>
    <t># text = Quando sei depresso, non pensi di essere coperto da un velo grigio e che stai vedendo il mondo attraverso la foschia del cattivo umore.</t>
  </si>
  <si>
    <t>pensi</t>
  </si>
  <si>
    <t>coperto</t>
  </si>
  <si>
    <t>velo</t>
  </si>
  <si>
    <t>grigio</t>
  </si>
  <si>
    <t>stai</t>
  </si>
  <si>
    <t>vedendo</t>
  </si>
  <si>
    <t>foschia</t>
  </si>
  <si>
    <t>cattivo</t>
  </si>
  <si>
    <t>umore</t>
  </si>
  <si>
    <t># text = Pensi che il velo sia stato portato via, il velo della felicità, e che ora stai guardando la realtà.</t>
  </si>
  <si>
    <t>Pensi</t>
  </si>
  <si>
    <t>portato</t>
  </si>
  <si>
    <t>via</t>
  </si>
  <si>
    <t>guardando</t>
  </si>
  <si>
    <t># text = È più semplice aiutare gli schizofrenici i quali percepiscono che c'è qualcosa di estraneo dentro di loro che deve essere esorcizzato, ma è difficile con i depressi, perché pensiamo di stare guardando la realtà.</t>
  </si>
  <si>
    <t>semplice</t>
  </si>
  <si>
    <t>aiutare</t>
  </si>
  <si>
    <t>schizofrenici</t>
  </si>
  <si>
    <t>percepiscono</t>
  </si>
  <si>
    <t>estraneo</t>
  </si>
  <si>
    <t>SBJ_9</t>
  </si>
  <si>
    <t>deve</t>
  </si>
  <si>
    <t>esorcizzato</t>
  </si>
  <si>
    <t>difficile</t>
  </si>
  <si>
    <t>depressi</t>
  </si>
  <si>
    <t>pensiamo</t>
  </si>
  <si>
    <t># text = Ma la realtà mente.</t>
  </si>
  <si>
    <t># text = Questa frase è diventata la mia ossessione:</t>
  </si>
  <si>
    <t>Questa</t>
  </si>
  <si>
    <t>frase</t>
  </si>
  <si>
    <t>diventata</t>
  </si>
  <si>
    <t>ossessione</t>
  </si>
  <si>
    <t># text = \"La realtà mente.\"</t>
  </si>
  <si>
    <t># text = Mentre parlavo con persone depresse, ho scoperto che hanno molte percezioni deliranti.</t>
  </si>
  <si>
    <t>parlavo</t>
  </si>
  <si>
    <t>depresse</t>
  </si>
  <si>
    <t>percezioni</t>
  </si>
  <si>
    <t>deliranti</t>
  </si>
  <si>
    <t># text = Le persone diranno "nessuno mi vuole bene".</t>
  </si>
  <si>
    <t>diranno</t>
  </si>
  <si>
    <t>vuole</t>
  </si>
  <si>
    <t># text = E tu dici "io ti voglio bene, tua moglie ti vuole bene, tua madre ti vuole bene."</t>
  </si>
  <si>
    <t>tu</t>
  </si>
  <si>
    <t>dici</t>
  </si>
  <si>
    <t>voglio</t>
  </si>
  <si>
    <t>tua</t>
  </si>
  <si>
    <t># text = Rispondere a questa frase viene abbastanza spontaneo, almeno a molte persone.</t>
  </si>
  <si>
    <t>Rispondere</t>
  </si>
  <si>
    <t>viene</t>
  </si>
  <si>
    <t>spontaneo</t>
  </si>
  <si>
    <t>almeno</t>
  </si>
  <si>
    <t># text = Ma le persone depresse diranno anche \"non importa cosa facciamo, tanto alla fine moriremo tutti.\"</t>
  </si>
  <si>
    <t>importa</t>
  </si>
  <si>
    <t>facciamo</t>
  </si>
  <si>
    <t>moriremo</t>
  </si>
  <si>
    <t># text = Oppure diranno \"non può esistere una vera unione fra due esseri umani.</t>
  </si>
  <si>
    <t>Oppure</t>
  </si>
  <si>
    <t>vera</t>
  </si>
  <si>
    <t>unione</t>
  </si>
  <si>
    <t>esseri</t>
  </si>
  <si>
    <t>umani</t>
  </si>
  <si>
    <t># text = Ognuno di noi è intrappolato nel proprio corpo.\"</t>
  </si>
  <si>
    <t>Ognuno</t>
  </si>
  <si>
    <t>intrappolato</t>
  </si>
  <si>
    <t>proprio</t>
  </si>
  <si>
    <t>corpo</t>
  </si>
  <si>
    <t># text = In questo caso bisogna rispondere "È vero, ma credo che ora dovremmo pensare a cosa mangiare per colazione." (Risate) La maggior parte del tempo, ciò che esprimono non è un disturbo, ma una visione, si arriva a pensare che la cosa veramente straordinaria sia che molti di noi conoscono queste domande esistenziali ma non ci distraggono più di tanto.</t>
  </si>
  <si>
    <t>caso</t>
  </si>
  <si>
    <t>bisogna</t>
  </si>
  <si>
    <t>credo</t>
  </si>
  <si>
    <t>dovremmo</t>
  </si>
  <si>
    <t>mangiare</t>
  </si>
  <si>
    <t>colazione</t>
  </si>
  <si>
    <t>(</t>
  </si>
  <si>
    <t>Risate</t>
  </si>
  <si>
    <t>)</t>
  </si>
  <si>
    <t>maggior</t>
  </si>
  <si>
    <t>tempo</t>
  </si>
  <si>
    <t>esprimono</t>
  </si>
  <si>
    <t>visione</t>
  </si>
  <si>
    <t>arriva</t>
  </si>
  <si>
    <t>veramente</t>
  </si>
  <si>
    <t>straordinaria</t>
  </si>
  <si>
    <t>molti</t>
  </si>
  <si>
    <t>conoscono</t>
  </si>
  <si>
    <t>domande</t>
  </si>
  <si>
    <t>esistenziali</t>
  </si>
  <si>
    <t>distraggono</t>
  </si>
  <si>
    <t># text = C'è stato uno studio che ho particolarmente apprezzato in cui ad un gruppo di persone depresse e ad un gruppo di persone non depresse è stato chiesto di giocare ad un videogioco per un'ora, alla fine dell'ora è stato chiesto loro quanti mostriciattoli pensavano di avere ucciso.</t>
  </si>
  <si>
    <t>studio</t>
  </si>
  <si>
    <t>particolarmente</t>
  </si>
  <si>
    <t>apprezzato</t>
  </si>
  <si>
    <t>gruppo</t>
  </si>
  <si>
    <t>chiesto</t>
  </si>
  <si>
    <t>giocare</t>
  </si>
  <si>
    <t>videogioco</t>
  </si>
  <si>
    <t>quanti</t>
  </si>
  <si>
    <t>mostriciattoli</t>
  </si>
  <si>
    <t>pensavano</t>
  </si>
  <si>
    <t>ucciso</t>
  </si>
  <si>
    <t># text = Il gruppo di persone depresse è stato preciso rispondendo circa il 10 percento, mentre le persone non depresse credevano di avere ucciso 15 o 20 volte più mostriciattoli - (Risate) - di quelli che avevano eliminato realmente.</t>
  </si>
  <si>
    <t>preciso</t>
  </si>
  <si>
    <t>rispondendo</t>
  </si>
  <si>
    <t>circa</t>
  </si>
  <si>
    <t>percento</t>
  </si>
  <si>
    <t>credevano</t>
  </si>
  <si>
    <t>volte</t>
  </si>
  <si>
    <t>avevano</t>
  </si>
  <si>
    <t>eliminato</t>
  </si>
  <si>
    <t>realmente</t>
  </si>
  <si>
    <t># text = Quando ho scelto di scrivere della mia depressione, molti hanno detto che dev'essere davvero difficile uscire allo scoperto, e parlare agli altri della propria condizione.</t>
  </si>
  <si>
    <t>scelto</t>
  </si>
  <si>
    <t>dev'</t>
  </si>
  <si>
    <t>propria</t>
  </si>
  <si>
    <t>condizione</t>
  </si>
  <si>
    <t># text = Chiedevano, "Le altre persone ti parlano in modo diverso?" Risposi, "Sì, le altre persone mi parlano in modo diverso.</t>
  </si>
  <si>
    <t>Chiedevano</t>
  </si>
  <si>
    <t>parlano</t>
  </si>
  <si>
    <t>diverso</t>
  </si>
  <si>
    <t>Risposi</t>
  </si>
  <si>
    <t>Sì</t>
  </si>
  <si>
    <t># text = Mi parlano in modo diverso poiché iniziano a parlarmi della loro esperienza, dell'esperienza della loro sorella, dell'esperienza del loro amico.</t>
  </si>
  <si>
    <t>iniziano</t>
  </si>
  <si>
    <t>parlar</t>
  </si>
  <si>
    <t>sorella</t>
  </si>
  <si>
    <t>amico</t>
  </si>
  <si>
    <t># text = È diverso perché ora so che la depressione è il segreto di famiglia di ognuno di noi.</t>
  </si>
  <si>
    <t>segreto</t>
  </si>
  <si>
    <t>famiglia</t>
  </si>
  <si>
    <t>ognuno</t>
  </si>
  <si>
    <t># text = Qualche anno fa andai ad una conferenza, ed il venerdì della tre giorni di conferenza una delle partecipanti mi prese da parte, e mi disse, "Soffro di depressione e mi imbarazza un po', ma sto prendendo questo farmaco e volevo chiederle cosa ne pensa" Così feci del mio meglio per darle i consigli di cui aveva bisogno.</t>
  </si>
  <si>
    <t>Qualche</t>
  </si>
  <si>
    <t>andai</t>
  </si>
  <si>
    <t>conferenza</t>
  </si>
  <si>
    <t>venerdì</t>
  </si>
  <si>
    <t>giorni</t>
  </si>
  <si>
    <t>partecipanti</t>
  </si>
  <si>
    <t>prese</t>
  </si>
  <si>
    <t>Soffro</t>
  </si>
  <si>
    <t>imbarazza</t>
  </si>
  <si>
    <t>sto</t>
  </si>
  <si>
    <t>prendendo</t>
  </si>
  <si>
    <t>farmaco</t>
  </si>
  <si>
    <t>chieder</t>
  </si>
  <si>
    <t>pensa</t>
  </si>
  <si>
    <t>feci</t>
  </si>
  <si>
    <t>dar</t>
  </si>
  <si>
    <t>consigli</t>
  </si>
  <si>
    <t>bisogno</t>
  </si>
  <si>
    <t># text = Lei disse \"Sa, mio marito non capirebbe mai.</t>
  </si>
  <si>
    <t>Lei</t>
  </si>
  <si>
    <t>Sa</t>
  </si>
  <si>
    <t>marito</t>
  </si>
  <si>
    <t>capirebbe</t>
  </si>
  <si>
    <t># text = Lui è il tipo di persona per cui tutto questo non ha senso, perciò è una cosa fra me e lei.\"</t>
  </si>
  <si>
    <t>Lui</t>
  </si>
  <si>
    <t>perciò</t>
  </si>
  <si>
    <t>lei</t>
  </si>
  <si>
    <t># text = Ed io risposi \"Va bene.\"</t>
  </si>
  <si>
    <t>Ed</t>
  </si>
  <si>
    <t>risposi</t>
  </si>
  <si>
    <t>Va</t>
  </si>
  <si>
    <t># text = La domenica della stessa conferenza, suo marito mi prese da parte e disse, \"Mia moglie non penserebbe che io sia un brav'uomo se lo sapesse, ma ho avuto a che fare con questa depressione e sto prendendo qualche farmaco, e mi chiedevo lei cosa ne pensa\" Nascondevano lo stesso farmaco in due posti diversi nella stessa camera da letto.</t>
  </si>
  <si>
    <t>domenica</t>
  </si>
  <si>
    <t>stessa</t>
  </si>
  <si>
    <t>suo</t>
  </si>
  <si>
    <t>penserebbe</t>
  </si>
  <si>
    <t>brav'</t>
  </si>
  <si>
    <t>uomo</t>
  </si>
  <si>
    <t>sapesse</t>
  </si>
  <si>
    <t>chiedevo</t>
  </si>
  <si>
    <t>Nascondevano</t>
  </si>
  <si>
    <t>posti</t>
  </si>
  <si>
    <t>camera</t>
  </si>
  <si>
    <t># text = Io dissi che pensavo che la comunicazione all'interno del matrimonio potrebbe essere la causa di alcuni dei loro problemi.</t>
  </si>
  <si>
    <t>Io</t>
  </si>
  <si>
    <t>comunicazione</t>
  </si>
  <si>
    <t>interno</t>
  </si>
  <si>
    <t>matrimonio</t>
  </si>
  <si>
    <t>potrebbe</t>
  </si>
  <si>
    <t># text = Ma sono anche rimasto colpito dalla natura opprimente di quella segretezza reciproca.</t>
  </si>
  <si>
    <t>rimasto</t>
  </si>
  <si>
    <t>colpito</t>
  </si>
  <si>
    <t>natura</t>
  </si>
  <si>
    <t>opprimente</t>
  </si>
  <si>
    <t>segretezza</t>
  </si>
  <si>
    <t>reciproca</t>
  </si>
  <si>
    <t># text = La depressione è davvero estenuante.</t>
  </si>
  <si>
    <t>estenuante</t>
  </si>
  <si>
    <t># text = Assorbe una gran quantità di tempo ed energia, e non parlarne la rende solamente peggiore.</t>
  </si>
  <si>
    <t>Assorbe</t>
  </si>
  <si>
    <t>gran</t>
  </si>
  <si>
    <t>quantità</t>
  </si>
  <si>
    <t>energia</t>
  </si>
  <si>
    <t>rende</t>
  </si>
  <si>
    <t>solamente</t>
  </si>
  <si>
    <t># text = Poi ho iniziato a pensare a tutto ciò che fanno le persone per sentirsi meglio.</t>
  </si>
  <si>
    <t>fanno</t>
  </si>
  <si>
    <t># text = All'inizio ero un conservatore riguardo alla medicina.</t>
  </si>
  <si>
    <t>A</t>
  </si>
  <si>
    <t>inizio</t>
  </si>
  <si>
    <t>conservatore</t>
  </si>
  <si>
    <t>riguardo</t>
  </si>
  <si>
    <t>medicina</t>
  </si>
  <si>
    <t># text = Pensavo esistessero poche terapie efficaci, era chiaro quali fossero, c'erano i farmaci, c'erano certe psicoterapie, c'era la terapia elettroconvulsivante, e tutto il resto non aveva senso.</t>
  </si>
  <si>
    <t>Pensavo</t>
  </si>
  <si>
    <t>esistessero</t>
  </si>
  <si>
    <t>poche</t>
  </si>
  <si>
    <t>chiaro</t>
  </si>
  <si>
    <t>certe</t>
  </si>
  <si>
    <t>psicoterapie</t>
  </si>
  <si>
    <t>elettroconvulsivante</t>
  </si>
  <si>
    <t>resto</t>
  </si>
  <si>
    <t># text = Poi ho fatto una scoperta.</t>
  </si>
  <si>
    <t>scoperta</t>
  </si>
  <si>
    <t># text = Se soffri di cancro al cervello e dici che restare in equilibrio sulla testa ogni mattina per 20 minuti ti fa stare meglio, può anche farti stare meglio, ma hai ancora un cancro al cervello che forse ti porterà alla morte.</t>
  </si>
  <si>
    <t>soffri</t>
  </si>
  <si>
    <t>cancro</t>
  </si>
  <si>
    <t>equilibrio</t>
  </si>
  <si>
    <t>testa</t>
  </si>
  <si>
    <t>mattina</t>
  </si>
  <si>
    <t>minuti</t>
  </si>
  <si>
    <t>farti</t>
  </si>
  <si>
    <t>porterà</t>
  </si>
  <si>
    <t># text = Ma se dici di soffrire di depressione, e restare in equilibrio sulla testa per 20 minuti al giorno ti fa stare meglio, allora funziona, perché la depressione è un disturbo del modo in cui ti senti, e se ti senti meglio, allora davvero non sei più depresso.</t>
  </si>
  <si>
    <t>funziona</t>
  </si>
  <si>
    <t># text = Così sono diventato molto più tollerante nei confronti del vasto mondo delle terapie alternative.</t>
  </si>
  <si>
    <t>diventato</t>
  </si>
  <si>
    <t>tollerante</t>
  </si>
  <si>
    <t>confronti</t>
  </si>
  <si>
    <t>vasto</t>
  </si>
  <si>
    <t>alternative</t>
  </si>
  <si>
    <t># text = Ricevo lettere, centinaia di lettere da persone che mi scrivono per raccontarmi cosa si è rivelato efficace per loro.</t>
  </si>
  <si>
    <t>Ricevo</t>
  </si>
  <si>
    <t>lettere</t>
  </si>
  <si>
    <t>centinaia</t>
  </si>
  <si>
    <t>scrivono</t>
  </si>
  <si>
    <t>raccontar</t>
  </si>
  <si>
    <t>rivelato</t>
  </si>
  <si>
    <t>efficace</t>
  </si>
  <si>
    <t># text = Oggi qualcuno dietro le quinte mi chiedeva informazioni sulla meditazione.</t>
  </si>
  <si>
    <t>Oggi</t>
  </si>
  <si>
    <t>dietro</t>
  </si>
  <si>
    <t>quinte</t>
  </si>
  <si>
    <t>chiedeva</t>
  </si>
  <si>
    <t>meditazione</t>
  </si>
  <si>
    <t># text = Fra le lettere che ho ricevuto, la mia preferita è stata quella che ho ricevuto da una donna che mi ha scritto dicendo di aver tentato con la terapia, di aver tentato con i farmaci, di aver tentato con tutto, e di aver trovato una soluzione che sperava io rivelassi al mondo, che consisteva nel creare piccole cose a maglia.</t>
  </si>
  <si>
    <t>Fra</t>
  </si>
  <si>
    <t>ricevuto</t>
  </si>
  <si>
    <t>preferita</t>
  </si>
  <si>
    <t>stata</t>
  </si>
  <si>
    <t>donna</t>
  </si>
  <si>
    <t>scritto</t>
  </si>
  <si>
    <t>dicendo</t>
  </si>
  <si>
    <t>tentato</t>
  </si>
  <si>
    <t>trovato</t>
  </si>
  <si>
    <t>soluzione</t>
  </si>
  <si>
    <t>SBJ_11</t>
  </si>
  <si>
    <t>sperava</t>
  </si>
  <si>
    <t>SBJ_12</t>
  </si>
  <si>
    <t>rivelassi</t>
  </si>
  <si>
    <t>other_12</t>
  </si>
  <si>
    <t>SBJ_14</t>
  </si>
  <si>
    <t>consisteva</t>
  </si>
  <si>
    <t>creare</t>
  </si>
  <si>
    <t>piccole</t>
  </si>
  <si>
    <t>OBJ_15</t>
  </si>
  <si>
    <t>maglia</t>
  </si>
  <si>
    <t>other_15</t>
  </si>
  <si>
    <t># text = Me ne ha mandate alcune.</t>
  </si>
  <si>
    <t>Me</t>
  </si>
  <si>
    <t>mandate</t>
  </si>
  <si>
    <t># text = Ma non le sto indossando in questo momento.</t>
  </si>
  <si>
    <t>indossando</t>
  </si>
  <si>
    <t># text = Le ho anche suggerito di cercare la definizione di disturbo ossessivo-compulsivo nel manuale diagnostico e statistico dei disturbi mentali.</t>
  </si>
  <si>
    <t>suggerito</t>
  </si>
  <si>
    <t>definizione</t>
  </si>
  <si>
    <t>ossessivo</t>
  </si>
  <si>
    <t>compulsivo</t>
  </si>
  <si>
    <t>manuale</t>
  </si>
  <si>
    <t>diagnostico</t>
  </si>
  <si>
    <t>statistico</t>
  </si>
  <si>
    <t>disturbi</t>
  </si>
  <si>
    <t>mentali</t>
  </si>
  <si>
    <t># text = Quando ho preso in considerazione le terapie alternative, ho anche acquisito una prospettiva su altre terapie.</t>
  </si>
  <si>
    <t>preso</t>
  </si>
  <si>
    <t>considerazione</t>
  </si>
  <si>
    <t>acquisito</t>
  </si>
  <si>
    <t>prospettiva</t>
  </si>
  <si>
    <t># text = Mi sono sottoposto ad un esorcismo tribale in Senegal con tantissimo sangue di montone che ora non descriverò nel dettaglio, ma qualche anno più tardi ero in Ruanda a lavorare ad un altro progetto, e mi è capitato di descrivere la mia esperienza a qualcun altro, il quale disse, \"Beh, sai, quella è l'Africa occidentale, e questa è l'Africa orientale, i nostri rituali sono molto diversi, ma alcuni dei nostri rituali hanno alcune cose in comune con ciò che stai descrivendo.</t>
  </si>
  <si>
    <t>sottoposto</t>
  </si>
  <si>
    <t>esorcismo</t>
  </si>
  <si>
    <t>tribale</t>
  </si>
  <si>
    <t>Senegal</t>
  </si>
  <si>
    <t>tantissimo</t>
  </si>
  <si>
    <t>sangue</t>
  </si>
  <si>
    <t>montone</t>
  </si>
  <si>
    <t>descriverò</t>
  </si>
  <si>
    <t>dettaglio</t>
  </si>
  <si>
    <t>Ruanda</t>
  </si>
  <si>
    <t>lavorare</t>
  </si>
  <si>
    <t>progetto</t>
  </si>
  <si>
    <t>capitato</t>
  </si>
  <si>
    <t>Beh</t>
  </si>
  <si>
    <t>Africa</t>
  </si>
  <si>
    <t>occidentale</t>
  </si>
  <si>
    <t>orientale</t>
  </si>
  <si>
    <t>nostri</t>
  </si>
  <si>
    <t>rituali</t>
  </si>
  <si>
    <t>comune</t>
  </si>
  <si>
    <t>descrivendo</t>
  </si>
  <si>
    <t># text = Io dissi, \"Oh\", lui disse \"Sì, ma abbiamo avuto grossi problemi con gli psichiatri occidentali, in particolare quelli che arrivarono subito dopo il genocidio.</t>
  </si>
  <si>
    <t>Oh</t>
  </si>
  <si>
    <t>lui</t>
  </si>
  <si>
    <t>grossi</t>
  </si>
  <si>
    <t>psichiatri</t>
  </si>
  <si>
    <t>occidentali</t>
  </si>
  <si>
    <t>particolare</t>
  </si>
  <si>
    <t>arrivarono</t>
  </si>
  <si>
    <t>subito</t>
  </si>
  <si>
    <t>genocidio</t>
  </si>
  <si>
    <t># text = Io chiesi, "Che tipo di problemi avete avuto?" Lui rispose "Beh, fecero una cosa bizzarra.</t>
  </si>
  <si>
    <t>chiesi</t>
  </si>
  <si>
    <t>Che</t>
  </si>
  <si>
    <t>avete</t>
  </si>
  <si>
    <t>rispose</t>
  </si>
  <si>
    <t>fecero</t>
  </si>
  <si>
    <t>bizzarra</t>
  </si>
  <si>
    <t># text = Non portarono la gente fuori all'aperto dove cominci a sentirti meglio.</t>
  </si>
  <si>
    <t>portarono</t>
  </si>
  <si>
    <t>aperto</t>
  </si>
  <si>
    <t>dove</t>
  </si>
  <si>
    <t>cominci</t>
  </si>
  <si>
    <t># text = Non usarono percussioni o musica per creare emozioni nelle persone.</t>
  </si>
  <si>
    <t>usarono</t>
  </si>
  <si>
    <t>percussioni</t>
  </si>
  <si>
    <t>musica</t>
  </si>
  <si>
    <t>emozioni</t>
  </si>
  <si>
    <t># text = Non coinvolsero l'intera comunità.</t>
  </si>
  <si>
    <t>coinvolsero</t>
  </si>
  <si>
    <t>intera</t>
  </si>
  <si>
    <t>comunità</t>
  </si>
  <si>
    <t># text = Non esternavano la depressione come fosse uno spirito invadente.</t>
  </si>
  <si>
    <t>esternavano</t>
  </si>
  <si>
    <t>spirito</t>
  </si>
  <si>
    <t>invadente</t>
  </si>
  <si>
    <t># text = Invece, ciò che fecero fu portare una persona alla volta in stanze piccole e squallide e farle parlare per un'ora delle cose brutte che erano capitate loro.\" (Risate) (Applausi) Lui disse \"Abbiamo dovuto chiedere loro di lasciare il paese.\"</t>
  </si>
  <si>
    <t>Invece</t>
  </si>
  <si>
    <t>volta</t>
  </si>
  <si>
    <t>stanze</t>
  </si>
  <si>
    <t>squallide</t>
  </si>
  <si>
    <t>far</t>
  </si>
  <si>
    <t>brutte</t>
  </si>
  <si>
    <t>capitate</t>
  </si>
  <si>
    <t>Applausi</t>
  </si>
  <si>
    <t>Abbiamo</t>
  </si>
  <si>
    <t>paese</t>
  </si>
  <si>
    <t># text = Ora, per quanto riguarda le terapie alternative, lasciate che vi parli di Frank Russakoff.</t>
  </si>
  <si>
    <t>Ora</t>
  </si>
  <si>
    <t>quanto</t>
  </si>
  <si>
    <t>riguarda</t>
  </si>
  <si>
    <t>lasciate</t>
  </si>
  <si>
    <t>vi</t>
  </si>
  <si>
    <t>par</t>
  </si>
  <si>
    <t>Frank</t>
  </si>
  <si>
    <t>Russakoff</t>
  </si>
  <si>
    <t># text = Frank Russakoff era affetto forse dalla depressione più grave che abbia mai visto in una persona.</t>
  </si>
  <si>
    <t>abbia</t>
  </si>
  <si>
    <t># text = Era costantemente depresso.</t>
  </si>
  <si>
    <t>costantemente</t>
  </si>
  <si>
    <t># text = Quando lo incontrai, era arrivato ad un punto in cui si sottoponeva ad elettroshock ogni mese, dopo il quale si sentiva disorientato per una settimana.</t>
  </si>
  <si>
    <t>incontrai</t>
  </si>
  <si>
    <t>arrivato</t>
  </si>
  <si>
    <t>sottoponeva</t>
  </si>
  <si>
    <t>elettroshock</t>
  </si>
  <si>
    <t>sentiva</t>
  </si>
  <si>
    <t>disorientato</t>
  </si>
  <si>
    <t>settimana</t>
  </si>
  <si>
    <t># text = Poi stava bene per una settimana, e la settimana successiva tutto precipitava.</t>
  </si>
  <si>
    <t>stava</t>
  </si>
  <si>
    <t>successiva</t>
  </si>
  <si>
    <t>precipitava</t>
  </si>
  <si>
    <t># text = Quindi si sottoponeva ad un'altra seduta di elettroshock.</t>
  </si>
  <si>
    <t># text = Quando lo incontrai, mi disse, "È insopportabile trascorrere le settimane in questo modo.</t>
  </si>
  <si>
    <t>insopportabile</t>
  </si>
  <si>
    <t>trascorrere</t>
  </si>
  <si>
    <t>settimane</t>
  </si>
  <si>
    <t># text = Non posso continuare così, e mi è venuto in mente come porvi fine se non mi sentirò meglio.</t>
  </si>
  <si>
    <t>venuto</t>
  </si>
  <si>
    <t>porvi</t>
  </si>
  <si>
    <t>sentirò</t>
  </si>
  <si>
    <t># text = "Ma" mi disse, "ho saputo di un protocollo al Mass General riguardante una procedura chiamata cingulotomia, che sarebbe neurochirurgia, e penso che farò un tentativo con quella."</t>
  </si>
  <si>
    <t>saputo</t>
  </si>
  <si>
    <t>protocollo</t>
  </si>
  <si>
    <t>Mass</t>
  </si>
  <si>
    <t>General</t>
  </si>
  <si>
    <t>riguardante</t>
  </si>
  <si>
    <t>procedura</t>
  </si>
  <si>
    <t>chiamata</t>
  </si>
  <si>
    <t>cingulotomia</t>
  </si>
  <si>
    <t>neurochirurgia</t>
  </si>
  <si>
    <t>penso</t>
  </si>
  <si>
    <t>farò</t>
  </si>
  <si>
    <t>tentativo</t>
  </si>
  <si>
    <t># text = Ricordo che fui davvero sospreso di vedere che qualcuno che chiaramente aveva vissuto tante brutte esperienze con tante terapie diverse avesse ancora sepolto da qualche parte dentro di sè abbastanza ottimismo per fare un altro tentativo.</t>
  </si>
  <si>
    <t>Ricordo</t>
  </si>
  <si>
    <t>fui</t>
  </si>
  <si>
    <t>sospreso</t>
  </si>
  <si>
    <t>chiaramente</t>
  </si>
  <si>
    <t>vissuto</t>
  </si>
  <si>
    <t>avesse</t>
  </si>
  <si>
    <t>sepolto</t>
  </si>
  <si>
    <t>sè</t>
  </si>
  <si>
    <t>ottimismo</t>
  </si>
  <si>
    <t># text = Si sottopose a cingulotomia, e l'intervento ebbe un successo incredibile.</t>
  </si>
  <si>
    <t>Si</t>
  </si>
  <si>
    <t>sottopose</t>
  </si>
  <si>
    <t>intervento</t>
  </si>
  <si>
    <t>ebbe</t>
  </si>
  <si>
    <t>successo</t>
  </si>
  <si>
    <t>incredibile</t>
  </si>
  <si>
    <t># text = Ora è mio amico.</t>
  </si>
  <si>
    <t># text = Ha una moglie adorabile e due bellissimi bambini.</t>
  </si>
  <si>
    <t>Ha</t>
  </si>
  <si>
    <t>adorabile</t>
  </si>
  <si>
    <t>bellissimi</t>
  </si>
  <si>
    <t>bambini</t>
  </si>
  <si>
    <t># text = Il Natale dopo l'intervento mi scrisse una lettera, in cui diceva, "Mio padre mi ha fatto due regali quest'anno, il primo è un porta-CD a motore da The Sharper Image, di cui non è che avessi bisogno, ma sapevo che me lo regalava per festeggiare il fatto che vivo per conto mio e che ho un lavoro che adoro.</t>
  </si>
  <si>
    <t>Natale</t>
  </si>
  <si>
    <t>scrisse</t>
  </si>
  <si>
    <t>lettera</t>
  </si>
  <si>
    <t>Mio</t>
  </si>
  <si>
    <t>regali</t>
  </si>
  <si>
    <t>CD</t>
  </si>
  <si>
    <t>Sharper</t>
  </si>
  <si>
    <t>Image</t>
  </si>
  <si>
    <t>OBJ_12</t>
  </si>
  <si>
    <t>regalava</t>
  </si>
  <si>
    <t>festeggiare</t>
  </si>
  <si>
    <t>OBJ_13</t>
  </si>
  <si>
    <t>vivo</t>
  </si>
  <si>
    <t>conto</t>
  </si>
  <si>
    <t>SBJ_15</t>
  </si>
  <si>
    <t>SBJ_17</t>
  </si>
  <si>
    <t>lavoro</t>
  </si>
  <si>
    <t>OBJ_17</t>
  </si>
  <si>
    <t>OBJ_19</t>
  </si>
  <si>
    <t>adoro</t>
  </si>
  <si>
    <t># text = L'altro regalo era una foto di mia nonna morta suicida.</t>
  </si>
  <si>
    <t>regalo</t>
  </si>
  <si>
    <t>foto</t>
  </si>
  <si>
    <t>nonna</t>
  </si>
  <si>
    <t>morta</t>
  </si>
  <si>
    <t>suicida</t>
  </si>
  <si>
    <t># text = Mentre la scartavo, ho iniziato a piangere, mia madre venne da me e mi disse, \"Stai piangendo per i parenti che non hai mai conosciuto?\"</t>
  </si>
  <si>
    <t>scartavo</t>
  </si>
  <si>
    <t>venne</t>
  </si>
  <si>
    <t>Stai</t>
  </si>
  <si>
    <t>piangendo</t>
  </si>
  <si>
    <t>parenti</t>
  </si>
  <si>
    <t>conosciuto</t>
  </si>
  <si>
    <t># text = Io risposi, \"Lei aveva la mia stessa malattia.\"</t>
  </si>
  <si>
    <t>malattia</t>
  </si>
  <si>
    <t># text = Sto piangendo anche adesso mentre ti scrivo.</t>
  </si>
  <si>
    <t>Sto</t>
  </si>
  <si>
    <t>adesso</t>
  </si>
  <si>
    <t>scrivo</t>
  </si>
  <si>
    <t># text = Non è che mi sento triste, ma l'emozione è troppo forte, forse perché avrei potuto suicidarmi, ma sono andato avanti grazie ai miei genitori e ai medici, e ho fatto l'intervento.</t>
  </si>
  <si>
    <t>emozione</t>
  </si>
  <si>
    <t>forte</t>
  </si>
  <si>
    <t>potuto</t>
  </si>
  <si>
    <t>andato</t>
  </si>
  <si>
    <t>medici</t>
  </si>
  <si>
    <t># text = Sono vivo, e sono riconoscente.</t>
  </si>
  <si>
    <t>riconoscente</t>
  </si>
  <si>
    <t># text = Viviamo nel periodo giusto, anche se non sempre ci sembra che sia così.\"</t>
  </si>
  <si>
    <t>Viviamo</t>
  </si>
  <si>
    <t>periodo</t>
  </si>
  <si>
    <t>giusto</t>
  </si>
  <si>
    <t>sembra</t>
  </si>
  <si>
    <t># text = Mi ha colpito il fatto che la depressione viene generalmente percepita come una malattia moderna dell'Occidente, che colpisce il ceto medio, così mi sono informato su come agisce in contesti diversi, ed una delle cose a cui mi sono interessato di più è stata la depressione fra gli indigenti.</t>
  </si>
  <si>
    <t>generalmente</t>
  </si>
  <si>
    <t>percepita</t>
  </si>
  <si>
    <t>moderna</t>
  </si>
  <si>
    <t>Occidente</t>
  </si>
  <si>
    <t>colpisce</t>
  </si>
  <si>
    <t>ceto</t>
  </si>
  <si>
    <t>medio</t>
  </si>
  <si>
    <t>informato</t>
  </si>
  <si>
    <t>agisce</t>
  </si>
  <si>
    <t>contesti</t>
  </si>
  <si>
    <t>interessato</t>
  </si>
  <si>
    <t>indigenti</t>
  </si>
  <si>
    <t># text = Così ho provato a raccogliere informazioni su ciò che veniva fatto per i poveri affetti da depressione.</t>
  </si>
  <si>
    <t>provato</t>
  </si>
  <si>
    <t>raccogliere</t>
  </si>
  <si>
    <t>veniva</t>
  </si>
  <si>
    <t>poveri</t>
  </si>
  <si>
    <t># text = Ho scoperto che la maggior parte dei poveri non vengono sottoposti a terapie antidepressive.</t>
  </si>
  <si>
    <t>vengono</t>
  </si>
  <si>
    <t>sottoposti</t>
  </si>
  <si>
    <t>antidepressive</t>
  </si>
  <si>
    <t># text = La depressione è il risultato di una vulnerabilità genetica, che presumibilmente è equamente distribuita fra la popolazione, e di circostanze scatenanti che probabilmente sono molto più gravi per gli indigenti.</t>
  </si>
  <si>
    <t>risultato</t>
  </si>
  <si>
    <t>vulnerabilità</t>
  </si>
  <si>
    <t>genetica</t>
  </si>
  <si>
    <t>presumibilmente</t>
  </si>
  <si>
    <t>equamente</t>
  </si>
  <si>
    <t>distribuita</t>
  </si>
  <si>
    <t>popolazione</t>
  </si>
  <si>
    <t>scatenanti</t>
  </si>
  <si>
    <t>gravi</t>
  </si>
  <si>
    <t># text = Eppure, se ti senti sempre una nullità anche se hai una moglie adorabile, arrivi a pensare, "Ma perché mi sento così?</t>
  </si>
  <si>
    <t>Eppure</t>
  </si>
  <si>
    <t>nullità</t>
  </si>
  <si>
    <t>arrivi</t>
  </si>
  <si>
    <t># text = Devo essere depresso."</t>
  </si>
  <si>
    <t>Devo</t>
  </si>
  <si>
    <t># text = Ti metti in testa di cercare una terapia.</t>
  </si>
  <si>
    <t>Ti</t>
  </si>
  <si>
    <t>metti</t>
  </si>
  <si>
    <t># text = Ma se vivi una vita tremenda, e ti senti sempre una nullità, ciò che senti è commisurato alla tua vita, e non ti viene da pensare, "Forse si può curare."</t>
  </si>
  <si>
    <t>tremenda</t>
  </si>
  <si>
    <t>commisurato</t>
  </si>
  <si>
    <t>Forse</t>
  </si>
  <si>
    <t># text = Perciò in questo paese esiste un'epidemia di depressione fra gli indigenti che non viene diagnosticata, né curata, né tantomeno affrontata, ed è una tragedia enorme.</t>
  </si>
  <si>
    <t>Perciò</t>
  </si>
  <si>
    <t>epidemia</t>
  </si>
  <si>
    <t>diagnosticata</t>
  </si>
  <si>
    <t>né</t>
  </si>
  <si>
    <t>curata</t>
  </si>
  <si>
    <t>tantomeno</t>
  </si>
  <si>
    <t>affrontata</t>
  </si>
  <si>
    <t>tragedia</t>
  </si>
  <si>
    <t>enorme</t>
  </si>
  <si>
    <t># text = Così ho trovato una ricercatrice che stava conducendo un progetto di ricerca nei quartieri poveri fuori Washington D.C., in cui selezionava donne affette da altri problemi di salute e diagnosticava loro una forma di depressione, quindi procedeva con un protocollo di sperimentazione di sei mesi.</t>
  </si>
  <si>
    <t>ricercatrice</t>
  </si>
  <si>
    <t>conducendo</t>
  </si>
  <si>
    <t>ricerca</t>
  </si>
  <si>
    <t>quartieri</t>
  </si>
  <si>
    <t>Washington</t>
  </si>
  <si>
    <t>D.C.</t>
  </si>
  <si>
    <t>selezionava</t>
  </si>
  <si>
    <t>donne</t>
  </si>
  <si>
    <t>affette</t>
  </si>
  <si>
    <t>salute</t>
  </si>
  <si>
    <t>diagnosticava</t>
  </si>
  <si>
    <t>forma</t>
  </si>
  <si>
    <t>quindi</t>
  </si>
  <si>
    <t>procedeva</t>
  </si>
  <si>
    <t>sperimentazione</t>
  </si>
  <si>
    <t># text = Una di loro, Lolly, arrivò e quello stesso giorno disse queste parole.</t>
  </si>
  <si>
    <t>Lolly</t>
  </si>
  <si>
    <t>quello</t>
  </si>
  <si>
    <t>parole</t>
  </si>
  <si>
    <t># text = Fra l'altro, era una donna con sette figli.</t>
  </si>
  <si>
    <t>sette</t>
  </si>
  <si>
    <t>figli</t>
  </si>
  <si>
    <t># text = Disse, "Avevo un lavoro ma ho dovuto lasciarlo perché non riuscivo a uscire di casa.</t>
  </si>
  <si>
    <t>Disse</t>
  </si>
  <si>
    <t>Avevo</t>
  </si>
  <si>
    <t>lasciar</t>
  </si>
  <si>
    <t># text = Non ho nulla da dire ai miei figli.</t>
  </si>
  <si>
    <t># text = Al mattino, non vedo l'ora che escano, poi mi sdraio sul letto, mi copro fin sopra la testa e le tre, ora in cui tornano a casa, arrivano troppo in fretta".</t>
  </si>
  <si>
    <t>mattino</t>
  </si>
  <si>
    <t>vedo</t>
  </si>
  <si>
    <t>escano</t>
  </si>
  <si>
    <t>sdraio</t>
  </si>
  <si>
    <t>copro</t>
  </si>
  <si>
    <t>fin</t>
  </si>
  <si>
    <t>sopra</t>
  </si>
  <si>
    <t>tornano</t>
  </si>
  <si>
    <t>arrivano</t>
  </si>
  <si>
    <t>fretta</t>
  </si>
  <si>
    <t># text = Disse, "Ho preso tanto Tylenol e qualunque cosa potessi prendere per dormire di più.</t>
  </si>
  <si>
    <t>Tylenol</t>
  </si>
  <si>
    <t>qualunque</t>
  </si>
  <si>
    <t>potessi</t>
  </si>
  <si>
    <t>dormire</t>
  </si>
  <si>
    <t># text = Mio marito mi ha detto che sono stupida, e che sono brutta.</t>
  </si>
  <si>
    <t>stupida</t>
  </si>
  <si>
    <t>brutta</t>
  </si>
  <si>
    <t># text = Vorrei poter porre fine a questa sofferenza."</t>
  </si>
  <si>
    <t>Vorrei</t>
  </si>
  <si>
    <t>poter</t>
  </si>
  <si>
    <t>sofferenza</t>
  </si>
  <si>
    <t># text = Venne iscritta nel protocollo sperimentale, e quando la intervistai sei mesi più tardi aveva ottenuto un lavoro da educatrice per la marina militare americana, aveva lasciato il marito che la insultava e mi disse, \"I miei figli sono molto più felici adesso.\"</t>
  </si>
  <si>
    <t>Venne</t>
  </si>
  <si>
    <t>iscritta</t>
  </si>
  <si>
    <t>sperimentale</t>
  </si>
  <si>
    <t>intervistai</t>
  </si>
  <si>
    <t>ottenuto</t>
  </si>
  <si>
    <t>educatrice</t>
  </si>
  <si>
    <t>marina</t>
  </si>
  <si>
    <t>militare</t>
  </si>
  <si>
    <t>americana</t>
  </si>
  <si>
    <t>lasciato</t>
  </si>
  <si>
    <t>insultava</t>
  </si>
  <si>
    <t>I</t>
  </si>
  <si>
    <t>felici</t>
  </si>
  <si>
    <t># text = Disse, "La mia nuova casa ha una stanza per i maschi e una per le femmine, ma di notte vengono tutti nel mio letto, facciamo i compiti e tutto il resto tutti insieme.</t>
  </si>
  <si>
    <t>nuova</t>
  </si>
  <si>
    <t>stanza</t>
  </si>
  <si>
    <t>maschi</t>
  </si>
  <si>
    <t>femmine</t>
  </si>
  <si>
    <t>notte</t>
  </si>
  <si>
    <t>compiti</t>
  </si>
  <si>
    <t>insieme</t>
  </si>
  <si>
    <t># text = Uno di loro vuole diventare pastore, un altro vuole fare il pompiere, e una delle femmine dice che diventerà avvocato.</t>
  </si>
  <si>
    <t>Uno</t>
  </si>
  <si>
    <t>pastore</t>
  </si>
  <si>
    <t>pompiere</t>
  </si>
  <si>
    <t>dice</t>
  </si>
  <si>
    <t>diventerà</t>
  </si>
  <si>
    <t>avvocato</t>
  </si>
  <si>
    <t># text = Non piangono più come prima, e non litigano più.</t>
  </si>
  <si>
    <t>piangono</t>
  </si>
  <si>
    <t>litigano</t>
  </si>
  <si>
    <t># text = Tutto ciò di cui ho bisogno adesso sono i miei figli.</t>
  </si>
  <si>
    <t>Tutto</t>
  </si>
  <si>
    <t># text = Le cose cambiano di continuo, come mi vesto, come mi sento, come mi comporto.</t>
  </si>
  <si>
    <t>cambiano</t>
  </si>
  <si>
    <t>continuo</t>
  </si>
  <si>
    <t>vesto</t>
  </si>
  <si>
    <t>comporto</t>
  </si>
  <si>
    <t># text = Posso uscire senza avere più paura, e non credo che quelle brutte sensazioni torneranno, se non fosse stato per la Dr.ssa Miranda sarei ancora a casa con le coperte sopra la testa, ammesso di essere ancora viva.</t>
  </si>
  <si>
    <t>Posso</t>
  </si>
  <si>
    <t>quelle</t>
  </si>
  <si>
    <t>sensazioni</t>
  </si>
  <si>
    <t>torneranno</t>
  </si>
  <si>
    <t>Dr.ssa</t>
  </si>
  <si>
    <t>Miranda</t>
  </si>
  <si>
    <t>coperte</t>
  </si>
  <si>
    <t>ammesso</t>
  </si>
  <si>
    <t>viva</t>
  </si>
  <si>
    <t># text = Ho chiesto al Signore di mandarmi un angelo, ed ha ascoltato le mie preghiere.\"</t>
  </si>
  <si>
    <t>Signore</t>
  </si>
  <si>
    <t>mandar</t>
  </si>
  <si>
    <t>angelo</t>
  </si>
  <si>
    <t>ascoltato</t>
  </si>
  <si>
    <t>preghiere</t>
  </si>
  <si>
    <t># text = Queste esperienze mi hanno davvero scosso, e ho deciso di raccontarle non solo scrivendo un libro su cui stavo lavorando, ma anche in un articolo, così il The New York Times Magazine mi ha incaricato di scrivere riguardo la depressione fra gli indigenti.</t>
  </si>
  <si>
    <t>Queste</t>
  </si>
  <si>
    <t>deciso</t>
  </si>
  <si>
    <t>scrivendo</t>
  </si>
  <si>
    <t>libro</t>
  </si>
  <si>
    <t>lavorando</t>
  </si>
  <si>
    <t>articolo</t>
  </si>
  <si>
    <t>New</t>
  </si>
  <si>
    <t>York</t>
  </si>
  <si>
    <t>Times</t>
  </si>
  <si>
    <t>Magazine</t>
  </si>
  <si>
    <t>incaricato</t>
  </si>
  <si>
    <t># text = Ho raccontato la mia storia, e la mia editrice mi chiamò e mi disse, "Non possiamo pubblicarlo" Io chiesi "Perché no?" Lei rispose, "È troppo inverosimile.</t>
  </si>
  <si>
    <t>raccontato</t>
  </si>
  <si>
    <t>storia</t>
  </si>
  <si>
    <t>editrice</t>
  </si>
  <si>
    <t>chiamò</t>
  </si>
  <si>
    <t>possiamo</t>
  </si>
  <si>
    <t>pubblicar</t>
  </si>
  <si>
    <t>Perché</t>
  </si>
  <si>
    <t>no</t>
  </si>
  <si>
    <t>inverosimile</t>
  </si>
  <si>
    <t># text = Queste persone vivono ai margini della società, poi si sottopongono a qualche mese di terapia e sono virtualmente pronte a gestire aziende tipo Morgan Stanley?</t>
  </si>
  <si>
    <t>vivono</t>
  </si>
  <si>
    <t>margini</t>
  </si>
  <si>
    <t>società</t>
  </si>
  <si>
    <t>sottopongono</t>
  </si>
  <si>
    <t>virtualmente</t>
  </si>
  <si>
    <t>pronte</t>
  </si>
  <si>
    <t>gestire</t>
  </si>
  <si>
    <t>aziende</t>
  </si>
  <si>
    <t>Morgan</t>
  </si>
  <si>
    <t>Stanley</t>
  </si>
  <si>
    <t># text = È troppo inverosimile."</t>
  </si>
  <si>
    <t># text = Lei disse, \"Non ho mai sentito niente di simile.\"</t>
  </si>
  <si>
    <t>sentito</t>
  </si>
  <si>
    <t>simile</t>
  </si>
  <si>
    <t># text = Io risposi, \"Il fatto che non ne ha mai sentito parlare significa che sono notizie nuove.\" \"E lei rappresenta una rivista d'informazione.\"</t>
  </si>
  <si>
    <t>significa</t>
  </si>
  <si>
    <t>notizie</t>
  </si>
  <si>
    <t>nuove</t>
  </si>
  <si>
    <t>rappresenta</t>
  </si>
  <si>
    <t>rivista</t>
  </si>
  <si>
    <t>informazione</t>
  </si>
  <si>
    <t># text = Così, dopo vari negoziati, il pezzo è stato accettato.</t>
  </si>
  <si>
    <t>vari</t>
  </si>
  <si>
    <t>negoziati</t>
  </si>
  <si>
    <t>pezzo</t>
  </si>
  <si>
    <t># text = Ma credo che molte cose che mi dissero siano in qualche modo collegate al disgusto che molti provano ancora per l'idea di terapia, l'idea che se andassimo a curare tante persone delle comunità indigenti questa sarebbe una cosa da sfruttatori, poiché cambieremmo queste persone.</t>
  </si>
  <si>
    <t>dissero</t>
  </si>
  <si>
    <t>siano</t>
  </si>
  <si>
    <t>collegate</t>
  </si>
  <si>
    <t>disgusto</t>
  </si>
  <si>
    <t>provano</t>
  </si>
  <si>
    <t>idea</t>
  </si>
  <si>
    <t>andassimo</t>
  </si>
  <si>
    <t>sfruttatori</t>
  </si>
  <si>
    <t>cambieremmo</t>
  </si>
  <si>
    <t># text = Esiste un falso imperativo morale che sembra essere tutto intorno a noi, secondo cui la cura della depressione, le medicine e tutto il resto, sono un artificio, una cosa innaturale.</t>
  </si>
  <si>
    <t>Esiste</t>
  </si>
  <si>
    <t>falso</t>
  </si>
  <si>
    <t>imperativo</t>
  </si>
  <si>
    <t>morale</t>
  </si>
  <si>
    <t>intorno</t>
  </si>
  <si>
    <t>medicine</t>
  </si>
  <si>
    <t>artificio</t>
  </si>
  <si>
    <t>innaturale</t>
  </si>
  <si>
    <t># text = Io penso che sia molto fuorviante.</t>
  </si>
  <si>
    <t>fuorviante</t>
  </si>
  <si>
    <t># text = Sarebbe naturale che i denti delle persone cadessero, ma nessuno fa campagne contro il dentifricio, almeno non fra i miei conoscenti.</t>
  </si>
  <si>
    <t>Sarebbe</t>
  </si>
  <si>
    <t>naturale</t>
  </si>
  <si>
    <t>denti</t>
  </si>
  <si>
    <t>cadessero</t>
  </si>
  <si>
    <t>campagne</t>
  </si>
  <si>
    <t>dentifricio</t>
  </si>
  <si>
    <t>conoscenti</t>
  </si>
  <si>
    <t># text = E poi la gente dice, \"Ma la depressione non fa parte dell'esperienza delle persone?</t>
  </si>
  <si>
    <t># text = Non ci evolviamo per essere depressi?</t>
  </si>
  <si>
    <t>evolviamo</t>
  </si>
  <si>
    <t># text = Non è parte della nostra personalità?"</t>
  </si>
  <si>
    <t># text = A loro vorrei rispondere che lo stato d'animo si adatta.</t>
  </si>
  <si>
    <t>vorrei</t>
  </si>
  <si>
    <t>adatta</t>
  </si>
  <si>
    <t># text = La capacità di provare tristezza e paura, gioia e piacere, e tutti gli altri stati d'animo, hanno un grandissimo valore.</t>
  </si>
  <si>
    <t>gioia</t>
  </si>
  <si>
    <t>piacere</t>
  </si>
  <si>
    <t>grandissimo</t>
  </si>
  <si>
    <t>valore</t>
  </si>
  <si>
    <t># text = La depressione grave è qualcosa che si verifica quando questo sistema si rompe.</t>
  </si>
  <si>
    <t>verifica</t>
  </si>
  <si>
    <t>sistema</t>
  </si>
  <si>
    <t>rompe</t>
  </si>
  <si>
    <t># text = È maladattivo.</t>
  </si>
  <si>
    <t>maladattivo</t>
  </si>
  <si>
    <t># text = Le persone vengono da me e mi dicono, "Io penso che, se resisto anche solo per un altro anno, credo di riuscire a venirne fuori."</t>
  </si>
  <si>
    <t>dicono</t>
  </si>
  <si>
    <t>resisto</t>
  </si>
  <si>
    <t>venir</t>
  </si>
  <si>
    <t># text = E io rispondo sempre loro, \"Potrai anche venirne fuori, ma non avrai più 37 anni.</t>
  </si>
  <si>
    <t>Potrai</t>
  </si>
  <si>
    <t>avrai</t>
  </si>
  <si>
    <t># text = La vita è breve, e stai parlando di rinunciare ad un intero anno.</t>
  </si>
  <si>
    <t>breve</t>
  </si>
  <si>
    <t>rinunciare</t>
  </si>
  <si>
    <t>intero</t>
  </si>
  <si>
    <t># text = Pensaci bene."</t>
  </si>
  <si>
    <t>Pensa</t>
  </si>
  <si>
    <t># text = È una strana carenza della lingua inglese, ed anche di molte altre lingue, il fatto che usiamo questa stessa parola - depressione - per descrivere lo stato d'animo di un bambino se il giorno del suo compleanno piove, e per descrivere come si sente una persona un minuto prima di suicidarsi.</t>
  </si>
  <si>
    <t>strana</t>
  </si>
  <si>
    <t>carenza</t>
  </si>
  <si>
    <t>lingua</t>
  </si>
  <si>
    <t>inglese</t>
  </si>
  <si>
    <t>lingue</t>
  </si>
  <si>
    <t>usiamo</t>
  </si>
  <si>
    <t>parola</t>
  </si>
  <si>
    <t>bambino</t>
  </si>
  <si>
    <t>compleanno</t>
  </si>
  <si>
    <t>piove</t>
  </si>
  <si>
    <t>sente</t>
  </si>
  <si>
    <t>minuto</t>
  </si>
  <si>
    <t># text = La gente mi dice, \"C'è continuità con la normale tristezza?\"</t>
  </si>
  <si>
    <t>continuità</t>
  </si>
  <si>
    <t>normale</t>
  </si>
  <si>
    <t># text = Io dico, "In un certo senso c'è continuità con la normale tristezza.</t>
  </si>
  <si>
    <t>dico</t>
  </si>
  <si>
    <t>certo</t>
  </si>
  <si>
    <t># text = C'è una certa dose di continuità, ma allo stesso modo in cui c'è continuità fra avere una recinzione metallica fuori casa su cui si forma un po' di ruggine, che poi devi raschiare via e ridipingere, e ciò che accade se abbandoni la casa per 100 anni e questa si arrugginisce fino a diventare un mucchio di polvere arancione.</t>
  </si>
  <si>
    <t>certa</t>
  </si>
  <si>
    <t>dose</t>
  </si>
  <si>
    <t>recinzione</t>
  </si>
  <si>
    <t>metallica</t>
  </si>
  <si>
    <t>ruggine</t>
  </si>
  <si>
    <t>SBJ_10</t>
  </si>
  <si>
    <t>devi</t>
  </si>
  <si>
    <t>raschiare</t>
  </si>
  <si>
    <t>OBJ_10</t>
  </si>
  <si>
    <t>ridipingere</t>
  </si>
  <si>
    <t>accade</t>
  </si>
  <si>
    <t>abbandoni</t>
  </si>
  <si>
    <t>arrugginisce</t>
  </si>
  <si>
    <t>fino</t>
  </si>
  <si>
    <t>mucchio</t>
  </si>
  <si>
    <t>polvere</t>
  </si>
  <si>
    <t>arancione</t>
  </si>
  <si>
    <t># text = È quel punto di ruggine arancione, quella polvere arancione, è proprio quello che ci prepariamo ad affrontare.</t>
  </si>
  <si>
    <t>prepariamo</t>
  </si>
  <si>
    <t>affrontare</t>
  </si>
  <si>
    <t># text = Ora la gente dice, "Prendi queste pillole della felicità, e ti senti felice?" No.</t>
  </si>
  <si>
    <t>Prendi</t>
  </si>
  <si>
    <t>pillole</t>
  </si>
  <si>
    <t>felice</t>
  </si>
  <si>
    <t>No</t>
  </si>
  <si>
    <t># text = Ma non sono triste di dover pranzare, e non sono triste a causa della mia segreteria telefonica, e non sono triste se faccio una doccia.</t>
  </si>
  <si>
    <t>dover</t>
  </si>
  <si>
    <t>faccio</t>
  </si>
  <si>
    <t># text = Invece provo più emozioni, rifletto, perché posso provare tristezza senza nullità.</t>
  </si>
  <si>
    <t>rifletto</t>
  </si>
  <si>
    <t># text = Sono triste per via di delusioni professionali, per via di rapporti logorati, per via del riscaldamento globale.</t>
  </si>
  <si>
    <t>delusioni</t>
  </si>
  <si>
    <t>professionali</t>
  </si>
  <si>
    <t>rapporti</t>
  </si>
  <si>
    <t>logorati</t>
  </si>
  <si>
    <t>riscaldamento</t>
  </si>
  <si>
    <t>globale</t>
  </si>
  <si>
    <t># text = Sono queste le cose che ora mi rendono triste.</t>
  </si>
  <si>
    <t># text = E mi sono chiesto quale fosse la conclusione.</t>
  </si>
  <si>
    <t>conclusione</t>
  </si>
  <si>
    <t># text = Come fanno queste persone che hanno vite migliori e soffrono di depressione anche più grave, a venirne fuori?</t>
  </si>
  <si>
    <t>Come</t>
  </si>
  <si>
    <t>vite</t>
  </si>
  <si>
    <t>migliori</t>
  </si>
  <si>
    <t>soffrono</t>
  </si>
  <si>
    <t># text = Come funziona il meccanismo di ripresa?</t>
  </si>
  <si>
    <t>meccanismo</t>
  </si>
  <si>
    <t>ripresa</t>
  </si>
  <si>
    <t># text = E la risposta che mi sono dato col tempo è che le persone che negano la propria esperienza, quelle che dicono, "Molto tempo fa ero depresso e non voglio pensarci più, non mi ci soffermerò, mi limiterò ad andare avanti con la mia vita", ironicamente, sono le persone che sono più sottomesse dalla propria patologia.</t>
  </si>
  <si>
    <t>dato</t>
  </si>
  <si>
    <t>negano</t>
  </si>
  <si>
    <t>Molto</t>
  </si>
  <si>
    <t>pensar</t>
  </si>
  <si>
    <t>soffermerò</t>
  </si>
  <si>
    <t>limiterò</t>
  </si>
  <si>
    <t>ironicamente</t>
  </si>
  <si>
    <t>sottomesse</t>
  </si>
  <si>
    <t>patologia</t>
  </si>
  <si>
    <t># text = Chiudere fuori la depressione non fa che rinforzarla.</t>
  </si>
  <si>
    <t>Chiudere</t>
  </si>
  <si>
    <t>rinforzar</t>
  </si>
  <si>
    <t># text = Mentre ti nascondi da lei, quella cresce.</t>
  </si>
  <si>
    <t>nascondi</t>
  </si>
  <si>
    <t>cresce</t>
  </si>
  <si>
    <t># text = E le persone che migliorano sono quelle in grado di sopportare il fatto di esserne affetti.</t>
  </si>
  <si>
    <t>migliorano</t>
  </si>
  <si>
    <t>sopportare</t>
  </si>
  <si>
    <t>esser</t>
  </si>
  <si>
    <t># text = Le persone che riescono a tollerare la depressione sono quelle che riescono a riprendersi.</t>
  </si>
  <si>
    <t>tollerare</t>
  </si>
  <si>
    <t>riprender</t>
  </si>
  <si>
    <t># text = Così Frank Russakoff mi disse, \"Se dovessi rifare tutto, non credo che lo rifarei in questo modo, ma stranamente sono grato per l'esperienza che ho vissuto.</t>
  </si>
  <si>
    <t>rifare</t>
  </si>
  <si>
    <t>rifarei</t>
  </si>
  <si>
    <t>stranamente</t>
  </si>
  <si>
    <t># text = Sono felice di essere andato 40 volte in ospedale.</t>
  </si>
  <si>
    <t>ospedale</t>
  </si>
  <si>
    <t># text = Mi ha insegnato così tanto sull'amore, ed il mio rapporto con i miei genitori ed i miei medici è stato davvero prezioso per me, e lo sarà sempre.\" Maggie Robbins disse, \"Ho fatto la volontaria in una clinica di malati di AIDS, non facevo altro che parlare e parlare, e le persone con cui avevo a che fare non erano molto reattive, così pensavo, \"Non sono molto amichevoli, non mi aiutano.\"</t>
  </si>
  <si>
    <t>insegnato</t>
  </si>
  <si>
    <t>rapporto</t>
  </si>
  <si>
    <t>prezioso</t>
  </si>
  <si>
    <t>volontaria</t>
  </si>
  <si>
    <t>clinica</t>
  </si>
  <si>
    <t>malati</t>
  </si>
  <si>
    <t>AIDS</t>
  </si>
  <si>
    <t>reattive</t>
  </si>
  <si>
    <t>amichevoli</t>
  </si>
  <si>
    <t>aiutano</t>
  </si>
  <si>
    <t># text = Allora ho capito, ho capito che non avrebbero fatto altro che chiacchierare per qualche minuto.</t>
  </si>
  <si>
    <t>Allora</t>
  </si>
  <si>
    <t>capito</t>
  </si>
  <si>
    <t>avrebbero</t>
  </si>
  <si>
    <t>chiacchierare</t>
  </si>
  <si>
    <t># text = Era semplicemente un'occasione in cui non ero affetta da AIDS e non stavo morendo, ma riuscivo a tollerare il fatto che loro ne erano affetti e stavano morendo.</t>
  </si>
  <si>
    <t>semplicemente</t>
  </si>
  <si>
    <t>occasione</t>
  </si>
  <si>
    <t>morendo</t>
  </si>
  <si>
    <t>stavano</t>
  </si>
  <si>
    <t># text = I nostri bisogni sono le nostre risorse più importanti.</t>
  </si>
  <si>
    <t>bisogni</t>
  </si>
  <si>
    <t>nostre</t>
  </si>
  <si>
    <t>risorse</t>
  </si>
  <si>
    <t>importanti</t>
  </si>
  <si>
    <t># text = Alla fine ho imparato a dare tutto ciò di cui ho bisogno.\"</t>
  </si>
  <si>
    <t>imparato</t>
  </si>
  <si>
    <t># text = Valorizzare la depressione di una persona non impedisce una ricaduta, ma può rendere la prospettiva di una ricaduta, e perfino la ricaduta stessa, più semplice da tollerare.</t>
  </si>
  <si>
    <t>Valorizzare</t>
  </si>
  <si>
    <t>impedisce</t>
  </si>
  <si>
    <t>ricaduta</t>
  </si>
  <si>
    <t>rendere</t>
  </si>
  <si>
    <t>perfino</t>
  </si>
  <si>
    <t># text = Il problema non è tanto trovare un grande significato e decidere che la depressione è stata molto importante.</t>
  </si>
  <si>
    <t>significato</t>
  </si>
  <si>
    <t>importante</t>
  </si>
  <si>
    <t># text = È cercare quel significato e pensare, quando ritorna, \"Sarà un inferno, ma imparerò qualcosa.\"</t>
  </si>
  <si>
    <t>ritorna</t>
  </si>
  <si>
    <t>Sarà</t>
  </si>
  <si>
    <t>inferno</t>
  </si>
  <si>
    <t>imparerò</t>
  </si>
  <si>
    <t># text = Durante la mia depressione ho imparato quanto può essere forte un'emozione, quanto può essere reale e ho capito che quell'esperienza mi ha consentito di provare emozioni positive in modo più intenso e concentrato.</t>
  </si>
  <si>
    <t>Durante</t>
  </si>
  <si>
    <t>reale</t>
  </si>
  <si>
    <t>consentito</t>
  </si>
  <si>
    <t>positive</t>
  </si>
  <si>
    <t>intenso</t>
  </si>
  <si>
    <t>concentrato</t>
  </si>
  <si>
    <t># text = Il contrario di depressione non è felicità, ma vitalità, ed ora la mia vita è vitale, anche nei giorni in cui sono triste.</t>
  </si>
  <si>
    <t>vitale</t>
  </si>
  <si>
    <t># text = Ho sentito quel funerale nella mia testa, e mi sono seduto accanto al colosso ai confini del mondo ed ho scoperto qualcosa dentro di me che chiamerei anima e che non avevo mai concepito fino a quel giorno di 20 anni fa, quando l'inferno mi fece visita a sorpresa.</t>
  </si>
  <si>
    <t>seduto</t>
  </si>
  <si>
    <t>accanto</t>
  </si>
  <si>
    <t>colosso</t>
  </si>
  <si>
    <t>confini</t>
  </si>
  <si>
    <t>chiamerei</t>
  </si>
  <si>
    <t>concepito</t>
  </si>
  <si>
    <t>visita</t>
  </si>
  <si>
    <t>sorpresa</t>
  </si>
  <si>
    <t># text = Credo che, anche se odiavo essere depresso e odierei essere depresso di nuovo, di aver trovato un modo di amare la mia depressione.</t>
  </si>
  <si>
    <t>Credo</t>
  </si>
  <si>
    <t>odiavo</t>
  </si>
  <si>
    <t>odierei</t>
  </si>
  <si>
    <t>nuovo</t>
  </si>
  <si>
    <t># text = La amo perché mi ha costretto a trovare la gioia e ad aggrapparmi ad essa.</t>
  </si>
  <si>
    <t>amo</t>
  </si>
  <si>
    <t>costretto</t>
  </si>
  <si>
    <t>aggrapparmi</t>
  </si>
  <si>
    <t>essa</t>
  </si>
  <si>
    <t># text = La amo perché ogni giorno decido, a volte con coraggio, a volte contro il buon senso del momento, di attaccarmi alle ragioni per cui vivere.</t>
  </si>
  <si>
    <t>decido</t>
  </si>
  <si>
    <t>coraggio</t>
  </si>
  <si>
    <t>buon</t>
  </si>
  <si>
    <t>attaccar</t>
  </si>
  <si>
    <t>ragioni</t>
  </si>
  <si>
    <t># text = Questo, secondo me, è un grande privilegio.</t>
  </si>
  <si>
    <t>Questo</t>
  </si>
  <si>
    <t>privilegio</t>
  </si>
  <si>
    <t># text = Grazie.</t>
  </si>
  <si>
    <t>Grazie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</si>
</sst>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3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15</v>
      </c>
      <c r="I2" s="11" t="s">
        <v>15</v>
      </c>
      <c r="J2" s="12"/>
    </row>
    <row r="3" spans="1:10" ht="60" customHeight="1">
      <c r="A3" s="6" t="s">
        <v>16</v>
      </c>
      <c r="B3" s="6" t="s">
        <v>17</v>
      </c>
      <c r="C3" s="6" t="s">
        <v>18</v>
      </c>
      <c r="D3" s="7" t="s">
        <v>19</v>
      </c>
      <c r="E3" s="8" t="s">
        <v>20</v>
      </c>
      <c r="F3" s="6" t="s">
        <v>21</v>
      </c>
      <c r="G3" s="9">
        <f>IF(A3=1,"_",IF(C3="_","???",C3))</f>
        <v/>
      </c>
      <c r="H3" s="10" t="s">
        <v>15</v>
      </c>
      <c r="I3" s="11" t="s">
        <v>15</v>
      </c>
      <c r="J3" s="12"/>
    </row>
    <row r="4" spans="1:10" ht="60" customHeight="1">
      <c r="A4" s="6" t="s">
        <v>22</v>
      </c>
      <c r="B4" s="6" t="s">
        <v>23</v>
      </c>
      <c r="C4" s="6" t="s">
        <v>24</v>
      </c>
      <c r="D4" s="7" t="s">
        <v>25</v>
      </c>
      <c r="E4" s="8" t="s">
        <v>26</v>
      </c>
      <c r="F4" s="6" t="s">
        <v>27</v>
      </c>
      <c r="G4" s="9">
        <f>IF(A4=1,"_",IF(C4="_","???",C4))</f>
        <v/>
      </c>
      <c r="H4" s="10" t="s">
        <v>15</v>
      </c>
      <c r="I4" s="11" t="s">
        <v>15</v>
      </c>
      <c r="J4" s="12"/>
    </row>
    <row r="5" spans="1:10" ht="60" customHeight="1">
      <c r="A5" s="6" t="s">
        <v>28</v>
      </c>
      <c r="B5" s="6" t="s">
        <v>29</v>
      </c>
      <c r="C5" s="6" t="s">
        <v>24</v>
      </c>
      <c r="D5" s="7" t="s">
        <v>30</v>
      </c>
      <c r="E5" s="8" t="s">
        <v>31</v>
      </c>
      <c r="F5" s="6" t="s">
        <v>32</v>
      </c>
      <c r="G5" s="9">
        <f>IF(A5=1,"_",IF(C5="_","???",C5))</f>
        <v/>
      </c>
      <c r="H5" s="10" t="s">
        <v>15</v>
      </c>
      <c r="I5" s="11" t="s">
        <v>15</v>
      </c>
      <c r="J5" s="12"/>
    </row>
    <row r="6" spans="1:10" ht="60" customHeight="1">
      <c r="A6" s="6" t="s">
        <v>23</v>
      </c>
      <c r="B6" s="6" t="s">
        <v>10</v>
      </c>
      <c r="C6" s="6" t="s">
        <v>15</v>
      </c>
      <c r="D6" s="7" t="s">
        <v>33</v>
      </c>
      <c r="E6" s="8" t="s">
        <v>34</v>
      </c>
      <c r="F6" s="6" t="s">
        <v>35</v>
      </c>
      <c r="G6" s="9">
        <f>IF(A6=1,"_",IF(C6="_","???",C6))</f>
        <v/>
      </c>
      <c r="H6" s="10" t="s">
        <v>15</v>
      </c>
      <c r="I6" s="11" t="s">
        <v>15</v>
      </c>
      <c r="J6" s="12"/>
    </row>
    <row r="7" spans="1:10" ht="60" customHeight="1">
      <c r="A7" s="6" t="s">
        <v>36</v>
      </c>
      <c r="B7" s="6" t="s">
        <v>22</v>
      </c>
      <c r="C7" s="6" t="s">
        <v>15</v>
      </c>
      <c r="D7" s="7" t="s">
        <v>37</v>
      </c>
      <c r="E7" s="8" t="s">
        <v>38</v>
      </c>
      <c r="F7" s="6" t="s">
        <v>39</v>
      </c>
      <c r="G7" s="9">
        <f>IF(A7=1,"_",IF(C7="_","???",C7))</f>
        <v/>
      </c>
      <c r="H7" s="10" t="s">
        <v>15</v>
      </c>
      <c r="I7" s="11" t="s">
        <v>15</v>
      </c>
      <c r="J7" s="12"/>
    </row>
    <row r="8" spans="1:10" ht="60" customHeight="1">
      <c r="A8" s="6" t="s">
        <v>40</v>
      </c>
      <c r="B8" s="6" t="s">
        <v>29</v>
      </c>
      <c r="C8" s="6" t="s">
        <v>15</v>
      </c>
      <c r="D8" s="7" t="s">
        <v>41</v>
      </c>
      <c r="E8" s="8" t="s">
        <v>42</v>
      </c>
      <c r="F8" s="6" t="s">
        <v>43</v>
      </c>
      <c r="G8" s="9">
        <f>IF(A8=1,"_",IF(C8="_","???",C8))</f>
        <v/>
      </c>
      <c r="H8" s="10" t="s">
        <v>15</v>
      </c>
      <c r="I8" s="11" t="s">
        <v>15</v>
      </c>
      <c r="J8" s="12"/>
    </row>
    <row r="9" spans="1:10" ht="60" customHeight="1">
      <c r="A9" s="6" t="s">
        <v>44</v>
      </c>
      <c r="B9" s="6" t="s">
        <v>44</v>
      </c>
      <c r="C9" s="6" t="s">
        <v>15</v>
      </c>
      <c r="D9" s="7" t="s">
        <v>45</v>
      </c>
      <c r="E9" s="8" t="s">
        <v>46</v>
      </c>
      <c r="F9" s="6" t="s">
        <v>47</v>
      </c>
      <c r="G9" s="9">
        <f>IF(A9=1,"_",IF(C9="_","???",C9))</f>
        <v/>
      </c>
      <c r="H9" s="10" t="s">
        <v>15</v>
      </c>
      <c r="I9" s="11" t="s">
        <v>15</v>
      </c>
      <c r="J9" s="12"/>
    </row>
    <row r="10" spans="1:10" ht="60" customHeight="1">
      <c r="A10" s="6" t="s">
        <v>48</v>
      </c>
      <c r="B10" s="6" t="s">
        <v>49</v>
      </c>
      <c r="C10" s="6" t="s">
        <v>50</v>
      </c>
      <c r="D10" s="7" t="s">
        <v>51</v>
      </c>
      <c r="E10" s="8" t="s">
        <v>52</v>
      </c>
      <c r="F10" s="6" t="s">
        <v>53</v>
      </c>
      <c r="G10" s="9">
        <f>IF(A10=1,"_",IF(C10="_","???",C10))</f>
        <v/>
      </c>
      <c r="H10" s="10" t="s">
        <v>15</v>
      </c>
      <c r="I10" s="11" t="s">
        <v>15</v>
      </c>
      <c r="J10" s="12"/>
    </row>
    <row r="11" spans="1:10" ht="60" customHeight="1">
      <c r="A11" s="6" t="s">
        <v>49</v>
      </c>
      <c r="B11" s="6" t="s">
        <v>54</v>
      </c>
      <c r="C11" s="6" t="s">
        <v>55</v>
      </c>
      <c r="D11" s="7" t="s">
        <v>56</v>
      </c>
      <c r="E11" s="8" t="s">
        <v>57</v>
      </c>
      <c r="F11" s="6" t="s">
        <v>58</v>
      </c>
      <c r="G11" s="9">
        <f>IF(A11=1,"_",IF(C11="_","???",C11))</f>
        <v/>
      </c>
      <c r="H11" s="10" t="s">
        <v>15</v>
      </c>
      <c r="I11" s="11" t="s">
        <v>15</v>
      </c>
      <c r="J11" s="12"/>
    </row>
    <row r="12" spans="1:10" ht="60" customHeight="1">
      <c r="A12" s="6" t="s">
        <v>54</v>
      </c>
      <c r="B12" s="6" t="s">
        <v>22</v>
      </c>
      <c r="C12" s="6" t="s">
        <v>59</v>
      </c>
      <c r="D12" s="7" t="s">
        <v>60</v>
      </c>
      <c r="E12" s="8" t="s">
        <v>61</v>
      </c>
      <c r="F12" s="6" t="s">
        <v>62</v>
      </c>
      <c r="G12" s="9">
        <f>IF(A12=1,"_",IF(C12="_","???",C12))</f>
        <v/>
      </c>
      <c r="H12" s="10" t="s">
        <v>15</v>
      </c>
      <c r="I12" s="11" t="s">
        <v>15</v>
      </c>
      <c r="J12" s="12"/>
    </row>
    <row r="13" spans="1:10" ht="60" customHeight="1">
      <c r="A13" s="6" t="s">
        <v>17</v>
      </c>
      <c r="B13" s="6" t="s">
        <v>36</v>
      </c>
      <c r="C13" s="6" t="s">
        <v>55</v>
      </c>
      <c r="D13" s="7" t="s">
        <v>63</v>
      </c>
      <c r="E13" s="8" t="s">
        <v>64</v>
      </c>
      <c r="F13" s="6" t="s">
        <v>65</v>
      </c>
      <c r="G13" s="9">
        <f>IF(A13=1,"_",IF(C13="_","???",C13))</f>
        <v/>
      </c>
      <c r="H13" s="10" t="s">
        <v>15</v>
      </c>
      <c r="I13" s="11" t="s">
        <v>15</v>
      </c>
      <c r="J13" s="12"/>
    </row>
    <row r="14" spans="1:10" ht="60" customHeight="1">
      <c r="A14" s="6" t="s">
        <v>66</v>
      </c>
      <c r="B14" s="6" t="s">
        <v>28</v>
      </c>
      <c r="C14" s="6" t="s">
        <v>15</v>
      </c>
      <c r="D14" s="7" t="s">
        <v>60</v>
      </c>
      <c r="E14" s="8" t="s">
        <v>67</v>
      </c>
      <c r="F14" s="6" t="s">
        <v>68</v>
      </c>
      <c r="G14" s="9">
        <f>IF(A14=1,"_",IF(C14="_","???",C14))</f>
        <v/>
      </c>
      <c r="H14" s="10" t="s">
        <v>15</v>
      </c>
      <c r="I14" s="11" t="s">
        <v>15</v>
      </c>
      <c r="J14" s="12"/>
    </row>
    <row r="15" spans="1:10" ht="60" customHeight="1">
      <c r="A15" s="6" t="s">
        <v>69</v>
      </c>
      <c r="B15" s="6" t="s">
        <v>10</v>
      </c>
      <c r="C15" s="6" t="s">
        <v>11</v>
      </c>
      <c r="D15" s="7" t="s">
        <v>70</v>
      </c>
      <c r="E15" s="8" t="s">
        <v>71</v>
      </c>
      <c r="F15" s="6" t="s">
        <v>72</v>
      </c>
      <c r="G15" s="9">
        <f>IF(A15=1,"_",IF(C15="_","???",C15))</f>
        <v/>
      </c>
      <c r="H15" s="10" t="s">
        <v>15</v>
      </c>
      <c r="I15" s="11" t="s">
        <v>15</v>
      </c>
      <c r="J15" s="12"/>
    </row>
    <row r="16" spans="1:10" ht="60" customHeight="1">
      <c r="A16" s="6" t="s">
        <v>73</v>
      </c>
      <c r="B16" s="6" t="s">
        <v>28</v>
      </c>
      <c r="C16" s="6" t="s">
        <v>18</v>
      </c>
      <c r="D16" s="7" t="s">
        <v>74</v>
      </c>
      <c r="E16" s="8" t="s">
        <v>75</v>
      </c>
      <c r="F16" s="6" t="s">
        <v>76</v>
      </c>
      <c r="G16" s="9">
        <f>IF(A16=1,"_",IF(C16="_","???",C16))</f>
        <v/>
      </c>
      <c r="H16" s="10" t="s">
        <v>15</v>
      </c>
      <c r="I16" s="11" t="s">
        <v>15</v>
      </c>
      <c r="J16" s="12"/>
    </row>
    <row r="17" spans="1:10" ht="60" customHeight="1">
      <c r="A17" s="6" t="s">
        <v>77</v>
      </c>
      <c r="B17" s="6" t="s">
        <v>22</v>
      </c>
      <c r="C17" s="6" t="s">
        <v>11</v>
      </c>
      <c r="D17" s="7" t="s">
        <v>78</v>
      </c>
      <c r="E17" s="8" t="s">
        <v>79</v>
      </c>
      <c r="F17" s="6" t="s">
        <v>80</v>
      </c>
      <c r="G17" s="9">
        <f>IF(A17=1,"_",IF(C17="_","???",C17))</f>
        <v/>
      </c>
      <c r="H17" s="10" t="s">
        <v>15</v>
      </c>
      <c r="I17" s="11" t="s">
        <v>15</v>
      </c>
      <c r="J17" s="12"/>
    </row>
    <row r="18" spans="1:10" ht="60" customHeight="1">
      <c r="A18" s="6" t="s">
        <v>81</v>
      </c>
      <c r="B18" s="6" t="s">
        <v>54</v>
      </c>
      <c r="C18" s="6" t="s">
        <v>15</v>
      </c>
      <c r="D18" s="7" t="s">
        <v>82</v>
      </c>
      <c r="E18" s="8" t="s">
        <v>83</v>
      </c>
      <c r="F18" s="6" t="s">
        <v>84</v>
      </c>
      <c r="G18" s="9">
        <f>IF(A18=1,"_",IF(C18="_","???",C18))</f>
        <v/>
      </c>
      <c r="H18" s="10" t="s">
        <v>15</v>
      </c>
      <c r="I18" s="11" t="s">
        <v>15</v>
      </c>
      <c r="J18" s="12"/>
    </row>
    <row r="19" spans="1:10" ht="60" customHeight="1">
      <c r="A19" s="6" t="s">
        <v>85</v>
      </c>
      <c r="B19" s="6" t="s">
        <v>10</v>
      </c>
      <c r="C19" s="6" t="s">
        <v>15</v>
      </c>
      <c r="D19" s="7" t="s">
        <v>86</v>
      </c>
      <c r="E19" s="8" t="s">
        <v>87</v>
      </c>
      <c r="F19" s="6" t="s">
        <v>88</v>
      </c>
      <c r="G19" s="9">
        <f>IF(A19=1,"_",IF(C19="_","???",C19))</f>
        <v/>
      </c>
      <c r="H19" s="10" t="s">
        <v>15</v>
      </c>
      <c r="I19" s="11" t="s">
        <v>15</v>
      </c>
      <c r="J19" s="12"/>
    </row>
    <row r="20" spans="1:10" ht="60" customHeight="1">
      <c r="A20" s="6" t="s">
        <v>89</v>
      </c>
      <c r="B20" s="6" t="s">
        <v>10</v>
      </c>
      <c r="C20" s="6" t="s">
        <v>15</v>
      </c>
      <c r="D20" s="7" t="s">
        <v>86</v>
      </c>
      <c r="E20" s="8" t="s">
        <v>90</v>
      </c>
      <c r="F20" s="6" t="s">
        <v>91</v>
      </c>
      <c r="G20" s="9">
        <f>IF(A20=1,"_",IF(C20="_","???",C20))</f>
        <v/>
      </c>
      <c r="H20" s="10" t="s">
        <v>15</v>
      </c>
      <c r="I20" s="11" t="s">
        <v>15</v>
      </c>
      <c r="J20" s="12"/>
    </row>
    <row r="21" spans="1:10" ht="60" customHeight="1">
      <c r="A21" s="6" t="s">
        <v>92</v>
      </c>
      <c r="B21" s="6" t="s">
        <v>22</v>
      </c>
      <c r="C21" s="6" t="s">
        <v>93</v>
      </c>
      <c r="D21" s="7" t="s">
        <v>94</v>
      </c>
      <c r="E21" s="8" t="s">
        <v>95</v>
      </c>
      <c r="F21" s="6" t="s">
        <v>96</v>
      </c>
      <c r="G21" s="9">
        <f>IF(A21=1,"_",IF(C21="_","???",C21))</f>
        <v/>
      </c>
      <c r="H21" s="10" t="s">
        <v>15</v>
      </c>
      <c r="I21" s="11" t="s">
        <v>15</v>
      </c>
      <c r="J21" s="12"/>
    </row>
    <row r="22" spans="1:10" ht="60" customHeight="1">
      <c r="A22" s="6" t="s">
        <v>97</v>
      </c>
      <c r="B22" s="6" t="s">
        <v>10</v>
      </c>
      <c r="C22" s="6" t="s">
        <v>15</v>
      </c>
      <c r="D22" s="7" t="s">
        <v>98</v>
      </c>
      <c r="E22" s="8" t="s">
        <v>99</v>
      </c>
      <c r="F22" s="6" t="s">
        <v>100</v>
      </c>
      <c r="G22" s="9">
        <f>IF(A22=1,"_",IF(C22="_","???",C22))</f>
        <v/>
      </c>
      <c r="H22" s="10" t="s">
        <v>15</v>
      </c>
      <c r="I22" s="11" t="s">
        <v>15</v>
      </c>
      <c r="J22" s="12"/>
    </row>
    <row r="23" spans="1:10" ht="60" customHeight="1">
      <c r="A23" s="6" t="s">
        <v>101</v>
      </c>
      <c r="B23" s="6" t="s">
        <v>16</v>
      </c>
      <c r="C23" s="6" t="s">
        <v>24</v>
      </c>
      <c r="D23" s="7" t="s">
        <v>102</v>
      </c>
      <c r="E23" s="8" t="s">
        <v>103</v>
      </c>
      <c r="F23" s="6" t="s">
        <v>104</v>
      </c>
      <c r="G23" s="9">
        <f>IF(A23=1,"_",IF(C23="_","???",C23))</f>
        <v/>
      </c>
      <c r="H23" s="10" t="s">
        <v>15</v>
      </c>
      <c r="I23" s="11" t="s">
        <v>15</v>
      </c>
      <c r="J23" s="12"/>
    </row>
    <row r="24" spans="1:10" ht="60" customHeight="1">
      <c r="A24" s="6" t="s">
        <v>105</v>
      </c>
      <c r="B24" s="6" t="s">
        <v>28</v>
      </c>
      <c r="C24" s="6" t="s">
        <v>106</v>
      </c>
      <c r="D24" s="7" t="s">
        <v>107</v>
      </c>
      <c r="E24" s="8" t="s">
        <v>108</v>
      </c>
      <c r="F24" s="6" t="s">
        <v>109</v>
      </c>
      <c r="G24" s="9">
        <f>IF(A24=1,"_",IF(C24="_","???",C24))</f>
        <v/>
      </c>
      <c r="H24" s="10" t="s">
        <v>15</v>
      </c>
      <c r="I24" s="11" t="s">
        <v>15</v>
      </c>
      <c r="J24" s="12"/>
    </row>
    <row r="25" spans="1:10" ht="60" customHeight="1">
      <c r="A25" s="6" t="s">
        <v>110</v>
      </c>
      <c r="B25" s="6" t="s">
        <v>29</v>
      </c>
      <c r="C25" s="6" t="s">
        <v>111</v>
      </c>
      <c r="D25" s="7" t="s">
        <v>112</v>
      </c>
      <c r="E25" s="8" t="s">
        <v>113</v>
      </c>
      <c r="F25" s="6" t="s">
        <v>114</v>
      </c>
      <c r="G25" s="9">
        <f>IF(A25=1,"_",IF(C25="_","???",C25))</f>
        <v/>
      </c>
      <c r="H25" s="10" t="s">
        <v>15</v>
      </c>
      <c r="I25" s="11" t="s">
        <v>15</v>
      </c>
      <c r="J25" s="12"/>
    </row>
    <row r="26" spans="1:10" ht="60" customHeight="1">
      <c r="A26" s="6" t="s">
        <v>115</v>
      </c>
      <c r="B26" s="6" t="s">
        <v>22</v>
      </c>
      <c r="C26" s="6" t="s">
        <v>116</v>
      </c>
      <c r="D26" s="7" t="s">
        <v>117</v>
      </c>
      <c r="E26" s="8" t="s">
        <v>118</v>
      </c>
      <c r="F26" s="6" t="s">
        <v>119</v>
      </c>
      <c r="G26" s="9">
        <f>IF(A26=1,"_",IF(C26="_","???",C26))</f>
        <v/>
      </c>
      <c r="H26" s="10" t="s">
        <v>15</v>
      </c>
      <c r="I26" s="11" t="s">
        <v>15</v>
      </c>
      <c r="J26" s="12"/>
    </row>
    <row r="27" spans="1:10" ht="60" customHeight="1">
      <c r="A27" s="6" t="s">
        <v>120</v>
      </c>
      <c r="B27" s="6" t="s">
        <v>44</v>
      </c>
      <c r="C27" s="6" t="s">
        <v>116</v>
      </c>
      <c r="D27" s="7" t="s">
        <v>121</v>
      </c>
      <c r="E27" s="8" t="s">
        <v>122</v>
      </c>
      <c r="F27" s="6" t="s">
        <v>123</v>
      </c>
      <c r="G27" s="9">
        <f>IF(A27=1,"_",IF(C27="_","???",C27))</f>
        <v/>
      </c>
      <c r="H27" s="10" t="s">
        <v>15</v>
      </c>
      <c r="I27" s="11" t="s">
        <v>15</v>
      </c>
      <c r="J27" s="12"/>
    </row>
    <row r="28" spans="1:10" ht="60" customHeight="1">
      <c r="A28" s="6" t="s">
        <v>124</v>
      </c>
      <c r="B28" s="6" t="s">
        <v>16</v>
      </c>
      <c r="C28" s="6" t="s">
        <v>11</v>
      </c>
      <c r="D28" s="7" t="s">
        <v>125</v>
      </c>
      <c r="E28" s="8" t="s">
        <v>126</v>
      </c>
      <c r="F28" s="6" t="s">
        <v>127</v>
      </c>
      <c r="G28" s="9">
        <f>IF(A28=1,"_",IF(C28="_","???",C28))</f>
        <v/>
      </c>
      <c r="H28" s="10" t="s">
        <v>15</v>
      </c>
      <c r="I28" s="11" t="s">
        <v>15</v>
      </c>
      <c r="J28" s="12"/>
    </row>
    <row r="29" spans="1:10" ht="60" customHeight="1">
      <c r="A29" s="6" t="s">
        <v>128</v>
      </c>
      <c r="B29" s="6" t="s">
        <v>36</v>
      </c>
      <c r="C29" s="6" t="s">
        <v>11</v>
      </c>
      <c r="D29" s="7" t="s">
        <v>129</v>
      </c>
      <c r="E29" s="8" t="s">
        <v>130</v>
      </c>
      <c r="F29" s="6" t="s">
        <v>131</v>
      </c>
      <c r="G29" s="9">
        <f>IF(A29=1,"_",IF(C29="_","???",C29))</f>
        <v/>
      </c>
      <c r="H29" s="10" t="s">
        <v>15</v>
      </c>
      <c r="I29" s="11" t="s">
        <v>15</v>
      </c>
      <c r="J29" s="12"/>
    </row>
    <row r="30" spans="1:10" ht="60" customHeight="1">
      <c r="A30" s="6" t="s">
        <v>132</v>
      </c>
      <c r="B30" s="6" t="s">
        <v>73</v>
      </c>
      <c r="C30" s="6" t="s">
        <v>50</v>
      </c>
      <c r="D30" s="7" t="s">
        <v>133</v>
      </c>
      <c r="E30" s="8" t="s">
        <v>134</v>
      </c>
      <c r="F30" s="6" t="s">
        <v>135</v>
      </c>
      <c r="G30" s="9">
        <f>IF(A30=1,"_",IF(C30="_","???",C30))</f>
        <v/>
      </c>
      <c r="H30" s="10" t="s">
        <v>15</v>
      </c>
      <c r="I30" s="11" t="s">
        <v>15</v>
      </c>
      <c r="J30" s="12"/>
    </row>
    <row r="31" spans="1:10" ht="60" customHeight="1">
      <c r="A31" s="6" t="s">
        <v>136</v>
      </c>
      <c r="B31" s="6" t="s">
        <v>16</v>
      </c>
      <c r="C31" s="6" t="s">
        <v>15</v>
      </c>
      <c r="D31" s="7" t="s">
        <v>60</v>
      </c>
      <c r="E31" s="8" t="s">
        <v>137</v>
      </c>
      <c r="F31" s="6" t="s">
        <v>138</v>
      </c>
      <c r="G31" s="9">
        <f>IF(A31=1,"_",IF(C31="_","???",C31))</f>
        <v/>
      </c>
      <c r="H31" s="10" t="s">
        <v>15</v>
      </c>
      <c r="I31" s="11" t="s">
        <v>15</v>
      </c>
      <c r="J31" s="12"/>
    </row>
    <row r="32" spans="1:10" ht="60" customHeight="1">
      <c r="A32" s="6" t="s">
        <v>139</v>
      </c>
      <c r="B32" s="6" t="s">
        <v>10</v>
      </c>
      <c r="C32" s="6" t="s">
        <v>15</v>
      </c>
      <c r="D32" s="7" t="s">
        <v>140</v>
      </c>
      <c r="E32" s="8" t="s">
        <v>140</v>
      </c>
      <c r="F32" s="6" t="s">
        <v>141</v>
      </c>
      <c r="G32" s="9">
        <f>IF(A32=1,"_",IF(C32="_","???",C32))</f>
        <v/>
      </c>
      <c r="H32" s="10" t="s">
        <v>15</v>
      </c>
      <c r="I32" s="11" t="s">
        <v>15</v>
      </c>
      <c r="J32" s="12"/>
    </row>
    <row r="33" spans="1:10" ht="60" customHeight="1">
      <c r="A33" s="6" t="s">
        <v>142</v>
      </c>
      <c r="B33" s="6" t="s">
        <v>28</v>
      </c>
      <c r="C33" s="6" t="s">
        <v>11</v>
      </c>
      <c r="D33" s="7" t="s">
        <v>143</v>
      </c>
      <c r="E33" s="8" t="s">
        <v>144</v>
      </c>
      <c r="F33" s="6" t="s">
        <v>145</v>
      </c>
      <c r="G33" s="9">
        <f>IF(A33=1,"_",IF(C33="_","???",C33))</f>
        <v/>
      </c>
      <c r="H33" s="10" t="s">
        <v>15</v>
      </c>
      <c r="I33" s="11" t="s">
        <v>15</v>
      </c>
      <c r="J33" s="12"/>
    </row>
    <row r="34" spans="1:10" ht="60" customHeight="1">
      <c r="A34" s="6" t="s">
        <v>146</v>
      </c>
      <c r="B34" s="6" t="s">
        <v>28</v>
      </c>
      <c r="C34" s="6" t="s">
        <v>147</v>
      </c>
      <c r="D34" s="7" t="s">
        <v>148</v>
      </c>
      <c r="E34" s="8" t="s">
        <v>149</v>
      </c>
      <c r="F34" s="6" t="s">
        <v>150</v>
      </c>
      <c r="G34" s="9">
        <f>IF(A34=1,"_",IF(C34="_","???",C34))</f>
        <v/>
      </c>
      <c r="H34" s="10" t="s">
        <v>15</v>
      </c>
      <c r="I34" s="11" t="s">
        <v>15</v>
      </c>
      <c r="J34" s="12"/>
    </row>
    <row r="35" spans="1:10" ht="60" customHeight="1">
      <c r="A35" s="6" t="s">
        <v>151</v>
      </c>
      <c r="B35" s="6" t="s">
        <v>81</v>
      </c>
      <c r="C35" s="6" t="s">
        <v>152</v>
      </c>
      <c r="D35" s="7" t="s">
        <v>82</v>
      </c>
      <c r="E35" s="8" t="s">
        <v>153</v>
      </c>
      <c r="F35" s="6" t="s">
        <v>154</v>
      </c>
      <c r="G35" s="9">
        <f>IF(A35=1,"_",IF(C35="_","???",C35))</f>
        <v/>
      </c>
      <c r="H35" s="10" t="s">
        <v>15</v>
      </c>
      <c r="I35" s="11" t="s">
        <v>15</v>
      </c>
      <c r="J35" s="12"/>
    </row>
    <row r="36" spans="1:10" ht="60" customHeight="1">
      <c r="A36" s="6" t="s">
        <v>155</v>
      </c>
      <c r="B36" s="6" t="s">
        <v>29</v>
      </c>
      <c r="C36" s="6" t="s">
        <v>106</v>
      </c>
      <c r="D36" s="7" t="s">
        <v>156</v>
      </c>
      <c r="E36" s="8" t="s">
        <v>157</v>
      </c>
      <c r="F36" s="6" t="s">
        <v>158</v>
      </c>
      <c r="G36" s="9">
        <f>IF(A36=1,"_",IF(C36="_","???",C36))</f>
        <v/>
      </c>
      <c r="H36" s="10" t="s">
        <v>15</v>
      </c>
      <c r="I36" s="11" t="s">
        <v>15</v>
      </c>
      <c r="J36" s="12"/>
    </row>
    <row r="37" spans="1:10" ht="60" customHeight="1">
      <c r="A37" s="6" t="s">
        <v>159</v>
      </c>
      <c r="B37" s="6" t="s">
        <v>28</v>
      </c>
      <c r="C37" s="6" t="s">
        <v>116</v>
      </c>
      <c r="D37" s="7" t="s">
        <v>12</v>
      </c>
      <c r="E37" s="8" t="s">
        <v>160</v>
      </c>
      <c r="F37" s="6" t="s">
        <v>161</v>
      </c>
      <c r="G37" s="9">
        <f>IF(A37=1,"_",IF(C37="_","???",C37))</f>
        <v/>
      </c>
      <c r="H37" s="10" t="s">
        <v>15</v>
      </c>
      <c r="I37" s="11" t="s">
        <v>15</v>
      </c>
      <c r="J37" s="12"/>
    </row>
    <row r="38" spans="1:10" ht="60" customHeight="1">
      <c r="A38" s="6" t="s">
        <v>162</v>
      </c>
      <c r="B38" s="6" t="s">
        <v>44</v>
      </c>
      <c r="C38" s="6" t="s">
        <v>163</v>
      </c>
      <c r="D38" s="7" t="s">
        <v>164</v>
      </c>
      <c r="E38" s="8" t="s">
        <v>165</v>
      </c>
      <c r="F38" s="6" t="s">
        <v>166</v>
      </c>
      <c r="G38" s="9">
        <f>IF(A38=1,"_",IF(C38="_","???",C38))</f>
        <v/>
      </c>
      <c r="H38" s="10" t="s">
        <v>15</v>
      </c>
      <c r="I38" s="11" t="s">
        <v>15</v>
      </c>
      <c r="J38" s="12"/>
    </row>
    <row r="39" spans="1:10" ht="60" customHeight="1">
      <c r="A39" s="6" t="s">
        <v>167</v>
      </c>
      <c r="B39" s="6" t="s">
        <v>22</v>
      </c>
      <c r="C39" s="6" t="s">
        <v>15</v>
      </c>
      <c r="D39" s="7" t="s">
        <v>82</v>
      </c>
      <c r="E39" s="8" t="s">
        <v>168</v>
      </c>
      <c r="F39" s="6" t="s">
        <v>169</v>
      </c>
      <c r="G39" s="9">
        <f>IF(A39=1,"_",IF(C39="_","???",C39))</f>
        <v/>
      </c>
      <c r="H39" s="10" t="s">
        <v>15</v>
      </c>
      <c r="I39" s="11" t="s">
        <v>15</v>
      </c>
      <c r="J39" s="12"/>
    </row>
    <row r="40" spans="1:10" ht="60" customHeight="1">
      <c r="A40" s="6" t="s">
        <v>170</v>
      </c>
      <c r="B40" s="6" t="s">
        <v>23</v>
      </c>
      <c r="C40" s="6" t="s">
        <v>15</v>
      </c>
      <c r="D40" s="7" t="s">
        <v>171</v>
      </c>
      <c r="E40" s="8" t="s">
        <v>172</v>
      </c>
      <c r="F40" s="6" t="s">
        <v>173</v>
      </c>
      <c r="G40" s="9">
        <f>IF(A40=1,"_",IF(C40="_","???",C40))</f>
        <v/>
      </c>
      <c r="H40" s="10" t="s">
        <v>15</v>
      </c>
      <c r="I40" s="11" t="s">
        <v>15</v>
      </c>
      <c r="J40" s="12"/>
    </row>
    <row r="41" spans="1:10" ht="60" customHeight="1">
      <c r="A41" s="6" t="s">
        <v>174</v>
      </c>
      <c r="B41" s="6" t="s">
        <v>28</v>
      </c>
      <c r="C41" s="6" t="s">
        <v>175</v>
      </c>
      <c r="D41" s="7" t="s">
        <v>176</v>
      </c>
      <c r="E41" s="8" t="s">
        <v>177</v>
      </c>
      <c r="F41" s="6" t="s">
        <v>178</v>
      </c>
      <c r="G41" s="9">
        <f>IF(A41=1,"_",IF(C41="_","???",C41))</f>
        <v/>
      </c>
      <c r="H41" s="10" t="s">
        <v>15</v>
      </c>
      <c r="I41" s="11" t="s">
        <v>15</v>
      </c>
      <c r="J41" s="12"/>
    </row>
    <row r="42" spans="1:10" ht="60" customHeight="1">
      <c r="A42" s="6" t="s">
        <v>179</v>
      </c>
      <c r="B42" s="6" t="s">
        <v>23</v>
      </c>
      <c r="C42" s="6" t="s">
        <v>15</v>
      </c>
      <c r="D42" s="7" t="s">
        <v>180</v>
      </c>
      <c r="E42" s="8" t="s">
        <v>181</v>
      </c>
      <c r="F42" s="6" t="s">
        <v>182</v>
      </c>
      <c r="G42" s="9">
        <f>IF(A42=1,"_",IF(C42="_","???",C42))</f>
        <v/>
      </c>
      <c r="H42" s="10" t="s">
        <v>15</v>
      </c>
      <c r="I42" s="11" t="s">
        <v>15</v>
      </c>
      <c r="J42" s="12"/>
    </row>
    <row r="43" spans="1:10" ht="60" customHeight="1">
      <c r="A43" s="6" t="s">
        <v>183</v>
      </c>
      <c r="B43" s="6" t="s">
        <v>10</v>
      </c>
      <c r="C43" s="6" t="s">
        <v>15</v>
      </c>
      <c r="D43" s="7" t="s">
        <v>184</v>
      </c>
      <c r="E43" s="8" t="s">
        <v>185</v>
      </c>
      <c r="F43" s="6" t="s">
        <v>186</v>
      </c>
      <c r="G43" s="9">
        <f>IF(A43=1,"_",IF(C43="_","???",C43))</f>
        <v/>
      </c>
      <c r="H43" s="10" t="s">
        <v>15</v>
      </c>
      <c r="I43" s="11" t="s">
        <v>15</v>
      </c>
      <c r="J43" s="12"/>
    </row>
    <row r="44" spans="1:10" ht="60" customHeight="1">
      <c r="A44" s="6" t="s">
        <v>187</v>
      </c>
      <c r="B44" s="6" t="s">
        <v>16</v>
      </c>
      <c r="C44" s="6" t="s">
        <v>15</v>
      </c>
      <c r="D44" s="7" t="s">
        <v>37</v>
      </c>
      <c r="E44" s="8" t="s">
        <v>188</v>
      </c>
      <c r="F44" s="6" t="s">
        <v>189</v>
      </c>
      <c r="G44" s="9">
        <f>IF(A44=1,"_",IF(C44="_","???",C44))</f>
        <v/>
      </c>
      <c r="H44" s="10" t="s">
        <v>15</v>
      </c>
      <c r="I44" s="11" t="s">
        <v>15</v>
      </c>
      <c r="J44" s="12"/>
    </row>
    <row r="45" spans="1:10" ht="60" customHeight="1">
      <c r="A45" s="6" t="s">
        <v>190</v>
      </c>
      <c r="B45" s="6" t="s">
        <v>16</v>
      </c>
      <c r="C45" s="6" t="s">
        <v>191</v>
      </c>
      <c r="D45" s="7" t="s">
        <v>192</v>
      </c>
      <c r="E45" s="8" t="s">
        <v>193</v>
      </c>
      <c r="F45" s="6" t="s">
        <v>194</v>
      </c>
      <c r="G45" s="9">
        <f>IF(A45=1,"_",IF(C45="_","???",C45))</f>
        <v/>
      </c>
      <c r="H45" s="10" t="s">
        <v>15</v>
      </c>
      <c r="I45" s="11" t="s">
        <v>15</v>
      </c>
      <c r="J45" s="12"/>
    </row>
    <row r="46" spans="1:10" ht="60" customHeight="1">
      <c r="A46" s="6" t="s">
        <v>195</v>
      </c>
      <c r="B46" s="6" t="s">
        <v>22</v>
      </c>
      <c r="C46" s="6" t="s">
        <v>15</v>
      </c>
      <c r="D46" s="7" t="s">
        <v>196</v>
      </c>
      <c r="E46" s="8" t="s">
        <v>197</v>
      </c>
      <c r="F46" s="6" t="s">
        <v>198</v>
      </c>
      <c r="G46" s="9">
        <f>IF(A46=1,"_",IF(C46="_","???",C46))</f>
        <v/>
      </c>
      <c r="H46" s="10" t="s">
        <v>15</v>
      </c>
      <c r="I46" s="11" t="s">
        <v>15</v>
      </c>
      <c r="J46" s="12"/>
    </row>
    <row r="47" spans="1:10" ht="60" customHeight="1">
      <c r="A47" s="6" t="s">
        <v>199</v>
      </c>
      <c r="B47" s="6" t="s">
        <v>10</v>
      </c>
      <c r="C47" s="6" t="s">
        <v>15</v>
      </c>
      <c r="D47" s="7" t="s">
        <v>200</v>
      </c>
      <c r="E47" s="8" t="s">
        <v>201</v>
      </c>
      <c r="F47" s="6" t="s">
        <v>202</v>
      </c>
      <c r="G47" s="9">
        <f>IF(A47=1,"_",IF(C47="_","???",C47))</f>
        <v/>
      </c>
      <c r="H47" s="10" t="s">
        <v>15</v>
      </c>
      <c r="I47" s="11" t="s">
        <v>15</v>
      </c>
      <c r="J47" s="12"/>
    </row>
    <row r="48" spans="1:10" ht="60" customHeight="1">
      <c r="A48" s="6" t="s">
        <v>203</v>
      </c>
      <c r="B48" s="6" t="s">
        <v>16</v>
      </c>
      <c r="C48" s="6" t="s">
        <v>15</v>
      </c>
      <c r="D48" s="7" t="s">
        <v>204</v>
      </c>
      <c r="E48" s="8" t="s">
        <v>205</v>
      </c>
      <c r="F48" s="6" t="s">
        <v>206</v>
      </c>
      <c r="G48" s="9">
        <f>IF(A48=1,"_",IF(C48="_","???",C48))</f>
        <v/>
      </c>
      <c r="H48" s="10" t="s">
        <v>15</v>
      </c>
      <c r="I48" s="11" t="s">
        <v>15</v>
      </c>
      <c r="J48" s="12"/>
    </row>
    <row r="49" spans="1:10" ht="60" customHeight="1">
      <c r="A49" s="6" t="s">
        <v>207</v>
      </c>
      <c r="B49" s="6" t="s">
        <v>10</v>
      </c>
      <c r="C49" s="6" t="s">
        <v>15</v>
      </c>
      <c r="D49" s="7" t="s">
        <v>208</v>
      </c>
      <c r="E49" s="8" t="s">
        <v>209</v>
      </c>
      <c r="F49" s="6" t="s">
        <v>210</v>
      </c>
      <c r="G49" s="9">
        <f>IF(A49=1,"_",IF(C49="_","???",C49))</f>
        <v/>
      </c>
      <c r="H49" s="10" t="s">
        <v>15</v>
      </c>
      <c r="I49" s="11" t="s">
        <v>15</v>
      </c>
      <c r="J49" s="12"/>
    </row>
    <row r="50" spans="1:10" ht="60" customHeight="1">
      <c r="A50" s="6" t="s">
        <v>211</v>
      </c>
      <c r="B50" s="6" t="s">
        <v>10</v>
      </c>
      <c r="C50" s="6" t="s">
        <v>15</v>
      </c>
      <c r="D50" s="7" t="s">
        <v>212</v>
      </c>
      <c r="E50" s="8" t="s">
        <v>213</v>
      </c>
      <c r="F50" s="6" t="s">
        <v>214</v>
      </c>
      <c r="G50" s="9">
        <f>IF(A50=1,"_",IF(C50="_","???",C50))</f>
        <v/>
      </c>
      <c r="H50" s="10" t="s">
        <v>15</v>
      </c>
      <c r="I50" s="11" t="s">
        <v>15</v>
      </c>
      <c r="J50" s="12"/>
    </row>
    <row r="51" spans="1:10" ht="60" customHeight="1">
      <c r="A51" s="6" t="s">
        <v>215</v>
      </c>
      <c r="B51" s="6" t="s">
        <v>10</v>
      </c>
      <c r="C51" s="6" t="s">
        <v>15</v>
      </c>
      <c r="D51" s="7" t="s">
        <v>216</v>
      </c>
      <c r="E51" s="8" t="s">
        <v>217</v>
      </c>
      <c r="F51" s="6" t="s">
        <v>218</v>
      </c>
      <c r="G51" s="9">
        <f>IF(A51=1,"_",IF(C51="_","???",C51))</f>
        <v/>
      </c>
      <c r="H51" s="10" t="s">
        <v>15</v>
      </c>
      <c r="I51" s="11" t="s">
        <v>15</v>
      </c>
      <c r="J51" s="12"/>
    </row>
    <row r="52" spans="1:10" ht="60" customHeight="1">
      <c r="A52" s="6" t="s">
        <v>219</v>
      </c>
      <c r="B52" s="6" t="s">
        <v>16</v>
      </c>
      <c r="C52" s="6" t="s">
        <v>220</v>
      </c>
      <c r="D52" s="7" t="s">
        <v>221</v>
      </c>
      <c r="E52" s="8" t="s">
        <v>222</v>
      </c>
      <c r="F52" s="6" t="s">
        <v>223</v>
      </c>
      <c r="G52" s="9">
        <f>IF(A52=1,"_",IF(C52="_","???",C52))</f>
        <v/>
      </c>
      <c r="H52" s="10" t="s">
        <v>15</v>
      </c>
      <c r="I52" s="11" t="s">
        <v>15</v>
      </c>
      <c r="J52" s="12"/>
    </row>
    <row r="53" spans="1:10" ht="60" customHeight="1">
      <c r="A53" s="6" t="s">
        <v>224</v>
      </c>
      <c r="B53" s="6" t="s">
        <v>10</v>
      </c>
      <c r="C53" s="6" t="s">
        <v>15</v>
      </c>
      <c r="D53" s="7" t="s">
        <v>225</v>
      </c>
      <c r="E53" s="8" t="s">
        <v>226</v>
      </c>
      <c r="F53" s="6" t="s">
        <v>227</v>
      </c>
      <c r="G53" s="9">
        <f>IF(A53=1,"_",IF(C53="_","???",C53))</f>
        <v/>
      </c>
      <c r="H53" s="10" t="s">
        <v>15</v>
      </c>
      <c r="I53" s="11" t="s">
        <v>15</v>
      </c>
      <c r="J53" s="12"/>
    </row>
    <row r="54" spans="1:10" ht="60" customHeight="1">
      <c r="A54" s="6" t="s">
        <v>228</v>
      </c>
      <c r="B54" s="6" t="s">
        <v>22</v>
      </c>
      <c r="C54" s="6" t="s">
        <v>15</v>
      </c>
      <c r="D54" s="7" t="s">
        <v>125</v>
      </c>
      <c r="E54" s="8" t="s">
        <v>229</v>
      </c>
      <c r="F54" s="6" t="s">
        <v>230</v>
      </c>
      <c r="G54" s="9">
        <f>IF(A54=1,"_",IF(C54="_","???",C54))</f>
        <v/>
      </c>
      <c r="H54" s="10" t="s">
        <v>15</v>
      </c>
      <c r="I54" s="11" t="s">
        <v>15</v>
      </c>
      <c r="J54" s="12"/>
    </row>
    <row r="55" spans="1:10" ht="60" customHeight="1">
      <c r="A55" s="6" t="s">
        <v>231</v>
      </c>
      <c r="B55" s="6" t="s">
        <v>85</v>
      </c>
      <c r="C55" s="6" t="s">
        <v>106</v>
      </c>
      <c r="D55" s="7" t="s">
        <v>82</v>
      </c>
      <c r="E55" s="8" t="s">
        <v>232</v>
      </c>
      <c r="F55" s="6" t="s">
        <v>233</v>
      </c>
      <c r="G55" s="9">
        <f>IF(A55=1,"_",IF(C55="_","???",C55))</f>
        <v/>
      </c>
      <c r="H55" s="10" t="s">
        <v>15</v>
      </c>
      <c r="I55" s="11" t="s">
        <v>15</v>
      </c>
      <c r="J55" s="12"/>
    </row>
    <row r="56" spans="1:10" ht="60" customHeight="1">
      <c r="A56" s="6" t="s">
        <v>234</v>
      </c>
      <c r="B56" s="6" t="s">
        <v>28</v>
      </c>
      <c r="C56" s="6" t="s">
        <v>11</v>
      </c>
      <c r="D56" s="7" t="s">
        <v>235</v>
      </c>
      <c r="E56" s="8" t="s">
        <v>236</v>
      </c>
      <c r="F56" s="6" t="s">
        <v>237</v>
      </c>
      <c r="G56" s="9">
        <f>IF(A56=1,"_",IF(C56="_","???",C56))</f>
        <v/>
      </c>
      <c r="H56" s="10" t="s">
        <v>15</v>
      </c>
      <c r="I56" s="11" t="s">
        <v>15</v>
      </c>
      <c r="J56" s="12"/>
    </row>
    <row r="57" spans="1:10" ht="60" customHeight="1">
      <c r="A57" s="6" t="s">
        <v>238</v>
      </c>
      <c r="B57" s="6" t="s">
        <v>16</v>
      </c>
      <c r="C57" s="6" t="s">
        <v>15</v>
      </c>
      <c r="D57" s="7" t="s">
        <v>82</v>
      </c>
      <c r="E57" s="8" t="s">
        <v>239</v>
      </c>
      <c r="F57" s="6" t="s">
        <v>240</v>
      </c>
      <c r="G57" s="9">
        <f>IF(A57=1,"_",IF(C57="_","???",C57))</f>
        <v/>
      </c>
      <c r="H57" s="10" t="s">
        <v>15</v>
      </c>
      <c r="I57" s="11" t="s">
        <v>15</v>
      </c>
      <c r="J57" s="12"/>
    </row>
    <row r="58" spans="1:10" ht="60" customHeight="1">
      <c r="A58" s="6" t="s">
        <v>241</v>
      </c>
      <c r="B58" s="6" t="s">
        <v>22</v>
      </c>
      <c r="C58" s="6" t="s">
        <v>15</v>
      </c>
      <c r="D58" s="7" t="s">
        <v>242</v>
      </c>
      <c r="E58" s="8" t="s">
        <v>243</v>
      </c>
      <c r="F58" s="6" t="s">
        <v>244</v>
      </c>
      <c r="G58" s="9">
        <f>IF(A58=1,"_",IF(C58="_","???",C58))</f>
        <v/>
      </c>
      <c r="H58" s="10" t="s">
        <v>15</v>
      </c>
      <c r="I58" s="11" t="s">
        <v>15</v>
      </c>
      <c r="J58" s="12"/>
    </row>
    <row r="59" spans="1:10" ht="60" customHeight="1">
      <c r="A59" s="6" t="s">
        <v>245</v>
      </c>
      <c r="B59" s="6" t="s">
        <v>16</v>
      </c>
      <c r="C59" s="6" t="s">
        <v>24</v>
      </c>
      <c r="D59" s="7" t="s">
        <v>246</v>
      </c>
      <c r="E59" s="8" t="s">
        <v>247</v>
      </c>
      <c r="F59" s="6" t="s">
        <v>248</v>
      </c>
      <c r="G59" s="9">
        <f>IF(A59=1,"_",IF(C59="_","???",C59))</f>
        <v/>
      </c>
      <c r="H59" s="10" t="s">
        <v>15</v>
      </c>
      <c r="I59" s="11" t="s">
        <v>15</v>
      </c>
      <c r="J59" s="12"/>
    </row>
    <row r="60" spans="1:10" ht="60" customHeight="1">
      <c r="A60" s="6" t="s">
        <v>249</v>
      </c>
      <c r="B60" s="6" t="s">
        <v>120</v>
      </c>
      <c r="C60" s="6" t="s">
        <v>152</v>
      </c>
      <c r="D60" s="7" t="s">
        <v>250</v>
      </c>
      <c r="E60" s="8" t="s">
        <v>251</v>
      </c>
      <c r="F60" s="6" t="s">
        <v>252</v>
      </c>
      <c r="G60" s="9">
        <f>IF(A60=1,"_",IF(C60="_","???",C60))</f>
        <v/>
      </c>
      <c r="H60" s="10" t="s">
        <v>15</v>
      </c>
      <c r="I60" s="11" t="s">
        <v>15</v>
      </c>
      <c r="J60" s="12"/>
    </row>
    <row r="61" spans="1:10" ht="60" customHeight="1">
      <c r="A61" s="6" t="s">
        <v>253</v>
      </c>
      <c r="B61" s="6" t="s">
        <v>28</v>
      </c>
      <c r="C61" s="6" t="s">
        <v>15</v>
      </c>
      <c r="D61" s="7" t="s">
        <v>254</v>
      </c>
      <c r="E61" s="8" t="s">
        <v>255</v>
      </c>
      <c r="F61" s="6" t="s">
        <v>256</v>
      </c>
      <c r="G61" s="9">
        <f>IF(A61=1,"_",IF(C61="_","???",C61))</f>
        <v/>
      </c>
      <c r="H61" s="10" t="s">
        <v>15</v>
      </c>
      <c r="I61" s="11" t="s">
        <v>15</v>
      </c>
      <c r="J61" s="12"/>
    </row>
    <row r="62" spans="1:10" ht="60" customHeight="1">
      <c r="A62" s="6" t="s">
        <v>257</v>
      </c>
      <c r="B62" s="6" t="s">
        <v>22</v>
      </c>
      <c r="C62" s="6" t="s">
        <v>258</v>
      </c>
      <c r="D62" s="7" t="s">
        <v>259</v>
      </c>
      <c r="E62" s="8" t="s">
        <v>260</v>
      </c>
      <c r="F62" s="6" t="s">
        <v>261</v>
      </c>
      <c r="G62" s="9">
        <f>IF(A62=1,"_",IF(C62="_","???",C62))</f>
        <v/>
      </c>
      <c r="H62" s="10" t="s">
        <v>15</v>
      </c>
      <c r="I62" s="11" t="s">
        <v>15</v>
      </c>
      <c r="J62" s="12"/>
    </row>
    <row r="63" spans="1:10" ht="60" customHeight="1">
      <c r="A63" s="6" t="s">
        <v>262</v>
      </c>
      <c r="B63" s="6" t="s">
        <v>10</v>
      </c>
      <c r="C63" s="6" t="s">
        <v>15</v>
      </c>
      <c r="D63" s="7" t="s">
        <v>263</v>
      </c>
      <c r="E63" s="8" t="s">
        <v>264</v>
      </c>
      <c r="F63" s="6" t="s">
        <v>265</v>
      </c>
      <c r="G63" s="9">
        <f>IF(A63=1,"_",IF(C63="_","???",C63))</f>
        <v/>
      </c>
      <c r="H63" s="10" t="s">
        <v>15</v>
      </c>
      <c r="I63" s="11" t="s">
        <v>15</v>
      </c>
      <c r="J63" s="12"/>
    </row>
    <row r="64" spans="1:10" ht="60" customHeight="1">
      <c r="A64" s="6" t="s">
        <v>266</v>
      </c>
      <c r="B64" s="6" t="s">
        <v>85</v>
      </c>
      <c r="C64" s="6" t="s">
        <v>18</v>
      </c>
      <c r="D64" s="7" t="s">
        <v>267</v>
      </c>
      <c r="E64" s="8" t="s">
        <v>268</v>
      </c>
      <c r="F64" s="6" t="s">
        <v>269</v>
      </c>
      <c r="G64" s="9">
        <f>IF(A64=1,"_",IF(C64="_","???",C64))</f>
        <v/>
      </c>
      <c r="H64" s="10" t="s">
        <v>15</v>
      </c>
      <c r="I64" s="11" t="s">
        <v>15</v>
      </c>
      <c r="J64" s="12"/>
    </row>
    <row r="65" spans="1:10" ht="60" customHeight="1">
      <c r="A65" s="6" t="s">
        <v>270</v>
      </c>
      <c r="B65" s="6" t="s">
        <v>16</v>
      </c>
      <c r="C65" s="6" t="s">
        <v>15</v>
      </c>
      <c r="D65" s="7" t="s">
        <v>82</v>
      </c>
      <c r="E65" s="8" t="s">
        <v>271</v>
      </c>
      <c r="F65" s="6" t="s">
        <v>272</v>
      </c>
      <c r="G65" s="9">
        <f>IF(A65=1,"_",IF(C65="_","???",C65))</f>
        <v/>
      </c>
      <c r="H65" s="10" t="s">
        <v>15</v>
      </c>
      <c r="I65" s="11" t="s">
        <v>15</v>
      </c>
      <c r="J65" s="12"/>
    </row>
    <row r="66" spans="1:10" ht="60" customHeight="1">
      <c r="A66" s="6" t="s">
        <v>273</v>
      </c>
      <c r="B66" s="6" t="s">
        <v>16</v>
      </c>
      <c r="C66" s="6" t="s">
        <v>15</v>
      </c>
      <c r="D66" s="7" t="s">
        <v>274</v>
      </c>
      <c r="E66" s="8" t="s">
        <v>275</v>
      </c>
      <c r="F66" s="6" t="s">
        <v>276</v>
      </c>
      <c r="G66" s="9">
        <f>IF(A66=1,"_",IF(C66="_","???",C66))</f>
        <v/>
      </c>
      <c r="H66" s="10" t="s">
        <v>15</v>
      </c>
      <c r="I66" s="11" t="s">
        <v>15</v>
      </c>
      <c r="J66" s="12"/>
    </row>
    <row r="67" spans="1:10" ht="60" customHeight="1">
      <c r="A67" s="6" t="s">
        <v>277</v>
      </c>
      <c r="B67" s="6" t="s">
        <v>16</v>
      </c>
      <c r="C67" s="6" t="s">
        <v>15</v>
      </c>
      <c r="D67" s="7" t="s">
        <v>278</v>
      </c>
      <c r="E67" s="8" t="s">
        <v>279</v>
      </c>
      <c r="F67" s="6" t="s">
        <v>280</v>
      </c>
      <c r="G67" s="9">
        <f>IF(A67=1,"_",IF(C67="_","???",C67))</f>
        <v/>
      </c>
      <c r="H67" s="10" t="s">
        <v>15</v>
      </c>
      <c r="I67" s="11" t="s">
        <v>15</v>
      </c>
      <c r="J67" s="12"/>
    </row>
    <row r="68" spans="1:10" ht="60" customHeight="1">
      <c r="A68" s="6" t="s">
        <v>281</v>
      </c>
      <c r="B68" s="6" t="s">
        <v>22</v>
      </c>
      <c r="C68" s="6" t="s">
        <v>93</v>
      </c>
      <c r="D68" s="7" t="s">
        <v>176</v>
      </c>
      <c r="E68" s="8" t="s">
        <v>282</v>
      </c>
      <c r="F68" s="6" t="s">
        <v>283</v>
      </c>
      <c r="G68" s="9">
        <f>IF(A68=1,"_",IF(C68="_","???",C68))</f>
        <v/>
      </c>
      <c r="H68" s="10" t="s">
        <v>15</v>
      </c>
      <c r="I68" s="11" t="s">
        <v>15</v>
      </c>
      <c r="J68" s="12"/>
    </row>
    <row r="69" spans="1:10" ht="60" customHeight="1">
      <c r="A69" s="6" t="s">
        <v>284</v>
      </c>
      <c r="B69" s="6" t="s">
        <v>48</v>
      </c>
      <c r="C69" s="6" t="s">
        <v>116</v>
      </c>
      <c r="D69" s="7" t="s">
        <v>41</v>
      </c>
      <c r="E69" s="8" t="s">
        <v>285</v>
      </c>
      <c r="F69" s="6" t="s">
        <v>286</v>
      </c>
      <c r="G69" s="9">
        <f>IF(A69=1,"_",IF(C69="_","???",C69))</f>
        <v/>
      </c>
      <c r="H69" s="10" t="s">
        <v>15</v>
      </c>
      <c r="I69" s="11" t="s">
        <v>15</v>
      </c>
      <c r="J69" s="12"/>
    </row>
    <row r="70" spans="1:10" ht="60" customHeight="1">
      <c r="A70" s="6" t="s">
        <v>287</v>
      </c>
      <c r="B70" s="6" t="s">
        <v>10</v>
      </c>
      <c r="C70" s="6" t="s">
        <v>11</v>
      </c>
      <c r="D70" s="7" t="s">
        <v>288</v>
      </c>
      <c r="E70" s="8" t="s">
        <v>289</v>
      </c>
      <c r="F70" s="6" t="s">
        <v>290</v>
      </c>
      <c r="G70" s="9">
        <f>IF(A70=1,"_",IF(C70="_","???",C70))</f>
        <v/>
      </c>
      <c r="H70" s="10" t="s">
        <v>15</v>
      </c>
      <c r="I70" s="11" t="s">
        <v>15</v>
      </c>
      <c r="J70" s="12"/>
    </row>
    <row r="71" spans="1:10" ht="60" customHeight="1">
      <c r="A71" s="6" t="s">
        <v>291</v>
      </c>
      <c r="B71" s="6" t="s">
        <v>69</v>
      </c>
      <c r="C71" s="6" t="s">
        <v>15</v>
      </c>
      <c r="D71" s="7" t="s">
        <v>292</v>
      </c>
      <c r="E71" s="8" t="s">
        <v>293</v>
      </c>
      <c r="F71" s="6" t="s">
        <v>294</v>
      </c>
      <c r="G71" s="9">
        <f>IF(A71=1,"_",IF(C71="_","???",C71))</f>
        <v/>
      </c>
      <c r="H71" s="10" t="s">
        <v>15</v>
      </c>
      <c r="I71" s="11" t="s">
        <v>15</v>
      </c>
      <c r="J71" s="12"/>
    </row>
    <row r="72" spans="1:10" ht="60" customHeight="1">
      <c r="A72" s="6" t="s">
        <v>295</v>
      </c>
      <c r="B72" s="6" t="s">
        <v>16</v>
      </c>
      <c r="C72" s="6" t="s">
        <v>15</v>
      </c>
      <c r="D72" s="7" t="s">
        <v>296</v>
      </c>
      <c r="E72" s="8" t="s">
        <v>297</v>
      </c>
      <c r="F72" s="6" t="s">
        <v>298</v>
      </c>
      <c r="G72" s="9">
        <f>IF(A72=1,"_",IF(C72="_","???",C72))</f>
        <v/>
      </c>
      <c r="H72" s="10" t="s">
        <v>15</v>
      </c>
      <c r="I72" s="11" t="s">
        <v>15</v>
      </c>
      <c r="J72" s="12"/>
    </row>
    <row r="73" spans="1:10" ht="60" customHeight="1">
      <c r="A73" s="6" t="s">
        <v>299</v>
      </c>
      <c r="B73" s="6" t="s">
        <v>16</v>
      </c>
      <c r="C73" s="6" t="s">
        <v>24</v>
      </c>
      <c r="D73" s="7" t="s">
        <v>60</v>
      </c>
      <c r="E73" s="8" t="s">
        <v>300</v>
      </c>
      <c r="F73" s="6" t="s">
        <v>301</v>
      </c>
      <c r="G73" s="9">
        <f>IF(A73=1,"_",IF(C73="_","???",C73))</f>
        <v/>
      </c>
      <c r="H73" s="10" t="s">
        <v>15</v>
      </c>
      <c r="I73" s="11" t="s">
        <v>15</v>
      </c>
      <c r="J73" s="12"/>
    </row>
    <row r="74" spans="1:10" ht="60" customHeight="1">
      <c r="A74" s="6" t="s">
        <v>302</v>
      </c>
      <c r="B74" s="6" t="s">
        <v>10</v>
      </c>
      <c r="C74" s="6" t="s">
        <v>11</v>
      </c>
      <c r="D74" s="7" t="s">
        <v>164</v>
      </c>
      <c r="E74" s="8" t="s">
        <v>303</v>
      </c>
      <c r="F74" s="6" t="s">
        <v>304</v>
      </c>
      <c r="G74" s="9">
        <f>IF(A74=1,"_",IF(C74="_","???",C74))</f>
        <v/>
      </c>
      <c r="H74" s="10" t="s">
        <v>15</v>
      </c>
      <c r="I74" s="11" t="s">
        <v>15</v>
      </c>
      <c r="J74" s="12"/>
    </row>
    <row r="75" spans="1:10" ht="60" customHeight="1">
      <c r="A75" s="6" t="s">
        <v>305</v>
      </c>
      <c r="B75" s="6" t="s">
        <v>139</v>
      </c>
      <c r="C75" s="6" t="s">
        <v>50</v>
      </c>
      <c r="D75" s="7" t="s">
        <v>306</v>
      </c>
      <c r="E75" s="8" t="s">
        <v>307</v>
      </c>
      <c r="F75" s="6" t="s">
        <v>308</v>
      </c>
      <c r="G75" s="9">
        <f>IF(A75=1,"_",IF(C75="_","???",C75))</f>
        <v/>
      </c>
      <c r="H75" s="10" t="s">
        <v>15</v>
      </c>
      <c r="I75" s="11" t="s">
        <v>15</v>
      </c>
      <c r="J75" s="12"/>
    </row>
    <row r="76" spans="1:10" ht="60" customHeight="1">
      <c r="A76" s="6" t="s">
        <v>309</v>
      </c>
      <c r="B76" s="6" t="s">
        <v>10</v>
      </c>
      <c r="C76" s="6" t="s">
        <v>310</v>
      </c>
      <c r="D76" s="7" t="s">
        <v>311</v>
      </c>
      <c r="E76" s="8" t="s">
        <v>312</v>
      </c>
      <c r="F76" s="6" t="s">
        <v>313</v>
      </c>
      <c r="G76" s="9">
        <f>IF(A76=1,"_",IF(C76="_","???",C76))</f>
        <v/>
      </c>
      <c r="H76" s="10" t="s">
        <v>15</v>
      </c>
      <c r="I76" s="11" t="s">
        <v>15</v>
      </c>
      <c r="J76" s="12"/>
    </row>
    <row r="77" spans="1:10" ht="60" customHeight="1">
      <c r="A77" s="6" t="s">
        <v>314</v>
      </c>
      <c r="B77" s="6" t="s">
        <v>16</v>
      </c>
      <c r="C77" s="6" t="s">
        <v>15</v>
      </c>
      <c r="D77" s="7" t="s">
        <v>315</v>
      </c>
      <c r="E77" s="8" t="s">
        <v>316</v>
      </c>
      <c r="F77" s="6" t="s">
        <v>317</v>
      </c>
      <c r="G77" s="9">
        <f>IF(A77=1,"_",IF(C77="_","???",C77))</f>
        <v/>
      </c>
      <c r="H77" s="10" t="s">
        <v>15</v>
      </c>
      <c r="I77" s="11" t="s">
        <v>15</v>
      </c>
      <c r="J77" s="12"/>
    </row>
    <row r="78" spans="1:10" ht="60" customHeight="1">
      <c r="A78" s="6" t="s">
        <v>318</v>
      </c>
      <c r="B78" s="6" t="s">
        <v>16</v>
      </c>
      <c r="C78" s="6" t="s">
        <v>15</v>
      </c>
      <c r="D78" s="7" t="s">
        <v>319</v>
      </c>
      <c r="E78" s="8" t="s">
        <v>320</v>
      </c>
      <c r="F78" s="6" t="s">
        <v>321</v>
      </c>
      <c r="G78" s="9">
        <f>IF(A78=1,"_",IF(C78="_","???",C78))</f>
        <v/>
      </c>
      <c r="H78" s="10" t="s">
        <v>15</v>
      </c>
      <c r="I78" s="11" t="s">
        <v>15</v>
      </c>
      <c r="J78" s="12"/>
    </row>
    <row r="79" spans="1:10" ht="60" customHeight="1">
      <c r="A79" s="6" t="s">
        <v>322</v>
      </c>
      <c r="B79" s="6" t="s">
        <v>10</v>
      </c>
      <c r="C79" s="6" t="s">
        <v>15</v>
      </c>
      <c r="D79" s="7" t="s">
        <v>323</v>
      </c>
      <c r="E79" s="8" t="s">
        <v>323</v>
      </c>
      <c r="F79" s="6" t="s">
        <v>324</v>
      </c>
      <c r="G79" s="9">
        <f>IF(A79=1,"_",IF(C79="_","???",C79))</f>
        <v/>
      </c>
      <c r="H79" s="10" t="s">
        <v>15</v>
      </c>
      <c r="I79" s="11" t="s">
        <v>15</v>
      </c>
      <c r="J79" s="12"/>
    </row>
    <row r="80" spans="1:10" ht="60" customHeight="1">
      <c r="A80" s="6" t="s">
        <v>325</v>
      </c>
      <c r="B80" s="6" t="s">
        <v>16</v>
      </c>
      <c r="C80" s="6" t="s">
        <v>152</v>
      </c>
      <c r="D80" s="7" t="s">
        <v>326</v>
      </c>
      <c r="E80" s="8" t="s">
        <v>327</v>
      </c>
      <c r="F80" s="6" t="s">
        <v>328</v>
      </c>
      <c r="G80" s="9">
        <f>IF(A80=1,"_",IF(C80="_","???",C80))</f>
        <v/>
      </c>
      <c r="H80" s="10" t="s">
        <v>15</v>
      </c>
      <c r="I80" s="11" t="s">
        <v>15</v>
      </c>
      <c r="J80" s="12"/>
    </row>
    <row r="81" spans="1:10" ht="60" customHeight="1">
      <c r="A81" s="6" t="s">
        <v>329</v>
      </c>
      <c r="B81" s="6" t="s">
        <v>36</v>
      </c>
      <c r="C81" s="6" t="s">
        <v>18</v>
      </c>
      <c r="D81" s="7" t="s">
        <v>330</v>
      </c>
      <c r="E81" s="8" t="s">
        <v>331</v>
      </c>
      <c r="F81" s="6" t="s">
        <v>332</v>
      </c>
      <c r="G81" s="9">
        <f>IF(A81=1,"_",IF(C81="_","???",C81))</f>
        <v/>
      </c>
      <c r="H81" s="10" t="s">
        <v>15</v>
      </c>
      <c r="I81" s="11" t="s">
        <v>15</v>
      </c>
      <c r="J81" s="12"/>
    </row>
    <row r="82" spans="1:10" ht="60" customHeight="1">
      <c r="A82" s="6" t="s">
        <v>333</v>
      </c>
      <c r="B82" s="6" t="s">
        <v>10</v>
      </c>
      <c r="C82" s="6" t="s">
        <v>15</v>
      </c>
      <c r="D82" s="7" t="s">
        <v>330</v>
      </c>
      <c r="E82" s="8" t="s">
        <v>334</v>
      </c>
      <c r="F82" s="6" t="s">
        <v>335</v>
      </c>
      <c r="G82" s="9">
        <f>IF(A82=1,"_",IF(C82="_","???",C82))</f>
        <v/>
      </c>
      <c r="H82" s="10" t="s">
        <v>15</v>
      </c>
      <c r="I82" s="11" t="s">
        <v>15</v>
      </c>
      <c r="J82" s="12"/>
    </row>
    <row r="83" spans="1:10" ht="60" customHeight="1">
      <c r="A83" s="6" t="s">
        <v>336</v>
      </c>
      <c r="B83" s="6" t="s">
        <v>10</v>
      </c>
      <c r="C83" s="6" t="s">
        <v>59</v>
      </c>
      <c r="D83" s="7" t="s">
        <v>337</v>
      </c>
      <c r="E83" s="8" t="s">
        <v>338</v>
      </c>
      <c r="F83" s="6" t="s">
        <v>339</v>
      </c>
      <c r="G83" s="9">
        <f>IF(A83=1,"_",IF(C83="_","???",C83))</f>
        <v/>
      </c>
      <c r="H83" s="10" t="s">
        <v>15</v>
      </c>
      <c r="I83" s="11" t="s">
        <v>15</v>
      </c>
      <c r="J83" s="12"/>
    </row>
    <row r="84" spans="1:10" ht="60" customHeight="1">
      <c r="A84" s="6" t="s">
        <v>340</v>
      </c>
      <c r="B84" s="6" t="s">
        <v>22</v>
      </c>
      <c r="C84" s="6" t="s">
        <v>55</v>
      </c>
      <c r="D84" s="7" t="s">
        <v>341</v>
      </c>
      <c r="E84" s="8" t="s">
        <v>342</v>
      </c>
      <c r="F84" s="6" t="s">
        <v>343</v>
      </c>
      <c r="G84" s="9">
        <f>IF(A84=1,"_",IF(C84="_","???",C84))</f>
        <v/>
      </c>
      <c r="H84" s="10" t="s">
        <v>15</v>
      </c>
      <c r="I84" s="11" t="s">
        <v>15</v>
      </c>
      <c r="J84" s="12"/>
    </row>
    <row r="85" spans="1:10" ht="60" customHeight="1">
      <c r="A85" s="6" t="s">
        <v>344</v>
      </c>
      <c r="B85" s="6" t="s">
        <v>28</v>
      </c>
      <c r="C85" s="6" t="s">
        <v>15</v>
      </c>
      <c r="D85" s="7" t="s">
        <v>345</v>
      </c>
      <c r="E85" s="8" t="s">
        <v>346</v>
      </c>
      <c r="F85" s="6" t="s">
        <v>347</v>
      </c>
      <c r="G85" s="9">
        <f>IF(A85=1,"_",IF(C85="_","???",C85))</f>
        <v/>
      </c>
      <c r="H85" s="10" t="s">
        <v>15</v>
      </c>
      <c r="I85" s="11" t="s">
        <v>15</v>
      </c>
      <c r="J85" s="12"/>
    </row>
    <row r="86" spans="1:10" ht="60" customHeight="1">
      <c r="A86" s="6" t="s">
        <v>348</v>
      </c>
      <c r="B86" s="6" t="s">
        <v>22</v>
      </c>
      <c r="C86" s="6" t="s">
        <v>15</v>
      </c>
      <c r="D86" s="7" t="s">
        <v>341</v>
      </c>
      <c r="E86" s="8" t="s">
        <v>349</v>
      </c>
      <c r="F86" s="6" t="s">
        <v>350</v>
      </c>
      <c r="G86" s="9">
        <f>IF(A86=1,"_",IF(C86="_","???",C86))</f>
        <v/>
      </c>
      <c r="H86" s="10" t="s">
        <v>15</v>
      </c>
      <c r="I86" s="11" t="s">
        <v>15</v>
      </c>
      <c r="J86" s="12"/>
    </row>
    <row r="87" spans="1:10" ht="60" customHeight="1">
      <c r="A87" s="6" t="s">
        <v>351</v>
      </c>
      <c r="B87" s="6" t="s">
        <v>16</v>
      </c>
      <c r="C87" s="6" t="s">
        <v>163</v>
      </c>
      <c r="D87" s="7" t="s">
        <v>352</v>
      </c>
      <c r="E87" s="8" t="s">
        <v>353</v>
      </c>
      <c r="F87" s="6" t="s">
        <v>354</v>
      </c>
      <c r="G87" s="9">
        <f>IF(A87=1,"_",IF(C87="_","???",C87))</f>
        <v/>
      </c>
      <c r="H87" s="10" t="s">
        <v>15</v>
      </c>
      <c r="I87" s="11" t="s">
        <v>15</v>
      </c>
      <c r="J87" s="12"/>
    </row>
    <row r="88" spans="1:10" ht="60" customHeight="1">
      <c r="A88" s="6" t="s">
        <v>355</v>
      </c>
      <c r="B88" s="6" t="s">
        <v>40</v>
      </c>
      <c r="C88" s="6" t="s">
        <v>15</v>
      </c>
      <c r="D88" s="7" t="s">
        <v>200</v>
      </c>
      <c r="E88" s="8" t="s">
        <v>356</v>
      </c>
      <c r="F88" s="6" t="s">
        <v>357</v>
      </c>
      <c r="G88" s="9">
        <f>IF(A88=1,"_",IF(C88="_","???",C88))</f>
        <v/>
      </c>
      <c r="H88" s="10" t="s">
        <v>15</v>
      </c>
      <c r="I88" s="11" t="s">
        <v>15</v>
      </c>
      <c r="J88" s="12"/>
    </row>
    <row r="89" spans="1:10" ht="60" customHeight="1">
      <c r="A89" s="6" t="s">
        <v>358</v>
      </c>
      <c r="B89" s="6" t="s">
        <v>17</v>
      </c>
      <c r="C89" s="6" t="s">
        <v>11</v>
      </c>
      <c r="D89" s="7" t="s">
        <v>359</v>
      </c>
      <c r="E89" s="8" t="s">
        <v>360</v>
      </c>
      <c r="F89" s="6" t="s">
        <v>361</v>
      </c>
      <c r="G89" s="9">
        <f>IF(A89=1,"_",IF(C89="_","???",C89))</f>
        <v/>
      </c>
      <c r="H89" s="10" t="s">
        <v>15</v>
      </c>
      <c r="I89" s="11" t="s">
        <v>15</v>
      </c>
      <c r="J89" s="12"/>
    </row>
    <row r="90" spans="1:10" ht="60" customHeight="1">
      <c r="A90" s="6" t="s">
        <v>362</v>
      </c>
      <c r="B90" s="6" t="s">
        <v>10</v>
      </c>
      <c r="C90" s="6" t="s">
        <v>15</v>
      </c>
      <c r="D90" s="7" t="s">
        <v>363</v>
      </c>
      <c r="E90" s="8" t="s">
        <v>364</v>
      </c>
      <c r="F90" s="6" t="s">
        <v>365</v>
      </c>
      <c r="G90" s="9">
        <f>IF(A90=1,"_",IF(C90="_","???",C90))</f>
        <v/>
      </c>
      <c r="H90" s="10" t="s">
        <v>15</v>
      </c>
      <c r="I90" s="11" t="s">
        <v>15</v>
      </c>
      <c r="J90" s="12"/>
    </row>
    <row r="91" spans="1:10" ht="60" customHeight="1">
      <c r="A91" s="6" t="s">
        <v>366</v>
      </c>
      <c r="B91" s="6" t="s">
        <v>23</v>
      </c>
      <c r="C91" s="6" t="s">
        <v>147</v>
      </c>
      <c r="D91" s="7" t="s">
        <v>367</v>
      </c>
      <c r="E91" s="8" t="s">
        <v>368</v>
      </c>
      <c r="F91" s="6" t="s">
        <v>369</v>
      </c>
      <c r="G91" s="9">
        <f>IF(A91=1,"_",IF(C91="_","???",C91))</f>
        <v/>
      </c>
      <c r="H91" s="10" t="s">
        <v>15</v>
      </c>
      <c r="I91" s="11" t="s">
        <v>15</v>
      </c>
      <c r="J91" s="12"/>
    </row>
    <row r="92" spans="1:10" ht="60" customHeight="1">
      <c r="A92" s="6" t="s">
        <v>370</v>
      </c>
      <c r="B92" s="6" t="s">
        <v>16</v>
      </c>
      <c r="C92" s="6" t="s">
        <v>371</v>
      </c>
      <c r="D92" s="7" t="s">
        <v>367</v>
      </c>
      <c r="E92" s="8" t="s">
        <v>372</v>
      </c>
      <c r="F92" s="6" t="s">
        <v>373</v>
      </c>
      <c r="G92" s="9">
        <f>IF(A92=1,"_",IF(C92="_","???",C92))</f>
        <v/>
      </c>
      <c r="H92" s="10" t="s">
        <v>15</v>
      </c>
      <c r="I92" s="11" t="s">
        <v>15</v>
      </c>
      <c r="J92" s="12"/>
    </row>
    <row r="93" spans="1:10" ht="60" customHeight="1">
      <c r="A93" s="6" t="s">
        <v>374</v>
      </c>
      <c r="B93" s="6" t="s">
        <v>23</v>
      </c>
      <c r="C93" s="6" t="s">
        <v>15</v>
      </c>
      <c r="D93" s="7" t="s">
        <v>375</v>
      </c>
      <c r="E93" s="8" t="s">
        <v>376</v>
      </c>
      <c r="F93" s="6" t="s">
        <v>377</v>
      </c>
      <c r="G93" s="9">
        <f>IF(A93=1,"_",IF(C93="_","???",C93))</f>
        <v/>
      </c>
      <c r="H93" s="10" t="s">
        <v>15</v>
      </c>
      <c r="I93" s="11" t="s">
        <v>15</v>
      </c>
      <c r="J93" s="12"/>
    </row>
    <row r="94" spans="1:10" ht="60" customHeight="1">
      <c r="A94" s="6" t="s">
        <v>378</v>
      </c>
      <c r="B94" s="6" t="s">
        <v>28</v>
      </c>
      <c r="C94" s="6" t="s">
        <v>15</v>
      </c>
      <c r="D94" s="7" t="s">
        <v>379</v>
      </c>
      <c r="E94" s="8" t="s">
        <v>380</v>
      </c>
      <c r="F94" s="6" t="s">
        <v>381</v>
      </c>
      <c r="G94" s="9">
        <f>IF(A94=1,"_",IF(C94="_","???",C94))</f>
        <v/>
      </c>
      <c r="H94" s="10" t="s">
        <v>15</v>
      </c>
      <c r="I94" s="11" t="s">
        <v>15</v>
      </c>
      <c r="J94" s="12"/>
    </row>
    <row r="95" spans="1:10" ht="60" customHeight="1">
      <c r="A95" s="6" t="s">
        <v>382</v>
      </c>
      <c r="B95" s="6" t="s">
        <v>22</v>
      </c>
      <c r="C95" s="6" t="s">
        <v>15</v>
      </c>
      <c r="D95" s="7" t="s">
        <v>383</v>
      </c>
      <c r="E95" s="8" t="s">
        <v>384</v>
      </c>
      <c r="F95" s="6" t="s">
        <v>385</v>
      </c>
      <c r="G95" s="9">
        <f>IF(A95=1,"_",IF(C95="_","???",C95))</f>
        <v/>
      </c>
      <c r="H95" s="10" t="s">
        <v>15</v>
      </c>
      <c r="I95" s="11" t="s">
        <v>15</v>
      </c>
      <c r="J95" s="12"/>
    </row>
    <row r="96" spans="1:10" ht="60" customHeight="1">
      <c r="A96" s="6" t="s">
        <v>386</v>
      </c>
      <c r="B96" s="6" t="s">
        <v>44</v>
      </c>
      <c r="C96" s="6" t="s">
        <v>163</v>
      </c>
      <c r="D96" s="7" t="s">
        <v>387</v>
      </c>
      <c r="E96" s="8" t="s">
        <v>388</v>
      </c>
      <c r="F96" s="6" t="s">
        <v>389</v>
      </c>
      <c r="G96" s="9">
        <f>IF(A96=1,"_",IF(C96="_","???",C96))</f>
        <v/>
      </c>
      <c r="H96" s="10" t="s">
        <v>15</v>
      </c>
      <c r="I96" s="11" t="s">
        <v>15</v>
      </c>
      <c r="J96" s="12"/>
    </row>
    <row r="97" spans="1:10" ht="60" customHeight="1">
      <c r="A97" s="6" t="s">
        <v>390</v>
      </c>
      <c r="B97" s="6" t="s">
        <v>17</v>
      </c>
      <c r="C97" s="6" t="s">
        <v>18</v>
      </c>
      <c r="D97" s="7" t="s">
        <v>367</v>
      </c>
      <c r="E97" s="8" t="s">
        <v>391</v>
      </c>
      <c r="F97" s="6" t="s">
        <v>392</v>
      </c>
      <c r="G97" s="9">
        <f>IF(A97=1,"_",IF(C97="_","???",C97))</f>
        <v/>
      </c>
      <c r="H97" s="10" t="s">
        <v>15</v>
      </c>
      <c r="I97" s="11" t="s">
        <v>15</v>
      </c>
      <c r="J97" s="12"/>
    </row>
    <row r="98" spans="1:10" ht="60" customHeight="1">
      <c r="A98" s="6" t="s">
        <v>393</v>
      </c>
      <c r="B98" s="6" t="s">
        <v>10</v>
      </c>
      <c r="C98" s="6" t="s">
        <v>15</v>
      </c>
      <c r="D98" s="7" t="s">
        <v>394</v>
      </c>
      <c r="E98" s="8" t="s">
        <v>395</v>
      </c>
      <c r="F98" s="6" t="s">
        <v>396</v>
      </c>
      <c r="G98" s="9">
        <f>IF(A98=1,"_",IF(C98="_","???",C98))</f>
        <v/>
      </c>
      <c r="H98" s="10" t="s">
        <v>15</v>
      </c>
      <c r="I98" s="11" t="s">
        <v>15</v>
      </c>
      <c r="J98" s="12"/>
    </row>
    <row r="99" spans="1:10" ht="60" customHeight="1">
      <c r="A99" s="6" t="s">
        <v>397</v>
      </c>
      <c r="B99" s="6" t="s">
        <v>16</v>
      </c>
      <c r="C99" s="6" t="s">
        <v>398</v>
      </c>
      <c r="D99" s="7" t="s">
        <v>399</v>
      </c>
      <c r="E99" s="8" t="s">
        <v>400</v>
      </c>
      <c r="F99" s="6" t="s">
        <v>401</v>
      </c>
      <c r="G99" s="9">
        <f>IF(A99=1,"_",IF(C99="_","???",C99))</f>
        <v/>
      </c>
      <c r="H99" s="10" t="s">
        <v>15</v>
      </c>
      <c r="I99" s="11" t="s">
        <v>15</v>
      </c>
      <c r="J99" s="12"/>
    </row>
    <row r="100" spans="1:10" ht="60" customHeight="1">
      <c r="A100" s="6" t="s">
        <v>402</v>
      </c>
      <c r="B100" s="6" t="s">
        <v>10</v>
      </c>
      <c r="C100" s="6" t="s">
        <v>59</v>
      </c>
      <c r="D100" s="7" t="s">
        <v>403</v>
      </c>
      <c r="E100" s="8" t="s">
        <v>404</v>
      </c>
      <c r="F100" s="6" t="s">
        <v>405</v>
      </c>
      <c r="G100" s="9">
        <f>IF(A100=1,"_",IF(C100="_","???",C100))</f>
        <v/>
      </c>
      <c r="H100" s="10" t="s">
        <v>15</v>
      </c>
      <c r="I100" s="11" t="s">
        <v>15</v>
      </c>
      <c r="J100" s="12"/>
    </row>
    <row r="101" spans="1:10" ht="60" customHeight="1">
      <c r="A101" s="6" t="s">
        <v>406</v>
      </c>
      <c r="B101" s="6" t="s">
        <v>28</v>
      </c>
      <c r="C101" s="6" t="s">
        <v>55</v>
      </c>
      <c r="D101" s="7" t="s">
        <v>407</v>
      </c>
      <c r="E101" s="8" t="s">
        <v>408</v>
      </c>
      <c r="F101" s="6" t="s">
        <v>409</v>
      </c>
      <c r="G101" s="9">
        <f>IF(A101=1,"_",IF(C101="_","???",C101))</f>
        <v/>
      </c>
      <c r="H101" s="10" t="s">
        <v>15</v>
      </c>
      <c r="I101" s="11" t="s">
        <v>15</v>
      </c>
      <c r="J101" s="12"/>
    </row>
    <row r="102" spans="1:10" ht="60" customHeight="1">
      <c r="A102" s="6" t="s">
        <v>410</v>
      </c>
      <c r="B102" s="6" t="s">
        <v>16</v>
      </c>
      <c r="C102" s="6" t="s">
        <v>15</v>
      </c>
      <c r="D102" s="7" t="s">
        <v>367</v>
      </c>
      <c r="E102" s="8" t="s">
        <v>411</v>
      </c>
      <c r="F102" s="6" t="s">
        <v>412</v>
      </c>
      <c r="G102" s="9">
        <f>IF(A102=1,"_",IF(C102="_","???",C102))</f>
        <v/>
      </c>
      <c r="H102" s="10" t="s">
        <v>15</v>
      </c>
      <c r="I102" s="11" t="s">
        <v>15</v>
      </c>
      <c r="J102" s="12"/>
    </row>
    <row r="103" spans="1:10" ht="60" customHeight="1">
      <c r="A103" s="6" t="s">
        <v>413</v>
      </c>
      <c r="B103" s="6" t="s">
        <v>16</v>
      </c>
      <c r="C103" s="6" t="s">
        <v>15</v>
      </c>
      <c r="D103" s="7" t="s">
        <v>414</v>
      </c>
      <c r="E103" s="8" t="s">
        <v>415</v>
      </c>
      <c r="F103" s="6" t="s">
        <v>416</v>
      </c>
      <c r="G103" s="9">
        <f>IF(A103=1,"_",IF(C103="_","???",C103))</f>
        <v/>
      </c>
      <c r="H103" s="10" t="s">
        <v>15</v>
      </c>
      <c r="I103" s="11" t="s">
        <v>15</v>
      </c>
      <c r="J103" s="12"/>
    </row>
    <row r="104" spans="1:10" ht="60" customHeight="1">
      <c r="A104" s="6" t="s">
        <v>417</v>
      </c>
      <c r="B104" s="6" t="s">
        <v>23</v>
      </c>
      <c r="C104" s="6" t="s">
        <v>15</v>
      </c>
      <c r="D104" s="7" t="s">
        <v>407</v>
      </c>
      <c r="E104" s="8" t="s">
        <v>418</v>
      </c>
      <c r="F104" s="6" t="s">
        <v>419</v>
      </c>
      <c r="G104" s="9">
        <f>IF(A104=1,"_",IF(C104="_","???",C104))</f>
        <v/>
      </c>
      <c r="H104" s="10" t="s">
        <v>15</v>
      </c>
      <c r="I104" s="11" t="s">
        <v>15</v>
      </c>
      <c r="J104" s="12"/>
    </row>
    <row r="105" spans="1:10" ht="60" customHeight="1">
      <c r="A105" s="6" t="s">
        <v>420</v>
      </c>
      <c r="B105" s="6" t="s">
        <v>49</v>
      </c>
      <c r="C105" s="6" t="s">
        <v>55</v>
      </c>
      <c r="D105" s="7" t="s">
        <v>421</v>
      </c>
      <c r="E105" s="8" t="s">
        <v>422</v>
      </c>
      <c r="F105" s="6" t="s">
        <v>423</v>
      </c>
      <c r="G105" s="9">
        <f>IF(A105=1,"_",IF(C105="_","???",C105))</f>
        <v/>
      </c>
      <c r="H105" s="10" t="s">
        <v>15</v>
      </c>
      <c r="I105" s="11" t="s">
        <v>15</v>
      </c>
      <c r="J105" s="12"/>
    </row>
    <row r="106" spans="1:10" ht="60" customHeight="1">
      <c r="A106" s="6" t="s">
        <v>424</v>
      </c>
      <c r="B106" s="6" t="s">
        <v>16</v>
      </c>
      <c r="C106" s="6" t="s">
        <v>15</v>
      </c>
      <c r="D106" s="7" t="s">
        <v>425</v>
      </c>
      <c r="E106" s="8" t="s">
        <v>426</v>
      </c>
      <c r="F106" s="6" t="s">
        <v>427</v>
      </c>
      <c r="G106" s="9">
        <f>IF(A106=1,"_",IF(C106="_","???",C106))</f>
        <v/>
      </c>
      <c r="H106" s="10" t="s">
        <v>15</v>
      </c>
      <c r="I106" s="11" t="s">
        <v>15</v>
      </c>
      <c r="J106" s="12"/>
    </row>
    <row r="107" spans="1:10" ht="60" customHeight="1">
      <c r="A107" s="6" t="s">
        <v>428</v>
      </c>
      <c r="B107" s="6" t="s">
        <v>28</v>
      </c>
      <c r="C107" s="6" t="s">
        <v>147</v>
      </c>
      <c r="D107" s="7" t="s">
        <v>429</v>
      </c>
      <c r="E107" s="8" t="s">
        <v>430</v>
      </c>
      <c r="F107" s="6" t="s">
        <v>431</v>
      </c>
      <c r="G107" s="9">
        <f>IF(A107=1,"_",IF(C107="_","???",C107))</f>
        <v/>
      </c>
      <c r="H107" s="10" t="s">
        <v>15</v>
      </c>
      <c r="I107" s="11" t="s">
        <v>15</v>
      </c>
      <c r="J107" s="12"/>
    </row>
    <row r="108" spans="1:10" ht="60" customHeight="1">
      <c r="A108" s="6" t="s">
        <v>432</v>
      </c>
      <c r="B108" s="6" t="s">
        <v>22</v>
      </c>
      <c r="C108" s="6" t="s">
        <v>15</v>
      </c>
      <c r="D108" s="7" t="s">
        <v>433</v>
      </c>
      <c r="E108" s="8" t="s">
        <v>434</v>
      </c>
      <c r="F108" s="6" t="s">
        <v>435</v>
      </c>
      <c r="G108" s="9">
        <f>IF(A108=1,"_",IF(C108="_","???",C108))</f>
        <v/>
      </c>
      <c r="H108" s="10" t="s">
        <v>15</v>
      </c>
      <c r="I108" s="11" t="s">
        <v>15</v>
      </c>
      <c r="J108" s="12"/>
    </row>
    <row r="109" spans="1:10" ht="60" customHeight="1">
      <c r="A109" s="6" t="s">
        <v>436</v>
      </c>
      <c r="B109" s="6" t="s">
        <v>10</v>
      </c>
      <c r="C109" s="6" t="s">
        <v>11</v>
      </c>
      <c r="D109" s="7" t="s">
        <v>437</v>
      </c>
      <c r="E109" s="8" t="s">
        <v>438</v>
      </c>
      <c r="F109" s="6" t="s">
        <v>439</v>
      </c>
      <c r="G109" s="9">
        <f>IF(A109=1,"_",IF(C109="_","???",C109))</f>
        <v/>
      </c>
      <c r="H109" s="10" t="s">
        <v>15</v>
      </c>
      <c r="I109" s="11" t="s">
        <v>15</v>
      </c>
      <c r="J109" s="12"/>
    </row>
    <row r="110" spans="1:10" ht="60" customHeight="1">
      <c r="A110" s="6" t="s">
        <v>440</v>
      </c>
      <c r="B110" s="6" t="s">
        <v>22</v>
      </c>
      <c r="C110" s="6" t="s">
        <v>24</v>
      </c>
      <c r="D110" s="7" t="s">
        <v>441</v>
      </c>
      <c r="E110" s="8" t="s">
        <v>442</v>
      </c>
      <c r="F110" s="6" t="s">
        <v>443</v>
      </c>
      <c r="G110" s="9">
        <f>IF(A110=1,"_",IF(C110="_","???",C110))</f>
        <v/>
      </c>
      <c r="H110" s="10" t="s">
        <v>15</v>
      </c>
      <c r="I110" s="11" t="s">
        <v>15</v>
      </c>
      <c r="J110" s="12"/>
    </row>
    <row r="111" spans="1:10" ht="60" customHeight="1">
      <c r="A111" s="6" t="s">
        <v>444</v>
      </c>
      <c r="B111" s="6" t="s">
        <v>40</v>
      </c>
      <c r="C111" s="6" t="s">
        <v>15</v>
      </c>
      <c r="D111" s="7" t="s">
        <v>445</v>
      </c>
      <c r="E111" s="8" t="s">
        <v>446</v>
      </c>
      <c r="F111" s="6" t="s">
        <v>447</v>
      </c>
      <c r="G111" s="9">
        <f>IF(A111=1,"_",IF(C111="_","???",C111))</f>
        <v/>
      </c>
      <c r="H111" s="10" t="s">
        <v>15</v>
      </c>
      <c r="I111" s="11" t="s">
        <v>15</v>
      </c>
      <c r="J111" s="12"/>
    </row>
    <row r="112" spans="1:10" ht="60" customHeight="1">
      <c r="A112" s="6" t="s">
        <v>448</v>
      </c>
      <c r="B112" s="6" t="s">
        <v>22</v>
      </c>
      <c r="C112" s="6" t="s">
        <v>24</v>
      </c>
      <c r="D112" s="7" t="s">
        <v>60</v>
      </c>
      <c r="E112" s="8" t="s">
        <v>449</v>
      </c>
      <c r="F112" s="6" t="s">
        <v>450</v>
      </c>
      <c r="G112" s="9">
        <f>IF(A112=1,"_",IF(C112="_","???",C112))</f>
        <v/>
      </c>
      <c r="H112" s="10" t="s">
        <v>15</v>
      </c>
      <c r="I112" s="11" t="s">
        <v>15</v>
      </c>
      <c r="J112" s="12"/>
    </row>
    <row r="113" spans="1:10" ht="60" customHeight="1">
      <c r="A113" s="6" t="s">
        <v>451</v>
      </c>
      <c r="B113" s="6" t="s">
        <v>120</v>
      </c>
      <c r="C113" s="6" t="s">
        <v>147</v>
      </c>
      <c r="D113" s="7" t="s">
        <v>452</v>
      </c>
      <c r="E113" s="8" t="s">
        <v>453</v>
      </c>
      <c r="F113" s="6" t="s">
        <v>454</v>
      </c>
      <c r="G113" s="9">
        <f>IF(A113=1,"_",IF(C113="_","???",C113))</f>
        <v/>
      </c>
      <c r="H113" s="10" t="s">
        <v>15</v>
      </c>
      <c r="I113" s="11" t="s">
        <v>15</v>
      </c>
      <c r="J113" s="12"/>
    </row>
    <row r="114" spans="1:10" ht="60" customHeight="1">
      <c r="A114" s="6" t="s">
        <v>455</v>
      </c>
      <c r="B114" s="6" t="s">
        <v>124</v>
      </c>
      <c r="C114" s="6" t="s">
        <v>59</v>
      </c>
      <c r="D114" s="7" t="s">
        <v>456</v>
      </c>
      <c r="E114" s="8" t="s">
        <v>457</v>
      </c>
      <c r="F114" s="6" t="s">
        <v>458</v>
      </c>
      <c r="G114" s="9">
        <f>IF(A114=1,"_",IF(C114="_","???",C114))</f>
        <v/>
      </c>
      <c r="H114" s="10" t="s">
        <v>15</v>
      </c>
      <c r="I114" s="11" t="s">
        <v>15</v>
      </c>
      <c r="J114" s="12"/>
    </row>
    <row r="115" spans="1:10" ht="60" customHeight="1">
      <c r="A115" s="6" t="s">
        <v>459</v>
      </c>
      <c r="B115" s="6" t="s">
        <v>22</v>
      </c>
      <c r="C115" s="6" t="s">
        <v>93</v>
      </c>
      <c r="D115" s="7" t="s">
        <v>345</v>
      </c>
      <c r="E115" s="8" t="s">
        <v>460</v>
      </c>
      <c r="F115" s="6" t="s">
        <v>461</v>
      </c>
      <c r="G115" s="9">
        <f>IF(A115=1,"_",IF(C115="_","???",C115))</f>
        <v/>
      </c>
      <c r="H115" s="10" t="s">
        <v>15</v>
      </c>
      <c r="I115" s="11" t="s">
        <v>15</v>
      </c>
      <c r="J115" s="12"/>
    </row>
    <row r="116" spans="1:10" ht="60" customHeight="1">
      <c r="A116" s="6" t="s">
        <v>462</v>
      </c>
      <c r="B116" s="6" t="s">
        <v>10</v>
      </c>
      <c r="C116" s="6" t="s">
        <v>15</v>
      </c>
      <c r="D116" s="7" t="s">
        <v>463</v>
      </c>
      <c r="E116" s="8" t="s">
        <v>464</v>
      </c>
      <c r="F116" s="6" t="s">
        <v>465</v>
      </c>
      <c r="G116" s="9">
        <f>IF(A116=1,"_",IF(C116="_","???",C116))</f>
        <v/>
      </c>
      <c r="H116" s="10" t="s">
        <v>15</v>
      </c>
      <c r="I116" s="11" t="s">
        <v>15</v>
      </c>
      <c r="J116" s="12"/>
    </row>
    <row r="117" spans="1:10" ht="60" customHeight="1">
      <c r="A117" s="6" t="s">
        <v>466</v>
      </c>
      <c r="B117" s="6" t="s">
        <v>40</v>
      </c>
      <c r="C117" s="6" t="s">
        <v>15</v>
      </c>
      <c r="D117" s="7" t="s">
        <v>467</v>
      </c>
      <c r="E117" s="8" t="s">
        <v>468</v>
      </c>
      <c r="F117" s="6" t="s">
        <v>469</v>
      </c>
      <c r="G117" s="9">
        <f>IF(A117=1,"_",IF(C117="_","???",C117))</f>
        <v/>
      </c>
      <c r="H117" s="10" t="s">
        <v>15</v>
      </c>
      <c r="I117" s="11" t="s">
        <v>15</v>
      </c>
      <c r="J117" s="12"/>
    </row>
    <row r="118" spans="1:10" ht="60" customHeight="1">
      <c r="A118" s="6" t="s">
        <v>470</v>
      </c>
      <c r="B118" s="6" t="s">
        <v>54</v>
      </c>
      <c r="C118" s="6" t="s">
        <v>15</v>
      </c>
      <c r="D118" s="7" t="s">
        <v>471</v>
      </c>
      <c r="E118" s="8" t="s">
        <v>472</v>
      </c>
      <c r="F118" s="6" t="s">
        <v>473</v>
      </c>
      <c r="G118" s="9">
        <f>IF(A118=1,"_",IF(C118="_","???",C118))</f>
        <v/>
      </c>
      <c r="H118" s="10" t="s">
        <v>15</v>
      </c>
      <c r="I118" s="11" t="s">
        <v>15</v>
      </c>
      <c r="J118" s="12"/>
    </row>
    <row r="119" spans="1:10" ht="60" customHeight="1">
      <c r="A119" s="6" t="s">
        <v>474</v>
      </c>
      <c r="B119" s="6" t="s">
        <v>28</v>
      </c>
      <c r="C119" s="6" t="s">
        <v>15</v>
      </c>
      <c r="D119" s="7" t="s">
        <v>475</v>
      </c>
      <c r="E119" s="8" t="s">
        <v>476</v>
      </c>
      <c r="F119" s="6" t="s">
        <v>477</v>
      </c>
      <c r="G119" s="9">
        <f>IF(A119=1,"_",IF(C119="_","???",C119))</f>
        <v/>
      </c>
      <c r="H119" s="10" t="s">
        <v>15</v>
      </c>
      <c r="I119" s="11" t="s">
        <v>15</v>
      </c>
      <c r="J119" s="12"/>
    </row>
    <row r="120" spans="1:10" ht="60" customHeight="1">
      <c r="A120" s="6" t="s">
        <v>478</v>
      </c>
      <c r="B120" s="6" t="s">
        <v>23</v>
      </c>
      <c r="C120" s="6" t="s">
        <v>55</v>
      </c>
      <c r="D120" s="7" t="s">
        <v>479</v>
      </c>
      <c r="E120" s="8" t="s">
        <v>480</v>
      </c>
      <c r="F120" s="6" t="s">
        <v>481</v>
      </c>
      <c r="G120" s="9">
        <f>IF(A120=1,"_",IF(C120="_","???",C120))</f>
        <v/>
      </c>
      <c r="H120" s="10" t="s">
        <v>15</v>
      </c>
      <c r="I120" s="11" t="s">
        <v>15</v>
      </c>
      <c r="J120" s="12"/>
    </row>
    <row r="121" spans="1:10" ht="60" customHeight="1">
      <c r="A121" s="6" t="s">
        <v>482</v>
      </c>
      <c r="B121" s="6" t="s">
        <v>28</v>
      </c>
      <c r="C121" s="6" t="s">
        <v>147</v>
      </c>
      <c r="D121" s="7" t="s">
        <v>483</v>
      </c>
      <c r="E121" s="8" t="s">
        <v>484</v>
      </c>
      <c r="F121" s="6" t="s">
        <v>485</v>
      </c>
      <c r="G121" s="9">
        <f>IF(A121=1,"_",IF(C121="_","???",C121))</f>
        <v/>
      </c>
      <c r="H121" s="10" t="s">
        <v>15</v>
      </c>
      <c r="I121" s="11" t="s">
        <v>15</v>
      </c>
      <c r="J121" s="12"/>
    </row>
    <row r="122" spans="1:10" ht="60" customHeight="1">
      <c r="A122" s="6" t="s">
        <v>486</v>
      </c>
      <c r="B122" s="6" t="s">
        <v>54</v>
      </c>
      <c r="C122" s="6" t="s">
        <v>18</v>
      </c>
      <c r="D122" s="7" t="s">
        <v>487</v>
      </c>
      <c r="E122" s="8" t="s">
        <v>488</v>
      </c>
      <c r="F122" s="6" t="s">
        <v>489</v>
      </c>
      <c r="G122" s="9">
        <f>IF(A122=1,"_",IF(C122="_","???",C122))</f>
        <v/>
      </c>
      <c r="H122" s="10" t="s">
        <v>15</v>
      </c>
      <c r="I122" s="11" t="s">
        <v>15</v>
      </c>
      <c r="J122" s="12"/>
    </row>
    <row r="123" spans="1:10" ht="60" customHeight="1">
      <c r="A123" s="6" t="s">
        <v>490</v>
      </c>
      <c r="B123" s="6" t="s">
        <v>22</v>
      </c>
      <c r="C123" s="6" t="s">
        <v>55</v>
      </c>
      <c r="D123" s="7" t="s">
        <v>491</v>
      </c>
      <c r="E123" s="8" t="s">
        <v>492</v>
      </c>
      <c r="F123" s="6" t="s">
        <v>493</v>
      </c>
      <c r="G123" s="9">
        <f>IF(A123=1,"_",IF(C123="_","???",C123))</f>
        <v/>
      </c>
      <c r="H123" s="10" t="s">
        <v>15</v>
      </c>
      <c r="I123" s="11" t="s">
        <v>15</v>
      </c>
      <c r="J123" s="12"/>
    </row>
    <row r="124" spans="1:10" ht="60" customHeight="1">
      <c r="A124" s="6" t="s">
        <v>494</v>
      </c>
      <c r="B124" s="6" t="s">
        <v>10</v>
      </c>
      <c r="C124" s="6" t="s">
        <v>15</v>
      </c>
      <c r="D124" s="7" t="s">
        <v>140</v>
      </c>
      <c r="E124" s="8" t="s">
        <v>140</v>
      </c>
      <c r="F124" s="6" t="s">
        <v>495</v>
      </c>
      <c r="G124" s="9">
        <f>IF(A124=1,"_",IF(C124="_","???",C124))</f>
        <v/>
      </c>
      <c r="H124" s="10" t="s">
        <v>15</v>
      </c>
      <c r="I124" s="11" t="s">
        <v>15</v>
      </c>
      <c r="J124" s="12"/>
    </row>
    <row r="125" spans="1:10" ht="60" customHeight="1">
      <c r="A125" s="6" t="s">
        <v>496</v>
      </c>
      <c r="B125" s="6" t="s">
        <v>29</v>
      </c>
      <c r="C125" s="6" t="s">
        <v>55</v>
      </c>
      <c r="D125" s="7" t="s">
        <v>367</v>
      </c>
      <c r="E125" s="8" t="s">
        <v>497</v>
      </c>
      <c r="F125" s="6" t="s">
        <v>498</v>
      </c>
      <c r="G125" s="9">
        <f>IF(A125=1,"_",IF(C125="_","???",C125))</f>
        <v/>
      </c>
      <c r="H125" s="10" t="s">
        <v>15</v>
      </c>
      <c r="I125" s="11" t="s">
        <v>15</v>
      </c>
      <c r="J125" s="12"/>
    </row>
    <row r="126" spans="1:10" ht="60" customHeight="1">
      <c r="A126" s="6" t="s">
        <v>499</v>
      </c>
      <c r="B126" s="6" t="s">
        <v>10</v>
      </c>
      <c r="C126" s="6" t="s">
        <v>15</v>
      </c>
      <c r="D126" s="7" t="s">
        <v>140</v>
      </c>
      <c r="E126" s="8" t="s">
        <v>140</v>
      </c>
      <c r="F126" s="6" t="s">
        <v>500</v>
      </c>
      <c r="G126" s="9">
        <f>IF(A126=1,"_",IF(C126="_","???",C126))</f>
        <v/>
      </c>
      <c r="H126" s="10" t="s">
        <v>15</v>
      </c>
      <c r="I126" s="11" t="s">
        <v>15</v>
      </c>
      <c r="J126" s="12"/>
    </row>
    <row r="127" spans="1:10" ht="60" customHeight="1">
      <c r="A127" s="6" t="s">
        <v>501</v>
      </c>
      <c r="B127" s="6" t="s">
        <v>48</v>
      </c>
      <c r="C127" s="6" t="s">
        <v>15</v>
      </c>
      <c r="D127" s="7" t="s">
        <v>164</v>
      </c>
      <c r="E127" s="8" t="s">
        <v>502</v>
      </c>
      <c r="F127" s="6" t="s">
        <v>503</v>
      </c>
      <c r="G127" s="9">
        <f>IF(A127=1,"_",IF(C127="_","???",C127))</f>
        <v/>
      </c>
      <c r="H127" s="10" t="s">
        <v>15</v>
      </c>
      <c r="I127" s="11" t="s">
        <v>15</v>
      </c>
      <c r="J127" s="12"/>
    </row>
    <row r="128" spans="1:10" ht="60" customHeight="1">
      <c r="A128" s="6" t="s">
        <v>504</v>
      </c>
      <c r="B128" s="6" t="s">
        <v>16</v>
      </c>
      <c r="C128" s="6" t="s">
        <v>15</v>
      </c>
      <c r="D128" s="7" t="s">
        <v>505</v>
      </c>
      <c r="E128" s="8" t="s">
        <v>506</v>
      </c>
      <c r="F128" s="6" t="s">
        <v>507</v>
      </c>
      <c r="G128" s="9">
        <f>IF(A128=1,"_",IF(C128="_","???",C128))</f>
        <v/>
      </c>
      <c r="H128" s="10" t="s">
        <v>15</v>
      </c>
      <c r="I128" s="11" t="s">
        <v>15</v>
      </c>
      <c r="J128" s="12"/>
    </row>
    <row r="129" spans="1:10" ht="60" customHeight="1">
      <c r="A129" s="6" t="s">
        <v>508</v>
      </c>
      <c r="B129" s="6" t="s">
        <v>16</v>
      </c>
      <c r="C129" s="6" t="s">
        <v>509</v>
      </c>
      <c r="D129" s="7" t="s">
        <v>510</v>
      </c>
      <c r="E129" s="8" t="s">
        <v>511</v>
      </c>
      <c r="F129" s="6" t="s">
        <v>512</v>
      </c>
      <c r="G129" s="9">
        <f>IF(A129=1,"_",IF(C129="_","???",C129))</f>
        <v/>
      </c>
      <c r="H129" s="10" t="s">
        <v>15</v>
      </c>
      <c r="I129" s="11" t="s">
        <v>15</v>
      </c>
      <c r="J129" s="12"/>
    </row>
    <row r="130" spans="1:10" ht="60" customHeight="1">
      <c r="A130" s="6" t="s">
        <v>513</v>
      </c>
      <c r="B130" s="6" t="s">
        <v>16</v>
      </c>
      <c r="C130" s="6" t="s">
        <v>15</v>
      </c>
      <c r="D130" s="7" t="s">
        <v>514</v>
      </c>
      <c r="E130" s="8" t="s">
        <v>515</v>
      </c>
      <c r="F130" s="6" t="s">
        <v>516</v>
      </c>
      <c r="G130" s="9">
        <f>IF(A130=1,"_",IF(C130="_","???",C130))</f>
        <v/>
      </c>
      <c r="H130" s="10" t="s">
        <v>15</v>
      </c>
      <c r="I130" s="11" t="s">
        <v>15</v>
      </c>
      <c r="J130" s="12"/>
    </row>
    <row r="131" spans="1:10" ht="60" customHeight="1">
      <c r="A131" s="6" t="s">
        <v>517</v>
      </c>
      <c r="B131" s="6" t="s">
        <v>16</v>
      </c>
      <c r="C131" s="6" t="s">
        <v>116</v>
      </c>
      <c r="D131" s="7" t="s">
        <v>518</v>
      </c>
      <c r="E131" s="8" t="s">
        <v>519</v>
      </c>
      <c r="F131" s="6" t="s">
        <v>520</v>
      </c>
      <c r="G131" s="9">
        <f>IF(A131=1,"_",IF(C131="_","???",C131))</f>
        <v/>
      </c>
      <c r="H131" s="10" t="s">
        <v>15</v>
      </c>
      <c r="I131" s="11" t="s">
        <v>15</v>
      </c>
      <c r="J131" s="12"/>
    </row>
    <row r="132" spans="1:10" ht="60" customHeight="1">
      <c r="A132" s="6" t="s">
        <v>521</v>
      </c>
      <c r="B132" s="6" t="s">
        <v>40</v>
      </c>
      <c r="C132" s="6" t="s">
        <v>522</v>
      </c>
      <c r="D132" s="7" t="s">
        <v>505</v>
      </c>
      <c r="E132" s="8" t="s">
        <v>523</v>
      </c>
      <c r="F132" s="6" t="s">
        <v>524</v>
      </c>
      <c r="G132" s="9">
        <f>IF(A132=1,"_",IF(C132="_","???",C132))</f>
        <v/>
      </c>
      <c r="H132" s="10" t="s">
        <v>15</v>
      </c>
      <c r="I132" s="11" t="s">
        <v>15</v>
      </c>
      <c r="J132" s="12"/>
    </row>
    <row r="133" spans="1:10" ht="60" customHeight="1">
      <c r="A133" s="6" t="s">
        <v>525</v>
      </c>
      <c r="B133" s="6" t="s">
        <v>48</v>
      </c>
      <c r="C133" s="6" t="s">
        <v>526</v>
      </c>
      <c r="D133" s="7" t="s">
        <v>527</v>
      </c>
      <c r="E133" s="8" t="s">
        <v>528</v>
      </c>
      <c r="F133" s="6" t="s">
        <v>529</v>
      </c>
      <c r="G133" s="9">
        <f>IF(A133=1,"_",IF(C133="_","???",C133))</f>
        <v/>
      </c>
      <c r="H133" s="10" t="s">
        <v>15</v>
      </c>
      <c r="I133" s="11" t="s">
        <v>15</v>
      </c>
      <c r="J133" s="12"/>
    </row>
    <row r="134" spans="1:10" ht="60" customHeight="1">
      <c r="A134" s="6" t="s">
        <v>530</v>
      </c>
      <c r="B134" s="6" t="s">
        <v>22</v>
      </c>
      <c r="C134" s="6" t="s">
        <v>15</v>
      </c>
      <c r="D134" s="7" t="s">
        <v>531</v>
      </c>
      <c r="E134" s="8" t="s">
        <v>532</v>
      </c>
      <c r="F134" s="6" t="s">
        <v>533</v>
      </c>
      <c r="G134" s="9">
        <f>IF(A134=1,"_",IF(C134="_","???",C134))</f>
        <v/>
      </c>
      <c r="H134" s="10" t="s">
        <v>15</v>
      </c>
      <c r="I134" s="11" t="s">
        <v>15</v>
      </c>
      <c r="J134" s="12"/>
    </row>
    <row r="135" spans="1:10" ht="60" customHeight="1">
      <c r="A135" s="6" t="s">
        <v>534</v>
      </c>
      <c r="B135" s="6" t="s">
        <v>22</v>
      </c>
      <c r="C135" s="6" t="s">
        <v>15</v>
      </c>
      <c r="D135" s="7" t="s">
        <v>535</v>
      </c>
      <c r="E135" s="8" t="s">
        <v>536</v>
      </c>
      <c r="F135" s="6" t="s">
        <v>537</v>
      </c>
      <c r="G135" s="9">
        <f>IF(A135=1,"_",IF(C135="_","???",C135))</f>
        <v/>
      </c>
      <c r="H135" s="10" t="s">
        <v>15</v>
      </c>
      <c r="I135" s="11" t="s">
        <v>15</v>
      </c>
      <c r="J135" s="12"/>
    </row>
    <row r="136" spans="1:10" ht="60" customHeight="1">
      <c r="A136" s="6" t="s">
        <v>538</v>
      </c>
      <c r="B136" s="6" t="s">
        <v>36</v>
      </c>
      <c r="C136" s="6" t="s">
        <v>18</v>
      </c>
      <c r="D136" s="7" t="s">
        <v>102</v>
      </c>
      <c r="E136" s="8" t="s">
        <v>539</v>
      </c>
      <c r="F136" s="6" t="s">
        <v>540</v>
      </c>
      <c r="G136" s="9">
        <f>IF(A136=1,"_",IF(C136="_","???",C136))</f>
        <v/>
      </c>
      <c r="H136" s="10" t="s">
        <v>15</v>
      </c>
      <c r="I136" s="11" t="s">
        <v>15</v>
      </c>
      <c r="J136" s="12"/>
    </row>
    <row r="137" spans="1:10" ht="60" customHeight="1">
      <c r="A137" s="6" t="s">
        <v>541</v>
      </c>
      <c r="B137" s="6" t="s">
        <v>16</v>
      </c>
      <c r="C137" s="6" t="s">
        <v>24</v>
      </c>
      <c r="D137" s="7" t="s">
        <v>171</v>
      </c>
      <c r="E137" s="8" t="s">
        <v>542</v>
      </c>
      <c r="F137" s="6" t="s">
        <v>543</v>
      </c>
      <c r="G137" s="9">
        <f>IF(A137=1,"_",IF(C137="_","???",C137))</f>
        <v/>
      </c>
      <c r="H137" s="10" t="s">
        <v>15</v>
      </c>
      <c r="I137" s="11" t="s">
        <v>15</v>
      </c>
      <c r="J137" s="12"/>
    </row>
    <row r="138" spans="1:10" ht="60" customHeight="1">
      <c r="A138" s="6" t="s">
        <v>544</v>
      </c>
      <c r="B138" s="6" t="s">
        <v>22</v>
      </c>
      <c r="C138" s="6" t="s">
        <v>191</v>
      </c>
      <c r="D138" s="7" t="s">
        <v>491</v>
      </c>
      <c r="E138" s="8" t="s">
        <v>545</v>
      </c>
      <c r="F138" s="6" t="s">
        <v>546</v>
      </c>
      <c r="G138" s="9">
        <f>IF(A138=1,"_",IF(C138="_","???",C138))</f>
        <v/>
      </c>
      <c r="H138" s="10" t="s">
        <v>15</v>
      </c>
      <c r="I138" s="11" t="s">
        <v>15</v>
      </c>
      <c r="J138" s="12"/>
    </row>
    <row r="139" spans="1:10" ht="60" customHeight="1">
      <c r="A139" s="6" t="s">
        <v>547</v>
      </c>
      <c r="B139" s="6" t="s">
        <v>36</v>
      </c>
      <c r="C139" s="6" t="s">
        <v>18</v>
      </c>
      <c r="D139" s="7" t="s">
        <v>367</v>
      </c>
      <c r="E139" s="8" t="s">
        <v>548</v>
      </c>
      <c r="F139" s="6" t="s">
        <v>549</v>
      </c>
      <c r="G139" s="9">
        <f>IF(A139=1,"_",IF(C139="_","???",C139))</f>
        <v/>
      </c>
      <c r="H139" s="10" t="s">
        <v>15</v>
      </c>
      <c r="I139" s="11" t="s">
        <v>15</v>
      </c>
      <c r="J139" s="12"/>
    </row>
    <row r="140" spans="1:10" ht="60" customHeight="1">
      <c r="A140" s="6" t="s">
        <v>550</v>
      </c>
      <c r="B140" s="6" t="s">
        <v>81</v>
      </c>
      <c r="C140" s="6" t="s">
        <v>93</v>
      </c>
      <c r="D140" s="7" t="s">
        <v>551</v>
      </c>
      <c r="E140" s="8" t="s">
        <v>552</v>
      </c>
      <c r="F140" s="6" t="s">
        <v>553</v>
      </c>
      <c r="G140" s="9">
        <f>IF(A140=1,"_",IF(C140="_","???",C140))</f>
        <v/>
      </c>
      <c r="H140" s="10" t="s">
        <v>15</v>
      </c>
      <c r="I140" s="11" t="s">
        <v>15</v>
      </c>
      <c r="J140" s="12"/>
    </row>
    <row r="141" spans="1:10" ht="60" customHeight="1">
      <c r="A141" s="6" t="s">
        <v>554</v>
      </c>
      <c r="B141" s="6" t="s">
        <v>29</v>
      </c>
      <c r="C141" s="6" t="s">
        <v>55</v>
      </c>
      <c r="D141" s="7" t="s">
        <v>555</v>
      </c>
      <c r="E141" s="8" t="s">
        <v>556</v>
      </c>
      <c r="F141" s="6" t="s">
        <v>557</v>
      </c>
      <c r="G141" s="9">
        <f>IF(A141=1,"_",IF(C141="_","???",C141))</f>
        <v/>
      </c>
      <c r="H141" s="10" t="s">
        <v>15</v>
      </c>
      <c r="I141" s="11" t="s">
        <v>15</v>
      </c>
      <c r="J141" s="12"/>
    </row>
    <row r="142" spans="1:10" ht="60" customHeight="1">
      <c r="A142" s="6" t="s">
        <v>558</v>
      </c>
      <c r="B142" s="6" t="s">
        <v>10</v>
      </c>
      <c r="C142" s="6" t="s">
        <v>15</v>
      </c>
      <c r="D142" s="7" t="s">
        <v>559</v>
      </c>
      <c r="E142" s="8" t="s">
        <v>560</v>
      </c>
      <c r="F142" s="6" t="s">
        <v>561</v>
      </c>
      <c r="G142" s="9">
        <f>IF(A142=1,"_",IF(C142="_","???",C142))</f>
        <v/>
      </c>
      <c r="H142" s="10" t="s">
        <v>15</v>
      </c>
      <c r="I142" s="11" t="s">
        <v>15</v>
      </c>
      <c r="J142" s="12"/>
    </row>
    <row r="143" spans="1:10" ht="60" customHeight="1">
      <c r="A143" s="6" t="s">
        <v>562</v>
      </c>
      <c r="B143" s="6" t="s">
        <v>16</v>
      </c>
      <c r="C143" s="6" t="s">
        <v>11</v>
      </c>
      <c r="D143" s="7" t="s">
        <v>491</v>
      </c>
      <c r="E143" s="8" t="s">
        <v>563</v>
      </c>
      <c r="F143" s="6" t="s">
        <v>564</v>
      </c>
      <c r="G143" s="9">
        <f>IF(A143=1,"_",IF(C143="_","???",C143))</f>
        <v/>
      </c>
      <c r="H143" s="10" t="s">
        <v>15</v>
      </c>
      <c r="I143" s="11" t="s">
        <v>15</v>
      </c>
      <c r="J143" s="12"/>
    </row>
    <row r="144" spans="1:10" ht="60" customHeight="1">
      <c r="A144" s="6" t="s">
        <v>565</v>
      </c>
      <c r="B144" s="6" t="s">
        <v>16</v>
      </c>
      <c r="C144" s="6" t="s">
        <v>15</v>
      </c>
      <c r="D144" s="7" t="s">
        <v>292</v>
      </c>
      <c r="E144" s="8" t="s">
        <v>566</v>
      </c>
      <c r="F144" s="6" t="s">
        <v>567</v>
      </c>
      <c r="G144" s="9">
        <f>IF(A144=1,"_",IF(C144="_","???",C144))</f>
        <v/>
      </c>
      <c r="H144" s="10" t="s">
        <v>15</v>
      </c>
      <c r="I144" s="11" t="s">
        <v>15</v>
      </c>
      <c r="J144" s="12"/>
    </row>
    <row r="145" spans="1:10" ht="60" customHeight="1">
      <c r="A145" s="6" t="s">
        <v>568</v>
      </c>
      <c r="B145" s="6" t="s">
        <v>10</v>
      </c>
      <c r="C145" s="6" t="s">
        <v>15</v>
      </c>
      <c r="D145" s="7" t="s">
        <v>164</v>
      </c>
      <c r="E145" s="8" t="s">
        <v>569</v>
      </c>
      <c r="F145" s="6" t="s">
        <v>570</v>
      </c>
      <c r="G145" s="9">
        <f>IF(A145=1,"_",IF(C145="_","???",C145))</f>
        <v/>
      </c>
      <c r="H145" s="10" t="s">
        <v>15</v>
      </c>
      <c r="I145" s="11" t="s">
        <v>15</v>
      </c>
      <c r="J145" s="12"/>
    </row>
    <row r="146" spans="1:10" ht="60" customHeight="1">
      <c r="A146" s="6" t="s">
        <v>571</v>
      </c>
      <c r="B146" s="6" t="s">
        <v>40</v>
      </c>
      <c r="C146" s="6" t="s">
        <v>50</v>
      </c>
      <c r="D146" s="7" t="s">
        <v>572</v>
      </c>
      <c r="E146" s="8" t="s">
        <v>573</v>
      </c>
      <c r="F146" s="6" t="s">
        <v>574</v>
      </c>
      <c r="G146" s="9">
        <f>IF(A146=1,"_",IF(C146="_","???",C146))</f>
        <v/>
      </c>
      <c r="H146" s="10" t="s">
        <v>15</v>
      </c>
      <c r="I146" s="11" t="s">
        <v>15</v>
      </c>
      <c r="J146" s="12"/>
    </row>
    <row r="147" spans="1:10" ht="60" customHeight="1">
      <c r="A147" s="6" t="s">
        <v>575</v>
      </c>
      <c r="B147" s="6" t="s">
        <v>28</v>
      </c>
      <c r="C147" s="6" t="s">
        <v>15</v>
      </c>
      <c r="D147" s="7" t="s">
        <v>576</v>
      </c>
      <c r="E147" s="8" t="s">
        <v>577</v>
      </c>
      <c r="F147" s="6" t="s">
        <v>578</v>
      </c>
      <c r="G147" s="9">
        <f>IF(A147=1,"_",IF(C147="_","???",C147))</f>
        <v/>
      </c>
      <c r="H147" s="10" t="s">
        <v>15</v>
      </c>
      <c r="I147" s="11" t="s">
        <v>15</v>
      </c>
      <c r="J147" s="12"/>
    </row>
    <row r="148" spans="1:10" ht="60" customHeight="1">
      <c r="A148" s="6" t="s">
        <v>579</v>
      </c>
      <c r="B148" s="6" t="s">
        <v>54</v>
      </c>
      <c r="C148" s="6" t="s">
        <v>163</v>
      </c>
      <c r="D148" s="7" t="s">
        <v>580</v>
      </c>
      <c r="E148" s="8" t="s">
        <v>581</v>
      </c>
      <c r="F148" s="6" t="s">
        <v>582</v>
      </c>
      <c r="G148" s="9">
        <f>IF(A148=1,"_",IF(C148="_","???",C148))</f>
        <v/>
      </c>
      <c r="H148" s="10" t="s">
        <v>15</v>
      </c>
      <c r="I148" s="11" t="s">
        <v>15</v>
      </c>
      <c r="J148" s="12"/>
    </row>
    <row r="149" spans="1:10" ht="60" customHeight="1">
      <c r="A149" s="6" t="s">
        <v>583</v>
      </c>
      <c r="B149" s="6" t="s">
        <v>36</v>
      </c>
      <c r="C149" s="6" t="s">
        <v>15</v>
      </c>
      <c r="D149" s="7" t="s">
        <v>164</v>
      </c>
      <c r="E149" s="8" t="s">
        <v>584</v>
      </c>
      <c r="F149" s="6" t="s">
        <v>585</v>
      </c>
      <c r="G149" s="9">
        <f>IF(A149=1,"_",IF(C149="_","???",C149))</f>
        <v/>
      </c>
      <c r="H149" s="10" t="s">
        <v>15</v>
      </c>
      <c r="I149" s="11" t="s">
        <v>15</v>
      </c>
      <c r="J149" s="12"/>
    </row>
    <row r="150" spans="1:10" ht="60" customHeight="1">
      <c r="A150" s="6" t="s">
        <v>586</v>
      </c>
      <c r="B150" s="6" t="s">
        <v>16</v>
      </c>
      <c r="C150" s="6" t="s">
        <v>163</v>
      </c>
      <c r="D150" s="7" t="s">
        <v>587</v>
      </c>
      <c r="E150" s="8" t="s">
        <v>588</v>
      </c>
      <c r="F150" s="6" t="s">
        <v>589</v>
      </c>
      <c r="G150" s="9">
        <f>IF(A150=1,"_",IF(C150="_","???",C150))</f>
        <v/>
      </c>
      <c r="H150" s="10" t="s">
        <v>15</v>
      </c>
      <c r="I150" s="11" t="s">
        <v>15</v>
      </c>
      <c r="J150" s="12"/>
    </row>
    <row r="151" spans="1:10" ht="60" customHeight="1">
      <c r="A151" s="6" t="s">
        <v>590</v>
      </c>
      <c r="B151" s="6" t="s">
        <v>16</v>
      </c>
      <c r="C151" s="6" t="s">
        <v>55</v>
      </c>
      <c r="D151" s="7" t="s">
        <v>82</v>
      </c>
      <c r="E151" s="8" t="s">
        <v>591</v>
      </c>
      <c r="F151" s="6" t="s">
        <v>592</v>
      </c>
      <c r="G151" s="9">
        <f>IF(A151=1,"_",IF(C151="_","???",C151))</f>
        <v/>
      </c>
      <c r="H151" s="10" t="s">
        <v>15</v>
      </c>
      <c r="I151" s="11" t="s">
        <v>15</v>
      </c>
      <c r="J151" s="12"/>
    </row>
    <row r="152" spans="1:10" ht="60" customHeight="1">
      <c r="A152" s="6" t="s">
        <v>593</v>
      </c>
      <c r="B152" s="6" t="s">
        <v>10</v>
      </c>
      <c r="C152" s="6" t="s">
        <v>11</v>
      </c>
      <c r="D152" s="7" t="s">
        <v>594</v>
      </c>
      <c r="E152" s="8" t="s">
        <v>595</v>
      </c>
      <c r="F152" s="6" t="s">
        <v>596</v>
      </c>
      <c r="G152" s="9">
        <f>IF(A152=1,"_",IF(C152="_","???",C152))</f>
        <v/>
      </c>
      <c r="H152" s="10" t="s">
        <v>15</v>
      </c>
      <c r="I152" s="11" t="s">
        <v>15</v>
      </c>
      <c r="J152" s="12"/>
    </row>
    <row r="153" spans="1:10" ht="60" customHeight="1">
      <c r="A153" s="6" t="s">
        <v>597</v>
      </c>
      <c r="B153" s="6" t="s">
        <v>10</v>
      </c>
      <c r="C153" s="6" t="s">
        <v>147</v>
      </c>
      <c r="D153" s="7" t="s">
        <v>598</v>
      </c>
      <c r="E153" s="8" t="s">
        <v>599</v>
      </c>
      <c r="F153" s="6" t="s">
        <v>600</v>
      </c>
      <c r="G153" s="9">
        <f>IF(A153=1,"_",IF(C153="_","???",C153))</f>
        <v/>
      </c>
      <c r="H153" s="10" t="s">
        <v>15</v>
      </c>
      <c r="I153" s="11" t="s">
        <v>15</v>
      </c>
      <c r="J153" s="12"/>
    </row>
    <row r="154" spans="1:10" ht="60" customHeight="1">
      <c r="A154" s="6" t="s">
        <v>601</v>
      </c>
      <c r="B154" s="6" t="s">
        <v>211</v>
      </c>
      <c r="C154" s="6" t="s">
        <v>15</v>
      </c>
      <c r="D154" s="7" t="s">
        <v>602</v>
      </c>
      <c r="E154" s="8" t="s">
        <v>603</v>
      </c>
      <c r="F154" s="6" t="s">
        <v>604</v>
      </c>
      <c r="G154" s="9">
        <f>IF(A154=1,"_",IF(C154="_","???",C154))</f>
        <v/>
      </c>
      <c r="H154" s="10" t="s">
        <v>15</v>
      </c>
      <c r="I154" s="11" t="s">
        <v>15</v>
      </c>
      <c r="J154" s="12"/>
    </row>
    <row r="155" spans="1:10" ht="60" customHeight="1">
      <c r="A155" s="6" t="s">
        <v>605</v>
      </c>
      <c r="B155" s="6" t="s">
        <v>22</v>
      </c>
      <c r="C155" s="6" t="s">
        <v>93</v>
      </c>
      <c r="D155" s="7" t="s">
        <v>606</v>
      </c>
      <c r="E155" s="8" t="s">
        <v>607</v>
      </c>
      <c r="F155" s="6" t="s">
        <v>608</v>
      </c>
      <c r="G155" s="9">
        <f>IF(A155=1,"_",IF(C155="_","???",C155))</f>
        <v/>
      </c>
      <c r="H155" s="10" t="s">
        <v>15</v>
      </c>
      <c r="I155" s="11" t="s">
        <v>15</v>
      </c>
      <c r="J155" s="12"/>
    </row>
    <row r="156" spans="1:10" ht="60" customHeight="1">
      <c r="A156" s="6" t="s">
        <v>609</v>
      </c>
      <c r="B156" s="6" t="s">
        <v>16</v>
      </c>
      <c r="C156" s="6" t="s">
        <v>15</v>
      </c>
      <c r="D156" s="7" t="s">
        <v>267</v>
      </c>
      <c r="E156" s="8" t="s">
        <v>610</v>
      </c>
      <c r="F156" s="6" t="s">
        <v>611</v>
      </c>
      <c r="G156" s="9">
        <f>IF(A156=1,"_",IF(C156="_","???",C156))</f>
        <v/>
      </c>
      <c r="H156" s="10" t="s">
        <v>15</v>
      </c>
      <c r="I156" s="11" t="s">
        <v>15</v>
      </c>
      <c r="J156" s="12"/>
    </row>
    <row r="157" spans="1:10" ht="60" customHeight="1">
      <c r="A157" s="6" t="s">
        <v>612</v>
      </c>
      <c r="B157" s="6" t="s">
        <v>22</v>
      </c>
      <c r="C157" s="6" t="s">
        <v>15</v>
      </c>
      <c r="D157" s="7" t="s">
        <v>613</v>
      </c>
      <c r="E157" s="8" t="s">
        <v>614</v>
      </c>
      <c r="F157" s="6" t="s">
        <v>615</v>
      </c>
      <c r="G157" s="9">
        <f>IF(A157=1,"_",IF(C157="_","???",C157))</f>
        <v/>
      </c>
      <c r="H157" s="10" t="s">
        <v>15</v>
      </c>
      <c r="I157" s="11" t="s">
        <v>15</v>
      </c>
      <c r="J157" s="12"/>
    </row>
    <row r="158" spans="1:10" ht="60" customHeight="1">
      <c r="A158" s="6" t="s">
        <v>616</v>
      </c>
      <c r="B158" s="6" t="s">
        <v>73</v>
      </c>
      <c r="C158" s="6" t="s">
        <v>59</v>
      </c>
      <c r="D158" s="7" t="s">
        <v>102</v>
      </c>
      <c r="E158" s="8" t="s">
        <v>617</v>
      </c>
      <c r="F158" s="6" t="s">
        <v>618</v>
      </c>
      <c r="G158" s="9">
        <f>IF(A158=1,"_",IF(C158="_","???",C158))</f>
        <v/>
      </c>
      <c r="H158" s="10" t="s">
        <v>15</v>
      </c>
      <c r="I158" s="11" t="s">
        <v>15</v>
      </c>
      <c r="J158" s="12"/>
    </row>
    <row r="159" spans="1:10" ht="60" customHeight="1">
      <c r="A159" s="6" t="s">
        <v>619</v>
      </c>
      <c r="B159" s="6" t="s">
        <v>22</v>
      </c>
      <c r="C159" s="6" t="s">
        <v>15</v>
      </c>
      <c r="D159" s="7" t="s">
        <v>535</v>
      </c>
      <c r="E159" s="8" t="s">
        <v>620</v>
      </c>
      <c r="F159" s="6" t="s">
        <v>621</v>
      </c>
      <c r="G159" s="9">
        <f>IF(A159=1,"_",IF(C159="_","???",C159))</f>
        <v/>
      </c>
      <c r="H159" s="10" t="s">
        <v>15</v>
      </c>
      <c r="I159" s="11" t="s">
        <v>15</v>
      </c>
      <c r="J159" s="12"/>
    </row>
    <row r="160" spans="1:10" ht="60" customHeight="1">
      <c r="A160" s="6" t="s">
        <v>622</v>
      </c>
      <c r="B160" s="6" t="s">
        <v>16</v>
      </c>
      <c r="C160" s="6" t="s">
        <v>15</v>
      </c>
      <c r="D160" s="7" t="s">
        <v>623</v>
      </c>
      <c r="E160" s="8" t="s">
        <v>624</v>
      </c>
      <c r="F160" s="6" t="s">
        <v>625</v>
      </c>
      <c r="G160" s="9">
        <f>IF(A160=1,"_",IF(C160="_","???",C160))</f>
        <v/>
      </c>
      <c r="H160" s="10" t="s">
        <v>15</v>
      </c>
      <c r="I160" s="11" t="s">
        <v>15</v>
      </c>
      <c r="J160" s="12"/>
    </row>
    <row r="161" spans="1:10" ht="60" customHeight="1">
      <c r="A161" s="6" t="s">
        <v>626</v>
      </c>
      <c r="B161" s="6" t="s">
        <v>155</v>
      </c>
      <c r="C161" s="6" t="s">
        <v>106</v>
      </c>
      <c r="D161" s="7" t="s">
        <v>627</v>
      </c>
      <c r="E161" s="8" t="s">
        <v>628</v>
      </c>
      <c r="F161" s="6" t="s">
        <v>629</v>
      </c>
      <c r="G161" s="9">
        <f>IF(A161=1,"_",IF(C161="_","???",C161))</f>
        <v/>
      </c>
      <c r="H161" s="10" t="s">
        <v>15</v>
      </c>
      <c r="I161" s="11" t="s">
        <v>15</v>
      </c>
      <c r="J161" s="12"/>
    </row>
    <row r="162" spans="1:10" ht="60" customHeight="1">
      <c r="A162" s="6" t="s">
        <v>630</v>
      </c>
      <c r="B162" s="6" t="s">
        <v>23</v>
      </c>
      <c r="C162" s="6" t="s">
        <v>631</v>
      </c>
      <c r="D162" s="7" t="s">
        <v>235</v>
      </c>
      <c r="E162" s="8" t="s">
        <v>632</v>
      </c>
      <c r="F162" s="6" t="s">
        <v>633</v>
      </c>
      <c r="G162" s="9">
        <f>IF(A162=1,"_",IF(C162="_","???",C162))</f>
        <v/>
      </c>
      <c r="H162" s="10" t="s">
        <v>15</v>
      </c>
      <c r="I162" s="11" t="s">
        <v>15</v>
      </c>
      <c r="J162" s="12"/>
    </row>
    <row r="163" spans="1:10" ht="60" customHeight="1">
      <c r="A163" s="6" t="s">
        <v>634</v>
      </c>
      <c r="B163" s="6" t="s">
        <v>22</v>
      </c>
      <c r="C163" s="6" t="s">
        <v>191</v>
      </c>
      <c r="D163" s="7" t="s">
        <v>635</v>
      </c>
      <c r="E163" s="8" t="s">
        <v>636</v>
      </c>
      <c r="F163" s="6" t="s">
        <v>637</v>
      </c>
      <c r="G163" s="9">
        <f>IF(A163=1,"_",IF(C163="_","???",C163))</f>
        <v/>
      </c>
      <c r="H163" s="10" t="s">
        <v>15</v>
      </c>
      <c r="I163" s="11" t="s">
        <v>15</v>
      </c>
      <c r="J163" s="12"/>
    </row>
    <row r="164" spans="1:10" ht="60" customHeight="1">
      <c r="A164" s="6" t="s">
        <v>638</v>
      </c>
      <c r="B164" s="6" t="s">
        <v>40</v>
      </c>
      <c r="C164" s="6" t="s">
        <v>11</v>
      </c>
      <c r="D164" s="7" t="s">
        <v>102</v>
      </c>
      <c r="E164" s="8" t="s">
        <v>639</v>
      </c>
      <c r="F164" s="6" t="s">
        <v>640</v>
      </c>
      <c r="G164" s="9">
        <f>IF(A164=1,"_",IF(C164="_","???",C164))</f>
        <v/>
      </c>
      <c r="H164" s="10" t="s">
        <v>15</v>
      </c>
      <c r="I164" s="11" t="s">
        <v>15</v>
      </c>
      <c r="J164" s="12"/>
    </row>
    <row r="165" spans="1:10" ht="60" customHeight="1">
      <c r="A165" s="6" t="s">
        <v>641</v>
      </c>
      <c r="B165" s="6" t="s">
        <v>23</v>
      </c>
      <c r="C165" s="6" t="s">
        <v>15</v>
      </c>
      <c r="D165" s="7" t="s">
        <v>642</v>
      </c>
      <c r="E165" s="8" t="s">
        <v>643</v>
      </c>
      <c r="F165" s="6" t="s">
        <v>644</v>
      </c>
      <c r="G165" s="9">
        <f>IF(A165=1,"_",IF(C165="_","???",C165))</f>
        <v/>
      </c>
      <c r="H165" s="10" t="s">
        <v>15</v>
      </c>
      <c r="I165" s="11" t="s">
        <v>15</v>
      </c>
      <c r="J165" s="12"/>
    </row>
    <row r="166" spans="1:10" ht="60" customHeight="1">
      <c r="A166" s="6" t="s">
        <v>645</v>
      </c>
      <c r="B166" s="6" t="s">
        <v>28</v>
      </c>
      <c r="C166" s="6" t="s">
        <v>55</v>
      </c>
      <c r="D166" s="7" t="s">
        <v>164</v>
      </c>
      <c r="E166" s="8" t="s">
        <v>646</v>
      </c>
      <c r="F166" s="6" t="s">
        <v>647</v>
      </c>
      <c r="G166" s="9">
        <f>IF(A166=1,"_",IF(C166="_","???",C166))</f>
        <v/>
      </c>
      <c r="H166" s="10" t="s">
        <v>15</v>
      </c>
      <c r="I166" s="11" t="s">
        <v>15</v>
      </c>
      <c r="J166" s="12"/>
    </row>
    <row r="167" spans="1:10" ht="60" customHeight="1">
      <c r="A167" s="6" t="s">
        <v>648</v>
      </c>
      <c r="B167" s="6" t="s">
        <v>16</v>
      </c>
      <c r="C167" s="6" t="s">
        <v>15</v>
      </c>
      <c r="D167" s="7" t="s">
        <v>164</v>
      </c>
      <c r="E167" s="8" t="s">
        <v>649</v>
      </c>
      <c r="F167" s="6" t="s">
        <v>650</v>
      </c>
      <c r="G167" s="9">
        <f>IF(A167=1,"_",IF(C167="_","???",C167))</f>
        <v/>
      </c>
      <c r="H167" s="10" t="s">
        <v>15</v>
      </c>
      <c r="I167" s="11" t="s">
        <v>15</v>
      </c>
      <c r="J167" s="12"/>
    </row>
    <row r="168" spans="1:10" ht="60" customHeight="1">
      <c r="A168" s="6" t="s">
        <v>651</v>
      </c>
      <c r="B168" s="6" t="s">
        <v>10</v>
      </c>
      <c r="C168" s="6" t="s">
        <v>15</v>
      </c>
      <c r="D168" s="7" t="s">
        <v>652</v>
      </c>
      <c r="E168" s="8" t="s">
        <v>653</v>
      </c>
      <c r="F168" s="6" t="s">
        <v>654</v>
      </c>
      <c r="G168" s="9">
        <f>IF(A168=1,"_",IF(C168="_","???",C168))</f>
        <v/>
      </c>
      <c r="H168" s="10" t="s">
        <v>15</v>
      </c>
      <c r="I168" s="11" t="s">
        <v>15</v>
      </c>
      <c r="J168" s="12"/>
    </row>
    <row r="169" spans="1:10" ht="60" customHeight="1">
      <c r="A169" s="6" t="s">
        <v>655</v>
      </c>
      <c r="B169" s="6" t="s">
        <v>23</v>
      </c>
      <c r="C169" s="6" t="s">
        <v>15</v>
      </c>
      <c r="D169" s="7" t="s">
        <v>367</v>
      </c>
      <c r="E169" s="8" t="s">
        <v>656</v>
      </c>
      <c r="F169" s="6" t="s">
        <v>657</v>
      </c>
      <c r="G169" s="9">
        <f>IF(A169=1,"_",IF(C169="_","???",C169))</f>
        <v/>
      </c>
      <c r="H169" s="10" t="s">
        <v>15</v>
      </c>
      <c r="I169" s="11" t="s">
        <v>15</v>
      </c>
      <c r="J169" s="12"/>
    </row>
    <row r="170" spans="1:10" ht="60" customHeight="1">
      <c r="A170" s="6" t="s">
        <v>658</v>
      </c>
      <c r="B170" s="6" t="s">
        <v>22</v>
      </c>
      <c r="C170" s="6" t="s">
        <v>15</v>
      </c>
      <c r="D170" s="7" t="s">
        <v>659</v>
      </c>
      <c r="E170" s="8" t="s">
        <v>660</v>
      </c>
      <c r="F170" s="6" t="s">
        <v>661</v>
      </c>
      <c r="G170" s="9">
        <f>IF(A170=1,"_",IF(C170="_","???",C170))</f>
        <v/>
      </c>
      <c r="H170" s="10" t="s">
        <v>15</v>
      </c>
      <c r="I170" s="11" t="s">
        <v>15</v>
      </c>
      <c r="J170" s="12"/>
    </row>
    <row r="171" spans="1:10" ht="60" customHeight="1">
      <c r="A171" s="6" t="s">
        <v>662</v>
      </c>
      <c r="B171" s="6" t="s">
        <v>128</v>
      </c>
      <c r="C171" s="6" t="s">
        <v>15</v>
      </c>
      <c r="D171" s="7" t="s">
        <v>527</v>
      </c>
      <c r="E171" s="8" t="s">
        <v>663</v>
      </c>
      <c r="F171" s="6" t="s">
        <v>664</v>
      </c>
      <c r="G171" s="9">
        <f>IF(A171=1,"_",IF(C171="_","???",C171))</f>
        <v/>
      </c>
      <c r="H171" s="10" t="s">
        <v>15</v>
      </c>
      <c r="I171" s="11" t="s">
        <v>15</v>
      </c>
      <c r="J171" s="12"/>
    </row>
    <row r="172" spans="1:10" ht="60" customHeight="1">
      <c r="A172" s="6" t="s">
        <v>665</v>
      </c>
      <c r="B172" s="6" t="s">
        <v>44</v>
      </c>
      <c r="C172" s="6" t="s">
        <v>15</v>
      </c>
      <c r="D172" s="7" t="s">
        <v>164</v>
      </c>
      <c r="E172" s="8" t="s">
        <v>666</v>
      </c>
      <c r="F172" s="6" t="s">
        <v>667</v>
      </c>
      <c r="G172" s="9">
        <f>IF(A172=1,"_",IF(C172="_","???",C172))</f>
        <v/>
      </c>
      <c r="H172" s="10" t="s">
        <v>15</v>
      </c>
      <c r="I172" s="11" t="s">
        <v>15</v>
      </c>
      <c r="J172" s="12"/>
    </row>
    <row r="173" spans="1:10" ht="60" customHeight="1">
      <c r="A173" s="6" t="s">
        <v>668</v>
      </c>
      <c r="B173" s="6" t="s">
        <v>23</v>
      </c>
      <c r="C173" s="6" t="s">
        <v>15</v>
      </c>
      <c r="D173" s="7" t="s">
        <v>345</v>
      </c>
      <c r="E173" s="8" t="s">
        <v>669</v>
      </c>
      <c r="F173" s="6" t="s">
        <v>670</v>
      </c>
      <c r="G173" s="9">
        <f>IF(A173=1,"_",IF(C173="_","???",C173))</f>
        <v/>
      </c>
      <c r="H173" s="10" t="s">
        <v>15</v>
      </c>
      <c r="I173" s="11" t="s">
        <v>15</v>
      </c>
      <c r="J173" s="12"/>
    </row>
    <row r="174" spans="1:10" ht="60" customHeight="1">
      <c r="A174" s="6" t="s">
        <v>671</v>
      </c>
      <c r="B174" s="6" t="s">
        <v>16</v>
      </c>
      <c r="C174" s="6" t="s">
        <v>672</v>
      </c>
      <c r="D174" s="7" t="s">
        <v>587</v>
      </c>
      <c r="E174" s="8" t="s">
        <v>673</v>
      </c>
      <c r="F174" s="6" t="s">
        <v>674</v>
      </c>
      <c r="G174" s="9">
        <f>IF(A174=1,"_",IF(C174="_","???",C174))</f>
        <v/>
      </c>
      <c r="H174" s="10" t="s">
        <v>15</v>
      </c>
      <c r="I174" s="11" t="s">
        <v>15</v>
      </c>
      <c r="J174" s="12"/>
    </row>
    <row r="175" spans="1:10" ht="60" customHeight="1">
      <c r="A175" s="6" t="s">
        <v>675</v>
      </c>
      <c r="B175" s="6" t="s">
        <v>16</v>
      </c>
      <c r="C175" s="6" t="s">
        <v>15</v>
      </c>
      <c r="D175" s="7" t="s">
        <v>676</v>
      </c>
      <c r="E175" s="8" t="s">
        <v>677</v>
      </c>
      <c r="F175" s="6" t="s">
        <v>678</v>
      </c>
      <c r="G175" s="9">
        <f>IF(A175=1,"_",IF(C175="_","???",C175))</f>
        <v/>
      </c>
      <c r="H175" s="10" t="s">
        <v>15</v>
      </c>
      <c r="I175" s="11" t="s">
        <v>15</v>
      </c>
      <c r="J175" s="12"/>
    </row>
    <row r="176" spans="1:10" ht="60" customHeight="1">
      <c r="A176" s="6" t="s">
        <v>679</v>
      </c>
      <c r="B176" s="6" t="s">
        <v>22</v>
      </c>
      <c r="C176" s="6" t="s">
        <v>116</v>
      </c>
      <c r="D176" s="7" t="s">
        <v>680</v>
      </c>
      <c r="E176" s="8" t="s">
        <v>681</v>
      </c>
      <c r="F176" s="6" t="s">
        <v>682</v>
      </c>
      <c r="G176" s="9">
        <f>IF(A176=1,"_",IF(C176="_","???",C176))</f>
        <v/>
      </c>
      <c r="H176" s="10" t="s">
        <v>15</v>
      </c>
      <c r="I176" s="11" t="s">
        <v>15</v>
      </c>
      <c r="J176" s="12"/>
    </row>
    <row r="177" spans="1:10" ht="60" customHeight="1">
      <c r="A177" s="6" t="s">
        <v>683</v>
      </c>
      <c r="B177" s="6" t="s">
        <v>16</v>
      </c>
      <c r="C177" s="6" t="s">
        <v>11</v>
      </c>
      <c r="D177" s="7" t="s">
        <v>176</v>
      </c>
      <c r="E177" s="8" t="s">
        <v>684</v>
      </c>
      <c r="F177" s="6" t="s">
        <v>685</v>
      </c>
      <c r="G177" s="9">
        <f>IF(A177=1,"_",IF(C177="_","???",C177))</f>
        <v/>
      </c>
      <c r="H177" s="10" t="s">
        <v>15</v>
      </c>
      <c r="I177" s="11" t="s">
        <v>15</v>
      </c>
      <c r="J177" s="12"/>
    </row>
    <row r="178" spans="1:10" ht="60" customHeight="1">
      <c r="A178" s="6" t="s">
        <v>686</v>
      </c>
      <c r="B178" s="6" t="s">
        <v>66</v>
      </c>
      <c r="C178" s="6" t="s">
        <v>15</v>
      </c>
      <c r="D178" s="7" t="s">
        <v>687</v>
      </c>
      <c r="E178" s="8" t="s">
        <v>688</v>
      </c>
      <c r="F178" s="6" t="s">
        <v>689</v>
      </c>
      <c r="G178" s="9">
        <f>IF(A178=1,"_",IF(C178="_","???",C178))</f>
        <v/>
      </c>
      <c r="H178" s="10" t="s">
        <v>15</v>
      </c>
      <c r="I178" s="11" t="s">
        <v>15</v>
      </c>
      <c r="J178" s="12"/>
    </row>
    <row r="179" spans="1:10" ht="60" customHeight="1">
      <c r="A179" s="6" t="s">
        <v>690</v>
      </c>
      <c r="B179" s="6" t="s">
        <v>36</v>
      </c>
      <c r="C179" s="6" t="s">
        <v>11</v>
      </c>
      <c r="D179" s="7" t="s">
        <v>691</v>
      </c>
      <c r="E179" s="8" t="s">
        <v>692</v>
      </c>
      <c r="F179" s="6" t="s">
        <v>693</v>
      </c>
      <c r="G179" s="9">
        <f>IF(A179=1,"_",IF(C179="_","???",C179))</f>
        <v/>
      </c>
      <c r="H179" s="10" t="s">
        <v>15</v>
      </c>
      <c r="I179" s="11" t="s">
        <v>15</v>
      </c>
      <c r="J179" s="12"/>
    </row>
    <row r="180" spans="1:10" ht="60" customHeight="1">
      <c r="A180" s="6" t="s">
        <v>694</v>
      </c>
      <c r="B180" s="6" t="s">
        <v>54</v>
      </c>
      <c r="C180" s="6" t="s">
        <v>11</v>
      </c>
      <c r="D180" s="7" t="s">
        <v>695</v>
      </c>
      <c r="E180" s="8" t="s">
        <v>696</v>
      </c>
      <c r="F180" s="6" t="s">
        <v>697</v>
      </c>
      <c r="G180" s="9">
        <f>IF(A180=1,"_",IF(C180="_","???",C180))</f>
        <v/>
      </c>
      <c r="H180" s="10" t="s">
        <v>15</v>
      </c>
      <c r="I180" s="11" t="s">
        <v>15</v>
      </c>
      <c r="J180" s="12"/>
    </row>
    <row r="181" spans="1:10" ht="60" customHeight="1">
      <c r="A181" s="6" t="s">
        <v>698</v>
      </c>
      <c r="B181" s="6" t="s">
        <v>22</v>
      </c>
      <c r="C181" s="6" t="s">
        <v>24</v>
      </c>
      <c r="D181" s="7" t="s">
        <v>699</v>
      </c>
      <c r="E181" s="8" t="s">
        <v>700</v>
      </c>
      <c r="F181" s="6" t="s">
        <v>701</v>
      </c>
      <c r="G181" s="9">
        <f>IF(A181=1,"_",IF(C181="_","???",C181))</f>
        <v/>
      </c>
      <c r="H181" s="10" t="s">
        <v>15</v>
      </c>
      <c r="I181" s="11" t="s">
        <v>15</v>
      </c>
      <c r="J181" s="12"/>
    </row>
    <row r="182" spans="1:10" ht="60" customHeight="1">
      <c r="A182" s="6" t="s">
        <v>702</v>
      </c>
      <c r="B182" s="6" t="s">
        <v>10</v>
      </c>
      <c r="C182" s="6" t="s">
        <v>15</v>
      </c>
      <c r="D182" s="7" t="s">
        <v>703</v>
      </c>
      <c r="E182" s="8" t="s">
        <v>704</v>
      </c>
      <c r="F182" s="6" t="s">
        <v>705</v>
      </c>
      <c r="G182" s="9">
        <f>IF(A182=1,"_",IF(C182="_","???",C182))</f>
        <v/>
      </c>
      <c r="H182" s="10" t="s">
        <v>15</v>
      </c>
      <c r="I182" s="11" t="s">
        <v>15</v>
      </c>
      <c r="J182" s="12"/>
    </row>
    <row r="183" spans="1:10" ht="60" customHeight="1">
      <c r="A183" s="6" t="s">
        <v>706</v>
      </c>
      <c r="B183" s="6" t="s">
        <v>16</v>
      </c>
      <c r="C183" s="6" t="s">
        <v>15</v>
      </c>
      <c r="D183" s="7" t="s">
        <v>707</v>
      </c>
      <c r="E183" s="8" t="s">
        <v>708</v>
      </c>
      <c r="F183" s="6" t="s">
        <v>709</v>
      </c>
      <c r="G183" s="9">
        <f>IF(A183=1,"_",IF(C183="_","???",C183))</f>
        <v/>
      </c>
      <c r="H183" s="10" t="s">
        <v>15</v>
      </c>
      <c r="I183" s="11" t="s">
        <v>15</v>
      </c>
      <c r="J183" s="12"/>
    </row>
    <row r="184" spans="1:10" ht="60" customHeight="1">
      <c r="A184" s="6" t="s">
        <v>710</v>
      </c>
      <c r="B184" s="6" t="s">
        <v>66</v>
      </c>
      <c r="C184" s="6" t="s">
        <v>15</v>
      </c>
      <c r="D184" s="7" t="s">
        <v>711</v>
      </c>
      <c r="E184" s="8" t="s">
        <v>712</v>
      </c>
      <c r="F184" s="6" t="s">
        <v>713</v>
      </c>
      <c r="G184" s="9">
        <f>IF(A184=1,"_",IF(C184="_","???",C184))</f>
        <v/>
      </c>
      <c r="H184" s="10" t="s">
        <v>15</v>
      </c>
      <c r="I184" s="11" t="s">
        <v>15</v>
      </c>
      <c r="J184" s="12"/>
    </row>
    <row r="185" spans="1:10" ht="60" customHeight="1">
      <c r="A185" s="6" t="s">
        <v>714</v>
      </c>
      <c r="B185" s="6" t="s">
        <v>49</v>
      </c>
      <c r="C185" s="6" t="s">
        <v>50</v>
      </c>
      <c r="D185" s="7" t="s">
        <v>715</v>
      </c>
      <c r="E185" s="8" t="s">
        <v>716</v>
      </c>
      <c r="F185" s="6" t="s">
        <v>717</v>
      </c>
      <c r="G185" s="9">
        <f>IF(A185=1,"_",IF(C185="_","???",C185))</f>
        <v/>
      </c>
      <c r="H185" s="10" t="s">
        <v>15</v>
      </c>
      <c r="I185" s="11" t="s">
        <v>15</v>
      </c>
      <c r="J185" s="12"/>
    </row>
    <row r="186" spans="1:10" ht="60" customHeight="1">
      <c r="A186" s="6" t="s">
        <v>718</v>
      </c>
      <c r="B186" s="6" t="s">
        <v>16</v>
      </c>
      <c r="C186" s="6" t="s">
        <v>55</v>
      </c>
      <c r="D186" s="7" t="s">
        <v>259</v>
      </c>
      <c r="E186" s="8" t="s">
        <v>719</v>
      </c>
      <c r="F186" s="6" t="s">
        <v>720</v>
      </c>
      <c r="G186" s="9">
        <f>IF(A186=1,"_",IF(C186="_","???",C186))</f>
        <v/>
      </c>
      <c r="H186" s="10" t="s">
        <v>15</v>
      </c>
      <c r="I186" s="11" t="s">
        <v>15</v>
      </c>
      <c r="J186" s="12"/>
    </row>
    <row r="187" spans="1:10" ht="60" customHeight="1">
      <c r="A187" s="6" t="s">
        <v>721</v>
      </c>
      <c r="B187" s="6" t="s">
        <v>10</v>
      </c>
      <c r="C187" s="6" t="s">
        <v>15</v>
      </c>
      <c r="D187" s="7" t="s">
        <v>235</v>
      </c>
      <c r="E187" s="8" t="s">
        <v>722</v>
      </c>
      <c r="F187" s="6" t="s">
        <v>723</v>
      </c>
      <c r="G187" s="9">
        <f>IF(A187=1,"_",IF(C187="_","???",C187))</f>
        <v/>
      </c>
      <c r="H187" s="10" t="s">
        <v>15</v>
      </c>
      <c r="I187" s="11" t="s">
        <v>15</v>
      </c>
      <c r="J187" s="12"/>
    </row>
    <row r="188" spans="1:10" ht="60" customHeight="1">
      <c r="A188" s="6" t="s">
        <v>724</v>
      </c>
      <c r="B188" s="6" t="s">
        <v>16</v>
      </c>
      <c r="C188" s="6" t="s">
        <v>15</v>
      </c>
      <c r="D188" s="7" t="s">
        <v>330</v>
      </c>
      <c r="E188" s="8" t="s">
        <v>725</v>
      </c>
      <c r="F188" s="6" t="s">
        <v>726</v>
      </c>
      <c r="G188" s="9">
        <f>IF(A188=1,"_",IF(C188="_","???",C188))</f>
        <v/>
      </c>
      <c r="H188" s="10" t="s">
        <v>15</v>
      </c>
      <c r="I188" s="11" t="s">
        <v>15</v>
      </c>
      <c r="J188" s="12"/>
    </row>
    <row r="189" spans="1:10" ht="60" customHeight="1">
      <c r="A189" s="6" t="s">
        <v>727</v>
      </c>
      <c r="B189" s="6" t="s">
        <v>10</v>
      </c>
      <c r="C189" s="6" t="s">
        <v>15</v>
      </c>
      <c r="D189" s="7" t="s">
        <v>728</v>
      </c>
      <c r="E189" s="8" t="s">
        <v>729</v>
      </c>
      <c r="F189" s="6" t="s">
        <v>730</v>
      </c>
      <c r="G189" s="9">
        <f>IF(A189=1,"_",IF(C189="_","???",C189))</f>
        <v/>
      </c>
      <c r="H189" s="10" t="s">
        <v>15</v>
      </c>
      <c r="I189" s="11" t="s">
        <v>15</v>
      </c>
      <c r="J189" s="12"/>
    </row>
    <row r="190" spans="1:10" ht="60" customHeight="1">
      <c r="A190" s="6" t="s">
        <v>731</v>
      </c>
      <c r="B190" s="6" t="s">
        <v>23</v>
      </c>
      <c r="C190" s="6" t="s">
        <v>24</v>
      </c>
      <c r="D190" s="7" t="s">
        <v>367</v>
      </c>
      <c r="E190" s="8" t="s">
        <v>732</v>
      </c>
      <c r="F190" s="6" t="s">
        <v>733</v>
      </c>
      <c r="G190" s="9">
        <f>IF(A190=1,"_",IF(C190="_","???",C190))</f>
        <v/>
      </c>
      <c r="H190" s="10" t="s">
        <v>15</v>
      </c>
      <c r="I190" s="11" t="s">
        <v>15</v>
      </c>
      <c r="J190" s="12"/>
    </row>
    <row r="191" spans="1:10" ht="60" customHeight="1">
      <c r="A191" s="6" t="s">
        <v>734</v>
      </c>
      <c r="B191" s="6" t="s">
        <v>22</v>
      </c>
      <c r="C191" s="6" t="s">
        <v>509</v>
      </c>
      <c r="D191" s="7" t="s">
        <v>735</v>
      </c>
      <c r="E191" s="8" t="s">
        <v>736</v>
      </c>
      <c r="F191" s="6" t="s">
        <v>737</v>
      </c>
      <c r="G191" s="9">
        <f>IF(A191=1,"_",IF(C191="_","???",C191))</f>
        <v/>
      </c>
      <c r="H191" s="10" t="s">
        <v>15</v>
      </c>
      <c r="I191" s="11" t="s">
        <v>15</v>
      </c>
      <c r="J191" s="12"/>
    </row>
    <row r="192" spans="1:10" ht="60" customHeight="1">
      <c r="A192" s="6" t="s">
        <v>738</v>
      </c>
      <c r="B192" s="6" t="s">
        <v>16</v>
      </c>
      <c r="C192" s="6" t="s">
        <v>15</v>
      </c>
      <c r="D192" s="7" t="s">
        <v>739</v>
      </c>
      <c r="E192" s="8" t="s">
        <v>740</v>
      </c>
      <c r="F192" s="6" t="s">
        <v>741</v>
      </c>
      <c r="G192" s="9">
        <f>IF(A192=1,"_",IF(C192="_","???",C192))</f>
        <v/>
      </c>
      <c r="H192" s="10" t="s">
        <v>15</v>
      </c>
      <c r="I192" s="11" t="s">
        <v>15</v>
      </c>
      <c r="J192" s="12"/>
    </row>
    <row r="193" spans="1:10" ht="60" customHeight="1">
      <c r="A193" s="6" t="s">
        <v>742</v>
      </c>
      <c r="B193" s="6" t="s">
        <v>22</v>
      </c>
      <c r="C193" s="6" t="s">
        <v>15</v>
      </c>
      <c r="D193" s="7" t="s">
        <v>743</v>
      </c>
      <c r="E193" s="8" t="s">
        <v>744</v>
      </c>
      <c r="F193" s="6" t="s">
        <v>745</v>
      </c>
      <c r="G193" s="9">
        <f>IF(A193=1,"_",IF(C193="_","???",C193))</f>
        <v/>
      </c>
      <c r="H193" s="10" t="s">
        <v>15</v>
      </c>
      <c r="I193" s="11" t="s">
        <v>15</v>
      </c>
      <c r="J193" s="12"/>
    </row>
    <row r="194" spans="1:10" ht="60" customHeight="1">
      <c r="A194" s="6" t="s">
        <v>746</v>
      </c>
      <c r="B194" s="6" t="s">
        <v>16</v>
      </c>
      <c r="C194" s="6" t="s">
        <v>15</v>
      </c>
      <c r="D194" s="7" t="s">
        <v>747</v>
      </c>
      <c r="E194" s="8" t="s">
        <v>748</v>
      </c>
      <c r="F194" s="6" t="s">
        <v>749</v>
      </c>
      <c r="G194" s="9">
        <f>IF(A194=1,"_",IF(C194="_","???",C194))</f>
        <v/>
      </c>
      <c r="H194" s="10" t="s">
        <v>15</v>
      </c>
      <c r="I194" s="11" t="s">
        <v>15</v>
      </c>
      <c r="J194" s="12"/>
    </row>
    <row r="195" spans="1:10" ht="60" customHeight="1">
      <c r="A195" s="6" t="s">
        <v>750</v>
      </c>
      <c r="B195" s="6" t="s">
        <v>28</v>
      </c>
      <c r="C195" s="6" t="s">
        <v>15</v>
      </c>
      <c r="D195" s="7" t="s">
        <v>751</v>
      </c>
      <c r="E195" s="8" t="s">
        <v>752</v>
      </c>
      <c r="F195" s="6" t="s">
        <v>753</v>
      </c>
      <c r="G195" s="9">
        <f>IF(A195=1,"_",IF(C195="_","???",C195))</f>
        <v/>
      </c>
      <c r="H195" s="10" t="s">
        <v>15</v>
      </c>
      <c r="I195" s="11" t="s">
        <v>15</v>
      </c>
      <c r="J195" s="12"/>
    </row>
    <row r="196" spans="1:10" ht="60" customHeight="1">
      <c r="A196" s="6" t="s">
        <v>754</v>
      </c>
      <c r="B196" s="6" t="s">
        <v>10</v>
      </c>
      <c r="C196" s="6" t="s">
        <v>15</v>
      </c>
      <c r="D196" s="7" t="s">
        <v>755</v>
      </c>
      <c r="E196" s="8" t="s">
        <v>756</v>
      </c>
      <c r="F196" s="6" t="s">
        <v>757</v>
      </c>
      <c r="G196" s="9">
        <f>IF(A196=1,"_",IF(C196="_","???",C196))</f>
        <v/>
      </c>
      <c r="H196" s="10" t="s">
        <v>15</v>
      </c>
      <c r="I196" s="11" t="s">
        <v>15</v>
      </c>
      <c r="J196" s="12"/>
    </row>
    <row r="197" spans="1:10" ht="60" customHeight="1">
      <c r="A197" s="6" t="s">
        <v>758</v>
      </c>
      <c r="B197" s="6" t="s">
        <v>22</v>
      </c>
      <c r="C197" s="6" t="s">
        <v>11</v>
      </c>
      <c r="D197" s="7" t="s">
        <v>580</v>
      </c>
      <c r="E197" s="8" t="s">
        <v>759</v>
      </c>
      <c r="F197" s="6" t="s">
        <v>760</v>
      </c>
      <c r="G197" s="9">
        <f>IF(A197=1,"_",IF(C197="_","???",C197))</f>
        <v/>
      </c>
      <c r="H197" s="10" t="s">
        <v>15</v>
      </c>
      <c r="I197" s="11" t="s">
        <v>15</v>
      </c>
      <c r="J197" s="12"/>
    </row>
    <row r="198" spans="1:10" ht="60" customHeight="1">
      <c r="A198" s="6" t="s">
        <v>761</v>
      </c>
      <c r="B198" s="6" t="s">
        <v>22</v>
      </c>
      <c r="C198" s="6" t="s">
        <v>147</v>
      </c>
      <c r="D198" s="7" t="s">
        <v>762</v>
      </c>
      <c r="E198" s="8" t="s">
        <v>763</v>
      </c>
      <c r="F198" s="6" t="s">
        <v>764</v>
      </c>
      <c r="G198" s="9">
        <f>IF(A198=1,"_",IF(C198="_","???",C198))</f>
        <v/>
      </c>
      <c r="H198" s="10" t="s">
        <v>15</v>
      </c>
      <c r="I198" s="11" t="s">
        <v>15</v>
      </c>
      <c r="J198" s="12"/>
    </row>
    <row r="199" spans="1:10" ht="60" customHeight="1">
      <c r="A199" s="6" t="s">
        <v>765</v>
      </c>
      <c r="B199" s="6" t="s">
        <v>22</v>
      </c>
      <c r="C199" s="6" t="s">
        <v>11</v>
      </c>
      <c r="D199" s="7" t="s">
        <v>766</v>
      </c>
      <c r="E199" s="8" t="s">
        <v>767</v>
      </c>
      <c r="F199" s="6" t="s">
        <v>768</v>
      </c>
      <c r="G199" s="9">
        <f>IF(A199=1,"_",IF(C199="_","???",C199))</f>
        <v/>
      </c>
      <c r="H199" s="10" t="s">
        <v>15</v>
      </c>
      <c r="I199" s="11" t="s">
        <v>15</v>
      </c>
      <c r="J199" s="12"/>
    </row>
    <row r="200" spans="1:10" ht="60" customHeight="1">
      <c r="A200" s="6" t="s">
        <v>769</v>
      </c>
      <c r="B200" s="6" t="s">
        <v>10</v>
      </c>
      <c r="C200" s="6" t="s">
        <v>147</v>
      </c>
      <c r="D200" s="7" t="s">
        <v>770</v>
      </c>
      <c r="E200" s="8" t="s">
        <v>771</v>
      </c>
      <c r="F200" s="6" t="s">
        <v>772</v>
      </c>
      <c r="G200" s="9">
        <f>IF(A200=1,"_",IF(C200="_","???",C200))</f>
        <v/>
      </c>
      <c r="H200" s="10" t="s">
        <v>15</v>
      </c>
      <c r="I200" s="11" t="s">
        <v>15</v>
      </c>
      <c r="J200" s="12"/>
    </row>
    <row r="201" spans="1:10" ht="60" customHeight="1">
      <c r="A201" s="6" t="s">
        <v>773</v>
      </c>
      <c r="B201" s="6" t="s">
        <v>28</v>
      </c>
      <c r="C201" s="6" t="s">
        <v>15</v>
      </c>
      <c r="D201" s="7" t="s">
        <v>367</v>
      </c>
      <c r="E201" s="8" t="s">
        <v>774</v>
      </c>
      <c r="F201" s="6" t="s">
        <v>775</v>
      </c>
      <c r="G201" s="9">
        <f>IF(A201=1,"_",IF(C201="_","???",C201))</f>
        <v/>
      </c>
      <c r="H201" s="10" t="s">
        <v>15</v>
      </c>
      <c r="I201" s="11" t="s">
        <v>15</v>
      </c>
      <c r="J201" s="12"/>
    </row>
    <row r="202" spans="1:10" ht="60" customHeight="1">
      <c r="A202" s="6" t="s">
        <v>776</v>
      </c>
      <c r="B202" s="6" t="s">
        <v>48</v>
      </c>
      <c r="C202" s="6" t="s">
        <v>15</v>
      </c>
      <c r="D202" s="7" t="s">
        <v>82</v>
      </c>
      <c r="E202" s="8" t="s">
        <v>777</v>
      </c>
      <c r="F202" s="6" t="s">
        <v>778</v>
      </c>
      <c r="G202" s="9">
        <f>IF(A202=1,"_",IF(C202="_","???",C202))</f>
        <v/>
      </c>
      <c r="H202" s="10" t="s">
        <v>15</v>
      </c>
      <c r="I202" s="11" t="s">
        <v>15</v>
      </c>
      <c r="J202" s="12"/>
    </row>
    <row r="203" spans="1:10" ht="60" customHeight="1">
      <c r="A203" s="6" t="s">
        <v>779</v>
      </c>
      <c r="B203" s="6" t="s">
        <v>16</v>
      </c>
      <c r="C203" s="6" t="s">
        <v>55</v>
      </c>
      <c r="D203" s="7" t="s">
        <v>82</v>
      </c>
      <c r="E203" s="8" t="s">
        <v>780</v>
      </c>
      <c r="F203" s="6" t="s">
        <v>781</v>
      </c>
      <c r="G203" s="9">
        <f>IF(A203=1,"_",IF(C203="_","???",C203))</f>
        <v/>
      </c>
      <c r="H203" s="10" t="s">
        <v>15</v>
      </c>
      <c r="I203" s="11" t="s">
        <v>15</v>
      </c>
      <c r="J203" s="12"/>
    </row>
    <row r="204" spans="1:10" ht="60" customHeight="1">
      <c r="A204" s="6" t="s">
        <v>782</v>
      </c>
      <c r="B204" s="6" t="s">
        <v>54</v>
      </c>
      <c r="C204" s="6" t="s">
        <v>15</v>
      </c>
      <c r="D204" s="7" t="s">
        <v>471</v>
      </c>
      <c r="E204" s="8" t="s">
        <v>783</v>
      </c>
      <c r="F204" s="6" t="s">
        <v>784</v>
      </c>
      <c r="G204" s="9">
        <f>IF(A204=1,"_",IF(C204="_","???",C204))</f>
        <v/>
      </c>
      <c r="H204" s="10" t="s">
        <v>15</v>
      </c>
      <c r="I204" s="11" t="s">
        <v>15</v>
      </c>
      <c r="J204" s="12"/>
    </row>
    <row r="205" spans="1:10" ht="60" customHeight="1">
      <c r="A205" s="6" t="s">
        <v>785</v>
      </c>
      <c r="B205" s="6" t="s">
        <v>40</v>
      </c>
      <c r="C205" s="6" t="s">
        <v>11</v>
      </c>
      <c r="D205" s="7" t="s">
        <v>421</v>
      </c>
      <c r="E205" s="8" t="s">
        <v>786</v>
      </c>
      <c r="F205" s="6" t="s">
        <v>787</v>
      </c>
      <c r="G205" s="9">
        <f>IF(A205=1,"_",IF(C205="_","???",C205))</f>
        <v/>
      </c>
      <c r="H205" s="10" t="s">
        <v>15</v>
      </c>
      <c r="I205" s="11" t="s">
        <v>15</v>
      </c>
      <c r="J205" s="12"/>
    </row>
    <row r="206" spans="1:10" ht="60" customHeight="1">
      <c r="A206" s="6" t="s">
        <v>788</v>
      </c>
      <c r="B206" s="6" t="s">
        <v>22</v>
      </c>
      <c r="C206" s="6" t="s">
        <v>55</v>
      </c>
      <c r="D206" s="7" t="s">
        <v>789</v>
      </c>
      <c r="E206" s="8" t="s">
        <v>790</v>
      </c>
      <c r="F206" s="6" t="s">
        <v>791</v>
      </c>
      <c r="G206" s="9">
        <f>IF(A206=1,"_",IF(C206="_","???",C206))</f>
        <v/>
      </c>
      <c r="H206" s="10" t="s">
        <v>15</v>
      </c>
      <c r="I206" s="11" t="s">
        <v>15</v>
      </c>
      <c r="J206" s="12"/>
    </row>
    <row r="207" spans="1:10" ht="60" customHeight="1">
      <c r="A207" s="6" t="s">
        <v>792</v>
      </c>
      <c r="B207" s="6" t="s">
        <v>16</v>
      </c>
      <c r="C207" s="6" t="s">
        <v>59</v>
      </c>
      <c r="D207" s="7" t="s">
        <v>793</v>
      </c>
      <c r="E207" s="8" t="s">
        <v>794</v>
      </c>
      <c r="F207" s="6" t="s">
        <v>795</v>
      </c>
      <c r="G207" s="9">
        <f>IF(A207=1,"_",IF(C207="_","???",C207))</f>
        <v/>
      </c>
      <c r="H207" s="10" t="s">
        <v>15</v>
      </c>
      <c r="I207" s="11" t="s">
        <v>15</v>
      </c>
      <c r="J207" s="12"/>
    </row>
    <row r="208" spans="1:10" ht="60" customHeight="1">
      <c r="A208" s="6" t="s">
        <v>796</v>
      </c>
      <c r="B208" s="6" t="s">
        <v>16</v>
      </c>
      <c r="C208" s="6" t="s">
        <v>509</v>
      </c>
      <c r="D208" s="7" t="s">
        <v>797</v>
      </c>
      <c r="E208" s="8" t="s">
        <v>798</v>
      </c>
      <c r="F208" s="6" t="s">
        <v>799</v>
      </c>
      <c r="G208" s="9">
        <f>IF(A208=1,"_",IF(C208="_","???",C208))</f>
        <v/>
      </c>
      <c r="H208" s="10" t="s">
        <v>15</v>
      </c>
      <c r="I208" s="11" t="s">
        <v>15</v>
      </c>
      <c r="J208" s="12"/>
    </row>
    <row r="209" spans="1:10" ht="60" customHeight="1">
      <c r="A209" s="6" t="s">
        <v>800</v>
      </c>
      <c r="B209" s="6" t="s">
        <v>10</v>
      </c>
      <c r="C209" s="6" t="s">
        <v>15</v>
      </c>
      <c r="D209" s="7" t="s">
        <v>801</v>
      </c>
      <c r="E209" s="8" t="s">
        <v>802</v>
      </c>
      <c r="F209" s="6" t="s">
        <v>803</v>
      </c>
      <c r="G209" s="9">
        <f>IF(A209=1,"_",IF(C209="_","???",C209))</f>
        <v/>
      </c>
      <c r="H209" s="10" t="s">
        <v>15</v>
      </c>
      <c r="I209" s="11" t="s">
        <v>15</v>
      </c>
      <c r="J209" s="12"/>
    </row>
    <row r="210" spans="1:10" ht="60" customHeight="1">
      <c r="A210" s="6" t="s">
        <v>804</v>
      </c>
      <c r="B210" s="6" t="s">
        <v>28</v>
      </c>
      <c r="C210" s="6" t="s">
        <v>11</v>
      </c>
      <c r="D210" s="7" t="s">
        <v>467</v>
      </c>
      <c r="E210" s="8" t="s">
        <v>805</v>
      </c>
      <c r="F210" s="6" t="s">
        <v>806</v>
      </c>
      <c r="G210" s="9">
        <f>IF(A210=1,"_",IF(C210="_","???",C210))</f>
        <v/>
      </c>
      <c r="H210" s="10" t="s">
        <v>15</v>
      </c>
      <c r="I210" s="11" t="s">
        <v>15</v>
      </c>
      <c r="J210" s="12"/>
    </row>
    <row r="211" spans="1:10" ht="60" customHeight="1">
      <c r="A211" s="6" t="s">
        <v>807</v>
      </c>
      <c r="B211" s="6" t="s">
        <v>16</v>
      </c>
      <c r="C211" s="6" t="s">
        <v>116</v>
      </c>
      <c r="D211" s="7" t="s">
        <v>60</v>
      </c>
      <c r="E211" s="8" t="s">
        <v>808</v>
      </c>
      <c r="F211" s="6" t="s">
        <v>809</v>
      </c>
      <c r="G211" s="9">
        <f>IF(A211=1,"_",IF(C211="_","???",C211))</f>
        <v/>
      </c>
      <c r="H211" s="10" t="s">
        <v>15</v>
      </c>
      <c r="I211" s="11" t="s">
        <v>15</v>
      </c>
      <c r="J211" s="12"/>
    </row>
    <row r="212" spans="1:10" ht="60" customHeight="1">
      <c r="A212" s="6" t="s">
        <v>810</v>
      </c>
      <c r="B212" s="6" t="s">
        <v>16</v>
      </c>
      <c r="C212" s="6" t="s">
        <v>116</v>
      </c>
      <c r="D212" s="7" t="s">
        <v>811</v>
      </c>
      <c r="E212" s="8" t="s">
        <v>812</v>
      </c>
      <c r="F212" s="6" t="s">
        <v>813</v>
      </c>
      <c r="G212" s="9">
        <f>IF(A212=1,"_",IF(C212="_","???",C212))</f>
        <v/>
      </c>
      <c r="H212" s="10" t="s">
        <v>15</v>
      </c>
      <c r="I212" s="11" t="s">
        <v>15</v>
      </c>
      <c r="J212" s="12"/>
    </row>
    <row r="213" spans="1:10" ht="60" customHeight="1">
      <c r="A213" s="6" t="s">
        <v>814</v>
      </c>
      <c r="B213" s="6" t="s">
        <v>49</v>
      </c>
      <c r="C213" s="6" t="s">
        <v>11</v>
      </c>
      <c r="D213" s="7" t="s">
        <v>82</v>
      </c>
      <c r="E213" s="8" t="s">
        <v>815</v>
      </c>
      <c r="F213" s="6" t="s">
        <v>816</v>
      </c>
      <c r="G213" s="9">
        <f>IF(A213=1,"_",IF(C213="_","???",C213))</f>
        <v/>
      </c>
      <c r="H213" s="10" t="s">
        <v>15</v>
      </c>
      <c r="I213" s="11" t="s">
        <v>15</v>
      </c>
      <c r="J213" s="12"/>
    </row>
    <row r="214" spans="1:10" ht="60" customHeight="1">
      <c r="A214" s="6" t="s">
        <v>817</v>
      </c>
      <c r="B214" s="6" t="s">
        <v>36</v>
      </c>
      <c r="C214" s="6" t="s">
        <v>15</v>
      </c>
      <c r="D214" s="7" t="s">
        <v>60</v>
      </c>
      <c r="E214" s="8" t="s">
        <v>818</v>
      </c>
      <c r="F214" s="6" t="s">
        <v>819</v>
      </c>
      <c r="G214" s="9">
        <f>IF(A214=1,"_",IF(C214="_","???",C214))</f>
        <v/>
      </c>
      <c r="H214" s="10" t="s">
        <v>15</v>
      </c>
      <c r="I214" s="11" t="s">
        <v>15</v>
      </c>
      <c r="J214" s="12"/>
    </row>
    <row r="215" spans="1:10" ht="60" customHeight="1">
      <c r="A215" s="6" t="s">
        <v>820</v>
      </c>
      <c r="B215" s="6" t="s">
        <v>44</v>
      </c>
      <c r="C215" s="6" t="s">
        <v>163</v>
      </c>
      <c r="D215" s="7" t="s">
        <v>821</v>
      </c>
      <c r="E215" s="8" t="s">
        <v>822</v>
      </c>
      <c r="F215" s="6" t="s">
        <v>823</v>
      </c>
      <c r="G215" s="9">
        <f>IF(A215=1,"_",IF(C215="_","???",C215))</f>
        <v/>
      </c>
      <c r="H215" s="10" t="s">
        <v>15</v>
      </c>
      <c r="I215" s="11" t="s">
        <v>15</v>
      </c>
      <c r="J215" s="12"/>
    </row>
    <row r="216" spans="1:10" ht="60" customHeight="1">
      <c r="A216" s="6" t="s">
        <v>824</v>
      </c>
      <c r="B216" s="6" t="s">
        <v>36</v>
      </c>
      <c r="C216" s="6" t="s">
        <v>11</v>
      </c>
      <c r="D216" s="7" t="s">
        <v>471</v>
      </c>
      <c r="E216" s="8" t="s">
        <v>825</v>
      </c>
      <c r="F216" s="6" t="s">
        <v>826</v>
      </c>
      <c r="G216" s="9">
        <f>IF(A216=1,"_",IF(C216="_","???",C216))</f>
        <v/>
      </c>
      <c r="H216" s="10" t="s">
        <v>15</v>
      </c>
      <c r="I216" s="11" t="s">
        <v>15</v>
      </c>
      <c r="J216" s="12"/>
    </row>
    <row r="217" spans="1:10" ht="60" customHeight="1">
      <c r="A217" s="6" t="s">
        <v>827</v>
      </c>
      <c r="B217" s="6" t="s">
        <v>29</v>
      </c>
      <c r="C217" s="6" t="s">
        <v>15</v>
      </c>
      <c r="D217" s="7" t="s">
        <v>471</v>
      </c>
      <c r="E217" s="8" t="s">
        <v>828</v>
      </c>
      <c r="F217" s="6" t="s">
        <v>829</v>
      </c>
      <c r="G217" s="9">
        <f>IF(A217=1,"_",IF(C217="_","???",C217))</f>
        <v/>
      </c>
      <c r="H217" s="10" t="s">
        <v>15</v>
      </c>
      <c r="I217" s="11" t="s">
        <v>15</v>
      </c>
      <c r="J217" s="12"/>
    </row>
    <row r="218" spans="1:10" ht="60" customHeight="1">
      <c r="A218" s="6" t="s">
        <v>830</v>
      </c>
      <c r="B218" s="6" t="s">
        <v>23</v>
      </c>
      <c r="C218" s="6" t="s">
        <v>93</v>
      </c>
      <c r="D218" s="7" t="s">
        <v>831</v>
      </c>
      <c r="E218" s="8" t="s">
        <v>832</v>
      </c>
      <c r="F218" s="6" t="s">
        <v>833</v>
      </c>
      <c r="G218" s="9">
        <f>IF(A218=1,"_",IF(C218="_","???",C218))</f>
        <v/>
      </c>
      <c r="H218" s="10" t="s">
        <v>15</v>
      </c>
      <c r="I218" s="11" t="s">
        <v>15</v>
      </c>
      <c r="J218" s="12"/>
    </row>
    <row r="219" spans="1:10" ht="60" customHeight="1">
      <c r="A219" s="6" t="s">
        <v>834</v>
      </c>
      <c r="B219" s="6" t="s">
        <v>10</v>
      </c>
      <c r="C219" s="6" t="s">
        <v>15</v>
      </c>
      <c r="D219" s="7" t="s">
        <v>835</v>
      </c>
      <c r="E219" s="8" t="s">
        <v>836</v>
      </c>
      <c r="F219" s="6" t="s">
        <v>837</v>
      </c>
      <c r="G219" s="9">
        <f>IF(A219=1,"_",IF(C219="_","???",C219))</f>
        <v/>
      </c>
      <c r="H219" s="10" t="s">
        <v>15</v>
      </c>
      <c r="I219" s="11" t="s">
        <v>15</v>
      </c>
      <c r="J219" s="12"/>
    </row>
    <row r="220" spans="1:10" ht="60" customHeight="1">
      <c r="A220" s="6" t="s">
        <v>838</v>
      </c>
      <c r="B220" s="6" t="s">
        <v>159</v>
      </c>
      <c r="C220" s="6" t="s">
        <v>93</v>
      </c>
      <c r="D220" s="7" t="s">
        <v>839</v>
      </c>
      <c r="E220" s="8" t="s">
        <v>840</v>
      </c>
      <c r="F220" s="6" t="s">
        <v>841</v>
      </c>
      <c r="G220" s="9">
        <f>IF(A220=1,"_",IF(C220="_","???",C220))</f>
        <v/>
      </c>
      <c r="H220" s="10" t="s">
        <v>15</v>
      </c>
      <c r="I220" s="11" t="s">
        <v>15</v>
      </c>
      <c r="J220" s="12"/>
    </row>
    <row r="221" spans="1:10" ht="60" customHeight="1">
      <c r="A221" s="6" t="s">
        <v>842</v>
      </c>
      <c r="B221" s="6" t="s">
        <v>36</v>
      </c>
      <c r="C221" s="6" t="s">
        <v>152</v>
      </c>
      <c r="D221" s="7" t="s">
        <v>843</v>
      </c>
      <c r="E221" s="8" t="s">
        <v>844</v>
      </c>
      <c r="F221" s="6" t="s">
        <v>845</v>
      </c>
      <c r="G221" s="9">
        <f>IF(A221=1,"_",IF(C221="_","???",C221))</f>
        <v/>
      </c>
      <c r="H221" s="10" t="s">
        <v>15</v>
      </c>
      <c r="I221" s="11" t="s">
        <v>15</v>
      </c>
      <c r="J221" s="12"/>
    </row>
    <row r="222" spans="1:10" ht="60" customHeight="1">
      <c r="A222" s="6" t="s">
        <v>846</v>
      </c>
      <c r="B222" s="6" t="s">
        <v>10</v>
      </c>
      <c r="C222" s="6" t="s">
        <v>15</v>
      </c>
      <c r="D222" s="7" t="s">
        <v>847</v>
      </c>
      <c r="E222" s="8" t="s">
        <v>848</v>
      </c>
      <c r="F222" s="6" t="s">
        <v>849</v>
      </c>
      <c r="G222" s="9">
        <f>IF(A222=1,"_",IF(C222="_","???",C222))</f>
        <v/>
      </c>
      <c r="H222" s="10" t="s">
        <v>15</v>
      </c>
      <c r="I222" s="11" t="s">
        <v>15</v>
      </c>
      <c r="J222" s="12"/>
    </row>
    <row r="223" spans="1:10" ht="60" customHeight="1">
      <c r="A223" s="6" t="s">
        <v>850</v>
      </c>
      <c r="B223" s="6" t="s">
        <v>28</v>
      </c>
      <c r="C223" s="6" t="s">
        <v>15</v>
      </c>
      <c r="D223" s="7" t="s">
        <v>851</v>
      </c>
      <c r="E223" s="8" t="s">
        <v>852</v>
      </c>
      <c r="F223" s="6" t="s">
        <v>853</v>
      </c>
      <c r="G223" s="9">
        <f>IF(A223=1,"_",IF(C223="_","???",C223))</f>
        <v/>
      </c>
      <c r="H223" s="10" t="s">
        <v>15</v>
      </c>
      <c r="I223" s="11" t="s">
        <v>15</v>
      </c>
      <c r="J223" s="12"/>
    </row>
    <row r="224" spans="1:10" ht="60" customHeight="1">
      <c r="A224" s="6" t="s">
        <v>854</v>
      </c>
      <c r="B224" s="6" t="s">
        <v>44</v>
      </c>
      <c r="C224" s="6" t="s">
        <v>55</v>
      </c>
      <c r="D224" s="7" t="s">
        <v>855</v>
      </c>
      <c r="E224" s="8" t="s">
        <v>856</v>
      </c>
      <c r="F224" s="6" t="s">
        <v>857</v>
      </c>
      <c r="G224" s="9">
        <f>IF(A224=1,"_",IF(C224="_","???",C224))</f>
        <v/>
      </c>
      <c r="H224" s="10" t="s">
        <v>15</v>
      </c>
      <c r="I224" s="11" t="s">
        <v>15</v>
      </c>
      <c r="J224" s="12"/>
    </row>
    <row r="225" spans="1:10" ht="60" customHeight="1">
      <c r="A225" s="6" t="s">
        <v>858</v>
      </c>
      <c r="B225" s="6" t="s">
        <v>49</v>
      </c>
      <c r="C225" s="6" t="s">
        <v>11</v>
      </c>
      <c r="D225" s="7" t="s">
        <v>859</v>
      </c>
      <c r="E225" s="8" t="s">
        <v>860</v>
      </c>
      <c r="F225" s="6" t="s">
        <v>861</v>
      </c>
      <c r="G225" s="9">
        <f>IF(A225=1,"_",IF(C225="_","???",C225))</f>
        <v/>
      </c>
      <c r="H225" s="10" t="s">
        <v>15</v>
      </c>
      <c r="I225" s="11" t="s">
        <v>15</v>
      </c>
      <c r="J225" s="12"/>
    </row>
    <row r="226" spans="1:10" ht="60" customHeight="1">
      <c r="A226" s="6" t="s">
        <v>862</v>
      </c>
      <c r="B226" s="6" t="s">
        <v>16</v>
      </c>
      <c r="C226" s="6" t="s">
        <v>11</v>
      </c>
      <c r="D226" s="7" t="s">
        <v>863</v>
      </c>
      <c r="E226" s="8" t="s">
        <v>864</v>
      </c>
      <c r="F226" s="6" t="s">
        <v>865</v>
      </c>
      <c r="G226" s="9">
        <f>IF(A226=1,"_",IF(C226="_","???",C226))</f>
        <v/>
      </c>
      <c r="H226" s="10" t="s">
        <v>15</v>
      </c>
      <c r="I226" s="11" t="s">
        <v>15</v>
      </c>
      <c r="J226" s="12"/>
    </row>
    <row r="227" spans="1:10" ht="60" customHeight="1">
      <c r="A227" s="6" t="s">
        <v>866</v>
      </c>
      <c r="B227" s="6" t="s">
        <v>36</v>
      </c>
      <c r="C227" s="6" t="s">
        <v>15</v>
      </c>
      <c r="D227" s="7" t="s">
        <v>867</v>
      </c>
      <c r="E227" s="8" t="s">
        <v>868</v>
      </c>
      <c r="F227" s="6" t="s">
        <v>869</v>
      </c>
      <c r="G227" s="9">
        <f>IF(A227=1,"_",IF(C227="_","???",C227))</f>
        <v/>
      </c>
      <c r="H227" s="10" t="s">
        <v>15</v>
      </c>
      <c r="I227" s="11" t="s">
        <v>15</v>
      </c>
      <c r="J227" s="12"/>
    </row>
    <row r="228" spans="1:10" ht="60" customHeight="1">
      <c r="A228" s="6" t="s">
        <v>870</v>
      </c>
      <c r="B228" s="6" t="s">
        <v>36</v>
      </c>
      <c r="C228" s="6" t="s">
        <v>147</v>
      </c>
      <c r="D228" s="7" t="s">
        <v>63</v>
      </c>
      <c r="E228" s="8" t="s">
        <v>871</v>
      </c>
      <c r="F228" s="6" t="s">
        <v>872</v>
      </c>
      <c r="G228" s="9">
        <f>IF(A228=1,"_",IF(C228="_","???",C228))</f>
        <v/>
      </c>
      <c r="H228" s="10" t="s">
        <v>15</v>
      </c>
      <c r="I228" s="11" t="s">
        <v>15</v>
      </c>
      <c r="J228" s="12"/>
    </row>
    <row r="229" spans="1:10" ht="60" customHeight="1">
      <c r="A229" s="6" t="s">
        <v>873</v>
      </c>
      <c r="B229" s="6" t="s">
        <v>115</v>
      </c>
      <c r="C229" s="6" t="s">
        <v>11</v>
      </c>
      <c r="D229" s="7" t="s">
        <v>874</v>
      </c>
      <c r="E229" s="8" t="s">
        <v>875</v>
      </c>
      <c r="F229" s="6" t="s">
        <v>876</v>
      </c>
      <c r="G229" s="9">
        <f>IF(A229=1,"_",IF(C229="_","???",C229))</f>
        <v/>
      </c>
      <c r="H229" s="10" t="s">
        <v>15</v>
      </c>
      <c r="I229" s="11" t="s">
        <v>15</v>
      </c>
      <c r="J229" s="12"/>
    </row>
    <row r="230" spans="1:10" ht="60" customHeight="1">
      <c r="A230" s="6" t="s">
        <v>877</v>
      </c>
      <c r="B230" s="6" t="s">
        <v>10</v>
      </c>
      <c r="C230" s="6" t="s">
        <v>147</v>
      </c>
      <c r="D230" s="7" t="s">
        <v>259</v>
      </c>
      <c r="E230" s="8" t="s">
        <v>878</v>
      </c>
      <c r="F230" s="6" t="s">
        <v>879</v>
      </c>
      <c r="G230" s="9">
        <f>IF(A230=1,"_",IF(C230="_","???",C230))</f>
        <v/>
      </c>
      <c r="H230" s="10" t="s">
        <v>15</v>
      </c>
      <c r="I230" s="11" t="s">
        <v>15</v>
      </c>
      <c r="J230" s="12"/>
    </row>
    <row r="231" spans="1:10" ht="60" customHeight="1">
      <c r="A231" s="6" t="s">
        <v>880</v>
      </c>
      <c r="B231" s="6" t="s">
        <v>16</v>
      </c>
      <c r="C231" s="6" t="s">
        <v>59</v>
      </c>
      <c r="D231" s="7" t="s">
        <v>881</v>
      </c>
      <c r="E231" s="8" t="s">
        <v>882</v>
      </c>
      <c r="F231" s="6" t="s">
        <v>883</v>
      </c>
      <c r="G231" s="9">
        <f>IF(A231=1,"_",IF(C231="_","???",C231))</f>
        <v/>
      </c>
      <c r="H231" s="10" t="s">
        <v>15</v>
      </c>
      <c r="I231" s="11" t="s">
        <v>15</v>
      </c>
      <c r="J231" s="12"/>
    </row>
    <row r="232" spans="1:10" ht="60" customHeight="1">
      <c r="A232" s="6" t="s">
        <v>884</v>
      </c>
      <c r="B232" s="6" t="s">
        <v>16</v>
      </c>
      <c r="C232" s="6" t="s">
        <v>59</v>
      </c>
      <c r="D232" s="7" t="s">
        <v>881</v>
      </c>
      <c r="E232" s="8" t="s">
        <v>885</v>
      </c>
      <c r="F232" s="6" t="s">
        <v>886</v>
      </c>
      <c r="G232" s="9">
        <f>IF(A232=1,"_",IF(C232="_","???",C232))</f>
        <v/>
      </c>
      <c r="H232" s="10" t="s">
        <v>15</v>
      </c>
      <c r="I232" s="11" t="s">
        <v>15</v>
      </c>
      <c r="J232" s="12"/>
    </row>
    <row r="233" spans="1:10" ht="60" customHeight="1">
      <c r="A233" s="6" t="s">
        <v>887</v>
      </c>
      <c r="B233" s="6" t="s">
        <v>36</v>
      </c>
      <c r="C233" s="6" t="s">
        <v>15</v>
      </c>
      <c r="D233" s="7" t="s">
        <v>888</v>
      </c>
      <c r="E233" s="8" t="s">
        <v>889</v>
      </c>
      <c r="F233" s="6" t="s">
        <v>890</v>
      </c>
      <c r="G233" s="9">
        <f>IF(A233=1,"_",IF(C233="_","???",C233))</f>
        <v/>
      </c>
      <c r="H233" s="10" t="s">
        <v>15</v>
      </c>
      <c r="I233" s="11" t="s">
        <v>15</v>
      </c>
      <c r="J233" s="12"/>
    </row>
    <row r="234" spans="1:10" ht="60" customHeight="1">
      <c r="A234" s="6" t="s">
        <v>891</v>
      </c>
      <c r="B234" s="6" t="s">
        <v>10</v>
      </c>
      <c r="C234" s="6" t="s">
        <v>15</v>
      </c>
      <c r="D234" s="7" t="s">
        <v>892</v>
      </c>
      <c r="E234" s="8" t="s">
        <v>893</v>
      </c>
      <c r="F234" s="6" t="s">
        <v>894</v>
      </c>
      <c r="G234" s="9">
        <f>IF(A234=1,"_",IF(C234="_","???",C234))</f>
        <v/>
      </c>
      <c r="H234" s="10" t="s">
        <v>15</v>
      </c>
      <c r="I234" s="11" t="s">
        <v>15</v>
      </c>
      <c r="J23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97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895</v>
      </c>
      <c r="B1" s="13" t="s">
        <v>896</v>
      </c>
      <c r="C1" s="13" t="s">
        <v>897</v>
      </c>
      <c r="D1" s="13" t="s">
        <v>898</v>
      </c>
      <c r="E1" s="14" t="s">
        <v>899</v>
      </c>
      <c r="F1" s="15" t="s">
        <v>900</v>
      </c>
      <c r="G1" s="16" t="s">
        <v>901</v>
      </c>
      <c r="H1" s="17" t="s">
        <v>902</v>
      </c>
      <c r="I1" s="18" t="s">
        <v>903</v>
      </c>
      <c r="J1" s="18" t="s">
        <v>904</v>
      </c>
      <c r="K1" s="18" t="s">
        <v>905</v>
      </c>
      <c r="L1" s="19" t="s">
        <v>9</v>
      </c>
    </row>
    <row r="2" spans="1:12">
      <c r="A2" s="20" t="s">
        <v>906</v>
      </c>
    </row>
    <row r="3" spans="1:12">
      <c r="A3" s="20" t="s">
        <v>907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908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909</v>
      </c>
      <c r="B5" s="27" t="s">
        <v>910</v>
      </c>
      <c r="C5" s="27" t="s">
        <v>911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912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913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914</v>
      </c>
      <c r="B8" s="27" t="s">
        <v>915</v>
      </c>
      <c r="C8" s="27" t="s">
        <v>916</v>
      </c>
      <c r="D8" s="27" t="s">
        <v>917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918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919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920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921</v>
      </c>
      <c r="B12" s="27" t="s">
        <v>915</v>
      </c>
      <c r="C12" s="27" t="s">
        <v>916</v>
      </c>
      <c r="D12" s="27" t="s">
        <v>917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922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919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923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924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918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924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925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926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927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913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928</v>
      </c>
      <c r="B23" s="27" t="s">
        <v>929</v>
      </c>
      <c r="C23" s="27" t="s">
        <v>916</v>
      </c>
      <c r="D23" s="27" t="s">
        <v>917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930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931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932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row>
    <row r="28" spans="1:12">
      <c r="A28" s="20" t="s">
        <v>933</v>
      </c>
    </row>
    <row r="29" spans="1:12">
      <c r="A29" s="20" t="s">
        <v>934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935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936</v>
      </c>
      <c r="B31" s="27" t="s">
        <v>937</v>
      </c>
      <c r="C31" s="27" t="s">
        <v>938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939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940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918</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941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456</v>
      </c>
      <c r="B36" s="27" t="s">
        <v>942</v>
      </c>
      <c r="C36" s="27" t="s">
        <v>943</v>
      </c>
      <c r="D36" s="27" t="s">
        <v>917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918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944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908</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945</v>
      </c>
      <c r="B40" s="27" t="s">
        <v>946</v>
      </c>
      <c r="C40" s="27" t="s">
        <v>911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947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918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947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918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925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948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927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949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950</v>
      </c>
      <c r="B49" s="27" t="s">
        <v>929</v>
      </c>
      <c r="C49" s="27" t="s">
        <v>916</v>
      </c>
      <c r="D49" s="27" t="s">
        <v>917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951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930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952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932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row>
    <row r="55" spans="1:12">
      <c r="A55" s="20" t="s">
        <v>953</v>
      </c>
    </row>
    <row r="56" spans="1:12">
      <c r="A56" s="20" t="s">
        <v>934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954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955</v>
      </c>
      <c r="B58" s="27" t="s">
        <v>910</v>
      </c>
      <c r="C58" s="27" t="s">
        <v>956</v>
      </c>
      <c r="D58" s="27" t="s">
        <v>917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957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941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958</v>
      </c>
      <c r="B62" s="27" t="s">
        <v>910</v>
      </c>
      <c r="C62" s="27" t="s">
        <v>911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919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959</v>
      </c>
      <c r="B64" s="27" t="s">
        <v>946</v>
      </c>
      <c r="C64" s="27" t="s">
        <v>943</v>
      </c>
      <c r="D64" s="27" t="s">
        <v>917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960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961</v>
      </c>
      <c r="B66" s="27" t="s">
        <v>962</v>
      </c>
      <c r="C66" s="27" t="s">
        <v>938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963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964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965</v>
      </c>
      <c r="B69" s="27" t="s">
        <v>962</v>
      </c>
      <c r="C69" s="27" t="s">
        <v>943</v>
      </c>
      <c r="D69" s="27" t="s">
        <v>917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966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967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968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969</v>
      </c>
      <c r="B73" s="27" t="s">
        <v>970</v>
      </c>
      <c r="C73" s="27" t="s">
        <v>971</v>
      </c>
      <c r="D73" s="27" t="s">
        <v>917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960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972</v>
      </c>
      <c r="B75" s="27" t="s">
        <v>973</v>
      </c>
      <c r="C75" s="27" t="s">
        <v>974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918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975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918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976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977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978</v>
      </c>
      <c r="B81" s="27" t="s">
        <v>929</v>
      </c>
      <c r="C81" s="27" t="s">
        <v>916</v>
      </c>
      <c r="D81" s="27" t="s">
        <v>917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979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963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980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918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944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981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936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920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982</v>
      </c>
      <c r="B90" s="27" t="s">
        <v>983</v>
      </c>
      <c r="C90" s="27" t="s">
        <v>916</v>
      </c>
      <c r="D90" s="27" t="s">
        <v>917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984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941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985</v>
      </c>
      <c r="B93" s="27" t="s">
        <v>973</v>
      </c>
      <c r="C93" s="27" t="s">
        <v>911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919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964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986</v>
      </c>
      <c r="B96" s="27" t="s">
        <v>987</v>
      </c>
      <c r="C96" s="27" t="s">
        <v>916</v>
      </c>
      <c r="D96" s="27" t="s">
        <v>917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918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988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908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989</v>
      </c>
      <c r="B100" s="27" t="s">
        <v>990</v>
      </c>
      <c r="C100" s="27" t="s">
        <v>911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918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991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992</v>
      </c>
      <c r="B103" s="27" t="s">
        <v>987</v>
      </c>
      <c r="C103" s="27" t="s">
        <v>956</v>
      </c>
      <c r="D103" s="27" t="s">
        <v>917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918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919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913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993</v>
      </c>
      <c r="B107" s="27" t="s">
        <v>987</v>
      </c>
      <c r="C107" s="27" t="s">
        <v>916</v>
      </c>
      <c r="D107" s="27" t="s">
        <v>917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918</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941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994</v>
      </c>
      <c r="B110" s="27" t="s">
        <v>987</v>
      </c>
      <c r="C110" s="27" t="s">
        <v>911</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995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996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918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997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918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998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932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row>
    <row r="119" spans="1:12">
      <c r="A119" s="20" t="s">
        <v>999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1000</v>
      </c>
    </row>
    <row r="121" spans="1:12">
      <c r="A121" s="20" t="s">
        <v>934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954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1001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1002</v>
      </c>
      <c r="B124" s="27" t="s">
        <v>942</v>
      </c>
      <c r="C124" s="27" t="s">
        <v>911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912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949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1003</v>
      </c>
      <c r="B127" s="27" t="s">
        <v>915</v>
      </c>
      <c r="C127" s="27" t="s">
        <v>916</v>
      </c>
      <c r="D127" s="27" t="s">
        <v>917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951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1004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918</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919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1005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1006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918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919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1006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918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919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1007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1008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908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1009</v>
      </c>
      <c r="B142" s="27" t="s">
        <v>946</v>
      </c>
      <c r="C142" s="27" t="s">
        <v>943</v>
      </c>
      <c r="D142" s="27" t="s">
        <v>917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963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1010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1011</v>
      </c>
      <c r="B145" s="27" t="s">
        <v>962</v>
      </c>
      <c r="C145" s="27" t="s">
        <v>1012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919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1013</v>
      </c>
      <c r="B147" s="27" t="s">
        <v>962</v>
      </c>
      <c r="C147" s="27" t="s">
        <v>974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960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1014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932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140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1015</v>
      </c>
    </row>
    <row r="155" spans="1:12">
      <c r="A155" s="20" t="s">
        <v>1016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949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1017</v>
      </c>
      <c r="B157" s="27" t="s">
        <v>910</v>
      </c>
      <c r="C157" s="27" t="s">
        <v>916</v>
      </c>
      <c r="D157" s="27" t="s">
        <v>917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1018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960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1019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1020</v>
      </c>
      <c r="B161" s="27" t="s">
        <v>915</v>
      </c>
      <c r="C161" s="27" t="s">
        <v>916</v>
      </c>
      <c r="D161" s="27" t="s">
        <v>917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932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1021</v>
      </c>
    </row>
    <row r="165" spans="1:12">
      <c r="A165" s="20" t="s">
        <v>1022</v>
      </c>
      <c r="B165" s="27" t="s">
        <v>942</v>
      </c>
      <c r="C165" s="27" t="s">
        <v>1023</v>
      </c>
      <c r="D165" s="27" t="s">
        <v>917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1024</v>
      </c>
      <c r="B166" s="27" t="s">
        <v>946</v>
      </c>
      <c r="C166" s="27" t="s">
        <v>1023</v>
      </c>
      <c r="D166" s="27" t="s">
        <v>917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1025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1026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1027</v>
      </c>
      <c r="B169" s="27" t="s">
        <v>915</v>
      </c>
      <c r="C169" s="27" t="s">
        <v>974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966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913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1028</v>
      </c>
      <c r="B172" s="27" t="s">
        <v>915</v>
      </c>
      <c r="C172" s="27" t="s">
        <v>916</v>
      </c>
      <c r="D172" s="27" t="s">
        <v>917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918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1029</v>
      </c>
      <c r="B174" s="27" t="s">
        <v>946</v>
      </c>
      <c r="C174" s="27" t="s">
        <v>1023</v>
      </c>
      <c r="D174" s="27" t="s">
        <v>917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966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1001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1030</v>
      </c>
      <c r="B177" s="27" t="s">
        <v>962</v>
      </c>
      <c r="C177" s="27" t="s">
        <v>911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932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1031</v>
      </c>
    </row>
    <row r="181" spans="1:12">
      <c r="A181" s="20" t="s">
        <v>1032</v>
      </c>
      <c r="B181" s="27" t="s">
        <v>942</v>
      </c>
      <c r="C181" s="27" t="s">
        <v>943</v>
      </c>
      <c r="D181" s="27" t="s">
        <v>917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960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977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1033</v>
      </c>
      <c r="B184" s="27" t="s">
        <v>946</v>
      </c>
      <c r="C184" s="27" t="s">
        <v>943</v>
      </c>
      <c r="D184" s="27" t="s">
        <v>917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960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964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1034</v>
      </c>
      <c r="B187" s="27" t="s">
        <v>962</v>
      </c>
      <c r="C187" s="27" t="s">
        <v>916</v>
      </c>
      <c r="D187" s="27" t="s">
        <v>917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1035</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1036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1037</v>
      </c>
      <c r="B191" s="27" t="s">
        <v>910</v>
      </c>
      <c r="C191" s="27" t="s">
        <v>971</v>
      </c>
      <c r="D191" s="27" t="s">
        <v>917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1038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1039</v>
      </c>
      <c r="B193" s="27" t="s">
        <v>946</v>
      </c>
      <c r="C193" s="27" t="s">
        <v>974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1040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932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row>
    <row r="197" spans="1:12">
      <c r="A197" s="20" t="s">
        <v>1041</v>
      </c>
    </row>
    <row r="198" spans="1:12">
      <c r="A198" s="20" t="s">
        <v>1042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963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1043</v>
      </c>
      <c r="B200" s="27" t="s">
        <v>915</v>
      </c>
      <c r="C200" s="27" t="s">
        <v>956</v>
      </c>
      <c r="D200" s="27" t="s">
        <v>917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918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1044</v>
      </c>
      <c r="B202" s="27" t="s">
        <v>910</v>
      </c>
      <c r="C202" s="27" t="s">
        <v>956</v>
      </c>
      <c r="D202" s="27" t="s">
        <v>917</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1045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1046</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1047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908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1048</v>
      </c>
      <c r="B207" s="27" t="s">
        <v>942</v>
      </c>
      <c r="C207" s="27" t="s">
        <v>911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1049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918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1050</v>
      </c>
      <c r="B210" s="27" t="s">
        <v>946</v>
      </c>
      <c r="C210" s="27" t="s">
        <v>938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960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1051</v>
      </c>
      <c r="B212" s="27" t="s">
        <v>962</v>
      </c>
      <c r="C212" s="27" t="s">
        <v>1052</v>
      </c>
      <c r="D212" s="27" t="s">
        <v>917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912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1053</v>
      </c>
      <c r="B214" s="27" t="s">
        <v>970</v>
      </c>
      <c r="C214" s="27" t="s">
        <v>974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960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1054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981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1055</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1056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1057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912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908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1058</v>
      </c>
      <c r="B223" s="27" t="s">
        <v>990</v>
      </c>
      <c r="C223" s="27" t="s">
        <v>943</v>
      </c>
      <c r="D223" s="27" t="s">
        <v>917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960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1059</v>
      </c>
      <c r="B225" s="27" t="s">
        <v>1060</v>
      </c>
      <c r="C225" s="27" t="s">
        <v>974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932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1061</v>
      </c>
    </row>
    <row r="229" spans="1:12">
      <c r="A229" s="20" t="s">
        <v>1062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913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1063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1064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1065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1066</v>
      </c>
      <c r="B234" s="27" t="s">
        <v>910</v>
      </c>
      <c r="C234" s="27" t="s">
        <v>1012</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932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row>
    <row r="237" spans="1:12">
      <c r="A237" s="20" t="s">
        <v>1067</v>
      </c>
    </row>
    <row r="238" spans="1:12">
      <c r="A238" s="20" t="s">
        <v>1068</v>
      </c>
      <c r="B238" s="27" t="s">
        <v>946</v>
      </c>
      <c r="C238" s="27" t="s">
        <v>1069</v>
      </c>
      <c r="D238" s="27" t="s">
        <v>917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1070</v>
      </c>
      <c r="B239" s="27" t="s">
        <v>915</v>
      </c>
      <c r="C239" s="27" t="s">
        <v>1012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1071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918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949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1072</v>
      </c>
      <c r="B243" s="27" t="s">
        <v>942</v>
      </c>
      <c r="C243" s="27" t="s">
        <v>916</v>
      </c>
      <c r="D243" s="27" t="s">
        <v>917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927</v>
      </c>
      <c r="B244" s="27" t="s">
        <v>1073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1074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1075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918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51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912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1076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1077</v>
      </c>
      <c r="B251" s="27" t="s">
        <v>915</v>
      </c>
      <c r="C251" s="27" t="s">
        <v>1023</v>
      </c>
      <c r="D251" s="27" t="s">
        <v>917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1078</v>
      </c>
      <c r="B252" s="27" t="s">
        <v>946</v>
      </c>
      <c r="C252" s="27" t="s">
        <v>1023</v>
      </c>
      <c r="D252" s="27" t="s">
        <v>917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1079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1080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1081</v>
      </c>
      <c r="B255" s="27" t="s">
        <v>915</v>
      </c>
      <c r="C255" s="27" t="s">
        <v>1012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1082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963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964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1083</v>
      </c>
      <c r="B259" s="27" t="s">
        <v>962</v>
      </c>
      <c r="C259" s="27" t="s">
        <v>916</v>
      </c>
      <c r="D259" s="27" t="s">
        <v>917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918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919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1084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1085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1086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1087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1088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1089</v>
      </c>
      <c r="B267" s="27" t="s">
        <v>1090</v>
      </c>
      <c r="C267" s="27" t="s">
        <v>971</v>
      </c>
      <c r="D267" s="27" t="s">
        <v>917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932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row>
    <row r="270" spans="1:12">
      <c r="A270" s="20" t="s">
        <v>1091</v>
      </c>
    </row>
    <row r="271" spans="1:12">
      <c r="A271" s="20" t="s">
        <v>1092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912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913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1093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918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1094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1081</v>
      </c>
      <c r="B277" s="27" t="s">
        <v>915</v>
      </c>
      <c r="C277" s="27" t="s">
        <v>1095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1096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1097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918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1044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1026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1098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1099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1100</v>
      </c>
      <c r="B286" s="27" t="s">
        <v>1101</v>
      </c>
      <c r="C286" s="27" t="s">
        <v>974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1102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1103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1104</v>
      </c>
      <c r="B289" s="27" t="s">
        <v>946</v>
      </c>
      <c r="C289" s="27" t="s">
        <v>938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932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1105</v>
      </c>
    </row>
    <row r="293" spans="1:12">
      <c r="A293" s="20" t="s">
        <v>1106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1107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60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1108</v>
      </c>
      <c r="B296" s="27" t="s">
        <v>910</v>
      </c>
      <c r="C296" s="27" t="s">
        <v>938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960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1019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1109</v>
      </c>
      <c r="B299" s="27" t="s">
        <v>946</v>
      </c>
      <c r="C299" s="27" t="s">
        <v>916</v>
      </c>
      <c r="D299" s="27" t="s">
        <v>917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927</v>
      </c>
      <c r="B300" s="27" t="s">
        <v>1110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1107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60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1111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918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919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1112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1113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1114</v>
      </c>
      <c r="B308" s="27" t="s">
        <v>1101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932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row>
    <row r="311" spans="1:12">
      <c r="A311" s="20" t="s">
        <v>1115</v>
      </c>
    </row>
    <row r="312" spans="1:12">
      <c r="A312" s="20" t="s">
        <v>1116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1117</v>
      </c>
      <c r="B313" s="27" t="s">
        <v>942</v>
      </c>
      <c r="C313" s="27" t="s">
        <v>943</v>
      </c>
      <c r="D313" s="27" t="s">
        <v>917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960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1017</v>
      </c>
      <c r="B315" s="27" t="s">
        <v>946</v>
      </c>
      <c r="C315" s="27" t="s">
        <v>974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1112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1035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1118</v>
      </c>
      <c r="B318" s="27" t="s">
        <v>915</v>
      </c>
      <c r="C318" s="27" t="s">
        <v>1095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1119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1120</v>
      </c>
      <c r="B321" s="27" t="s">
        <v>915</v>
      </c>
      <c r="C321" s="27" t="s">
        <v>974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918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991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1121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949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1120</v>
      </c>
      <c r="B326" s="27" t="s">
        <v>915</v>
      </c>
      <c r="C326" s="27" t="s">
        <v>916</v>
      </c>
      <c r="D326" s="27" t="s">
        <v>917</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927</v>
      </c>
      <c r="B327" s="27" t="s">
        <v>1073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1122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1123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1044</v>
      </c>
      <c r="B330" s="27" t="s">
        <v>1110</v>
      </c>
      <c r="C330" s="27" t="s">
        <v>956</v>
      </c>
      <c r="D330" s="27" t="s">
        <v>917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912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1124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1125</v>
      </c>
      <c r="B333" s="27" t="s">
        <v>970</v>
      </c>
      <c r="C333" s="27" t="s">
        <v>971</v>
      </c>
      <c r="D333" s="27" t="s">
        <v>917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932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1126</v>
      </c>
    </row>
    <row r="337" spans="1:12">
      <c r="A337" s="20" t="s">
        <v>1127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1128</v>
      </c>
      <c r="B338" s="27" t="s">
        <v>942</v>
      </c>
      <c r="C338" s="27" t="s">
        <v>1012</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1129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1044</v>
      </c>
      <c r="B341" s="27" t="s">
        <v>910</v>
      </c>
      <c r="C341" s="27" t="s">
        <v>956</v>
      </c>
      <c r="D341" s="27" t="s">
        <v>917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1122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1130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1131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932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999</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1132</v>
      </c>
    </row>
    <row r="349" spans="1:12">
      <c r="A349" s="20" t="s">
        <v>1133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963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1134</v>
      </c>
      <c r="B351" s="27" t="s">
        <v>915</v>
      </c>
      <c r="C351" s="27" t="s">
        <v>974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919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1135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949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1136</v>
      </c>
      <c r="B355" s="27" t="s">
        <v>1101</v>
      </c>
      <c r="C355" s="27" t="s">
        <v>916</v>
      </c>
      <c r="D355" s="27" t="s">
        <v>917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1137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1138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1139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949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1140</v>
      </c>
      <c r="B360" s="27" t="s">
        <v>962</v>
      </c>
      <c r="C360" s="27" t="s">
        <v>916</v>
      </c>
      <c r="D360" s="27" t="s">
        <v>917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1141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918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919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1142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960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1112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1143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964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1144</v>
      </c>
      <c r="B369" s="27" t="s">
        <v>1110</v>
      </c>
      <c r="C369" s="27" t="s">
        <v>916</v>
      </c>
      <c r="D369" s="27" t="s">
        <v>917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960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920</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1145</v>
      </c>
      <c r="B373" s="27" t="s">
        <v>990</v>
      </c>
      <c r="C373" s="27" t="s">
        <v>1069</v>
      </c>
      <c r="D373" s="27" t="s">
        <v>917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1146</v>
      </c>
      <c r="B374" s="27" t="s">
        <v>1147</v>
      </c>
      <c r="C374" s="27" t="s">
        <v>916</v>
      </c>
      <c r="D374" s="27" t="s">
        <v>917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918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1148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140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1149</v>
      </c>
      <c r="B378" s="27" t="s">
        <v>973</v>
      </c>
      <c r="C378" s="27" t="s">
        <v>1150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1151</v>
      </c>
      <c r="B379" s="27" t="s">
        <v>1110</v>
      </c>
      <c r="C379" s="27" t="s">
        <v>1012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927</v>
      </c>
      <c r="B380" s="27" t="s">
        <v>1147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1152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1153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932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140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1154</v>
      </c>
    </row>
    <row r="387" spans="1:12">
      <c r="A387" s="20" t="s">
        <v>1155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1156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1157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960</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1158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1148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1159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row>
    <row r="396" spans="1:12">
      <c r="A396" s="20" t="s">
        <v>999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1160</v>
      </c>
    </row>
    <row r="398" spans="1:12">
      <c r="A398" s="20" t="s">
        <v>140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1161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1162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1163</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913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1164</v>
      </c>
      <c r="B403" s="27" t="s">
        <v>910</v>
      </c>
      <c r="C403" s="27" t="s">
        <v>916</v>
      </c>
      <c r="D403" s="27" t="s">
        <v>917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918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1165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977</v>
      </c>
      <c r="B406" s="27" t="s">
        <v>1101</v>
      </c>
      <c r="C406" s="27" t="s">
        <v>956</v>
      </c>
      <c r="D406" s="27" t="s">
        <v>917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1139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908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1166</v>
      </c>
      <c r="B409" s="27" t="s">
        <v>946</v>
      </c>
      <c r="C409" s="27" t="s">
        <v>911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918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1167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977</v>
      </c>
      <c r="B412" s="27" t="s">
        <v>1101</v>
      </c>
      <c r="C412" s="27" t="s">
        <v>956</v>
      </c>
      <c r="D412" s="27" t="s">
        <v>917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918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1168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977</v>
      </c>
      <c r="B415" s="27" t="s">
        <v>1101</v>
      </c>
      <c r="C415" s="27" t="s">
        <v>956</v>
      </c>
      <c r="D415" s="27" t="s">
        <v>917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991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1169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977</v>
      </c>
      <c r="B418" s="27" t="s">
        <v>1101</v>
      </c>
      <c r="C418" s="27" t="s">
        <v>956</v>
      </c>
      <c r="D418" s="27" t="s">
        <v>917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140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918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919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1044</v>
      </c>
      <c r="B422" s="27" t="s">
        <v>1101</v>
      </c>
      <c r="C422" s="27" t="s">
        <v>956</v>
      </c>
      <c r="D422" s="27" t="s">
        <v>917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1122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949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1170</v>
      </c>
      <c r="B425" s="27" t="s">
        <v>1101</v>
      </c>
      <c r="C425" s="27" t="s">
        <v>943</v>
      </c>
      <c r="D425" s="27" t="s">
        <v>917</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1171</v>
      </c>
      <c r="B426" s="27" t="s">
        <v>962</v>
      </c>
      <c r="C426" s="27" t="s">
        <v>1023</v>
      </c>
      <c r="D426" s="27" t="s">
        <v>917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932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row>
    <row r="429" spans="1:12">
      <c r="A429" s="20" t="s">
        <v>1172</v>
      </c>
    </row>
    <row r="430" spans="1:12">
      <c r="A430" s="20" t="s">
        <v>1173</v>
      </c>
      <c r="B430" s="27" t="s">
        <v>942</v>
      </c>
      <c r="C430" s="27" t="s">
        <v>938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960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1019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1109</v>
      </c>
      <c r="B433" s="27" t="s">
        <v>946</v>
      </c>
      <c r="C433" s="27" t="s">
        <v>916</v>
      </c>
      <c r="D433" s="27" t="s">
        <v>917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927</v>
      </c>
      <c r="B434" s="27" t="s">
        <v>929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1174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951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1175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1176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960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1017</v>
      </c>
      <c r="B440" s="27" t="s">
        <v>973</v>
      </c>
      <c r="C440" s="27" t="s">
        <v>974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1035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927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1177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927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1035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941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1128</v>
      </c>
      <c r="B447" s="27" t="s">
        <v>946</v>
      </c>
      <c r="C447" s="27" t="s">
        <v>911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1178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932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row>
    <row r="451" spans="1:12">
      <c r="A451" s="20" t="s">
        <v>1179</v>
      </c>
    </row>
    <row r="452" spans="1:12">
      <c r="A452" s="20" t="s">
        <v>1180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927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1035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1178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1181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1182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1183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1184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932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row>
    <row r="462" spans="1:12">
      <c r="A462" s="20" t="s">
        <v>1185</v>
      </c>
    </row>
    <row r="463" spans="1:12">
      <c r="A463" s="20" t="s">
        <v>1180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927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1186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1187</v>
      </c>
      <c r="B466" s="27" t="s">
        <v>937</v>
      </c>
      <c r="C466" s="27" t="s">
        <v>1012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1188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1026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1189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920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1190</v>
      </c>
      <c r="B471" s="27" t="s">
        <v>970</v>
      </c>
      <c r="C471" s="27" t="s">
        <v>1069</v>
      </c>
      <c r="D471" s="27" t="s">
        <v>917</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1191</v>
      </c>
      <c r="B472" s="27" t="s">
        <v>1090</v>
      </c>
      <c r="C472" s="27" t="s">
        <v>916</v>
      </c>
      <c r="D472" s="27" t="s">
        <v>917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918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1158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918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1192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951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1102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941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1193</v>
      </c>
      <c r="B481" s="27" t="s">
        <v>1110</v>
      </c>
      <c r="C481" s="27" t="s">
        <v>911</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991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176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1194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949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1195</v>
      </c>
      <c r="B486" s="27" t="s">
        <v>962</v>
      </c>
      <c r="C486" s="27" t="s">
        <v>916</v>
      </c>
      <c r="D486" s="27" t="s">
        <v>917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1196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919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927</v>
      </c>
      <c r="B489" s="27" t="s">
        <v>1197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1112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1035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908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1198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1199</v>
      </c>
      <c r="B494" s="27" t="s">
        <v>970</v>
      </c>
      <c r="C494" s="27" t="s">
        <v>911</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918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1200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1201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1202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912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1203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1204</v>
      </c>
      <c r="B501" s="27" t="s">
        <v>987</v>
      </c>
      <c r="C501" s="27" t="s">
        <v>971</v>
      </c>
      <c r="D501" s="27" t="s">
        <v>917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919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1112</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1205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963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1206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944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1207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1023</v>
      </c>
      <c r="B509" s="27" t="s">
        <v>1208</v>
      </c>
      <c r="C509" s="27" t="s">
        <v>956</v>
      </c>
      <c r="D509" s="27" t="s">
        <v>917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932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row>
    <row r="512" spans="1:12">
      <c r="A512" s="20" t="s">
        <v>1209</v>
      </c>
    </row>
    <row r="513" spans="1:12">
      <c r="A513" s="20" t="s">
        <v>1210</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1044</v>
      </c>
      <c r="B514" s="27" t="s">
        <v>910</v>
      </c>
      <c r="C514" s="27" t="s">
        <v>956</v>
      </c>
      <c r="D514" s="27" t="s">
        <v>917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1211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927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1212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960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1213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918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1148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960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1213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919</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1214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1213</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1215</v>
      </c>
      <c r="B527" s="27" t="s">
        <v>1110</v>
      </c>
      <c r="C527" s="27" t="s">
        <v>974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932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row>
    <row r="530" spans="1:12">
      <c r="A530" s="20" t="s">
        <v>1216</v>
      </c>
    </row>
    <row r="531" spans="1:12">
      <c r="A531" s="20" t="s">
        <v>1217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941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1218</v>
      </c>
      <c r="B533" s="27" t="s">
        <v>915</v>
      </c>
      <c r="C533" s="27" t="s">
        <v>943</v>
      </c>
      <c r="D533" s="27" t="s">
        <v>917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960</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1219</v>
      </c>
      <c r="B535" s="27" t="s">
        <v>915</v>
      </c>
      <c r="C535" s="27" t="s">
        <v>938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1220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932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1221</v>
      </c>
    </row>
    <row r="540" spans="1:12">
      <c r="A540" s="20" t="s">
        <v>976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1222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964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1223</v>
      </c>
      <c r="B543" s="27" t="s">
        <v>910</v>
      </c>
      <c r="C543" s="27" t="s">
        <v>916</v>
      </c>
      <c r="D543" s="27" t="s">
        <v>917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932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row>
    <row r="546" spans="1:12">
      <c r="A546" s="20" t="s">
        <v>999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1224</v>
      </c>
    </row>
    <row r="548" spans="1:12">
      <c r="A548" s="20" t="s">
        <v>1225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1044</v>
      </c>
      <c r="B549" s="27" t="s">
        <v>1101</v>
      </c>
      <c r="C549" s="27" t="s">
        <v>956</v>
      </c>
      <c r="D549" s="27" t="s">
        <v>917</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1226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1227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927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1156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1157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1228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1102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1104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913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1229</v>
      </c>
      <c r="B560" s="27" t="s">
        <v>962</v>
      </c>
      <c r="C560" s="27" t="s">
        <v>916</v>
      </c>
      <c r="D560" s="27" t="s">
        <v>917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1230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918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1156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1231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140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1232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927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1233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927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963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1234</v>
      </c>
      <c r="B571" s="27" t="s">
        <v>970</v>
      </c>
      <c r="C571" s="27" t="s">
        <v>974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1235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1104</v>
      </c>
      <c r="B573" s="27" t="s">
        <v>929</v>
      </c>
      <c r="C573" s="27" t="s">
        <v>938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1236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918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1237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1238</v>
      </c>
      <c r="B577" s="27" t="s">
        <v>946</v>
      </c>
      <c r="C577" s="27" t="s">
        <v>974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932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140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row>
    <row r="581" spans="1:12">
      <c r="A581" s="20" t="s">
        <v>999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1239</v>
      </c>
    </row>
    <row r="583" spans="1:12">
      <c r="A583" s="20" t="s">
        <v>1092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981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1044</v>
      </c>
      <c r="B585" s="27" t="s">
        <v>1101</v>
      </c>
      <c r="C585" s="27" t="s">
        <v>956</v>
      </c>
      <c r="D585" s="27" t="s">
        <v>917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1226</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1227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918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140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1240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960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1223</v>
      </c>
      <c r="B593" s="27" t="s">
        <v>915</v>
      </c>
      <c r="C593" s="27" t="s">
        <v>974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1241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1102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1104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913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1242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1229</v>
      </c>
      <c r="B599" s="27" t="s">
        <v>915</v>
      </c>
      <c r="C599" s="27" t="s">
        <v>916</v>
      </c>
      <c r="D599" s="27" t="s">
        <v>917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140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918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1243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1044</v>
      </c>
      <c r="B603" s="27" t="s">
        <v>1101</v>
      </c>
      <c r="C603" s="27" t="s">
        <v>956</v>
      </c>
      <c r="D603" s="27" t="s">
        <v>917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1244</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1245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941</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1246</v>
      </c>
      <c r="B607" s="27" t="s">
        <v>1101</v>
      </c>
      <c r="C607" s="27" t="s">
        <v>911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932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row>
    <row r="610" spans="1:12">
      <c r="A610" s="20" t="s">
        <v>1247</v>
      </c>
    </row>
    <row r="611" spans="1:12">
      <c r="A611" s="20" t="s">
        <v>1248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1249</v>
      </c>
      <c r="B612" s="27" t="s">
        <v>942</v>
      </c>
      <c r="C612" s="27" t="s">
        <v>971</v>
      </c>
      <c r="D612" s="27" t="s">
        <v>917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1121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1250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944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949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1249</v>
      </c>
      <c r="B617" s="27" t="s">
        <v>915</v>
      </c>
      <c r="C617" s="27" t="s">
        <v>916</v>
      </c>
      <c r="D617" s="27" t="s">
        <v>917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927</v>
      </c>
      <c r="B618" s="27" t="s">
        <v>1073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1251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935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1252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1253</v>
      </c>
      <c r="B622" s="27" t="s">
        <v>1110</v>
      </c>
      <c r="C622" s="27" t="s">
        <v>974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918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1254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1255</v>
      </c>
      <c r="B625" s="27" t="s">
        <v>973</v>
      </c>
      <c r="C625" s="27" t="s">
        <v>974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919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913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1256</v>
      </c>
      <c r="B628" s="27" t="s">
        <v>983</v>
      </c>
      <c r="C628" s="27" t="s">
        <v>916</v>
      </c>
      <c r="D628" s="27" t="s">
        <v>917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951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1257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963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964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1258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918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1119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1142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960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1259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1260</v>
      </c>
      <c r="B639" s="27" t="s">
        <v>1261</v>
      </c>
      <c r="C639" s="27" t="s">
        <v>974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1262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918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944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1263</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918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1035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1264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1183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1265</v>
      </c>
      <c r="B648" s="27" t="s">
        <v>1266</v>
      </c>
      <c r="C648" s="27" t="s">
        <v>1095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932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1267</v>
      </c>
    </row>
    <row r="652" spans="1:12">
      <c r="A652" s="20" t="s">
        <v>1268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944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606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1269</v>
      </c>
      <c r="B655" s="27" t="s">
        <v>910</v>
      </c>
      <c r="C655" s="27" t="s">
        <v>974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1046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918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1270</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960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1128</v>
      </c>
      <c r="B661" s="27" t="s">
        <v>946</v>
      </c>
      <c r="C661" s="27" t="s">
        <v>1150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1271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1269</v>
      </c>
      <c r="B663" s="27" t="s">
        <v>1090</v>
      </c>
      <c r="C663" s="27" t="s">
        <v>974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932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row>
    <row r="666" spans="1:12">
      <c r="A666" s="20" t="s">
        <v>1272</v>
      </c>
    </row>
    <row r="667" spans="1:12">
      <c r="A667" s="20" t="s">
        <v>1268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1056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963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1124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1273</v>
      </c>
      <c r="B671" s="27" t="s">
        <v>915</v>
      </c>
      <c r="C671" s="27" t="s">
        <v>971</v>
      </c>
      <c r="D671" s="27" t="s">
        <v>917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927</v>
      </c>
      <c r="B672" s="27" t="s">
        <v>1101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1084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1274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963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330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927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1275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1276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1130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1277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918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919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927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964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1278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1003</v>
      </c>
      <c r="B688" s="27" t="s">
        <v>937</v>
      </c>
      <c r="C688" s="27" t="s">
        <v>916</v>
      </c>
      <c r="D688" s="27" t="s">
        <v>917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1102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1112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1279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951</v>
      </c>
      <c r="B692" s="27" t="s">
        <v>946</v>
      </c>
      <c r="C692" s="27" t="s">
        <v>956</v>
      </c>
      <c r="D692" s="27" t="s">
        <v>917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1121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1112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1280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1281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1187</v>
      </c>
      <c r="B697" s="27" t="s">
        <v>1101</v>
      </c>
      <c r="C697" s="27" t="s">
        <v>974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932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999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1282</v>
      </c>
    </row>
    <row r="702" spans="1:12">
      <c r="A702" s="20" t="s">
        <v>1283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918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908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1284</v>
      </c>
      <c r="B705" s="27" t="s">
        <v>915</v>
      </c>
      <c r="C705" s="27" t="s">
        <v>911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1044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129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919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948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927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1285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1074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1286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908</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1287</v>
      </c>
      <c r="B715" s="27" t="s">
        <v>1090</v>
      </c>
      <c r="C715" s="27" t="s">
        <v>911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918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1114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1288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1289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1139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913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1290</v>
      </c>
      <c r="B722" s="27" t="s">
        <v>962</v>
      </c>
      <c r="C722" s="27" t="s">
        <v>916</v>
      </c>
      <c r="D722" s="27" t="s">
        <v>917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918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1291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1292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918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1293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913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1294</v>
      </c>
      <c r="B729" s="27" t="s">
        <v>1101</v>
      </c>
      <c r="C729" s="27" t="s">
        <v>916</v>
      </c>
      <c r="D729" s="27" t="s">
        <v>917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918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919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1148</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918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140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1295</v>
      </c>
      <c r="B735" s="27" t="s">
        <v>1073</v>
      </c>
      <c r="C735" s="27" t="s">
        <v>938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1112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1296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918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1297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467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1298</v>
      </c>
      <c r="B741" s="27" t="s">
        <v>1090</v>
      </c>
      <c r="C741" s="27" t="s">
        <v>974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140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919</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1112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1299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1026</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1300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913</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1301</v>
      </c>
      <c r="B749" s="27" t="s">
        <v>1302</v>
      </c>
      <c r="C749" s="27" t="s">
        <v>916</v>
      </c>
      <c r="D749" s="27" t="s">
        <v>917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1102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421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913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1294</v>
      </c>
      <c r="B753" s="27" t="s">
        <v>1147</v>
      </c>
      <c r="C753" s="27" t="s">
        <v>916</v>
      </c>
      <c r="D753" s="27" t="s">
        <v>917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919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1303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913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1304</v>
      </c>
      <c r="B757" s="27" t="s">
        <v>1110</v>
      </c>
      <c r="C757" s="27" t="s">
        <v>916</v>
      </c>
      <c r="D757" s="27" t="s">
        <v>917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932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row>
    <row r="760" spans="1:12">
      <c r="A760" s="20" t="s">
        <v>999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1305</v>
      </c>
    </row>
    <row r="762" spans="1:12">
      <c r="A762" s="20" t="s">
        <v>1283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918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1079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1098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1306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1307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1308</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1309</v>
      </c>
      <c r="B769" s="27" t="s">
        <v>1101</v>
      </c>
      <c r="C769" s="27" t="s">
        <v>1095</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1289</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963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1310</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977</v>
      </c>
      <c r="B773" s="27" t="s">
        <v>1302</v>
      </c>
      <c r="C773" s="27" t="s">
        <v>956</v>
      </c>
      <c r="D773" s="27" t="s">
        <v>917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918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913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1294</v>
      </c>
      <c r="B776" s="27" t="s">
        <v>942</v>
      </c>
      <c r="C776" s="27" t="s">
        <v>916</v>
      </c>
      <c r="D776" s="27" t="s">
        <v>917</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1311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919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912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1312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1313</v>
      </c>
      <c r="B781" s="27" t="s">
        <v>946</v>
      </c>
      <c r="C781" s="27" t="s">
        <v>1012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1314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963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363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918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1121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1315</v>
      </c>
      <c r="B787" s="27" t="s">
        <v>962</v>
      </c>
      <c r="C787" s="27" t="s">
        <v>1069</v>
      </c>
      <c r="D787" s="27" t="s">
        <v>917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1316</v>
      </c>
      <c r="B788" s="27" t="s">
        <v>946</v>
      </c>
      <c r="C788" s="27" t="s">
        <v>1012</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918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1076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1317</v>
      </c>
      <c r="B791" s="27" t="s">
        <v>1101</v>
      </c>
      <c r="C791" s="27" t="s">
        <v>943</v>
      </c>
      <c r="D791" s="27" t="s">
        <v>917</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918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140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1318</v>
      </c>
      <c r="B794" s="27" t="s">
        <v>962</v>
      </c>
      <c r="C794" s="27" t="s">
        <v>1023</v>
      </c>
      <c r="D794" s="27" t="s">
        <v>917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1319</v>
      </c>
      <c r="B795" s="27" t="s">
        <v>970</v>
      </c>
      <c r="C795" s="27" t="s">
        <v>974</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1320</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932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row>
    <row r="799" spans="1:12">
      <c r="A799" s="20" t="s">
        <v>1321</v>
      </c>
    </row>
    <row r="800" spans="1:12">
      <c r="A800" s="20" t="s">
        <v>1322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1323</v>
      </c>
      <c r="B802" s="27" t="s">
        <v>910</v>
      </c>
      <c r="C802" s="27" t="s">
        <v>938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932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row>
    <row r="805" spans="1:12">
      <c r="A805" s="20" t="s">
        <v>999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1324</v>
      </c>
    </row>
    <row r="807" spans="1:12">
      <c r="A807" s="20" t="s">
        <v>140</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row>
    <row r="809" spans="1:12">
      <c r="A809" s="20" t="s">
        <v>1325</v>
      </c>
    </row>
    <row r="810" spans="1:12">
      <c r="A810" s="20" t="s">
        <v>1116</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1284</v>
      </c>
      <c r="B811" s="27" t="s">
        <v>915</v>
      </c>
      <c r="C811" s="27" t="s">
        <v>916</v>
      </c>
      <c r="D811" s="27" t="s">
        <v>917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1230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143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963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421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1326</v>
      </c>
      <c r="B816" s="27" t="s">
        <v>1101</v>
      </c>
      <c r="C816" s="27" t="s">
        <v>974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919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1327</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949</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1328</v>
      </c>
      <c r="B820" s="27" t="s">
        <v>1101</v>
      </c>
      <c r="C820" s="27" t="s">
        <v>916</v>
      </c>
      <c r="D820" s="27" t="s">
        <v>917</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932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row>
    <row r="823" spans="1:12">
      <c r="A823" s="20" t="s">
        <v>1329</v>
      </c>
    </row>
    <row r="824" spans="1:12">
      <c r="A824" s="20" t="s">
        <v>1330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1331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963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1332</v>
      </c>
      <c r="B827" s="27" t="s">
        <v>915</v>
      </c>
      <c r="C827" s="27" t="s">
        <v>974</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1203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1333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1334</v>
      </c>
      <c r="B830" s="27" t="s">
        <v>942</v>
      </c>
      <c r="C830" s="27" t="s">
        <v>971</v>
      </c>
      <c r="D830" s="27" t="s">
        <v>917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1159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row>
    <row r="833" spans="1:12">
      <c r="A833" s="20" t="s">
        <v>1335</v>
      </c>
    </row>
    <row r="834" spans="1:12">
      <c r="A834" s="20" t="s">
        <v>981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1112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1045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949</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1336</v>
      </c>
      <c r="B838" s="27" t="s">
        <v>915</v>
      </c>
      <c r="C838" s="27" t="s">
        <v>916</v>
      </c>
      <c r="D838" s="27" t="s">
        <v>917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1337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927</v>
      </c>
      <c r="B840" s="27" t="s">
        <v>1073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1338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1339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1026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908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1058</v>
      </c>
      <c r="B845" s="27" t="s">
        <v>962</v>
      </c>
      <c r="C845" s="27" t="s">
        <v>943</v>
      </c>
      <c r="D845" s="27" t="s">
        <v>917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960</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1059</v>
      </c>
      <c r="B847" s="27" t="s">
        <v>970</v>
      </c>
      <c r="C847" s="27" t="s">
        <v>974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918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1014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1340</v>
      </c>
      <c r="B850" s="27" t="s">
        <v>942</v>
      </c>
      <c r="C850" s="27" t="s">
        <v>1150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1045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1341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1342</v>
      </c>
    </row>
    <row r="855" spans="1:12">
      <c r="A855" s="20" t="s">
        <v>934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981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1152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421</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960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920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1326</v>
      </c>
      <c r="B861" s="27" t="s">
        <v>946</v>
      </c>
      <c r="C861" s="27" t="s">
        <v>916</v>
      </c>
      <c r="D861" s="27" t="s">
        <v>917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918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1045</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1036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1326</v>
      </c>
      <c r="B865" s="27" t="s">
        <v>915</v>
      </c>
      <c r="C865" s="27" t="s">
        <v>971</v>
      </c>
      <c r="D865" s="27" t="s">
        <v>917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927</v>
      </c>
      <c r="B866" s="27" t="s">
        <v>937</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1044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1343</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1344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1043</v>
      </c>
      <c r="B870" s="27" t="s">
        <v>1101</v>
      </c>
      <c r="C870" s="27" t="s">
        <v>956</v>
      </c>
      <c r="D870" s="27" t="s">
        <v>917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1345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918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1254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1044</v>
      </c>
      <c r="B874" s="27" t="s">
        <v>1090</v>
      </c>
      <c r="C874" s="27" t="s">
        <v>956</v>
      </c>
      <c r="D874" s="27" t="s">
        <v>917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1346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1347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912</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1348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1349</v>
      </c>
      <c r="B879" s="27" t="s">
        <v>962</v>
      </c>
      <c r="C879" s="27" t="s">
        <v>938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1341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row>
    <row r="882" spans="1:12">
      <c r="A882" s="20" t="s">
        <v>1350</v>
      </c>
    </row>
    <row r="883" spans="1:12">
      <c r="A883" s="20" t="s">
        <v>934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944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1044</v>
      </c>
      <c r="B885" s="27" t="s">
        <v>910</v>
      </c>
      <c r="C885" s="27" t="s">
        <v>956</v>
      </c>
      <c r="D885" s="27" t="s">
        <v>917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1351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981</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1044</v>
      </c>
      <c r="B888" s="27" t="s">
        <v>1101</v>
      </c>
      <c r="C888" s="27" t="s">
        <v>956</v>
      </c>
      <c r="D888" s="27" t="s">
        <v>917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1346</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1347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912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1348</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1349</v>
      </c>
      <c r="B893" s="27" t="s">
        <v>946</v>
      </c>
      <c r="C893" s="27" t="s">
        <v>938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1341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row>
    <row r="896" spans="1:12">
      <c r="A896" s="20" t="s">
        <v>1352</v>
      </c>
    </row>
    <row r="897" spans="1:12">
      <c r="A897" s="20" t="s">
        <v>1353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1044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1354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963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977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1355</v>
      </c>
      <c r="B902" s="27" t="s">
        <v>946</v>
      </c>
      <c r="C902" s="27" t="s">
        <v>916</v>
      </c>
      <c r="D902" s="27" t="s">
        <v>917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918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1074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1356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1357</v>
      </c>
      <c r="B906" s="27" t="s">
        <v>910</v>
      </c>
      <c r="C906" s="27" t="s">
        <v>1095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932</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row>
    <row r="909" spans="1:12">
      <c r="A909" s="20" t="s">
        <v>1358</v>
      </c>
    </row>
    <row r="910" spans="1:12">
      <c r="A910" s="20" t="s">
        <v>1116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1359</v>
      </c>
      <c r="B911" s="27" t="s">
        <v>942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1035</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927</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918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1360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918</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1113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960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164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941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1361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1362</v>
      </c>
      <c r="B922" s="27" t="s">
        <v>1090</v>
      </c>
      <c r="C922" s="27" t="s">
        <v>911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918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927</v>
      </c>
      <c r="B924" s="27" t="s">
        <v>1197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981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988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1055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1363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1364</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1121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1323</v>
      </c>
      <c r="B931" s="27" t="s">
        <v>1197</v>
      </c>
      <c r="C931" s="27" t="s">
        <v>938</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1194</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964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1365</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1366</v>
      </c>
      <c r="B935" s="27" t="s">
        <v>990</v>
      </c>
      <c r="C935" s="27" t="s">
        <v>916</v>
      </c>
      <c r="D935" s="27" t="s">
        <v>917</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1102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1367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1368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949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1369</v>
      </c>
      <c r="B940" s="27" t="s">
        <v>1208</v>
      </c>
      <c r="C940" s="27" t="s">
        <v>916</v>
      </c>
      <c r="D940" s="27" t="s">
        <v>917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699</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932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1370</v>
      </c>
    </row>
    <row r="945" spans="1:12">
      <c r="A945" s="20" t="s">
        <v>1371</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1349</v>
      </c>
      <c r="B946" s="27" t="s">
        <v>942</v>
      </c>
      <c r="C946" s="27" t="s">
        <v>938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1121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927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1372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1373</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941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1328</v>
      </c>
      <c r="B952" s="27" t="s">
        <v>1101</v>
      </c>
      <c r="C952" s="27" t="s">
        <v>911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1374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932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row>
    <row r="956" spans="1:12">
      <c r="A956" s="20" t="s">
        <v>1375</v>
      </c>
    </row>
    <row r="957" spans="1:12">
      <c r="A957" s="20" t="s">
        <v>1376</v>
      </c>
      <c r="B957" s="27" t="s">
        <v>942</v>
      </c>
      <c r="C957" s="27" t="s">
        <v>1150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918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1023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1377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919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1182</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1378</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918</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1023</v>
      </c>
      <c r="B965" s="27" t="s">
        <v>1101</v>
      </c>
      <c r="C965" s="27" t="s">
        <v>956</v>
      </c>
      <c r="D965" s="27" t="s">
        <v>917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1377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919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1182</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1378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918</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919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963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949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1379</v>
      </c>
      <c r="B974" s="27" t="s">
        <v>915</v>
      </c>
      <c r="C974" s="27" t="s">
        <v>916</v>
      </c>
      <c r="D974" s="27" t="s">
        <v>917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1380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927</v>
      </c>
      <c r="B976" s="27" t="s">
        <v>1073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1156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1157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1381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963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421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1326</v>
      </c>
      <c r="B982" s="27" t="s">
        <v>1110</v>
      </c>
      <c r="C982" s="27" t="s">
        <v>974</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919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963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1382</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912</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1328</v>
      </c>
      <c r="B987" s="27" t="s">
        <v>973</v>
      </c>
      <c r="C987" s="27" t="s">
        <v>974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1102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1046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932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999</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1383</v>
      </c>
    </row>
    <row r="994" spans="1:12">
      <c r="A994" s="20" t="s">
        <v>1384</v>
      </c>
      <c r="B994" s="27" t="s">
        <v>915</v>
      </c>
      <c r="C994" s="27" t="s">
        <v>956</v>
      </c>
      <c r="D994" s="27" t="s">
        <v>917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948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918</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140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1268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908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1385</v>
      </c>
      <c r="B1000" s="27" t="s">
        <v>915</v>
      </c>
      <c r="C1000" s="27" t="s">
        <v>911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1386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1254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1387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1341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row>
    <row r="1006" spans="1:12">
      <c r="A1006" s="20" t="s">
        <v>999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1388</v>
      </c>
    </row>
    <row r="1008" spans="1:12">
      <c r="A1008" s="20" t="s">
        <v>1389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941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196</v>
      </c>
      <c r="B1010" s="27" t="s">
        <v>942</v>
      </c>
      <c r="C1010" s="27" t="s">
        <v>911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1390</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1254</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1391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1341</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140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row>
    <row r="1017" spans="1:12">
      <c r="A1017" s="20" t="s">
        <v>1392</v>
      </c>
    </row>
    <row r="1018" spans="1:12">
      <c r="A1018" s="20" t="s">
        <v>1106</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1299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963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1206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1393</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930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949</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1394</v>
      </c>
      <c r="B1025" s="27" t="s">
        <v>1073</v>
      </c>
      <c r="C1025" s="27" t="s">
        <v>916</v>
      </c>
      <c r="D1025" s="27" t="s">
        <v>917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932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row>
    <row r="1028" spans="1:12">
      <c r="A1028" s="20" t="s">
        <v>1395</v>
      </c>
    </row>
    <row r="1029" spans="1:12">
      <c r="A1029" s="20" t="s">
        <v>1396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1380</v>
      </c>
      <c r="B1030" s="27" t="s">
        <v>915</v>
      </c>
      <c r="C1030" s="27" t="s">
        <v>974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927</v>
      </c>
      <c r="B1031" s="27" t="s">
        <v>937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918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912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341</v>
      </c>
      <c r="B1034" s="27" t="s">
        <v>946</v>
      </c>
      <c r="C1034" s="27" t="s">
        <v>974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918</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1112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1397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1398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1399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1400</v>
      </c>
      <c r="B1040" s="27" t="s">
        <v>1101</v>
      </c>
      <c r="C1040" s="27" t="s">
        <v>974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912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1401</v>
      </c>
      <c r="B1042" s="27" t="s">
        <v>946</v>
      </c>
      <c r="C1042" s="27" t="s">
        <v>938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960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920</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1356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1402</v>
      </c>
      <c r="B1046" s="27" t="s">
        <v>962</v>
      </c>
      <c r="C1046" s="27" t="s">
        <v>916</v>
      </c>
      <c r="D1046" s="27" t="s">
        <v>917</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1102</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635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941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1403</v>
      </c>
      <c r="B1050" s="27" t="s">
        <v>1090</v>
      </c>
      <c r="C1050" s="27" t="s">
        <v>911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1404</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932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row>
    <row r="1054" spans="1:12">
      <c r="A1054" s="20" t="s">
        <v>1405</v>
      </c>
    </row>
    <row r="1055" spans="1:12">
      <c r="A1055" s="20" t="s">
        <v>1406</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949</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196</v>
      </c>
      <c r="B1057" s="27" t="s">
        <v>915</v>
      </c>
      <c r="C1057" s="27" t="s">
        <v>916</v>
      </c>
      <c r="D1057" s="27" t="s">
        <v>917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1390</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927</v>
      </c>
      <c r="B1059" s="27" t="s">
        <v>1101</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1407</v>
      </c>
      <c r="B1060" s="27" t="s">
        <v>937</v>
      </c>
      <c r="C1060" s="27" t="s">
        <v>1052</v>
      </c>
      <c r="D1060" s="27" t="s">
        <v>917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1408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1409</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908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1410</v>
      </c>
      <c r="B1064" s="27" t="s">
        <v>1101</v>
      </c>
      <c r="C1064" s="27" t="s">
        <v>911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919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1380</v>
      </c>
      <c r="B1066" s="27" t="s">
        <v>962</v>
      </c>
      <c r="C1066" s="27" t="s">
        <v>974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1331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927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949</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1017</v>
      </c>
      <c r="B1070" s="27" t="s">
        <v>1073</v>
      </c>
      <c r="C1070" s="27" t="s">
        <v>916</v>
      </c>
      <c r="D1070" s="27" t="s">
        <v>917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1121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1323</v>
      </c>
      <c r="B1072" s="27" t="s">
        <v>946</v>
      </c>
      <c r="C1072" s="27" t="s">
        <v>938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927</v>
      </c>
      <c r="B1073" s="27" t="s">
        <v>929</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951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1121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1411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912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1412</v>
      </c>
      <c r="B1078" s="27" t="s">
        <v>970</v>
      </c>
      <c r="C1078" s="27" t="s">
        <v>956</v>
      </c>
      <c r="D1078" s="27" t="s">
        <v>917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1413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912</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1414</v>
      </c>
      <c r="B1081" s="27" t="s">
        <v>970</v>
      </c>
      <c r="C1081" s="27" t="s">
        <v>974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927</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1112</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1364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1121</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1313</v>
      </c>
      <c r="B1086" s="27" t="s">
        <v>1197</v>
      </c>
      <c r="C1086" s="27" t="s">
        <v>974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960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1415</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949</v>
      </c>
      <c r="B1089" s="27" t="s">
        <v>1261</v>
      </c>
      <c r="C1089" s="27" t="s">
        <v>956</v>
      </c>
      <c r="D1089" s="27" t="s">
        <v>917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1194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913</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1416</v>
      </c>
      <c r="B1092" s="27" t="s">
        <v>1060</v>
      </c>
      <c r="C1092" s="27" t="s">
        <v>1069</v>
      </c>
      <c r="D1092" s="27" t="s">
        <v>917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1417</v>
      </c>
      <c r="B1093" s="27" t="s">
        <v>990</v>
      </c>
      <c r="C1093" s="27" t="s">
        <v>916</v>
      </c>
      <c r="D1093" s="27" t="s">
        <v>917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919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1194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949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1418</v>
      </c>
      <c r="B1097" s="27" t="s">
        <v>1419</v>
      </c>
      <c r="C1097" s="27" t="s">
        <v>1069</v>
      </c>
      <c r="D1097" s="27" t="s">
        <v>917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1420</v>
      </c>
      <c r="B1098" s="27" t="s">
        <v>1060</v>
      </c>
      <c r="C1098" s="27" t="s">
        <v>916</v>
      </c>
      <c r="D1098" s="27" t="s">
        <v>917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932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row>
    <row r="1101" spans="1:12">
      <c r="A1101" s="20" t="s">
        <v>1421</v>
      </c>
    </row>
    <row r="1102" spans="1:12">
      <c r="A1102" s="20" t="s">
        <v>1422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367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927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1019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1423</v>
      </c>
      <c r="B1106" s="27" t="s">
        <v>937</v>
      </c>
      <c r="C1106" s="27" t="s">
        <v>943</v>
      </c>
      <c r="D1106" s="27" t="s">
        <v>917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1102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949</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1017</v>
      </c>
      <c r="B1109" s="27" t="s">
        <v>962</v>
      </c>
      <c r="C1109" s="27" t="s">
        <v>916</v>
      </c>
      <c r="D1109" s="27" t="s">
        <v>917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1045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1424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932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1425</v>
      </c>
    </row>
    <row r="1115" spans="1:12">
      <c r="A1115" s="20" t="s">
        <v>1106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1045</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1426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1427</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932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row>
    <row r="1121" spans="1:12">
      <c r="A1121" s="20" t="s">
        <v>1428</v>
      </c>
    </row>
    <row r="1122" spans="1:12">
      <c r="A1122" s="20" t="s">
        <v>1429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1430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1431</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932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row>
    <row r="1127" spans="1:12">
      <c r="A1127" s="20" t="s">
        <v>1432</v>
      </c>
    </row>
    <row r="1128" spans="1:12">
      <c r="A1128" s="20" t="s">
        <v>1433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1434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1435</v>
      </c>
      <c r="B1130" s="27" t="s">
        <v>910</v>
      </c>
      <c r="C1130" s="27" t="s">
        <v>974</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1436</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932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row>
    <row r="1134" spans="1:12">
      <c r="A1134" s="20" t="s">
        <v>1437</v>
      </c>
    </row>
    <row r="1135" spans="1:12">
      <c r="A1135" s="20" t="s">
        <v>1429</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908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1438</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1439</v>
      </c>
      <c r="B1138" s="27" t="s">
        <v>915</v>
      </c>
      <c r="C1138" s="27" t="s">
        <v>911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932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row>
    <row r="1141" spans="1:12">
      <c r="A1141" s="20" t="s">
        <v>1440</v>
      </c>
    </row>
    <row r="1142" spans="1:12">
      <c r="A1142" s="20" t="s">
        <v>1441</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1045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1426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1442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960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699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912</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1443</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1444</v>
      </c>
      <c r="B1150" s="27" t="s">
        <v>946</v>
      </c>
      <c r="C1150" s="27" t="s">
        <v>971</v>
      </c>
      <c r="D1150" s="27" t="s">
        <v>917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919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1112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211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1081</v>
      </c>
      <c r="B1154" s="27" t="s">
        <v>946</v>
      </c>
      <c r="C1154" s="27" t="s">
        <v>1095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1445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918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935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1112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1182</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1338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1056</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1103</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1219</v>
      </c>
      <c r="B1163" s="27" t="s">
        <v>1073</v>
      </c>
      <c r="C1163" s="27" t="s">
        <v>938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1194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60</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932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row>
    <row r="1168" spans="1:12">
      <c r="A1168" s="20" t="s">
        <v>1446</v>
      </c>
    </row>
    <row r="1169" spans="1:12">
      <c r="A1169" s="20" t="s">
        <v>1447</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927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1448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211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1081</v>
      </c>
      <c r="B1173" s="27" t="s">
        <v>946</v>
      </c>
      <c r="C1173" s="27" t="s">
        <v>1095</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951</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1449</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399</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960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1019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1450</v>
      </c>
      <c r="B1179" s="27" t="s">
        <v>970</v>
      </c>
      <c r="C1179" s="27" t="s">
        <v>1069</v>
      </c>
      <c r="D1179" s="27" t="s">
        <v>917</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1423</v>
      </c>
      <c r="B1180" s="27" t="s">
        <v>962</v>
      </c>
      <c r="C1180" s="27" t="s">
        <v>916</v>
      </c>
      <c r="D1180" s="27" t="s">
        <v>917</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919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927</v>
      </c>
      <c r="B1182" s="27" t="s">
        <v>929</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1451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913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1398</v>
      </c>
      <c r="B1185" s="27" t="s">
        <v>1110</v>
      </c>
      <c r="C1185" s="27" t="s">
        <v>916</v>
      </c>
      <c r="D1185" s="27" t="s">
        <v>917</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927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1452</v>
      </c>
      <c r="B1187" s="27" t="s">
        <v>983</v>
      </c>
      <c r="C1187" s="27" t="s">
        <v>938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1453</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1454</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1026</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941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1455</v>
      </c>
      <c r="B1192" s="27" t="s">
        <v>987</v>
      </c>
      <c r="C1192" s="27" t="s">
        <v>911</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1456</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1457</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932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row>
    <row r="1197" spans="1:12">
      <c r="A1197" s="20" t="s">
        <v>1458</v>
      </c>
    </row>
    <row r="1198" spans="1:12">
      <c r="A1198" s="20" t="s">
        <v>1459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1017</v>
      </c>
      <c r="B1199" s="27" t="s">
        <v>942</v>
      </c>
      <c r="C1199" s="27" t="s">
        <v>916</v>
      </c>
      <c r="D1199" s="27" t="s">
        <v>917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1035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913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1273</v>
      </c>
      <c r="B1202" s="27" t="s">
        <v>915</v>
      </c>
      <c r="C1202" s="27" t="s">
        <v>943</v>
      </c>
      <c r="D1202" s="27" t="s">
        <v>917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1460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960</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964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1461</v>
      </c>
      <c r="B1206" s="27" t="s">
        <v>915</v>
      </c>
      <c r="C1206" s="27" t="s">
        <v>916</v>
      </c>
      <c r="D1206" s="27" t="s">
        <v>917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932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row>
    <row r="1209" spans="1:12">
      <c r="A1209" s="20" t="s">
        <v>999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1462</v>
      </c>
    </row>
    <row r="1211" spans="1:12">
      <c r="A1211" s="20" t="s">
        <v>1225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941</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1336</v>
      </c>
      <c r="B1213" s="27" t="s">
        <v>937</v>
      </c>
      <c r="C1213" s="27" t="s">
        <v>911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1463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1464</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918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140</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1225</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1465</v>
      </c>
      <c r="B1219" s="27" t="s">
        <v>970</v>
      </c>
      <c r="C1219" s="27" t="s">
        <v>1069</v>
      </c>
      <c r="D1219" s="27" t="s">
        <v>917</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1466</v>
      </c>
      <c r="B1220" s="27" t="s">
        <v>1073</v>
      </c>
      <c r="C1220" s="27" t="s">
        <v>1012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1467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918</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1023</v>
      </c>
      <c r="B1223" s="27" t="s">
        <v>1101</v>
      </c>
      <c r="C1223" s="27" t="s">
        <v>956</v>
      </c>
      <c r="D1223" s="27" t="s">
        <v>917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1468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1001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1365</v>
      </c>
      <c r="B1226" s="27" t="s">
        <v>1101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140</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1112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1338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1461</v>
      </c>
      <c r="B1230" s="27" t="s">
        <v>937</v>
      </c>
      <c r="C1230" s="27" t="s">
        <v>974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1413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944</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977</v>
      </c>
      <c r="B1233" s="27" t="s">
        <v>1101</v>
      </c>
      <c r="C1233" s="27" t="s">
        <v>956</v>
      </c>
      <c r="D1233" s="27" t="s">
        <v>917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1469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932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row>
    <row r="1237" spans="1:12">
      <c r="A1237" s="20" t="s">
        <v>1470</v>
      </c>
    </row>
    <row r="1238" spans="1:12">
      <c r="A1238" s="20" t="s">
        <v>1371</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1461</v>
      </c>
      <c r="B1239" s="27" t="s">
        <v>942</v>
      </c>
      <c r="C1239" s="27" t="s">
        <v>916</v>
      </c>
      <c r="D1239" s="27" t="s">
        <v>917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1112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1471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1270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949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1472</v>
      </c>
      <c r="B1244" s="27" t="s">
        <v>915</v>
      </c>
      <c r="C1244" s="27" t="s">
        <v>943</v>
      </c>
      <c r="D1244" s="27" t="s">
        <v>917</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960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949</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1473</v>
      </c>
      <c r="B1247" s="27" t="s">
        <v>946</v>
      </c>
      <c r="C1247" s="27" t="s">
        <v>916</v>
      </c>
      <c r="D1247" s="27" t="s">
        <v>917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918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919</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977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1474</v>
      </c>
      <c r="B1251" s="27" t="s">
        <v>937</v>
      </c>
      <c r="C1251" s="27" t="s">
        <v>943</v>
      </c>
      <c r="D1251" s="27" t="s">
        <v>917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960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949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1475</v>
      </c>
      <c r="B1254" s="27" t="s">
        <v>962</v>
      </c>
      <c r="C1254" s="27" t="s">
        <v>916</v>
      </c>
      <c r="D1254" s="27" t="s">
        <v>917</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1476</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913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1477</v>
      </c>
      <c r="B1258" s="27" t="s">
        <v>915</v>
      </c>
      <c r="C1258" s="27" t="s">
        <v>943</v>
      </c>
      <c r="D1258" s="27" t="s">
        <v>917</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960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964</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1478</v>
      </c>
      <c r="B1261" s="27" t="s">
        <v>946</v>
      </c>
      <c r="C1261" s="27" t="s">
        <v>916</v>
      </c>
      <c r="D1261" s="27" t="s">
        <v>917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932</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1479</v>
      </c>
    </row>
    <row r="1265" spans="1:12">
      <c r="A1265" s="20" t="s">
        <v>1480</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1045</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1094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1109</v>
      </c>
      <c r="B1268" s="27" t="s">
        <v>942</v>
      </c>
      <c r="C1268" s="27" t="s">
        <v>1095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927</v>
      </c>
      <c r="B1269" s="27" t="s">
        <v>1090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1019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1187</v>
      </c>
      <c r="B1271" s="27" t="s">
        <v>1073</v>
      </c>
      <c r="C1271" s="27" t="s">
        <v>916</v>
      </c>
      <c r="D1271" s="27" t="s">
        <v>917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1481</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963</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1482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1159</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1017</v>
      </c>
      <c r="B1276" s="27" t="s">
        <v>1110</v>
      </c>
      <c r="C1276" s="27" t="s">
        <v>974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918</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1483</v>
      </c>
      <c r="B1278" s="27" t="s">
        <v>973</v>
      </c>
      <c r="C1278" s="27" t="s">
        <v>974</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919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1484</v>
      </c>
      <c r="B1280" s="27" t="s">
        <v>973</v>
      </c>
      <c r="C1280" s="27" t="s">
        <v>974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932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row>
    <row r="1283" spans="1:12">
      <c r="A1283" s="20" t="s">
        <v>1485</v>
      </c>
    </row>
    <row r="1284" spans="1:12">
      <c r="A1284" s="20" t="s">
        <v>1116</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1483</v>
      </c>
      <c r="B1285" s="27" t="s">
        <v>942</v>
      </c>
      <c r="C1285" s="27" t="s">
        <v>916</v>
      </c>
      <c r="D1285" s="27" t="s">
        <v>917</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1035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1486</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1487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932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row>
    <row r="1291" spans="1:12">
      <c r="A1291" s="20" t="s">
        <v>1488</v>
      </c>
    </row>
    <row r="1292" spans="1:12">
      <c r="A1292" s="20" t="s">
        <v>1225</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1489</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941</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1473</v>
      </c>
      <c r="B1295" s="27" t="s">
        <v>910</v>
      </c>
      <c r="C1295" s="27" t="s">
        <v>911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919</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1201</v>
      </c>
      <c r="B1297" s="27" t="s">
        <v>1101</v>
      </c>
      <c r="C1297" s="27" t="s">
        <v>956</v>
      </c>
      <c r="D1297" s="27" t="s">
        <v>917</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1490</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1491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1492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918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919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954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918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1183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1265</v>
      </c>
      <c r="B1306" s="27" t="s">
        <v>946</v>
      </c>
      <c r="C1306" s="27" t="s">
        <v>1095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1096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1097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918</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1183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975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1493</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1494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918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1119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1201</v>
      </c>
      <c r="B1316" s="27" t="s">
        <v>1090</v>
      </c>
      <c r="C1316" s="27" t="s">
        <v>956</v>
      </c>
      <c r="D1316" s="27" t="s">
        <v>917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1490</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908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1495</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1496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918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1497</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1035</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1483</v>
      </c>
      <c r="B1324" s="27" t="s">
        <v>946</v>
      </c>
      <c r="C1324" s="27" t="s">
        <v>974</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918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919</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1497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963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949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1379</v>
      </c>
      <c r="B1330" s="27" t="s">
        <v>970</v>
      </c>
      <c r="C1330" s="27" t="s">
        <v>916</v>
      </c>
      <c r="D1330" s="27" t="s">
        <v>917</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981</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1023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1498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1194</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988</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912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1312</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1313</v>
      </c>
      <c r="B1338" s="27" t="s">
        <v>970</v>
      </c>
      <c r="C1338" s="27" t="s">
        <v>1012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932</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row>
    <row r="1341" spans="1:12">
      <c r="A1341" s="20" t="s">
        <v>1499</v>
      </c>
    </row>
    <row r="1342" spans="1:12">
      <c r="A1342" s="20" t="s">
        <v>1225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1489</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941</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1473</v>
      </c>
      <c r="B1345" s="27" t="s">
        <v>1101</v>
      </c>
      <c r="C1345" s="27" t="s">
        <v>911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1500</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918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919</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1201</v>
      </c>
      <c r="B1349" s="27" t="s">
        <v>1090</v>
      </c>
      <c r="C1349" s="27" t="s">
        <v>956</v>
      </c>
      <c r="D1349" s="27" t="s">
        <v>917</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1490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963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1501</v>
      </c>
      <c r="B1352" s="27" t="s">
        <v>962</v>
      </c>
      <c r="C1352" s="27" t="s">
        <v>974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918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919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1183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1265</v>
      </c>
      <c r="B1356" s="27" t="s">
        <v>962</v>
      </c>
      <c r="C1356" s="27" t="s">
        <v>1095</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1096</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1097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1183</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963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1502</v>
      </c>
      <c r="B1361" s="27" t="s">
        <v>946</v>
      </c>
      <c r="C1361" s="27" t="s">
        <v>943</v>
      </c>
      <c r="D1361" s="27" t="s">
        <v>917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912</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1053</v>
      </c>
      <c r="B1363" s="27" t="s">
        <v>962</v>
      </c>
      <c r="C1363" s="27" t="s">
        <v>943</v>
      </c>
      <c r="D1363" s="27" t="s">
        <v>917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960</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1503</v>
      </c>
      <c r="B1365" s="27" t="s">
        <v>970</v>
      </c>
      <c r="C1365" s="27" t="s">
        <v>974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918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1014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1035</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1504</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927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1453</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941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1017</v>
      </c>
      <c r="B1373" s="27" t="s">
        <v>915</v>
      </c>
      <c r="C1373" s="27" t="s">
        <v>911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1505</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1194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1019</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1506</v>
      </c>
      <c r="B1377" s="27" t="s">
        <v>962</v>
      </c>
      <c r="C1377" s="27" t="s">
        <v>916</v>
      </c>
      <c r="D1377" s="27" t="s">
        <v>917</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1507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932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row>
    <row r="1381" spans="1:12">
      <c r="A1381" s="20" t="s">
        <v>1508</v>
      </c>
    </row>
    <row r="1382" spans="1:12">
      <c r="A1382" s="20" t="s">
        <v>1116</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1509</v>
      </c>
      <c r="B1383" s="27" t="s">
        <v>942</v>
      </c>
      <c r="C1383" s="27" t="s">
        <v>916</v>
      </c>
      <c r="D1383" s="27" t="s">
        <v>917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1182</v>
      </c>
      <c r="B1384" s="27" t="s">
        <v>910</v>
      </c>
      <c r="C1384" s="27" t="s">
        <v>956</v>
      </c>
      <c r="D1384" s="27" t="s">
        <v>917</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1510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1511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1512</v>
      </c>
      <c r="B1387" s="27" t="s">
        <v>910</v>
      </c>
      <c r="C1387" s="27" t="s">
        <v>1012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932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1513</v>
      </c>
    </row>
    <row r="1391" spans="1:12">
      <c r="A1391" s="20" t="s">
        <v>1514</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1187</v>
      </c>
      <c r="B1392" s="27" t="s">
        <v>942</v>
      </c>
      <c r="C1392" s="27" t="s">
        <v>916</v>
      </c>
      <c r="D1392" s="27" t="s">
        <v>917</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1515</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927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949</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1017</v>
      </c>
      <c r="B1396" s="27" t="s">
        <v>937</v>
      </c>
      <c r="C1396" s="27" t="s">
        <v>916</v>
      </c>
      <c r="D1396" s="27" t="s">
        <v>917</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1453</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988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1484</v>
      </c>
      <c r="B1399" s="27" t="s">
        <v>915</v>
      </c>
      <c r="C1399" s="27" t="s">
        <v>974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932</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row>
    <row r="1402" spans="1:12">
      <c r="A1402" s="20" t="s">
        <v>1516</v>
      </c>
    </row>
    <row r="1403" spans="1:12">
      <c r="A1403" s="20" t="s">
        <v>1268</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1517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918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1518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1519</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1484</v>
      </c>
      <c r="B1408" s="27" t="s">
        <v>915</v>
      </c>
      <c r="C1408" s="27" t="s">
        <v>943</v>
      </c>
      <c r="D1408" s="27" t="s">
        <v>917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918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1456</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918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1130</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1483</v>
      </c>
      <c r="B1413" s="27" t="s">
        <v>915</v>
      </c>
      <c r="C1413" s="27" t="s">
        <v>943</v>
      </c>
      <c r="D1413" s="27" t="s">
        <v>917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1518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1112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941</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1520</v>
      </c>
      <c r="B1417" s="27" t="s">
        <v>946</v>
      </c>
      <c r="C1417" s="27" t="s">
        <v>911</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932</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1521</v>
      </c>
    </row>
    <row r="1421" spans="1:12">
      <c r="A1421" s="20" t="s">
        <v>1155</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1084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1274</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963</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1522</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949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1017</v>
      </c>
      <c r="B1427" s="27" t="s">
        <v>1090</v>
      </c>
      <c r="C1427" s="27" t="s">
        <v>916</v>
      </c>
      <c r="D1427" s="27" t="s">
        <v>917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918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919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1026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1523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1524</v>
      </c>
      <c r="B1432" s="27" t="s">
        <v>1090</v>
      </c>
      <c r="C1432" s="27" t="s">
        <v>1052</v>
      </c>
      <c r="D1432" s="27" t="s">
        <v>917</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927</v>
      </c>
      <c r="B1433" s="27" t="s">
        <v>1197</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1023</v>
      </c>
      <c r="B1434" s="27" t="s">
        <v>1302</v>
      </c>
      <c r="C1434" s="27" t="s">
        <v>956</v>
      </c>
      <c r="D1434" s="27" t="s">
        <v>917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1525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1526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918</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1084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1527</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927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1528</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1187</v>
      </c>
      <c r="B1442" s="27" t="s">
        <v>915</v>
      </c>
      <c r="C1442" s="27" t="s">
        <v>1012</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918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927</v>
      </c>
      <c r="B1444" s="27" t="s">
        <v>1073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1529</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164</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676</v>
      </c>
      <c r="B1447" s="27" t="s">
        <v>1110</v>
      </c>
      <c r="C1447" s="27" t="s">
        <v>1052</v>
      </c>
      <c r="D1447" s="27" t="s">
        <v>917</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927</v>
      </c>
      <c r="B1448" s="27" t="s">
        <v>983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1530</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941</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1017</v>
      </c>
      <c r="B1451" s="27" t="s">
        <v>1147</v>
      </c>
      <c r="C1451" s="27" t="s">
        <v>911</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1531</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1532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918</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927</v>
      </c>
      <c r="B1455" s="27" t="s">
        <v>1533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1023</v>
      </c>
      <c r="B1456" s="27" t="s">
        <v>1534</v>
      </c>
      <c r="C1456" s="27" t="s">
        <v>956</v>
      </c>
      <c r="D1456" s="27" t="s">
        <v>917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1525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1535</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1536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932</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row>
    <row r="1462" spans="1:12">
      <c r="A1462" s="20" t="s">
        <v>1537</v>
      </c>
    </row>
    <row r="1463" spans="1:12">
      <c r="A1463" s="20" t="s">
        <v>1538</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1525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1281</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1187</v>
      </c>
      <c r="B1466" s="27" t="s">
        <v>942</v>
      </c>
      <c r="C1466" s="27" t="s">
        <v>1012</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927</v>
      </c>
      <c r="B1467" s="27" t="s">
        <v>1073</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1529</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164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918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963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1539</v>
      </c>
      <c r="B1472" s="27" t="s">
        <v>973</v>
      </c>
      <c r="C1472" s="27" t="s">
        <v>956</v>
      </c>
      <c r="D1472" s="27" t="s">
        <v>917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367</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918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941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1017</v>
      </c>
      <c r="B1476" s="27" t="s">
        <v>1302</v>
      </c>
      <c r="C1476" s="27" t="s">
        <v>911</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1540</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1541</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918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1019</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1542</v>
      </c>
      <c r="B1481" s="27" t="s">
        <v>1543</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1544</v>
      </c>
      <c r="B1482" s="27" t="s">
        <v>1543</v>
      </c>
      <c r="C1482" s="27" t="s">
        <v>1150</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1545</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941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1362</v>
      </c>
      <c r="B1485" s="27" t="s">
        <v>1261</v>
      </c>
      <c r="C1485" s="27" t="s">
        <v>911</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1546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912</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1076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1547</v>
      </c>
      <c r="B1489" s="27" t="s">
        <v>990</v>
      </c>
      <c r="C1489" s="27" t="s">
        <v>943</v>
      </c>
      <c r="D1489" s="27" t="s">
        <v>917</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1448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908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1548</v>
      </c>
      <c r="B1492" s="27" t="s">
        <v>1060</v>
      </c>
      <c r="C1492" s="27" t="s">
        <v>911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1549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919</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964</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1349</v>
      </c>
      <c r="B1496" s="27" t="s">
        <v>1419</v>
      </c>
      <c r="C1496" s="27" t="s">
        <v>938</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932</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row>
    <row r="1499" spans="1:12">
      <c r="A1499" s="20" t="s">
        <v>1550</v>
      </c>
    </row>
    <row r="1500" spans="1:12">
      <c r="A1500" s="20" t="s">
        <v>1384</v>
      </c>
      <c r="B1500" s="27" t="s">
        <v>910</v>
      </c>
      <c r="C1500" s="27" t="s">
        <v>956</v>
      </c>
      <c r="D1500" s="27" t="s">
        <v>917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1551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963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267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676</v>
      </c>
      <c r="B1504" s="27" t="s">
        <v>1101</v>
      </c>
      <c r="C1504" s="27" t="s">
        <v>1052</v>
      </c>
      <c r="D1504" s="27" t="s">
        <v>917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927</v>
      </c>
      <c r="B1505" s="27" t="s">
        <v>929</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1445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1552</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927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1553</v>
      </c>
      <c r="B1509" s="27" t="s">
        <v>1197</v>
      </c>
      <c r="C1509" s="27" t="s">
        <v>938</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1554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1496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1555</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1026</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1556</v>
      </c>
      <c r="B1514" s="27" t="s">
        <v>973</v>
      </c>
      <c r="C1514" s="27" t="s">
        <v>938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932</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row>
    <row r="1517" spans="1:12">
      <c r="A1517" s="20" t="s">
        <v>1557</v>
      </c>
    </row>
    <row r="1518" spans="1:12">
      <c r="A1518" s="20" t="s">
        <v>1558</v>
      </c>
      <c r="B1518" s="27" t="s">
        <v>915</v>
      </c>
      <c r="C1518" s="27" t="s">
        <v>1150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1045</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920</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1559</v>
      </c>
      <c r="B1521" s="27" t="s">
        <v>942</v>
      </c>
      <c r="C1521" s="27" t="s">
        <v>916</v>
      </c>
      <c r="D1521" s="27" t="s">
        <v>917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927</v>
      </c>
      <c r="B1522" s="27" t="s">
        <v>1073</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1560</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963</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1019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1187</v>
      </c>
      <c r="B1526" s="27" t="s">
        <v>962</v>
      </c>
      <c r="C1526" s="27" t="s">
        <v>916</v>
      </c>
      <c r="D1526" s="27" t="s">
        <v>917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960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1054</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1341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row>
    <row r="1531" spans="1:12">
      <c r="A1531" s="20" t="s">
        <v>1561</v>
      </c>
    </row>
    <row r="1532" spans="1:12">
      <c r="A1532" s="20" t="s">
        <v>1210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1045</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1562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991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1084</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1563</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941</v>
      </c>
      <c r="B1538" s="27" t="s">
        <v>1101</v>
      </c>
      <c r="C1538" s="27" t="s">
        <v>938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1026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941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1187</v>
      </c>
      <c r="B1541" s="27" t="s">
        <v>946</v>
      </c>
      <c r="C1541" s="27" t="s">
        <v>911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927</v>
      </c>
      <c r="B1542" s="27" t="s">
        <v>929</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1564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960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1017</v>
      </c>
      <c r="B1545" s="27" t="s">
        <v>970</v>
      </c>
      <c r="C1545" s="27" t="s">
        <v>974</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932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row>
    <row r="1548" spans="1:12">
      <c r="A1548" s="20" t="s">
        <v>1565</v>
      </c>
    </row>
    <row r="1549" spans="1:12">
      <c r="A1549" s="20" t="s">
        <v>1173</v>
      </c>
      <c r="B1549" s="27" t="s">
        <v>942</v>
      </c>
      <c r="C1549" s="27" t="s">
        <v>938</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960</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1019</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1566</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1187</v>
      </c>
      <c r="B1553" s="27" t="s">
        <v>946</v>
      </c>
      <c r="C1553" s="27" t="s">
        <v>916</v>
      </c>
      <c r="D1553" s="27" t="s">
        <v>917</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927</v>
      </c>
      <c r="B1554" s="27" t="s">
        <v>1110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1084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1563</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1567</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1568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949</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1017</v>
      </c>
      <c r="B1560" s="27" t="s">
        <v>910</v>
      </c>
      <c r="C1560" s="27" t="s">
        <v>916</v>
      </c>
      <c r="D1560" s="27" t="s">
        <v>917</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944</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908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1313</v>
      </c>
      <c r="B1563" s="27" t="s">
        <v>915</v>
      </c>
      <c r="C1563" s="27" t="s">
        <v>911</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1096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1569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960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1570</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919</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1044</v>
      </c>
      <c r="B1569" s="27" t="s">
        <v>1101</v>
      </c>
      <c r="C1569" s="27" t="s">
        <v>956</v>
      </c>
      <c r="D1569" s="27" t="s">
        <v>917</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1567</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1398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1571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1572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977</v>
      </c>
      <c r="B1574" s="27" t="s">
        <v>1090</v>
      </c>
      <c r="C1574" s="27" t="s">
        <v>956</v>
      </c>
      <c r="D1574" s="27" t="s">
        <v>917</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367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1573</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1044</v>
      </c>
      <c r="B1577" s="27" t="s">
        <v>1302</v>
      </c>
      <c r="C1577" s="27" t="s">
        <v>956</v>
      </c>
      <c r="D1577" s="27" t="s">
        <v>917</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1574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927</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1124</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1313</v>
      </c>
      <c r="B1581" s="27" t="s">
        <v>983</v>
      </c>
      <c r="C1581" s="27" t="s">
        <v>971</v>
      </c>
      <c r="D1581" s="27" t="s">
        <v>917</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1096</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1569</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960</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1570</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1476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1575</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1576</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949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1577</v>
      </c>
      <c r="B1590" s="27" t="s">
        <v>1147</v>
      </c>
      <c r="C1590" s="27" t="s">
        <v>916</v>
      </c>
      <c r="D1590" s="27" t="s">
        <v>917</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918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927</v>
      </c>
      <c r="B1592" s="27" t="s">
        <v>1533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1203</v>
      </c>
      <c r="B1593" s="27" t="s">
        <v>1533</v>
      </c>
      <c r="C1593" s="27" t="s">
        <v>1052</v>
      </c>
      <c r="D1593" s="27" t="s">
        <v>917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1035</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941</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1578</v>
      </c>
      <c r="B1596" s="27" t="s">
        <v>990</v>
      </c>
      <c r="C1596" s="27" t="s">
        <v>911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1579</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932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row>
    <row r="1600" spans="1:12">
      <c r="A1600" s="20" t="s">
        <v>1580</v>
      </c>
    </row>
    <row r="1601" spans="1:12">
      <c r="A1601" s="20" t="s">
        <v>1268</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949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1581</v>
      </c>
      <c r="B1603" s="27" t="s">
        <v>915</v>
      </c>
      <c r="C1603" s="27" t="s">
        <v>916</v>
      </c>
      <c r="D1603" s="27" t="s">
        <v>917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1096</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1582</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963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913</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1009</v>
      </c>
      <c r="B1608" s="27" t="s">
        <v>946</v>
      </c>
      <c r="C1608" s="27" t="s">
        <v>916</v>
      </c>
      <c r="D1608" s="27" t="s">
        <v>917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918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919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1583</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1584</v>
      </c>
      <c r="B1612" s="27" t="s">
        <v>915</v>
      </c>
      <c r="C1612" s="27" t="s">
        <v>943</v>
      </c>
      <c r="D1612" s="27" t="s">
        <v>917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1010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1284</v>
      </c>
      <c r="B1614" s="27" t="s">
        <v>946</v>
      </c>
      <c r="C1614" s="27" t="s">
        <v>1012</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932</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row>
    <row r="1617" spans="1:12">
      <c r="A1617" s="20" t="s">
        <v>1585</v>
      </c>
    </row>
    <row r="1618" spans="1:12">
      <c r="A1618" s="20" t="s">
        <v>1173</v>
      </c>
      <c r="B1618" s="27" t="s">
        <v>942</v>
      </c>
      <c r="C1618" s="27" t="s">
        <v>938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960</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1019</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1187</v>
      </c>
      <c r="B1621" s="27" t="s">
        <v>946</v>
      </c>
      <c r="C1621" s="27" t="s">
        <v>916</v>
      </c>
      <c r="D1621" s="27" t="s">
        <v>917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966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1367</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1084</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1586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1181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1587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960</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1206</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1104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1588</v>
      </c>
      <c r="B1631" s="27" t="s">
        <v>1147</v>
      </c>
      <c r="C1631" s="27" t="s">
        <v>1052</v>
      </c>
      <c r="D1631" s="27" t="s">
        <v>917</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1121</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941</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1589</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1590</v>
      </c>
      <c r="B1635" s="27" t="s">
        <v>915</v>
      </c>
      <c r="C1635" s="27" t="s">
        <v>911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927</v>
      </c>
      <c r="B1636" s="27" t="s">
        <v>937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1591</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1194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1592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1081</v>
      </c>
      <c r="B1640" s="27" t="s">
        <v>946</v>
      </c>
      <c r="C1640" s="27" t="s">
        <v>1012</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918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919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927</v>
      </c>
      <c r="B1643" s="27" t="s">
        <v>1073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1593</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1286</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908</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1548</v>
      </c>
      <c r="B1647" s="27" t="s">
        <v>1090</v>
      </c>
      <c r="C1647" s="27" t="s">
        <v>911</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1594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1595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913</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1359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1596</v>
      </c>
      <c r="B1652" s="27" t="s">
        <v>962</v>
      </c>
      <c r="C1652" s="27" t="s">
        <v>943</v>
      </c>
      <c r="D1652" s="27" t="s">
        <v>917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960</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1597</v>
      </c>
      <c r="B1654" s="27" t="s">
        <v>970</v>
      </c>
      <c r="C1654" s="27" t="s">
        <v>974</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918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991</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1121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954</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1598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912</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941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1333</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1017</v>
      </c>
      <c r="B1663" s="27" t="s">
        <v>962</v>
      </c>
      <c r="C1663" s="27" t="s">
        <v>911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932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row>
    <row r="1666" spans="1:12">
      <c r="A1666" s="20" t="s">
        <v>1599</v>
      </c>
    </row>
    <row r="1667" spans="1:12">
      <c r="A1667" s="20" t="s">
        <v>1217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1600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1194</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1601</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1602</v>
      </c>
      <c r="B1671" s="27" t="s">
        <v>915</v>
      </c>
      <c r="C1671" s="27" t="s">
        <v>974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1254</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1603</v>
      </c>
      <c r="B1673" s="27" t="s">
        <v>946</v>
      </c>
      <c r="C1673" s="27" t="s">
        <v>974</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1604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918</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1605</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1121</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1606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963</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964</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1444</v>
      </c>
      <c r="B1681" s="27" t="s">
        <v>946</v>
      </c>
      <c r="C1681" s="27" t="s">
        <v>916</v>
      </c>
      <c r="D1681" s="27" t="s">
        <v>917</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932</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row>
    <row r="1684" spans="1:12">
      <c r="A1684" s="20" t="s">
        <v>1607</v>
      </c>
    </row>
    <row r="1685" spans="1:12">
      <c r="A1685" s="20" t="s">
        <v>976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1608</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1609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1400</v>
      </c>
      <c r="B1688" s="27" t="s">
        <v>910</v>
      </c>
      <c r="C1688" s="27" t="s">
        <v>943</v>
      </c>
      <c r="D1688" s="27" t="s">
        <v>917</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892</v>
      </c>
      <c r="B1689" s="27" t="s">
        <v>962</v>
      </c>
      <c r="C1689" s="27" t="s">
        <v>974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1026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1081</v>
      </c>
      <c r="B1691" s="27" t="s">
        <v>946</v>
      </c>
      <c r="C1691" s="27" t="s">
        <v>974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960</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1328</v>
      </c>
      <c r="B1693" s="27" t="s">
        <v>946</v>
      </c>
      <c r="C1693" s="27" t="s">
        <v>974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963</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1610</v>
      </c>
      <c r="B1695" s="27" t="s">
        <v>946</v>
      </c>
      <c r="C1695" s="27" t="s">
        <v>943</v>
      </c>
      <c r="D1695" s="27" t="s">
        <v>917</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960</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1611</v>
      </c>
      <c r="B1697" s="27" t="s">
        <v>962</v>
      </c>
      <c r="C1697" s="27" t="s">
        <v>974</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918</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963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949</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1379</v>
      </c>
      <c r="B1701" s="27" t="s">
        <v>946</v>
      </c>
      <c r="C1701" s="27" t="s">
        <v>916</v>
      </c>
      <c r="D1701" s="27" t="s">
        <v>917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949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1328</v>
      </c>
      <c r="B1703" s="27" t="s">
        <v>937</v>
      </c>
      <c r="C1703" s="27" t="s">
        <v>943</v>
      </c>
      <c r="D1703" s="27" t="s">
        <v>917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963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913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1611</v>
      </c>
      <c r="B1706" s="27" t="s">
        <v>962</v>
      </c>
      <c r="C1706" s="27" t="s">
        <v>916</v>
      </c>
      <c r="D1706" s="27" t="s">
        <v>917</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1612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1613</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1102</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1143</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944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951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1614</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1270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932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1615</v>
      </c>
    </row>
    <row r="1718" spans="1:12">
      <c r="A1718" s="20" t="s">
        <v>1616</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1365</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1617</v>
      </c>
      <c r="B1721" s="27" t="s">
        <v>910</v>
      </c>
      <c r="C1721" s="27" t="s">
        <v>911</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919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1618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912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949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1619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1017</v>
      </c>
      <c r="B1727" s="27" t="s">
        <v>946</v>
      </c>
      <c r="C1727" s="27" t="s">
        <v>916</v>
      </c>
      <c r="D1727" s="27" t="s">
        <v>917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927</v>
      </c>
      <c r="B1728" s="27" t="s">
        <v>1110</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1620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1621</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1622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1595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949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1393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1623</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1624</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912</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964</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1625</v>
      </c>
      <c r="B1739" s="27" t="s">
        <v>987</v>
      </c>
      <c r="C1739" s="27" t="s">
        <v>943</v>
      </c>
      <c r="D1739" s="27" t="s">
        <v>917</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960</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920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1626</v>
      </c>
      <c r="B1742" s="27" t="s">
        <v>990</v>
      </c>
      <c r="C1742" s="27" t="s">
        <v>916</v>
      </c>
      <c r="D1742" s="27" t="s">
        <v>917</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918</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1627</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1628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918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1629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1292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918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1284</v>
      </c>
      <c r="B1750" s="27" t="s">
        <v>987</v>
      </c>
      <c r="C1750" s="27" t="s">
        <v>943</v>
      </c>
      <c r="D1750" s="27" t="s">
        <v>917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1079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1284</v>
      </c>
      <c r="B1752" s="27" t="s">
        <v>990</v>
      </c>
      <c r="C1752" s="27" t="s">
        <v>974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932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row>
    <row r="1755" spans="1:12">
      <c r="A1755" s="20" t="s">
        <v>999</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1630</v>
      </c>
    </row>
    <row r="1757" spans="1:12">
      <c r="A1757" s="20" t="s">
        <v>1631</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1081</v>
      </c>
      <c r="B1758" s="27" t="s">
        <v>915</v>
      </c>
      <c r="C1758" s="27" t="s">
        <v>1012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1079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918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935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964</v>
      </c>
      <c r="B1762" s="27" t="s">
        <v>1090</v>
      </c>
      <c r="C1762" s="27" t="s">
        <v>956</v>
      </c>
      <c r="D1762" s="27" t="s">
        <v>917</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1084</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1632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963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1633</v>
      </c>
      <c r="B1766" s="27" t="s">
        <v>962</v>
      </c>
      <c r="C1766" s="27" t="s">
        <v>943</v>
      </c>
      <c r="D1766" s="27" t="s">
        <v>917</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960</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1634</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1635</v>
      </c>
      <c r="B1769" s="27" t="s">
        <v>970</v>
      </c>
      <c r="C1769" s="27" t="s">
        <v>971</v>
      </c>
      <c r="D1769" s="27" t="s">
        <v>917</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15</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951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1636</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1637</v>
      </c>
      <c r="B1773" s="27" t="s">
        <v>942</v>
      </c>
      <c r="C1773" s="27" t="s">
        <v>1023</v>
      </c>
      <c r="D1773" s="27" t="s">
        <v>917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1638</v>
      </c>
      <c r="B1774" s="27" t="s">
        <v>946</v>
      </c>
      <c r="C1774" s="27" t="s">
        <v>1023</v>
      </c>
      <c r="D1774" s="27" t="s">
        <v>917</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918</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1035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941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1639</v>
      </c>
      <c r="B1778" s="27" t="s">
        <v>915</v>
      </c>
      <c r="C1778" s="27" t="s">
        <v>911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991</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941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1640</v>
      </c>
      <c r="B1781" s="27" t="s">
        <v>915</v>
      </c>
      <c r="C1781" s="27" t="s">
        <v>911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15</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935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964</v>
      </c>
      <c r="B1784" s="27" t="s">
        <v>1090</v>
      </c>
      <c r="C1784" s="27" t="s">
        <v>956</v>
      </c>
      <c r="D1784" s="27" t="s">
        <v>917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1084</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1632</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918</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652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918</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140</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1641</v>
      </c>
      <c r="B1791" s="27" t="s">
        <v>942</v>
      </c>
      <c r="C1791" s="27" t="s">
        <v>1023</v>
      </c>
      <c r="D1791" s="27" t="s">
        <v>917</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323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1642</v>
      </c>
      <c r="B1793" s="27" t="s">
        <v>946</v>
      </c>
      <c r="C1793" s="27" t="s">
        <v>1023</v>
      </c>
      <c r="D1793" s="27" t="s">
        <v>917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1643</v>
      </c>
      <c r="B1794" s="27" t="s">
        <v>946</v>
      </c>
      <c r="C1794" s="27" t="s">
        <v>1023</v>
      </c>
      <c r="D1794" s="27" t="s">
        <v>917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1644</v>
      </c>
      <c r="B1795" s="27" t="s">
        <v>946</v>
      </c>
      <c r="C1795" s="27" t="s">
        <v>1023</v>
      </c>
      <c r="D1795" s="27" t="s">
        <v>917</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1645</v>
      </c>
      <c r="B1796" s="27" t="s">
        <v>946</v>
      </c>
      <c r="C1796" s="27" t="s">
        <v>1023</v>
      </c>
      <c r="D1796" s="27" t="s">
        <v>917</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1646</v>
      </c>
      <c r="B1797" s="27" t="s">
        <v>946</v>
      </c>
      <c r="C1797" s="27" t="s">
        <v>1023</v>
      </c>
      <c r="D1797" s="27" t="s">
        <v>917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1647</v>
      </c>
      <c r="B1798" s="27" t="s">
        <v>946</v>
      </c>
      <c r="C1798" s="27" t="s">
        <v>1023</v>
      </c>
      <c r="D1798" s="27" t="s">
        <v>917</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323</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1648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1102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1649</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949</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950</v>
      </c>
      <c r="B1804" s="27" t="s">
        <v>1101</v>
      </c>
      <c r="C1804" s="27" t="s">
        <v>916</v>
      </c>
      <c r="D1804" s="27" t="s">
        <v>917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1650</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932</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row>
    <row r="1808" spans="1:12">
      <c r="A1808" s="20" t="s">
        <v>1651</v>
      </c>
    </row>
    <row r="1809" spans="1:12">
      <c r="A1809" s="20" t="s">
        <v>1641</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1102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1652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676</v>
      </c>
      <c r="B1812" s="27" t="s">
        <v>1101</v>
      </c>
      <c r="C1812" s="27" t="s">
        <v>1052</v>
      </c>
      <c r="D1812" s="27" t="s">
        <v>917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927</v>
      </c>
      <c r="B1813" s="27" t="s">
        <v>1110</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949</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1465</v>
      </c>
      <c r="B1815" s="27" t="s">
        <v>973</v>
      </c>
      <c r="C1815" s="27" t="s">
        <v>1069</v>
      </c>
      <c r="D1815" s="27" t="s">
        <v>917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950</v>
      </c>
      <c r="B1816" s="27" t="s">
        <v>929</v>
      </c>
      <c r="C1816" s="27" t="s">
        <v>916</v>
      </c>
      <c r="D1816" s="27" t="s">
        <v>917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1653</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918</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919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1654</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918</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323</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1106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1183</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1655</v>
      </c>
      <c r="B1825" s="27" t="s">
        <v>915</v>
      </c>
      <c r="C1825" s="27" t="s">
        <v>938</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932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row>
    <row r="1828" spans="1:12">
      <c r="A1828" s="20" t="s">
        <v>1656</v>
      </c>
    </row>
    <row r="1829" spans="1:12">
      <c r="A1829" s="20" t="s">
        <v>1106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1183</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1401</v>
      </c>
      <c r="B1831" s="27" t="s">
        <v>915</v>
      </c>
      <c r="C1831" s="27" t="s">
        <v>938</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932</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row>
    <row r="1834" spans="1:12">
      <c r="A1834" s="20" t="s">
        <v>1657</v>
      </c>
    </row>
    <row r="1835" spans="1:12">
      <c r="A1835" s="20" t="s">
        <v>1106</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1658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1659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960</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699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932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row>
    <row r="1842" spans="1:12">
      <c r="A1842" s="20" t="s">
        <v>1660</v>
      </c>
    </row>
    <row r="1843" spans="1:12">
      <c r="A1843" s="20" t="s">
        <v>323</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row>
    <row r="1845" spans="1:12">
      <c r="A1845" s="20" t="s">
        <v>999</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1661</v>
      </c>
    </row>
    <row r="1847" spans="1:12">
      <c r="A1847" s="20" t="s">
        <v>1268</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1056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1014</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927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1084</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1274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1575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963</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330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960</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1279</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1044</v>
      </c>
      <c r="B1858" s="27" t="s">
        <v>1110</v>
      </c>
      <c r="C1858" s="27" t="s">
        <v>956</v>
      </c>
      <c r="D1858" s="27" t="s">
        <v>917</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932</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140</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row>
    <row r="1862" spans="1:12">
      <c r="A1862" s="20" t="s">
        <v>1662</v>
      </c>
    </row>
    <row r="1863" spans="1:12">
      <c r="A1863" s="20" t="s">
        <v>1155</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1183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1228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918</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1112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1663</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960</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82</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1664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1194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908</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1665</v>
      </c>
      <c r="B1874" s="27" t="s">
        <v>946</v>
      </c>
      <c r="C1874" s="27" t="s">
        <v>911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1666</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919</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927</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1667</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1668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913</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1009</v>
      </c>
      <c r="B1881" s="27" t="s">
        <v>1302</v>
      </c>
      <c r="C1881" s="27" t="s">
        <v>916</v>
      </c>
      <c r="D1881" s="27" t="s">
        <v>917</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1018</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949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1669</v>
      </c>
      <c r="B1884" s="27" t="s">
        <v>973</v>
      </c>
      <c r="C1884" s="27" t="s">
        <v>943</v>
      </c>
      <c r="D1884" s="27" t="s">
        <v>917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960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913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1670</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1671</v>
      </c>
      <c r="B1888" s="27" t="s">
        <v>987</v>
      </c>
      <c r="C1888" s="27" t="s">
        <v>916</v>
      </c>
      <c r="D1888" s="27" t="s">
        <v>917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932</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row>
    <row r="1891" spans="1:12">
      <c r="A1891" s="20" t="s">
        <v>1672</v>
      </c>
    </row>
    <row r="1892" spans="1:12">
      <c r="A1892" s="20" t="s">
        <v>1673</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927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913</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1665</v>
      </c>
      <c r="B1895" s="27" t="s">
        <v>937</v>
      </c>
      <c r="C1895" s="27" t="s">
        <v>916</v>
      </c>
      <c r="D1895" s="27" t="s">
        <v>917</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1453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1056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1674</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1675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918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913</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1665</v>
      </c>
      <c r="B1902" s="27" t="s">
        <v>942</v>
      </c>
      <c r="C1902" s="27" t="s">
        <v>943</v>
      </c>
      <c r="D1902" s="27" t="s">
        <v>917</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960</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949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1118</v>
      </c>
      <c r="B1905" s="27" t="s">
        <v>946</v>
      </c>
      <c r="C1905" s="27" t="s">
        <v>916</v>
      </c>
      <c r="D1905" s="27" t="s">
        <v>917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918</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919</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927</v>
      </c>
      <c r="B1908" s="27" t="s">
        <v>1073</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1144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1667</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1676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949</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341</v>
      </c>
      <c r="B1913" s="27" t="s">
        <v>1090</v>
      </c>
      <c r="C1913" s="27" t="s">
        <v>916</v>
      </c>
      <c r="D1913" s="27" t="s">
        <v>917</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932</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row>
    <row r="1916" spans="1:12">
      <c r="A1916" s="20" t="s">
        <v>1677</v>
      </c>
    </row>
    <row r="1917" spans="1:12">
      <c r="A1917" s="20" t="s">
        <v>1268</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1096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1678</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1679</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1076</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1680</v>
      </c>
      <c r="B1922" s="27" t="s">
        <v>1101</v>
      </c>
      <c r="C1922" s="27" t="s">
        <v>916</v>
      </c>
      <c r="D1922" s="27" t="s">
        <v>917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920</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1542</v>
      </c>
      <c r="B1924" s="27" t="s">
        <v>929</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1681</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927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1364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1035</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1323</v>
      </c>
      <c r="B1929" s="27" t="s">
        <v>1197</v>
      </c>
      <c r="C1929" s="27" t="s">
        <v>938</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960</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1682</v>
      </c>
      <c r="B1931" s="27" t="s">
        <v>987</v>
      </c>
      <c r="C1931" s="27" t="s">
        <v>943</v>
      </c>
      <c r="D1931" s="27" t="s">
        <v>917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1184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960</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1539</v>
      </c>
      <c r="B1934" s="27" t="s">
        <v>990</v>
      </c>
      <c r="C1934" s="27" t="s">
        <v>956</v>
      </c>
      <c r="D1934" s="27" t="s">
        <v>917</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927</v>
      </c>
      <c r="B1935" s="27" t="s">
        <v>1683</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1684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82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1685</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918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1119</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1035</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1686</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966</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920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1687</v>
      </c>
      <c r="B1945" s="27" t="s">
        <v>946</v>
      </c>
      <c r="C1945" s="27" t="s">
        <v>916</v>
      </c>
      <c r="D1945" s="27" t="s">
        <v>917</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918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1114</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1688</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960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171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1676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949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341</v>
      </c>
      <c r="B1953" s="27" t="s">
        <v>1110</v>
      </c>
      <c r="C1953" s="27" t="s">
        <v>916</v>
      </c>
      <c r="D1953" s="27" t="s">
        <v>917</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932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row>
    <row r="1956" spans="1:12">
      <c r="A1956" s="20" t="s">
        <v>1689</v>
      </c>
    </row>
    <row r="1957" spans="1:12">
      <c r="A1957" s="20" t="s">
        <v>1092</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949</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341</v>
      </c>
      <c r="B1959" s="27" t="s">
        <v>915</v>
      </c>
      <c r="C1959" s="27" t="s">
        <v>916</v>
      </c>
      <c r="D1959" s="27" t="s">
        <v>917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950</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932</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row>
    <row r="1963" spans="1:12">
      <c r="A1963" s="20" t="s">
        <v>1690</v>
      </c>
    </row>
    <row r="1964" spans="1:12">
      <c r="A1964" s="20" t="s">
        <v>1691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1692</v>
      </c>
      <c r="B1965" s="27" t="s">
        <v>942</v>
      </c>
      <c r="C1965" s="27" t="s">
        <v>971</v>
      </c>
      <c r="D1965" s="27" t="s">
        <v>917</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1035</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1693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949</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1465</v>
      </c>
      <c r="B1969" s="27" t="s">
        <v>946</v>
      </c>
      <c r="C1969" s="27" t="s">
        <v>1069</v>
      </c>
      <c r="D1969" s="27" t="s">
        <v>917</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1694</v>
      </c>
      <c r="B1970" s="27" t="s">
        <v>915</v>
      </c>
      <c r="C1970" s="27" t="s">
        <v>916</v>
      </c>
      <c r="D1970" s="27" t="s">
        <v>917</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1159</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row>
    <row r="1973" spans="1:12">
      <c r="A1973" s="20" t="s">
        <v>999</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1695</v>
      </c>
    </row>
    <row r="1975" spans="1:12">
      <c r="A1975" s="20" t="s">
        <v>140</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1459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341</v>
      </c>
      <c r="B1977" s="27" t="s">
        <v>915</v>
      </c>
      <c r="C1977" s="27" t="s">
        <v>916</v>
      </c>
      <c r="D1977" s="27" t="s">
        <v>917</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950</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932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140</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row>
    <row r="1982" spans="1:12">
      <c r="A1982" s="20" t="s">
        <v>1696</v>
      </c>
    </row>
    <row r="1983" spans="1:12">
      <c r="A1983" s="20" t="s">
        <v>1353</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1697</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966</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1187</v>
      </c>
      <c r="B1986" s="27" t="s">
        <v>946</v>
      </c>
      <c r="C1986" s="27" t="s">
        <v>974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1698</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918</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1084</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1527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927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1409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1186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1699</v>
      </c>
      <c r="B1994" s="27" t="s">
        <v>1101</v>
      </c>
      <c r="C1994" s="27" t="s">
        <v>1012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1700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932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row>
    <row r="1998" spans="1:12">
      <c r="A1998" s="20" t="s">
        <v>999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1701</v>
      </c>
    </row>
    <row r="2000" spans="1:12">
      <c r="A2000" s="20" t="s">
        <v>1514</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1187</v>
      </c>
      <c r="B2001" s="27" t="s">
        <v>942</v>
      </c>
      <c r="C2001" s="27" t="s">
        <v>916</v>
      </c>
      <c r="D2001" s="27" t="s">
        <v>917</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1702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140</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1401</v>
      </c>
      <c r="B2004" s="27" t="s">
        <v>937</v>
      </c>
      <c r="C2004" s="27" t="s">
        <v>938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1044</v>
      </c>
      <c r="B2005" s="27" t="s">
        <v>1101</v>
      </c>
      <c r="C2005" s="27" t="s">
        <v>956</v>
      </c>
      <c r="D2005" s="27" t="s">
        <v>917</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1703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1571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140</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932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row>
    <row r="2011" spans="1:12">
      <c r="A2011" s="20" t="s">
        <v>999</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1704</v>
      </c>
    </row>
    <row r="2013" spans="1:12">
      <c r="A2013" s="20" t="s">
        <v>934</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1705</v>
      </c>
      <c r="B2014" s="27" t="s">
        <v>942</v>
      </c>
      <c r="C2014" s="27" t="s">
        <v>956</v>
      </c>
      <c r="D2014" s="27" t="s">
        <v>917</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1706</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140</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992</v>
      </c>
      <c r="B2017" s="27" t="s">
        <v>937</v>
      </c>
      <c r="C2017" s="27" t="s">
        <v>956</v>
      </c>
      <c r="D2017" s="27" t="s">
        <v>917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1201</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1707</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1571</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918</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1708</v>
      </c>
      <c r="B2022" s="27" t="s">
        <v>970</v>
      </c>
      <c r="C2022" s="27" t="s">
        <v>1069</v>
      </c>
      <c r="D2022" s="27" t="s">
        <v>917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1466</v>
      </c>
      <c r="B2023" s="27" t="s">
        <v>1073</v>
      </c>
      <c r="C2023" s="27" t="s">
        <v>1012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1201</v>
      </c>
      <c r="B2024" s="27" t="s">
        <v>1090</v>
      </c>
      <c r="C2024" s="27" t="s">
        <v>956</v>
      </c>
      <c r="D2024" s="27" t="s">
        <v>917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1703</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1571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918</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1708</v>
      </c>
      <c r="B2028" s="27" t="s">
        <v>970</v>
      </c>
      <c r="C2028" s="27" t="s">
        <v>1069</v>
      </c>
      <c r="D2028" s="27" t="s">
        <v>917</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1070</v>
      </c>
      <c r="B2029" s="27" t="s">
        <v>1073</v>
      </c>
      <c r="C2029" s="27" t="s">
        <v>1012</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1201</v>
      </c>
      <c r="B2030" s="27" t="s">
        <v>1090</v>
      </c>
      <c r="C2030" s="27" t="s">
        <v>956</v>
      </c>
      <c r="D2030" s="27" t="s">
        <v>917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1703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1571</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932</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140</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row>
    <row r="2036" spans="1:12">
      <c r="A2036" s="20" t="s">
        <v>1709</v>
      </c>
    </row>
    <row r="2037" spans="1:12">
      <c r="A2037" s="20" t="s">
        <v>1710</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963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1203</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1692</v>
      </c>
      <c r="B2040" s="27" t="s">
        <v>915</v>
      </c>
      <c r="C2040" s="27" t="s">
        <v>971</v>
      </c>
      <c r="D2040" s="27" t="s">
        <v>917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1711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1399</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1712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918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1713</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963</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1186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1187</v>
      </c>
      <c r="B2048" s="27" t="s">
        <v>915</v>
      </c>
      <c r="C2048" s="27" t="s">
        <v>1012</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932</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row>
    <row r="2051" spans="1:12">
      <c r="A2051" s="20" t="s">
        <v>999</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1714</v>
      </c>
    </row>
    <row r="2053" spans="1:12">
      <c r="A2053" s="20" t="s">
        <v>1092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1019</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1187</v>
      </c>
      <c r="B2055" s="27" t="s">
        <v>942</v>
      </c>
      <c r="C2055" s="27" t="s">
        <v>916</v>
      </c>
      <c r="D2055" s="27" t="s">
        <v>917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1698</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1702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1331</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140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1112</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1715</v>
      </c>
      <c r="B2061" s="27" t="s">
        <v>910</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1128</v>
      </c>
      <c r="B2062" s="27" t="s">
        <v>1101</v>
      </c>
      <c r="C2062" s="27" t="s">
        <v>1150</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1716</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918</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1456</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963</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949</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1379</v>
      </c>
      <c r="B2068" s="27" t="s">
        <v>962</v>
      </c>
      <c r="C2068" s="27" t="s">
        <v>916</v>
      </c>
      <c r="D2068" s="27" t="s">
        <v>917</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1717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936</v>
      </c>
      <c r="B2070" s="27" t="s">
        <v>1073</v>
      </c>
      <c r="C2070" s="27" t="s">
        <v>938</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932</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140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row>
    <row r="2074" spans="1:12">
      <c r="A2074" s="20" t="s">
        <v>999</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1718</v>
      </c>
    </row>
    <row r="2076" spans="1:12">
      <c r="A2076" s="20" t="s">
        <v>1719</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1702</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140</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1112</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1476</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235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941</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1720</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1721</v>
      </c>
      <c r="B2084" s="27" t="s">
        <v>1101</v>
      </c>
      <c r="C2084" s="27" t="s">
        <v>943</v>
      </c>
      <c r="D2084" s="27" t="s">
        <v>917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1448</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1356</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1722</v>
      </c>
      <c r="B2087" s="27" t="s">
        <v>962</v>
      </c>
      <c r="C2087" s="27" t="s">
        <v>1095</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1723</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932</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row>
    <row r="2091" spans="1:12">
      <c r="A2091" s="20" t="s">
        <v>999</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1724</v>
      </c>
    </row>
    <row r="2093" spans="1:12">
      <c r="A2093" s="20" t="s">
        <v>1725</v>
      </c>
      <c r="B2093" s="27" t="s">
        <v>942</v>
      </c>
      <c r="C2093" s="27" t="s">
        <v>938</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960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1412</v>
      </c>
      <c r="B2095" s="27" t="s">
        <v>946</v>
      </c>
      <c r="C2095" s="27" t="s">
        <v>956</v>
      </c>
      <c r="D2095" s="27" t="s">
        <v>917</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1035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1726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912</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913</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1727</v>
      </c>
      <c r="B2100" s="27" t="s">
        <v>946</v>
      </c>
      <c r="C2100" s="27" t="s">
        <v>1069</v>
      </c>
      <c r="D2100" s="27" t="s">
        <v>917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1728</v>
      </c>
      <c r="B2101" s="27" t="s">
        <v>915</v>
      </c>
      <c r="C2101" s="27" t="s">
        <v>916</v>
      </c>
      <c r="D2101" s="27" t="s">
        <v>917</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932</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140</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row>
    <row r="2105" spans="1:12">
      <c r="A2105" s="20" t="s">
        <v>999</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1729</v>
      </c>
    </row>
    <row r="2107" spans="1:12">
      <c r="A2107" s="20" t="s">
        <v>1062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1588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1730</v>
      </c>
      <c r="B2109" s="27" t="s">
        <v>915</v>
      </c>
      <c r="C2109" s="27" t="s">
        <v>971</v>
      </c>
      <c r="D2109" s="27" t="s">
        <v>917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1731</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363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140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1268</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1438</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918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1119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1732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927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1144</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1733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330</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963</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1128</v>
      </c>
      <c r="B2123" s="27" t="s">
        <v>970</v>
      </c>
      <c r="C2123" s="27" t="s">
        <v>1150</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1734</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1102</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1735</v>
      </c>
      <c r="B2126" s="27" t="s">
        <v>973</v>
      </c>
      <c r="C2126" s="27" t="s">
        <v>974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932</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140</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1736</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1737</v>
      </c>
      <c r="B2130" s="27" t="s">
        <v>946</v>
      </c>
      <c r="C2130" s="27" t="s">
        <v>1023</v>
      </c>
      <c r="D2130" s="27" t="s">
        <v>917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1738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1459</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1739</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1366</v>
      </c>
      <c r="B2134" s="27" t="s">
        <v>962</v>
      </c>
      <c r="C2134" s="27" t="s">
        <v>943</v>
      </c>
      <c r="D2134" s="27" t="s">
        <v>917</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960</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913</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1740</v>
      </c>
      <c r="B2137" s="27" t="s">
        <v>970</v>
      </c>
      <c r="C2137" s="27" t="s">
        <v>916</v>
      </c>
      <c r="D2137" s="27" t="s">
        <v>917</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918</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676</v>
      </c>
      <c r="B2139" s="27" t="s">
        <v>1197</v>
      </c>
      <c r="C2139" s="27" t="s">
        <v>1052</v>
      </c>
      <c r="D2139" s="27" t="s">
        <v>917</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927</v>
      </c>
      <c r="B2140" s="27" t="s">
        <v>1543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1741</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1112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1035</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908</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1601</v>
      </c>
      <c r="B2145" s="27" t="s">
        <v>970</v>
      </c>
      <c r="C2145" s="27" t="s">
        <v>911</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918</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1119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941</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1742</v>
      </c>
      <c r="B2149" s="27" t="s">
        <v>1197</v>
      </c>
      <c r="C2149" s="27" t="s">
        <v>911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918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951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1743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963</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330</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927</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949</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1128</v>
      </c>
      <c r="B2157" s="27" t="s">
        <v>1543</v>
      </c>
      <c r="C2157" s="27" t="s">
        <v>916</v>
      </c>
      <c r="D2157" s="27" t="s">
        <v>917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1744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1745</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1453</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927</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1746</v>
      </c>
      <c r="B2162" s="27" t="s">
        <v>1533</v>
      </c>
      <c r="C2162" s="27" t="s">
        <v>938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960</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1412</v>
      </c>
      <c r="B2164" s="27" t="s">
        <v>1419</v>
      </c>
      <c r="C2164" s="27" t="s">
        <v>956</v>
      </c>
      <c r="D2164" s="27" t="s">
        <v>917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1747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1088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1748</v>
      </c>
      <c r="B2167" s="27" t="s">
        <v>1534</v>
      </c>
      <c r="C2167" s="27" t="s">
        <v>971</v>
      </c>
      <c r="D2167" s="27" t="s">
        <v>917</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1749</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1119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1112</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1182</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1750</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1096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960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1456</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932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1751</v>
      </c>
    </row>
    <row r="2179" spans="1:12">
      <c r="A2179" s="20" t="s">
        <v>1538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1035</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1056</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1050</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1752</v>
      </c>
      <c r="B2183" s="27" t="s">
        <v>915</v>
      </c>
      <c r="C2183" s="27" t="s">
        <v>911</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927</v>
      </c>
      <c r="B2184" s="27" t="s">
        <v>937</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1084</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1753</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1754</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912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1367</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1026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908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1755</v>
      </c>
      <c r="B2192" s="27" t="s">
        <v>946</v>
      </c>
      <c r="C2192" s="27" t="s">
        <v>943</v>
      </c>
      <c r="D2192" s="27" t="s">
        <v>917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960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1187</v>
      </c>
      <c r="B2194" s="27" t="s">
        <v>962</v>
      </c>
      <c r="C2194" s="27" t="s">
        <v>974</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1698</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919</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1026</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908</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1755</v>
      </c>
      <c r="B2199" s="27" t="s">
        <v>962</v>
      </c>
      <c r="C2199" s="27" t="s">
        <v>943</v>
      </c>
      <c r="D2199" s="27" t="s">
        <v>917</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960</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1187</v>
      </c>
      <c r="B2201" s="27" t="s">
        <v>970</v>
      </c>
      <c r="C2201" s="27" t="s">
        <v>974</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1112</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1698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1035</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1056</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1756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960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1757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1026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908</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1758</v>
      </c>
      <c r="B2211" s="27" t="s">
        <v>973</v>
      </c>
      <c r="C2211" s="27" t="s">
        <v>911</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1102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1001</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1144</v>
      </c>
      <c r="B2214" s="27" t="s">
        <v>973</v>
      </c>
      <c r="C2214" s="27" t="s">
        <v>911</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918</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963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949</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1379</v>
      </c>
      <c r="B2218" s="27" t="s">
        <v>973</v>
      </c>
      <c r="C2218" s="27" t="s">
        <v>943</v>
      </c>
      <c r="D2218" s="27" t="s">
        <v>917</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960</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964</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1144</v>
      </c>
      <c r="B2221" s="27" t="s">
        <v>987</v>
      </c>
      <c r="C2221" s="27" t="s">
        <v>916</v>
      </c>
      <c r="D2221" s="27" t="s">
        <v>917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1035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1056</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1756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1539</v>
      </c>
      <c r="B2225" s="27" t="s">
        <v>1302</v>
      </c>
      <c r="C2225" s="27" t="s">
        <v>956</v>
      </c>
      <c r="D2225" s="27" t="s">
        <v>917</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1759</v>
      </c>
      <c r="B2226" s="27" t="s">
        <v>973</v>
      </c>
      <c r="C2226" s="27" t="s">
        <v>1150</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1760</v>
      </c>
      <c r="B2227" s="27" t="s">
        <v>929</v>
      </c>
      <c r="C2227" s="27" t="s">
        <v>1012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1761</v>
      </c>
      <c r="B2228" s="27" t="s">
        <v>1073</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960</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164</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1762</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932</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row>
    <row r="2234" spans="1:12">
      <c r="A2234" s="20" t="s">
        <v>1763</v>
      </c>
    </row>
    <row r="2235" spans="1:12">
      <c r="A2235" s="20" t="s">
        <v>1116</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1755</v>
      </c>
      <c r="B2236" s="27" t="s">
        <v>942</v>
      </c>
      <c r="C2236" s="27" t="s">
        <v>943</v>
      </c>
      <c r="D2236" s="27" t="s">
        <v>917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960</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1187</v>
      </c>
      <c r="B2238" s="27" t="s">
        <v>946</v>
      </c>
      <c r="C2238" s="27" t="s">
        <v>974</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1698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1035</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1056</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1764</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1765</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1766</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913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48</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1767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918</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1181</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1019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1187</v>
      </c>
      <c r="B2251" s="27" t="s">
        <v>937</v>
      </c>
      <c r="C2251" s="27" t="s">
        <v>916</v>
      </c>
      <c r="D2251" s="27" t="s">
        <v>917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1112</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1698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1768</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960</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164</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1762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69</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1254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89</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1769</v>
      </c>
      <c r="B2261" s="27" t="s">
        <v>962</v>
      </c>
      <c r="C2261" s="27" t="s">
        <v>1095</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1096</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1760</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1736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1737</v>
      </c>
      <c r="B2266" s="27" t="s">
        <v>1090</v>
      </c>
      <c r="C2266" s="27" t="s">
        <v>1023</v>
      </c>
      <c r="D2266" s="27" t="s">
        <v>917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1738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960</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1051</v>
      </c>
      <c r="B2270" s="27" t="s">
        <v>970</v>
      </c>
      <c r="C2270" s="27" t="s">
        <v>1052</v>
      </c>
      <c r="D2270" s="27" t="s">
        <v>917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927</v>
      </c>
      <c r="B2271" s="27" t="s">
        <v>983</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1770</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1771</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1772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932</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row>
    <row r="2277" spans="1:12">
      <c r="A2277" s="20" t="s">
        <v>1773</v>
      </c>
    </row>
    <row r="2278" spans="1:12">
      <c r="A2278" s="20" t="s">
        <v>1155</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1084</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1774</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960</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572</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960</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949</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1465</v>
      </c>
      <c r="B2285" s="27" t="s">
        <v>970</v>
      </c>
      <c r="C2285" s="27" t="s">
        <v>1069</v>
      </c>
      <c r="D2285" s="27" t="s">
        <v>917</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1017</v>
      </c>
      <c r="B2286" s="27" t="s">
        <v>962</v>
      </c>
      <c r="C2286" s="27" t="s">
        <v>916</v>
      </c>
      <c r="D2286" s="27" t="s">
        <v>917</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918</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1746</v>
      </c>
      <c r="B2288" s="27" t="s">
        <v>942</v>
      </c>
      <c r="C2288" s="27" t="s">
        <v>938</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1409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1227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927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1775</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82</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1575</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1686</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176</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963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977</v>
      </c>
      <c r="B2298" s="27" t="s">
        <v>962</v>
      </c>
      <c r="C2298" s="27" t="s">
        <v>974</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1527</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918</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919</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399</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963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1076</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1556</v>
      </c>
      <c r="B2305" s="27" t="s">
        <v>970</v>
      </c>
      <c r="C2305" s="27" t="s">
        <v>938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960</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949</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1776</v>
      </c>
      <c r="B2308" s="27" t="s">
        <v>987</v>
      </c>
      <c r="C2308" s="27" t="s">
        <v>1069</v>
      </c>
      <c r="D2308" s="27" t="s">
        <v>917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1777</v>
      </c>
      <c r="B2309" s="27" t="s">
        <v>973</v>
      </c>
      <c r="C2309" s="27" t="s">
        <v>916</v>
      </c>
      <c r="D2309" s="27" t="s">
        <v>917</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932</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999</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1778</v>
      </c>
    </row>
    <row r="2314" spans="1:12">
      <c r="A2314" s="20" t="s">
        <v>1779</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918</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140</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1514</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1281</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1187</v>
      </c>
      <c r="B2319" s="27" t="s">
        <v>942</v>
      </c>
      <c r="C2319" s="27" t="s">
        <v>916</v>
      </c>
      <c r="D2319" s="27" t="s">
        <v>917</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1201</v>
      </c>
      <c r="B2320" s="27" t="s">
        <v>910</v>
      </c>
      <c r="C2320" s="27" t="s">
        <v>956</v>
      </c>
      <c r="D2320" s="27" t="s">
        <v>917</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1780</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912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1313</v>
      </c>
      <c r="B2323" s="27" t="s">
        <v>915</v>
      </c>
      <c r="C2323" s="27" t="s">
        <v>974</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1781</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1341</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140</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1782</v>
      </c>
      <c r="B2327" s="27" t="s">
        <v>942</v>
      </c>
      <c r="C2327" s="27" t="s">
        <v>1023</v>
      </c>
      <c r="D2327" s="27" t="s">
        <v>917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918</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140</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1783</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918</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1019</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1281</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1187</v>
      </c>
      <c r="B2334" s="27" t="s">
        <v>1073</v>
      </c>
      <c r="C2334" s="27" t="s">
        <v>916</v>
      </c>
      <c r="D2334" s="27" t="s">
        <v>917</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1044</v>
      </c>
      <c r="B2335" s="27" t="s">
        <v>1090</v>
      </c>
      <c r="C2335" s="27" t="s">
        <v>956</v>
      </c>
      <c r="D2335" s="27" t="s">
        <v>917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1780</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912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1313</v>
      </c>
      <c r="B2338" s="27" t="s">
        <v>962</v>
      </c>
      <c r="C2338" s="27" t="s">
        <v>974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1781</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932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row>
    <row r="2342" spans="1:12">
      <c r="A2342" s="20" t="s">
        <v>1784</v>
      </c>
    </row>
    <row r="2343" spans="1:12">
      <c r="A2343" s="20" t="s">
        <v>1384</v>
      </c>
      <c r="B2343" s="27" t="s">
        <v>910</v>
      </c>
      <c r="C2343" s="27" t="s">
        <v>956</v>
      </c>
      <c r="D2343" s="27" t="s">
        <v>917</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1780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912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1313</v>
      </c>
      <c r="B2346" s="27" t="s">
        <v>915</v>
      </c>
      <c r="C2346" s="27" t="s">
        <v>974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1781</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1573</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1785</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963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1786</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1044</v>
      </c>
      <c r="B2352" s="27" t="s">
        <v>1090</v>
      </c>
      <c r="C2352" s="27" t="s">
        <v>956</v>
      </c>
      <c r="D2352" s="27" t="s">
        <v>917</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960</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949</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1539</v>
      </c>
      <c r="B2355" s="27" t="s">
        <v>970</v>
      </c>
      <c r="C2355" s="27" t="s">
        <v>1069</v>
      </c>
      <c r="D2355" s="27" t="s">
        <v>917</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1635</v>
      </c>
      <c r="B2356" s="27" t="s">
        <v>962</v>
      </c>
      <c r="C2356" s="27" t="s">
        <v>916</v>
      </c>
      <c r="D2356" s="27" t="s">
        <v>917</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918</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960</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964</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1635</v>
      </c>
      <c r="B2360" s="27" t="s">
        <v>970</v>
      </c>
      <c r="C2360" s="27" t="s">
        <v>943</v>
      </c>
      <c r="D2360" s="27" t="s">
        <v>917</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960</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949</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1539</v>
      </c>
      <c r="B2363" s="27" t="s">
        <v>987</v>
      </c>
      <c r="C2363" s="27" t="s">
        <v>1069</v>
      </c>
      <c r="D2363" s="27" t="s">
        <v>917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1787</v>
      </c>
      <c r="B2364" s="27" t="s">
        <v>973</v>
      </c>
      <c r="C2364" s="27" t="s">
        <v>916</v>
      </c>
      <c r="D2364" s="27" t="s">
        <v>917</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918</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960</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964</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1635</v>
      </c>
      <c r="B2368" s="27" t="s">
        <v>970</v>
      </c>
      <c r="C2368" s="27" t="s">
        <v>943</v>
      </c>
      <c r="D2368" s="27" t="s">
        <v>917</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960</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913</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1539</v>
      </c>
      <c r="B2371" s="27" t="s">
        <v>987</v>
      </c>
      <c r="C2371" s="27" t="s">
        <v>1069</v>
      </c>
      <c r="D2371" s="27" t="s">
        <v>917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1788</v>
      </c>
      <c r="B2372" s="27" t="s">
        <v>973</v>
      </c>
      <c r="C2372" s="27" t="s">
        <v>916</v>
      </c>
      <c r="D2372" s="27" t="s">
        <v>917</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932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1789</v>
      </c>
    </row>
    <row r="2376" spans="1:12">
      <c r="A2376" s="20" t="s">
        <v>1268</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1781</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1114</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1144</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1233</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927</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949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1017</v>
      </c>
      <c r="B2383" s="27" t="s">
        <v>1073</v>
      </c>
      <c r="C2383" s="27" t="s">
        <v>916</v>
      </c>
      <c r="D2383" s="27" t="s">
        <v>917</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1035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913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1790</v>
      </c>
      <c r="B2386" s="27" t="s">
        <v>946</v>
      </c>
      <c r="C2386" s="27" t="s">
        <v>943</v>
      </c>
      <c r="D2386" s="27" t="s">
        <v>917</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960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1791</v>
      </c>
      <c r="B2388" s="27" t="s">
        <v>962</v>
      </c>
      <c r="C2388" s="27" t="s">
        <v>943</v>
      </c>
      <c r="D2388" s="27" t="s">
        <v>917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960</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1792</v>
      </c>
      <c r="B2390" s="27" t="s">
        <v>970</v>
      </c>
      <c r="C2390" s="27" t="s">
        <v>938</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960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1412</v>
      </c>
      <c r="B2392" s="27" t="s">
        <v>973</v>
      </c>
      <c r="C2392" s="27" t="s">
        <v>956</v>
      </c>
      <c r="D2392" s="27" t="s">
        <v>917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932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row>
    <row r="2395" spans="1:12">
      <c r="A2395" s="20" t="s">
        <v>999</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1793</v>
      </c>
    </row>
    <row r="2397" spans="1:12">
      <c r="A2397" s="20" t="s">
        <v>1794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1596</v>
      </c>
      <c r="B2398" s="27" t="s">
        <v>915</v>
      </c>
      <c r="C2398" s="27" t="s">
        <v>1012</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1445</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1795</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1026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941</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1796</v>
      </c>
      <c r="B2403" s="27" t="s">
        <v>915</v>
      </c>
      <c r="C2403" s="27" t="s">
        <v>911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918</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991</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913</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1797</v>
      </c>
      <c r="B2407" s="27" t="s">
        <v>946</v>
      </c>
      <c r="C2407" s="27" t="s">
        <v>943</v>
      </c>
      <c r="D2407" s="27" t="s">
        <v>917</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960</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949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1094</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1798</v>
      </c>
      <c r="B2411" s="27" t="s">
        <v>962</v>
      </c>
      <c r="C2411" s="27" t="s">
        <v>916</v>
      </c>
      <c r="D2411" s="27" t="s">
        <v>917</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960</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1796</v>
      </c>
      <c r="B2413" s="27" t="s">
        <v>962</v>
      </c>
      <c r="C2413" s="27" t="s">
        <v>974</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941</v>
      </c>
      <c r="B2414" s="27" t="s">
        <v>937</v>
      </c>
      <c r="C2414" s="27" t="s">
        <v>938</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960</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1019</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1799</v>
      </c>
      <c r="B2417" s="27" t="s">
        <v>962</v>
      </c>
      <c r="C2417" s="27" t="s">
        <v>916</v>
      </c>
      <c r="D2417" s="27" t="s">
        <v>917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1044</v>
      </c>
      <c r="B2418" s="27" t="s">
        <v>1101</v>
      </c>
      <c r="C2418" s="27" t="s">
        <v>956</v>
      </c>
      <c r="D2418" s="27" t="s">
        <v>917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1800</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1194</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1366</v>
      </c>
      <c r="B2421" s="27" t="s">
        <v>946</v>
      </c>
      <c r="C2421" s="27" t="s">
        <v>974</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918</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919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1044</v>
      </c>
      <c r="B2424" s="27" t="s">
        <v>1101</v>
      </c>
      <c r="C2424" s="27" t="s">
        <v>956</v>
      </c>
      <c r="D2424" s="27" t="s">
        <v>917</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652</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918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140</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1801</v>
      </c>
      <c r="B2428" s="27" t="s">
        <v>946</v>
      </c>
      <c r="C2428" s="27" t="s">
        <v>1023</v>
      </c>
      <c r="D2428" s="27" t="s">
        <v>917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960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1017</v>
      </c>
      <c r="B2430" s="27" t="s">
        <v>962</v>
      </c>
      <c r="C2430" s="27" t="s">
        <v>974</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919</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1044</v>
      </c>
      <c r="B2432" s="27" t="s">
        <v>962</v>
      </c>
      <c r="C2432" s="27" t="s">
        <v>956</v>
      </c>
      <c r="D2432" s="27" t="s">
        <v>917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1802</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908</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1495</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918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1119</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1803</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1804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1588</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1805</v>
      </c>
      <c r="B2441" s="27" t="s">
        <v>1101</v>
      </c>
      <c r="C2441" s="27" t="s">
        <v>971</v>
      </c>
      <c r="D2441" s="27" t="s">
        <v>917</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919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1107</v>
      </c>
      <c r="B2443" s="27" t="s">
        <v>962</v>
      </c>
      <c r="C2443" s="27" t="s">
        <v>974</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1806</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1019</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1128</v>
      </c>
      <c r="B2446" s="27" t="s">
        <v>973</v>
      </c>
      <c r="C2446" s="27" t="s">
        <v>916</v>
      </c>
      <c r="D2446" s="27" t="s">
        <v>917</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1023</v>
      </c>
      <c r="B2447" s="27" t="s">
        <v>1302</v>
      </c>
      <c r="C2447" s="27" t="s">
        <v>956</v>
      </c>
      <c r="D2447" s="27" t="s">
        <v>917</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1807</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140</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1210</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1808</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960</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913</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1315</v>
      </c>
      <c r="B2454" s="27" t="s">
        <v>990</v>
      </c>
      <c r="C2454" s="27" t="s">
        <v>1069</v>
      </c>
      <c r="D2454" s="27" t="s">
        <v>917</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1496</v>
      </c>
      <c r="B2455" s="27" t="s">
        <v>987</v>
      </c>
      <c r="C2455" s="27" t="s">
        <v>916</v>
      </c>
      <c r="D2455" s="27" t="s">
        <v>917</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1102</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1809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1019</v>
      </c>
      <c r="B2458" s="27" t="s">
        <v>1534</v>
      </c>
      <c r="C2458" s="27" t="s">
        <v>956</v>
      </c>
      <c r="D2458" s="27" t="s">
        <v>917</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920</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1810</v>
      </c>
      <c r="B2460" s="27" t="s">
        <v>1543</v>
      </c>
      <c r="C2460" s="27" t="s">
        <v>943</v>
      </c>
      <c r="D2460" s="27" t="s">
        <v>917</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960</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1367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1593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1811</v>
      </c>
      <c r="B2464" s="27" t="s">
        <v>1261</v>
      </c>
      <c r="C2464" s="27" t="s">
        <v>974</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932</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row>
    <row r="2467" spans="1:12">
      <c r="A2467" s="20" t="s">
        <v>999</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1812</v>
      </c>
    </row>
    <row r="2469" spans="1:12">
      <c r="A2469" s="20" t="s">
        <v>1813</v>
      </c>
      <c r="B2469" s="27" t="s">
        <v>942</v>
      </c>
      <c r="C2469" s="27" t="s">
        <v>956</v>
      </c>
      <c r="D2469" s="27" t="s">
        <v>917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652</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140</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1814</v>
      </c>
      <c r="B2472" s="27" t="s">
        <v>910</v>
      </c>
      <c r="C2472" s="27" t="s">
        <v>1023</v>
      </c>
      <c r="D2472" s="27" t="s">
        <v>917</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918</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1315</v>
      </c>
      <c r="B2474" s="27" t="s">
        <v>970</v>
      </c>
      <c r="C2474" s="27" t="s">
        <v>1069</v>
      </c>
      <c r="D2474" s="27" t="s">
        <v>917</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1815</v>
      </c>
      <c r="B2475" s="27" t="s">
        <v>1073</v>
      </c>
      <c r="C2475" s="27" t="s">
        <v>1012</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1112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1816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1621</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932</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row>
    <row r="2481" spans="1:12">
      <c r="A2481" s="20" t="s">
        <v>999</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1817</v>
      </c>
    </row>
    <row r="2483" spans="1:12">
      <c r="A2483" s="20" t="s">
        <v>1818</v>
      </c>
      <c r="B2483" s="27" t="s">
        <v>942</v>
      </c>
      <c r="C2483" s="27" t="s">
        <v>956</v>
      </c>
      <c r="D2483" s="27" t="s">
        <v>917</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1035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913</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1048</v>
      </c>
      <c r="B2486" s="27" t="s">
        <v>915</v>
      </c>
      <c r="C2486" s="27" t="s">
        <v>943</v>
      </c>
      <c r="D2486" s="27" t="s">
        <v>917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960</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1336</v>
      </c>
      <c r="B2488" s="27" t="s">
        <v>915</v>
      </c>
      <c r="C2488" s="27" t="s">
        <v>974</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1102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1367</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1104</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1588</v>
      </c>
      <c r="B2492" s="27" t="s">
        <v>937</v>
      </c>
      <c r="C2492" s="27" t="s">
        <v>1052</v>
      </c>
      <c r="D2492" s="27" t="s">
        <v>917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1112</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1567</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928</v>
      </c>
      <c r="B2495" s="27" t="s">
        <v>1101</v>
      </c>
      <c r="C2495" s="27" t="s">
        <v>974</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918</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1819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1035</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941</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1128</v>
      </c>
      <c r="B2500" s="27" t="s">
        <v>946</v>
      </c>
      <c r="C2500" s="27" t="s">
        <v>943</v>
      </c>
      <c r="D2500" s="27" t="s">
        <v>917</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1448</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1043</v>
      </c>
      <c r="B2502" s="27" t="s">
        <v>962</v>
      </c>
      <c r="C2502" s="27" t="s">
        <v>956</v>
      </c>
      <c r="D2502" s="27" t="s">
        <v>917</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919</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1820</v>
      </c>
      <c r="B2504" s="27" t="s">
        <v>970</v>
      </c>
      <c r="C2504" s="27" t="s">
        <v>956</v>
      </c>
      <c r="D2504" s="27" t="s">
        <v>917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932</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140</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row>
    <row r="2508" spans="1:12">
      <c r="A2508" s="20" t="s">
        <v>999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1821</v>
      </c>
    </row>
    <row r="2510" spans="1:12">
      <c r="A2510" s="20" t="s">
        <v>1822</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992</v>
      </c>
      <c r="B2511" s="27" t="s">
        <v>942</v>
      </c>
      <c r="C2511" s="27" t="s">
        <v>956</v>
      </c>
      <c r="D2511" s="27" t="s">
        <v>917</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1823</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140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1824</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1571</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932</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140</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row>
    <row r="2519" spans="1:12">
      <c r="A2519" s="20" t="s">
        <v>999</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1825</v>
      </c>
    </row>
    <row r="2521" spans="1:12">
      <c r="A2521" s="20" t="s">
        <v>1459</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1826</v>
      </c>
      <c r="B2522" s="27" t="s">
        <v>915</v>
      </c>
      <c r="C2522" s="27" t="s">
        <v>943</v>
      </c>
      <c r="D2522" s="27" t="s">
        <v>917</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960</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949</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1827</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1796</v>
      </c>
      <c r="B2526" s="27" t="s">
        <v>946</v>
      </c>
      <c r="C2526" s="27" t="s">
        <v>916</v>
      </c>
      <c r="D2526" s="27" t="s">
        <v>917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918</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1828</v>
      </c>
      <c r="B2528" s="27" t="s">
        <v>946</v>
      </c>
      <c r="C2528" s="27" t="s">
        <v>1069</v>
      </c>
      <c r="D2528" s="27" t="s">
        <v>917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1815</v>
      </c>
      <c r="B2529" s="27" t="s">
        <v>942</v>
      </c>
      <c r="C2529" s="27" t="s">
        <v>1012</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1044</v>
      </c>
      <c r="B2530" s="27" t="s">
        <v>910</v>
      </c>
      <c r="C2530" s="27" t="s">
        <v>956</v>
      </c>
      <c r="D2530" s="27" t="s">
        <v>917</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1800</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1194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1366</v>
      </c>
      <c r="B2533" s="27" t="s">
        <v>915</v>
      </c>
      <c r="C2533" s="27" t="s">
        <v>974</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919</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652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918</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140</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1068</v>
      </c>
      <c r="B2538" s="27" t="s">
        <v>962</v>
      </c>
      <c r="C2538" s="27" t="s">
        <v>1069</v>
      </c>
      <c r="D2538" s="27" t="s">
        <v>917</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1466</v>
      </c>
      <c r="B2539" s="27" t="s">
        <v>937</v>
      </c>
      <c r="C2539" s="27" t="s">
        <v>1012</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1112</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1829</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927</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992</v>
      </c>
      <c r="B2543" s="27" t="s">
        <v>1073</v>
      </c>
      <c r="C2543" s="27" t="s">
        <v>956</v>
      </c>
      <c r="D2543" s="27" t="s">
        <v>917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1453</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908</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1830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1831</v>
      </c>
      <c r="B2547" s="27" t="s">
        <v>946</v>
      </c>
      <c r="C2547" s="27" t="s">
        <v>911</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981</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977</v>
      </c>
      <c r="B2549" s="27" t="s">
        <v>1110</v>
      </c>
      <c r="C2549" s="27" t="s">
        <v>956</v>
      </c>
      <c r="D2549" s="27" t="s">
        <v>917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1832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918</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1119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1084</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1286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963</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927</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60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966</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1203</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1017</v>
      </c>
      <c r="B2560" s="27" t="s">
        <v>962</v>
      </c>
      <c r="C2560" s="27" t="s">
        <v>971</v>
      </c>
      <c r="D2560" s="27" t="s">
        <v>917</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919</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1803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1804</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1312</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1805</v>
      </c>
      <c r="B2565" s="27" t="s">
        <v>1101</v>
      </c>
      <c r="C2565" s="27" t="s">
        <v>1012</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918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919</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1044</v>
      </c>
      <c r="B2568" s="27" t="s">
        <v>1101</v>
      </c>
      <c r="C2568" s="27" t="s">
        <v>956</v>
      </c>
      <c r="D2568" s="27" t="s">
        <v>917</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1833</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1820</v>
      </c>
      <c r="B2570" s="27" t="s">
        <v>1101</v>
      </c>
      <c r="C2570" s="27" t="s">
        <v>956</v>
      </c>
      <c r="D2570" s="27" t="s">
        <v>917</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1128</v>
      </c>
      <c r="B2571" s="27" t="s">
        <v>1073</v>
      </c>
      <c r="C2571" s="27" t="s">
        <v>1150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1023</v>
      </c>
      <c r="B2572" s="27" t="s">
        <v>1090</v>
      </c>
      <c r="C2572" s="27" t="s">
        <v>956</v>
      </c>
      <c r="D2572" s="27" t="s">
        <v>917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1807</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140</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1834</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977</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1345</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1805</v>
      </c>
      <c r="B2578" s="27" t="s">
        <v>1110</v>
      </c>
      <c r="C2578" s="27" t="s">
        <v>916</v>
      </c>
      <c r="D2578" s="27" t="s">
        <v>917</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912</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1356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1835</v>
      </c>
      <c r="B2581" s="27" t="s">
        <v>970</v>
      </c>
      <c r="C2581" s="27" t="s">
        <v>1095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1080</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912</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949</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1827</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1836</v>
      </c>
      <c r="B2586" s="27" t="s">
        <v>970</v>
      </c>
      <c r="C2586" s="27" t="s">
        <v>916</v>
      </c>
      <c r="D2586" s="27" t="s">
        <v>917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1194</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1290</v>
      </c>
      <c r="B2588" s="27" t="s">
        <v>970</v>
      </c>
      <c r="C2588" s="27" t="s">
        <v>974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932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row>
    <row r="2591" spans="1:12">
      <c r="A2591" s="20" t="s">
        <v>1837</v>
      </c>
    </row>
    <row r="2592" spans="1:12">
      <c r="A2592" s="20" t="s">
        <v>1838</v>
      </c>
      <c r="B2592" s="27" t="s">
        <v>942</v>
      </c>
      <c r="C2592" s="27" t="s">
        <v>956</v>
      </c>
      <c r="D2592" s="27" t="s">
        <v>917</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1317</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927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1148</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927</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949</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1839</v>
      </c>
      <c r="B2598" s="27" t="s">
        <v>1073</v>
      </c>
      <c r="C2598" s="27" t="s">
        <v>943</v>
      </c>
      <c r="D2598" s="27" t="s">
        <v>917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963</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964</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1840</v>
      </c>
      <c r="B2601" s="27" t="s">
        <v>970</v>
      </c>
      <c r="C2601" s="27" t="s">
        <v>916</v>
      </c>
      <c r="D2601" s="27" t="s">
        <v>917</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960</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913</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1841</v>
      </c>
      <c r="B2604" s="27" t="s">
        <v>970</v>
      </c>
      <c r="C2604" s="27" t="s">
        <v>916</v>
      </c>
      <c r="D2604" s="27" t="s">
        <v>917</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1842</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82</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949</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1520</v>
      </c>
      <c r="B2608" s="27" t="s">
        <v>946</v>
      </c>
      <c r="C2608" s="27" t="s">
        <v>943</v>
      </c>
      <c r="D2608" s="27" t="s">
        <v>917</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960</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1553</v>
      </c>
      <c r="B2610" s="27" t="s">
        <v>962</v>
      </c>
      <c r="C2610" s="27" t="s">
        <v>938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960</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920</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1539</v>
      </c>
      <c r="B2613" s="27" t="s">
        <v>973</v>
      </c>
      <c r="C2613" s="27" t="s">
        <v>1069</v>
      </c>
      <c r="D2613" s="27" t="s">
        <v>917</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1319</v>
      </c>
      <c r="B2614" s="27" t="s">
        <v>970</v>
      </c>
      <c r="C2614" s="27" t="s">
        <v>916</v>
      </c>
      <c r="D2614" s="27" t="s">
        <v>917</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932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row>
    <row r="2617" spans="1:12">
      <c r="A2617" s="20" t="s">
        <v>1843</v>
      </c>
    </row>
    <row r="2618" spans="1:12">
      <c r="A2618" s="20" t="s">
        <v>1092</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1045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1331</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1844</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1845</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1194</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949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1846</v>
      </c>
      <c r="B2625" s="27" t="s">
        <v>946</v>
      </c>
      <c r="C2625" s="27" t="s">
        <v>943</v>
      </c>
      <c r="D2625" s="27" t="s">
        <v>917</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1847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960</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1407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1848</v>
      </c>
      <c r="B2629" s="27" t="s">
        <v>962</v>
      </c>
      <c r="C2629" s="27" t="s">
        <v>971</v>
      </c>
      <c r="D2629" s="27" t="s">
        <v>917</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1849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932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row>
    <row r="2633" spans="1:12">
      <c r="A2633" s="20" t="s">
        <v>1850</v>
      </c>
    </row>
    <row r="2634" spans="1:12">
      <c r="A2634" s="20" t="s">
        <v>1459</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1017</v>
      </c>
      <c r="B2635" s="27" t="s">
        <v>942</v>
      </c>
      <c r="C2635" s="27" t="s">
        <v>916</v>
      </c>
      <c r="D2635" s="27" t="s">
        <v>917</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1035</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1575</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1851</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932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row>
    <row r="2641" spans="1:12">
      <c r="A2641" s="20" t="s">
        <v>1852</v>
      </c>
    </row>
    <row r="2642" spans="1:12">
      <c r="A2642" s="20" t="s">
        <v>1853</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941</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1854</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1855</v>
      </c>
      <c r="B2645" s="27" t="s">
        <v>910</v>
      </c>
      <c r="C2645" s="27" t="s">
        <v>943</v>
      </c>
      <c r="D2645" s="27" t="s">
        <v>917</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960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1740</v>
      </c>
      <c r="B2647" s="27" t="s">
        <v>946</v>
      </c>
      <c r="C2647" s="27" t="s">
        <v>974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991</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1856</v>
      </c>
      <c r="B2649" s="27" t="s">
        <v>962</v>
      </c>
      <c r="C2649" s="27" t="s">
        <v>974</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918</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919</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1112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1786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1023</v>
      </c>
      <c r="B2654" s="27" t="s">
        <v>1101</v>
      </c>
      <c r="C2654" s="27" t="s">
        <v>956</v>
      </c>
      <c r="D2654" s="27" t="s">
        <v>917</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949</v>
      </c>
      <c r="B2655" s="27" t="s">
        <v>1101</v>
      </c>
      <c r="C2655" s="27" t="s">
        <v>956</v>
      </c>
      <c r="D2655" s="27" t="s">
        <v>917</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1857</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1858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1619</v>
      </c>
      <c r="B2658" s="27" t="s">
        <v>1090</v>
      </c>
      <c r="C2658" s="27" t="s">
        <v>974</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932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row>
    <row r="2661" spans="1:12">
      <c r="A2661" s="20" t="s">
        <v>1859</v>
      </c>
    </row>
    <row r="2662" spans="1:12">
      <c r="A2662" s="20" t="s">
        <v>976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1084</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1274</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963</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330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963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1104</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676</v>
      </c>
      <c r="B2669" s="27" t="s">
        <v>946</v>
      </c>
      <c r="C2669" s="27" t="s">
        <v>1052</v>
      </c>
      <c r="D2669" s="27" t="s">
        <v>917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927</v>
      </c>
      <c r="B2670" s="27" t="s">
        <v>1110</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1860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1019</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1187</v>
      </c>
      <c r="B2673" s="27" t="s">
        <v>929</v>
      </c>
      <c r="C2673" s="27" t="s">
        <v>916</v>
      </c>
      <c r="D2673" s="27" t="s">
        <v>917</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1102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1572</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951</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1496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932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row>
    <row r="2680" spans="1:12">
      <c r="A2680" s="20" t="s">
        <v>1861</v>
      </c>
    </row>
    <row r="2681" spans="1:12">
      <c r="A2681" s="20" t="s">
        <v>1862</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964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1863</v>
      </c>
      <c r="B2683" s="27" t="s">
        <v>915</v>
      </c>
      <c r="C2683" s="27" t="s">
        <v>916</v>
      </c>
      <c r="D2683" s="27" t="s">
        <v>917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1288</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908</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1864</v>
      </c>
      <c r="B2686" s="27" t="s">
        <v>915</v>
      </c>
      <c r="C2686" s="27" t="s">
        <v>943</v>
      </c>
      <c r="D2686" s="27" t="s">
        <v>917</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1865</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963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949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1866</v>
      </c>
      <c r="B2690" s="27" t="s">
        <v>915</v>
      </c>
      <c r="C2690" s="27" t="s">
        <v>916</v>
      </c>
      <c r="D2690" s="27" t="s">
        <v>917</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932</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1867</v>
      </c>
    </row>
    <row r="2694" spans="1:12">
      <c r="A2694" s="20" t="s">
        <v>1868</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1869</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1870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1423</v>
      </c>
      <c r="B2697" s="27" t="s">
        <v>1101</v>
      </c>
      <c r="C2697" s="27" t="s">
        <v>1012</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1427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918</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1121</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1871</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1542</v>
      </c>
      <c r="B2702" s="27" t="s">
        <v>1073</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984</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918</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1364</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1525</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920</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1326</v>
      </c>
      <c r="B2708" s="27" t="s">
        <v>937</v>
      </c>
      <c r="C2708" s="27" t="s">
        <v>916</v>
      </c>
      <c r="D2708" s="27" t="s">
        <v>917</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918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1364</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1525</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1872</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1873</v>
      </c>
      <c r="B2713" s="27" t="s">
        <v>1073</v>
      </c>
      <c r="C2713" s="27" t="s">
        <v>1012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918</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1364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1121</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949</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1328</v>
      </c>
      <c r="B2718" s="27" t="s">
        <v>1073</v>
      </c>
      <c r="C2718" s="27" t="s">
        <v>916</v>
      </c>
      <c r="D2718" s="27" t="s">
        <v>917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1874</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918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919</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1104</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913</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1875</v>
      </c>
      <c r="B2724" s="27" t="s">
        <v>1073</v>
      </c>
      <c r="C2724" s="27" t="s">
        <v>916</v>
      </c>
      <c r="D2724" s="27" t="s">
        <v>917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1112</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1593</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928</v>
      </c>
      <c r="B2727" s="27" t="s">
        <v>1090</v>
      </c>
      <c r="C2727" s="27" t="s">
        <v>974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932</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row>
    <row r="2730" spans="1:12">
      <c r="A2730" s="20" t="s">
        <v>1876</v>
      </c>
    </row>
    <row r="2731" spans="1:12">
      <c r="A2731" s="20" t="s">
        <v>976</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1084</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1398</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941</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1877</v>
      </c>
      <c r="B2735" s="27" t="s">
        <v>910</v>
      </c>
      <c r="C2735" s="27" t="s">
        <v>911</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932</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row>
    <row r="2738" spans="1:12">
      <c r="A2738" s="20" t="s">
        <v>1878</v>
      </c>
    </row>
    <row r="2739" spans="1:12">
      <c r="A2739" s="20" t="s">
        <v>1225</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1879</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960</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1880</v>
      </c>
      <c r="B2742" s="27" t="s">
        <v>962</v>
      </c>
      <c r="C2742" s="27" t="s">
        <v>943</v>
      </c>
      <c r="D2742" s="27" t="s">
        <v>917</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963</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913</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914</v>
      </c>
      <c r="B2745" s="27" t="s">
        <v>970</v>
      </c>
      <c r="C2745" s="27" t="s">
        <v>916</v>
      </c>
      <c r="D2745" s="27" t="s">
        <v>917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919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1706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927</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1382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912</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1881</v>
      </c>
      <c r="B2751" s="27" t="s">
        <v>973</v>
      </c>
      <c r="C2751" s="27" t="s">
        <v>974</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1139</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949</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1882</v>
      </c>
      <c r="B2754" s="27" t="s">
        <v>973</v>
      </c>
      <c r="C2754" s="27" t="s">
        <v>916</v>
      </c>
      <c r="D2754" s="27" t="s">
        <v>917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1010</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1883</v>
      </c>
      <c r="B2756" s="27" t="s">
        <v>973</v>
      </c>
      <c r="C2756" s="27" t="s">
        <v>1012</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1102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89</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1884</v>
      </c>
      <c r="B2759" s="27" t="s">
        <v>973</v>
      </c>
      <c r="C2759" s="27" t="s">
        <v>1095</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1201</v>
      </c>
      <c r="B2760" s="27" t="s">
        <v>1101</v>
      </c>
      <c r="C2760" s="27" t="s">
        <v>956</v>
      </c>
      <c r="D2760" s="27" t="s">
        <v>917</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1445</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171</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1496</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918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1476</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1331</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1885</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171</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1496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918</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1119</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1271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975</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908</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1880</v>
      </c>
      <c r="B2775" s="27" t="s">
        <v>1101</v>
      </c>
      <c r="C2775" s="27" t="s">
        <v>943</v>
      </c>
      <c r="D2775" s="27" t="s">
        <v>917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963</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913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914</v>
      </c>
      <c r="B2778" s="27" t="s">
        <v>962</v>
      </c>
      <c r="C2778" s="27" t="s">
        <v>916</v>
      </c>
      <c r="D2778" s="27" t="s">
        <v>917</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927</v>
      </c>
      <c r="B2779" s="27" t="s">
        <v>1197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1285</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1201</v>
      </c>
      <c r="B2781" s="27" t="s">
        <v>1302</v>
      </c>
      <c r="C2781" s="27" t="s">
        <v>956</v>
      </c>
      <c r="D2781" s="27" t="s">
        <v>917</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1886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963</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949</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1577</v>
      </c>
      <c r="B2785" s="27" t="s">
        <v>973</v>
      </c>
      <c r="C2785" s="27" t="s">
        <v>916</v>
      </c>
      <c r="D2785" s="27" t="s">
        <v>917</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932</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row>
    <row r="2788" spans="1:12">
      <c r="A2788" s="20" t="s">
        <v>1887</v>
      </c>
    </row>
    <row r="2789" spans="1:12">
      <c r="A2789" s="20" t="s">
        <v>1092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981</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1706</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960</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112</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960</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1017</v>
      </c>
      <c r="B2795" s="27" t="s">
        <v>962</v>
      </c>
      <c r="C2795" s="27" t="s">
        <v>974</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918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919</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1382</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912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1881</v>
      </c>
      <c r="B2800" s="27" t="s">
        <v>962</v>
      </c>
      <c r="C2800" s="27" t="s">
        <v>943</v>
      </c>
      <c r="D2800" s="27" t="s">
        <v>917</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1139</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949</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1882</v>
      </c>
      <c r="B2803" s="27" t="s">
        <v>970</v>
      </c>
      <c r="C2803" s="27" t="s">
        <v>916</v>
      </c>
      <c r="D2803" s="27" t="s">
        <v>917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1102</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89</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1884</v>
      </c>
      <c r="B2806" s="27" t="s">
        <v>962</v>
      </c>
      <c r="C2806" s="27" t="s">
        <v>1095</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963</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913</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1284</v>
      </c>
      <c r="B2809" s="27" t="s">
        <v>970</v>
      </c>
      <c r="C2809" s="27" t="s">
        <v>916</v>
      </c>
      <c r="D2809" s="27" t="s">
        <v>917</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1201</v>
      </c>
      <c r="B2810" s="27" t="s">
        <v>1110</v>
      </c>
      <c r="C2810" s="27" t="s">
        <v>956</v>
      </c>
      <c r="D2810" s="27" t="s">
        <v>917</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1445</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171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1496</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918</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1014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1888</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918</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1114</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949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1017</v>
      </c>
      <c r="B2820" s="27" t="s">
        <v>937</v>
      </c>
      <c r="C2820" s="27" t="s">
        <v>916</v>
      </c>
      <c r="D2820" s="27" t="s">
        <v>917</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1035</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908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1601</v>
      </c>
      <c r="B2823" s="27" t="s">
        <v>915</v>
      </c>
      <c r="C2823" s="27" t="s">
        <v>943</v>
      </c>
      <c r="D2823" s="27" t="s">
        <v>917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960</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913</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1313</v>
      </c>
      <c r="B2826" s="27" t="s">
        <v>946</v>
      </c>
      <c r="C2826" s="27" t="s">
        <v>916</v>
      </c>
      <c r="D2826" s="27" t="s">
        <v>917</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912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1367</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1201</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1490</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918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919</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981</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1201</v>
      </c>
      <c r="B2834" s="27" t="s">
        <v>1090</v>
      </c>
      <c r="C2834" s="27" t="s">
        <v>956</v>
      </c>
      <c r="D2834" s="27" t="s">
        <v>917</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1490</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1496</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918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1014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1575</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1112</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1183</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1096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1228</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932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row>
    <row r="2846" spans="1:12">
      <c r="A2846" s="20" t="s">
        <v>1889</v>
      </c>
    </row>
    <row r="2847" spans="1:12">
      <c r="A2847" s="20" t="s">
        <v>1210</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1045</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1890</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1426</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1096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1891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912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920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1892</v>
      </c>
      <c r="B2855" s="27" t="s">
        <v>915</v>
      </c>
      <c r="C2855" s="27" t="s">
        <v>943</v>
      </c>
      <c r="D2855" s="27" t="s">
        <v>917</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960</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913</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1893</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1009</v>
      </c>
      <c r="B2859" s="27" t="s">
        <v>946</v>
      </c>
      <c r="C2859" s="27" t="s">
        <v>943</v>
      </c>
      <c r="D2859" s="27" t="s">
        <v>917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960</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1019</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1423</v>
      </c>
      <c r="B2862" s="27" t="s">
        <v>962</v>
      </c>
      <c r="C2862" s="27" t="s">
        <v>916</v>
      </c>
      <c r="D2862" s="27" t="s">
        <v>917</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1894</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932</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row>
    <row r="2866" spans="1:12">
      <c r="A2866" s="20" t="s">
        <v>1895</v>
      </c>
    </row>
    <row r="2867" spans="1:12">
      <c r="A2867" s="20" t="s">
        <v>1896</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1897</v>
      </c>
      <c r="B2868" s="27" t="s">
        <v>910</v>
      </c>
      <c r="C2868" s="27" t="s">
        <v>974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918</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1898</v>
      </c>
      <c r="B2870" s="27" t="s">
        <v>946</v>
      </c>
      <c r="C2870" s="27" t="s">
        <v>943</v>
      </c>
      <c r="D2870" s="27" t="s">
        <v>917</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960</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1897</v>
      </c>
      <c r="B2872" s="27" t="s">
        <v>962</v>
      </c>
      <c r="C2872" s="27" t="s">
        <v>943</v>
      </c>
      <c r="D2872" s="27" t="s">
        <v>917</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1194</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1187</v>
      </c>
      <c r="B2874" s="27" t="s">
        <v>970</v>
      </c>
      <c r="C2874" s="27" t="s">
        <v>974</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927</v>
      </c>
      <c r="B2875" s="27" t="s">
        <v>983</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1044</v>
      </c>
      <c r="B2876" s="27" t="s">
        <v>1147</v>
      </c>
      <c r="C2876" s="27" t="s">
        <v>956</v>
      </c>
      <c r="D2876" s="27" t="s">
        <v>917</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1899</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1102</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1900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1044</v>
      </c>
      <c r="B2880" s="27" t="s">
        <v>1261</v>
      </c>
      <c r="C2880" s="27" t="s">
        <v>956</v>
      </c>
      <c r="D2880" s="27" t="s">
        <v>917</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1128</v>
      </c>
      <c r="B2881" s="27" t="s">
        <v>1533</v>
      </c>
      <c r="C2881" s="27" t="s">
        <v>1150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951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1035</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1901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1902</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1102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1539</v>
      </c>
      <c r="B2887" s="27" t="s">
        <v>1419</v>
      </c>
      <c r="C2887" s="27" t="s">
        <v>956</v>
      </c>
      <c r="D2887" s="27" t="s">
        <v>917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932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row>
    <row r="2890" spans="1:12">
      <c r="A2890" s="20" t="s">
        <v>1903</v>
      </c>
    </row>
    <row r="2891" spans="1:12">
      <c r="A2891" s="20" t="s">
        <v>1904</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1452</v>
      </c>
      <c r="B2892" s="27" t="s">
        <v>942</v>
      </c>
      <c r="C2892" s="27" t="s">
        <v>938</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1905</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1019</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1906</v>
      </c>
      <c r="B2895" s="27" t="s">
        <v>915</v>
      </c>
      <c r="C2895" s="27" t="s">
        <v>916</v>
      </c>
      <c r="D2895" s="27" t="s">
        <v>917</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1044</v>
      </c>
      <c r="B2896" s="27" t="s">
        <v>910</v>
      </c>
      <c r="C2896" s="27" t="s">
        <v>956</v>
      </c>
      <c r="D2896" s="27" t="s">
        <v>917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1907</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1512</v>
      </c>
      <c r="B2898" s="27" t="s">
        <v>910</v>
      </c>
      <c r="C2898" s="27" t="s">
        <v>943</v>
      </c>
      <c r="D2898" s="27" t="s">
        <v>917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1139</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949</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1908</v>
      </c>
      <c r="B2901" s="27" t="s">
        <v>946</v>
      </c>
      <c r="C2901" s="27" t="s">
        <v>916</v>
      </c>
      <c r="D2901" s="27" t="s">
        <v>917</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932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row>
    <row r="2904" spans="1:12">
      <c r="A2904" s="20" t="s">
        <v>1909</v>
      </c>
    </row>
    <row r="2905" spans="1:12">
      <c r="A2905" s="20" t="s">
        <v>1910</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1019</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1897</v>
      </c>
      <c r="B2907" s="27" t="s">
        <v>915</v>
      </c>
      <c r="C2907" s="27" t="s">
        <v>916</v>
      </c>
      <c r="D2907" s="27" t="s">
        <v>917</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927</v>
      </c>
      <c r="B2908" s="27" t="s">
        <v>1090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1084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1911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918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949</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1465</v>
      </c>
      <c r="B2913" s="27" t="s">
        <v>962</v>
      </c>
      <c r="C2913" s="27" t="s">
        <v>1069</v>
      </c>
      <c r="D2913" s="27" t="s">
        <v>917</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1912</v>
      </c>
      <c r="B2914" s="27" t="s">
        <v>946</v>
      </c>
      <c r="C2914" s="27" t="s">
        <v>916</v>
      </c>
      <c r="D2914" s="27" t="s">
        <v>917</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1035</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1913</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1407</v>
      </c>
      <c r="B2917" s="27" t="s">
        <v>915</v>
      </c>
      <c r="C2917" s="27" t="s">
        <v>1052</v>
      </c>
      <c r="D2917" s="27" t="s">
        <v>917</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927</v>
      </c>
      <c r="B2918" s="27" t="s">
        <v>1101</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1084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1911</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1194</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941</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1914</v>
      </c>
      <c r="B2923" s="27" t="s">
        <v>946</v>
      </c>
      <c r="C2923" s="27" t="s">
        <v>911</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927</v>
      </c>
      <c r="B2924" s="27" t="s">
        <v>929</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1044</v>
      </c>
      <c r="B2925" s="27" t="s">
        <v>1110</v>
      </c>
      <c r="C2925" s="27" t="s">
        <v>956</v>
      </c>
      <c r="D2925" s="27" t="s">
        <v>917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1567</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1915</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1916</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960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1098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1917</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966</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949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1328</v>
      </c>
      <c r="B2934" s="27" t="s">
        <v>987</v>
      </c>
      <c r="C2934" s="27" t="s">
        <v>916</v>
      </c>
      <c r="D2934" s="27" t="s">
        <v>917</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918</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960</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1098</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1917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966</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920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1326</v>
      </c>
      <c r="B2941" s="27" t="s">
        <v>990</v>
      </c>
      <c r="C2941" s="27" t="s">
        <v>916</v>
      </c>
      <c r="D2941" s="27" t="s">
        <v>917</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918</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960</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1098</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1917</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966</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1104</v>
      </c>
      <c r="B2947" s="27" t="s">
        <v>1060</v>
      </c>
      <c r="C2947" s="27" t="s">
        <v>938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918</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919</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960</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1098</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1918</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941</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1919</v>
      </c>
      <c r="B2954" s="27" t="s">
        <v>1208</v>
      </c>
      <c r="C2954" s="27" t="s">
        <v>911</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927</v>
      </c>
      <c r="B2955" s="27" t="s">
        <v>1920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1921</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992</v>
      </c>
      <c r="B2957" s="27" t="s">
        <v>1922</v>
      </c>
      <c r="C2957" s="27" t="s">
        <v>956</v>
      </c>
      <c r="D2957" s="27" t="s">
        <v>917</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1923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963</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913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1009</v>
      </c>
      <c r="B2961" s="27" t="s">
        <v>1924</v>
      </c>
      <c r="C2961" s="27" t="s">
        <v>916</v>
      </c>
      <c r="D2961" s="27" t="s">
        <v>917</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918</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927</v>
      </c>
      <c r="B2963" s="27" t="s">
        <v>1925</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1926</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912</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913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1927</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1928</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1109</v>
      </c>
      <c r="B2969" s="27" t="s">
        <v>1929</v>
      </c>
      <c r="C2969" s="27" t="s">
        <v>974</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963</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1930</v>
      </c>
      <c r="B2971" s="27" t="s">
        <v>1931</v>
      </c>
      <c r="C2971" s="27" t="s">
        <v>974</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932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row>
    <row r="2974" spans="1:12">
      <c r="A2974" s="20" t="s">
        <v>1932</v>
      </c>
    </row>
    <row r="2975" spans="1:12">
      <c r="A2975" s="20" t="s">
        <v>1933</v>
      </c>
      <c r="B2975" s="27" t="s">
        <v>910</v>
      </c>
      <c r="C2975" s="27" t="s">
        <v>956</v>
      </c>
      <c r="D2975" s="27" t="s">
        <v>917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1023</v>
      </c>
      <c r="B2976" s="27" t="s">
        <v>910</v>
      </c>
      <c r="C2976" s="27" t="s">
        <v>956</v>
      </c>
      <c r="D2976" s="27" t="s">
        <v>917</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1567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1934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1528</v>
      </c>
      <c r="B2979" s="27" t="s">
        <v>910</v>
      </c>
      <c r="C2979" s="27" t="s">
        <v>938</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932</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row>
    <row r="2982" spans="1:12">
      <c r="A2982" s="20" t="s">
        <v>1935</v>
      </c>
    </row>
    <row r="2983" spans="1:12">
      <c r="A2983" s="20" t="s">
        <v>1092</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1112</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1019</v>
      </c>
      <c r="B2985" s="27" t="s">
        <v>910</v>
      </c>
      <c r="C2985" s="27" t="s">
        <v>956</v>
      </c>
      <c r="D2985" s="27" t="s">
        <v>917</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1803</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1936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912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1588</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1125</v>
      </c>
      <c r="B2990" s="27" t="s">
        <v>915</v>
      </c>
      <c r="C2990" s="27" t="s">
        <v>971</v>
      </c>
      <c r="D2990" s="27" t="s">
        <v>917</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932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row>
    <row r="2993" spans="1:12">
      <c r="A2993" s="20" t="s">
        <v>1937</v>
      </c>
    </row>
    <row r="2994" spans="1:12">
      <c r="A2994" s="20" t="s">
        <v>1514</v>
      </c>
      <c r="B2994" s="27" t="s">
        <v>910</v>
      </c>
      <c r="C2994" s="27" t="s">
        <v>956</v>
      </c>
      <c r="D2994" s="27" t="s">
        <v>917</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1084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1331</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1938</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960</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863</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949</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1939</v>
      </c>
      <c r="B3001" s="27" t="s">
        <v>1101</v>
      </c>
      <c r="C3001" s="27" t="s">
        <v>943</v>
      </c>
      <c r="D3001" s="27" t="s">
        <v>917</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960</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1601</v>
      </c>
      <c r="B3003" s="27" t="s">
        <v>962</v>
      </c>
      <c r="C3003" s="27" t="s">
        <v>974</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1940</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15</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1941</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912</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913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1942</v>
      </c>
      <c r="B3009" s="27" t="s">
        <v>946</v>
      </c>
      <c r="C3009" s="27" t="s">
        <v>943</v>
      </c>
      <c r="D3009" s="27" t="s">
        <v>917</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1943</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919</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1944</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960</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920</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1945</v>
      </c>
      <c r="B3015" s="27" t="s">
        <v>962</v>
      </c>
      <c r="C3015" s="27" t="s">
        <v>916</v>
      </c>
      <c r="D3015" s="27" t="s">
        <v>917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1946</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932</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row>
    <row r="3019" spans="1:12">
      <c r="A3019" s="20" t="s">
        <v>1947</v>
      </c>
    </row>
    <row r="3020" spans="1:12">
      <c r="A3020" s="20" t="s">
        <v>1155</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1084</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1948</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912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1949</v>
      </c>
      <c r="B3024" s="27" t="s">
        <v>946</v>
      </c>
      <c r="C3024" s="27" t="s">
        <v>974</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1019</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1423</v>
      </c>
      <c r="B3026" s="27" t="s">
        <v>1101</v>
      </c>
      <c r="C3026" s="27" t="s">
        <v>916</v>
      </c>
      <c r="D3026" s="27" t="s">
        <v>917</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1894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918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1084</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1331</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1950</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941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1951</v>
      </c>
      <c r="B3033" s="27" t="s">
        <v>910</v>
      </c>
      <c r="C3033" s="27" t="s">
        <v>943</v>
      </c>
      <c r="D3033" s="27" t="s">
        <v>917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1139</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1281</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1423</v>
      </c>
      <c r="B3036" s="27" t="s">
        <v>946</v>
      </c>
      <c r="C3036" s="27" t="s">
        <v>974</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932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row>
    <row r="3039" spans="1:12">
      <c r="A3039" s="20" t="s">
        <v>999</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1952</v>
      </c>
    </row>
    <row r="3041" spans="1:12">
      <c r="A3041" s="20" t="s">
        <v>1384</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1045</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1953</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1026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908</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1954</v>
      </c>
      <c r="B3046" s="27" t="s">
        <v>915</v>
      </c>
      <c r="C3046" s="27" t="s">
        <v>943</v>
      </c>
      <c r="D3046" s="27" t="s">
        <v>917</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1955</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912</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1956</v>
      </c>
      <c r="B3049" s="27" t="s">
        <v>946</v>
      </c>
      <c r="C3049" s="27" t="s">
        <v>1023</v>
      </c>
      <c r="D3049" s="27" t="s">
        <v>917</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966</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1957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1958</v>
      </c>
      <c r="B3052" s="27" t="s">
        <v>915</v>
      </c>
      <c r="C3052" s="27" t="s">
        <v>943</v>
      </c>
      <c r="D3052" s="27" t="s">
        <v>917</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960</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1959</v>
      </c>
      <c r="B3054" s="27" t="s">
        <v>946</v>
      </c>
      <c r="C3054" s="27" t="s">
        <v>974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927</v>
      </c>
      <c r="B3055" s="27" t="s">
        <v>1073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1144</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1112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1960</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912</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913</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1961</v>
      </c>
      <c r="B3061" s="27" t="s">
        <v>962</v>
      </c>
      <c r="C3061" s="27" t="s">
        <v>916</v>
      </c>
      <c r="D3061" s="27" t="s">
        <v>917</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918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1119</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1312</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1596</v>
      </c>
      <c r="B3065" s="27" t="s">
        <v>915</v>
      </c>
      <c r="C3065" s="27" t="s">
        <v>943</v>
      </c>
      <c r="D3065" s="27" t="s">
        <v>917</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1096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1097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1288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912</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1962</v>
      </c>
      <c r="B3070" s="27" t="s">
        <v>946</v>
      </c>
      <c r="C3070" s="27" t="s">
        <v>1023</v>
      </c>
      <c r="D3070" s="27" t="s">
        <v>917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963</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1963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1026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908</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1349</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1964</v>
      </c>
      <c r="B3076" s="27" t="s">
        <v>962</v>
      </c>
      <c r="C3076" s="27" t="s">
        <v>911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918</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919</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1044</v>
      </c>
      <c r="B3079" s="27" t="s">
        <v>1090</v>
      </c>
      <c r="C3079" s="27" t="s">
        <v>956</v>
      </c>
      <c r="D3079" s="27" t="s">
        <v>917</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1035</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1965</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960</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41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949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1465</v>
      </c>
      <c r="B3085" s="27" t="s">
        <v>973</v>
      </c>
      <c r="C3085" s="27" t="s">
        <v>1069</v>
      </c>
      <c r="D3085" s="27" t="s">
        <v>917</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1635</v>
      </c>
      <c r="B3086" s="27" t="s">
        <v>1110</v>
      </c>
      <c r="C3086" s="27" t="s">
        <v>916</v>
      </c>
      <c r="D3086" s="27" t="s">
        <v>917</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963</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1348</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1349</v>
      </c>
      <c r="B3089" s="27" t="s">
        <v>970</v>
      </c>
      <c r="C3089" s="27" t="s">
        <v>938</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918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913</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1393</v>
      </c>
      <c r="B3092" s="27" t="s">
        <v>1197</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652</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918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140</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1966</v>
      </c>
      <c r="B3096" s="27" t="s">
        <v>973</v>
      </c>
      <c r="C3096" s="27" t="s">
        <v>1023</v>
      </c>
      <c r="D3096" s="27" t="s">
        <v>917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918</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1177</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918</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1407</v>
      </c>
      <c r="B3100" s="27" t="s">
        <v>983</v>
      </c>
      <c r="C3100" s="27" t="s">
        <v>1052</v>
      </c>
      <c r="D3100" s="27" t="s">
        <v>917</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1035</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964</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1967</v>
      </c>
      <c r="B3103" s="27" t="s">
        <v>973</v>
      </c>
      <c r="C3103" s="27" t="s">
        <v>1023</v>
      </c>
      <c r="D3103" s="27" t="s">
        <v>917</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1968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918</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919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1203</v>
      </c>
      <c r="B3107" s="27" t="s">
        <v>983</v>
      </c>
      <c r="C3107" s="27" t="s">
        <v>1052</v>
      </c>
      <c r="D3107" s="27" t="s">
        <v>917</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1035</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964</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1967</v>
      </c>
      <c r="B3110" s="27" t="s">
        <v>973</v>
      </c>
      <c r="C3110" s="27" t="s">
        <v>1023</v>
      </c>
      <c r="D3110" s="27" t="s">
        <v>917</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1969</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918</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920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1970</v>
      </c>
      <c r="B3114" s="27" t="s">
        <v>990</v>
      </c>
      <c r="C3114" s="27" t="s">
        <v>1069</v>
      </c>
      <c r="D3114" s="27" t="s">
        <v>917</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1971</v>
      </c>
      <c r="B3115" s="27" t="s">
        <v>983</v>
      </c>
      <c r="C3115" s="27" t="s">
        <v>916</v>
      </c>
      <c r="D3115" s="27" t="s">
        <v>917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1045</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1426</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1080</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918</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1119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1553</v>
      </c>
      <c r="B3121" s="27" t="s">
        <v>973</v>
      </c>
      <c r="C3121" s="27" t="s">
        <v>938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960</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920</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1970</v>
      </c>
      <c r="B3124" s="27" t="s">
        <v>990</v>
      </c>
      <c r="C3124" s="27" t="s">
        <v>1069</v>
      </c>
      <c r="D3124" s="27" t="s">
        <v>917</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1971</v>
      </c>
      <c r="B3125" s="27" t="s">
        <v>987</v>
      </c>
      <c r="C3125" s="27" t="s">
        <v>916</v>
      </c>
      <c r="D3125" s="27" t="s">
        <v>917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1409</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1528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1109</v>
      </c>
      <c r="B3128" s="27" t="s">
        <v>1147</v>
      </c>
      <c r="C3128" s="27" t="s">
        <v>943</v>
      </c>
      <c r="D3128" s="27" t="s">
        <v>917</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912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1972</v>
      </c>
      <c r="B3130" s="27" t="s">
        <v>990</v>
      </c>
      <c r="C3130" s="27" t="s">
        <v>974</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966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676</v>
      </c>
      <c r="B3132" s="27" t="s">
        <v>990</v>
      </c>
      <c r="C3132" s="27" t="s">
        <v>1052</v>
      </c>
      <c r="D3132" s="27" t="s">
        <v>917</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927</v>
      </c>
      <c r="B3133" s="27" t="s">
        <v>1208</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1667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1973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932</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row>
    <row r="3138" spans="1:12">
      <c r="A3138" s="20" t="s">
        <v>999</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1324</v>
      </c>
    </row>
    <row r="3140" spans="1:12">
      <c r="A3140" s="20" t="s">
        <v>140</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row>
    <row r="3142" spans="1:12">
      <c r="A3142" s="20" t="s">
        <v>999</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1974</v>
      </c>
    </row>
    <row r="3144" spans="1:12">
      <c r="A3144" s="20" t="s">
        <v>1838</v>
      </c>
      <c r="B3144" s="27" t="s">
        <v>937</v>
      </c>
      <c r="C3144" s="27" t="s">
        <v>956</v>
      </c>
      <c r="D3144" s="27" t="s">
        <v>917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1317</v>
      </c>
      <c r="B3145" s="27" t="s">
        <v>910</v>
      </c>
      <c r="C3145" s="27" t="s">
        <v>974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918</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140</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1975</v>
      </c>
      <c r="B3148" s="27" t="s">
        <v>946</v>
      </c>
      <c r="C3148" s="27" t="s">
        <v>1023</v>
      </c>
      <c r="D3148" s="27" t="s">
        <v>917</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140</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918</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1976</v>
      </c>
      <c r="B3151" s="27" t="s">
        <v>942</v>
      </c>
      <c r="C3151" s="27" t="s">
        <v>956</v>
      </c>
      <c r="D3151" s="27" t="s">
        <v>917</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652</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140</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1783</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918</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1119</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1397</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1286</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1977</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1319</v>
      </c>
      <c r="B3160" s="27" t="s">
        <v>1101</v>
      </c>
      <c r="C3160" s="27" t="s">
        <v>974</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966</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1076</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1978</v>
      </c>
      <c r="B3163" s="27" t="s">
        <v>946</v>
      </c>
      <c r="C3163" s="27" t="s">
        <v>916</v>
      </c>
      <c r="D3163" s="27" t="s">
        <v>917</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1979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918</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912</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1980</v>
      </c>
      <c r="B3167" s="27" t="s">
        <v>946</v>
      </c>
      <c r="C3167" s="27" t="s">
        <v>974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1051</v>
      </c>
      <c r="B3168" s="27" t="s">
        <v>1101</v>
      </c>
      <c r="C3168" s="27" t="s">
        <v>1052</v>
      </c>
      <c r="D3168" s="27" t="s">
        <v>917</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927</v>
      </c>
      <c r="B3169" s="27" t="s">
        <v>929</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1981</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1982</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1079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913</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1983</v>
      </c>
      <c r="B3174" s="27" t="s">
        <v>970</v>
      </c>
      <c r="C3174" s="27" t="s">
        <v>916</v>
      </c>
      <c r="D3174" s="27" t="s">
        <v>917</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932</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row>
    <row r="3177" spans="1:12">
      <c r="A3177" s="20" t="s">
        <v>999</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1324</v>
      </c>
    </row>
    <row r="3179" spans="1:12">
      <c r="A3179" s="20" t="s">
        <v>140</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row>
    <row r="3181" spans="1:12">
      <c r="A3181" s="20" t="s">
        <v>999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1984</v>
      </c>
    </row>
    <row r="3183" spans="1:12">
      <c r="A3183" s="20" t="s">
        <v>1838</v>
      </c>
      <c r="B3183" s="27" t="s">
        <v>942</v>
      </c>
      <c r="C3183" s="27" t="s">
        <v>956</v>
      </c>
      <c r="D3183" s="27" t="s">
        <v>917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1985</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918</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140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1986</v>
      </c>
      <c r="B3187" s="27" t="s">
        <v>946</v>
      </c>
      <c r="C3187" s="27" t="s">
        <v>1150</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1048</v>
      </c>
      <c r="B3188" s="27" t="s">
        <v>910</v>
      </c>
      <c r="C3188" s="27" t="s">
        <v>943</v>
      </c>
      <c r="D3188" s="27" t="s">
        <v>917</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960</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1319</v>
      </c>
      <c r="B3190" s="27" t="s">
        <v>946</v>
      </c>
      <c r="C3190" s="27" t="s">
        <v>974</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1987</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1286</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1341</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140</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1818</v>
      </c>
      <c r="B3195" s="27" t="s">
        <v>937</v>
      </c>
      <c r="C3195" s="27" t="s">
        <v>956</v>
      </c>
      <c r="D3195" s="27" t="s">
        <v>917</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1988</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140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1966</v>
      </c>
      <c r="B3198" s="27" t="s">
        <v>1101</v>
      </c>
      <c r="C3198" s="27" t="s">
        <v>1023</v>
      </c>
      <c r="D3198" s="27" t="s">
        <v>917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918</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1989</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941</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1128</v>
      </c>
      <c r="B3202" s="27" t="s">
        <v>1090</v>
      </c>
      <c r="C3202" s="27" t="s">
        <v>911</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1990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932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row>
    <row r="3206" spans="1:12">
      <c r="A3206" s="20" t="s">
        <v>1991</v>
      </c>
    </row>
    <row r="3207" spans="1:12">
      <c r="A3207" s="20" t="s">
        <v>1106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1992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949</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1151</v>
      </c>
      <c r="B3210" s="27" t="s">
        <v>910</v>
      </c>
      <c r="C3210" s="27" t="s">
        <v>916</v>
      </c>
      <c r="D3210" s="27" t="s">
        <v>917</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1163</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963</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964</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1993</v>
      </c>
      <c r="B3214" s="27" t="s">
        <v>915</v>
      </c>
      <c r="C3214" s="27" t="s">
        <v>916</v>
      </c>
      <c r="D3214" s="27" t="s">
        <v>917</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1994</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1995</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963</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1572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1201</v>
      </c>
      <c r="B3219" s="27" t="s">
        <v>1110</v>
      </c>
      <c r="C3219" s="27" t="s">
        <v>956</v>
      </c>
      <c r="D3219" s="27" t="s">
        <v>917</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1496</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932</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row>
    <row r="3223" spans="1:12">
      <c r="A3223" s="20" t="s">
        <v>1996</v>
      </c>
    </row>
    <row r="3224" spans="1:12">
      <c r="A3224" s="20" t="s">
        <v>1106</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1997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1998</v>
      </c>
      <c r="B3226" s="27" t="s">
        <v>942</v>
      </c>
      <c r="C3226" s="27" t="s">
        <v>974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1254</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1999</v>
      </c>
      <c r="B3228" s="27" t="s">
        <v>946</v>
      </c>
      <c r="C3228" s="27" t="s">
        <v>974</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1102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1927</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2000</v>
      </c>
      <c r="B3231" s="27" t="s">
        <v>1101</v>
      </c>
      <c r="C3231" s="27" t="s">
        <v>974</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912</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1019</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1187</v>
      </c>
      <c r="B3234" s="27" t="s">
        <v>946</v>
      </c>
      <c r="C3234" s="27" t="s">
        <v>916</v>
      </c>
      <c r="D3234" s="27" t="s">
        <v>917</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932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row>
    <row r="3237" spans="1:12">
      <c r="A3237" s="20" t="s">
        <v>2001</v>
      </c>
    </row>
    <row r="3238" spans="1:12">
      <c r="A3238" s="20" t="s">
        <v>1106</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2002</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964</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2003</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2004</v>
      </c>
      <c r="B3242" s="27" t="s">
        <v>910</v>
      </c>
      <c r="C3242" s="27" t="s">
        <v>916</v>
      </c>
      <c r="D3242" s="27" t="s">
        <v>917</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932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row>
    <row r="3245" spans="1:12">
      <c r="A3245" s="20" t="s">
        <v>2005</v>
      </c>
    </row>
    <row r="3246" spans="1:12">
      <c r="A3246" s="20" t="s">
        <v>1106</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2006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949</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1017</v>
      </c>
      <c r="B3249" s="27" t="s">
        <v>910</v>
      </c>
      <c r="C3249" s="27" t="s">
        <v>916</v>
      </c>
      <c r="D3249" s="27" t="s">
        <v>917</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944</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930</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1050</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2007</v>
      </c>
      <c r="B3253" s="27" t="s">
        <v>915</v>
      </c>
      <c r="C3253" s="27" t="s">
        <v>911</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2008</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932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row>
    <row r="3257" spans="1:12">
      <c r="A3257" s="20" t="s">
        <v>999</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2009</v>
      </c>
    </row>
    <row r="3259" spans="1:12">
      <c r="A3259" s="20" t="s">
        <v>2010</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918</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676</v>
      </c>
      <c r="B3261" s="27" t="s">
        <v>942</v>
      </c>
      <c r="C3261" s="27" t="s">
        <v>1052</v>
      </c>
      <c r="D3261" s="27" t="s">
        <v>917</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927</v>
      </c>
      <c r="B3262" s="27" t="s">
        <v>1073</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1989</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1612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505</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941</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1336</v>
      </c>
      <c r="B3267" s="27" t="s">
        <v>910</v>
      </c>
      <c r="C3267" s="27" t="s">
        <v>943</v>
      </c>
      <c r="D3267" s="27" t="s">
        <v>917</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963</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949</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2011</v>
      </c>
      <c r="B3270" s="27" t="s">
        <v>946</v>
      </c>
      <c r="C3270" s="27" t="s">
        <v>916</v>
      </c>
      <c r="D3270" s="27" t="s">
        <v>917</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912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2012</v>
      </c>
      <c r="B3272" s="27" t="s">
        <v>946</v>
      </c>
      <c r="C3272" s="27" t="s">
        <v>974</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1928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919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2013</v>
      </c>
      <c r="B3275" s="27" t="s">
        <v>970</v>
      </c>
      <c r="C3275" s="27" t="s">
        <v>974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919</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2014</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1019</v>
      </c>
      <c r="B3278" s="27" t="s">
        <v>1101</v>
      </c>
      <c r="C3278" s="27" t="s">
        <v>956</v>
      </c>
      <c r="D3278" s="27" t="s">
        <v>917</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399</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1102</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1001</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1144</v>
      </c>
      <c r="B3282" s="27" t="s">
        <v>962</v>
      </c>
      <c r="C3282" s="27" t="s">
        <v>943</v>
      </c>
      <c r="D3282" s="27" t="s">
        <v>917</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960</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1019</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1109</v>
      </c>
      <c r="B3285" s="27" t="s">
        <v>970</v>
      </c>
      <c r="C3285" s="27" t="s">
        <v>916</v>
      </c>
      <c r="D3285" s="27" t="s">
        <v>917</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2015</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927</v>
      </c>
      <c r="B3287" s="27" t="s">
        <v>983</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1525</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2016</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1539</v>
      </c>
      <c r="B3290" s="27" t="s">
        <v>987</v>
      </c>
      <c r="C3290" s="27" t="s">
        <v>956</v>
      </c>
      <c r="D3290" s="27" t="s">
        <v>917</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932</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140</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1736</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1737</v>
      </c>
      <c r="B3294" s="27" t="s">
        <v>910</v>
      </c>
      <c r="C3294" s="27" t="s">
        <v>1023</v>
      </c>
      <c r="D3294" s="27" t="s">
        <v>917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1738</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1736</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2017</v>
      </c>
      <c r="B3297" s="27" t="s">
        <v>946</v>
      </c>
      <c r="C3297" s="27" t="s">
        <v>1023</v>
      </c>
      <c r="D3297" s="27" t="s">
        <v>917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1738</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1818</v>
      </c>
      <c r="B3299" s="27" t="s">
        <v>1073</v>
      </c>
      <c r="C3299" s="27" t="s">
        <v>956</v>
      </c>
      <c r="D3299" s="27" t="s">
        <v>917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652</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140</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2018</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1157</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467</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1539</v>
      </c>
      <c r="B3305" s="27" t="s">
        <v>1110</v>
      </c>
      <c r="C3305" s="27" t="s">
        <v>956</v>
      </c>
      <c r="D3305" s="27" t="s">
        <v>917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960</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527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913</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2019</v>
      </c>
      <c r="B3309" s="27" t="s">
        <v>1302</v>
      </c>
      <c r="C3309" s="27" t="s">
        <v>916</v>
      </c>
      <c r="D3309" s="27" t="s">
        <v>917</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932</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140</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row>
    <row r="3313" spans="1:12">
      <c r="A3313" s="20" t="s">
        <v>2020</v>
      </c>
    </row>
    <row r="3314" spans="1:12">
      <c r="A3314" s="20" t="s">
        <v>2021</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918</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1102</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2022</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2023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1019</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1423</v>
      </c>
      <c r="B3320" s="27" t="s">
        <v>1090</v>
      </c>
      <c r="C3320" s="27" t="s">
        <v>916</v>
      </c>
      <c r="D3320" s="27" t="s">
        <v>917</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1894</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918</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2024</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927</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2025</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2026</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955</v>
      </c>
      <c r="B3327" s="27" t="s">
        <v>1101</v>
      </c>
      <c r="C3327" s="27" t="s">
        <v>956</v>
      </c>
      <c r="D3327" s="27" t="s">
        <v>917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960</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2027</v>
      </c>
      <c r="B3329" s="27" t="s">
        <v>946</v>
      </c>
      <c r="C3329" s="27" t="s">
        <v>1023</v>
      </c>
      <c r="D3329" s="27" t="s">
        <v>917</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2028</v>
      </c>
      <c r="B3330" s="27" t="s">
        <v>962</v>
      </c>
      <c r="C3330" s="27" t="s">
        <v>1023</v>
      </c>
      <c r="D3330" s="27" t="s">
        <v>917</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932</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row>
    <row r="3333" spans="1:12">
      <c r="A3333" s="20" t="s">
        <v>2029</v>
      </c>
    </row>
    <row r="3334" spans="1:12">
      <c r="A3334" s="20" t="s">
        <v>2027</v>
      </c>
      <c r="B3334" s="27" t="s">
        <v>942</v>
      </c>
      <c r="C3334" s="27" t="s">
        <v>1023</v>
      </c>
      <c r="D3334" s="27" t="s">
        <v>917</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2028</v>
      </c>
      <c r="B3335" s="27" t="s">
        <v>946</v>
      </c>
      <c r="C3335" s="27" t="s">
        <v>1023</v>
      </c>
      <c r="D3335" s="27" t="s">
        <v>917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1121</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296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1285</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1194</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949</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1017</v>
      </c>
      <c r="B3341" s="27" t="s">
        <v>915</v>
      </c>
      <c r="C3341" s="27" t="s">
        <v>916</v>
      </c>
      <c r="D3341" s="27" t="s">
        <v>917</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1096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1541</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927</v>
      </c>
      <c r="B3344" s="27" t="s">
        <v>1073</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2030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1621</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1622</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912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941</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1336</v>
      </c>
      <c r="B3350" s="27" t="s">
        <v>962</v>
      </c>
      <c r="C3350" s="27" t="s">
        <v>911</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932</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row>
    <row r="3353" spans="1:12">
      <c r="A3353" s="20" t="s">
        <v>2031</v>
      </c>
    </row>
    <row r="3354" spans="1:12">
      <c r="A3354" s="20" t="s">
        <v>1217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2032</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1228</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932</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row>
    <row r="3359" spans="1:12">
      <c r="A3359" s="20" t="s">
        <v>2033</v>
      </c>
    </row>
    <row r="3360" spans="1:12">
      <c r="A3360" s="20" t="s">
        <v>1155</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977</v>
      </c>
      <c r="B3361" s="27" t="s">
        <v>1101</v>
      </c>
      <c r="C3361" s="27" t="s">
        <v>956</v>
      </c>
      <c r="D3361" s="27" t="s">
        <v>917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2034</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918</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1121</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2035</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1026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908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1273</v>
      </c>
      <c r="B3368" s="27" t="s">
        <v>915</v>
      </c>
      <c r="C3368" s="27" t="s">
        <v>911</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912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1367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951</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2036</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1026</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2037</v>
      </c>
      <c r="B3374" s="27" t="s">
        <v>962</v>
      </c>
      <c r="C3374" s="27" t="s">
        <v>974</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1010</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1229</v>
      </c>
      <c r="B3376" s="27" t="s">
        <v>962</v>
      </c>
      <c r="C3376" s="27" t="s">
        <v>1012</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918</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1079</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913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1393</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951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2038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2039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1102</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941</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2040</v>
      </c>
      <c r="B3386" s="27" t="s">
        <v>970</v>
      </c>
      <c r="C3386" s="27" t="s">
        <v>911</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932</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row>
    <row r="3389" spans="1:12">
      <c r="A3389" s="20" t="s">
        <v>2041</v>
      </c>
    </row>
    <row r="3390" spans="1:12">
      <c r="A3390" s="20" t="s">
        <v>976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2042</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1571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1102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941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2040</v>
      </c>
      <c r="B3395" s="27" t="s">
        <v>915</v>
      </c>
      <c r="C3395" s="27" t="s">
        <v>911</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918</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919</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949</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2040</v>
      </c>
      <c r="B3399" s="27" t="s">
        <v>946</v>
      </c>
      <c r="C3399" s="27" t="s">
        <v>916</v>
      </c>
      <c r="D3399" s="27" t="s">
        <v>917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2043</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1104</v>
      </c>
      <c r="B3401" s="27" t="s">
        <v>937</v>
      </c>
      <c r="C3401" s="27" t="s">
        <v>938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2044</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932</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row>
    <row r="3405" spans="1:12">
      <c r="A3405" s="20" t="s">
        <v>2045</v>
      </c>
    </row>
    <row r="3406" spans="1:12">
      <c r="A3406" s="20" t="s">
        <v>1396</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951</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2036</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1026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1001</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1365</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1624</v>
      </c>
      <c r="B3412" s="27" t="s">
        <v>915</v>
      </c>
      <c r="C3412" s="27" t="s">
        <v>943</v>
      </c>
      <c r="D3412" s="27" t="s">
        <v>917</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960</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2037</v>
      </c>
      <c r="B3414" s="27" t="s">
        <v>946</v>
      </c>
      <c r="C3414" s="27" t="s">
        <v>974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932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row>
    <row r="3417" spans="1:12">
      <c r="A3417" s="20" t="s">
        <v>999</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2046</v>
      </c>
    </row>
    <row r="3419" spans="1:12">
      <c r="A3419" s="20" t="s">
        <v>1155</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977</v>
      </c>
      <c r="B3420" s="27" t="s">
        <v>1101</v>
      </c>
      <c r="C3420" s="27" t="s">
        <v>956</v>
      </c>
      <c r="D3420" s="27" t="s">
        <v>917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2034</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918</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1044</v>
      </c>
      <c r="B3423" s="27" t="s">
        <v>910</v>
      </c>
      <c r="C3423" s="27" t="s">
        <v>956</v>
      </c>
      <c r="D3423" s="27" t="s">
        <v>917</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652</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918</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140</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1268</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2047</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2048</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1019</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2049</v>
      </c>
      <c r="B3431" s="27" t="s">
        <v>1090</v>
      </c>
      <c r="C3431" s="27" t="s">
        <v>916</v>
      </c>
      <c r="D3431" s="27" t="s">
        <v>917</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912</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1588</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1313</v>
      </c>
      <c r="B3434" s="27" t="s">
        <v>962</v>
      </c>
      <c r="C3434" s="27" t="s">
        <v>971</v>
      </c>
      <c r="D3434" s="27" t="s">
        <v>917</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932</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row>
    <row r="3437" spans="1:12">
      <c r="A3437" s="20" t="s">
        <v>2050</v>
      </c>
    </row>
    <row r="3438" spans="1:12">
      <c r="A3438" s="20" t="s">
        <v>1106</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1237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1381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1413</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918</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919</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1044</v>
      </c>
      <c r="B3444" s="27" t="s">
        <v>1101</v>
      </c>
      <c r="C3444" s="27" t="s">
        <v>956</v>
      </c>
      <c r="D3444" s="27" t="s">
        <v>917</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1035</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2051</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912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950</v>
      </c>
      <c r="B3448" s="27" t="s">
        <v>946</v>
      </c>
      <c r="C3448" s="27" t="s">
        <v>974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944</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2052</v>
      </c>
      <c r="B3450" s="27" t="s">
        <v>946</v>
      </c>
      <c r="C3450" s="27" t="s">
        <v>974</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1379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981</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1112</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1044</v>
      </c>
      <c r="B3454" s="27" t="s">
        <v>1101</v>
      </c>
      <c r="C3454" s="27" t="s">
        <v>956</v>
      </c>
      <c r="D3454" s="27" t="s">
        <v>917</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2053</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1496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932</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row>
    <row r="3459" spans="1:12">
      <c r="A3459" s="20" t="s">
        <v>999</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2054</v>
      </c>
    </row>
    <row r="3461" spans="1:12">
      <c r="A3461" s="20" t="s">
        <v>140</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1092</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140</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1044</v>
      </c>
      <c r="B3464" s="27" t="s">
        <v>910</v>
      </c>
      <c r="C3464" s="27" t="s">
        <v>956</v>
      </c>
      <c r="D3464" s="27" t="s">
        <v>917</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652</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918</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140</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1084</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2055</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960</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908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2056</v>
      </c>
      <c r="B3472" s="27" t="s">
        <v>946</v>
      </c>
      <c r="C3472" s="27" t="s">
        <v>911</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963</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913</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2057</v>
      </c>
      <c r="B3475" s="27" t="s">
        <v>946</v>
      </c>
      <c r="C3475" s="27" t="s">
        <v>1023</v>
      </c>
      <c r="D3475" s="27" t="s">
        <v>917</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2058</v>
      </c>
      <c r="B3476" s="27" t="s">
        <v>937</v>
      </c>
      <c r="C3476" s="27" t="s">
        <v>1023</v>
      </c>
      <c r="D3476" s="27" t="s">
        <v>917</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2059</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941</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2060</v>
      </c>
      <c r="B3479" s="27" t="s">
        <v>1110</v>
      </c>
      <c r="C3479" s="27" t="s">
        <v>943</v>
      </c>
      <c r="D3479" s="27" t="s">
        <v>917</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2061</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2062</v>
      </c>
      <c r="B3481" s="27" t="s">
        <v>973</v>
      </c>
      <c r="C3481" s="27" t="s">
        <v>974</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918</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927</v>
      </c>
      <c r="B3483" s="27" t="s">
        <v>1543</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1338</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2063</v>
      </c>
      <c r="B3485" s="27" t="s">
        <v>987</v>
      </c>
      <c r="C3485" s="27" t="s">
        <v>974</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918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919</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2064</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927</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2065</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908</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2066</v>
      </c>
      <c r="B3492" s="27" t="s">
        <v>1208</v>
      </c>
      <c r="C3492" s="27" t="s">
        <v>943</v>
      </c>
      <c r="D3492" s="27" t="s">
        <v>917</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966</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1407</v>
      </c>
      <c r="B3494" s="27" t="s">
        <v>1266</v>
      </c>
      <c r="C3494" s="27" t="s">
        <v>1052</v>
      </c>
      <c r="D3494" s="27" t="s">
        <v>917</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932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140</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row>
    <row r="3498" spans="1:12">
      <c r="A3498" s="20" t="s">
        <v>2067</v>
      </c>
    </row>
    <row r="3499" spans="1:12">
      <c r="A3499" s="20" t="s">
        <v>2068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927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2069</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1575</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2070</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960</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1143</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927</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1452</v>
      </c>
      <c r="B3507" s="27" t="s">
        <v>929</v>
      </c>
      <c r="C3507" s="27" t="s">
        <v>938</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927</v>
      </c>
      <c r="B3508" s="27" t="s">
        <v>983</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2071</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1593</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2072</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1511</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2015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1089</v>
      </c>
      <c r="B3514" s="27" t="s">
        <v>1147</v>
      </c>
      <c r="C3514" s="27" t="s">
        <v>1012</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966</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1511</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1423</v>
      </c>
      <c r="B3517" s="27" t="s">
        <v>987</v>
      </c>
      <c r="C3517" s="27" t="s">
        <v>1012</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1065</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2073</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975</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2074</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1194</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1312</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1366</v>
      </c>
      <c r="B3524" s="27" t="s">
        <v>970</v>
      </c>
      <c r="C3524" s="27" t="s">
        <v>1012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1184</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960</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2075</v>
      </c>
      <c r="B3527" s="27" t="s">
        <v>973</v>
      </c>
      <c r="C3527" s="27" t="s">
        <v>956</v>
      </c>
      <c r="D3527" s="27" t="s">
        <v>917</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1399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2076</v>
      </c>
      <c r="B3529" s="27" t="s">
        <v>1110</v>
      </c>
      <c r="C3529" s="27" t="s">
        <v>974</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1102</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60</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908</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1349</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2066</v>
      </c>
      <c r="B3534" s="27" t="s">
        <v>1147</v>
      </c>
      <c r="C3534" s="27" t="s">
        <v>911</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932</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row>
    <row r="3537" spans="1:12">
      <c r="A3537" s="20" t="s">
        <v>2077</v>
      </c>
    </row>
    <row r="3538" spans="1:12">
      <c r="A3538" s="20" t="s">
        <v>2078</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2079</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963</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2062</v>
      </c>
      <c r="B3541" s="27" t="s">
        <v>915</v>
      </c>
      <c r="C3541" s="27" t="s">
        <v>974</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918</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919</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964</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2080</v>
      </c>
      <c r="B3545" s="27" t="s">
        <v>937</v>
      </c>
      <c r="C3545" s="27" t="s">
        <v>916</v>
      </c>
      <c r="D3545" s="27" t="s">
        <v>917</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2081</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908</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2082</v>
      </c>
      <c r="B3548" s="27" t="s">
        <v>1101</v>
      </c>
      <c r="C3548" s="27" t="s">
        <v>911</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2083</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932</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row>
    <row r="3552" spans="1:12">
      <c r="A3552" s="20" t="s">
        <v>2084</v>
      </c>
    </row>
    <row r="3553" spans="1:12">
      <c r="A3553" s="20" t="s">
        <v>2021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1035</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1315</v>
      </c>
      <c r="B3555" s="27" t="s">
        <v>915</v>
      </c>
      <c r="C3555" s="27" t="s">
        <v>1069</v>
      </c>
      <c r="D3555" s="27" t="s">
        <v>917</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1788</v>
      </c>
      <c r="B3556" s="27" t="s">
        <v>915</v>
      </c>
      <c r="C3556" s="27" t="s">
        <v>1012</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932</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row>
    <row r="3559" spans="1:12">
      <c r="A3559" s="20" t="s">
        <v>2085</v>
      </c>
    </row>
    <row r="3560" spans="1:12">
      <c r="A3560" s="20" t="s">
        <v>2086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941</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1466</v>
      </c>
      <c r="B3562" s="27" t="s">
        <v>910</v>
      </c>
      <c r="C3562" s="27" t="s">
        <v>911</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2087</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919</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1356</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2088</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2089</v>
      </c>
      <c r="B3567" s="27" t="s">
        <v>962</v>
      </c>
      <c r="C3567" s="27" t="s">
        <v>1095</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932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row>
    <row r="3570" spans="1:12">
      <c r="A3570" s="20" t="s">
        <v>999</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2090</v>
      </c>
    </row>
    <row r="3572" spans="1:12">
      <c r="A3572" s="20" t="s">
        <v>1116</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2091</v>
      </c>
      <c r="B3573" s="27" t="s">
        <v>942</v>
      </c>
      <c r="C3573" s="27" t="s">
        <v>1023</v>
      </c>
      <c r="D3573" s="27" t="s">
        <v>917</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1079</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964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2080</v>
      </c>
      <c r="B3576" s="27" t="s">
        <v>915</v>
      </c>
      <c r="C3576" s="27" t="s">
        <v>916</v>
      </c>
      <c r="D3576" s="27" t="s">
        <v>917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1044</v>
      </c>
      <c r="B3577" s="27" t="s">
        <v>910</v>
      </c>
      <c r="C3577" s="27" t="s">
        <v>956</v>
      </c>
      <c r="D3577" s="27" t="s">
        <v>917</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2092</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941</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2093</v>
      </c>
      <c r="B3580" s="27" t="s">
        <v>910</v>
      </c>
      <c r="C3580" s="27" t="s">
        <v>911</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918</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912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1367</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1653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918</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140</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2094</v>
      </c>
      <c r="B3587" s="27" t="s">
        <v>973</v>
      </c>
      <c r="C3587" s="27" t="s">
        <v>1069</v>
      </c>
      <c r="D3587" s="27" t="s">
        <v>917</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1316</v>
      </c>
      <c r="B3588" s="27" t="s">
        <v>929</v>
      </c>
      <c r="C3588" s="27" t="s">
        <v>1012</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1044</v>
      </c>
      <c r="B3589" s="27" t="s">
        <v>1110</v>
      </c>
      <c r="C3589" s="27" t="s">
        <v>956</v>
      </c>
      <c r="D3589" s="27" t="s">
        <v>917</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1567</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1398</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1356</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2095</v>
      </c>
      <c r="B3593" s="27" t="s">
        <v>1110</v>
      </c>
      <c r="C3593" s="27" t="s">
        <v>1095</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1443</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1596</v>
      </c>
      <c r="B3595" s="27" t="s">
        <v>973</v>
      </c>
      <c r="C3595" s="27" t="s">
        <v>971</v>
      </c>
      <c r="D3595" s="27" t="s">
        <v>917</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918</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913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1359</v>
      </c>
      <c r="B3598" s="27" t="s">
        <v>1197</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1035</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908</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1195</v>
      </c>
      <c r="B3601" s="27" t="s">
        <v>1110</v>
      </c>
      <c r="C3601" s="27" t="s">
        <v>943</v>
      </c>
      <c r="D3601" s="27" t="s">
        <v>917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15</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2096</v>
      </c>
      <c r="B3603" s="27" t="s">
        <v>973</v>
      </c>
      <c r="C3603" s="27" t="s">
        <v>1023</v>
      </c>
      <c r="D3603" s="27" t="s">
        <v>917</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963</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1477</v>
      </c>
      <c r="B3605" s="27" t="s">
        <v>973</v>
      </c>
      <c r="C3605" s="27" t="s">
        <v>943</v>
      </c>
      <c r="D3605" s="27" t="s">
        <v>917</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1194</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1645</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2097</v>
      </c>
      <c r="B3608" s="27" t="s">
        <v>987</v>
      </c>
      <c r="C3608" s="27" t="s">
        <v>1023</v>
      </c>
      <c r="D3608" s="27" t="s">
        <v>917</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2098</v>
      </c>
      <c r="B3609" s="27" t="s">
        <v>990</v>
      </c>
      <c r="C3609" s="27" t="s">
        <v>1023</v>
      </c>
      <c r="D3609" s="27" t="s">
        <v>917</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918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960</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1367</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1112</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1035</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927</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1620</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1811</v>
      </c>
      <c r="B3617" s="27" t="s">
        <v>1683</v>
      </c>
      <c r="C3617" s="27" t="s">
        <v>974</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918</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1119</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1113</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927</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1043</v>
      </c>
      <c r="B3622" s="27" t="s">
        <v>1922</v>
      </c>
      <c r="C3622" s="27" t="s">
        <v>956</v>
      </c>
      <c r="D3622" s="27" t="s">
        <v>917</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977</v>
      </c>
      <c r="B3623" s="27" t="s">
        <v>2099</v>
      </c>
      <c r="C3623" s="27" t="s">
        <v>956</v>
      </c>
      <c r="D3623" s="27" t="s">
        <v>917</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2100</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1102</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2101</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913</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1398</v>
      </c>
      <c r="B3628" s="27" t="s">
        <v>2102</v>
      </c>
      <c r="C3628" s="27" t="s">
        <v>916</v>
      </c>
      <c r="D3628" s="27" t="s">
        <v>917</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927</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2103</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1102</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2104</v>
      </c>
      <c r="B3632" s="27" t="s">
        <v>1931</v>
      </c>
      <c r="C3632" s="27" t="s">
        <v>974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1315</v>
      </c>
      <c r="B3633" s="27" t="s">
        <v>2105</v>
      </c>
      <c r="C3633" s="27" t="s">
        <v>1069</v>
      </c>
      <c r="D3633" s="27" t="s">
        <v>917</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919</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927</v>
      </c>
      <c r="B3635" s="27" t="s">
        <v>2106</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1084</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908</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2107</v>
      </c>
      <c r="B3638" s="27" t="s">
        <v>2108</v>
      </c>
      <c r="C3638" s="27" t="s">
        <v>911</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927</v>
      </c>
      <c r="B3639" s="27" t="s">
        <v>2109</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2110</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932</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row>
    <row r="3643" spans="1:12">
      <c r="A3643" s="20" t="s">
        <v>2111</v>
      </c>
    </row>
    <row r="3644" spans="1:12">
      <c r="A3644" s="20" t="s">
        <v>1371</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1349</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2112</v>
      </c>
      <c r="B3646" s="27" t="s">
        <v>942</v>
      </c>
      <c r="C3646" s="27" t="s">
        <v>916</v>
      </c>
      <c r="D3646" s="27" t="s">
        <v>917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1121</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941</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2113</v>
      </c>
      <c r="B3649" s="27" t="s">
        <v>915</v>
      </c>
      <c r="C3649" s="27" t="s">
        <v>943</v>
      </c>
      <c r="D3649" s="27" t="s">
        <v>917</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960</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1465</v>
      </c>
      <c r="B3651" s="27" t="s">
        <v>946</v>
      </c>
      <c r="C3651" s="27" t="s">
        <v>1069</v>
      </c>
      <c r="D3651" s="27" t="s">
        <v>917</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2114</v>
      </c>
      <c r="B3652" s="27" t="s">
        <v>915</v>
      </c>
      <c r="C3652" s="27" t="s">
        <v>1012</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2115</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2116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932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row>
    <row r="3657" spans="1:12">
      <c r="A3657" s="20" t="s">
        <v>999</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2117</v>
      </c>
    </row>
    <row r="3659" spans="1:12">
      <c r="A3659" s="20" t="s">
        <v>1353</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949</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2118</v>
      </c>
      <c r="B3661" s="27" t="s">
        <v>937</v>
      </c>
      <c r="C3661" s="27" t="s">
        <v>916</v>
      </c>
      <c r="D3661" s="27" t="s">
        <v>917</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918</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1084</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1274</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963</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587</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918</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1465</v>
      </c>
      <c r="B3668" s="27" t="s">
        <v>946</v>
      </c>
      <c r="C3668" s="27" t="s">
        <v>1069</v>
      </c>
      <c r="D3668" s="27" t="s">
        <v>917</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1070</v>
      </c>
      <c r="B3669" s="27" t="s">
        <v>942</v>
      </c>
      <c r="C3669" s="27" t="s">
        <v>1012</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2119</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1194</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1043</v>
      </c>
      <c r="B3672" s="27" t="s">
        <v>915</v>
      </c>
      <c r="C3672" s="27" t="s">
        <v>956</v>
      </c>
      <c r="D3672" s="27" t="s">
        <v>917</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919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1044</v>
      </c>
      <c r="B3674" s="27" t="s">
        <v>1101</v>
      </c>
      <c r="C3674" s="27" t="s">
        <v>956</v>
      </c>
      <c r="D3674" s="27" t="s">
        <v>917</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652</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918</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140</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2120</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2121</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1102</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920</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2122</v>
      </c>
      <c r="B3682" s="27" t="s">
        <v>962</v>
      </c>
      <c r="C3682" s="27" t="s">
        <v>916</v>
      </c>
      <c r="D3682" s="27" t="s">
        <v>917</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927</v>
      </c>
      <c r="B3683" s="27" t="s">
        <v>1197</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1112</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1271</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1621</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2123</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1341</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140</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row>
    <row r="3691" spans="1:12">
      <c r="A3691" s="20" t="s">
        <v>999</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2124</v>
      </c>
    </row>
    <row r="3693" spans="1:12">
      <c r="A3693" s="20" t="s">
        <v>1838</v>
      </c>
      <c r="B3693" s="27" t="s">
        <v>942</v>
      </c>
      <c r="C3693" s="27" t="s">
        <v>956</v>
      </c>
      <c r="D3693" s="27" t="s">
        <v>917</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1823</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918</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140</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1813</v>
      </c>
      <c r="B3697" s="27" t="s">
        <v>942</v>
      </c>
      <c r="C3697" s="27" t="s">
        <v>956</v>
      </c>
      <c r="D3697" s="27" t="s">
        <v>917</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1593</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949</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1465</v>
      </c>
      <c r="B3700" s="27" t="s">
        <v>946</v>
      </c>
      <c r="C3700" s="27" t="s">
        <v>1069</v>
      </c>
      <c r="D3700" s="27" t="s">
        <v>917</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1827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2125</v>
      </c>
      <c r="B3702" s="27" t="s">
        <v>910</v>
      </c>
      <c r="C3702" s="27" t="s">
        <v>916</v>
      </c>
      <c r="D3702" s="27" t="s">
        <v>917</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932</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140</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row>
    <row r="3706" spans="1:12">
      <c r="A3706" s="20" t="s">
        <v>2126</v>
      </c>
    </row>
    <row r="3707" spans="1:12">
      <c r="A3707" s="20" t="s">
        <v>2127</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2121</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1331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2128</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1181</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1201</v>
      </c>
      <c r="B3712" s="27" t="s">
        <v>1101</v>
      </c>
      <c r="C3712" s="27" t="s">
        <v>956</v>
      </c>
      <c r="D3712" s="27" t="s">
        <v>917</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2129</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932</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row>
    <row r="3716" spans="1:12">
      <c r="A3716" s="20" t="s">
        <v>2130</v>
      </c>
    </row>
    <row r="3717" spans="1:12">
      <c r="A3717" s="20" t="s">
        <v>1106</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1035</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927</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1044</v>
      </c>
      <c r="B3720" s="27" t="s">
        <v>1101</v>
      </c>
      <c r="C3720" s="27" t="s">
        <v>956</v>
      </c>
      <c r="D3720" s="27" t="s">
        <v>917</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1351</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1494</v>
      </c>
      <c r="B3722" s="27" t="s">
        <v>1101</v>
      </c>
      <c r="C3722" s="27" t="s">
        <v>974</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918</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1119</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964</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2131</v>
      </c>
      <c r="B3726" s="27" t="s">
        <v>937</v>
      </c>
      <c r="C3726" s="27" t="s">
        <v>916</v>
      </c>
      <c r="D3726" s="27" t="s">
        <v>917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1035</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1130</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2132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918</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1285</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1114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1156</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2133</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1279</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1044</v>
      </c>
      <c r="B3736" s="27" t="s">
        <v>1090</v>
      </c>
      <c r="C3736" s="27" t="s">
        <v>956</v>
      </c>
      <c r="D3736" s="27" t="s">
        <v>917</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918</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1119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1045</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2134</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922</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892</v>
      </c>
      <c r="B3742" s="27" t="s">
        <v>962</v>
      </c>
      <c r="C3742" s="27" t="s">
        <v>974</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963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920</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1145</v>
      </c>
      <c r="B3745" s="27" t="s">
        <v>962</v>
      </c>
      <c r="C3745" s="27" t="s">
        <v>1069</v>
      </c>
      <c r="D3745" s="27" t="s">
        <v>917</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1626</v>
      </c>
      <c r="B3746" s="27" t="s">
        <v>946</v>
      </c>
      <c r="C3746" s="27" t="s">
        <v>916</v>
      </c>
      <c r="D3746" s="27" t="s">
        <v>917</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919</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963</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920</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2135</v>
      </c>
      <c r="B3750" s="27" t="s">
        <v>962</v>
      </c>
      <c r="C3750" s="27" t="s">
        <v>916</v>
      </c>
      <c r="D3750" s="27" t="s">
        <v>917</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918</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919</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1084</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1398</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964</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2080</v>
      </c>
      <c r="B3756" s="27" t="s">
        <v>1101</v>
      </c>
      <c r="C3756" s="27" t="s">
        <v>916</v>
      </c>
      <c r="D3756" s="27" t="s">
        <v>917</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932</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row>
    <row r="3759" spans="1:12">
      <c r="A3759" s="20" t="s">
        <v>2136</v>
      </c>
    </row>
    <row r="3760" spans="1:12">
      <c r="A3760" s="20" t="s">
        <v>1429</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2103</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918</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919</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1045</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2137</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932</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row>
    <row r="3768" spans="1:12">
      <c r="A3768" s="20" t="s">
        <v>999</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2138</v>
      </c>
    </row>
    <row r="3770" spans="1:12">
      <c r="A3770" s="20" t="s">
        <v>2139</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912</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913</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2140</v>
      </c>
      <c r="B3773" s="27" t="s">
        <v>915</v>
      </c>
      <c r="C3773" s="27" t="s">
        <v>916</v>
      </c>
      <c r="D3773" s="27" t="s">
        <v>917</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2141</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918</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1331</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981</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1112</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1046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1182</v>
      </c>
      <c r="B3780" s="27" t="s">
        <v>1101</v>
      </c>
      <c r="C3780" s="27" t="s">
        <v>956</v>
      </c>
      <c r="D3780" s="27" t="s">
        <v>917</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2142</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927</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1453</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1413</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932</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140</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row>
    <row r="3788" spans="1:12">
      <c r="A3788" s="20" t="s">
        <v>2143</v>
      </c>
    </row>
    <row r="3789" spans="1:12">
      <c r="A3789" s="20" t="s">
        <v>1384</v>
      </c>
      <c r="B3789" s="27" t="s">
        <v>1101</v>
      </c>
      <c r="C3789" s="27" t="s">
        <v>956</v>
      </c>
      <c r="D3789" s="27" t="s">
        <v>917</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1567</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1845</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913</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1398</v>
      </c>
      <c r="B3793" s="27" t="s">
        <v>1101</v>
      </c>
      <c r="C3793" s="27" t="s">
        <v>916</v>
      </c>
      <c r="D3793" s="27" t="s">
        <v>917</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927</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949</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1017</v>
      </c>
      <c r="B3796" s="27" t="s">
        <v>929</v>
      </c>
      <c r="C3796" s="27" t="s">
        <v>916</v>
      </c>
      <c r="D3796" s="27" t="s">
        <v>917</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1711</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2144</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2145</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944</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941</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2125</v>
      </c>
      <c r="B3802" s="27" t="s">
        <v>970</v>
      </c>
      <c r="C3802" s="27" t="s">
        <v>943</v>
      </c>
      <c r="D3802" s="27" t="s">
        <v>917</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2146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960</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964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2147</v>
      </c>
      <c r="B3806" s="27" t="s">
        <v>973</v>
      </c>
      <c r="C3806" s="27" t="s">
        <v>1023</v>
      </c>
      <c r="D3806" s="27" t="s">
        <v>917</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918</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927</v>
      </c>
      <c r="B3808" s="27" t="s">
        <v>983</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2148</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913</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2149</v>
      </c>
      <c r="B3811" s="27" t="s">
        <v>1147</v>
      </c>
      <c r="C3811" s="27" t="s">
        <v>916</v>
      </c>
      <c r="D3811" s="27" t="s">
        <v>917</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2150</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918</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1413</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1044</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1045</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2151</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1139</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944</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2152</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912</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2153</v>
      </c>
      <c r="B3822" s="27" t="s">
        <v>970</v>
      </c>
      <c r="C3822" s="27" t="s">
        <v>974</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1080</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918</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991</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941</v>
      </c>
      <c r="B3826" s="27" t="s">
        <v>962</v>
      </c>
      <c r="C3826" s="27" t="s">
        <v>938</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960</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1019</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1109</v>
      </c>
      <c r="B3829" s="27" t="s">
        <v>970</v>
      </c>
      <c r="C3829" s="27" t="s">
        <v>916</v>
      </c>
      <c r="D3829" s="27" t="s">
        <v>917</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963</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1367</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1044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1045</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2154</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960</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1096</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1035</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1913</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949</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1017</v>
      </c>
      <c r="B3840" s="27" t="s">
        <v>915</v>
      </c>
      <c r="C3840" s="27" t="s">
        <v>916</v>
      </c>
      <c r="D3840" s="27" t="s">
        <v>917</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1448</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1076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2155</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932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row>
    <row r="3846" spans="1:12">
      <c r="A3846" s="20" t="s">
        <v>2156</v>
      </c>
    </row>
    <row r="3847" spans="1:12">
      <c r="A3847" s="20" t="s">
        <v>1210</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1084</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2157</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963</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2158</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1512</v>
      </c>
      <c r="B3852" s="27" t="s">
        <v>1101</v>
      </c>
      <c r="C3852" s="27" t="s">
        <v>943</v>
      </c>
      <c r="D3852" s="27" t="s">
        <v>917</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1139</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676</v>
      </c>
      <c r="B3854" s="27" t="s">
        <v>962</v>
      </c>
      <c r="C3854" s="27" t="s">
        <v>1052</v>
      </c>
      <c r="D3854" s="27" t="s">
        <v>917</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927</v>
      </c>
      <c r="B3855" s="27" t="s">
        <v>1197</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2159</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1398</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1102</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920</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2160</v>
      </c>
      <c r="B3860" s="27" t="s">
        <v>973</v>
      </c>
      <c r="C3860" s="27" t="s">
        <v>943</v>
      </c>
      <c r="D3860" s="27" t="s">
        <v>917</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1526</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1194</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1017</v>
      </c>
      <c r="B3863" s="27" t="s">
        <v>987</v>
      </c>
      <c r="C3863" s="27" t="s">
        <v>974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932</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row>
    <row r="3866" spans="1:12">
      <c r="A3866" s="20" t="s">
        <v>2161</v>
      </c>
    </row>
    <row r="3867" spans="1:12">
      <c r="A3867" s="20" t="s">
        <v>1318</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1527</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927</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949</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1739</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1366</v>
      </c>
      <c r="B3872" s="27" t="s">
        <v>937</v>
      </c>
      <c r="C3872" s="27" t="s">
        <v>943</v>
      </c>
      <c r="D3872" s="27" t="s">
        <v>917</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960</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920</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2160</v>
      </c>
      <c r="B3875" s="27" t="s">
        <v>962</v>
      </c>
      <c r="C3875" s="27" t="s">
        <v>916</v>
      </c>
      <c r="D3875" s="27" t="s">
        <v>917</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1112</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2162</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2163</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963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1423</v>
      </c>
      <c r="B3880" s="27" t="s">
        <v>946</v>
      </c>
      <c r="C3880" s="27" t="s">
        <v>974</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2164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932</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row>
    <row r="3884" spans="1:12">
      <c r="A3884" s="20" t="s">
        <v>2165</v>
      </c>
    </row>
    <row r="3885" spans="1:12">
      <c r="A3885" s="20" t="s">
        <v>1459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1017</v>
      </c>
      <c r="B3886" s="27" t="s">
        <v>942</v>
      </c>
      <c r="C3886" s="27" t="s">
        <v>916</v>
      </c>
      <c r="D3886" s="27" t="s">
        <v>917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1035</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913</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2166</v>
      </c>
      <c r="B3889" s="27" t="s">
        <v>915</v>
      </c>
      <c r="C3889" s="27" t="s">
        <v>943</v>
      </c>
      <c r="D3889" s="27" t="s">
        <v>917</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960</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941</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2167</v>
      </c>
      <c r="B3892" s="27" t="s">
        <v>915</v>
      </c>
      <c r="C3892" s="27" t="s">
        <v>911</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2168</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918</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927</v>
      </c>
      <c r="B3895" s="27" t="s">
        <v>1073</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2169</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1035</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2170</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2171</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1448</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949</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2172</v>
      </c>
      <c r="B3902" s="27" t="s">
        <v>962</v>
      </c>
      <c r="C3902" s="27" t="s">
        <v>916</v>
      </c>
      <c r="D3902" s="27" t="s">
        <v>917</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918</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919</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960</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1506</v>
      </c>
      <c r="B3906" s="27" t="s">
        <v>962</v>
      </c>
      <c r="C3906" s="27" t="s">
        <v>974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2173</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927</v>
      </c>
      <c r="B3908" s="27" t="s">
        <v>1197</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1497</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1045</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1426</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1096</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2174</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1102</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1076</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2155</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932</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row>
    <row r="3919" spans="1:12">
      <c r="A3919" s="20" t="s">
        <v>999</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2175</v>
      </c>
    </row>
    <row r="3921" spans="1:12">
      <c r="A3921" s="20" t="s">
        <v>2176</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918</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981</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1201</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1490</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1046</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941</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2177</v>
      </c>
      <c r="B3928" s="27" t="s">
        <v>1101</v>
      </c>
      <c r="C3928" s="27" t="s">
        <v>911</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1331</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981</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1271</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941</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1466</v>
      </c>
      <c r="B3933" s="27" t="s">
        <v>1090</v>
      </c>
      <c r="C3933" s="27" t="s">
        <v>911</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2087</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918</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2178</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963</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330</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918</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140</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1092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1114</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1044</v>
      </c>
      <c r="B3943" s="27" t="s">
        <v>1101</v>
      </c>
      <c r="C3943" s="27" t="s">
        <v>956</v>
      </c>
      <c r="D3943" s="27" t="s">
        <v>917</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1351</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1413</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1341</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row>
    <row r="3948" spans="1:12">
      <c r="A3948" s="20" t="s">
        <v>999</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2179</v>
      </c>
    </row>
    <row r="3950" spans="1:12">
      <c r="A3950" s="20" t="s">
        <v>2180</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82</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1228</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932</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140</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row>
    <row r="3956" spans="1:12">
      <c r="A3956" s="20" t="s">
        <v>2181</v>
      </c>
    </row>
    <row r="3957" spans="1:12">
      <c r="A3957" s="20" t="s">
        <v>2182</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2183</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912</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1882</v>
      </c>
      <c r="B3960" s="27" t="s">
        <v>915</v>
      </c>
      <c r="C3960" s="27" t="s">
        <v>974</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960</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863</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941</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1328</v>
      </c>
      <c r="B3964" s="27" t="s">
        <v>1101</v>
      </c>
      <c r="C3964" s="27" t="s">
        <v>911</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932</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row>
    <row r="3967" spans="1:12">
      <c r="A3967" s="20" t="s">
        <v>999</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2184</v>
      </c>
    </row>
    <row r="3969" spans="1:12">
      <c r="A3969" s="20" t="s">
        <v>1092</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981</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1275</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941</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1362</v>
      </c>
      <c r="B3973" s="27" t="s">
        <v>937</v>
      </c>
      <c r="C3973" s="27" t="s">
        <v>911</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2185</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918</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919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1201</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1490</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1046</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941</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2177</v>
      </c>
      <c r="B3981" s="27" t="s">
        <v>929</v>
      </c>
      <c r="C3981" s="27" t="s">
        <v>911</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918</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676</v>
      </c>
      <c r="B3983" s="27" t="s">
        <v>929</v>
      </c>
      <c r="C3983" s="27" t="s">
        <v>1052</v>
      </c>
      <c r="D3983" s="27" t="s">
        <v>917</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927</v>
      </c>
      <c r="B3984" s="27" t="s">
        <v>1147</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1490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1035</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2186</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963</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949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1708</v>
      </c>
      <c r="B3990" s="27" t="s">
        <v>973</v>
      </c>
      <c r="C3990" s="27" t="s">
        <v>1069</v>
      </c>
      <c r="D3990" s="27" t="s">
        <v>917</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1362</v>
      </c>
      <c r="B3991" s="27" t="s">
        <v>970</v>
      </c>
      <c r="C3991" s="27" t="s">
        <v>916</v>
      </c>
      <c r="D3991" s="27" t="s">
        <v>917</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918</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919</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1112</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1201</v>
      </c>
      <c r="B3995" s="27" t="s">
        <v>1090</v>
      </c>
      <c r="C3995" s="27" t="s">
        <v>956</v>
      </c>
      <c r="D3995" s="27" t="s">
        <v>917</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1711</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1194</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330</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918</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140</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2187</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951</v>
      </c>
      <c r="B4002" s="27" t="s">
        <v>915</v>
      </c>
      <c r="C4002" s="27" t="s">
        <v>956</v>
      </c>
      <c r="D4002" s="27" t="s">
        <v>917</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1476</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627</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932</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140</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row>
    <row r="4008" spans="1:12">
      <c r="A4008" s="20" t="s">
        <v>2188</v>
      </c>
    </row>
    <row r="4009" spans="1:12">
      <c r="A4009" s="20" t="s">
        <v>2189</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912</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1588</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2019</v>
      </c>
      <c r="B4012" s="27" t="s">
        <v>915</v>
      </c>
      <c r="C4012" s="27" t="s">
        <v>971</v>
      </c>
      <c r="D4012" s="27" t="s">
        <v>917</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1471</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1001</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2190</v>
      </c>
      <c r="B4015" s="27" t="s">
        <v>942</v>
      </c>
      <c r="C4015" s="27" t="s">
        <v>943</v>
      </c>
      <c r="D4015" s="27" t="s">
        <v>917</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960</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1017</v>
      </c>
      <c r="B4017" s="27" t="s">
        <v>946</v>
      </c>
      <c r="C4017" s="27" t="s">
        <v>974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1448</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1076</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2155</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927</v>
      </c>
      <c r="B4021" s="27" t="s">
        <v>929</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1112</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1711</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2191</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918</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2192</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2193</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918</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2192</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2194</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2195</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918</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991</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1035</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941</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2196</v>
      </c>
      <c r="B4036" s="27" t="s">
        <v>970</v>
      </c>
      <c r="C4036" s="27" t="s">
        <v>911</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2197</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932</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row>
    <row r="4040" spans="1:12">
      <c r="A4040" s="20" t="s">
        <v>2198</v>
      </c>
    </row>
    <row r="4041" spans="1:12">
      <c r="A4041" s="20" t="s">
        <v>1210</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1084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1918</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941</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2199</v>
      </c>
      <c r="B4045" s="27" t="s">
        <v>910</v>
      </c>
      <c r="C4045" s="27" t="s">
        <v>911</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927</v>
      </c>
      <c r="B4046" s="27" t="s">
        <v>1073</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2042</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2200</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908</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1964</v>
      </c>
      <c r="B4050" s="27" t="s">
        <v>1090</v>
      </c>
      <c r="C4050" s="27" t="s">
        <v>943</v>
      </c>
      <c r="D4050" s="27" t="s">
        <v>917</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960</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2201</v>
      </c>
      <c r="B4052" s="27" t="s">
        <v>970</v>
      </c>
      <c r="C4052" s="27" t="s">
        <v>974</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912</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920</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2202</v>
      </c>
      <c r="B4055" s="27" t="s">
        <v>962</v>
      </c>
      <c r="C4055" s="27" t="s">
        <v>943</v>
      </c>
      <c r="D4055" s="27" t="s">
        <v>917</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2160</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1163</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2203</v>
      </c>
      <c r="B4058" s="27" t="s">
        <v>970</v>
      </c>
      <c r="C4058" s="27" t="s">
        <v>1023</v>
      </c>
      <c r="D4058" s="27" t="s">
        <v>917</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2204</v>
      </c>
      <c r="B4059" s="27" t="s">
        <v>973</v>
      </c>
      <c r="C4059" s="27" t="s">
        <v>1023</v>
      </c>
      <c r="D4059" s="27" t="s">
        <v>917</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918</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912</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1367</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2205</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2206</v>
      </c>
      <c r="B4064" s="27" t="s">
        <v>1302</v>
      </c>
      <c r="C4064" s="27" t="s">
        <v>974</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2207</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1194</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1556</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1319</v>
      </c>
      <c r="B4068" s="27" t="s">
        <v>990</v>
      </c>
      <c r="C4068" s="27" t="s">
        <v>943</v>
      </c>
      <c r="D4068" s="27" t="s">
        <v>917</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960</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2208</v>
      </c>
      <c r="B4070" s="27" t="s">
        <v>1060</v>
      </c>
      <c r="C4070" s="27" t="s">
        <v>974</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919</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2209</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1539</v>
      </c>
      <c r="B4073" s="27" t="s">
        <v>1147</v>
      </c>
      <c r="C4073" s="27" t="s">
        <v>956</v>
      </c>
      <c r="D4073" s="27" t="s">
        <v>917</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941</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2210</v>
      </c>
      <c r="B4075" s="27" t="s">
        <v>1147</v>
      </c>
      <c r="C4075" s="27" t="s">
        <v>943</v>
      </c>
      <c r="D4075" s="27" t="s">
        <v>917</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960</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1017</v>
      </c>
      <c r="B4077" s="27" t="s">
        <v>990</v>
      </c>
      <c r="C4077" s="27" t="s">
        <v>974</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918</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2211</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2212</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966</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908</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2056</v>
      </c>
      <c r="B4083" s="27" t="s">
        <v>946</v>
      </c>
      <c r="C4083" s="27" t="s">
        <v>943</v>
      </c>
      <c r="D4083" s="27" t="s">
        <v>917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960</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2213</v>
      </c>
      <c r="B4085" s="27" t="s">
        <v>962</v>
      </c>
      <c r="C4085" s="27" t="s">
        <v>974</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960</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1183</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1265</v>
      </c>
      <c r="B4088" s="27" t="s">
        <v>962</v>
      </c>
      <c r="C4088" s="27" t="s">
        <v>1095</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932</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row>
    <row r="4091" spans="1:12">
      <c r="A4091" s="20" t="s">
        <v>2214</v>
      </c>
    </row>
    <row r="4092" spans="1:12">
      <c r="A4092" s="20" t="s">
        <v>1173</v>
      </c>
      <c r="B4092" s="27" t="s">
        <v>915</v>
      </c>
      <c r="C4092" s="27" t="s">
        <v>938</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960</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1539</v>
      </c>
      <c r="B4094" s="27" t="s">
        <v>946</v>
      </c>
      <c r="C4094" s="27" t="s">
        <v>956</v>
      </c>
      <c r="D4094" s="27" t="s">
        <v>917</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918</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2215</v>
      </c>
      <c r="B4096" s="27" t="s">
        <v>942</v>
      </c>
      <c r="C4096" s="27" t="s">
        <v>1023</v>
      </c>
      <c r="D4096" s="27" t="s">
        <v>917</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918</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1222</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919</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2216</v>
      </c>
      <c r="B4100" s="27" t="s">
        <v>937</v>
      </c>
      <c r="C4100" s="27" t="s">
        <v>1052</v>
      </c>
      <c r="D4100" s="27" t="s">
        <v>917</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1345</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1284</v>
      </c>
      <c r="B4102" s="27" t="s">
        <v>962</v>
      </c>
      <c r="C4102" s="27" t="s">
        <v>974</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652</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1088</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2217</v>
      </c>
      <c r="B4105" s="27" t="s">
        <v>1101</v>
      </c>
      <c r="C4105" s="27" t="s">
        <v>971</v>
      </c>
      <c r="D4105" s="27" t="s">
        <v>917</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932</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row>
    <row r="4108" spans="1:12">
      <c r="A4108" s="20" t="s">
        <v>2218</v>
      </c>
    </row>
    <row r="4109" spans="1:12">
      <c r="A4109" s="20" t="s">
        <v>1910</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964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1349</v>
      </c>
      <c r="B4111" s="27" t="s">
        <v>915</v>
      </c>
      <c r="C4111" s="27" t="s">
        <v>938</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918</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1121</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941</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1914</v>
      </c>
      <c r="B4115" s="27" t="s">
        <v>915</v>
      </c>
      <c r="C4115" s="27" t="s">
        <v>943</v>
      </c>
      <c r="D4115" s="27" t="s">
        <v>917</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966</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2219</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2220</v>
      </c>
      <c r="B4118" s="27" t="s">
        <v>915</v>
      </c>
      <c r="C4118" s="27" t="s">
        <v>1095</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932</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row>
    <row r="4121" spans="1:12">
      <c r="A4121" s="20" t="s">
        <v>999</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2221</v>
      </c>
    </row>
    <row r="4123" spans="1:12">
      <c r="A4123" s="20" t="s">
        <v>2222</v>
      </c>
      <c r="B4123" s="27" t="s">
        <v>942</v>
      </c>
      <c r="C4123" s="27" t="s">
        <v>1023</v>
      </c>
      <c r="D4123" s="27" t="s">
        <v>917</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918</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140</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2223</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908</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2107</v>
      </c>
      <c r="B4128" s="27" t="s">
        <v>910</v>
      </c>
      <c r="C4128" s="27" t="s">
        <v>911</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1119</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1084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1157</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2224</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977</v>
      </c>
      <c r="B4133" s="27" t="s">
        <v>1101</v>
      </c>
      <c r="C4133" s="27" t="s">
        <v>956</v>
      </c>
      <c r="D4133" s="27" t="s">
        <v>917</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1114</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1112</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1299</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963</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176</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960</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1134</v>
      </c>
      <c r="B4140" s="27" t="s">
        <v>970</v>
      </c>
      <c r="C4140" s="27" t="s">
        <v>974</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932</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row>
    <row r="4143" spans="1:12">
      <c r="A4143" s="20" t="s">
        <v>2225</v>
      </c>
    </row>
    <row r="4144" spans="1:12">
      <c r="A4144" s="20" t="s">
        <v>1106</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1084</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1219</v>
      </c>
      <c r="B4146" s="27" t="s">
        <v>910</v>
      </c>
      <c r="C4146" s="27" t="s">
        <v>938</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1194</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367</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963</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920</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1145</v>
      </c>
      <c r="B4151" s="27" t="s">
        <v>962</v>
      </c>
      <c r="C4151" s="27" t="s">
        <v>1069</v>
      </c>
      <c r="D4151" s="27" t="s">
        <v>917</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2220</v>
      </c>
      <c r="B4152" s="27" t="s">
        <v>946</v>
      </c>
      <c r="C4152" s="27" t="s">
        <v>916</v>
      </c>
      <c r="D4152" s="27" t="s">
        <v>917</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932</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row>
    <row r="4155" spans="1:12">
      <c r="A4155" s="20" t="s">
        <v>999</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2226</v>
      </c>
    </row>
    <row r="4157" spans="1:12">
      <c r="A4157" s="20" t="s">
        <v>1862</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913</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2227</v>
      </c>
      <c r="B4159" s="27" t="s">
        <v>915</v>
      </c>
      <c r="C4159" s="27" t="s">
        <v>916</v>
      </c>
      <c r="D4159" s="27" t="s">
        <v>917</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918</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1112</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2228</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964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1144</v>
      </c>
      <c r="B4164" s="27" t="s">
        <v>910</v>
      </c>
      <c r="C4164" s="27" t="s">
        <v>916</v>
      </c>
      <c r="D4164" s="27" t="s">
        <v>917</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927</v>
      </c>
      <c r="B4165" s="27" t="s">
        <v>1073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2229</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918</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954</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1044</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2230</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1139</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913</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1290</v>
      </c>
      <c r="B4173" s="27" t="s">
        <v>946</v>
      </c>
      <c r="C4173" s="27" t="s">
        <v>916</v>
      </c>
      <c r="D4173" s="27" t="s">
        <v>917</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918</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1044</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2231</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2232</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2233</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949</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1882</v>
      </c>
      <c r="B4180" s="27" t="s">
        <v>946</v>
      </c>
      <c r="C4180" s="27" t="s">
        <v>916</v>
      </c>
      <c r="D4180" s="27" t="s">
        <v>917</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919</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1019</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1094</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918</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1144</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912</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1367</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2234</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963</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1134</v>
      </c>
      <c r="B4190" s="27" t="s">
        <v>973</v>
      </c>
      <c r="C4190" s="27" t="s">
        <v>974</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918</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2235</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1130</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912</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2236</v>
      </c>
      <c r="B4195" s="27" t="s">
        <v>962</v>
      </c>
      <c r="C4195" s="27" t="s">
        <v>974</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140</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932</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row>
    <row r="4199" spans="1:12">
      <c r="A4199" s="20" t="s">
        <v>999</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2237</v>
      </c>
    </row>
    <row r="4201" spans="1:12">
      <c r="A4201" s="20" t="s">
        <v>2222</v>
      </c>
      <c r="B4201" s="27" t="s">
        <v>915</v>
      </c>
      <c r="C4201" s="27" t="s">
        <v>1023</v>
      </c>
      <c r="D4201" s="27" t="s">
        <v>917</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918</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140</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1318</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1948</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1456</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2238</v>
      </c>
      <c r="B4207" s="27" t="s">
        <v>1101</v>
      </c>
      <c r="C4207" s="27" t="s">
        <v>1023</v>
      </c>
      <c r="D4207" s="27" t="s">
        <v>917</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919</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2239</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1128</v>
      </c>
      <c r="B4210" s="27" t="s">
        <v>962</v>
      </c>
      <c r="C4210" s="27" t="s">
        <v>1012</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2240</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421</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1102</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2241</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960</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1096</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932</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row>
    <row r="4219" spans="1:12">
      <c r="A4219" s="20" t="s">
        <v>2242</v>
      </c>
    </row>
    <row r="4220" spans="1:12">
      <c r="A4220" s="20" t="s">
        <v>2094</v>
      </c>
      <c r="B4220" s="27" t="s">
        <v>946</v>
      </c>
      <c r="C4220" s="27" t="s">
        <v>1069</v>
      </c>
      <c r="D4220" s="27" t="s">
        <v>917</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1815</v>
      </c>
      <c r="B4221" s="27" t="s">
        <v>942</v>
      </c>
      <c r="C4221" s="27" t="s">
        <v>1012</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1044</v>
      </c>
      <c r="B4222" s="27" t="s">
        <v>910</v>
      </c>
      <c r="C4222" s="27" t="s">
        <v>956</v>
      </c>
      <c r="D4222" s="27" t="s">
        <v>917</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1567</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1227</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927</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1045</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2243</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918</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919</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927</v>
      </c>
      <c r="B4230" s="27" t="s">
        <v>1073</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1045</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2244</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932</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row>
    <row r="4235" spans="1:12">
      <c r="A4235" s="20" t="s">
        <v>999</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2245</v>
      </c>
    </row>
    <row r="4237" spans="1:12">
      <c r="A4237" s="20" t="s">
        <v>2246</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2247</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659</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1379</v>
      </c>
      <c r="B4240" s="27" t="s">
        <v>910</v>
      </c>
      <c r="C4240" s="27" t="s">
        <v>974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963</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1203</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2248</v>
      </c>
      <c r="B4243" s="27" t="s">
        <v>915</v>
      </c>
      <c r="C4243" s="27" t="s">
        <v>971</v>
      </c>
      <c r="D4243" s="27" t="s">
        <v>917</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932</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140</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row>
    <row r="4247" spans="1:12">
      <c r="A4247" s="20" t="s">
        <v>999</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2249</v>
      </c>
    </row>
    <row r="4249" spans="1:12">
      <c r="A4249" s="20" t="s">
        <v>2250</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2251</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912</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913</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2056</v>
      </c>
      <c r="B4253" s="27" t="s">
        <v>946</v>
      </c>
      <c r="C4253" s="27" t="s">
        <v>916</v>
      </c>
      <c r="D4253" s="27" t="s">
        <v>917</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2252</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918</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919</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935</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949</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2253</v>
      </c>
      <c r="B4259" s="27" t="s">
        <v>1073</v>
      </c>
      <c r="C4259" s="27" t="s">
        <v>943</v>
      </c>
      <c r="D4259" s="27" t="s">
        <v>917</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1183</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1265</v>
      </c>
      <c r="B4261" s="27" t="s">
        <v>970</v>
      </c>
      <c r="C4261" s="27" t="s">
        <v>1095</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1096</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1097</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1593</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2254</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908</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2107</v>
      </c>
      <c r="B4267" s="27" t="s">
        <v>1090</v>
      </c>
      <c r="C4267" s="27" t="s">
        <v>943</v>
      </c>
      <c r="D4267" s="27" t="s">
        <v>917</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1194</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2255</v>
      </c>
      <c r="B4269" s="27" t="s">
        <v>970</v>
      </c>
      <c r="C4269" s="27" t="s">
        <v>974</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1102</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949</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2256</v>
      </c>
      <c r="B4272" s="27" t="s">
        <v>962</v>
      </c>
      <c r="C4272" s="27" t="s">
        <v>916</v>
      </c>
      <c r="D4272" s="27" t="s">
        <v>917</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2257</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2258</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918</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1593</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2259</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913</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1815</v>
      </c>
      <c r="B4279" s="27" t="s">
        <v>910</v>
      </c>
      <c r="C4279" s="27" t="s">
        <v>916</v>
      </c>
      <c r="D4279" s="27" t="s">
        <v>917</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927</v>
      </c>
      <c r="B4280" s="27" t="s">
        <v>1073</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949</v>
      </c>
      <c r="B4281" s="27" t="s">
        <v>1090</v>
      </c>
      <c r="C4281" s="27" t="s">
        <v>956</v>
      </c>
      <c r="D4281" s="27" t="s">
        <v>917</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2260</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919</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1044</v>
      </c>
      <c r="B4284" s="27" t="s">
        <v>1110</v>
      </c>
      <c r="C4284" s="27" t="s">
        <v>956</v>
      </c>
      <c r="D4284" s="27" t="s">
        <v>917</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652</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918</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140</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2261</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1145</v>
      </c>
      <c r="B4289" s="27" t="s">
        <v>962</v>
      </c>
      <c r="C4289" s="27" t="s">
        <v>1069</v>
      </c>
      <c r="D4289" s="27" t="s">
        <v>917</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2220</v>
      </c>
      <c r="B4290" s="27" t="s">
        <v>937</v>
      </c>
      <c r="C4290" s="27" t="s">
        <v>916</v>
      </c>
      <c r="D4290" s="27" t="s">
        <v>917</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1045</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1426</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1096</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2262</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2128</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932</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140</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row>
    <row r="4299" spans="1:12">
      <c r="A4299" s="20" t="s">
        <v>999</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2263</v>
      </c>
    </row>
    <row r="4301" spans="1:12">
      <c r="A4301" s="20" t="s">
        <v>2222</v>
      </c>
      <c r="B4301" s="27" t="s">
        <v>942</v>
      </c>
      <c r="C4301" s="27" t="s">
        <v>1023</v>
      </c>
      <c r="D4301" s="27" t="s">
        <v>917</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918</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140</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1459</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1465</v>
      </c>
      <c r="B4305" s="27" t="s">
        <v>946</v>
      </c>
      <c r="C4305" s="27" t="s">
        <v>1069</v>
      </c>
      <c r="D4305" s="27" t="s">
        <v>917</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2264</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1134</v>
      </c>
      <c r="B4307" s="27" t="s">
        <v>942</v>
      </c>
      <c r="C4307" s="27" t="s">
        <v>916</v>
      </c>
      <c r="D4307" s="27" t="s">
        <v>917</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1567</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941</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2265</v>
      </c>
      <c r="B4310" s="27" t="s">
        <v>910</v>
      </c>
      <c r="C4310" s="27" t="s">
        <v>943</v>
      </c>
      <c r="D4310" s="27" t="s">
        <v>917</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1102</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920</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2266</v>
      </c>
      <c r="B4313" s="27" t="s">
        <v>946</v>
      </c>
      <c r="C4313" s="27" t="s">
        <v>916</v>
      </c>
      <c r="D4313" s="27" t="s">
        <v>917</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919</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941</v>
      </c>
      <c r="B4315" s="27" t="s">
        <v>962</v>
      </c>
      <c r="C4315" s="27" t="s">
        <v>938</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1102</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1019</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2267</v>
      </c>
      <c r="B4318" s="27" t="s">
        <v>970</v>
      </c>
      <c r="C4318" s="27" t="s">
        <v>916</v>
      </c>
      <c r="D4318" s="27" t="s">
        <v>917</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918</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1119</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960</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2268</v>
      </c>
      <c r="B4322" s="27" t="s">
        <v>970</v>
      </c>
      <c r="C4322" s="27" t="s">
        <v>974</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2162</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936</v>
      </c>
      <c r="B4324" s="27" t="s">
        <v>929</v>
      </c>
      <c r="C4324" s="27" t="s">
        <v>938</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912</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913</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1315</v>
      </c>
      <c r="B4327" s="27" t="s">
        <v>973</v>
      </c>
      <c r="C4327" s="27" t="s">
        <v>1069</v>
      </c>
      <c r="D4327" s="27" t="s">
        <v>917</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1290</v>
      </c>
      <c r="B4328" s="27" t="s">
        <v>970</v>
      </c>
      <c r="C4328" s="27" t="s">
        <v>916</v>
      </c>
      <c r="D4328" s="27" t="s">
        <v>917</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918</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1716</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920</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2269</v>
      </c>
      <c r="B4332" s="27" t="s">
        <v>1110</v>
      </c>
      <c r="C4332" s="27" t="s">
        <v>916</v>
      </c>
      <c r="D4332" s="27" t="s">
        <v>917</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919</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1104</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913</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1875</v>
      </c>
      <c r="B4336" s="27" t="s">
        <v>973</v>
      </c>
      <c r="C4336" s="27" t="s">
        <v>943</v>
      </c>
      <c r="D4336" s="27" t="s">
        <v>917</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936</v>
      </c>
      <c r="B4337" s="27" t="s">
        <v>987</v>
      </c>
      <c r="C4337" s="27" t="s">
        <v>938</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2270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932</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row>
    <row r="4341" spans="1:12">
      <c r="A4341" s="20" t="s">
        <v>2271</v>
      </c>
    </row>
    <row r="4342" spans="1:12">
      <c r="A4342" s="20" t="s">
        <v>2272</v>
      </c>
      <c r="B4342" s="27" t="s">
        <v>942</v>
      </c>
      <c r="C4342" s="27" t="s">
        <v>938</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960</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1539</v>
      </c>
      <c r="B4344" s="27" t="s">
        <v>946</v>
      </c>
      <c r="C4344" s="27" t="s">
        <v>956</v>
      </c>
      <c r="D4344" s="27" t="s">
        <v>917</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1703</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345</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2273</v>
      </c>
      <c r="B4347" s="27" t="s">
        <v>937</v>
      </c>
      <c r="C4347" s="27" t="s">
        <v>974</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918</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908</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1349</v>
      </c>
      <c r="B4350" s="27" t="s">
        <v>929</v>
      </c>
      <c r="C4350" s="27" t="s">
        <v>938</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1703</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60</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913</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2274</v>
      </c>
      <c r="B4354" s="27" t="s">
        <v>1110</v>
      </c>
      <c r="C4354" s="27" t="s">
        <v>916</v>
      </c>
      <c r="D4354" s="27" t="s">
        <v>917</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918</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919</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941</v>
      </c>
      <c r="B4357" s="27" t="s">
        <v>962</v>
      </c>
      <c r="C4357" s="27" t="s">
        <v>938</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960</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1019</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2267</v>
      </c>
      <c r="B4360" s="27" t="s">
        <v>970</v>
      </c>
      <c r="C4360" s="27" t="s">
        <v>916</v>
      </c>
      <c r="D4360" s="27" t="s">
        <v>917</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2275</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927</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2276</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2277</v>
      </c>
      <c r="B4364" s="27" t="s">
        <v>962</v>
      </c>
      <c r="C4364" s="27" t="s">
        <v>974</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932</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row>
    <row r="4367" spans="1:12">
      <c r="A4367" s="20" t="s">
        <v>2278</v>
      </c>
    </row>
    <row r="4368" spans="1:12">
      <c r="A4368" s="20" t="s">
        <v>1106</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2279</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1096</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944</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1111</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918</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919</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1112</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2280</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1096</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932</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row>
    <row r="4380" spans="1:12">
      <c r="A4380" s="20" t="s">
        <v>2281</v>
      </c>
    </row>
    <row r="4381" spans="1:12">
      <c r="A4381" s="20" t="s">
        <v>2282</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676</v>
      </c>
      <c r="B4382" s="27" t="s">
        <v>915</v>
      </c>
      <c r="C4382" s="27" t="s">
        <v>1052</v>
      </c>
      <c r="D4382" s="27" t="s">
        <v>917</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960</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1367</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1084</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1811</v>
      </c>
      <c r="B4386" s="27" t="s">
        <v>1073</v>
      </c>
      <c r="C4386" s="27" t="s">
        <v>974</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2128</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1045</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920</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1145</v>
      </c>
      <c r="B4390" s="27" t="s">
        <v>962</v>
      </c>
      <c r="C4390" s="27" t="s">
        <v>1069</v>
      </c>
      <c r="D4390" s="27" t="s">
        <v>917</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2220</v>
      </c>
      <c r="B4391" s="27" t="s">
        <v>1101</v>
      </c>
      <c r="C4391" s="27" t="s">
        <v>916</v>
      </c>
      <c r="D4391" s="27" t="s">
        <v>917</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932</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row>
    <row r="4394" spans="1:12">
      <c r="A4394" s="20" t="s">
        <v>2283</v>
      </c>
    </row>
    <row r="4395" spans="1:12">
      <c r="A4395" s="20" t="s">
        <v>1514</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1109</v>
      </c>
      <c r="B4396" s="27" t="s">
        <v>942</v>
      </c>
      <c r="C4396" s="27" t="s">
        <v>916</v>
      </c>
      <c r="D4396" s="27" t="s">
        <v>917</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2284</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960</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2285</v>
      </c>
      <c r="B4399" s="27" t="s">
        <v>915</v>
      </c>
      <c r="C4399" s="27" t="s">
        <v>974</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918</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944</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1044</v>
      </c>
      <c r="B4402" s="27" t="s">
        <v>915</v>
      </c>
      <c r="C4402" s="27" t="s">
        <v>956</v>
      </c>
      <c r="D4402" s="27" t="s">
        <v>917</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2286</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918</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944</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1044</v>
      </c>
      <c r="B4406" s="27" t="s">
        <v>1090</v>
      </c>
      <c r="C4406" s="27" t="s">
        <v>956</v>
      </c>
      <c r="D4406" s="27" t="s">
        <v>917</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1351</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918</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944</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1044</v>
      </c>
      <c r="B4410" s="27" t="s">
        <v>1110</v>
      </c>
      <c r="C4410" s="27" t="s">
        <v>956</v>
      </c>
      <c r="D4410" s="27" t="s">
        <v>917</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2287</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932</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row>
    <row r="4414" spans="1:12">
      <c r="A4414" s="20" t="s">
        <v>2288</v>
      </c>
    </row>
    <row r="4415" spans="1:12">
      <c r="A4415" s="20" t="s">
        <v>2289</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176</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1270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164</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1096</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1269</v>
      </c>
      <c r="B4420" s="27" t="s">
        <v>1101</v>
      </c>
      <c r="C4420" s="27" t="s">
        <v>974</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918</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919</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1112</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1732</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927</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2290</v>
      </c>
      <c r="B4426" s="27" t="s">
        <v>970</v>
      </c>
      <c r="C4426" s="27" t="s">
        <v>1052</v>
      </c>
      <c r="D4426" s="27" t="s">
        <v>917</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2015</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2291</v>
      </c>
      <c r="B4428" s="27" t="s">
        <v>1073</v>
      </c>
      <c r="C4428" s="27" t="s">
        <v>971</v>
      </c>
      <c r="D4428" s="27" t="s">
        <v>917</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2292</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918</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981</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1112</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930</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1056</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1102</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949</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2293</v>
      </c>
      <c r="B4437" s="27" t="s">
        <v>937</v>
      </c>
      <c r="C4437" s="27" t="s">
        <v>1023</v>
      </c>
      <c r="D4437" s="27" t="s">
        <v>917</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2294</v>
      </c>
      <c r="B4438" s="27" t="s">
        <v>962</v>
      </c>
      <c r="C4438" s="27" t="s">
        <v>1023</v>
      </c>
      <c r="D4438" s="27" t="s">
        <v>917</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1244</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975</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963</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1134</v>
      </c>
      <c r="B4442" s="27" t="s">
        <v>915</v>
      </c>
      <c r="C4442" s="27" t="s">
        <v>943</v>
      </c>
      <c r="D4442" s="27" t="s">
        <v>917</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966</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1019</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2295</v>
      </c>
      <c r="B4445" s="27" t="s">
        <v>946</v>
      </c>
      <c r="C4445" s="27" t="s">
        <v>943</v>
      </c>
      <c r="D4445" s="27" t="s">
        <v>917</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2233</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949</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1882</v>
      </c>
      <c r="B4448" s="27" t="s">
        <v>962</v>
      </c>
      <c r="C4448" s="27" t="s">
        <v>916</v>
      </c>
      <c r="D4448" s="27" t="s">
        <v>917</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918</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2296</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960</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82</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975</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2297</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932</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row>
    <row r="4457" spans="1:12">
      <c r="A4457" s="20" t="s">
        <v>999</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2298</v>
      </c>
    </row>
    <row r="4459" spans="1:12">
      <c r="A4459" s="20" t="s">
        <v>1318</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1756</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963</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913</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2299</v>
      </c>
      <c r="B4463" s="27" t="s">
        <v>915</v>
      </c>
      <c r="C4463" s="27" t="s">
        <v>1023</v>
      </c>
      <c r="D4463" s="27" t="s">
        <v>917</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960</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2300</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1044</v>
      </c>
      <c r="B4466" s="27" t="s">
        <v>1101</v>
      </c>
      <c r="C4466" s="27" t="s">
        <v>956</v>
      </c>
      <c r="D4466" s="27" t="s">
        <v>917</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908</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2301</v>
      </c>
      <c r="B4468" s="27" t="s">
        <v>1101</v>
      </c>
      <c r="C4468" s="27" t="s">
        <v>911</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918</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991</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1567</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2302</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1019</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1450</v>
      </c>
      <c r="B4474" s="27" t="s">
        <v>962</v>
      </c>
      <c r="C4474" s="27" t="s">
        <v>1069</v>
      </c>
      <c r="D4474" s="27" t="s">
        <v>917</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2303</v>
      </c>
      <c r="B4475" s="27" t="s">
        <v>1101</v>
      </c>
      <c r="C4475" s="27" t="s">
        <v>916</v>
      </c>
      <c r="D4475" s="27" t="s">
        <v>917</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932</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140</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row>
    <row r="4479" spans="1:12">
      <c r="A4479" s="20" t="s">
        <v>2304</v>
      </c>
    </row>
    <row r="4480" spans="1:12">
      <c r="A4480" s="20" t="s">
        <v>2305</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1089</v>
      </c>
      <c r="B4481" s="27" t="s">
        <v>942</v>
      </c>
      <c r="C4481" s="27" t="s">
        <v>971</v>
      </c>
      <c r="D4481" s="27" t="s">
        <v>917</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1044</v>
      </c>
      <c r="B4482" s="27" t="s">
        <v>910</v>
      </c>
      <c r="C4482" s="27" t="s">
        <v>956</v>
      </c>
      <c r="D4482" s="27" t="s">
        <v>917</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1409</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1575</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691</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918</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919</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1084</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2306</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960</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1900</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1019</v>
      </c>
      <c r="B4492" s="27" t="s">
        <v>1090</v>
      </c>
      <c r="C4492" s="27" t="s">
        <v>956</v>
      </c>
      <c r="D4492" s="27" t="s">
        <v>917</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1112</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988</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2307</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908</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2308</v>
      </c>
      <c r="B4497" s="27" t="s">
        <v>1110</v>
      </c>
      <c r="C4497" s="27" t="s">
        <v>911</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1139</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1367</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1372</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2309</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918</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1119</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1331</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912</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908</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2310</v>
      </c>
      <c r="B4507" s="27" t="s">
        <v>1261</v>
      </c>
      <c r="C4507" s="27" t="s">
        <v>911</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918</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1413</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913</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1645</v>
      </c>
      <c r="B4511" s="27" t="s">
        <v>1683</v>
      </c>
      <c r="C4511" s="27" t="s">
        <v>1023</v>
      </c>
      <c r="D4511" s="27" t="s">
        <v>917</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2311</v>
      </c>
      <c r="B4512" s="27" t="s">
        <v>1266</v>
      </c>
      <c r="C4512" s="27" t="s">
        <v>1023</v>
      </c>
      <c r="D4512" s="27" t="s">
        <v>917</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2312</v>
      </c>
      <c r="B4513" s="27" t="s">
        <v>1266</v>
      </c>
      <c r="C4513" s="27" t="s">
        <v>1023</v>
      </c>
      <c r="D4513" s="27" t="s">
        <v>917</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2313</v>
      </c>
      <c r="B4514" s="27" t="s">
        <v>1266</v>
      </c>
      <c r="C4514" s="27" t="s">
        <v>1023</v>
      </c>
      <c r="D4514" s="27" t="s">
        <v>917</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2314</v>
      </c>
      <c r="B4515" s="27" t="s">
        <v>1266</v>
      </c>
      <c r="C4515" s="27" t="s">
        <v>1023</v>
      </c>
      <c r="D4515" s="27" t="s">
        <v>917</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1044</v>
      </c>
      <c r="B4516" s="27" t="s">
        <v>1208</v>
      </c>
      <c r="C4516" s="27" t="s">
        <v>956</v>
      </c>
      <c r="D4516" s="27" t="s">
        <v>917</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1567</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2315</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960</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572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1865</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949</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1017</v>
      </c>
      <c r="B4523" s="27" t="s">
        <v>1266</v>
      </c>
      <c r="C4523" s="27" t="s">
        <v>943</v>
      </c>
      <c r="D4523" s="27" t="s">
        <v>917</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1448</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1076</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2155</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932</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row>
    <row r="4529" spans="1:12">
      <c r="A4529" s="20" t="s">
        <v>999</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2316</v>
      </c>
    </row>
    <row r="4531" spans="1:12">
      <c r="A4531" s="20" t="s">
        <v>1318</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2317</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949</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1465</v>
      </c>
      <c r="B4534" s="27" t="s">
        <v>946</v>
      </c>
      <c r="C4534" s="27" t="s">
        <v>1069</v>
      </c>
      <c r="D4534" s="27" t="s">
        <v>917</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2318</v>
      </c>
      <c r="B4535" s="27" t="s">
        <v>910</v>
      </c>
      <c r="C4535" s="27" t="s">
        <v>916</v>
      </c>
      <c r="D4535" s="27" t="s">
        <v>917</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918</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919</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949</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1465</v>
      </c>
      <c r="B4539" s="27" t="s">
        <v>962</v>
      </c>
      <c r="C4539" s="27" t="s">
        <v>1069</v>
      </c>
      <c r="D4539" s="27" t="s">
        <v>917</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2319</v>
      </c>
      <c r="B4540" s="27" t="s">
        <v>937</v>
      </c>
      <c r="C4540" s="27" t="s">
        <v>916</v>
      </c>
      <c r="D4540" s="27" t="s">
        <v>917</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1044</v>
      </c>
      <c r="B4541" s="27" t="s">
        <v>1101</v>
      </c>
      <c r="C4541" s="27" t="s">
        <v>956</v>
      </c>
      <c r="D4541" s="27" t="s">
        <v>917</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2320</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919</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1044</v>
      </c>
      <c r="B4544" s="27" t="s">
        <v>1101</v>
      </c>
      <c r="C4544" s="27" t="s">
        <v>956</v>
      </c>
      <c r="D4544" s="27" t="s">
        <v>917</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652</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918</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140</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1106</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2321</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2322</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977</v>
      </c>
      <c r="B4551" s="27" t="s">
        <v>1101</v>
      </c>
      <c r="C4551" s="27" t="s">
        <v>956</v>
      </c>
      <c r="D4551" s="27" t="s">
        <v>917</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140</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1838</v>
      </c>
      <c r="B4553" s="27" t="s">
        <v>1073</v>
      </c>
      <c r="C4553" s="27" t="s">
        <v>956</v>
      </c>
      <c r="D4553" s="27" t="s">
        <v>917</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1985</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140</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2323</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2324</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1341</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140</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1813</v>
      </c>
      <c r="B4560" s="27" t="s">
        <v>929</v>
      </c>
      <c r="C4560" s="27" t="s">
        <v>956</v>
      </c>
      <c r="D4560" s="27" t="s">
        <v>917</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1988</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918</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140</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1268</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1130</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2325</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932</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row>
    <row r="4569" spans="1:12">
      <c r="A4569" s="20" t="s">
        <v>2326</v>
      </c>
    </row>
    <row r="4570" spans="1:12">
      <c r="A4570" s="20" t="s">
        <v>2305</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1187</v>
      </c>
      <c r="B4571" s="27" t="s">
        <v>942</v>
      </c>
      <c r="C4571" s="27" t="s">
        <v>971</v>
      </c>
      <c r="D4571" s="27" t="s">
        <v>917</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2327</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963</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920</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2328</v>
      </c>
      <c r="B4575" s="27" t="s">
        <v>915</v>
      </c>
      <c r="C4575" s="27" t="s">
        <v>943</v>
      </c>
      <c r="D4575" s="27" t="s">
        <v>917</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960</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949</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2329</v>
      </c>
      <c r="B4578" s="27" t="s">
        <v>946</v>
      </c>
      <c r="C4578" s="27" t="s">
        <v>916</v>
      </c>
      <c r="D4578" s="27" t="s">
        <v>917</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918</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954</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951</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2330</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963</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1312</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1229</v>
      </c>
      <c r="B4585" s="27" t="s">
        <v>946</v>
      </c>
      <c r="C4585" s="27" t="s">
        <v>943</v>
      </c>
      <c r="D4585" s="27" t="s">
        <v>917</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960</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1328</v>
      </c>
      <c r="B4587" s="27" t="s">
        <v>962</v>
      </c>
      <c r="C4587" s="27" t="s">
        <v>974</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919</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1045</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2331</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2332</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963</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2333</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2334</v>
      </c>
      <c r="B4594" s="27" t="s">
        <v>1090</v>
      </c>
      <c r="C4594" s="27" t="s">
        <v>974</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1048</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2335</v>
      </c>
      <c r="B4596" s="27" t="s">
        <v>973</v>
      </c>
      <c r="C4596" s="27" t="s">
        <v>1023</v>
      </c>
      <c r="D4596" s="27" t="s">
        <v>917</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2336</v>
      </c>
      <c r="B4597" s="27" t="s">
        <v>987</v>
      </c>
      <c r="C4597" s="27" t="s">
        <v>1023</v>
      </c>
      <c r="D4597" s="27" t="s">
        <v>917</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1341</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row>
    <row r="4600" spans="1:12">
      <c r="A4600" s="20" t="s">
        <v>999</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2337</v>
      </c>
    </row>
    <row r="4602" spans="1:12">
      <c r="A4602" s="20" t="s">
        <v>1268</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1130</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2325</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932</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140</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row>
    <row r="4608" spans="1:12">
      <c r="A4608" s="20" t="s">
        <v>999</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2338</v>
      </c>
    </row>
    <row r="4610" spans="1:12">
      <c r="A4610" s="20" t="s">
        <v>1813</v>
      </c>
      <c r="B4610" s="27" t="s">
        <v>937</v>
      </c>
      <c r="C4610" s="27" t="s">
        <v>956</v>
      </c>
      <c r="D4610" s="27" t="s">
        <v>917</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652</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918</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140</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1106</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1084</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1621</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2339</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1655</v>
      </c>
      <c r="B4618" s="27" t="s">
        <v>910</v>
      </c>
      <c r="C4618" s="27" t="s">
        <v>938</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960</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2340</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932</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140</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row>
    <row r="4624" spans="1:12">
      <c r="A4624" s="20" t="s">
        <v>999</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2341</v>
      </c>
    </row>
    <row r="4626" spans="1:12">
      <c r="A4626" s="20" t="s">
        <v>1838</v>
      </c>
      <c r="B4626" s="27" t="s">
        <v>942</v>
      </c>
      <c r="C4626" s="27" t="s">
        <v>956</v>
      </c>
      <c r="D4626" s="27" t="s">
        <v>917</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1823</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918</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140</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1116</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1398</v>
      </c>
      <c r="B4631" s="27" t="s">
        <v>946</v>
      </c>
      <c r="C4631" s="27" t="s">
        <v>916</v>
      </c>
      <c r="D4631" s="27" t="s">
        <v>917</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927</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1112</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1023</v>
      </c>
      <c r="B4634" s="27" t="s">
        <v>1110</v>
      </c>
      <c r="C4634" s="27" t="s">
        <v>956</v>
      </c>
      <c r="D4634" s="27" t="s">
        <v>917</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1567</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1621</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2339</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399</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2342</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927</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1045</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2343</v>
      </c>
      <c r="B4642" s="27" t="s">
        <v>915</v>
      </c>
      <c r="C4642" s="27" t="s">
        <v>974</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2344</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932</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140</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140</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934</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1820</v>
      </c>
      <c r="B4648" s="27" t="s">
        <v>1073</v>
      </c>
      <c r="C4648" s="27" t="s">
        <v>956</v>
      </c>
      <c r="D4648" s="27" t="s">
        <v>917</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2345</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941</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2346</v>
      </c>
      <c r="B4651" s="27" t="s">
        <v>1090</v>
      </c>
      <c r="C4651" s="27" t="s">
        <v>943</v>
      </c>
      <c r="D4651" s="27" t="s">
        <v>917</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1038</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2347</v>
      </c>
      <c r="B4653" s="27" t="s">
        <v>970</v>
      </c>
      <c r="C4653" s="27" t="s">
        <v>974</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932</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140</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row>
    <row r="4657" spans="1:12">
      <c r="A4657" s="20" t="s">
        <v>2348</v>
      </c>
    </row>
    <row r="4658" spans="1:12">
      <c r="A4658" s="20" t="s">
        <v>1210</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918</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1079</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2349</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2350</v>
      </c>
      <c r="B4662" s="27" t="s">
        <v>915</v>
      </c>
      <c r="C4662" s="27" t="s">
        <v>974</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918</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913</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2351</v>
      </c>
      <c r="B4665" s="27" t="s">
        <v>942</v>
      </c>
      <c r="C4665" s="27" t="s">
        <v>916</v>
      </c>
      <c r="D4665" s="27" t="s">
        <v>917</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1035</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1056</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715</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932</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row>
    <row r="4671" spans="1:12">
      <c r="A4671" s="20" t="s">
        <v>2352</v>
      </c>
    </row>
    <row r="4672" spans="1:12">
      <c r="A4672" s="20" t="s">
        <v>1092</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1732</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927</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1186</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1109</v>
      </c>
      <c r="B4676" s="27" t="s">
        <v>937</v>
      </c>
      <c r="C4676" s="27" t="s">
        <v>1012</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927</v>
      </c>
      <c r="B4677" s="27" t="s">
        <v>929</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1044</v>
      </c>
      <c r="B4678" s="27" t="s">
        <v>1110</v>
      </c>
      <c r="C4678" s="27" t="s">
        <v>956</v>
      </c>
      <c r="D4678" s="27" t="s">
        <v>917</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2353</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2354</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912</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1312</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1313</v>
      </c>
      <c r="B4683" s="27" t="s">
        <v>915</v>
      </c>
      <c r="C4683" s="27" t="s">
        <v>1012</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2355</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963</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913</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2356</v>
      </c>
      <c r="B4687" s="27" t="s">
        <v>962</v>
      </c>
      <c r="C4687" s="27" t="s">
        <v>916</v>
      </c>
      <c r="D4687" s="27" t="s">
        <v>917</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927</v>
      </c>
      <c r="B4688" s="27" t="s">
        <v>1302</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1746</v>
      </c>
      <c r="B4689" s="27" t="s">
        <v>1197</v>
      </c>
      <c r="C4689" s="27" t="s">
        <v>938</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2357</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975</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1102</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964</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2358</v>
      </c>
      <c r="B4694" s="27" t="s">
        <v>973</v>
      </c>
      <c r="C4694" s="27" t="s">
        <v>943</v>
      </c>
      <c r="D4694" s="27" t="s">
        <v>917</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960</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1328</v>
      </c>
      <c r="B4696" s="27" t="s">
        <v>987</v>
      </c>
      <c r="C4696" s="27" t="s">
        <v>974</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918</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964</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2358</v>
      </c>
      <c r="B4699" s="27" t="s">
        <v>1073</v>
      </c>
      <c r="C4699" s="27" t="s">
        <v>916</v>
      </c>
      <c r="D4699" s="27" t="s">
        <v>917</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927</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981</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2359</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963</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627</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1511</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1187</v>
      </c>
      <c r="B4706" s="27" t="s">
        <v>1147</v>
      </c>
      <c r="C4706" s="27" t="s">
        <v>943</v>
      </c>
      <c r="D4706" s="27" t="s">
        <v>917</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960</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1019</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2004</v>
      </c>
      <c r="B4709" s="27" t="s">
        <v>990</v>
      </c>
      <c r="C4709" s="27" t="s">
        <v>916</v>
      </c>
      <c r="D4709" s="27" t="s">
        <v>917</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2155</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1203</v>
      </c>
      <c r="B4711" s="27" t="s">
        <v>1073</v>
      </c>
      <c r="C4711" s="27" t="s">
        <v>1052</v>
      </c>
      <c r="D4711" s="27" t="s">
        <v>917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1338</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941</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1128</v>
      </c>
      <c r="B4714" s="27" t="s">
        <v>946</v>
      </c>
      <c r="C4714" s="27" t="s">
        <v>943</v>
      </c>
      <c r="D4714" s="27" t="s">
        <v>917</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1194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2360</v>
      </c>
      <c r="B4716" s="27" t="s">
        <v>962</v>
      </c>
      <c r="C4716" s="27" t="s">
        <v>974</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918</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1573</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2361</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1088</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1187</v>
      </c>
      <c r="B4721" s="27" t="s">
        <v>1110</v>
      </c>
      <c r="C4721" s="27" t="s">
        <v>971</v>
      </c>
      <c r="D4721" s="27" t="s">
        <v>917</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932</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row>
    <row r="4724" spans="1:12">
      <c r="A4724" s="20" t="s">
        <v>2362</v>
      </c>
    </row>
    <row r="4725" spans="1:12">
      <c r="A4725" s="20" t="s">
        <v>2363</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908</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2364</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2365</v>
      </c>
      <c r="B4728" s="27" t="s">
        <v>942</v>
      </c>
      <c r="C4728" s="27" t="s">
        <v>911</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2366</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927</v>
      </c>
      <c r="B4730" s="27" t="s">
        <v>1073</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2142</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82</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1104</v>
      </c>
      <c r="B4733" s="27" t="s">
        <v>962</v>
      </c>
      <c r="C4733" s="27" t="s">
        <v>938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2367</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963</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1412</v>
      </c>
      <c r="B4736" s="27" t="s">
        <v>970</v>
      </c>
      <c r="C4736" s="27" t="s">
        <v>956</v>
      </c>
      <c r="D4736" s="27" t="s">
        <v>917</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918</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1262</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1367</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949</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196</v>
      </c>
      <c r="B4741" s="27" t="s">
        <v>1197</v>
      </c>
      <c r="C4741" s="27" t="s">
        <v>943</v>
      </c>
      <c r="D4741" s="27" t="s">
        <v>917</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960</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949</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1017</v>
      </c>
      <c r="B4744" s="27" t="s">
        <v>987</v>
      </c>
      <c r="C4744" s="27" t="s">
        <v>916</v>
      </c>
      <c r="D4744" s="27" t="s">
        <v>917</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918</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1019</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2368</v>
      </c>
      <c r="B4747" s="27" t="s">
        <v>987</v>
      </c>
      <c r="C4747" s="27" t="s">
        <v>916</v>
      </c>
      <c r="D4747" s="27" t="s">
        <v>917</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919</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1104</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913</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1875</v>
      </c>
      <c r="B4751" s="27" t="s">
        <v>987</v>
      </c>
      <c r="C4751" s="27" t="s">
        <v>916</v>
      </c>
      <c r="D4751" s="27" t="s">
        <v>917</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918</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1045</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908</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2369</v>
      </c>
      <c r="B4755" s="27" t="s">
        <v>970</v>
      </c>
      <c r="C4755" s="27" t="s">
        <v>911</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918</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941</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1128</v>
      </c>
      <c r="B4758" s="27" t="s">
        <v>970</v>
      </c>
      <c r="C4758" s="27" t="s">
        <v>911</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2370</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932</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row>
    <row r="4762" spans="1:12">
      <c r="A4762" s="20" t="s">
        <v>2371</v>
      </c>
    </row>
    <row r="4763" spans="1:12">
      <c r="A4763" s="20" t="s">
        <v>1838</v>
      </c>
      <c r="B4763" s="27" t="s">
        <v>942</v>
      </c>
      <c r="C4763" s="27" t="s">
        <v>956</v>
      </c>
      <c r="D4763" s="27" t="s">
        <v>917</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2064</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927</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1453</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1426</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2372</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932</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row>
    <row r="4771" spans="1:12">
      <c r="A4771" s="20" t="s">
        <v>2373</v>
      </c>
    </row>
    <row r="4772" spans="1:12">
      <c r="A4772" s="20" t="s">
        <v>2374</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2375</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927</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920</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2376</v>
      </c>
      <c r="B4776" s="27" t="s">
        <v>937</v>
      </c>
      <c r="C4776" s="27" t="s">
        <v>943</v>
      </c>
      <c r="D4776" s="27" t="s">
        <v>917</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960</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1019</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1187</v>
      </c>
      <c r="B4779" s="27" t="s">
        <v>962</v>
      </c>
      <c r="C4779" s="27" t="s">
        <v>916</v>
      </c>
      <c r="D4779" s="27" t="s">
        <v>917</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2377</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918</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1119</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1401</v>
      </c>
      <c r="B4783" s="27" t="s">
        <v>1073</v>
      </c>
      <c r="C4783" s="27" t="s">
        <v>938</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1445</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2378</v>
      </c>
      <c r="B4785" s="27" t="s">
        <v>1090</v>
      </c>
      <c r="C4785" s="27" t="s">
        <v>943</v>
      </c>
      <c r="D4785" s="27" t="s">
        <v>917</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1008</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913</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2379</v>
      </c>
      <c r="B4788" s="27" t="s">
        <v>970</v>
      </c>
      <c r="C4788" s="27" t="s">
        <v>916</v>
      </c>
      <c r="D4788" s="27" t="s">
        <v>917</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918</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1713</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1112</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1448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920</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1145</v>
      </c>
      <c r="B4794" s="27" t="s">
        <v>962</v>
      </c>
      <c r="C4794" s="27" t="s">
        <v>1069</v>
      </c>
      <c r="D4794" s="27" t="s">
        <v>917</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2380</v>
      </c>
      <c r="B4795" s="27" t="s">
        <v>946</v>
      </c>
      <c r="C4795" s="27" t="s">
        <v>916</v>
      </c>
      <c r="D4795" s="27" t="s">
        <v>917</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932</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row>
    <row r="4798" spans="1:12">
      <c r="A4798" s="20" t="s">
        <v>999</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2381</v>
      </c>
    </row>
    <row r="4800" spans="1:12">
      <c r="A4800" s="20" t="s">
        <v>934</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954</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949</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1151</v>
      </c>
      <c r="B4803" s="27" t="s">
        <v>942</v>
      </c>
      <c r="C4803" s="27" t="s">
        <v>916</v>
      </c>
      <c r="D4803" s="27" t="s">
        <v>917</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2275</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918</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140</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1092</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949</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1017</v>
      </c>
      <c r="B4809" s="27" t="s">
        <v>937</v>
      </c>
      <c r="C4809" s="27" t="s">
        <v>916</v>
      </c>
      <c r="D4809" s="27" t="s">
        <v>917</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1112</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1445</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1366</v>
      </c>
      <c r="B4812" s="27" t="s">
        <v>1101</v>
      </c>
      <c r="C4812" s="27" t="s">
        <v>943</v>
      </c>
      <c r="D4812" s="27" t="s">
        <v>917</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960</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964</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1635</v>
      </c>
      <c r="B4815" s="27" t="s">
        <v>962</v>
      </c>
      <c r="C4815" s="27" t="s">
        <v>943</v>
      </c>
      <c r="D4815" s="27" t="s">
        <v>917</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960</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1019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1187</v>
      </c>
      <c r="B4818" s="27" t="s">
        <v>970</v>
      </c>
      <c r="C4818" s="27" t="s">
        <v>916</v>
      </c>
      <c r="D4818" s="27" t="s">
        <v>917</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1341</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row>
    <row r="4821" spans="1:12">
      <c r="A4821" s="20" t="s">
        <v>2382</v>
      </c>
    </row>
    <row r="4822" spans="1:12">
      <c r="A4822" s="20" t="s">
        <v>1106</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1182</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2383</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1102</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82</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1687</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1341</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row>
    <row r="4830" spans="1:12">
      <c r="A4830" s="20" t="s">
        <v>999</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2384</v>
      </c>
    </row>
    <row r="4832" spans="1:12">
      <c r="A4832" s="20" t="s">
        <v>1106</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1035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1366</v>
      </c>
      <c r="B4834" s="27" t="s">
        <v>915</v>
      </c>
      <c r="C4834" s="27" t="s">
        <v>943</v>
      </c>
      <c r="D4834" s="27" t="s">
        <v>917</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960</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949</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1418</v>
      </c>
      <c r="B4837" s="27" t="s">
        <v>946</v>
      </c>
      <c r="C4837" s="27" t="s">
        <v>1069</v>
      </c>
      <c r="D4837" s="27" t="s">
        <v>917</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1420</v>
      </c>
      <c r="B4838" s="27" t="s">
        <v>915</v>
      </c>
      <c r="C4838" s="27" t="s">
        <v>916</v>
      </c>
      <c r="D4838" s="27" t="s">
        <v>917</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1341</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140</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row>
    <row r="4842" spans="1:12">
      <c r="A4842" s="20" t="s">
        <v>2385</v>
      </c>
    </row>
    <row r="4843" spans="1:12">
      <c r="A4843" s="20" t="s">
        <v>1862</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1539</v>
      </c>
      <c r="B4844" s="27" t="s">
        <v>915</v>
      </c>
      <c r="C4844" s="27" t="s">
        <v>956</v>
      </c>
      <c r="D4844" s="27" t="s">
        <v>917</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2386</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363</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927</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977</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1056</v>
      </c>
      <c r="B4849" s="27" t="s">
        <v>937</v>
      </c>
      <c r="C4849" s="27" t="s">
        <v>943</v>
      </c>
      <c r="D4849" s="27" t="s">
        <v>917</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1038</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1039</v>
      </c>
      <c r="B4851" s="27" t="s">
        <v>962</v>
      </c>
      <c r="C4851" s="27" t="s">
        <v>974</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951</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2387</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932</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row>
    <row r="4856" spans="1:12">
      <c r="A4856" s="20" t="s">
        <v>2388</v>
      </c>
    </row>
    <row r="4857" spans="1:12">
      <c r="A4857" s="20" t="s">
        <v>1459</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747</v>
      </c>
      <c r="B4858" s="27" t="s">
        <v>915</v>
      </c>
      <c r="C4858" s="27" t="s">
        <v>916</v>
      </c>
      <c r="D4858" s="27" t="s">
        <v>917</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960</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606</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1484</v>
      </c>
      <c r="B4861" s="27" t="s">
        <v>1101</v>
      </c>
      <c r="C4861" s="27" t="s">
        <v>974</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919</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1269</v>
      </c>
      <c r="B4863" s="27" t="s">
        <v>962</v>
      </c>
      <c r="C4863" s="27" t="s">
        <v>974</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918</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2389</v>
      </c>
      <c r="B4865" s="27" t="s">
        <v>946</v>
      </c>
      <c r="C4865" s="27" t="s">
        <v>974</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919</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2390</v>
      </c>
      <c r="B4867" s="27" t="s">
        <v>962</v>
      </c>
      <c r="C4867" s="27" t="s">
        <v>974</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918</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919</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936</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1076</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1556</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1037</v>
      </c>
      <c r="B4873" s="27" t="s">
        <v>929</v>
      </c>
      <c r="C4873" s="27" t="s">
        <v>943</v>
      </c>
      <c r="D4873" s="27" t="s">
        <v>917</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1038</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1039</v>
      </c>
      <c r="B4875" s="27" t="s">
        <v>973</v>
      </c>
      <c r="C4875" s="27" t="s">
        <v>974</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918</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1409</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908</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2391</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2392</v>
      </c>
      <c r="B4880" s="27" t="s">
        <v>1110</v>
      </c>
      <c r="C4880" s="27" t="s">
        <v>911</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932</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row>
    <row r="4883" spans="1:12">
      <c r="A4883" s="20" t="s">
        <v>2393</v>
      </c>
    </row>
    <row r="4884" spans="1:12">
      <c r="A4884" s="20" t="s">
        <v>1459</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1017</v>
      </c>
      <c r="B4885" s="27" t="s">
        <v>942</v>
      </c>
      <c r="C4885" s="27" t="s">
        <v>916</v>
      </c>
      <c r="D4885" s="27" t="s">
        <v>917</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1541</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1035</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1323</v>
      </c>
      <c r="B4888" s="27" t="s">
        <v>915</v>
      </c>
      <c r="C4888" s="27" t="s">
        <v>938</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927</v>
      </c>
      <c r="B4889" s="27" t="s">
        <v>937</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951</v>
      </c>
      <c r="B4890" s="27" t="s">
        <v>946</v>
      </c>
      <c r="C4890" s="27" t="s">
        <v>956</v>
      </c>
      <c r="D4890" s="27" t="s">
        <v>917</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2394</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935</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1588</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2395</v>
      </c>
      <c r="B4894" s="27" t="s">
        <v>946</v>
      </c>
      <c r="C4894" s="27" t="s">
        <v>971</v>
      </c>
      <c r="D4894" s="27" t="s">
        <v>917</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951</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2396</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932</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row>
    <row r="4899" spans="1:12">
      <c r="A4899" s="20" t="s">
        <v>2397</v>
      </c>
    </row>
    <row r="4900" spans="1:12">
      <c r="A4900" s="20" t="s">
        <v>1268</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2398</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932</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row>
    <row r="4904" spans="1:12">
      <c r="A4904" s="20" t="s">
        <v>999</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2399</v>
      </c>
    </row>
    <row r="4906" spans="1:12">
      <c r="A4906" s="20" t="s">
        <v>1514</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1187</v>
      </c>
      <c r="B4907" s="27" t="s">
        <v>942</v>
      </c>
      <c r="C4907" s="27" t="s">
        <v>916</v>
      </c>
      <c r="D4907" s="27" t="s">
        <v>917</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2162</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1194</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1043</v>
      </c>
      <c r="B4910" s="27" t="s">
        <v>915</v>
      </c>
      <c r="C4910" s="27" t="s">
        <v>956</v>
      </c>
      <c r="D4910" s="27" t="s">
        <v>917</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919</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1044</v>
      </c>
      <c r="B4912" s="27" t="s">
        <v>1101</v>
      </c>
      <c r="C4912" s="27" t="s">
        <v>956</v>
      </c>
      <c r="D4912" s="27" t="s">
        <v>917</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2400</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918</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140</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1838</v>
      </c>
      <c r="B4916" s="27" t="s">
        <v>1073</v>
      </c>
      <c r="C4916" s="27" t="s">
        <v>956</v>
      </c>
      <c r="D4916" s="27" t="s">
        <v>917</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2064</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927</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918</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981</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2401</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1331</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988</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1102</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908</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1349</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1596</v>
      </c>
      <c r="B4927" s="27" t="s">
        <v>973</v>
      </c>
      <c r="C4927" s="27" t="s">
        <v>911</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918</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1732</v>
      </c>
      <c r="B4929" s="27" t="s">
        <v>962</v>
      </c>
      <c r="C4929" s="27" t="s">
        <v>974</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960</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37</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963</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2402</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1023</v>
      </c>
      <c r="B4934" s="27" t="s">
        <v>1147</v>
      </c>
      <c r="C4934" s="27" t="s">
        <v>956</v>
      </c>
      <c r="D4934" s="27" t="s">
        <v>917</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1163</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932</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140</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row>
    <row r="4939" spans="1:12">
      <c r="A4939" s="20" t="s">
        <v>999</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2403</v>
      </c>
    </row>
    <row r="4941" spans="1:12">
      <c r="A4941" s="20" t="s">
        <v>934</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992</v>
      </c>
      <c r="B4942" s="27" t="s">
        <v>942</v>
      </c>
      <c r="C4942" s="27" t="s">
        <v>956</v>
      </c>
      <c r="D4942" s="27" t="s">
        <v>917</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762</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1046</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1539</v>
      </c>
      <c r="B4945" s="27" t="s">
        <v>910</v>
      </c>
      <c r="C4945" s="27" t="s">
        <v>956</v>
      </c>
      <c r="D4945" s="27" t="s">
        <v>917</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918</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140</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2404</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1331</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2402</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1023</v>
      </c>
      <c r="B4951" s="27" t="s">
        <v>1101</v>
      </c>
      <c r="C4951" s="27" t="s">
        <v>956</v>
      </c>
      <c r="D4951" s="27" t="s">
        <v>917</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1163</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918</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1119</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1112</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2405</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1096</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159</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1081</v>
      </c>
      <c r="B4959" s="27" t="s">
        <v>1090</v>
      </c>
      <c r="C4959" s="27" t="s">
        <v>1095</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932</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row>
    <row r="4962" spans="1:12">
      <c r="A4962" s="20" t="s">
        <v>2406</v>
      </c>
    </row>
    <row r="4963" spans="1:12">
      <c r="A4963" s="20" t="s">
        <v>1459</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1362</v>
      </c>
      <c r="B4964" s="27" t="s">
        <v>942</v>
      </c>
      <c r="C4964" s="27" t="s">
        <v>916</v>
      </c>
      <c r="D4964" s="27" t="s">
        <v>917</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1035</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2407</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918</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919</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1667</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1176</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960</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2408</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1026</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908</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2409</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1596</v>
      </c>
      <c r="B4976" s="27" t="s">
        <v>962</v>
      </c>
      <c r="C4976" s="27" t="s">
        <v>911</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932</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row>
    <row r="4979" spans="1:12">
      <c r="A4979" s="20" t="s">
        <v>999</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2410</v>
      </c>
    </row>
    <row r="4981" spans="1:12">
      <c r="A4981" s="20" t="s">
        <v>2411</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1182</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1571</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932</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140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row>
    <row r="4987" spans="1:12">
      <c r="A4987" s="20" t="s">
        <v>2412</v>
      </c>
    </row>
    <row r="4988" spans="1:12">
      <c r="A4988" s="20" t="s">
        <v>1268</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941</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2413</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2414</v>
      </c>
      <c r="B4991" s="27" t="s">
        <v>915</v>
      </c>
      <c r="C4991" s="27" t="s">
        <v>943</v>
      </c>
      <c r="D4991" s="27" t="s">
        <v>917</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960</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949</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2415</v>
      </c>
      <c r="B4994" s="27" t="s">
        <v>915</v>
      </c>
      <c r="C4994" s="27" t="s">
        <v>916</v>
      </c>
      <c r="D4994" s="27" t="s">
        <v>917</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2416</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918</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991</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1331</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960</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1186</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1281</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2417</v>
      </c>
      <c r="B5002" s="27" t="s">
        <v>915</v>
      </c>
      <c r="C5002" s="27" t="s">
        <v>1012</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918</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913</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1398</v>
      </c>
      <c r="B5005" s="27" t="s">
        <v>915</v>
      </c>
      <c r="C5005" s="27" t="s">
        <v>916</v>
      </c>
      <c r="D5005" s="27" t="s">
        <v>917</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927</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2418</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1203</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1827</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2419</v>
      </c>
      <c r="B5010" s="27" t="s">
        <v>1090</v>
      </c>
      <c r="C5010" s="27" t="s">
        <v>971</v>
      </c>
      <c r="D5010" s="27" t="s">
        <v>917</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15</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1017</v>
      </c>
      <c r="B5012" s="27" t="s">
        <v>962</v>
      </c>
      <c r="C5012" s="27" t="s">
        <v>974</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15</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1102</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41</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977</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1056</v>
      </c>
      <c r="B5017" s="27" t="s">
        <v>1110</v>
      </c>
      <c r="C5017" s="27" t="s">
        <v>943</v>
      </c>
      <c r="D5017" s="27" t="s">
        <v>917</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1038</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1039</v>
      </c>
      <c r="B5019" s="27" t="s">
        <v>973</v>
      </c>
      <c r="C5019" s="27" t="s">
        <v>974</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960</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908</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2420</v>
      </c>
      <c r="B5022" s="27" t="s">
        <v>973</v>
      </c>
      <c r="C5022" s="27" t="s">
        <v>911</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981</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913</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1284</v>
      </c>
      <c r="B5025" s="27" t="s">
        <v>970</v>
      </c>
      <c r="C5025" s="27" t="s">
        <v>943</v>
      </c>
      <c r="D5025" s="27" t="s">
        <v>917</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960</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913</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1828</v>
      </c>
      <c r="B5028" s="27" t="s">
        <v>987</v>
      </c>
      <c r="C5028" s="27" t="s">
        <v>1069</v>
      </c>
      <c r="D5028" s="27" t="s">
        <v>917</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2421</v>
      </c>
      <c r="B5029" s="27" t="s">
        <v>973</v>
      </c>
      <c r="C5029" s="27" t="s">
        <v>916</v>
      </c>
      <c r="D5029" s="27" t="s">
        <v>917</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2422</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918</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919</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1102</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41</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944</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951</v>
      </c>
      <c r="B5036" s="27" t="s">
        <v>1060</v>
      </c>
      <c r="C5036" s="27" t="s">
        <v>956</v>
      </c>
      <c r="D5036" s="27" t="s">
        <v>917</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2423</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941</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1336</v>
      </c>
      <c r="B5039" s="27" t="s">
        <v>1533</v>
      </c>
      <c r="C5039" s="27" t="s">
        <v>943</v>
      </c>
      <c r="D5039" s="27" t="s">
        <v>917</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908</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2424</v>
      </c>
      <c r="B5041" s="27" t="s">
        <v>1419</v>
      </c>
      <c r="C5041" s="27" t="s">
        <v>911</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1111</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960</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1279</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951</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932</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row>
    <row r="5048" spans="1:12">
      <c r="A5048" s="20" t="s">
        <v>999</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2425</v>
      </c>
    </row>
    <row r="5050" spans="1:12">
      <c r="A5050" s="20" t="s">
        <v>1459</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1151</v>
      </c>
      <c r="B5051" s="27" t="s">
        <v>942</v>
      </c>
      <c r="C5051" s="27" t="s">
        <v>916</v>
      </c>
      <c r="D5051" s="27" t="s">
        <v>917</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1044</v>
      </c>
      <c r="B5052" s="27" t="s">
        <v>910</v>
      </c>
      <c r="C5052" s="27" t="s">
        <v>956</v>
      </c>
      <c r="D5052" s="27" t="s">
        <v>917</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2275</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918</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140</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1538</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1035</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2426</v>
      </c>
      <c r="B5058" s="27" t="s">
        <v>937</v>
      </c>
      <c r="C5058" s="27" t="s">
        <v>943</v>
      </c>
      <c r="D5058" s="27" t="s">
        <v>917</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966</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949</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2427</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1484</v>
      </c>
      <c r="B5062" s="27" t="s">
        <v>962</v>
      </c>
      <c r="C5062" s="27" t="s">
        <v>916</v>
      </c>
      <c r="D5062" s="27" t="s">
        <v>917</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1341</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140</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row>
    <row r="5066" spans="1:12">
      <c r="A5066" s="20" t="s">
        <v>999</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2428</v>
      </c>
    </row>
    <row r="5068" spans="1:12">
      <c r="A5068" s="20" t="s">
        <v>1838</v>
      </c>
      <c r="B5068" s="27" t="s">
        <v>937</v>
      </c>
      <c r="C5068" s="27" t="s">
        <v>956</v>
      </c>
      <c r="D5068" s="27" t="s">
        <v>917</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2429</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918</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140</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1062</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908</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2430</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928</v>
      </c>
      <c r="B5075" s="27" t="s">
        <v>915</v>
      </c>
      <c r="C5075" s="27" t="s">
        <v>911</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1364</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1035</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2426</v>
      </c>
      <c r="B5078" s="27" t="s">
        <v>942</v>
      </c>
      <c r="C5078" s="27" t="s">
        <v>974</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966</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949</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2427</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1484</v>
      </c>
      <c r="B5082" s="27" t="s">
        <v>915</v>
      </c>
      <c r="C5082" s="27" t="s">
        <v>916</v>
      </c>
      <c r="D5082" s="27" t="s">
        <v>917</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932</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row>
    <row r="5085" spans="1:12">
      <c r="A5085" s="20" t="s">
        <v>2431</v>
      </c>
    </row>
    <row r="5086" spans="1:12">
      <c r="A5086" s="20" t="s">
        <v>1538</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1035</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941</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2432</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2433</v>
      </c>
      <c r="B5090" s="27" t="s">
        <v>942</v>
      </c>
      <c r="C5090" s="27" t="s">
        <v>943</v>
      </c>
      <c r="D5090" s="27" t="s">
        <v>917</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960</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2426</v>
      </c>
      <c r="B5092" s="27" t="s">
        <v>946</v>
      </c>
      <c r="C5092" s="27" t="s">
        <v>974</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918</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1119</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963</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977</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1345</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1313</v>
      </c>
      <c r="B5098" s="27" t="s">
        <v>915</v>
      </c>
      <c r="C5098" s="27" t="s">
        <v>916</v>
      </c>
      <c r="D5098" s="27" t="s">
        <v>917</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912</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1367</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1364</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1035</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2426</v>
      </c>
      <c r="B5103" s="27" t="s">
        <v>1073</v>
      </c>
      <c r="C5103" s="27" t="s">
        <v>974</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1448</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164</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941</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2434</v>
      </c>
      <c r="B5107" s="27" t="s">
        <v>1302</v>
      </c>
      <c r="C5107" s="27" t="s">
        <v>943</v>
      </c>
      <c r="D5107" s="27" t="s">
        <v>917</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2435</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1163</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1134</v>
      </c>
      <c r="B5110" s="27" t="s">
        <v>987</v>
      </c>
      <c r="C5110" s="27" t="s">
        <v>974</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1139</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1367</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951</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2210</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908</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1495</v>
      </c>
      <c r="B5116" s="27" t="s">
        <v>1543</v>
      </c>
      <c r="C5116" s="27" t="s">
        <v>943</v>
      </c>
      <c r="D5116" s="27" t="s">
        <v>917</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960</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2436</v>
      </c>
      <c r="B5118" s="27" t="s">
        <v>1060</v>
      </c>
      <c r="C5118" s="27" t="s">
        <v>974</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918</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927</v>
      </c>
      <c r="B5120" s="27" t="s">
        <v>2437</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954</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2438</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2439</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1675</v>
      </c>
      <c r="B5124" s="27" t="s">
        <v>2440</v>
      </c>
      <c r="C5124" s="27" t="s">
        <v>974</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919</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2441</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918</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919</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676</v>
      </c>
      <c r="B5129" s="27" t="s">
        <v>946</v>
      </c>
      <c r="C5129" s="27" t="s">
        <v>1052</v>
      </c>
      <c r="D5129" s="27" t="s">
        <v>917</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927</v>
      </c>
      <c r="B5130" s="27" t="s">
        <v>929</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2442</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981</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2443</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949</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1134</v>
      </c>
      <c r="B5135" s="27" t="s">
        <v>1302</v>
      </c>
      <c r="C5135" s="27" t="s">
        <v>916</v>
      </c>
      <c r="D5135" s="27" t="s">
        <v>917</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1102</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402</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1081</v>
      </c>
      <c r="B5138" s="27" t="s">
        <v>973</v>
      </c>
      <c r="C5138" s="27" t="s">
        <v>1095</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919</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1203</v>
      </c>
      <c r="B5140" s="27" t="s">
        <v>1073</v>
      </c>
      <c r="C5140" s="27" t="s">
        <v>1052</v>
      </c>
      <c r="D5140" s="27" t="s">
        <v>917</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951</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2444</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2445</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963</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345</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908</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2446</v>
      </c>
      <c r="B5147" s="27" t="s">
        <v>970</v>
      </c>
      <c r="C5147" s="27" t="s">
        <v>943</v>
      </c>
      <c r="D5147" s="27" t="s">
        <v>917</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960</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2447</v>
      </c>
      <c r="B5149" s="27" t="s">
        <v>973</v>
      </c>
      <c r="C5149" s="27" t="s">
        <v>974</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2448</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932</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row>
    <row r="5153" spans="1:12">
      <c r="A5153" s="20" t="s">
        <v>2449</v>
      </c>
    </row>
    <row r="5154" spans="1:12">
      <c r="A5154" s="20" t="s">
        <v>1268</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1124</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1273</v>
      </c>
      <c r="B5156" s="27" t="s">
        <v>942</v>
      </c>
      <c r="C5156" s="27" t="s">
        <v>971</v>
      </c>
      <c r="D5156" s="27" t="s">
        <v>917</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960</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2436</v>
      </c>
      <c r="B5158" s="27" t="s">
        <v>946</v>
      </c>
      <c r="C5158" s="27" t="s">
        <v>974</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2448</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918</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1407</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2447</v>
      </c>
      <c r="B5162" s="27" t="s">
        <v>946</v>
      </c>
      <c r="C5162" s="27" t="s">
        <v>971</v>
      </c>
      <c r="D5162" s="27" t="s">
        <v>917</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2448</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918</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1035</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1727</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2216</v>
      </c>
      <c r="B5167" s="27" t="s">
        <v>915</v>
      </c>
      <c r="C5167" s="27" t="s">
        <v>1052</v>
      </c>
      <c r="D5167" s="27" t="s">
        <v>917</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927</v>
      </c>
      <c r="B5168" s="27" t="s">
        <v>937</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1182</v>
      </c>
      <c r="B5169" s="27" t="s">
        <v>1101</v>
      </c>
      <c r="C5169" s="27" t="s">
        <v>956</v>
      </c>
      <c r="D5169" s="27" t="s">
        <v>917</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2450</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1026</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2451</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932</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row>
    <row r="5175" spans="1:12">
      <c r="A5175" s="20" t="s">
        <v>999</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2452</v>
      </c>
    </row>
    <row r="5177" spans="1:12">
      <c r="A5177" s="20" t="s">
        <v>2021</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949</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1151</v>
      </c>
      <c r="B5179" s="27" t="s">
        <v>937</v>
      </c>
      <c r="C5179" s="27" t="s">
        <v>916</v>
      </c>
      <c r="D5179" s="27" t="s">
        <v>917</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2275</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918</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140</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2453</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1088</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2454</v>
      </c>
      <c r="B5185" s="27" t="s">
        <v>910</v>
      </c>
      <c r="C5185" s="27" t="s">
        <v>971</v>
      </c>
      <c r="D5185" s="27" t="s">
        <v>917</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960</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949</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1118</v>
      </c>
      <c r="B5188" s="27" t="s">
        <v>946</v>
      </c>
      <c r="C5188" s="27" t="s">
        <v>916</v>
      </c>
      <c r="D5188" s="27" t="s">
        <v>917</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918</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919</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1201</v>
      </c>
      <c r="B5191" s="27" t="s">
        <v>1101</v>
      </c>
      <c r="C5191" s="27" t="s">
        <v>956</v>
      </c>
      <c r="D5191" s="27" t="s">
        <v>917</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1490</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2455</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1341</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140</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2456</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932</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row>
    <row r="5199" spans="1:12">
      <c r="A5199" s="20" t="s">
        <v>2457</v>
      </c>
    </row>
    <row r="5200" spans="1:12">
      <c r="A5200" s="20" t="s">
        <v>1092</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t="s">
        <v>1112</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1045</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1494</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960</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2458</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1158</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918</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919</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1112</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1045</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1494</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963</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1520</v>
      </c>
      <c r="B5213" s="27" t="s">
        <v>962</v>
      </c>
      <c r="C5213" s="27" t="s">
        <v>943</v>
      </c>
      <c r="D5213" s="27" t="s">
        <v>917</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960</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949</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1465</v>
      </c>
      <c r="B5216" s="27" t="s">
        <v>973</v>
      </c>
      <c r="C5216" s="27" t="s">
        <v>1069</v>
      </c>
      <c r="D5216" s="27" t="s">
        <v>917</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1140</v>
      </c>
      <c r="B5217" s="27" t="s">
        <v>970</v>
      </c>
      <c r="C5217" s="27" t="s">
        <v>916</v>
      </c>
      <c r="D5217" s="27" t="s">
        <v>917</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1141</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918</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919</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1112</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1045</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1494</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981</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2459</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941</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1193</v>
      </c>
      <c r="B5227" s="27" t="s">
        <v>1534</v>
      </c>
      <c r="C5227" s="27" t="s">
        <v>911</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932</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row>
    <row r="5230" spans="1:12">
      <c r="A5230" s="20" t="s">
        <v>2460</v>
      </c>
    </row>
    <row r="5231" spans="1:12">
      <c r="A5231" s="20" t="s">
        <v>2010</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793</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1096</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2000</v>
      </c>
      <c r="B5234" s="27" t="s">
        <v>910</v>
      </c>
      <c r="C5234" s="27" t="s">
        <v>974</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918</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2461</v>
      </c>
      <c r="B5236" s="27" t="s">
        <v>946</v>
      </c>
      <c r="C5236" s="27" t="s">
        <v>974</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918</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1114</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1237</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606</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1484</v>
      </c>
      <c r="B5241" s="27" t="s">
        <v>1101</v>
      </c>
      <c r="C5241" s="27" t="s">
        <v>974</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1270</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2177</v>
      </c>
      <c r="B5243" s="27" t="s">
        <v>946</v>
      </c>
      <c r="C5243" s="27" t="s">
        <v>974</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932</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row>
    <row r="5246" spans="1:12">
      <c r="A5246" s="20" t="s">
        <v>2462</v>
      </c>
    </row>
    <row r="5247" spans="1:12">
      <c r="A5247" s="20" t="s">
        <v>1429</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1494</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1102</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1675</v>
      </c>
      <c r="B5250" s="27" t="s">
        <v>915</v>
      </c>
      <c r="C5250" s="27" t="s">
        <v>943</v>
      </c>
      <c r="D5250" s="27" t="s">
        <v>917</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960</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2463</v>
      </c>
      <c r="B5252" s="27" t="s">
        <v>946</v>
      </c>
      <c r="C5252" s="27" t="s">
        <v>974</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2464</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918</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1102</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1675</v>
      </c>
      <c r="B5256" s="27" t="s">
        <v>915</v>
      </c>
      <c r="C5256" s="27" t="s">
        <v>943</v>
      </c>
      <c r="D5256" s="27" t="s">
        <v>917</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960</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2465</v>
      </c>
      <c r="B5258" s="27" t="s">
        <v>946</v>
      </c>
      <c r="C5258" s="27" t="s">
        <v>974</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2466</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918</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1102</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1675</v>
      </c>
      <c r="B5262" s="27" t="s">
        <v>915</v>
      </c>
      <c r="C5262" s="27" t="s">
        <v>943</v>
      </c>
      <c r="D5262" s="27" t="s">
        <v>917</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960</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913</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2467</v>
      </c>
      <c r="B5265" s="27" t="s">
        <v>946</v>
      </c>
      <c r="C5265" s="27" t="s">
        <v>916</v>
      </c>
      <c r="D5265" s="27" t="s">
        <v>917</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2468</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932</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row>
    <row r="5269" spans="1:12">
      <c r="A5269" s="20" t="s">
        <v>2469</v>
      </c>
    </row>
    <row r="5270" spans="1:12">
      <c r="A5270" s="20" t="s">
        <v>1429</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1088</v>
      </c>
      <c r="B5271" s="27" t="s">
        <v>915</v>
      </c>
      <c r="C5271" s="27" t="s">
        <v>1052</v>
      </c>
      <c r="D5271" s="27" t="s">
        <v>917</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1019</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1109</v>
      </c>
      <c r="B5273" s="27" t="s">
        <v>942</v>
      </c>
      <c r="C5273" s="27" t="s">
        <v>916</v>
      </c>
      <c r="D5273" s="27" t="s">
        <v>917</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927</v>
      </c>
      <c r="B5274" s="27" t="s">
        <v>1073</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1144</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1044</v>
      </c>
      <c r="B5276" s="27" t="s">
        <v>1090</v>
      </c>
      <c r="C5276" s="27" t="s">
        <v>956</v>
      </c>
      <c r="D5276" s="27" t="s">
        <v>917</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1343</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1494</v>
      </c>
      <c r="B5278" s="27" t="s">
        <v>1090</v>
      </c>
      <c r="C5278" s="27" t="s">
        <v>974</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932</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row>
    <row r="5281" spans="1:12">
      <c r="A5281" s="20" t="s">
        <v>2470</v>
      </c>
    </row>
    <row r="5282" spans="1:12">
      <c r="A5282" s="20" t="s">
        <v>934</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1044</v>
      </c>
      <c r="B5283" s="27" t="s">
        <v>910</v>
      </c>
      <c r="C5283" s="27" t="s">
        <v>956</v>
      </c>
      <c r="D5283" s="27" t="s">
        <v>917</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1045</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1756</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1393</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930</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949</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2471</v>
      </c>
      <c r="B5289" s="27" t="s">
        <v>937</v>
      </c>
      <c r="C5289" s="27" t="s">
        <v>916</v>
      </c>
      <c r="D5289" s="27" t="s">
        <v>917</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932</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row>
    <row r="5292" spans="1:12">
      <c r="A5292" s="20" t="s">
        <v>2472</v>
      </c>
    </row>
    <row r="5293" spans="1:12">
      <c r="A5293" s="20" t="s">
        <v>2473</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1860</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1088</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1187</v>
      </c>
      <c r="B5296" s="27" t="s">
        <v>942</v>
      </c>
      <c r="C5296" s="27" t="s">
        <v>971</v>
      </c>
      <c r="D5296" s="27" t="s">
        <v>917</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927</v>
      </c>
      <c r="B5297" s="27" t="s">
        <v>1073</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1409</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2474</v>
      </c>
      <c r="B5299" s="27" t="s">
        <v>1090</v>
      </c>
      <c r="C5299" s="27" t="s">
        <v>974</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2475</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919</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2476</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960</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1017</v>
      </c>
      <c r="B5304" s="27" t="s">
        <v>970</v>
      </c>
      <c r="C5304" s="27" t="s">
        <v>974</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1331</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1096</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1541</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918</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963</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2402</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1023</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1163</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1341</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row>
    <row r="5315" spans="1:12">
      <c r="A5315" s="20" t="s">
        <v>2477</v>
      </c>
    </row>
    <row r="5316" spans="1:12">
      <c r="A5316" s="20" t="s">
        <v>2473</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1888</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913</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2478</v>
      </c>
      <c r="B5319" s="27" t="s">
        <v>942</v>
      </c>
      <c r="C5319" s="27" t="s">
        <v>943</v>
      </c>
      <c r="D5319" s="27" t="s">
        <v>917</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960</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2479</v>
      </c>
      <c r="B5321" s="27" t="s">
        <v>946</v>
      </c>
      <c r="C5321" s="27" t="s">
        <v>974</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1341</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row>
    <row r="5324" spans="1:12">
      <c r="A5324" s="20" t="s">
        <v>999</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2480</v>
      </c>
    </row>
    <row r="5326" spans="1:12">
      <c r="A5326" s="20" t="s">
        <v>934</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949</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1394</v>
      </c>
      <c r="B5328" s="27" t="s">
        <v>942</v>
      </c>
      <c r="C5328" s="27" t="s">
        <v>916</v>
      </c>
      <c r="D5328" s="27" t="s">
        <v>917</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927</v>
      </c>
      <c r="B5329" s="27" t="s">
        <v>1073</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1044</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1045</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2481</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966</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913</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1740</v>
      </c>
      <c r="B5335" s="27" t="s">
        <v>962</v>
      </c>
      <c r="C5335" s="27" t="s">
        <v>916</v>
      </c>
      <c r="D5335" s="27" t="s">
        <v>917</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1035</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927</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1019</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1187</v>
      </c>
      <c r="B5339" s="27" t="s">
        <v>937</v>
      </c>
      <c r="C5339" s="27" t="s">
        <v>916</v>
      </c>
      <c r="D5339" s="27" t="s">
        <v>917</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927</v>
      </c>
      <c r="B5340" s="27" t="s">
        <v>929</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2482</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949</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1776</v>
      </c>
      <c r="B5343" s="27" t="s">
        <v>973</v>
      </c>
      <c r="C5343" s="27" t="s">
        <v>1069</v>
      </c>
      <c r="D5343" s="27" t="s">
        <v>917</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1635</v>
      </c>
      <c r="B5344" s="27" t="s">
        <v>1110</v>
      </c>
      <c r="C5344" s="27" t="s">
        <v>943</v>
      </c>
      <c r="D5344" s="27" t="s">
        <v>917</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918</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2290</v>
      </c>
      <c r="B5346" s="27" t="s">
        <v>973</v>
      </c>
      <c r="C5346" s="27" t="s">
        <v>1052</v>
      </c>
      <c r="D5346" s="27" t="s">
        <v>917</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927</v>
      </c>
      <c r="B5347" s="27" t="s">
        <v>1543</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2400</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918</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140</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2483</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1740</v>
      </c>
      <c r="B5352" s="27" t="s">
        <v>946</v>
      </c>
      <c r="C5352" s="27" t="s">
        <v>1012</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1445</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1288</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1228</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919</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1112</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1707</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2484</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1182</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1096</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918</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1112</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1044</v>
      </c>
      <c r="B5364" s="27" t="s">
        <v>1110</v>
      </c>
      <c r="C5364" s="27" t="s">
        <v>956</v>
      </c>
      <c r="D5364" s="27" t="s">
        <v>917</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1182</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2485</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918</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1044</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2486</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1026</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407</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922</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966</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949</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1465</v>
      </c>
      <c r="B5375" s="27" t="s">
        <v>987</v>
      </c>
      <c r="C5375" s="27" t="s">
        <v>1069</v>
      </c>
      <c r="D5375" s="27" t="s">
        <v>917</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1362</v>
      </c>
      <c r="B5376" s="27" t="s">
        <v>973</v>
      </c>
      <c r="C5376" s="27" t="s">
        <v>916</v>
      </c>
      <c r="D5376" s="27" t="s">
        <v>917</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140</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918</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2487</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918</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1045</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1019</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1187</v>
      </c>
      <c r="B5383" s="27" t="s">
        <v>915</v>
      </c>
      <c r="C5383" s="27" t="s">
        <v>916</v>
      </c>
      <c r="D5383" s="27" t="s">
        <v>917</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927</v>
      </c>
      <c r="B5384" s="27" t="s">
        <v>1073</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1045</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1096</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2488</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1194</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949</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1776</v>
      </c>
      <c r="B5390" s="27" t="s">
        <v>970</v>
      </c>
      <c r="C5390" s="27" t="s">
        <v>1069</v>
      </c>
      <c r="D5390" s="27" t="s">
        <v>917</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2489</v>
      </c>
      <c r="B5391" s="27" t="s">
        <v>962</v>
      </c>
      <c r="C5391" s="27" t="s">
        <v>916</v>
      </c>
      <c r="D5391" s="27" t="s">
        <v>917</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932</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row>
    <row r="5394" spans="1:12">
      <c r="A5394" s="20" t="s">
        <v>2490</v>
      </c>
    </row>
    <row r="5395" spans="1:12">
      <c r="A5395" s="20" t="s">
        <v>2491</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1163</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949</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1017</v>
      </c>
      <c r="B5398" s="27" t="s">
        <v>1101</v>
      </c>
      <c r="C5398" s="27" t="s">
        <v>916</v>
      </c>
      <c r="D5398" s="27" t="s">
        <v>917</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1112</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1445</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927</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2492</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949</v>
      </c>
      <c r="B5403" s="27" t="s">
        <v>1101</v>
      </c>
      <c r="C5403" s="27" t="s">
        <v>956</v>
      </c>
      <c r="D5403" s="27" t="s">
        <v>917</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932</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row>
    <row r="5406" spans="1:12">
      <c r="A5406" s="20" t="s">
        <v>2493</v>
      </c>
    </row>
    <row r="5407" spans="1:12">
      <c r="A5407" s="20" t="s">
        <v>1353</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1201</v>
      </c>
      <c r="B5408" s="27" t="s">
        <v>1101</v>
      </c>
      <c r="C5408" s="27" t="s">
        <v>956</v>
      </c>
      <c r="D5408" s="27" t="s">
        <v>917</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2494</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1194</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1820</v>
      </c>
      <c r="B5411" s="27" t="s">
        <v>946</v>
      </c>
      <c r="C5411" s="27" t="s">
        <v>956</v>
      </c>
      <c r="D5411" s="27" t="s">
        <v>917</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918</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t="s">
        <v>1407</v>
      </c>
      <c r="B5413" s="27" t="s">
        <v>942</v>
      </c>
      <c r="C5413" s="27" t="s">
        <v>1052</v>
      </c>
      <c r="D5413" s="27" t="s">
        <v>917</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2495</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932</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row>
    <row r="5417" spans="1:12">
      <c r="A5417" s="20" t="s">
        <v>2496</v>
      </c>
    </row>
    <row r="5418" spans="1:12">
      <c r="A5418" s="20" t="s">
        <v>934</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1019</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1187</v>
      </c>
      <c r="B5420" s="27" t="s">
        <v>942</v>
      </c>
      <c r="C5420" s="27" t="s">
        <v>916</v>
      </c>
      <c r="D5420" s="27" t="s">
        <v>917</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927</v>
      </c>
      <c r="B5421" s="27" t="s">
        <v>1073</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2497</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1045</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2290</v>
      </c>
      <c r="B5424" s="27" t="s">
        <v>915</v>
      </c>
      <c r="C5424" s="27" t="s">
        <v>1052</v>
      </c>
      <c r="D5424" s="27" t="s">
        <v>917</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912</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1053</v>
      </c>
      <c r="B5426" s="27" t="s">
        <v>915</v>
      </c>
      <c r="C5426" s="27" t="s">
        <v>974</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960</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2498</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913</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1398</v>
      </c>
      <c r="B5430" s="27" t="s">
        <v>1090</v>
      </c>
      <c r="C5430" s="27" t="s">
        <v>916</v>
      </c>
      <c r="D5430" s="27" t="s">
        <v>917</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960</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2499</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1023</v>
      </c>
      <c r="B5433" s="27" t="s">
        <v>1302</v>
      </c>
      <c r="C5433" s="27" t="s">
        <v>956</v>
      </c>
      <c r="D5433" s="27" t="s">
        <v>917</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1526</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932</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row>
    <row r="5437" spans="1:12">
      <c r="A5437" s="20" t="s">
        <v>2500</v>
      </c>
    </row>
    <row r="5438" spans="1:12">
      <c r="A5438" s="20" t="s">
        <v>1514</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1187</v>
      </c>
      <c r="B5439" s="27" t="s">
        <v>942</v>
      </c>
      <c r="C5439" s="27" t="s">
        <v>916</v>
      </c>
      <c r="D5439" s="27" t="s">
        <v>917</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927</v>
      </c>
      <c r="B5440" s="27" t="s">
        <v>1073</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1188</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963</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2501</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949</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1017</v>
      </c>
      <c r="B5445" s="27" t="s">
        <v>1110</v>
      </c>
      <c r="C5445" s="27" t="s">
        <v>916</v>
      </c>
      <c r="D5445" s="27" t="s">
        <v>917</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1045</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2290</v>
      </c>
      <c r="B5447" s="27" t="s">
        <v>915</v>
      </c>
      <c r="C5447" s="27" t="s">
        <v>1052</v>
      </c>
      <c r="D5447" s="27" t="s">
        <v>917</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927</v>
      </c>
      <c r="B5448" s="27" t="s">
        <v>937</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1188</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963</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2502</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951</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932</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row>
    <row r="5455" spans="1:12">
      <c r="A5455" s="20" t="s">
        <v>999</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2503</v>
      </c>
    </row>
    <row r="5457" spans="1:12">
      <c r="A5457" s="20" t="s">
        <v>1210</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2027</v>
      </c>
      <c r="B5458" s="27" t="s">
        <v>937</v>
      </c>
      <c r="C5458" s="27" t="s">
        <v>1023</v>
      </c>
      <c r="D5458" s="27" t="s">
        <v>917</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2028</v>
      </c>
      <c r="B5459" s="27" t="s">
        <v>962</v>
      </c>
      <c r="C5459" s="27" t="s">
        <v>1023</v>
      </c>
      <c r="D5459" s="27" t="s">
        <v>917</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1044</v>
      </c>
      <c r="B5460" s="27" t="s">
        <v>1101</v>
      </c>
      <c r="C5460" s="27" t="s">
        <v>956</v>
      </c>
      <c r="D5460" s="27" t="s">
        <v>917</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652</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918</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140</v>
      </c>
      <c r="E5463" s="21">
        <f>IF(D5463="?OLD","!!!","")</f>
        <v/>
      </c>
      <c r="F5463" s="22" t="str">
        <f>IF(OR(E5463="",E5463="!!!"),"",IF(NOT(ISNA(VLOOKUP(E5463,E$1:E5462,1,FALSE()))),"OLD",IF(AND(E5463&lt;&gt;"",E5463&lt;&gt;"!!!"),"NEW","")))</f>
        <v> </v>
      </c>
      <c r="G5463" s="23" t="str">
        <f>IF(OR(E5463="",E5463="!!!"),"",IF(OR(J5463=0,AND(J5463=1,K5463=1),AND(J5463=1,I5463="SBJ"),AND(J5463=1,I5463=0)),"?IN_FOCUS",IF(J5463&lt;=2,"?ACTIVATED",IF(J5463&lt;&gt;"","?FAMILIAR",IF(F5463="NEW",IF(ISNA(VLOOKUP(E5463,#REF!,1,FALSE())),"?TYPE_IDENTIFIABLE","?REFERENTIAL"),"_")))))</f>
        <v> </v>
      </c>
      <c r="H5463" s="24" t="str">
        <f>IF(J5463&lt;&gt;1,"",IF(I5463="SBJ","CB","?"))</f>
        <v> </v>
      </c>
      <c r="I5463" s="25" t="str">
        <f>IF(OR(E5463="",E5463="!!!",F5463="NEW"),"",INDEX(B5462:B$2,-1+SUMPRODUCT(MAX(ROW(E5462:E$2)*(E5463=E5462:E$2)))))</f>
        <v> </v>
      </c>
      <c r="J5463" s="25" t="str">
        <f>IF(OR(E5463="",E5463="!!!",F5463="NEW"),"",COUNTBLANK(OFFSET(A$1,,,SUMPRODUCT(MAX(ROW(E$2:E5463)*(E5463=E$2:E5463)))))-COUNTBLANK(OFFSET(A$1,,,SUMPRODUCT(MAX(ROW(E$1:E5462)*(E2=E$1:E5462))))))</f>
        <v> </v>
      </c>
      <c r="K5463" s="25" t="str">
        <f>IF(OR(E5463="",E5463="!!!",F5463="NEW"),"",INDEX(J$1:J5462,SUMPRODUCT(MAX(ROW(E$1:E5462)*(E5463=E$1:E5462)))))</f>
        <v> </v>
      </c>
      <c r="L5463" s="26"/>
    </row>
    <row r="5464" spans="1:12">
      <c r="A5464" s="20" t="s">
        <v>1225</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1129</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2504</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1104</v>
      </c>
      <c r="B5467" s="27" t="s">
        <v>1101</v>
      </c>
      <c r="C5467" s="27" t="s">
        <v>938</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918</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1112</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1732</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927</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977</v>
      </c>
      <c r="B5472" s="27" t="s">
        <v>1101</v>
      </c>
      <c r="C5472" s="27" t="s">
        <v>956</v>
      </c>
      <c r="D5472" s="27" t="s">
        <v>917</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2505</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912</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1588</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1313</v>
      </c>
      <c r="B5476" s="27" t="s">
        <v>946</v>
      </c>
      <c r="C5476" s="27" t="s">
        <v>971</v>
      </c>
      <c r="D5476" s="27" t="s">
        <v>917</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918</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1119</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2506</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1045</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1442</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1102</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964</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1635</v>
      </c>
      <c r="B5484" s="27" t="s">
        <v>946</v>
      </c>
      <c r="C5484" s="27" t="s">
        <v>916</v>
      </c>
      <c r="D5484" s="27" t="s">
        <v>917</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927</v>
      </c>
      <c r="B5485" s="27" t="s">
        <v>1110</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1084</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2072</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932</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row>
    <row r="5490" spans="1:12">
      <c r="A5490" s="20" t="s">
        <v>2507</v>
      </c>
    </row>
    <row r="5491" spans="1:12">
      <c r="A5491" s="20" t="s">
        <v>1429</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2455</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960</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82</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2134</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170</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1769</v>
      </c>
      <c r="B5497" s="27" t="s">
        <v>946</v>
      </c>
      <c r="C5497" s="27" t="s">
        <v>1095</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912</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2508</v>
      </c>
      <c r="B5499" s="27" t="s">
        <v>946</v>
      </c>
      <c r="C5499" s="27" t="s">
        <v>974</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932</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row>
    <row r="5502" spans="1:12">
      <c r="A5502" s="20" t="s">
        <v>999</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2509</v>
      </c>
    </row>
    <row r="5504" spans="1:12">
      <c r="A5504" s="20" t="s">
        <v>1384</v>
      </c>
      <c r="B5504" s="27" t="s">
        <v>910</v>
      </c>
      <c r="C5504" s="27" t="s">
        <v>956</v>
      </c>
      <c r="D5504" s="27" t="s">
        <v>917</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1567</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2510</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1413</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1456</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1139</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964</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1461</v>
      </c>
      <c r="B5511" s="27" t="s">
        <v>946</v>
      </c>
      <c r="C5511" s="27" t="s">
        <v>916</v>
      </c>
      <c r="D5511" s="27" t="s">
        <v>917</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918</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991</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913</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t="s">
        <v>1315</v>
      </c>
      <c r="B5515" s="27" t="s">
        <v>946</v>
      </c>
      <c r="C5515" s="27" t="s">
        <v>1069</v>
      </c>
      <c r="D5515" s="27" t="s">
        <v>917</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t="s">
        <v>2511</v>
      </c>
      <c r="B5516" s="27" t="s">
        <v>915</v>
      </c>
      <c r="C5516" s="27" t="s">
        <v>943</v>
      </c>
      <c r="D5516" s="27" t="s">
        <v>917</v>
      </c>
      <c r="E5516" s="21">
        <f>IF(D5516="?OLD","!!!","")</f>
        <v/>
      </c>
      <c r="F5516" s="22" t="str">
        <f>IF(OR(E5516="",E5516="!!!"),"",IF(NOT(ISNA(VLOOKUP(E5516,E$1:E5515,1,FALSE()))),"OLD",IF(AND(E5516&lt;&gt;"",E5516&lt;&gt;"!!!"),"NEW","")))</f>
        <v> </v>
      </c>
      <c r="G5516" s="23" t="str">
        <f>IF(OR(E5516="",E5516="!!!"),"",IF(OR(J5516=0,AND(J5516=1,K5516=1),AND(J5516=1,I5516="SBJ"),AND(J5516=1,I5516=0)),"?IN_FOCUS",IF(J5516&lt;=2,"?ACTIVATED",IF(J5516&lt;&gt;"","?FAMILIAR",IF(F5516="NEW",IF(ISNA(VLOOKUP(E5516,#REF!,1,FALSE())),"?TYPE_IDENTIFIABLE","?REFERENTIAL"),"_")))))</f>
        <v> </v>
      </c>
      <c r="H5516" s="24" t="str">
        <f>IF(J5516&lt;&gt;1,"",IF(I5516="SBJ","CB","?"))</f>
        <v> </v>
      </c>
      <c r="I5516" s="25" t="str">
        <f>IF(OR(E5516="",E5516="!!!",F5516="NEW"),"",INDEX(B5515:B$2,-1+SUMPRODUCT(MAX(ROW(E5515:E$2)*(E5516=E5515:E$2)))))</f>
        <v> </v>
      </c>
      <c r="J5516" s="25" t="str">
        <f>IF(OR(E5516="",E5516="!!!",F5516="NEW"),"",COUNTBLANK(OFFSET(A$1,,,SUMPRODUCT(MAX(ROW(E$2:E5516)*(E5516=E$2:E5516)))))-COUNTBLANK(OFFSET(A$1,,,SUMPRODUCT(MAX(ROW(E$1:E5515)*(E2=E$1:E5515))))))</f>
        <v> </v>
      </c>
      <c r="K5516" s="25" t="str">
        <f>IF(OR(E5516="",E5516="!!!",F5516="NEW"),"",INDEX(J$1:J5515,SUMPRODUCT(MAX(ROW(E$1:E5515)*(E5516=E$1:E5515)))))</f>
        <v> </v>
      </c>
      <c r="L5516" s="26"/>
    </row>
    <row r="5517" spans="1:12">
      <c r="A5517" s="20" t="s">
        <v>966</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920</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1145</v>
      </c>
      <c r="B5519" s="27" t="s">
        <v>962</v>
      </c>
      <c r="C5519" s="27" t="s">
        <v>1069</v>
      </c>
      <c r="D5519" s="27" t="s">
        <v>917</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1626</v>
      </c>
      <c r="B5520" s="27" t="s">
        <v>946</v>
      </c>
      <c r="C5520" s="27" t="s">
        <v>916</v>
      </c>
      <c r="D5520" s="27" t="s">
        <v>917</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991</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920</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1145</v>
      </c>
      <c r="B5523" s="27" t="s">
        <v>973</v>
      </c>
      <c r="C5523" s="27" t="s">
        <v>1069</v>
      </c>
      <c r="D5523" s="27" t="s">
        <v>917</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2135</v>
      </c>
      <c r="B5524" s="27" t="s">
        <v>929</v>
      </c>
      <c r="C5524" s="27" t="s">
        <v>916</v>
      </c>
      <c r="D5524" s="27" t="s">
        <v>917</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1035</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1056</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1575</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2512</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1102</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1043</v>
      </c>
      <c r="B5530" s="27" t="s">
        <v>970</v>
      </c>
      <c r="C5530" s="27" t="s">
        <v>956</v>
      </c>
      <c r="D5530" s="27" t="s">
        <v>917</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918</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t="s">
        <v>919</v>
      </c>
      <c r="E5532" s="21">
        <f>IF(D5532="?OLD","!!!","")</f>
        <v/>
      </c>
      <c r="F5532" s="22" t="str">
        <f>IF(OR(E5532="",E5532="!!!"),"",IF(NOT(ISNA(VLOOKUP(E5532,E$1:E5531,1,FALSE()))),"OLD",IF(AND(E5532&lt;&gt;"",E5532&lt;&gt;"!!!"),"NEW","")))</f>
        <v> </v>
      </c>
      <c r="G5532" s="23" t="str">
        <f>IF(OR(E5532="",E5532="!!!"),"",IF(OR(J5532=0,AND(J5532=1,K5532=1),AND(J5532=1,I5532="SBJ"),AND(J5532=1,I5532=0)),"?IN_FOCUS",IF(J5532&lt;=2,"?ACTIVATED",IF(J5532&lt;&gt;"","?FAMILIAR",IF(F5532="NEW",IF(ISNA(VLOOKUP(E5532,#REF!,1,FALSE())),"?TYPE_IDENTIFIABLE","?REFERENTIAL"),"_")))))</f>
        <v> </v>
      </c>
      <c r="H5532" s="24" t="str">
        <f>IF(J5532&lt;&gt;1,"",IF(I5532="SBJ","CB","?"))</f>
        <v> </v>
      </c>
      <c r="I5532" s="25" t="str">
        <f>IF(OR(E5532="",E5532="!!!",F5532="NEW"),"",INDEX(B5531:B$2,-1+SUMPRODUCT(MAX(ROW(E5531:E$2)*(E5532=E5531:E$2)))))</f>
        <v> </v>
      </c>
      <c r="J5532" s="25" t="str">
        <f>IF(OR(E5532="",E5532="!!!",F5532="NEW"),"",COUNTBLANK(OFFSET(A$1,,,SUMPRODUCT(MAX(ROW(E$2:E5532)*(E5532=E$2:E5532)))))-COUNTBLANK(OFFSET(A$1,,,SUMPRODUCT(MAX(ROW(E$1:E5531)*(E2=E$1:E5531))))))</f>
        <v> </v>
      </c>
      <c r="K5532" s="25" t="str">
        <f>IF(OR(E5532="",E5532="!!!",F5532="NEW"),"",INDEX(J$1:J5531,SUMPRODUCT(MAX(ROW(E$1:E5531)*(E5532=E$1:E5531)))))</f>
        <v> </v>
      </c>
      <c r="L5532" s="26"/>
    </row>
    <row r="5533" spans="1:12">
      <c r="A5533" s="20" t="s">
        <v>977</v>
      </c>
      <c r="B5533" s="27" t="s">
        <v>1101</v>
      </c>
      <c r="C5533" s="27" t="s">
        <v>956</v>
      </c>
      <c r="D5533" s="27" t="s">
        <v>917</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t="s">
        <v>1235</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1046</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932</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140</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1637</v>
      </c>
      <c r="B5538" s="27" t="s">
        <v>937</v>
      </c>
      <c r="C5538" s="27" t="s">
        <v>1023</v>
      </c>
      <c r="D5538" s="27" t="s">
        <v>917</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1638</v>
      </c>
      <c r="B5539" s="27" t="s">
        <v>962</v>
      </c>
      <c r="C5539" s="27" t="s">
        <v>1023</v>
      </c>
      <c r="D5539" s="27" t="s">
        <v>917</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652</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t="s">
        <v>918</v>
      </c>
      <c r="E5541" s="21">
        <f>IF(D5541="?OLD","!!!","")</f>
        <v/>
      </c>
      <c r="F5541" s="22" t="str">
        <f>IF(OR(E5541="",E5541="!!!"),"",IF(NOT(ISNA(VLOOKUP(E5541,E$1:E5540,1,FALSE()))),"OLD",IF(AND(E5541&lt;&gt;"",E5541&lt;&gt;"!!!"),"NEW","")))</f>
        <v> </v>
      </c>
      <c r="G5541" s="23" t="str">
        <f>IF(OR(E5541="",E5541="!!!"),"",IF(OR(J5541=0,AND(J5541=1,K5541=1),AND(J5541=1,I5541="SBJ"),AND(J5541=1,I5541=0)),"?IN_FOCUS",IF(J5541&lt;=2,"?ACTIVATED",IF(J5541&lt;&gt;"","?FAMILIAR",IF(F5541="NEW",IF(ISNA(VLOOKUP(E5541,#REF!,1,FALSE())),"?TYPE_IDENTIFIABLE","?REFERENTIAL"),"_")))))</f>
        <v> </v>
      </c>
      <c r="H5541" s="24" t="str">
        <f>IF(J5541&lt;&gt;1,"",IF(I5541="SBJ","CB","?"))</f>
        <v> </v>
      </c>
      <c r="I5541" s="25" t="str">
        <f>IF(OR(E5541="",E5541="!!!",F5541="NEW"),"",INDEX(B5540:B$2,-1+SUMPRODUCT(MAX(ROW(E5540:E$2)*(E5541=E5540:E$2)))))</f>
        <v> </v>
      </c>
      <c r="J5541" s="25" t="str">
        <f>IF(OR(E5541="",E5541="!!!",F5541="NEW"),"",COUNTBLANK(OFFSET(A$1,,,SUMPRODUCT(MAX(ROW(E$2:E5541)*(E5541=E$2:E5541)))))-COUNTBLANK(OFFSET(A$1,,,SUMPRODUCT(MAX(ROW(E$1:E5540)*(E2=E$1:E5540))))))</f>
        <v> </v>
      </c>
      <c r="K5541" s="25" t="str">
        <f>IF(OR(E5541="",E5541="!!!",F5541="NEW"),"",INDEX(J$1:J5540,SUMPRODUCT(MAX(ROW(E$1:E5540)*(E5541=E$1:E5540)))))</f>
        <v> </v>
      </c>
      <c r="L5541" s="26"/>
    </row>
    <row r="5542" spans="1:12">
      <c r="A5542" s="20" t="s">
        <v>140</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t="s">
        <v>1318</v>
      </c>
      <c r="E5543" s="21">
        <f>IF(D5543="?OLD","!!!","")</f>
        <v/>
      </c>
      <c r="F5543" s="22" t="str">
        <f>IF(OR(E5543="",E5543="!!!"),"",IF(NOT(ISNA(VLOOKUP(E5543,E$1:E5542,1,FALSE()))),"OLD",IF(AND(E5543&lt;&gt;"",E5543&lt;&gt;"!!!"),"NEW","")))</f>
        <v> </v>
      </c>
      <c r="G5543" s="23" t="str">
        <f>IF(OR(E5543="",E5543="!!!"),"",IF(OR(J5543=0,AND(J5543=1,K5543=1),AND(J5543=1,I5543="SBJ"),AND(J5543=1,I5543=0)),"?IN_FOCUS",IF(J5543&lt;=2,"?ACTIVATED",IF(J5543&lt;&gt;"","?FAMILIAR",IF(F5543="NEW",IF(ISNA(VLOOKUP(E5543,#REF!,1,FALSE())),"?TYPE_IDENTIFIABLE","?REFERENTIAL"),"_")))))</f>
        <v> </v>
      </c>
      <c r="H5543" s="24" t="str">
        <f>IF(J5543&lt;&gt;1,"",IF(I5543="SBJ","CB","?"))</f>
        <v> </v>
      </c>
      <c r="I5543" s="25" t="str">
        <f>IF(OR(E5543="",E5543="!!!",F5543="NEW"),"",INDEX(B5542:B$2,-1+SUMPRODUCT(MAX(ROW(E5542:E$2)*(E5543=E5542:E$2)))))</f>
        <v> </v>
      </c>
      <c r="J5543" s="25" t="str">
        <f>IF(OR(E5543="",E5543="!!!",F5543="NEW"),"",COUNTBLANK(OFFSET(A$1,,,SUMPRODUCT(MAX(ROW(E$2:E5543)*(E5543=E$2:E5543)))))-COUNTBLANK(OFFSET(A$1,,,SUMPRODUCT(MAX(ROW(E$1:E5542)*(E2=E$1:E5542))))))</f>
        <v> </v>
      </c>
      <c r="K5543" s="25" t="str">
        <f>IF(OR(E5543="",E5543="!!!",F5543="NEW"),"",INDEX(J$1:J5542,SUMPRODUCT(MAX(ROW(E$1:E5542)*(E5543=E$1:E5542)))))</f>
        <v> </v>
      </c>
      <c r="L5543" s="26"/>
    </row>
    <row r="5544" spans="1:12">
      <c r="A5544" s="20" t="s">
        <v>1398</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949</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2513</v>
      </c>
      <c r="B5546" s="27" t="s">
        <v>1101</v>
      </c>
      <c r="C5546" s="27" t="s">
        <v>916</v>
      </c>
      <c r="D5546" s="27" t="s">
        <v>917</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912</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941</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2514</v>
      </c>
      <c r="B5549" s="27" t="s">
        <v>946</v>
      </c>
      <c r="C5549" s="27" t="s">
        <v>943</v>
      </c>
      <c r="D5549" s="27" t="s">
        <v>917</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960</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2515</v>
      </c>
      <c r="B5551" s="27" t="s">
        <v>962</v>
      </c>
      <c r="C5551" s="27" t="s">
        <v>943</v>
      </c>
      <c r="D5551" s="27" t="s">
        <v>917</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960</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2516</v>
      </c>
      <c r="B5553" s="27" t="s">
        <v>970</v>
      </c>
      <c r="C5553" s="27" t="s">
        <v>1023</v>
      </c>
      <c r="D5553" s="27" t="s">
        <v>917</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918</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t="s">
        <v>1112</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1212</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1349</v>
      </c>
      <c r="B5557" s="27" t="s">
        <v>1090</v>
      </c>
      <c r="C5557" s="27" t="s">
        <v>938</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927</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399</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919</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399</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918</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t="s">
        <v>919</v>
      </c>
      <c r="E5563" s="21">
        <f>IF(D5563="?OLD","!!!","")</f>
        <v/>
      </c>
      <c r="F5563" s="22" t="str">
        <f>IF(OR(E5563="",E5563="!!!"),"",IF(NOT(ISNA(VLOOKUP(E5563,E$1:E5562,1,FALSE()))),"OLD",IF(AND(E5563&lt;&gt;"",E5563&lt;&gt;"!!!"),"NEW","")))</f>
        <v> </v>
      </c>
      <c r="G5563" s="23" t="str">
        <f>IF(OR(E5563="",E5563="!!!"),"",IF(OR(J5563=0,AND(J5563=1,K5563=1),AND(J5563=1,I5563="SBJ"),AND(J5563=1,I5563=0)),"?IN_FOCUS",IF(J5563&lt;=2,"?ACTIVATED",IF(J5563&lt;&gt;"","?FAMILIAR",IF(F5563="NEW",IF(ISNA(VLOOKUP(E5563,#REF!,1,FALSE())),"?TYPE_IDENTIFIABLE","?REFERENTIAL"),"_")))))</f>
        <v> </v>
      </c>
      <c r="H5563" s="24" t="str">
        <f>IF(J5563&lt;&gt;1,"",IF(I5563="SBJ","CB","?"))</f>
        <v> </v>
      </c>
      <c r="I5563" s="25" t="str">
        <f>IF(OR(E5563="",E5563="!!!",F5563="NEW"),"",INDEX(B5562:B$2,-1+SUMPRODUCT(MAX(ROW(E5562:E$2)*(E5563=E5562:E$2)))))</f>
        <v> </v>
      </c>
      <c r="J5563" s="25" t="str">
        <f>IF(OR(E5563="",E5563="!!!",F5563="NEW"),"",COUNTBLANK(OFFSET(A$1,,,SUMPRODUCT(MAX(ROW(E$2:E5563)*(E5563=E$2:E5563)))))-COUNTBLANK(OFFSET(A$1,,,SUMPRODUCT(MAX(ROW(E$1:E5562)*(E2=E$1:E5562))))))</f>
        <v> </v>
      </c>
      <c r="K5563" s="25" t="str">
        <f>IF(OR(E5563="",E5563="!!!",F5563="NEW"),"",INDEX(J$1:J5562,SUMPRODUCT(MAX(ROW(E$1:E5562)*(E5563=E$1:E5562)))))</f>
        <v> </v>
      </c>
      <c r="L5563" s="26"/>
    </row>
    <row r="5564" spans="1:12">
      <c r="A5564" s="20" t="s">
        <v>1019</v>
      </c>
      <c r="E5564" s="21">
        <f>IF(D5564="?OLD","!!!","")</f>
        <v/>
      </c>
      <c r="F5564" s="22" t="str">
        <f>IF(OR(E5564="",E5564="!!!"),"",IF(NOT(ISNA(VLOOKUP(E5564,E$1:E5563,1,FALSE()))),"OLD",IF(AND(E5564&lt;&gt;"",E5564&lt;&gt;"!!!"),"NEW","")))</f>
        <v> </v>
      </c>
      <c r="G5564" s="23" t="str">
        <f>IF(OR(E5564="",E5564="!!!"),"",IF(OR(J5564=0,AND(J5564=1,K5564=1),AND(J5564=1,I5564="SBJ"),AND(J5564=1,I5564=0)),"?IN_FOCUS",IF(J5564&lt;=2,"?ACTIVATED",IF(J5564&lt;&gt;"","?FAMILIAR",IF(F5564="NEW",IF(ISNA(VLOOKUP(E5564,#REF!,1,FALSE())),"?TYPE_IDENTIFIABLE","?REFERENTIAL"),"_")))))</f>
        <v> </v>
      </c>
      <c r="H5564" s="24" t="str">
        <f>IF(J5564&lt;&gt;1,"",IF(I5564="SBJ","CB","?"))</f>
        <v> </v>
      </c>
      <c r="I5564" s="25" t="str">
        <f>IF(OR(E5564="",E5564="!!!",F5564="NEW"),"",INDEX(B5563:B$2,-1+SUMPRODUCT(MAX(ROW(E5563:E$2)*(E5564=E5563:E$2)))))</f>
        <v> </v>
      </c>
      <c r="J5564" s="25" t="str">
        <f>IF(OR(E5564="",E5564="!!!",F5564="NEW"),"",COUNTBLANK(OFFSET(A$1,,,SUMPRODUCT(MAX(ROW(E$2:E5564)*(E5564=E$2:E5564)))))-COUNTBLANK(OFFSET(A$1,,,SUMPRODUCT(MAX(ROW(E$1:E5563)*(E2=E$1:E5563))))))</f>
        <v> </v>
      </c>
      <c r="K5564" s="25" t="str">
        <f>IF(OR(E5564="",E5564="!!!",F5564="NEW"),"",INDEX(J$1:J5563,SUMPRODUCT(MAX(ROW(E$1:E5563)*(E5564=E$1:E5563)))))</f>
        <v> </v>
      </c>
      <c r="L5564" s="26"/>
    </row>
    <row r="5565" spans="1:12">
      <c r="A5565" s="20" t="s">
        <v>1187</v>
      </c>
      <c r="B5565" s="27" t="s">
        <v>973</v>
      </c>
      <c r="C5565" s="27" t="s">
        <v>916</v>
      </c>
      <c r="D5565" s="27" t="s">
        <v>917</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966</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1367</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1074</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963</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t="s">
        <v>927</v>
      </c>
      <c r="E5570" s="21">
        <f>IF(D5570="?OLD","!!!","")</f>
        <v/>
      </c>
      <c r="F5570" s="22" t="str">
        <f>IF(OR(E5570="",E5570="!!!"),"",IF(NOT(ISNA(VLOOKUP(E5570,E$1:E5569,1,FALSE()))),"OLD",IF(AND(E5570&lt;&gt;"",E5570&lt;&gt;"!!!"),"NEW","")))</f>
        <v> </v>
      </c>
      <c r="G5570" s="23" t="str">
        <f>IF(OR(E5570="",E5570="!!!"),"",IF(OR(J5570=0,AND(J5570=1,K5570=1),AND(J5570=1,I5570="SBJ"),AND(J5570=1,I5570=0)),"?IN_FOCUS",IF(J5570&lt;=2,"?ACTIVATED",IF(J5570&lt;&gt;"","?FAMILIAR",IF(F5570="NEW",IF(ISNA(VLOOKUP(E5570,#REF!,1,FALSE())),"?TYPE_IDENTIFIABLE","?REFERENTIAL"),"_")))))</f>
        <v> </v>
      </c>
      <c r="H5570" s="24" t="str">
        <f>IF(J5570&lt;&gt;1,"",IF(I5570="SBJ","CB","?"))</f>
        <v> </v>
      </c>
      <c r="I5570" s="25" t="str">
        <f>IF(OR(E5570="",E5570="!!!",F5570="NEW"),"",INDEX(B5569:B$2,-1+SUMPRODUCT(MAX(ROW(E5569:E$2)*(E5570=E5569:E$2)))))</f>
        <v> </v>
      </c>
      <c r="J5570" s="25" t="str">
        <f>IF(OR(E5570="",E5570="!!!",F5570="NEW"),"",COUNTBLANK(OFFSET(A$1,,,SUMPRODUCT(MAX(ROW(E$2:E5570)*(E5570=E$2:E5570)))))-COUNTBLANK(OFFSET(A$1,,,SUMPRODUCT(MAX(ROW(E$1:E5569)*(E2=E$1:E5569))))))</f>
        <v> </v>
      </c>
      <c r="K5570" s="25" t="str">
        <f>IF(OR(E5570="",E5570="!!!",F5570="NEW"),"",INDEX(J$1:J5569,SUMPRODUCT(MAX(ROW(E$1:E5569)*(E5570=E$1:E5569)))))</f>
        <v> </v>
      </c>
      <c r="L5570" s="26"/>
    </row>
    <row r="5571" spans="1:12">
      <c r="A5571" s="20" t="s">
        <v>60</v>
      </c>
      <c r="E5571" s="21">
        <f>IF(D5571="?OLD","!!!","")</f>
        <v/>
      </c>
      <c r="F5571" s="22" t="str">
        <f>IF(OR(E5571="",E5571="!!!"),"",IF(NOT(ISNA(VLOOKUP(E5571,E$1:E5570,1,FALSE()))),"OLD",IF(AND(E5571&lt;&gt;"",E5571&lt;&gt;"!!!"),"NEW","")))</f>
        <v> </v>
      </c>
      <c r="G5571" s="23" t="str">
        <f>IF(OR(E5571="",E5571="!!!"),"",IF(OR(J5571=0,AND(J5571=1,K5571=1),AND(J5571=1,I5571="SBJ"),AND(J5571=1,I5571=0)),"?IN_FOCUS",IF(J5571&lt;=2,"?ACTIVATED",IF(J5571&lt;&gt;"","?FAMILIAR",IF(F5571="NEW",IF(ISNA(VLOOKUP(E5571,#REF!,1,FALSE())),"?TYPE_IDENTIFIABLE","?REFERENTIAL"),"_")))))</f>
        <v> </v>
      </c>
      <c r="H5571" s="24" t="str">
        <f>IF(J5571&lt;&gt;1,"",IF(I5571="SBJ","CB","?"))</f>
        <v> </v>
      </c>
      <c r="I5571" s="25" t="str">
        <f>IF(OR(E5571="",E5571="!!!",F5571="NEW"),"",INDEX(B5570:B$2,-1+SUMPRODUCT(MAX(ROW(E5570:E$2)*(E5571=E5570:E$2)))))</f>
        <v> </v>
      </c>
      <c r="J5571" s="25" t="str">
        <f>IF(OR(E5571="",E5571="!!!",F5571="NEW"),"",COUNTBLANK(OFFSET(A$1,,,SUMPRODUCT(MAX(ROW(E$2:E5571)*(E5571=E$2:E5571)))))-COUNTBLANK(OFFSET(A$1,,,SUMPRODUCT(MAX(ROW(E$1:E5570)*(E2=E$1:E5570))))))</f>
        <v> </v>
      </c>
      <c r="K5571" s="25" t="str">
        <f>IF(OR(E5571="",E5571="!!!",F5571="NEW"),"",INDEX(J$1:J5570,SUMPRODUCT(MAX(ROW(E$1:E5570)*(E5571=E$1:E5570)))))</f>
        <v> </v>
      </c>
      <c r="L5571" s="26"/>
    </row>
    <row r="5572" spans="1:12">
      <c r="A5572" s="20" t="s">
        <v>1112</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1525</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1426</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2517</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918</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1413</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1148</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918</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t="s">
        <v>140</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1106</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1045</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1426</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2518</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918</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1112</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1044</v>
      </c>
      <c r="B5587" s="27" t="s">
        <v>1090</v>
      </c>
      <c r="C5587" s="27" t="s">
        <v>956</v>
      </c>
      <c r="D5587" s="27" t="s">
        <v>917</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2519</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932</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140</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row>
    <row r="5592" spans="1:12">
      <c r="A5592" s="20" t="s">
        <v>2520</v>
      </c>
    </row>
    <row r="5593" spans="1:12">
      <c r="A5593" s="20" t="s">
        <v>2521</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1084</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2522</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918</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t="s">
        <v>1084</v>
      </c>
      <c r="E5597" s="21">
        <f>IF(D5597="?OLD","!!!","")</f>
        <v/>
      </c>
      <c r="F5597" s="22" t="str">
        <f>IF(OR(E5597="",E5597="!!!"),"",IF(NOT(ISNA(VLOOKUP(E5597,E$1:E5596,1,FALSE()))),"OLD",IF(AND(E5597&lt;&gt;"",E5597&lt;&gt;"!!!"),"NEW","")))</f>
        <v> </v>
      </c>
      <c r="G5597" s="23" t="str">
        <f>IF(OR(E5597="",E5597="!!!"),"",IF(OR(J5597=0,AND(J5597=1,K5597=1),AND(J5597=1,I5597="SBJ"),AND(J5597=1,I5597=0)),"?IN_FOCUS",IF(J5597&lt;=2,"?ACTIVATED",IF(J5597&lt;&gt;"","?FAMILIAR",IF(F5597="NEW",IF(ISNA(VLOOKUP(E5597,#REF!,1,FALSE())),"?TYPE_IDENTIFIABLE","?REFERENTIAL"),"_")))))</f>
        <v> </v>
      </c>
      <c r="H5597" s="24" t="str">
        <f>IF(J5597&lt;&gt;1,"",IF(I5597="SBJ","CB","?"))</f>
        <v> </v>
      </c>
      <c r="I5597" s="25" t="str">
        <f>IF(OR(E5597="",E5597="!!!",F5597="NEW"),"",INDEX(B5596:B$2,-1+SUMPRODUCT(MAX(ROW(E5596:E$2)*(E5597=E5596:E$2)))))</f>
        <v> </v>
      </c>
      <c r="J5597" s="25" t="str">
        <f>IF(OR(E5597="",E5597="!!!",F5597="NEW"),"",COUNTBLANK(OFFSET(A$1,,,SUMPRODUCT(MAX(ROW(E$2:E5597)*(E5597=E$2:E5597)))))-COUNTBLANK(OFFSET(A$1,,,SUMPRODUCT(MAX(ROW(E$1:E5596)*(E2=E$1:E5596))))))</f>
        <v> </v>
      </c>
      <c r="K5597" s="25" t="str">
        <f>IF(OR(E5597="",E5597="!!!",F5597="NEW"),"",INDEX(J$1:J5596,SUMPRODUCT(MAX(ROW(E$1:E5596)*(E5597=E$1:E5596)))))</f>
        <v> </v>
      </c>
      <c r="L5597" s="26"/>
    </row>
    <row r="5598" spans="1:12">
      <c r="A5598" s="20" t="s">
        <v>2522</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927</v>
      </c>
      <c r="E5599" s="21">
        <f>IF(D5599="?OLD","!!!","")</f>
        <v/>
      </c>
      <c r="F5599" s="22" t="str">
        <f>IF(OR(E5599="",E5599="!!!"),"",IF(NOT(ISNA(VLOOKUP(E5599,E$1:E5598,1,FALSE()))),"OLD",IF(AND(E5599&lt;&gt;"",E5599&lt;&gt;"!!!"),"NEW","")))</f>
        <v> </v>
      </c>
      <c r="G5599" s="23" t="str">
        <f>IF(OR(E5599="",E5599="!!!"),"",IF(OR(J5599=0,AND(J5599=1,K5599=1),AND(J5599=1,I5599="SBJ"),AND(J5599=1,I5599=0)),"?IN_FOCUS",IF(J5599&lt;=2,"?ACTIVATED",IF(J5599&lt;&gt;"","?FAMILIAR",IF(F5599="NEW",IF(ISNA(VLOOKUP(E5599,#REF!,1,FALSE())),"?TYPE_IDENTIFIABLE","?REFERENTIAL"),"_")))))</f>
        <v> </v>
      </c>
      <c r="H5599" s="24" t="str">
        <f>IF(J5599&lt;&gt;1,"",IF(I5599="SBJ","CB","?"))</f>
        <v> </v>
      </c>
      <c r="I5599" s="25" t="str">
        <f>IF(OR(E5599="",E5599="!!!",F5599="NEW"),"",INDEX(B5598:B$2,-1+SUMPRODUCT(MAX(ROW(E5598:E$2)*(E5599=E5598:E$2)))))</f>
        <v> </v>
      </c>
      <c r="J5599" s="25" t="str">
        <f>IF(OR(E5599="",E5599="!!!",F5599="NEW"),"",COUNTBLANK(OFFSET(A$1,,,SUMPRODUCT(MAX(ROW(E$2:E5599)*(E5599=E$2:E5599)))))-COUNTBLANK(OFFSET(A$1,,,SUMPRODUCT(MAX(ROW(E$1:E5598)*(E2=E$1:E5598))))))</f>
        <v> </v>
      </c>
      <c r="K5599" s="25" t="str">
        <f>IF(OR(E5599="",E5599="!!!",F5599="NEW"),"",INDEX(J$1:J5598,SUMPRODUCT(MAX(ROW(E$1:E5598)*(E5599=E$1:E5598)))))</f>
        <v> </v>
      </c>
      <c r="L5599" s="26"/>
    </row>
    <row r="5600" spans="1:12">
      <c r="A5600" s="20" t="s">
        <v>1112</v>
      </c>
      <c r="E5600" s="21">
        <f>IF(D5600="?OLD","!!!","")</f>
        <v/>
      </c>
      <c r="F5600" s="22" t="str">
        <f>IF(OR(E5600="",E5600="!!!"),"",IF(NOT(ISNA(VLOOKUP(E5600,E$1:E5599,1,FALSE()))),"OLD",IF(AND(E5600&lt;&gt;"",E5600&lt;&gt;"!!!"),"NEW","")))</f>
        <v> </v>
      </c>
      <c r="G5600" s="23" t="str">
        <f>IF(OR(E5600="",E5600="!!!"),"",IF(OR(J5600=0,AND(J5600=1,K5600=1),AND(J5600=1,I5600="SBJ"),AND(J5600=1,I5600=0)),"?IN_FOCUS",IF(J5600&lt;=2,"?ACTIVATED",IF(J5600&lt;&gt;"","?FAMILIAR",IF(F5600="NEW",IF(ISNA(VLOOKUP(E5600,#REF!,1,FALSE())),"?TYPE_IDENTIFIABLE","?REFERENTIAL"),"_")))))</f>
        <v> </v>
      </c>
      <c r="H5600" s="24" t="str">
        <f>IF(J5600&lt;&gt;1,"",IF(I5600="SBJ","CB","?"))</f>
        <v> </v>
      </c>
      <c r="I5600" s="25" t="str">
        <f>IF(OR(E5600="",E5600="!!!",F5600="NEW"),"",INDEX(B5599:B$2,-1+SUMPRODUCT(MAX(ROW(E5599:E$2)*(E5600=E5599:E$2)))))</f>
        <v> </v>
      </c>
      <c r="J5600" s="25" t="str">
        <f>IF(OR(E5600="",E5600="!!!",F5600="NEW"),"",COUNTBLANK(OFFSET(A$1,,,SUMPRODUCT(MAX(ROW(E$2:E5600)*(E5600=E$2:E5600)))))-COUNTBLANK(OFFSET(A$1,,,SUMPRODUCT(MAX(ROW(E$1:E5599)*(E2=E$1:E5599))))))</f>
        <v> </v>
      </c>
      <c r="K5600" s="25" t="str">
        <f>IF(OR(E5600="",E5600="!!!",F5600="NEW"),"",INDEX(J$1:J5599,SUMPRODUCT(MAX(ROW(E$1:E5599)*(E5600=E$1:E5599)))))</f>
        <v> </v>
      </c>
      <c r="L5600" s="26"/>
    </row>
    <row r="5601" spans="1:12">
      <c r="A5601" s="20" t="s">
        <v>2523</v>
      </c>
      <c r="E5601" s="21">
        <f>IF(D5601="?OLD","!!!","")</f>
        <v/>
      </c>
      <c r="F5601" s="22" t="str">
        <f>IF(OR(E5601="",E5601="!!!"),"",IF(NOT(ISNA(VLOOKUP(E5601,E$1:E5600,1,FALSE()))),"OLD",IF(AND(E5601&lt;&gt;"",E5601&lt;&gt;"!!!"),"NEW","")))</f>
        <v> </v>
      </c>
      <c r="G5601" s="23" t="str">
        <f>IF(OR(E5601="",E5601="!!!"),"",IF(OR(J5601=0,AND(J5601=1,K5601=1),AND(J5601=1,I5601="SBJ"),AND(J5601=1,I5601=0)),"?IN_FOCUS",IF(J5601&lt;=2,"?ACTIVATED",IF(J5601&lt;&gt;"","?FAMILIAR",IF(F5601="NEW",IF(ISNA(VLOOKUP(E5601,#REF!,1,FALSE())),"?TYPE_IDENTIFIABLE","?REFERENTIAL"),"_")))))</f>
        <v> </v>
      </c>
      <c r="H5601" s="24" t="str">
        <f>IF(J5601&lt;&gt;1,"",IF(I5601="SBJ","CB","?"))</f>
        <v> </v>
      </c>
      <c r="I5601" s="25" t="str">
        <f>IF(OR(E5601="",E5601="!!!",F5601="NEW"),"",INDEX(B5600:B$2,-1+SUMPRODUCT(MAX(ROW(E5600:E$2)*(E5601=E5600:E$2)))))</f>
        <v> </v>
      </c>
      <c r="J5601" s="25" t="str">
        <f>IF(OR(E5601="",E5601="!!!",F5601="NEW"),"",COUNTBLANK(OFFSET(A$1,,,SUMPRODUCT(MAX(ROW(E$2:E5601)*(E5601=E$2:E5601)))))-COUNTBLANK(OFFSET(A$1,,,SUMPRODUCT(MAX(ROW(E$1:E5600)*(E2=E$1:E5600))))))</f>
        <v> </v>
      </c>
      <c r="K5601" s="25" t="str">
        <f>IF(OR(E5601="",E5601="!!!",F5601="NEW"),"",INDEX(J$1:J5600,SUMPRODUCT(MAX(ROW(E$1:E5600)*(E5601=E$1:E5600)))))</f>
        <v> </v>
      </c>
      <c r="L5601" s="26"/>
    </row>
    <row r="5602" spans="1:12">
      <c r="A5602" s="20" t="s">
        <v>1398</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1349</v>
      </c>
      <c r="B5603" s="27" t="s">
        <v>1090</v>
      </c>
      <c r="C5603" s="27" t="s">
        <v>938</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927</v>
      </c>
      <c r="B5604" s="27" t="s">
        <v>1197</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2524</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1102</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1312</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2424</v>
      </c>
      <c r="B5608" s="27" t="s">
        <v>973</v>
      </c>
      <c r="C5608" s="27" t="s">
        <v>1012</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932</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row>
    <row r="5611" spans="1:12">
      <c r="A5611" s="20" t="s">
        <v>2525</v>
      </c>
    </row>
    <row r="5612" spans="1:12">
      <c r="A5612" s="20" t="s">
        <v>1217</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2526</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1001</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2527</v>
      </c>
      <c r="B5615" s="27" t="s">
        <v>915</v>
      </c>
      <c r="C5615" s="27" t="s">
        <v>911</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912</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1367</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1112</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1288</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t="s">
        <v>1600</v>
      </c>
      <c r="E5620" s="21">
        <f>IF(D5620="?OLD","!!!","")</f>
        <v/>
      </c>
      <c r="F5620" s="22" t="str">
        <f>IF(OR(E5620="",E5620="!!!"),"",IF(NOT(ISNA(VLOOKUP(E5620,E$1:E5619,1,FALSE()))),"OLD",IF(AND(E5620&lt;&gt;"",E5620&lt;&gt;"!!!"),"NEW","")))</f>
        <v> </v>
      </c>
      <c r="G5620" s="23" t="str">
        <f>IF(OR(E5620="",E5620="!!!"),"",IF(OR(J5620=0,AND(J5620=1,K5620=1),AND(J5620=1,I5620="SBJ"),AND(J5620=1,I5620=0)),"?IN_FOCUS",IF(J5620&lt;=2,"?ACTIVATED",IF(J5620&lt;&gt;"","?FAMILIAR",IF(F5620="NEW",IF(ISNA(VLOOKUP(E5620,#REF!,1,FALSE())),"?TYPE_IDENTIFIABLE","?REFERENTIAL"),"_")))))</f>
        <v> </v>
      </c>
      <c r="H5620" s="24" t="str">
        <f>IF(J5620&lt;&gt;1,"",IF(I5620="SBJ","CB","?"))</f>
        <v> </v>
      </c>
      <c r="I5620" s="25" t="str">
        <f>IF(OR(E5620="",E5620="!!!",F5620="NEW"),"",INDEX(B5619:B$2,-1+SUMPRODUCT(MAX(ROW(E5619:E$2)*(E5620=E5619:E$2)))))</f>
        <v> </v>
      </c>
      <c r="J5620" s="25" t="str">
        <f>IF(OR(E5620="",E5620="!!!",F5620="NEW"),"",COUNTBLANK(OFFSET(A$1,,,SUMPRODUCT(MAX(ROW(E$2:E5620)*(E5620=E$2:E5620)))))-COUNTBLANK(OFFSET(A$1,,,SUMPRODUCT(MAX(ROW(E$1:E5619)*(E2=E$1:E5619))))))</f>
        <v> </v>
      </c>
      <c r="K5620" s="25" t="str">
        <f>IF(OR(E5620="",E5620="!!!",F5620="NEW"),"",INDEX(J$1:J5619,SUMPRODUCT(MAX(ROW(E$1:E5619)*(E5620=E$1:E5619)))))</f>
        <v> </v>
      </c>
      <c r="L5620" s="26"/>
    </row>
    <row r="5621" spans="1:12">
      <c r="A5621" s="20" t="s">
        <v>1194</v>
      </c>
      <c r="E5621" s="21">
        <f>IF(D5621="?OLD","!!!","")</f>
        <v/>
      </c>
      <c r="F5621" s="22" t="str">
        <f>IF(OR(E5621="",E5621="!!!"),"",IF(NOT(ISNA(VLOOKUP(E5621,E$1:E5620,1,FALSE()))),"OLD",IF(AND(E5621&lt;&gt;"",E5621&lt;&gt;"!!!"),"NEW","")))</f>
        <v> </v>
      </c>
      <c r="G5621" s="23" t="str">
        <f>IF(OR(E5621="",E5621="!!!"),"",IF(OR(J5621=0,AND(J5621=1,K5621=1),AND(J5621=1,I5621="SBJ"),AND(J5621=1,I5621=0)),"?IN_FOCUS",IF(J5621&lt;=2,"?ACTIVATED",IF(J5621&lt;&gt;"","?FAMILIAR",IF(F5621="NEW",IF(ISNA(VLOOKUP(E5621,#REF!,1,FALSE())),"?TYPE_IDENTIFIABLE","?REFERENTIAL"),"_")))))</f>
        <v> </v>
      </c>
      <c r="H5621" s="24" t="str">
        <f>IF(J5621&lt;&gt;1,"",IF(I5621="SBJ","CB","?"))</f>
        <v> </v>
      </c>
      <c r="I5621" s="25" t="str">
        <f>IF(OR(E5621="",E5621="!!!",F5621="NEW"),"",INDEX(B5620:B$2,-1+SUMPRODUCT(MAX(ROW(E5620:E$2)*(E5621=E5620:E$2)))))</f>
        <v> </v>
      </c>
      <c r="J5621" s="25" t="str">
        <f>IF(OR(E5621="",E5621="!!!",F5621="NEW"),"",COUNTBLANK(OFFSET(A$1,,,SUMPRODUCT(MAX(ROW(E$2:E5621)*(E5621=E$2:E5621)))))-COUNTBLANK(OFFSET(A$1,,,SUMPRODUCT(MAX(ROW(E$1:E5620)*(E2=E$1:E5620))))))</f>
        <v> </v>
      </c>
      <c r="K5621" s="25" t="str">
        <f>IF(OR(E5621="",E5621="!!!",F5621="NEW"),"",INDEX(J$1:J5620,SUMPRODUCT(MAX(ROW(E$1:E5620)*(E5621=E$1:E5620)))))</f>
        <v> </v>
      </c>
      <c r="L5621" s="26"/>
    </row>
    <row r="5622" spans="1:12">
      <c r="A5622" s="20" t="s">
        <v>2516</v>
      </c>
      <c r="B5622" s="27" t="s">
        <v>946</v>
      </c>
      <c r="C5622" s="27" t="s">
        <v>1023</v>
      </c>
      <c r="D5622" s="27" t="s">
        <v>917</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919</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1112</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1372</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2528</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918</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1119</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1299</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963</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2501</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913</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1398</v>
      </c>
      <c r="B5633" s="27" t="s">
        <v>1147</v>
      </c>
      <c r="C5633" s="27" t="s">
        <v>916</v>
      </c>
      <c r="D5633" s="27" t="s">
        <v>917</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927</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t="s">
        <v>1539</v>
      </c>
      <c r="B5635" s="27" t="s">
        <v>1533</v>
      </c>
      <c r="C5635" s="27" t="s">
        <v>956</v>
      </c>
      <c r="D5635" s="27" t="s">
        <v>917</v>
      </c>
      <c r="E5635" s="21">
        <f>IF(D5635="?OLD","!!!","")</f>
        <v/>
      </c>
      <c r="F5635" s="22" t="str">
        <f>IF(OR(E5635="",E5635="!!!"),"",IF(NOT(ISNA(VLOOKUP(E5635,E$1:E5634,1,FALSE()))),"OLD",IF(AND(E5635&lt;&gt;"",E5635&lt;&gt;"!!!"),"NEW","")))</f>
        <v> </v>
      </c>
      <c r="G5635" s="23" t="str">
        <f>IF(OR(E5635="",E5635="!!!"),"",IF(OR(J5635=0,AND(J5635=1,K5635=1),AND(J5635=1,I5635="SBJ"),AND(J5635=1,I5635=0)),"?IN_FOCUS",IF(J5635&lt;=2,"?ACTIVATED",IF(J5635&lt;&gt;"","?FAMILIAR",IF(F5635="NEW",IF(ISNA(VLOOKUP(E5635,#REF!,1,FALSE())),"?TYPE_IDENTIFIABLE","?REFERENTIAL"),"_")))))</f>
        <v> </v>
      </c>
      <c r="H5635" s="24" t="str">
        <f>IF(J5635&lt;&gt;1,"",IF(I5635="SBJ","CB","?"))</f>
        <v> </v>
      </c>
      <c r="I5635" s="25" t="str">
        <f>IF(OR(E5635="",E5635="!!!",F5635="NEW"),"",INDEX(B5634:B$2,-1+SUMPRODUCT(MAX(ROW(E5634:E$2)*(E5635=E5634:E$2)))))</f>
        <v> </v>
      </c>
      <c r="J5635" s="25" t="str">
        <f>IF(OR(E5635="",E5635="!!!",F5635="NEW"),"",COUNTBLANK(OFFSET(A$1,,,SUMPRODUCT(MAX(ROW(E$2:E5635)*(E5635=E$2:E5635)))))-COUNTBLANK(OFFSET(A$1,,,SUMPRODUCT(MAX(ROW(E$1:E5634)*(E2=E$1:E5634))))))</f>
        <v> </v>
      </c>
      <c r="K5635" s="25" t="str">
        <f>IF(OR(E5635="",E5635="!!!",F5635="NEW"),"",INDEX(J$1:J5634,SUMPRODUCT(MAX(ROW(E$1:E5634)*(E5635=E$1:E5634)))))</f>
        <v> </v>
      </c>
      <c r="L5635" s="26"/>
    </row>
    <row r="5636" spans="1:12">
      <c r="A5636" s="20" t="s">
        <v>1023</v>
      </c>
      <c r="B5636" s="27" t="s">
        <v>1534</v>
      </c>
      <c r="C5636" s="27" t="s">
        <v>956</v>
      </c>
      <c r="D5636" s="27" t="s">
        <v>917</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t="s">
        <v>1525</v>
      </c>
      <c r="E5637" s="21">
        <f>IF(D5637="?OLD","!!!","")</f>
        <v/>
      </c>
      <c r="F5637" s="22" t="str">
        <f>IF(OR(E5637="",E5637="!!!"),"",IF(NOT(ISNA(VLOOKUP(E5637,E$1:E5636,1,FALSE()))),"OLD",IF(AND(E5637&lt;&gt;"",E5637&lt;&gt;"!!!"),"NEW","")))</f>
        <v> </v>
      </c>
      <c r="G5637" s="23" t="str">
        <f>IF(OR(E5637="",E5637="!!!"),"",IF(OR(J5637=0,AND(J5637=1,K5637=1),AND(J5637=1,I5637="SBJ"),AND(J5637=1,I5637=0)),"?IN_FOCUS",IF(J5637&lt;=2,"?ACTIVATED",IF(J5637&lt;&gt;"","?FAMILIAR",IF(F5637="NEW",IF(ISNA(VLOOKUP(E5637,#REF!,1,FALSE())),"?TYPE_IDENTIFIABLE","?REFERENTIAL"),"_")))))</f>
        <v> </v>
      </c>
      <c r="H5637" s="24" t="str">
        <f>IF(J5637&lt;&gt;1,"",IF(I5637="SBJ","CB","?"))</f>
        <v> </v>
      </c>
      <c r="I5637" s="25" t="str">
        <f>IF(OR(E5637="",E5637="!!!",F5637="NEW"),"",INDEX(B5636:B$2,-1+SUMPRODUCT(MAX(ROW(E5636:E$2)*(E5637=E5636:E$2)))))</f>
        <v> </v>
      </c>
      <c r="J5637" s="25" t="str">
        <f>IF(OR(E5637="",E5637="!!!",F5637="NEW"),"",COUNTBLANK(OFFSET(A$1,,,SUMPRODUCT(MAX(ROW(E$2:E5637)*(E5637=E$2:E5637)))))-COUNTBLANK(OFFSET(A$1,,,SUMPRODUCT(MAX(ROW(E$1:E5636)*(E2=E$1:E5636))))))</f>
        <v> </v>
      </c>
      <c r="K5637" s="25" t="str">
        <f>IF(OR(E5637="",E5637="!!!",F5637="NEW"),"",INDEX(J$1:J5636,SUMPRODUCT(MAX(ROW(E$1:E5636)*(E5637=E$1:E5636)))))</f>
        <v> </v>
      </c>
      <c r="L5637" s="26"/>
    </row>
    <row r="5638" spans="1:12">
      <c r="A5638" s="20" t="s">
        <v>1526</v>
      </c>
      <c r="E5638" s="21">
        <f>IF(D5638="?OLD","!!!","")</f>
        <v/>
      </c>
      <c r="F5638" s="22" t="str">
        <f>IF(OR(E5638="",E5638="!!!"),"",IF(NOT(ISNA(VLOOKUP(E5638,E$1:E5637,1,FALSE()))),"OLD",IF(AND(E5638&lt;&gt;"",E5638&lt;&gt;"!!!"),"NEW","")))</f>
        <v> </v>
      </c>
      <c r="G5638" s="23" t="str">
        <f>IF(OR(E5638="",E5638="!!!"),"",IF(OR(J5638=0,AND(J5638=1,K5638=1),AND(J5638=1,I5638="SBJ"),AND(J5638=1,I5638=0)),"?IN_FOCUS",IF(J5638&lt;=2,"?ACTIVATED",IF(J5638&lt;&gt;"","?FAMILIAR",IF(F5638="NEW",IF(ISNA(VLOOKUP(E5638,#REF!,1,FALSE())),"?TYPE_IDENTIFIABLE","?REFERENTIAL"),"_")))))</f>
        <v> </v>
      </c>
      <c r="H5638" s="24" t="str">
        <f>IF(J5638&lt;&gt;1,"",IF(I5638="SBJ","CB","?"))</f>
        <v> </v>
      </c>
      <c r="I5638" s="25" t="str">
        <f>IF(OR(E5638="",E5638="!!!",F5638="NEW"),"",INDEX(B5637:B$2,-1+SUMPRODUCT(MAX(ROW(E5637:E$2)*(E5638=E5637:E$2)))))</f>
        <v> </v>
      </c>
      <c r="J5638" s="25" t="str">
        <f>IF(OR(E5638="",E5638="!!!",F5638="NEW"),"",COUNTBLANK(OFFSET(A$1,,,SUMPRODUCT(MAX(ROW(E$2:E5638)*(E5638=E$2:E5638)))))-COUNTBLANK(OFFSET(A$1,,,SUMPRODUCT(MAX(ROW(E$1:E5637)*(E2=E$1:E5637))))))</f>
        <v> </v>
      </c>
      <c r="K5638" s="25" t="str">
        <f>IF(OR(E5638="",E5638="!!!",F5638="NEW"),"",INDEX(J$1:J5637,SUMPRODUCT(MAX(ROW(E$1:E5637)*(E5638=E$1:E5637)))))</f>
        <v> </v>
      </c>
      <c r="L5638" s="26"/>
    </row>
    <row r="5639" spans="1:12">
      <c r="A5639" s="20" t="s">
        <v>919</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2529</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2528</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932</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row>
    <row r="5644" spans="1:12">
      <c r="A5644" s="20" t="s">
        <v>2530</v>
      </c>
    </row>
    <row r="5645" spans="1:12">
      <c r="A5645" s="20" t="s">
        <v>2261</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1970</v>
      </c>
      <c r="B5646" s="27" t="s">
        <v>946</v>
      </c>
      <c r="C5646" s="27" t="s">
        <v>1069</v>
      </c>
      <c r="D5646" s="27" t="s">
        <v>917</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2531</v>
      </c>
      <c r="B5647" s="27" t="s">
        <v>942</v>
      </c>
      <c r="C5647" s="27" t="s">
        <v>916</v>
      </c>
      <c r="D5647" s="27" t="s">
        <v>917</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1045</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1019</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t="s">
        <v>2532</v>
      </c>
      <c r="B5650" s="27" t="s">
        <v>915</v>
      </c>
      <c r="C5650" s="27" t="s">
        <v>1069</v>
      </c>
      <c r="D5650" s="27" t="s">
        <v>917</v>
      </c>
      <c r="E5650" s="21">
        <f>IF(D5650="?OLD","!!!","")</f>
        <v/>
      </c>
      <c r="F5650" s="22" t="str">
        <f>IF(OR(E5650="",E5650="!!!"),"",IF(NOT(ISNA(VLOOKUP(E5650,E$1:E5649,1,FALSE()))),"OLD",IF(AND(E5650&lt;&gt;"",E5650&lt;&gt;"!!!"),"NEW","")))</f>
        <v> </v>
      </c>
      <c r="G5650" s="23" t="str">
        <f>IF(OR(E5650="",E5650="!!!"),"",IF(OR(J5650=0,AND(J5650=1,K5650=1),AND(J5650=1,I5650="SBJ"),AND(J5650=1,I5650=0)),"?IN_FOCUS",IF(J5650&lt;=2,"?ACTIVATED",IF(J5650&lt;&gt;"","?FAMILIAR",IF(F5650="NEW",IF(ISNA(VLOOKUP(E5650,#REF!,1,FALSE())),"?TYPE_IDENTIFIABLE","?REFERENTIAL"),"_")))))</f>
        <v> </v>
      </c>
      <c r="H5650" s="24" t="str">
        <f>IF(J5650&lt;&gt;1,"",IF(I5650="SBJ","CB","?"))</f>
        <v> </v>
      </c>
      <c r="I5650" s="25" t="str">
        <f>IF(OR(E5650="",E5650="!!!",F5650="NEW"),"",INDEX(B5649:B$2,-1+SUMPRODUCT(MAX(ROW(E5649:E$2)*(E5650=E5649:E$2)))))</f>
        <v> </v>
      </c>
      <c r="J5650" s="25" t="str">
        <f>IF(OR(E5650="",E5650="!!!",F5650="NEW"),"",COUNTBLANK(OFFSET(A$1,,,SUMPRODUCT(MAX(ROW(E$2:E5650)*(E5650=E$2:E5650)))))-COUNTBLANK(OFFSET(A$1,,,SUMPRODUCT(MAX(ROW(E$1:E5649)*(E2=E$1:E5649))))))</f>
        <v> </v>
      </c>
      <c r="K5650" s="25" t="str">
        <f>IF(OR(E5650="",E5650="!!!",F5650="NEW"),"",INDEX(J$1:J5649,SUMPRODUCT(MAX(ROW(E$1:E5649)*(E5650=E$1:E5649)))))</f>
        <v> </v>
      </c>
      <c r="L5650" s="26"/>
    </row>
    <row r="5651" spans="1:12">
      <c r="A5651" s="20" t="s">
        <v>2533</v>
      </c>
      <c r="B5651" s="27" t="s">
        <v>915</v>
      </c>
      <c r="C5651" s="27" t="s">
        <v>916</v>
      </c>
      <c r="D5651" s="27" t="s">
        <v>917</v>
      </c>
      <c r="E5651" s="21">
        <f>IF(D5651="?OLD","!!!","")</f>
        <v/>
      </c>
      <c r="F5651" s="22" t="str">
        <f>IF(OR(E5651="",E5651="!!!"),"",IF(NOT(ISNA(VLOOKUP(E5651,E$1:E5650,1,FALSE()))),"OLD",IF(AND(E5651&lt;&gt;"",E5651&lt;&gt;"!!!"),"NEW","")))</f>
        <v> </v>
      </c>
      <c r="G5651" s="23" t="str">
        <f>IF(OR(E5651="",E5651="!!!"),"",IF(OR(J5651=0,AND(J5651=1,K5651=1),AND(J5651=1,I5651="SBJ"),AND(J5651=1,I5651=0)),"?IN_FOCUS",IF(J5651&lt;=2,"?ACTIVATED",IF(J5651&lt;&gt;"","?FAMILIAR",IF(F5651="NEW",IF(ISNA(VLOOKUP(E5651,#REF!,1,FALSE())),"?TYPE_IDENTIFIABLE","?REFERENTIAL"),"_")))))</f>
        <v> </v>
      </c>
      <c r="H5651" s="24" t="str">
        <f>IF(J5651&lt;&gt;1,"",IF(I5651="SBJ","CB","?"))</f>
        <v> </v>
      </c>
      <c r="I5651" s="25" t="str">
        <f>IF(OR(E5651="",E5651="!!!",F5651="NEW"),"",INDEX(B5650:B$2,-1+SUMPRODUCT(MAX(ROW(E5650:E$2)*(E5651=E5650:E$2)))))</f>
        <v> </v>
      </c>
      <c r="J5651" s="25" t="str">
        <f>IF(OR(E5651="",E5651="!!!",F5651="NEW"),"",COUNTBLANK(OFFSET(A$1,,,SUMPRODUCT(MAX(ROW(E$2:E5651)*(E5651=E$2:E5651)))))-COUNTBLANK(OFFSET(A$1,,,SUMPRODUCT(MAX(ROW(E$1:E5650)*(E2=E$1:E5650))))))</f>
        <v> </v>
      </c>
      <c r="K5651" s="25" t="str">
        <f>IF(OR(E5651="",E5651="!!!",F5651="NEW"),"",INDEX(J$1:J5650,SUMPRODUCT(MAX(ROW(E$1:E5650)*(E5651=E$1:E5650)))))</f>
        <v> </v>
      </c>
      <c r="L5651" s="26"/>
    </row>
    <row r="5652" spans="1:12">
      <c r="A5652" s="20" t="s">
        <v>1096</v>
      </c>
      <c r="E5652" s="21">
        <f>IF(D5652="?OLD","!!!","")</f>
        <v/>
      </c>
      <c r="F5652" s="22" t="str">
        <f>IF(OR(E5652="",E5652="!!!"),"",IF(NOT(ISNA(VLOOKUP(E5652,E$1:E5651,1,FALSE()))),"OLD",IF(AND(E5652&lt;&gt;"",E5652&lt;&gt;"!!!"),"NEW","")))</f>
        <v> </v>
      </c>
      <c r="G5652" s="23" t="str">
        <f>IF(OR(E5652="",E5652="!!!"),"",IF(OR(J5652=0,AND(J5652=1,K5652=1),AND(J5652=1,I5652="SBJ"),AND(J5652=1,I5652=0)),"?IN_FOCUS",IF(J5652&lt;=2,"?ACTIVATED",IF(J5652&lt;&gt;"","?FAMILIAR",IF(F5652="NEW",IF(ISNA(VLOOKUP(E5652,#REF!,1,FALSE())),"?TYPE_IDENTIFIABLE","?REFERENTIAL"),"_")))))</f>
        <v> </v>
      </c>
      <c r="H5652" s="24" t="str">
        <f>IF(J5652&lt;&gt;1,"",IF(I5652="SBJ","CB","?"))</f>
        <v> </v>
      </c>
      <c r="I5652" s="25" t="str">
        <f>IF(OR(E5652="",E5652="!!!",F5652="NEW"),"",INDEX(B5651:B$2,-1+SUMPRODUCT(MAX(ROW(E5651:E$2)*(E5652=E5651:E$2)))))</f>
        <v> </v>
      </c>
      <c r="J5652" s="25" t="str">
        <f>IF(OR(E5652="",E5652="!!!",F5652="NEW"),"",COUNTBLANK(OFFSET(A$1,,,SUMPRODUCT(MAX(ROW(E$2:E5652)*(E5652=E$2:E5652)))))-COUNTBLANK(OFFSET(A$1,,,SUMPRODUCT(MAX(ROW(E$1:E5651)*(E2=E$1:E5651))))))</f>
        <v> </v>
      </c>
      <c r="K5652" s="25" t="str">
        <f>IF(OR(E5652="",E5652="!!!",F5652="NEW"),"",INDEX(J$1:J5651,SUMPRODUCT(MAX(ROW(E$1:E5651)*(E5652=E$1:E5651)))))</f>
        <v> </v>
      </c>
      <c r="L5652" s="26"/>
    </row>
    <row r="5653" spans="1:12">
      <c r="A5653" s="20" t="s">
        <v>2534</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932</v>
      </c>
      <c r="E5654" s="21">
        <f>IF(D5654="?OLD","!!!","")</f>
        <v/>
      </c>
      <c r="F5654" s="22" t="str">
        <f>IF(OR(E5654="",E5654="!!!"),"",IF(NOT(ISNA(VLOOKUP(E5654,E$1:E5653,1,FALSE()))),"OLD",IF(AND(E5654&lt;&gt;"",E5654&lt;&gt;"!!!"),"NEW","")))</f>
        <v> </v>
      </c>
      <c r="G5654" s="23" t="str">
        <f>IF(OR(E5654="",E5654="!!!"),"",IF(OR(J5654=0,AND(J5654=1,K5654=1),AND(J5654=1,I5654="SBJ"),AND(J5654=1,I5654=0)),"?IN_FOCUS",IF(J5654&lt;=2,"?ACTIVATED",IF(J5654&lt;&gt;"","?FAMILIAR",IF(F5654="NEW",IF(ISNA(VLOOKUP(E5654,#REF!,1,FALSE())),"?TYPE_IDENTIFIABLE","?REFERENTIAL"),"_")))))</f>
        <v> </v>
      </c>
      <c r="H5654" s="24" t="str">
        <f>IF(J5654&lt;&gt;1,"",IF(I5654="SBJ","CB","?"))</f>
        <v> </v>
      </c>
      <c r="I5654" s="25" t="str">
        <f>IF(OR(E5654="",E5654="!!!",F5654="NEW"),"",INDEX(B5653:B$2,-1+SUMPRODUCT(MAX(ROW(E5653:E$2)*(E5654=E5653:E$2)))))</f>
        <v> </v>
      </c>
      <c r="J5654" s="25" t="str">
        <f>IF(OR(E5654="",E5654="!!!",F5654="NEW"),"",COUNTBLANK(OFFSET(A$1,,,SUMPRODUCT(MAX(ROW(E$2:E5654)*(E5654=E$2:E5654)))))-COUNTBLANK(OFFSET(A$1,,,SUMPRODUCT(MAX(ROW(E$1:E5653)*(E2=E$1:E5653))))))</f>
        <v> </v>
      </c>
      <c r="K5654" s="25" t="str">
        <f>IF(OR(E5654="",E5654="!!!",F5654="NEW"),"",INDEX(J$1:J5653,SUMPRODUCT(MAX(ROW(E$1:E5653)*(E5654=E$1:E5653)))))</f>
        <v> </v>
      </c>
      <c r="L5654" s="26"/>
    </row>
    <row r="5655" spans="1:12">
      <c r="A5655" s="20"/>
    </row>
    <row r="5656" spans="1:12">
      <c r="A5656" s="20" t="s">
        <v>999</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2535</v>
      </c>
    </row>
    <row r="5658" spans="1:12">
      <c r="A5658" s="20" t="s">
        <v>1862</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949</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1379</v>
      </c>
      <c r="B5660" s="27" t="s">
        <v>915</v>
      </c>
      <c r="C5660" s="27" t="s">
        <v>916</v>
      </c>
      <c r="D5660" s="27" t="s">
        <v>917</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1084</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2536</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963</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254</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t="s">
        <v>1104</v>
      </c>
      <c r="E5665" s="21">
        <f>IF(D5665="?OLD","!!!","")</f>
        <v/>
      </c>
      <c r="F5665" s="22" t="str">
        <f>IF(OR(E5665="",E5665="!!!"),"",IF(NOT(ISNA(VLOOKUP(E5665,E$1:E5664,1,FALSE()))),"OLD",IF(AND(E5665&lt;&gt;"",E5665&lt;&gt;"!!!"),"NEW","")))</f>
        <v> </v>
      </c>
      <c r="G5665" s="23" t="str">
        <f>IF(OR(E5665="",E5665="!!!"),"",IF(OR(J5665=0,AND(J5665=1,K5665=1),AND(J5665=1,I5665="SBJ"),AND(J5665=1,I5665=0)),"?IN_FOCUS",IF(J5665&lt;=2,"?ACTIVATED",IF(J5665&lt;&gt;"","?FAMILIAR",IF(F5665="NEW",IF(ISNA(VLOOKUP(E5665,#REF!,1,FALSE())),"?TYPE_IDENTIFIABLE","?REFERENTIAL"),"_")))))</f>
        <v> </v>
      </c>
      <c r="H5665" s="24" t="str">
        <f>IF(J5665&lt;&gt;1,"",IF(I5665="SBJ","CB","?"))</f>
        <v> </v>
      </c>
      <c r="I5665" s="25" t="str">
        <f>IF(OR(E5665="",E5665="!!!",F5665="NEW"),"",INDEX(B5664:B$2,-1+SUMPRODUCT(MAX(ROW(E5664:E$2)*(E5665=E5664:E$2)))))</f>
        <v> </v>
      </c>
      <c r="J5665" s="25" t="str">
        <f>IF(OR(E5665="",E5665="!!!",F5665="NEW"),"",COUNTBLANK(OFFSET(A$1,,,SUMPRODUCT(MAX(ROW(E$2:E5665)*(E5665=E$2:E5665)))))-COUNTBLANK(OFFSET(A$1,,,SUMPRODUCT(MAX(ROW(E$1:E5664)*(E2=E$1:E5664))))))</f>
        <v> </v>
      </c>
      <c r="K5665" s="25" t="str">
        <f>IF(OR(E5665="",E5665="!!!",F5665="NEW"),"",INDEX(J$1:J5664,SUMPRODUCT(MAX(ROW(E$1:E5664)*(E5665=E$1:E5664)))))</f>
        <v> </v>
      </c>
      <c r="L5665" s="26"/>
    </row>
    <row r="5666" spans="1:12">
      <c r="A5666" s="20" t="s">
        <v>676</v>
      </c>
      <c r="B5666" s="27" t="s">
        <v>1101</v>
      </c>
      <c r="C5666" s="27" t="s">
        <v>1052</v>
      </c>
      <c r="D5666" s="27" t="s">
        <v>917</v>
      </c>
      <c r="E5666" s="21">
        <f>IF(D5666="?OLD","!!!","")</f>
        <v/>
      </c>
      <c r="F5666" s="22" t="str">
        <f>IF(OR(E5666="",E5666="!!!"),"",IF(NOT(ISNA(VLOOKUP(E5666,E$1:E5665,1,FALSE()))),"OLD",IF(AND(E5666&lt;&gt;"",E5666&lt;&gt;"!!!"),"NEW","")))</f>
        <v> </v>
      </c>
      <c r="G5666" s="23" t="str">
        <f>IF(OR(E5666="",E5666="!!!"),"",IF(OR(J5666=0,AND(J5666=1,K5666=1),AND(J5666=1,I5666="SBJ"),AND(J5666=1,I5666=0)),"?IN_FOCUS",IF(J5666&lt;=2,"?ACTIVATED",IF(J5666&lt;&gt;"","?FAMILIAR",IF(F5666="NEW",IF(ISNA(VLOOKUP(E5666,#REF!,1,FALSE())),"?TYPE_IDENTIFIABLE","?REFERENTIAL"),"_")))))</f>
        <v> </v>
      </c>
      <c r="H5666" s="24" t="str">
        <f>IF(J5666&lt;&gt;1,"",IF(I5666="SBJ","CB","?"))</f>
        <v> </v>
      </c>
      <c r="I5666" s="25" t="str">
        <f>IF(OR(E5666="",E5666="!!!",F5666="NEW"),"",INDEX(B5665:B$2,-1+SUMPRODUCT(MAX(ROW(E5665:E$2)*(E5666=E5665:E$2)))))</f>
        <v> </v>
      </c>
      <c r="J5666" s="25" t="str">
        <f>IF(OR(E5666="",E5666="!!!",F5666="NEW"),"",COUNTBLANK(OFFSET(A$1,,,SUMPRODUCT(MAX(ROW(E$2:E5666)*(E5666=E$2:E5666)))))-COUNTBLANK(OFFSET(A$1,,,SUMPRODUCT(MAX(ROW(E$1:E5665)*(E2=E$1:E5665))))))</f>
        <v> </v>
      </c>
      <c r="K5666" s="25" t="str">
        <f>IF(OR(E5666="",E5666="!!!",F5666="NEW"),"",INDEX(J$1:J5665,SUMPRODUCT(MAX(ROW(E$1:E5665)*(E5666=E$1:E5665)))))</f>
        <v> </v>
      </c>
      <c r="L5666" s="26"/>
    </row>
    <row r="5667" spans="1:12">
      <c r="A5667" s="20" t="s">
        <v>960</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1367</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1084</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1811</v>
      </c>
      <c r="B5670" s="27" t="s">
        <v>962</v>
      </c>
      <c r="C5670" s="27" t="s">
        <v>974</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932</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140</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row>
    <row r="5674" spans="1:12">
      <c r="A5674" s="20" t="s">
        <v>2537</v>
      </c>
    </row>
    <row r="5675" spans="1:12">
      <c r="A5675" s="20" t="s">
        <v>2538</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949</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1017</v>
      </c>
      <c r="B5677" s="27" t="s">
        <v>1101</v>
      </c>
      <c r="C5677" s="27" t="s">
        <v>943</v>
      </c>
      <c r="D5677" s="27" t="s">
        <v>917</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960</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941</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1336</v>
      </c>
      <c r="B5680" s="27" t="s">
        <v>962</v>
      </c>
      <c r="C5680" s="27" t="s">
        <v>911</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1112</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2539</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941</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t="s">
        <v>2540</v>
      </c>
      <c r="B5684" s="27" t="s">
        <v>910</v>
      </c>
      <c r="C5684" s="27" t="s">
        <v>911</v>
      </c>
      <c r="E5684" s="21">
        <f>IF(D5684="?OLD","!!!","")</f>
        <v/>
      </c>
      <c r="F5684" s="22" t="str">
        <f>IF(OR(E5684="",E5684="!!!"),"",IF(NOT(ISNA(VLOOKUP(E5684,E$1:E5683,1,FALSE()))),"OLD",IF(AND(E5684&lt;&gt;"",E5684&lt;&gt;"!!!"),"NEW","")))</f>
        <v> </v>
      </c>
      <c r="G5684" s="23" t="str">
        <f>IF(OR(E5684="",E5684="!!!"),"",IF(OR(J5684=0,AND(J5684=1,K5684=1),AND(J5684=1,I5684="SBJ"),AND(J5684=1,I5684=0)),"?IN_FOCUS",IF(J5684&lt;=2,"?ACTIVATED",IF(J5684&lt;&gt;"","?FAMILIAR",IF(F5684="NEW",IF(ISNA(VLOOKUP(E5684,#REF!,1,FALSE())),"?TYPE_IDENTIFIABLE","?REFERENTIAL"),"_")))))</f>
        <v> </v>
      </c>
      <c r="H5684" s="24" t="str">
        <f>IF(J5684&lt;&gt;1,"",IF(I5684="SBJ","CB","?"))</f>
        <v> </v>
      </c>
      <c r="I5684" s="25" t="str">
        <f>IF(OR(E5684="",E5684="!!!",F5684="NEW"),"",INDEX(B5683:B$2,-1+SUMPRODUCT(MAX(ROW(E5683:E$2)*(E5684=E5683:E$2)))))</f>
        <v> </v>
      </c>
      <c r="J5684" s="25" t="str">
        <f>IF(OR(E5684="",E5684="!!!",F5684="NEW"),"",COUNTBLANK(OFFSET(A$1,,,SUMPRODUCT(MAX(ROW(E$2:E5684)*(E5684=E$2:E5684)))))-COUNTBLANK(OFFSET(A$1,,,SUMPRODUCT(MAX(ROW(E$1:E5683)*(E2=E$1:E5683))))))</f>
        <v> </v>
      </c>
      <c r="K5684" s="25" t="str">
        <f>IF(OR(E5684="",E5684="!!!",F5684="NEW"),"",INDEX(J$1:J5683,SUMPRODUCT(MAX(ROW(E$1:E5683)*(E5684=E$1:E5683)))))</f>
        <v> </v>
      </c>
      <c r="L5684" s="26"/>
    </row>
    <row r="5685" spans="1:12">
      <c r="A5685" s="20" t="s">
        <v>918</v>
      </c>
      <c r="E5685" s="21">
        <f>IF(D5685="?OLD","!!!","")</f>
        <v/>
      </c>
      <c r="F5685" s="22" t="str">
        <f>IF(OR(E5685="",E5685="!!!"),"",IF(NOT(ISNA(VLOOKUP(E5685,E$1:E5684,1,FALSE()))),"OLD",IF(AND(E5685&lt;&gt;"",E5685&lt;&gt;"!!!"),"NEW","")))</f>
        <v> </v>
      </c>
      <c r="G5685" s="23" t="str">
        <f>IF(OR(E5685="",E5685="!!!"),"",IF(OR(J5685=0,AND(J5685=1,K5685=1),AND(J5685=1,I5685="SBJ"),AND(J5685=1,I5685=0)),"?IN_FOCUS",IF(J5685&lt;=2,"?ACTIVATED",IF(J5685&lt;&gt;"","?FAMILIAR",IF(F5685="NEW",IF(ISNA(VLOOKUP(E5685,#REF!,1,FALSE())),"?TYPE_IDENTIFIABLE","?REFERENTIAL"),"_")))))</f>
        <v> </v>
      </c>
      <c r="H5685" s="24" t="str">
        <f>IF(J5685&lt;&gt;1,"",IF(I5685="SBJ","CB","?"))</f>
        <v> </v>
      </c>
      <c r="I5685" s="25" t="str">
        <f>IF(OR(E5685="",E5685="!!!",F5685="NEW"),"",INDEX(B5684:B$2,-1+SUMPRODUCT(MAX(ROW(E5684:E$2)*(E5685=E5684:E$2)))))</f>
        <v> </v>
      </c>
      <c r="J5685" s="25" t="str">
        <f>IF(OR(E5685="",E5685="!!!",F5685="NEW"),"",COUNTBLANK(OFFSET(A$1,,,SUMPRODUCT(MAX(ROW(E$2:E5685)*(E5685=E$2:E5685)))))-COUNTBLANK(OFFSET(A$1,,,SUMPRODUCT(MAX(ROW(E$1:E5684)*(E2=E$1:E5684))))))</f>
        <v> </v>
      </c>
      <c r="K5685" s="25" t="str">
        <f>IF(OR(E5685="",E5685="!!!",F5685="NEW"),"",INDEX(J$1:J5684,SUMPRODUCT(MAX(ROW(E$1:E5684)*(E5685=E$1:E5684)))))</f>
        <v> </v>
      </c>
      <c r="L5685" s="26"/>
    </row>
    <row r="5686" spans="1:12">
      <c r="A5686" s="20" t="s">
        <v>1119</v>
      </c>
      <c r="E5686" s="21">
        <f>IF(D5686="?OLD","!!!","")</f>
        <v/>
      </c>
      <c r="F5686" s="22" t="str">
        <f>IF(OR(E5686="",E5686="!!!"),"",IF(NOT(ISNA(VLOOKUP(E5686,E$1:E5685,1,FALSE()))),"OLD",IF(AND(E5686&lt;&gt;"",E5686&lt;&gt;"!!!"),"NEW","")))</f>
        <v> </v>
      </c>
      <c r="G5686" s="23" t="str">
        <f>IF(OR(E5686="",E5686="!!!"),"",IF(OR(J5686=0,AND(J5686=1,K5686=1),AND(J5686=1,I5686="SBJ"),AND(J5686=1,I5686=0)),"?IN_FOCUS",IF(J5686&lt;=2,"?ACTIVATED",IF(J5686&lt;&gt;"","?FAMILIAR",IF(F5686="NEW",IF(ISNA(VLOOKUP(E5686,#REF!,1,FALSE())),"?TYPE_IDENTIFIABLE","?REFERENTIAL"),"_")))))</f>
        <v> </v>
      </c>
      <c r="H5686" s="24" t="str">
        <f>IF(J5686&lt;&gt;1,"",IF(I5686="SBJ","CB","?"))</f>
        <v> </v>
      </c>
      <c r="I5686" s="25" t="str">
        <f>IF(OR(E5686="",E5686="!!!",F5686="NEW"),"",INDEX(B5685:B$2,-1+SUMPRODUCT(MAX(ROW(E5685:E$2)*(E5686=E5685:E$2)))))</f>
        <v> </v>
      </c>
      <c r="J5686" s="25" t="str">
        <f>IF(OR(E5686="",E5686="!!!",F5686="NEW"),"",COUNTBLANK(OFFSET(A$1,,,SUMPRODUCT(MAX(ROW(E$2:E5686)*(E5686=E$2:E5686)))))-COUNTBLANK(OFFSET(A$1,,,SUMPRODUCT(MAX(ROW(E$1:E5685)*(E2=E$1:E5685))))))</f>
        <v> </v>
      </c>
      <c r="K5686" s="25" t="str">
        <f>IF(OR(E5686="",E5686="!!!",F5686="NEW"),"",INDEX(J$1:J5685,SUMPRODUCT(MAX(ROW(E$1:E5685)*(E5686=E$1:E5685)))))</f>
        <v> </v>
      </c>
      <c r="L5686" s="26"/>
    </row>
    <row r="5687" spans="1:12">
      <c r="A5687" s="20" t="s">
        <v>1476</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2541</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949</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1951</v>
      </c>
      <c r="B5690" s="27" t="s">
        <v>1101</v>
      </c>
      <c r="C5690" s="27" t="s">
        <v>943</v>
      </c>
      <c r="D5690" s="27" t="s">
        <v>917</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960</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941</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t="s">
        <v>2540</v>
      </c>
      <c r="B5693" s="27" t="s">
        <v>962</v>
      </c>
      <c r="C5693" s="27" t="s">
        <v>911</v>
      </c>
      <c r="E5693" s="21">
        <f>IF(D5693="?OLD","!!!","")</f>
        <v/>
      </c>
      <c r="F5693" s="22" t="str">
        <f>IF(OR(E5693="",E5693="!!!"),"",IF(NOT(ISNA(VLOOKUP(E5693,E$1:E5692,1,FALSE()))),"OLD",IF(AND(E5693&lt;&gt;"",E5693&lt;&gt;"!!!"),"NEW","")))</f>
        <v> </v>
      </c>
      <c r="G5693" s="23" t="str">
        <f>IF(OR(E5693="",E5693="!!!"),"",IF(OR(J5693=0,AND(J5693=1,K5693=1),AND(J5693=1,I5693="SBJ"),AND(J5693=1,I5693=0)),"?IN_FOCUS",IF(J5693&lt;=2,"?ACTIVATED",IF(J5693&lt;&gt;"","?FAMILIAR",IF(F5693="NEW",IF(ISNA(VLOOKUP(E5693,#REF!,1,FALSE())),"?TYPE_IDENTIFIABLE","?REFERENTIAL"),"_")))))</f>
        <v> </v>
      </c>
      <c r="H5693" s="24" t="str">
        <f>IF(J5693&lt;&gt;1,"",IF(I5693="SBJ","CB","?"))</f>
        <v> </v>
      </c>
      <c r="I5693" s="25" t="str">
        <f>IF(OR(E5693="",E5693="!!!",F5693="NEW"),"",INDEX(B5692:B$2,-1+SUMPRODUCT(MAX(ROW(E5692:E$2)*(E5693=E5692:E$2)))))</f>
        <v> </v>
      </c>
      <c r="J5693" s="25" t="str">
        <f>IF(OR(E5693="",E5693="!!!",F5693="NEW"),"",COUNTBLANK(OFFSET(A$1,,,SUMPRODUCT(MAX(ROW(E$2:E5693)*(E5693=E$2:E5693)))))-COUNTBLANK(OFFSET(A$1,,,SUMPRODUCT(MAX(ROW(E$1:E5692)*(E2=E$1:E5692))))))</f>
        <v> </v>
      </c>
      <c r="K5693" s="25" t="str">
        <f>IF(OR(E5693="",E5693="!!!",F5693="NEW"),"",INDEX(J$1:J5692,SUMPRODUCT(MAX(ROW(E$1:E5692)*(E5693=E$1:E5692)))))</f>
        <v> </v>
      </c>
      <c r="L5693" s="26"/>
    </row>
    <row r="5694" spans="1:12">
      <c r="A5694" s="20" t="s">
        <v>918</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919</v>
      </c>
      <c r="E5695" s="21">
        <f>IF(D5695="?OLD","!!!","")</f>
        <v/>
      </c>
      <c r="F5695" s="22" t="str">
        <f>IF(OR(E5695="",E5695="!!!"),"",IF(NOT(ISNA(VLOOKUP(E5695,E$1:E5694,1,FALSE()))),"OLD",IF(AND(E5695&lt;&gt;"",E5695&lt;&gt;"!!!"),"NEW","")))</f>
        <v> </v>
      </c>
      <c r="G5695" s="23" t="str">
        <f>IF(OR(E5695="",E5695="!!!"),"",IF(OR(J5695=0,AND(J5695=1,K5695=1),AND(J5695=1,I5695="SBJ"),AND(J5695=1,I5695=0)),"?IN_FOCUS",IF(J5695&lt;=2,"?ACTIVATED",IF(J5695&lt;&gt;"","?FAMILIAR",IF(F5695="NEW",IF(ISNA(VLOOKUP(E5695,#REF!,1,FALSE())),"?TYPE_IDENTIFIABLE","?REFERENTIAL"),"_")))))</f>
        <v> </v>
      </c>
      <c r="H5695" s="24" t="str">
        <f>IF(J5695&lt;&gt;1,"",IF(I5695="SBJ","CB","?"))</f>
        <v> </v>
      </c>
      <c r="I5695" s="25" t="str">
        <f>IF(OR(E5695="",E5695="!!!",F5695="NEW"),"",INDEX(B5694:B$2,-1+SUMPRODUCT(MAX(ROW(E5694:E$2)*(E5695=E5694:E$2)))))</f>
        <v> </v>
      </c>
      <c r="J5695" s="25" t="str">
        <f>IF(OR(E5695="",E5695="!!!",F5695="NEW"),"",COUNTBLANK(OFFSET(A$1,,,SUMPRODUCT(MAX(ROW(E$2:E5695)*(E5695=E$2:E5695)))))-COUNTBLANK(OFFSET(A$1,,,SUMPRODUCT(MAX(ROW(E$1:E5694)*(E2=E$1:E5694))))))</f>
        <v> </v>
      </c>
      <c r="K5695" s="25" t="str">
        <f>IF(OR(E5695="",E5695="!!!",F5695="NEW"),"",INDEX(J$1:J5694,SUMPRODUCT(MAX(ROW(E$1:E5694)*(E5695=E$1:E5694)))))</f>
        <v> </v>
      </c>
      <c r="L5695" s="26"/>
    </row>
    <row r="5696" spans="1:12">
      <c r="A5696" s="20" t="s">
        <v>2542</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949</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2540</v>
      </c>
      <c r="B5698" s="27" t="s">
        <v>946</v>
      </c>
      <c r="C5698" s="27" t="s">
        <v>916</v>
      </c>
      <c r="D5698" s="27" t="s">
        <v>917</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1827</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918</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1096</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1678</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1194</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2501</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932</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row>
    <row r="5707" spans="1:12">
      <c r="A5707" s="20" t="s">
        <v>2543</v>
      </c>
    </row>
    <row r="5708" spans="1:12">
      <c r="A5708" s="20" t="s">
        <v>1116</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1385</v>
      </c>
      <c r="B5709" s="27" t="s">
        <v>942</v>
      </c>
      <c r="C5709" s="27" t="s">
        <v>916</v>
      </c>
      <c r="D5709" s="27" t="s">
        <v>917</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1112</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1035</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1456</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635</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908</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1198</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2544</v>
      </c>
      <c r="B5716" s="27" t="s">
        <v>910</v>
      </c>
      <c r="C5716" s="27" t="s">
        <v>911</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919</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74</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927</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949</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1017</v>
      </c>
      <c r="B5721" s="27" t="s">
        <v>1073</v>
      </c>
      <c r="C5721" s="27" t="s">
        <v>916</v>
      </c>
      <c r="D5721" s="27" t="s">
        <v>917</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1035</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1913</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1426</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2545</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932</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row>
    <row r="5728" spans="1:12">
      <c r="A5728" s="20" t="s">
        <v>999</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2546</v>
      </c>
    </row>
    <row r="5730" spans="1:12">
      <c r="A5730" s="20" t="s">
        <v>1268</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863</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1124</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2544</v>
      </c>
      <c r="B5733" s="27" t="s">
        <v>910</v>
      </c>
      <c r="C5733" s="27" t="s">
        <v>971</v>
      </c>
      <c r="D5733" s="27" t="s">
        <v>917</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919</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330</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918</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935</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2547</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918</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140</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2548</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908</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2549</v>
      </c>
      <c r="B5743" s="27" t="s">
        <v>962</v>
      </c>
      <c r="C5743" s="27" t="s">
        <v>911</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t="s">
        <v>918</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1119</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2550</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1323</v>
      </c>
      <c r="B5747" s="27" t="s">
        <v>1090</v>
      </c>
      <c r="C5747" s="27" t="s">
        <v>938</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932</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140</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row>
    <row r="5751" spans="1:12">
      <c r="A5751" s="20" t="s">
        <v>2551</v>
      </c>
    </row>
    <row r="5752" spans="1:12">
      <c r="A5752" s="20" t="s">
        <v>2552</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949</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1465</v>
      </c>
      <c r="B5754" s="27" t="s">
        <v>946</v>
      </c>
      <c r="C5754" s="27" t="s">
        <v>1069</v>
      </c>
      <c r="D5754" s="27" t="s">
        <v>917</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1017</v>
      </c>
      <c r="B5755" s="27" t="s">
        <v>915</v>
      </c>
      <c r="C5755" s="27" t="s">
        <v>916</v>
      </c>
      <c r="D5755" s="27" t="s">
        <v>917</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1084</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2536</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2022</v>
      </c>
      <c r="B5758" s="27" t="s">
        <v>910</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1476</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82</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2132</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t="s">
        <v>1001</v>
      </c>
      <c r="E5762" s="21">
        <f>IF(D5762="?OLD","!!!","")</f>
        <v/>
      </c>
      <c r="F5762" s="22" t="str">
        <f>IF(OR(E5762="",E5762="!!!"),"",IF(NOT(ISNA(VLOOKUP(E5762,E$1:E5761,1,FALSE()))),"OLD",IF(AND(E5762&lt;&gt;"",E5762&lt;&gt;"!!!"),"NEW","")))</f>
        <v> </v>
      </c>
      <c r="G5762" s="23" t="str">
        <f>IF(OR(E5762="",E5762="!!!"),"",IF(OR(J5762=0,AND(J5762=1,K5762=1),AND(J5762=1,I5762="SBJ"),AND(J5762=1,I5762=0)),"?IN_FOCUS",IF(J5762&lt;=2,"?ACTIVATED",IF(J5762&lt;&gt;"","?FAMILIAR",IF(F5762="NEW",IF(ISNA(VLOOKUP(E5762,#REF!,1,FALSE())),"?TYPE_IDENTIFIABLE","?REFERENTIAL"),"_")))))</f>
        <v> </v>
      </c>
      <c r="H5762" s="24" t="str">
        <f>IF(J5762&lt;&gt;1,"",IF(I5762="SBJ","CB","?"))</f>
        <v> </v>
      </c>
      <c r="I5762" s="25" t="str">
        <f>IF(OR(E5762="",E5762="!!!",F5762="NEW"),"",INDEX(B5761:B$2,-1+SUMPRODUCT(MAX(ROW(E5761:E$2)*(E5762=E5761:E$2)))))</f>
        <v> </v>
      </c>
      <c r="J5762" s="25" t="str">
        <f>IF(OR(E5762="",E5762="!!!",F5762="NEW"),"",COUNTBLANK(OFFSET(A$1,,,SUMPRODUCT(MAX(ROW(E$2:E5762)*(E5762=E$2:E5762)))))-COUNTBLANK(OFFSET(A$1,,,SUMPRODUCT(MAX(ROW(E$1:E5761)*(E2=E$1:E5761))))))</f>
        <v> </v>
      </c>
      <c r="K5762" s="25" t="str">
        <f>IF(OR(E5762="",E5762="!!!",F5762="NEW"),"",INDEX(J$1:J5761,SUMPRODUCT(MAX(ROW(E$1:E5761)*(E5762=E$1:E5761)))))</f>
        <v> </v>
      </c>
      <c r="L5762" s="26"/>
    </row>
    <row r="5763" spans="1:12">
      <c r="A5763" s="20" t="s">
        <v>2131</v>
      </c>
      <c r="B5763" s="27" t="s">
        <v>1073</v>
      </c>
      <c r="C5763" s="27" t="s">
        <v>911</v>
      </c>
      <c r="E5763" s="21">
        <f>IF(D5763="?OLD","!!!","")</f>
        <v/>
      </c>
      <c r="F5763" s="22" t="str">
        <f>IF(OR(E5763="",E5763="!!!"),"",IF(NOT(ISNA(VLOOKUP(E5763,E$1:E5762,1,FALSE()))),"OLD",IF(AND(E5763&lt;&gt;"",E5763&lt;&gt;"!!!"),"NEW","")))</f>
        <v> </v>
      </c>
      <c r="G5763" s="23" t="str">
        <f>IF(OR(E5763="",E5763="!!!"),"",IF(OR(J5763=0,AND(J5763=1,K5763=1),AND(J5763=1,I5763="SBJ"),AND(J5763=1,I5763=0)),"?IN_FOCUS",IF(J5763&lt;=2,"?ACTIVATED",IF(J5763&lt;&gt;"","?FAMILIAR",IF(F5763="NEW",IF(ISNA(VLOOKUP(E5763,#REF!,1,FALSE())),"?TYPE_IDENTIFIABLE","?REFERENTIAL"),"_")))))</f>
        <v> </v>
      </c>
      <c r="H5763" s="24" t="str">
        <f>IF(J5763&lt;&gt;1,"",IF(I5763="SBJ","CB","?"))</f>
        <v> </v>
      </c>
      <c r="I5763" s="25" t="str">
        <f>IF(OR(E5763="",E5763="!!!",F5763="NEW"),"",INDEX(B5762:B$2,-1+SUMPRODUCT(MAX(ROW(E5762:E$2)*(E5763=E5762:E$2)))))</f>
        <v> </v>
      </c>
      <c r="J5763" s="25" t="str">
        <f>IF(OR(E5763="",E5763="!!!",F5763="NEW"),"",COUNTBLANK(OFFSET(A$1,,,SUMPRODUCT(MAX(ROW(E$2:E5763)*(E5763=E$2:E5763)))))-COUNTBLANK(OFFSET(A$1,,,SUMPRODUCT(MAX(ROW(E$1:E5762)*(E2=E$1:E5762))))))</f>
        <v> </v>
      </c>
      <c r="K5763" s="25" t="str">
        <f>IF(OR(E5763="",E5763="!!!",F5763="NEW"),"",INDEX(J$1:J5762,SUMPRODUCT(MAX(ROW(E$1:E5762)*(E5763=E$1:E5762)))))</f>
        <v> </v>
      </c>
      <c r="L5763" s="26"/>
    </row>
    <row r="5764" spans="1:12">
      <c r="A5764" s="20" t="s">
        <v>918</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2022</v>
      </c>
      <c r="B5765" s="27" t="s">
        <v>1197</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t="s">
        <v>1476</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82</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2553</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919</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t="s">
        <v>1084</v>
      </c>
      <c r="E5770" s="21">
        <f>IF(D5770="?OLD","!!!","")</f>
        <v/>
      </c>
      <c r="F5770" s="22" t="str">
        <f>IF(OR(E5770="",E5770="!!!"),"",IF(NOT(ISNA(VLOOKUP(E5770,E$1:E5769,1,FALSE()))),"OLD",IF(AND(E5770&lt;&gt;"",E5770&lt;&gt;"!!!"),"NEW","")))</f>
        <v> </v>
      </c>
      <c r="G5770" s="23" t="str">
        <f>IF(OR(E5770="",E5770="!!!"),"",IF(OR(J5770=0,AND(J5770=1,K5770=1),AND(J5770=1,I5770="SBJ"),AND(J5770=1,I5770=0)),"?IN_FOCUS",IF(J5770&lt;=2,"?ACTIVATED",IF(J5770&lt;&gt;"","?FAMILIAR",IF(F5770="NEW",IF(ISNA(VLOOKUP(E5770,#REF!,1,FALSE())),"?TYPE_IDENTIFIABLE","?REFERENTIAL"),"_")))))</f>
        <v> </v>
      </c>
      <c r="H5770" s="24" t="str">
        <f>IF(J5770&lt;&gt;1,"",IF(I5770="SBJ","CB","?"))</f>
        <v> </v>
      </c>
      <c r="I5770" s="25" t="str">
        <f>IF(OR(E5770="",E5770="!!!",F5770="NEW"),"",INDEX(B5769:B$2,-1+SUMPRODUCT(MAX(ROW(E5769:E$2)*(E5770=E5769:E$2)))))</f>
        <v> </v>
      </c>
      <c r="J5770" s="25" t="str">
        <f>IF(OR(E5770="",E5770="!!!",F5770="NEW"),"",COUNTBLANK(OFFSET(A$1,,,SUMPRODUCT(MAX(ROW(E$2:E5770)*(E5770=E$2:E5770)))))-COUNTBLANK(OFFSET(A$1,,,SUMPRODUCT(MAX(ROW(E$1:E5769)*(E2=E$1:E5769))))))</f>
        <v> </v>
      </c>
      <c r="K5770" s="25" t="str">
        <f>IF(OR(E5770="",E5770="!!!",F5770="NEW"),"",INDEX(J$1:J5769,SUMPRODUCT(MAX(ROW(E$1:E5769)*(E5770=E$1:E5769)))))</f>
        <v> </v>
      </c>
      <c r="L5770" s="26"/>
    </row>
    <row r="5771" spans="1:12">
      <c r="A5771" s="20" t="s">
        <v>2522</v>
      </c>
      <c r="E5771" s="21">
        <f>IF(D5771="?OLD","!!!","")</f>
        <v/>
      </c>
      <c r="F5771" s="22" t="str">
        <f>IF(OR(E5771="",E5771="!!!"),"",IF(NOT(ISNA(VLOOKUP(E5771,E$1:E5770,1,FALSE()))),"OLD",IF(AND(E5771&lt;&gt;"",E5771&lt;&gt;"!!!"),"NEW","")))</f>
        <v> </v>
      </c>
      <c r="G5771" s="23" t="str">
        <f>IF(OR(E5771="",E5771="!!!"),"",IF(OR(J5771=0,AND(J5771=1,K5771=1),AND(J5771=1,I5771="SBJ"),AND(J5771=1,I5771=0)),"?IN_FOCUS",IF(J5771&lt;=2,"?ACTIVATED",IF(J5771&lt;&gt;"","?FAMILIAR",IF(F5771="NEW",IF(ISNA(VLOOKUP(E5771,#REF!,1,FALSE())),"?TYPE_IDENTIFIABLE","?REFERENTIAL"),"_")))))</f>
        <v> </v>
      </c>
      <c r="H5771" s="24" t="str">
        <f>IF(J5771&lt;&gt;1,"",IF(I5771="SBJ","CB","?"))</f>
        <v> </v>
      </c>
      <c r="I5771" s="25" t="str">
        <f>IF(OR(E5771="",E5771="!!!",F5771="NEW"),"",INDEX(B5770:B$2,-1+SUMPRODUCT(MAX(ROW(E5770:E$2)*(E5771=E5770:E$2)))))</f>
        <v> </v>
      </c>
      <c r="J5771" s="25" t="str">
        <f>IF(OR(E5771="",E5771="!!!",F5771="NEW"),"",COUNTBLANK(OFFSET(A$1,,,SUMPRODUCT(MAX(ROW(E$2:E5771)*(E5771=E$2:E5771)))))-COUNTBLANK(OFFSET(A$1,,,SUMPRODUCT(MAX(ROW(E$1:E5770)*(E2=E$1:E5770))))))</f>
        <v> </v>
      </c>
      <c r="K5771" s="25" t="str">
        <f>IF(OR(E5771="",E5771="!!!",F5771="NEW"),"",INDEX(J$1:J5770,SUMPRODUCT(MAX(ROW(E$1:E5770)*(E5771=E$1:E5770)))))</f>
        <v> </v>
      </c>
      <c r="L5771" s="26"/>
    </row>
    <row r="5772" spans="1:12">
      <c r="A5772" s="20" t="s">
        <v>927</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1634</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1635</v>
      </c>
      <c r="B5774" s="27" t="s">
        <v>1543</v>
      </c>
      <c r="C5774" s="27" t="s">
        <v>971</v>
      </c>
      <c r="D5774" s="27" t="s">
        <v>917</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1044</v>
      </c>
      <c r="B5775" s="27" t="s">
        <v>1261</v>
      </c>
      <c r="C5775" s="27" t="s">
        <v>956</v>
      </c>
      <c r="D5775" s="27" t="s">
        <v>917</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1567</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2554</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960</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t="s">
        <v>606</v>
      </c>
      <c r="E5779" s="21">
        <f>IF(D5779="?OLD","!!!","")</f>
        <v/>
      </c>
      <c r="F5779" s="22" t="str">
        <f>IF(OR(E5779="",E5779="!!!"),"",IF(NOT(ISNA(VLOOKUP(E5779,E$1:E5778,1,FALSE()))),"OLD",IF(AND(E5779&lt;&gt;"",E5779&lt;&gt;"!!!"),"NEW","")))</f>
        <v> </v>
      </c>
      <c r="G5779" s="23" t="str">
        <f>IF(OR(E5779="",E5779="!!!"),"",IF(OR(J5779=0,AND(J5779=1,K5779=1),AND(J5779=1,I5779="SBJ"),AND(J5779=1,I5779=0)),"?IN_FOCUS",IF(J5779&lt;=2,"?ACTIVATED",IF(J5779&lt;&gt;"","?FAMILIAR",IF(F5779="NEW",IF(ISNA(VLOOKUP(E5779,#REF!,1,FALSE())),"?TYPE_IDENTIFIABLE","?REFERENTIAL"),"_")))))</f>
        <v> </v>
      </c>
      <c r="H5779" s="24" t="str">
        <f>IF(J5779&lt;&gt;1,"",IF(I5779="SBJ","CB","?"))</f>
        <v> </v>
      </c>
      <c r="I5779" s="25" t="str">
        <f>IF(OR(E5779="",E5779="!!!",F5779="NEW"),"",INDEX(B5778:B$2,-1+SUMPRODUCT(MAX(ROW(E5778:E$2)*(E5779=E5778:E$2)))))</f>
        <v> </v>
      </c>
      <c r="J5779" s="25" t="str">
        <f>IF(OR(E5779="",E5779="!!!",F5779="NEW"),"",COUNTBLANK(OFFSET(A$1,,,SUMPRODUCT(MAX(ROW(E$2:E5779)*(E5779=E$2:E5779)))))-COUNTBLANK(OFFSET(A$1,,,SUMPRODUCT(MAX(ROW(E$1:E5778)*(E2=E$1:E5778))))))</f>
        <v> </v>
      </c>
      <c r="K5779" s="25" t="str">
        <f>IF(OR(E5779="",E5779="!!!",F5779="NEW"),"",INDEX(J$1:J5778,SUMPRODUCT(MAX(ROW(E$1:E5778)*(E5779=E$1:E5778)))))</f>
        <v> </v>
      </c>
      <c r="L5779" s="26"/>
    </row>
    <row r="5780" spans="1:12">
      <c r="A5780" s="20" t="s">
        <v>2000</v>
      </c>
      <c r="B5780" s="27" t="s">
        <v>1534</v>
      </c>
      <c r="C5780" s="27" t="s">
        <v>974</v>
      </c>
      <c r="E5780" s="21">
        <f>IF(D5780="?OLD","!!!","")</f>
        <v/>
      </c>
      <c r="F5780" s="22" t="str">
        <f>IF(OR(E5780="",E5780="!!!"),"",IF(NOT(ISNA(VLOOKUP(E5780,E$1:E5779,1,FALSE()))),"OLD",IF(AND(E5780&lt;&gt;"",E5780&lt;&gt;"!!!"),"NEW","")))</f>
        <v> </v>
      </c>
      <c r="G5780" s="23" t="str">
        <f>IF(OR(E5780="",E5780="!!!"),"",IF(OR(J5780=0,AND(J5780=1,K5780=1),AND(J5780=1,I5780="SBJ"),AND(J5780=1,I5780=0)),"?IN_FOCUS",IF(J5780&lt;=2,"?ACTIVATED",IF(J5780&lt;&gt;"","?FAMILIAR",IF(F5780="NEW",IF(ISNA(VLOOKUP(E5780,#REF!,1,FALSE())),"?TYPE_IDENTIFIABLE","?REFERENTIAL"),"_")))))</f>
        <v> </v>
      </c>
      <c r="H5780" s="24" t="str">
        <f>IF(J5780&lt;&gt;1,"",IF(I5780="SBJ","CB","?"))</f>
        <v> </v>
      </c>
      <c r="I5780" s="25" t="str">
        <f>IF(OR(E5780="",E5780="!!!",F5780="NEW"),"",INDEX(B5779:B$2,-1+SUMPRODUCT(MAX(ROW(E5779:E$2)*(E5780=E5779:E$2)))))</f>
        <v> </v>
      </c>
      <c r="J5780" s="25" t="str">
        <f>IF(OR(E5780="",E5780="!!!",F5780="NEW"),"",COUNTBLANK(OFFSET(A$1,,,SUMPRODUCT(MAX(ROW(E$2:E5780)*(E5780=E$2:E5780)))))-COUNTBLANK(OFFSET(A$1,,,SUMPRODUCT(MAX(ROW(E$1:E5779)*(E2=E$1:E5779))))))</f>
        <v> </v>
      </c>
      <c r="K5780" s="25" t="str">
        <f>IF(OR(E5780="",E5780="!!!",F5780="NEW"),"",INDEX(J$1:J5779,SUMPRODUCT(MAX(ROW(E$1:E5779)*(E5780=E$1:E5779)))))</f>
        <v> </v>
      </c>
      <c r="L5780" s="26"/>
    </row>
    <row r="5781" spans="1:12">
      <c r="A5781" s="20" t="s">
        <v>2555</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912</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1313</v>
      </c>
      <c r="B5783" s="27" t="s">
        <v>1060</v>
      </c>
      <c r="C5783" s="27" t="s">
        <v>974</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1096</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2556</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919</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2557</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932</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row>
    <row r="5790" spans="1:12">
      <c r="A5790" s="20" t="s">
        <v>2558</v>
      </c>
    </row>
    <row r="5791" spans="1:12">
      <c r="A5791" s="20" t="s">
        <v>1116</v>
      </c>
      <c r="E5791" s="21">
        <f>IF(D5791="?OLD","!!!","")</f>
        <v/>
      </c>
      <c r="F5791" s="22" t="str">
        <f>IF(OR(E5791="",E5791="!!!"),"",IF(NOT(ISNA(VLOOKUP(E5791,E$1:E5790,1,FALSE()))),"OLD",IF(AND(E5791&lt;&gt;"",E5791&lt;&gt;"!!!"),"NEW","")))</f>
        <v> </v>
      </c>
      <c r="G5791" s="23" t="str">
        <f>IF(OR(E5791="",E5791="!!!"),"",IF(OR(J5791=0,AND(J5791=1,K5791=1),AND(J5791=1,I5791="SBJ"),AND(J5791=1,I5791=0)),"?IN_FOCUS",IF(J5791&lt;=2,"?ACTIVATED",IF(J5791&lt;&gt;"","?FAMILIAR",IF(F5791="NEW",IF(ISNA(VLOOKUP(E5791,#REF!,1,FALSE())),"?TYPE_IDENTIFIABLE","?REFERENTIAL"),"_")))))</f>
        <v> </v>
      </c>
      <c r="H5791" s="24" t="str">
        <f>IF(J5791&lt;&gt;1,"",IF(I5791="SBJ","CB","?"))</f>
        <v> </v>
      </c>
      <c r="I5791" s="25" t="str">
        <f>IF(OR(E5791="",E5791="!!!",F5791="NEW"),"",INDEX(B5790:B$2,-1+SUMPRODUCT(MAX(ROW(E5790:E$2)*(E5791=E5790:E$2)))))</f>
        <v> </v>
      </c>
      <c r="J5791" s="25" t="str">
        <f>IF(OR(E5791="",E5791="!!!",F5791="NEW"),"",COUNTBLANK(OFFSET(A$1,,,SUMPRODUCT(MAX(ROW(E$2:E5791)*(E5791=E$2:E5791)))))-COUNTBLANK(OFFSET(A$1,,,SUMPRODUCT(MAX(ROW(E$1:E5790)*(E2=E$1:E5790))))))</f>
        <v> </v>
      </c>
      <c r="K5791" s="25" t="str">
        <f>IF(OR(E5791="",E5791="!!!",F5791="NEW"),"",INDEX(J$1:J5790,SUMPRODUCT(MAX(ROW(E$1:E5790)*(E5791=E$1:E5790)))))</f>
        <v> </v>
      </c>
      <c r="L5791" s="26"/>
    </row>
    <row r="5792" spans="1:12">
      <c r="A5792" s="20" t="s">
        <v>1117</v>
      </c>
      <c r="B5792" s="27" t="s">
        <v>942</v>
      </c>
      <c r="C5792" s="27" t="s">
        <v>943</v>
      </c>
      <c r="D5792" s="27" t="s">
        <v>917</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960</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1017</v>
      </c>
      <c r="B5794" s="27" t="s">
        <v>946</v>
      </c>
      <c r="C5794" s="27" t="s">
        <v>974</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1112</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t="s">
        <v>1035</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1118</v>
      </c>
      <c r="B5797" s="27" t="s">
        <v>915</v>
      </c>
      <c r="C5797" s="27" t="s">
        <v>943</v>
      </c>
      <c r="D5797" s="27" t="s">
        <v>917</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t="s">
        <v>918</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1119</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1120</v>
      </c>
      <c r="B5800" s="27" t="s">
        <v>915</v>
      </c>
      <c r="C5800" s="27" t="s">
        <v>974</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918</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991</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1144</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949</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t="s">
        <v>1465</v>
      </c>
      <c r="B5805" s="27" t="s">
        <v>962</v>
      </c>
      <c r="C5805" s="27" t="s">
        <v>1069</v>
      </c>
      <c r="D5805" s="27" t="s">
        <v>917</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1362</v>
      </c>
      <c r="B5806" s="27" t="s">
        <v>937</v>
      </c>
      <c r="C5806" s="27" t="s">
        <v>916</v>
      </c>
      <c r="D5806" s="27" t="s">
        <v>917</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1035</v>
      </c>
      <c r="E5807" s="21">
        <f>IF(D5807="?OLD","!!!","")</f>
        <v/>
      </c>
      <c r="F5807" s="22" t="str">
        <f>IF(OR(E5807="",E5807="!!!"),"",IF(NOT(ISNA(VLOOKUP(E5807,E$1:E5806,1,FALSE()))),"OLD",IF(AND(E5807&lt;&gt;"",E5807&lt;&gt;"!!!"),"NEW","")))</f>
        <v> </v>
      </c>
      <c r="G5807" s="23" t="str">
        <f>IF(OR(E5807="",E5807="!!!"),"",IF(OR(J5807=0,AND(J5807=1,K5807=1),AND(J5807=1,I5807="SBJ"),AND(J5807=1,I5807=0)),"?IN_FOCUS",IF(J5807&lt;=2,"?ACTIVATED",IF(J5807&lt;&gt;"","?FAMILIAR",IF(F5807="NEW",IF(ISNA(VLOOKUP(E5807,#REF!,1,FALSE())),"?TYPE_IDENTIFIABLE","?REFERENTIAL"),"_")))))</f>
        <v> </v>
      </c>
      <c r="H5807" s="24" t="str">
        <f>IF(J5807&lt;&gt;1,"",IF(I5807="SBJ","CB","?"))</f>
        <v> </v>
      </c>
      <c r="I5807" s="25" t="str">
        <f>IF(OR(E5807="",E5807="!!!",F5807="NEW"),"",INDEX(B5806:B$2,-1+SUMPRODUCT(MAX(ROW(E5806:E$2)*(E5807=E5806:E$2)))))</f>
        <v> </v>
      </c>
      <c r="J5807" s="25" t="str">
        <f>IF(OR(E5807="",E5807="!!!",F5807="NEW"),"",COUNTBLANK(OFFSET(A$1,,,SUMPRODUCT(MAX(ROW(E$2:E5807)*(E5807=E$2:E5807)))))-COUNTBLANK(OFFSET(A$1,,,SUMPRODUCT(MAX(ROW(E$1:E5806)*(E2=E$1:E5806))))))</f>
        <v> </v>
      </c>
      <c r="K5807" s="25" t="str">
        <f>IF(OR(E5807="",E5807="!!!",F5807="NEW"),"",INDEX(J$1:J5806,SUMPRODUCT(MAX(ROW(E$1:E5806)*(E5807=E$1:E5806)))))</f>
        <v> </v>
      </c>
      <c r="L5807" s="26"/>
    </row>
    <row r="5808" spans="1:12">
      <c r="A5808" s="20" t="s">
        <v>2559</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918</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1331</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912</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920</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1798</v>
      </c>
      <c r="B5813" s="27" t="s">
        <v>915</v>
      </c>
      <c r="C5813" s="27" t="s">
        <v>916</v>
      </c>
      <c r="D5813" s="27" t="s">
        <v>917</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t="s">
        <v>912</v>
      </c>
      <c r="E5814" s="21">
        <f>IF(D5814="?OLD","!!!","")</f>
        <v/>
      </c>
      <c r="F5814" s="22" t="str">
        <f>IF(OR(E5814="",E5814="!!!"),"",IF(NOT(ISNA(VLOOKUP(E5814,E$1:E5813,1,FALSE()))),"OLD",IF(AND(E5814&lt;&gt;"",E5814&lt;&gt;"!!!"),"NEW","")))</f>
        <v> </v>
      </c>
      <c r="G5814" s="23" t="str">
        <f>IF(OR(E5814="",E5814="!!!"),"",IF(OR(J5814=0,AND(J5814=1,K5814=1),AND(J5814=1,I5814="SBJ"),AND(J5814=1,I5814=0)),"?IN_FOCUS",IF(J5814&lt;=2,"?ACTIVATED",IF(J5814&lt;&gt;"","?FAMILIAR",IF(F5814="NEW",IF(ISNA(VLOOKUP(E5814,#REF!,1,FALSE())),"?TYPE_IDENTIFIABLE","?REFERENTIAL"),"_")))))</f>
        <v> </v>
      </c>
      <c r="H5814" s="24" t="str">
        <f>IF(J5814&lt;&gt;1,"",IF(I5814="SBJ","CB","?"))</f>
        <v> </v>
      </c>
      <c r="I5814" s="25" t="str">
        <f>IF(OR(E5814="",E5814="!!!",F5814="NEW"),"",INDEX(B5813:B$2,-1+SUMPRODUCT(MAX(ROW(E5813:E$2)*(E5814=E5813:E$2)))))</f>
        <v> </v>
      </c>
      <c r="J5814" s="25" t="str">
        <f>IF(OR(E5814="",E5814="!!!",F5814="NEW"),"",COUNTBLANK(OFFSET(A$1,,,SUMPRODUCT(MAX(ROW(E$2:E5814)*(E5814=E$2:E5814)))))-COUNTBLANK(OFFSET(A$1,,,SUMPRODUCT(MAX(ROW(E$1:E5813)*(E2=E$1:E5813))))))</f>
        <v> </v>
      </c>
      <c r="K5814" s="25" t="str">
        <f>IF(OR(E5814="",E5814="!!!",F5814="NEW"),"",INDEX(J$1:J5813,SUMPRODUCT(MAX(ROW(E$1:E5813)*(E5814=E$1:E5813)))))</f>
        <v> </v>
      </c>
      <c r="L5814" s="26"/>
    </row>
    <row r="5815" spans="1:12">
      <c r="A5815" s="20" t="s">
        <v>1367</v>
      </c>
      <c r="E5815" s="21">
        <f>IF(D5815="?OLD","!!!","")</f>
        <v/>
      </c>
      <c r="F5815" s="22" t="str">
        <f>IF(OR(E5815="",E5815="!!!"),"",IF(NOT(ISNA(VLOOKUP(E5815,E$1:E5814,1,FALSE()))),"OLD",IF(AND(E5815&lt;&gt;"",E5815&lt;&gt;"!!!"),"NEW","")))</f>
        <v> </v>
      </c>
      <c r="G5815" s="23" t="str">
        <f>IF(OR(E5815="",E5815="!!!"),"",IF(OR(J5815=0,AND(J5815=1,K5815=1),AND(J5815=1,I5815="SBJ"),AND(J5815=1,I5815=0)),"?IN_FOCUS",IF(J5815&lt;=2,"?ACTIVATED",IF(J5815&lt;&gt;"","?FAMILIAR",IF(F5815="NEW",IF(ISNA(VLOOKUP(E5815,#REF!,1,FALSE())),"?TYPE_IDENTIFIABLE","?REFERENTIAL"),"_")))))</f>
        <v> </v>
      </c>
      <c r="H5815" s="24" t="str">
        <f>IF(J5815&lt;&gt;1,"",IF(I5815="SBJ","CB","?"))</f>
        <v> </v>
      </c>
      <c r="I5815" s="25" t="str">
        <f>IF(OR(E5815="",E5815="!!!",F5815="NEW"),"",INDEX(B5814:B$2,-1+SUMPRODUCT(MAX(ROW(E5814:E$2)*(E5815=E5814:E$2)))))</f>
        <v> </v>
      </c>
      <c r="J5815" s="25" t="str">
        <f>IF(OR(E5815="",E5815="!!!",F5815="NEW"),"",COUNTBLANK(OFFSET(A$1,,,SUMPRODUCT(MAX(ROW(E$2:E5815)*(E5815=E$2:E5815)))))-COUNTBLANK(OFFSET(A$1,,,SUMPRODUCT(MAX(ROW(E$1:E5814)*(E2=E$1:E5814))))))</f>
        <v> </v>
      </c>
      <c r="K5815" s="25" t="str">
        <f>IF(OR(E5815="",E5815="!!!",F5815="NEW"),"",INDEX(J$1:J5814,SUMPRODUCT(MAX(ROW(E$1:E5814)*(E5815=E$1:E5814)))))</f>
        <v> </v>
      </c>
      <c r="L5815" s="26"/>
    </row>
    <row r="5816" spans="1:12">
      <c r="A5816" s="20" t="s">
        <v>1045</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1494</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932</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row>
    <row r="5820" spans="1:12">
      <c r="A5820" s="20" t="s">
        <v>2560</v>
      </c>
    </row>
    <row r="5821" spans="1:12">
      <c r="A5821" s="20" t="s">
        <v>1318</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2339</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1124</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909</v>
      </c>
      <c r="B5824" s="27" t="s">
        <v>910</v>
      </c>
      <c r="C5824" s="27" t="s">
        <v>971</v>
      </c>
      <c r="D5824" s="27" t="s">
        <v>917</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912</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t="s">
        <v>949</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1465</v>
      </c>
      <c r="B5827" s="27" t="s">
        <v>946</v>
      </c>
      <c r="C5827" s="27" t="s">
        <v>1069</v>
      </c>
      <c r="D5827" s="27" t="s">
        <v>917</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t="s">
        <v>1882</v>
      </c>
      <c r="B5828" s="27" t="s">
        <v>915</v>
      </c>
      <c r="C5828" s="27" t="s">
        <v>916</v>
      </c>
      <c r="D5828" s="27" t="s">
        <v>917</v>
      </c>
      <c r="E5828" s="21">
        <f>IF(D5828="?OLD","!!!","")</f>
        <v/>
      </c>
      <c r="F5828" s="22" t="str">
        <f>IF(OR(E5828="",E5828="!!!"),"",IF(NOT(ISNA(VLOOKUP(E5828,E$1:E5827,1,FALSE()))),"OLD",IF(AND(E5828&lt;&gt;"",E5828&lt;&gt;"!!!"),"NEW","")))</f>
        <v> </v>
      </c>
      <c r="G5828" s="23" t="str">
        <f>IF(OR(E5828="",E5828="!!!"),"",IF(OR(J5828=0,AND(J5828=1,K5828=1),AND(J5828=1,I5828="SBJ"),AND(J5828=1,I5828=0)),"?IN_FOCUS",IF(J5828&lt;=2,"?ACTIVATED",IF(J5828&lt;&gt;"","?FAMILIAR",IF(F5828="NEW",IF(ISNA(VLOOKUP(E5828,#REF!,1,FALSE())),"?TYPE_IDENTIFIABLE","?REFERENTIAL"),"_")))))</f>
        <v> </v>
      </c>
      <c r="H5828" s="24" t="str">
        <f>IF(J5828&lt;&gt;1,"",IF(I5828="SBJ","CB","?"))</f>
        <v> </v>
      </c>
      <c r="I5828" s="25" t="str">
        <f>IF(OR(E5828="",E5828="!!!",F5828="NEW"),"",INDEX(B5827:B$2,-1+SUMPRODUCT(MAX(ROW(E5827:E$2)*(E5828=E5827:E$2)))))</f>
        <v> </v>
      </c>
      <c r="J5828" s="25" t="str">
        <f>IF(OR(E5828="",E5828="!!!",F5828="NEW"),"",COUNTBLANK(OFFSET(A$1,,,SUMPRODUCT(MAX(ROW(E$2:E5828)*(E5828=E$2:E5828)))))-COUNTBLANK(OFFSET(A$1,,,SUMPRODUCT(MAX(ROW(E$1:E5827)*(E2=E$1:E5827))))))</f>
        <v> </v>
      </c>
      <c r="K5828" s="25" t="str">
        <f>IF(OR(E5828="",E5828="!!!",F5828="NEW"),"",INDEX(J$1:J5827,SUMPRODUCT(MAX(ROW(E$1:E5827)*(E5828=E$1:E5827)))))</f>
        <v> </v>
      </c>
      <c r="L5828" s="26"/>
    </row>
    <row r="5829" spans="1:12">
      <c r="A5829" s="20" t="s">
        <v>918</v>
      </c>
      <c r="E5829" s="21">
        <f>IF(D5829="?OLD","!!!","")</f>
        <v/>
      </c>
      <c r="F5829" s="22" t="str">
        <f>IF(OR(E5829="",E5829="!!!"),"",IF(NOT(ISNA(VLOOKUP(E5829,E$1:E5828,1,FALSE()))),"OLD",IF(AND(E5829&lt;&gt;"",E5829&lt;&gt;"!!!"),"NEW","")))</f>
        <v> </v>
      </c>
      <c r="G5829" s="23" t="str">
        <f>IF(OR(E5829="",E5829="!!!"),"",IF(OR(J5829=0,AND(J5829=1,K5829=1),AND(J5829=1,I5829="SBJ"),AND(J5829=1,I5829=0)),"?IN_FOCUS",IF(J5829&lt;=2,"?ACTIVATED",IF(J5829&lt;&gt;"","?FAMILIAR",IF(F5829="NEW",IF(ISNA(VLOOKUP(E5829,#REF!,1,FALSE())),"?TYPE_IDENTIFIABLE","?REFERENTIAL"),"_")))))</f>
        <v> </v>
      </c>
      <c r="H5829" s="24" t="str">
        <f>IF(J5829&lt;&gt;1,"",IF(I5829="SBJ","CB","?"))</f>
        <v> </v>
      </c>
      <c r="I5829" s="25" t="str">
        <f>IF(OR(E5829="",E5829="!!!",F5829="NEW"),"",INDEX(B5828:B$2,-1+SUMPRODUCT(MAX(ROW(E5828:E$2)*(E5829=E5828:E$2)))))</f>
        <v> </v>
      </c>
      <c r="J5829" s="25" t="str">
        <f>IF(OR(E5829="",E5829="!!!",F5829="NEW"),"",COUNTBLANK(OFFSET(A$1,,,SUMPRODUCT(MAX(ROW(E$2:E5829)*(E5829=E$2:E5829)))))-COUNTBLANK(OFFSET(A$1,,,SUMPRODUCT(MAX(ROW(E$1:E5828)*(E2=E$1:E5828))))))</f>
        <v> </v>
      </c>
      <c r="K5829" s="25" t="str">
        <f>IF(OR(E5829="",E5829="!!!",F5829="NEW"),"",INDEX(J$1:J5828,SUMPRODUCT(MAX(ROW(E$1:E5828)*(E5829=E$1:E5828)))))</f>
        <v> </v>
      </c>
      <c r="L5829" s="26"/>
    </row>
    <row r="5830" spans="1:12">
      <c r="A5830" s="20" t="s">
        <v>919</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1044</v>
      </c>
      <c r="E5831" s="21">
        <f>IF(D5831="?OLD","!!!","")</f>
        <v/>
      </c>
      <c r="F5831" s="22" t="str">
        <f>IF(OR(E5831="",E5831="!!!"),"",IF(NOT(ISNA(VLOOKUP(E5831,E$1:E5830,1,FALSE()))),"OLD",IF(AND(E5831&lt;&gt;"",E5831&lt;&gt;"!!!"),"NEW","")))</f>
        <v> </v>
      </c>
      <c r="G5831" s="23" t="str">
        <f>IF(OR(E5831="",E5831="!!!"),"",IF(OR(J5831=0,AND(J5831=1,K5831=1),AND(J5831=1,I5831="SBJ"),AND(J5831=1,I5831=0)),"?IN_FOCUS",IF(J5831&lt;=2,"?ACTIVATED",IF(J5831&lt;&gt;"","?FAMILIAR",IF(F5831="NEW",IF(ISNA(VLOOKUP(E5831,#REF!,1,FALSE())),"?TYPE_IDENTIFIABLE","?REFERENTIAL"),"_")))))</f>
        <v> </v>
      </c>
      <c r="H5831" s="24" t="str">
        <f>IF(J5831&lt;&gt;1,"",IF(I5831="SBJ","CB","?"))</f>
        <v> </v>
      </c>
      <c r="I5831" s="25" t="str">
        <f>IF(OR(E5831="",E5831="!!!",F5831="NEW"),"",INDEX(B5830:B$2,-1+SUMPRODUCT(MAX(ROW(E5830:E$2)*(E5831=E5830:E$2)))))</f>
        <v> </v>
      </c>
      <c r="J5831" s="25" t="str">
        <f>IF(OR(E5831="",E5831="!!!",F5831="NEW"),"",COUNTBLANK(OFFSET(A$1,,,SUMPRODUCT(MAX(ROW(E$2:E5831)*(E5831=E$2:E5831)))))-COUNTBLANK(OFFSET(A$1,,,SUMPRODUCT(MAX(ROW(E$1:E5830)*(E2=E$1:E5830))))))</f>
        <v> </v>
      </c>
      <c r="K5831" s="25" t="str">
        <f>IF(OR(E5831="",E5831="!!!",F5831="NEW"),"",INDEX(J$1:J5830,SUMPRODUCT(MAX(ROW(E$1:E5830)*(E5831=E$1:E5830)))))</f>
        <v> </v>
      </c>
      <c r="L5831" s="26"/>
    </row>
    <row r="5832" spans="1:12">
      <c r="A5832" s="20" t="s">
        <v>1045</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2561</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2562</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963</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913</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2563</v>
      </c>
      <c r="B5837" s="27" t="s">
        <v>946</v>
      </c>
      <c r="C5837" s="27" t="s">
        <v>943</v>
      </c>
      <c r="D5837" s="27" t="s">
        <v>917</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963</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920</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2564</v>
      </c>
      <c r="B5840" s="27" t="s">
        <v>962</v>
      </c>
      <c r="C5840" s="27" t="s">
        <v>943</v>
      </c>
      <c r="D5840" s="27" t="s">
        <v>917</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960</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913</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1009</v>
      </c>
      <c r="B5843" s="27" t="s">
        <v>970</v>
      </c>
      <c r="C5843" s="27" t="s">
        <v>916</v>
      </c>
      <c r="D5843" s="27" t="s">
        <v>917</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991</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1084</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1527</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1323</v>
      </c>
      <c r="B5847" s="27" t="s">
        <v>1101</v>
      </c>
      <c r="C5847" s="27" t="s">
        <v>938</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1184</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960</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1043</v>
      </c>
      <c r="B5850" s="27" t="s">
        <v>962</v>
      </c>
      <c r="C5850" s="27" t="s">
        <v>956</v>
      </c>
      <c r="D5850" s="27" t="s">
        <v>917</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927</v>
      </c>
      <c r="B5851" s="27" t="s">
        <v>929</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2565</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965</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919</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927</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1112</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t="s">
        <v>1074</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1621</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2566</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2445</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963</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1124</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1284</v>
      </c>
      <c r="B5863" s="27" t="s">
        <v>973</v>
      </c>
      <c r="C5863" s="27" t="s">
        <v>971</v>
      </c>
      <c r="D5863" s="27" t="s">
        <v>917</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960</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89</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1081</v>
      </c>
      <c r="B5866" s="27" t="s">
        <v>987</v>
      </c>
      <c r="C5866" s="27" t="s">
        <v>1095</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1445</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918</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935</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964</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2549</v>
      </c>
      <c r="B5871" s="27" t="s">
        <v>983</v>
      </c>
      <c r="C5871" s="27" t="s">
        <v>916</v>
      </c>
      <c r="D5871" s="27" t="s">
        <v>917</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1044</v>
      </c>
      <c r="B5872" s="27" t="s">
        <v>1147</v>
      </c>
      <c r="C5872" s="27" t="s">
        <v>956</v>
      </c>
      <c r="D5872" s="27" t="s">
        <v>917</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t="s">
        <v>1608</v>
      </c>
      <c r="E5873" s="21">
        <f>IF(D5873="?OLD","!!!","")</f>
        <v/>
      </c>
      <c r="F5873" s="22" t="str">
        <f>IF(OR(E5873="",E5873="!!!"),"",IF(NOT(ISNA(VLOOKUP(E5873,E$1:E5872,1,FALSE()))),"OLD",IF(AND(E5873&lt;&gt;"",E5873&lt;&gt;"!!!"),"NEW","")))</f>
        <v> </v>
      </c>
      <c r="G5873" s="23" t="str">
        <f>IF(OR(E5873="",E5873="!!!"),"",IF(OR(J5873=0,AND(J5873=1,K5873=1),AND(J5873=1,I5873="SBJ"),AND(J5873=1,I5873=0)),"?IN_FOCUS",IF(J5873&lt;=2,"?ACTIVATED",IF(J5873&lt;&gt;"","?FAMILIAR",IF(F5873="NEW",IF(ISNA(VLOOKUP(E5873,#REF!,1,FALSE())),"?TYPE_IDENTIFIABLE","?REFERENTIAL"),"_")))))</f>
        <v> </v>
      </c>
      <c r="H5873" s="24" t="str">
        <f>IF(J5873&lt;&gt;1,"",IF(I5873="SBJ","CB","?"))</f>
        <v> </v>
      </c>
      <c r="I5873" s="25" t="str">
        <f>IF(OR(E5873="",E5873="!!!",F5873="NEW"),"",INDEX(B5872:B$2,-1+SUMPRODUCT(MAX(ROW(E5872:E$2)*(E5873=E5872:E$2)))))</f>
        <v> </v>
      </c>
      <c r="J5873" s="25" t="str">
        <f>IF(OR(E5873="",E5873="!!!",F5873="NEW"),"",COUNTBLANK(OFFSET(A$1,,,SUMPRODUCT(MAX(ROW(E$2:E5873)*(E5873=E$2:E5873)))))-COUNTBLANK(OFFSET(A$1,,,SUMPRODUCT(MAX(ROW(E$1:E5872)*(E2=E$1:E5872))))))</f>
        <v> </v>
      </c>
      <c r="K5873" s="25" t="str">
        <f>IF(OR(E5873="",E5873="!!!",F5873="NEW"),"",INDEX(J$1:J5872,SUMPRODUCT(MAX(ROW(E$1:E5872)*(E5873=E$1:E5872)))))</f>
        <v> </v>
      </c>
      <c r="L5873" s="26"/>
    </row>
    <row r="5874" spans="1:12">
      <c r="A5874" s="20" t="s">
        <v>2567</v>
      </c>
      <c r="B5874" s="27" t="s">
        <v>1147</v>
      </c>
      <c r="C5874" s="27" t="s">
        <v>974</v>
      </c>
      <c r="E5874" s="21">
        <f>IF(D5874="?OLD","!!!","")</f>
        <v/>
      </c>
      <c r="F5874" s="22" t="str">
        <f>IF(OR(E5874="",E5874="!!!"),"",IF(NOT(ISNA(VLOOKUP(E5874,E$1:E5873,1,FALSE()))),"OLD",IF(AND(E5874&lt;&gt;"",E5874&lt;&gt;"!!!"),"NEW","")))</f>
        <v> </v>
      </c>
      <c r="G5874" s="23" t="str">
        <f>IF(OR(E5874="",E5874="!!!"),"",IF(OR(J5874=0,AND(J5874=1,K5874=1),AND(J5874=1,I5874="SBJ"),AND(J5874=1,I5874=0)),"?IN_FOCUS",IF(J5874&lt;=2,"?ACTIVATED",IF(J5874&lt;&gt;"","?FAMILIAR",IF(F5874="NEW",IF(ISNA(VLOOKUP(E5874,#REF!,1,FALSE())),"?TYPE_IDENTIFIABLE","?REFERENTIAL"),"_")))))</f>
        <v> </v>
      </c>
      <c r="H5874" s="24" t="str">
        <f>IF(J5874&lt;&gt;1,"",IF(I5874="SBJ","CB","?"))</f>
        <v> </v>
      </c>
      <c r="I5874" s="25" t="str">
        <f>IF(OR(E5874="",E5874="!!!",F5874="NEW"),"",INDEX(B5873:B$2,-1+SUMPRODUCT(MAX(ROW(E5873:E$2)*(E5874=E5873:E$2)))))</f>
        <v> </v>
      </c>
      <c r="J5874" s="25" t="str">
        <f>IF(OR(E5874="",E5874="!!!",F5874="NEW"),"",COUNTBLANK(OFFSET(A$1,,,SUMPRODUCT(MAX(ROW(E$2:E5874)*(E5874=E$2:E5874)))))-COUNTBLANK(OFFSET(A$1,,,SUMPRODUCT(MAX(ROW(E$1:E5873)*(E2=E$1:E5873))))))</f>
        <v> </v>
      </c>
      <c r="K5874" s="25" t="str">
        <f>IF(OR(E5874="",E5874="!!!",F5874="NEW"),"",INDEX(J$1:J5873,SUMPRODUCT(MAX(ROW(E$1:E5873)*(E5874=E$1:E5873)))))</f>
        <v> </v>
      </c>
      <c r="L5874" s="26"/>
    </row>
    <row r="5875" spans="1:12">
      <c r="A5875" s="20" t="s">
        <v>963</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2568</v>
      </c>
      <c r="B5876" s="27" t="s">
        <v>987</v>
      </c>
      <c r="C5876" s="27" t="s">
        <v>974</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932</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row>
    <row r="5879" spans="1:12">
      <c r="A5879" s="20" t="s">
        <v>2569</v>
      </c>
    </row>
    <row r="5880" spans="1:12">
      <c r="A5880" s="20" t="s">
        <v>2570</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t="s">
        <v>927</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918</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1331</v>
      </c>
      <c r="E5883" s="21">
        <f>IF(D5883="?OLD","!!!","")</f>
        <v/>
      </c>
      <c r="F5883" s="22" t="str">
        <f>IF(OR(E5883="",E5883="!!!"),"",IF(NOT(ISNA(VLOOKUP(E5883,E$1:E5882,1,FALSE()))),"OLD",IF(AND(E5883&lt;&gt;"",E5883&lt;&gt;"!!!"),"NEW","")))</f>
        <v> </v>
      </c>
      <c r="G5883" s="23" t="str">
        <f>IF(OR(E5883="",E5883="!!!"),"",IF(OR(J5883=0,AND(J5883=1,K5883=1),AND(J5883=1,I5883="SBJ"),AND(J5883=1,I5883=0)),"?IN_FOCUS",IF(J5883&lt;=2,"?ACTIVATED",IF(J5883&lt;&gt;"","?FAMILIAR",IF(F5883="NEW",IF(ISNA(VLOOKUP(E5883,#REF!,1,FALSE())),"?TYPE_IDENTIFIABLE","?REFERENTIAL"),"_")))))</f>
        <v> </v>
      </c>
      <c r="H5883" s="24" t="str">
        <f>IF(J5883&lt;&gt;1,"",IF(I5883="SBJ","CB","?"))</f>
        <v> </v>
      </c>
      <c r="I5883" s="25" t="str">
        <f>IF(OR(E5883="",E5883="!!!",F5883="NEW"),"",INDEX(B5882:B$2,-1+SUMPRODUCT(MAX(ROW(E5882:E$2)*(E5883=E5882:E$2)))))</f>
        <v> </v>
      </c>
      <c r="J5883" s="25" t="str">
        <f>IF(OR(E5883="",E5883="!!!",F5883="NEW"),"",COUNTBLANK(OFFSET(A$1,,,SUMPRODUCT(MAX(ROW(E$2:E5883)*(E5883=E$2:E5883)))))-COUNTBLANK(OFFSET(A$1,,,SUMPRODUCT(MAX(ROW(E$1:E5882)*(E2=E$1:E5882))))))</f>
        <v> </v>
      </c>
      <c r="K5883" s="25" t="str">
        <f>IF(OR(E5883="",E5883="!!!",F5883="NEW"),"",INDEX(J$1:J5882,SUMPRODUCT(MAX(ROW(E$1:E5882)*(E5883=E$1:E5882)))))</f>
        <v> </v>
      </c>
      <c r="L5883" s="26"/>
    </row>
    <row r="5884" spans="1:12">
      <c r="A5884" s="20" t="s">
        <v>981</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2571</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t="s">
        <v>82</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t="s">
        <v>1228</v>
      </c>
      <c r="E5887" s="21">
        <f>IF(D5887="?OLD","!!!","")</f>
        <v/>
      </c>
      <c r="F5887" s="22" t="str">
        <f>IF(OR(E5887="",E5887="!!!"),"",IF(NOT(ISNA(VLOOKUP(E5887,E$1:E5886,1,FALSE()))),"OLD",IF(AND(E5887&lt;&gt;"",E5887&lt;&gt;"!!!"),"NEW","")))</f>
        <v> </v>
      </c>
      <c r="G5887" s="23" t="str">
        <f>IF(OR(E5887="",E5887="!!!"),"",IF(OR(J5887=0,AND(J5887=1,K5887=1),AND(J5887=1,I5887="SBJ"),AND(J5887=1,I5887=0)),"?IN_FOCUS",IF(J5887&lt;=2,"?ACTIVATED",IF(J5887&lt;&gt;"","?FAMILIAR",IF(F5887="NEW",IF(ISNA(VLOOKUP(E5887,#REF!,1,FALSE())),"?TYPE_IDENTIFIABLE","?REFERENTIAL"),"_")))))</f>
        <v> </v>
      </c>
      <c r="H5887" s="24" t="str">
        <f>IF(J5887&lt;&gt;1,"",IF(I5887="SBJ","CB","?"))</f>
        <v> </v>
      </c>
      <c r="I5887" s="25" t="str">
        <f>IF(OR(E5887="",E5887="!!!",F5887="NEW"),"",INDEX(B5886:B$2,-1+SUMPRODUCT(MAX(ROW(E5886:E$2)*(E5887=E5886:E$2)))))</f>
        <v> </v>
      </c>
      <c r="J5887" s="25" t="str">
        <f>IF(OR(E5887="",E5887="!!!",F5887="NEW"),"",COUNTBLANK(OFFSET(A$1,,,SUMPRODUCT(MAX(ROW(E$2:E5887)*(E5887=E$2:E5887)))))-COUNTBLANK(OFFSET(A$1,,,SUMPRODUCT(MAX(ROW(E$1:E5886)*(E2=E$1:E5886))))))</f>
        <v> </v>
      </c>
      <c r="K5887" s="25" t="str">
        <f>IF(OR(E5887="",E5887="!!!",F5887="NEW"),"",INDEX(J$1:J5886,SUMPRODUCT(MAX(ROW(E$1:E5886)*(E5887=E$1:E5886)))))</f>
        <v> </v>
      </c>
      <c r="L5887" s="26"/>
    </row>
    <row r="5888" spans="1:12">
      <c r="A5888" s="20" t="s">
        <v>919</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2572</v>
      </c>
      <c r="E5889" s="21">
        <f>IF(D5889="?OLD","!!!","")</f>
        <v/>
      </c>
      <c r="F5889" s="22" t="str">
        <f>IF(OR(E5889="",E5889="!!!"),"",IF(NOT(ISNA(VLOOKUP(E5889,E$1:E5888,1,FALSE()))),"OLD",IF(AND(E5889&lt;&gt;"",E5889&lt;&gt;"!!!"),"NEW","")))</f>
        <v> </v>
      </c>
      <c r="G5889" s="23" t="str">
        <f>IF(OR(E5889="",E5889="!!!"),"",IF(OR(J5889=0,AND(J5889=1,K5889=1),AND(J5889=1,I5889="SBJ"),AND(J5889=1,I5889=0)),"?IN_FOCUS",IF(J5889&lt;=2,"?ACTIVATED",IF(J5889&lt;&gt;"","?FAMILIAR",IF(F5889="NEW",IF(ISNA(VLOOKUP(E5889,#REF!,1,FALSE())),"?TYPE_IDENTIFIABLE","?REFERENTIAL"),"_")))))</f>
        <v> </v>
      </c>
      <c r="H5889" s="24" t="str">
        <f>IF(J5889&lt;&gt;1,"",IF(I5889="SBJ","CB","?"))</f>
        <v> </v>
      </c>
      <c r="I5889" s="25" t="str">
        <f>IF(OR(E5889="",E5889="!!!",F5889="NEW"),"",INDEX(B5888:B$2,-1+SUMPRODUCT(MAX(ROW(E5888:E$2)*(E5889=E5888:E$2)))))</f>
        <v> </v>
      </c>
      <c r="J5889" s="25" t="str">
        <f>IF(OR(E5889="",E5889="!!!",F5889="NEW"),"",COUNTBLANK(OFFSET(A$1,,,SUMPRODUCT(MAX(ROW(E$2:E5889)*(E5889=E$2:E5889)))))-COUNTBLANK(OFFSET(A$1,,,SUMPRODUCT(MAX(ROW(E$1:E5888)*(E2=E$1:E5888))))))</f>
        <v> </v>
      </c>
      <c r="K5889" s="25" t="str">
        <f>IF(OR(E5889="",E5889="!!!",F5889="NEW"),"",INDEX(J$1:J5888,SUMPRODUCT(MAX(ROW(E$1:E5888)*(E5889=E$1:E5888)))))</f>
        <v> </v>
      </c>
      <c r="L5889" s="26"/>
    </row>
    <row r="5890" spans="1:12">
      <c r="A5890" s="20" t="s">
        <v>82</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1228</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960</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2573</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918</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960</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1098</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1918</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908</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1313</v>
      </c>
      <c r="B5899" s="27" t="s">
        <v>1110</v>
      </c>
      <c r="C5899" s="27" t="s">
        <v>911</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960</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881</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949</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1465</v>
      </c>
      <c r="B5903" s="27" t="s">
        <v>990</v>
      </c>
      <c r="C5903" s="27" t="s">
        <v>1069</v>
      </c>
      <c r="D5903" s="27" t="s">
        <v>917</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1017</v>
      </c>
      <c r="B5904" s="27" t="s">
        <v>1147</v>
      </c>
      <c r="C5904" s="27" t="s">
        <v>916</v>
      </c>
      <c r="D5904" s="27" t="s">
        <v>917</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932</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row>
    <row r="5907" spans="1:12">
      <c r="A5907" s="20" t="s">
        <v>2574</v>
      </c>
    </row>
    <row r="5908" spans="1:12">
      <c r="A5908" s="20" t="s">
        <v>1459</v>
      </c>
      <c r="B5908" s="27" t="s">
        <v>910</v>
      </c>
      <c r="C5908" s="27" t="s">
        <v>956</v>
      </c>
      <c r="D5908" s="27" t="s">
        <v>917</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2575</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1114</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1044</v>
      </c>
      <c r="B5911" s="27" t="s">
        <v>1101</v>
      </c>
      <c r="C5911" s="27" t="s">
        <v>956</v>
      </c>
      <c r="D5911" s="27" t="s">
        <v>917</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1567</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2576</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963</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635</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949</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2389</v>
      </c>
      <c r="B5917" s="27" t="s">
        <v>1090</v>
      </c>
      <c r="C5917" s="27" t="s">
        <v>916</v>
      </c>
      <c r="D5917" s="27" t="s">
        <v>917</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t="s">
        <v>919</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1026</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t="s">
        <v>2577</v>
      </c>
      <c r="B5920" s="27" t="s">
        <v>970</v>
      </c>
      <c r="C5920" s="27" t="s">
        <v>943</v>
      </c>
      <c r="D5920" s="27" t="s">
        <v>917</v>
      </c>
      <c r="E5920" s="21">
        <f>IF(D5920="?OLD","!!!","")</f>
        <v/>
      </c>
      <c r="F5920" s="22" t="str">
        <f>IF(OR(E5920="",E5920="!!!"),"",IF(NOT(ISNA(VLOOKUP(E5920,E$1:E5919,1,FALSE()))),"OLD",IF(AND(E5920&lt;&gt;"",E5920&lt;&gt;"!!!"),"NEW","")))</f>
        <v> </v>
      </c>
      <c r="G5920" s="23" t="str">
        <f>IF(OR(E5920="",E5920="!!!"),"",IF(OR(J5920=0,AND(J5920=1,K5920=1),AND(J5920=1,I5920="SBJ"),AND(J5920=1,I5920=0)),"?IN_FOCUS",IF(J5920&lt;=2,"?ACTIVATED",IF(J5920&lt;&gt;"","?FAMILIAR",IF(F5920="NEW",IF(ISNA(VLOOKUP(E5920,#REF!,1,FALSE())),"?TYPE_IDENTIFIABLE","?REFERENTIAL"),"_")))))</f>
        <v> </v>
      </c>
      <c r="H5920" s="24" t="str">
        <f>IF(J5920&lt;&gt;1,"",IF(I5920="SBJ","CB","?"))</f>
        <v> </v>
      </c>
      <c r="I5920" s="25" t="str">
        <f>IF(OR(E5920="",E5920="!!!",F5920="NEW"),"",INDEX(B5919:B$2,-1+SUMPRODUCT(MAX(ROW(E5919:E$2)*(E5920=E5919:E$2)))))</f>
        <v> </v>
      </c>
      <c r="J5920" s="25" t="str">
        <f>IF(OR(E5920="",E5920="!!!",F5920="NEW"),"",COUNTBLANK(OFFSET(A$1,,,SUMPRODUCT(MAX(ROW(E$2:E5920)*(E5920=E$2:E5920)))))-COUNTBLANK(OFFSET(A$1,,,SUMPRODUCT(MAX(ROW(E$1:E5919)*(E2=E$1:E5919))))))</f>
        <v> </v>
      </c>
      <c r="K5920" s="25" t="str">
        <f>IF(OR(E5920="",E5920="!!!",F5920="NEW"),"",INDEX(J$1:J5919,SUMPRODUCT(MAX(ROW(E$1:E5919)*(E5920=E$1:E5919)))))</f>
        <v> </v>
      </c>
      <c r="L5920" s="26"/>
    </row>
    <row r="5921" spans="1:12">
      <c r="A5921" s="20" t="s">
        <v>1026</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2578</v>
      </c>
      <c r="B5922" s="27" t="s">
        <v>973</v>
      </c>
      <c r="C5922" s="27" t="s">
        <v>956</v>
      </c>
      <c r="D5922" s="27" t="s">
        <v>917</v>
      </c>
      <c r="E5922" s="21">
        <f>IF(D5922="?OLD","!!!","")</f>
        <v/>
      </c>
      <c r="F5922" s="22" t="str">
        <f>IF(OR(E5922="",E5922="!!!"),"",IF(NOT(ISNA(VLOOKUP(E5922,E$1:E5921,1,FALSE()))),"OLD",IF(AND(E5922&lt;&gt;"",E5922&lt;&gt;"!!!"),"NEW","")))</f>
        <v> </v>
      </c>
      <c r="G5922" s="23" t="str">
        <f>IF(OR(E5922="",E5922="!!!"),"",IF(OR(J5922=0,AND(J5922=1,K5922=1),AND(J5922=1,I5922="SBJ"),AND(J5922=1,I5922=0)),"?IN_FOCUS",IF(J5922&lt;=2,"?ACTIVATED",IF(J5922&lt;&gt;"","?FAMILIAR",IF(F5922="NEW",IF(ISNA(VLOOKUP(E5922,#REF!,1,FALSE())),"?TYPE_IDENTIFIABLE","?REFERENTIAL"),"_")))))</f>
        <v> </v>
      </c>
      <c r="H5922" s="24" t="str">
        <f>IF(J5922&lt;&gt;1,"",IF(I5922="SBJ","CB","?"))</f>
        <v> </v>
      </c>
      <c r="I5922" s="25" t="str">
        <f>IF(OR(E5922="",E5922="!!!",F5922="NEW"),"",INDEX(B5921:B$2,-1+SUMPRODUCT(MAX(ROW(E5921:E$2)*(E5922=E5921:E$2)))))</f>
        <v> </v>
      </c>
      <c r="J5922" s="25" t="str">
        <f>IF(OR(E5922="",E5922="!!!",F5922="NEW"),"",COUNTBLANK(OFFSET(A$1,,,SUMPRODUCT(MAX(ROW(E$2:E5922)*(E5922=E$2:E5922)))))-COUNTBLANK(OFFSET(A$1,,,SUMPRODUCT(MAX(ROW(E$1:E5921)*(E2=E$1:E5921))))))</f>
        <v> </v>
      </c>
      <c r="K5922" s="25" t="str">
        <f>IF(OR(E5922="",E5922="!!!",F5922="NEW"),"",INDEX(J$1:J5921,SUMPRODUCT(MAX(ROW(E$1:E5921)*(E5922=E$1:E5921)))))</f>
        <v> </v>
      </c>
      <c r="L5922" s="26"/>
    </row>
    <row r="5923" spans="1:12">
      <c r="A5923" s="20" t="s">
        <v>932</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row>
    <row r="5925" spans="1:12">
      <c r="A5925" s="20" t="s">
        <v>2579</v>
      </c>
    </row>
    <row r="5926" spans="1:12">
      <c r="A5926" s="20" t="s">
        <v>1459</v>
      </c>
      <c r="B5926" s="27" t="s">
        <v>910</v>
      </c>
      <c r="C5926" s="27" t="s">
        <v>956</v>
      </c>
      <c r="D5926" s="27" t="s">
        <v>917</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2575</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1114</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1010</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1284</v>
      </c>
      <c r="B5930" s="27" t="s">
        <v>946</v>
      </c>
      <c r="C5930" s="27" t="s">
        <v>1012</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2580</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918</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963</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1769</v>
      </c>
      <c r="B5934" s="27" t="s">
        <v>946</v>
      </c>
      <c r="C5934" s="27" t="s">
        <v>943</v>
      </c>
      <c r="D5934" s="27" t="s">
        <v>917</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966</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2581</v>
      </c>
      <c r="B5936" s="27" t="s">
        <v>962</v>
      </c>
      <c r="C5936" s="27" t="s">
        <v>974</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918</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963</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1769</v>
      </c>
      <c r="B5939" s="27" t="s">
        <v>970</v>
      </c>
      <c r="C5939" s="27" t="s">
        <v>943</v>
      </c>
      <c r="D5939" s="27" t="s">
        <v>917</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1008</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913</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2582</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928</v>
      </c>
      <c r="B5943" s="27" t="s">
        <v>973</v>
      </c>
      <c r="C5943" s="27" t="s">
        <v>943</v>
      </c>
      <c r="D5943" s="27" t="s">
        <v>917</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t="s">
        <v>960</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913</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1125</v>
      </c>
      <c r="B5946" s="27" t="s">
        <v>987</v>
      </c>
      <c r="C5946" s="27" t="s">
        <v>916</v>
      </c>
      <c r="D5946" s="27" t="s">
        <v>917</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918</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960</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2583</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1044</v>
      </c>
      <c r="B5950" s="27" t="s">
        <v>1261</v>
      </c>
      <c r="C5950" s="27" t="s">
        <v>956</v>
      </c>
      <c r="D5950" s="27" t="s">
        <v>917</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963</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1019</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2584</v>
      </c>
      <c r="B5953" s="27" t="s">
        <v>990</v>
      </c>
      <c r="C5953" s="27" t="s">
        <v>916</v>
      </c>
      <c r="D5953" s="27" t="s">
        <v>917</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1102</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1367</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699</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932</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row>
    <row r="5959" spans="1:12">
      <c r="A5959" s="20" t="s">
        <v>2585</v>
      </c>
    </row>
    <row r="5960" spans="1:12">
      <c r="A5960" s="20" t="s">
        <v>2586</v>
      </c>
      <c r="B5960" s="27" t="s">
        <v>942</v>
      </c>
      <c r="C5960" s="27" t="s">
        <v>1052</v>
      </c>
      <c r="D5960" s="27" t="s">
        <v>917</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918</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1262</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1043</v>
      </c>
      <c r="B5963" s="27" t="s">
        <v>946</v>
      </c>
      <c r="C5963" s="27" t="s">
        <v>956</v>
      </c>
      <c r="D5963" s="27" t="s">
        <v>917</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918</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1035</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908</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1198</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2587</v>
      </c>
      <c r="B5968" s="27" t="s">
        <v>915</v>
      </c>
      <c r="C5968" s="27" t="s">
        <v>911</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932</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row>
    <row r="5971" spans="1:12">
      <c r="A5971" s="20" t="s">
        <v>2588</v>
      </c>
    </row>
    <row r="5972" spans="1:12">
      <c r="A5972" s="20" t="s">
        <v>2589</v>
      </c>
      <c r="B5972" s="27" t="s">
        <v>915</v>
      </c>
      <c r="C5972" s="27" t="s">
        <v>974</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932</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2025-07-11T07:04:16Z</dcterms:created>
  <dcterms:modified xsi:type="dcterms:W3CDTF">2025-07-11T07:04:16Z</dcterms:modified>
</cp:coreProperties>
</file>