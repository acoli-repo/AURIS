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<sst xmlns="http://schemas.openxmlformats.org/spreadsheetml/2006/main" count="5443" uniqueCount="1375">
  <si>
    <t>ID</t>
  </si>
  <si>
    <t>PRED_ID</t>
  </si>
  <si>
    <t>MARKER_AUTO</t>
  </si>
  <si>
    <t>PREDICATE</t>
  </si>
  <si>
    <t>TEXT</t>
  </si>
  <si>
    <t>SENTENCE</t>
  </si>
  <si>
    <t>MARKER</t>
  </si>
  <si>
    <t>TARGET</t>
  </si>
  <si>
    <t>RELATION</t>
  </si>
  <si>
    <t>COMMENT</t>
  </si>
  <si>
    <t>1</t>
  </si>
  <si>
    <t>2</t>
  </si>
  <si>
    <t>_</t>
  </si>
  <si>
    <t>parlare</t>
  </si>
  <si>
    <t>Vi parlerò un po' di strategia e delle di le sue relazioni con la tecnologia .</t>
  </si>
  <si>
    <t>file://conllu/it/teddy-1558.conllu#s1_0</t>
  </si>
  <si>
    <t>tendere</t>
  </si>
  <si>
    <t>Si tende a pensare alla a la strategia di business come ad un corpo abbastanza astratto composto essenzialmente di pensiero economico , magari senza tempo .</t>
  </si>
  <si>
    <t>file://conllu/it/teddy-1558.conllu#s2_0</t>
  </si>
  <si>
    <t>3</t>
  </si>
  <si>
    <t>volere (volere discutere)</t>
  </si>
  <si>
    <t>Voglio discutere sul su il fatto che la strategia di business è sempre stata basata su assunti circa la tecnologia , che quegli assunti stanno cambiando , di fatto , molto in fretta , e che di conseguenza quello che ci guiderà è un concetto diverso di come consideriamo la strategia di business .</t>
  </si>
  <si>
    <t>file://conllu/it/teddy-1558.conllu#s3_0</t>
  </si>
  <si>
    <t>4</t>
  </si>
  <si>
    <t>se?</t>
  </si>
  <si>
    <t>iniziare</t>
  </si>
  <si>
    <t>Vorrei iniziare , se posso , con un po' di storia .</t>
  </si>
  <si>
    <t>file://conllu/it/teddy-1558.conllu#s4_0</t>
  </si>
  <si>
    <t>5</t>
  </si>
  <si>
    <t>8</t>
  </si>
  <si>
    <t>dovere (dovere origine)</t>
  </si>
  <si>
    <t>L' idea di strategia nel in il business deve le sue origini a due giganti del di il pensiero :</t>
  </si>
  <si>
    <t>file://conllu/it/teddy-1558.conllu#s5_0</t>
  </si>
  <si>
    <t>6</t>
  </si>
  <si>
    <t>e?</t>
  </si>
  <si>
    <t>Bruce</t>
  </si>
  <si>
    <t>Bruce Henderson , il fondatore del di il Boston Consulting Group , e Michael Porter , professore alla a la Harvard Business School .</t>
  </si>
  <si>
    <t>file://conllu/it/teddy-1558.conllu#s6_0</t>
  </si>
  <si>
    <t>7</t>
  </si>
  <si>
    <t>essere (essere quello)</t>
  </si>
  <si>
    <t>L' idea centrale di Henderson era quella che potremmo chiamare il concetto napoleonico di concentrare la massa contro la debolezza , di sopraffare il nemico .</t>
  </si>
  <si>
    <t>file://conllu/it/teddy-1558.conllu#s7_0</t>
  </si>
  <si>
    <t>essere (essere che)</t>
  </si>
  <si>
    <t>Quello che Henderson riconosceva era che nel in il mondo del di il business esistono molti fenomeni caratterizzati da quello che gli economisti chiamerebbero rendimenti crescenti , di scala , di esperienza .</t>
  </si>
  <si>
    <t>file://conllu/it/teddy-1558.conllu#s8_0</t>
  </si>
  <si>
    <t>9</t>
  </si>
  <si>
    <t>fare</t>
  </si>
  <si>
    <t>Più si fa qualcosa , più si ottiene , in modo non proporzionale .</t>
  </si>
  <si>
    <t>file://conllu/it/teddy-1558.conllu#s9_0</t>
  </si>
  <si>
    <t>10</t>
  </si>
  <si>
    <t>quindi?</t>
  </si>
  <si>
    <t>trovare</t>
  </si>
  <si>
    <t>E quindi trovò una logica di investimento in quel tipo di massa d' urto al a il fine di ottenere un vantaggio competitivo .</t>
  </si>
  <si>
    <t>file://conllu/it/teddy-1558.conllu#s10_0</t>
  </si>
  <si>
    <t>11</t>
  </si>
  <si>
    <t>prima?</t>
  </si>
  <si>
    <t>essere (essere introduzione)</t>
  </si>
  <si>
    <t>E questa fu la prima introduzione di un concetto di strategia essenzialmente militare nel in il mondo del di il business .</t>
  </si>
  <si>
    <t>file://conllu/it/teddy-1558.conllu#s11_0</t>
  </si>
  <si>
    <t>12</t>
  </si>
  <si>
    <t>ma?</t>
  </si>
  <si>
    <t>essere (essere accordo)</t>
  </si>
  <si>
    <t>Porter era d' accordo con questa impostazione ma la definì meglio .</t>
  </si>
  <si>
    <t>file://conllu/it/teddy-1558.conllu#s12_0</t>
  </si>
  <si>
    <t>13</t>
  </si>
  <si>
    <t>sottolineare</t>
  </si>
  <si>
    <t>Lui sottolineò , correttamente , che era tutto giusto ma i business hanno in realtà più processi al a il loro interno .</t>
  </si>
  <si>
    <t>file://conllu/it/teddy-1558.conllu#s13_0</t>
  </si>
  <si>
    <t>14</t>
  </si>
  <si>
    <t>guidare</t>
  </si>
  <si>
    <t>Hanno componenti diverse , e ognuna di queste componenti potrebbe essere guidata da un diverso tipo di strategia .</t>
  </si>
  <si>
    <t>file://conllu/it/teddy-1558.conllu#s14_0</t>
  </si>
  <si>
    <t>15</t>
  </si>
  <si>
    <t>avvantaggiare</t>
  </si>
  <si>
    <t>Un' azienda o un business in realtà può essere avvantaggiata in alcune attività ma non in altre .</t>
  </si>
  <si>
    <t>file://conllu/it/teddy-1558.conllu#s15_0</t>
  </si>
  <si>
    <t>16</t>
  </si>
  <si>
    <t>29</t>
  </si>
  <si>
    <t>poi?</t>
  </si>
  <si>
    <t>assemblare</t>
  </si>
  <si>
    <t>Lui formulò il concetto di catena di valore , in pratica la sequenza di processi con cui un , diciamo , materiale grezzo diventa un componente , viene assemblato in un prodotto finito , e poi viene distribuito , per esempio ; e lui spiegò che il vantaggio accumulato da ognuna di quelle componenti , e il vantaggio dell' di l' insieme erano in un certo senso la somma o la media di tutte le sue parti .</t>
  </si>
  <si>
    <t>file://conllu/it/teddy-1558.conllu#s16_0</t>
  </si>
  <si>
    <t>17</t>
  </si>
  <si>
    <t>basare</t>
  </si>
  <si>
    <t>Questa idea della di la catena di valore era basata sull' su l' assunto che quello che tiene insieme un business sono i costi di transazione , e che quindi è necessario coordinare .</t>
  </si>
  <si>
    <t>file://conllu/it/teddy-1558.conllu#s17_0</t>
  </si>
  <si>
    <t>18</t>
  </si>
  <si>
    <t>essere (essere efficiente)</t>
  </si>
  <si>
    <t>Le organizzazioni sono più efficienti nel in il coordinare dei di i mercati , molto spesso , e di conseguenza il ruolo e la natura dei di i confini della di la cooperazione sono definiti dai da i costi di transazione .</t>
  </si>
  <si>
    <t>file://conllu/it/teddy-1558.conllu#s18_0</t>
  </si>
  <si>
    <t>19</t>
  </si>
  <si>
    <t>essere (essere idea)</t>
  </si>
  <si>
    <t>È stato su queste due idee , quella di Henderson dei di i rendimenti crescenti di scala e di esperienza , e l' idea di Porter della di la catena di valore , che comprendeva elementi eterogenei , che l' intero edificio della di la strategia di business venne successivamente eretto .</t>
  </si>
  <si>
    <t>file://conllu/it/teddy-1558.conllu#s19_0</t>
  </si>
  <si>
    <t>20</t>
  </si>
  <si>
    <t>essere</t>
  </si>
  <si>
    <t>Quello che ora voglio discutere è che quelle premesse , di fatto , non sono più valide .</t>
  </si>
  <si>
    <t>file://conllu/it/teddy-1558.conllu#s20_0</t>
  </si>
  <si>
    <t>21</t>
  </si>
  <si>
    <t>innanzitutto?</t>
  </si>
  <si>
    <t>pensare</t>
  </si>
  <si>
    <t>Innanzitutto pensiamo ai a i costi di transazione .</t>
  </si>
  <si>
    <t>file://conllu/it/teddy-1558.conllu#s21_0</t>
  </si>
  <si>
    <t>22</t>
  </si>
  <si>
    <t>in realtà?</t>
  </si>
  <si>
    <t>Ci sono in realtà due componenti nei in i costi di transazione .</t>
  </si>
  <si>
    <t>file://conllu/it/teddy-1558.conllu#s22_0</t>
  </si>
  <si>
    <t>23</t>
  </si>
  <si>
    <t>essere (essere elaborazione)</t>
  </si>
  <si>
    <t>Una è l' elaborazione delle di le informazioni , e l' altra riguarda la comunicazione .</t>
  </si>
  <si>
    <t>file://conllu/it/teddy-1558.conllu#s23_0</t>
  </si>
  <si>
    <t>24</t>
  </si>
  <si>
    <t>essere (essere questo)</t>
  </si>
  <si>
    <t>Questi sono i dati sull' su l' elaborazione e sulla su la comunicazione come si sono evolute nel in il lungo periodo .</t>
  </si>
  <si>
    <t>file://conllu/it/teddy-1558.conllu#s24_0</t>
  </si>
  <si>
    <t>25</t>
  </si>
  <si>
    <t>come?</t>
  </si>
  <si>
    <t>sapere</t>
  </si>
  <si>
    <t>Come tutti sappiamo da molte fonti queste si sono fortemente trasformate dai da i giorni in cui Porter e Henderson per primi formularono le loro teorie .</t>
  </si>
  <si>
    <t>file://conllu/it/teddy-1558.conllu#s25_0</t>
  </si>
  <si>
    <t>26</t>
  </si>
  <si>
    <t>diminuire</t>
  </si>
  <si>
    <t>In particolare , dalla da la metà degli di gli anni '90 i costi di comunicazione sono in realtà diminuiti ancora più velocemente dei di i costi di transazione , e questo è il motivo per cui la comunicazione , cioè Internet , è esplosa in modo così repentino .</t>
  </si>
  <si>
    <t>file://conllu/it/teddy-1558.conllu#s26_0</t>
  </si>
  <si>
    <t>27</t>
  </si>
  <si>
    <t>avere</t>
  </si>
  <si>
    <t>Quei costi di transazione in discesa hanno conseguenze profonde perché se i costi di transazione sono il collante che tiene insieme le catene di valore , e stanno calando , c' è meno su cui economizzare .</t>
  </si>
  <si>
    <t>file://conllu/it/teddy-1558.conllu#s27_0</t>
  </si>
  <si>
    <t>28</t>
  </si>
  <si>
    <t>C' è meno bisogno di organizzazioni integrate verticalmente , e le catene di valore possono al a il limite anche rompersi romper si .</t>
  </si>
  <si>
    <t>file://conllu/it/teddy-1558.conllu#s28_0</t>
  </si>
  <si>
    <t>necessariamente</t>
  </si>
  <si>
    <t>Non necessariamente , ma possono .</t>
  </si>
  <si>
    <t>file://conllu/it/teddy-1558.conllu#s29_0</t>
  </si>
  <si>
    <t>30</t>
  </si>
  <si>
    <t>per?</t>
  </si>
  <si>
    <t>diventare</t>
  </si>
  <si>
    <t>In particolare diventa possibile per un concorrente in un certo business usare la propria posizione in una fase della di la catena di valore per penetrare o attaccare o disintermediare un concorrente in un' altro .</t>
  </si>
  <si>
    <t>file://conllu/it/teddy-1558.conllu#s30_0</t>
  </si>
  <si>
    <t>31</t>
  </si>
  <si>
    <t>solo?</t>
  </si>
  <si>
    <t>essere (essere astratto)</t>
  </si>
  <si>
    <t>Questo non è solo un enunciato astratto .</t>
  </si>
  <si>
    <t>file://conllu/it/teddy-1558.conllu#s31_0</t>
  </si>
  <si>
    <t>32</t>
  </si>
  <si>
    <t>esistere</t>
  </si>
  <si>
    <t>Esistono molte storie dettagliate di come sia successo veramente .</t>
  </si>
  <si>
    <t>file://conllu/it/teddy-1558.conllu#s32_0</t>
  </si>
  <si>
    <t>33</t>
  </si>
  <si>
    <t>essere (essere business)</t>
  </si>
  <si>
    <t>Un chiaro esempio è stato il business delle di le enciclopedie .</t>
  </si>
  <si>
    <t>file://conllu/it/teddy-1558.conllu#s33_0</t>
  </si>
  <si>
    <t>34</t>
  </si>
  <si>
    <t>in sostanza?</t>
  </si>
  <si>
    <t>essere (essere sostanza)</t>
  </si>
  <si>
    <t>Il business delle di le enciclopedie ai a i tempi dei di i libri rilegati di pelle era in sostanza un business distributivo .</t>
  </si>
  <si>
    <t>file://conllu/it/teddy-1558.conllu#s34_0</t>
  </si>
  <si>
    <t>35</t>
  </si>
  <si>
    <t>essere (essere provvigione)</t>
  </si>
  <si>
    <t>La maggior parte dei di i costi erano le provvigioni ai a i venditori .</t>
  </si>
  <si>
    <t>file://conllu/it/teddy-1558.conllu#s35_0</t>
  </si>
  <si>
    <t>36</t>
  </si>
  <si>
    <t>arrivare</t>
  </si>
  <si>
    <t>Ma poi arrivarono il CD ROM e poi Internet , le nuove tecnologie resero la distribuzione del di il sapere di molti ordini di grandezza più economica , e l' industria dell' di l' enciclopedia collassò .</t>
  </si>
  <si>
    <t>file://conllu/it/teddy-1558.conllu#s36_0</t>
  </si>
  <si>
    <t>37</t>
  </si>
  <si>
    <t>essere (essere storia)</t>
  </si>
  <si>
    <t>Oggi , chiaramente , è una storia conosciuta .</t>
  </si>
  <si>
    <t>file://conllu/it/teddy-1558.conllu#s37_0</t>
  </si>
  <si>
    <t>38</t>
  </si>
  <si>
    <t>Più in generale , questa è stata la storia della di la prima generazione dell' di l' economia basata su Internet .</t>
  </si>
  <si>
    <t>file://conllu/it/teddy-1558.conllu#s38_0</t>
  </si>
  <si>
    <t>39</t>
  </si>
  <si>
    <t>Era basata sulla su la riduzione dei di i costi di transazione che rompendo le catene di valore hanno permesso l' eliminazione degli di gli intermediari , o quella che chiamiamo decostruzione .</t>
  </si>
  <si>
    <t>file://conllu/it/teddy-1558.conllu#s39_0</t>
  </si>
  <si>
    <t>40</t>
  </si>
  <si>
    <t>Una delle di le domande che ogni tanto mi veniva posta era questa :</t>
  </si>
  <si>
    <t>file://conllu/it/teddy-1558.conllu#s40_0</t>
  </si>
  <si>
    <t>41</t>
  </si>
  <si>
    <t>sostituire</t>
  </si>
  <si>
    <t>&amp;quot; Ok , che cosa sostituirà l' enciclopedia se la Britannica non ha più un modello di business ? &amp;quot;</t>
  </si>
  <si>
    <t>file://conllu/it/teddy-1558.conllu#s41_0</t>
  </si>
  <si>
    <t>42</t>
  </si>
  <si>
    <t>prima che?</t>
  </si>
  <si>
    <t>essere (essere evidente)</t>
  </si>
  <si>
    <t>E questo è stato appena prima che la risposta fosse evidente .</t>
  </si>
  <si>
    <t>file://conllu/it/teddy-1558.conllu#s42_0</t>
  </si>
  <si>
    <t>43</t>
  </si>
  <si>
    <t>Adesso , naturalmente , sappiamo cos' è : è Wikipedia .</t>
  </si>
  <si>
    <t>file://conllu/it/teddy-1558.conllu#s43_0</t>
  </si>
  <si>
    <t>44</t>
  </si>
  <si>
    <t>essere (essere modo)</t>
  </si>
  <si>
    <t>Ma quello che ha di speciale Wikipedia non è la distribuzione , quello che ha di speciale è il modo in cui viene prodotta .</t>
  </si>
  <si>
    <t>file://conllu/it/teddy-1558.conllu#s44_0</t>
  </si>
  <si>
    <t>45</t>
  </si>
  <si>
    <t>essere (essere enciclopedia)</t>
  </si>
  <si>
    <t>Wikipedia , lo sappiamo , è un' enciclopedia creata dagli da gli utenti .</t>
  </si>
  <si>
    <t>file://conllu/it/teddy-1558.conllu#s45_0</t>
  </si>
  <si>
    <t>46</t>
  </si>
  <si>
    <t>definire</t>
  </si>
  <si>
    <t>E questo , di fatto , definisce quello che potreste chiamare il secondo decennio dell' di l' economia basata su Internet , il decennio in cui Internet è passato da un nome ad un verbo .</t>
  </si>
  <si>
    <t>file://conllu/it/teddy-1558.conllu#s46_0</t>
  </si>
  <si>
    <t>47</t>
  </si>
  <si>
    <t>È diventato un posto per conversare .</t>
  </si>
  <si>
    <t>file://conllu/it/teddy-1558.conllu#s47_0</t>
  </si>
  <si>
    <t>48</t>
  </si>
  <si>
    <t>era</t>
  </si>
  <si>
    <t>L' era in cui i contenuti generati dagli da gli utenti e le reti sociali sono diventati il fenomeno dominante .</t>
  </si>
  <si>
    <t>file://conllu/it/teddy-1558.conllu#s48_0</t>
  </si>
  <si>
    <t>49</t>
  </si>
  <si>
    <t>essere (essere collasso)</t>
  </si>
  <si>
    <t>Quello che ha significato realmente in termini dello di lo schema di Porter Henderson è stato il collasso di certi tipi di economie di scala .</t>
  </si>
  <si>
    <t>file://conllu/it/teddy-1558.conllu#s49_0</t>
  </si>
  <si>
    <t>50</t>
  </si>
  <si>
    <t>risultato</t>
  </si>
  <si>
    <t>È risultato che decine di migliaia di individui autonomi che scrivono un' enciclopedia possono farlo far lo altrettanto bene , e sicuramente in modo molto più economico , rispetto a professionisti inseriti in un' organizzazione gerarchica .</t>
  </si>
  <si>
    <t>file://conllu/it/teddy-1558.conllu#s50_0</t>
  </si>
  <si>
    <t>51</t>
  </si>
  <si>
    <t>succedere</t>
  </si>
  <si>
    <t>In pratica è successo che uno strato di questa catena di valore si è frammentato nel in il momento in cui gli individui hanno preso il posto di organizzazioni che non servivano più .</t>
  </si>
  <si>
    <t>file://conllu/it/teddy-1558.conllu#s51_0</t>
  </si>
  <si>
    <t>52</t>
  </si>
  <si>
    <t>Ma c' è un' altra domanda che chiaramente pone questo grafico , che è , &amp;quot; Ok abbiamo attraversato due decenni , che cosa distinguerà il terzo ? &amp;quot;</t>
  </si>
  <si>
    <t>file://conllu/it/teddy-1558.conllu#s52_0</t>
  </si>
  <si>
    <t>53</t>
  </si>
  <si>
    <t>Quello che penso è che davvero c' è qualcosa che distingue il terzo , e coincide esattamente con la logica di Porter Henderson di cui abbiamo parlato .</t>
  </si>
  <si>
    <t>file://conllu/it/teddy-1558.conllu#s53_0</t>
  </si>
  <si>
    <t>54</t>
  </si>
  <si>
    <t>essere (essere dato)</t>
  </si>
  <si>
    <t>Ed è : i dati .</t>
  </si>
  <si>
    <t>file://conllu/it/teddy-1558.conllu#s54_0</t>
  </si>
  <si>
    <t>55</t>
  </si>
  <si>
    <t>Se torniamo indietro a circa il 2000 , molte persone parlavano della di la rivoluzione dell' di l' informazione , ed era vero che i dati di borsa mondiali stavano crescendo , davvero molto in fretta .</t>
  </si>
  <si>
    <t>file://conllu/it/teddy-1558.conllu#s55_0</t>
  </si>
  <si>
    <t>56</t>
  </si>
  <si>
    <t>allora?</t>
  </si>
  <si>
    <t>essere (essere allora)</t>
  </si>
  <si>
    <t>Ma era solo allora che stavano superando il non digitale .</t>
  </si>
  <si>
    <t>file://conllu/it/teddy-1558.conllu#s56_0</t>
  </si>
  <si>
    <t>57</t>
  </si>
  <si>
    <t>essere (essere esploso)</t>
  </si>
  <si>
    <t>Se andiamo al a il 2007 , non solo erano esplosi i dati mondiali sulle su le borse , ma c' era stata questa massiccia sostituzione del di il digitale sul su il non digitale .</t>
  </si>
  <si>
    <t>file://conllu/it/teddy-1558.conllu#s57_0</t>
  </si>
  <si>
    <t>58</t>
  </si>
  <si>
    <t>importante</t>
  </si>
  <si>
    <t>E più importante di tutto , se guardate attentamente questo grafico , quello che vedrete è che circa la metà di quei dati digitali sono informazioni che hanno un indirizzo I.P . Stanno su un server o su un PC .</t>
  </si>
  <si>
    <t>file://conllu/it/teddy-1558.conllu#s58_0</t>
  </si>
  <si>
    <t>59</t>
  </si>
  <si>
    <t>Ma avere un indirizzo I.P. significa che si possono collegare ad altri dati che hanno un indirizzo I.P .</t>
  </si>
  <si>
    <t>file://conllu/it/teddy-1558.conllu#s59_0</t>
  </si>
  <si>
    <t>60</t>
  </si>
  <si>
    <t>significare</t>
  </si>
  <si>
    <t>Significa che diventa possibile mettere insieme metà della di la conoscenza globale per vedere schemi , una cosa completamente nuova .</t>
  </si>
  <si>
    <t>file://conllu/it/teddy-1558.conllu#s60_0</t>
  </si>
  <si>
    <t>61</t>
  </si>
  <si>
    <t>venire</t>
  </si>
  <si>
    <t>Se facciamo girare i numeri fino ad oggi , probabilmente viene fuori qualcosa di simile .</t>
  </si>
  <si>
    <t>file://conllu/it/teddy-1558.conllu#s61_0</t>
  </si>
  <si>
    <t>62</t>
  </si>
  <si>
    <t>essere (essere sicuro)</t>
  </si>
  <si>
    <t>Ma non ne siamo sicuri .</t>
  </si>
  <si>
    <t>file://conllu/it/teddy-1558.conllu#s62_0</t>
  </si>
  <si>
    <t>63</t>
  </si>
  <si>
    <t>Se facciamo girare i numeri fino al a il 2020 , abbiamo un numero esatto , grazie a IDC .</t>
  </si>
  <si>
    <t>file://conllu/it/teddy-1558.conllu#s63_0</t>
  </si>
  <si>
    <t>64</t>
  </si>
  <si>
    <t>essere (essere curioso)</t>
  </si>
  <si>
    <t>È curioso che il futuro sia molto più prevedibile del di il presente .</t>
  </si>
  <si>
    <t>file://conllu/it/teddy-1558.conllu#s64_0</t>
  </si>
  <si>
    <t>65</t>
  </si>
  <si>
    <t>implicare</t>
  </si>
  <si>
    <t>Questo implica una moltiplicazione per cento nell' in l' insieme delle di le informazioni che sono connesse con un indirizzo I.P .</t>
  </si>
  <si>
    <t>file://conllu/it/teddy-1558.conllu#s65_0</t>
  </si>
  <si>
    <t>66</t>
  </si>
  <si>
    <t>essere (essere moltiplicazione)</t>
  </si>
  <si>
    <t>Se il numero di connessioni che possiamo effettuare è proporzionale al a il numero di coppie di punti di informazione , una moltiplicazione per cento nella in la quantità di dati è una moltiplicazione per diecimila del di il numero di schemi che possiamo trovare in quei dati ; questo solo negli in gli ultimi 10 o 11 anni .</t>
  </si>
  <si>
    <t>file://conllu/it/teddy-1558.conllu#s66_0</t>
  </si>
  <si>
    <t>67</t>
  </si>
  <si>
    <t>essere (essere cambiamento)</t>
  </si>
  <si>
    <t>Questo , oserei dire , è un cambiamento epocale , un cambiamento profondo nell' in l' economia del di il mondo in cui viviamo .</t>
  </si>
  <si>
    <t>file://conllu/it/teddy-1558.conllu#s67_0</t>
  </si>
  <si>
    <t>68</t>
  </si>
  <si>
    <t>mappare</t>
  </si>
  <si>
    <t>Il primo genoma umano , quello di James Watson , è stato mappato al a il culmine del di il Progetto Genoma Umano nel in il 2000 , ed è costato circa 200 milioni di dollari e circa 10 anni di lavoro per mappare il genoma di una sola persona .</t>
  </si>
  <si>
    <t>file://conllu/it/teddy-1558.conllu#s68_0</t>
  </si>
  <si>
    <t>69</t>
  </si>
  <si>
    <t>da allora?</t>
  </si>
  <si>
    <t>scendere</t>
  </si>
  <si>
    <t>Da allora i costi per mappare il genoma sono scesi .</t>
  </si>
  <si>
    <t>file://conllu/it/teddy-1558.conllu#s69_0</t>
  </si>
  <si>
    <t>70</t>
  </si>
  <si>
    <t>prevedere</t>
  </si>
  <si>
    <t>Di fatto , negli in gli ultimi anni sono scesi in modo davvero considerevole , al a il punto che laddove il costo è oggi sotto i 1000 dollari , ed è previsto con certezza che entro il 2015 sarà sotto i 100 dollari :</t>
  </si>
  <si>
    <t>file://conllu/it/teddy-1558.conllu#s70_0</t>
  </si>
  <si>
    <t>71</t>
  </si>
  <si>
    <t>calo</t>
  </si>
  <si>
    <t>un calo di un ordine di grandezza di cinque o sei volte del di il costo della di la mappatura del di il genoma in soli 15 anni .</t>
  </si>
  <si>
    <t>file://conllu/it/teddy-1558.conllu#s71_0</t>
  </si>
  <si>
    <t>72</t>
  </si>
  <si>
    <t>fenomeno</t>
  </si>
  <si>
    <t>Un fenomeno straordinario .</t>
  </si>
  <si>
    <t>file://conllu/it/teddy-1558.conllu#s72_0</t>
  </si>
  <si>
    <t>74</t>
  </si>
  <si>
    <t>selezionare</t>
  </si>
  <si>
    <t>Gli scienziati selezionavano alcune persone rappresentative e cercavano schemi , provavano a fare generalizzazioni sulla su la natura umana e sulle su le malattie a partire dagli da gli schemi astratti che trovavano da questi individui selezionati .</t>
  </si>
  <si>
    <t>file://conllu/it/teddy-1558.conllu#s74_0</t>
  </si>
  <si>
    <t>75</t>
  </si>
  <si>
    <t>quando?</t>
  </si>
  <si>
    <t>Ma quando il genoma si può mappare per 100 dollari , 99 dollari espresso , succede che diventa di massa .</t>
  </si>
  <si>
    <t>file://conllu/it/teddy-1558.conllu#s75_0</t>
  </si>
  <si>
    <t>76</t>
  </si>
  <si>
    <t>Diventa soprattutto clinico .</t>
  </si>
  <si>
    <t>file://conllu/it/teddy-1558.conllu#s76_0</t>
  </si>
  <si>
    <t>77</t>
  </si>
  <si>
    <t>andare</t>
  </si>
  <si>
    <t>Vai dal da il dottore con un raffreddore , e se non lo ha ancora fatto , la prima cosa che fa è una mappa del di il tuo genoma .</t>
  </si>
  <si>
    <t>file://conllu/it/teddy-1558.conllu#s77_0</t>
  </si>
  <si>
    <t>78</t>
  </si>
  <si>
    <t>partire</t>
  </si>
  <si>
    <t>E a questo punto quello che fa non è partire da qualche conoscenza astratta di medicina genomica e cercare di capire come applicarla applicar la a voi , ma partire dal da il vostro genoma particolare .</t>
  </si>
  <si>
    <t>file://conllu/it/teddy-1558.conllu#s78_0</t>
  </si>
  <si>
    <t>79</t>
  </si>
  <si>
    <t>Pensate alla a la potenzialità di questo .</t>
  </si>
  <si>
    <t>file://conllu/it/teddy-1558.conllu#s79_0</t>
  </si>
  <si>
    <t>80</t>
  </si>
  <si>
    <t>Pensate a dove ci può portare quando possiamo combinare i dati genetici con quelli clinici , con dati sull' su l' interazione tra farmaci con i dati ambientali che accessori come il nostro telefono e i sensori medici raccoglieranno sempre di più .</t>
  </si>
  <si>
    <t>file://conllu/it/teddy-1558.conllu#s80_0</t>
  </si>
  <si>
    <t>81</t>
  </si>
  <si>
    <t>Pensate a cosa succede quando raccogliamo tutti quei dati e possiamo metterli metter li insieme per trovare schemi che non avremmo potuto vedere prima .</t>
  </si>
  <si>
    <t>file://conllu/it/teddy-1558.conllu#s81_0</t>
  </si>
  <si>
    <t>82</t>
  </si>
  <si>
    <t>per questo?</t>
  </si>
  <si>
    <t>volere</t>
  </si>
  <si>
    <t>Per questo magari ci vorrà un po' ma condurrà ad una rivoluzione in medicina .</t>
  </si>
  <si>
    <t>file://conllu/it/teddy-1558.conllu#s82_0</t>
  </si>
  <si>
    <t>83</t>
  </si>
  <si>
    <t>Favoloso</t>
  </si>
  <si>
    <t>Favoloso , molte persone ne parlano .</t>
  </si>
  <si>
    <t>file://conllu/it/teddy-1558.conllu#s83_0</t>
  </si>
  <si>
    <t>84</t>
  </si>
  <si>
    <t>Ma c' è una cosa che non ha così tanta attenzione .</t>
  </si>
  <si>
    <t>file://conllu/it/teddy-1558.conllu#s84_0</t>
  </si>
  <si>
    <t>85</t>
  </si>
  <si>
    <t>Come fa quel modello di scambio colossale tra ogni tipo di archivio ad essere compatibile con i modelli di business di istituzioni , organizzazioni e gruppi coinvolti oggi in questo business ?</t>
  </si>
  <si>
    <t>file://conllu/it/teddy-1558.conllu#s85_0</t>
  </si>
  <si>
    <t>86</t>
  </si>
  <si>
    <t>Se il vostro business è basato su dati proprietari , se il vostro vantaggio competitivo è basato sui su i vostri dati come può quell' azienda o quella società di fatto ottenere quel valore che è implicito in quella tecnologia ?</t>
  </si>
  <si>
    <t>file://conllu/it/teddy-1558.conllu#s86_0</t>
  </si>
  <si>
    <t>87</t>
  </si>
  <si>
    <t>potere</t>
  </si>
  <si>
    <t>Non possono .</t>
  </si>
  <si>
    <t>file://conllu/it/teddy-1558.conllu#s87_0</t>
  </si>
  <si>
    <t>88</t>
  </si>
  <si>
    <t>In pratica quello che succede , e la genomica è solo un esempio di questo , è che la tecnologia sta portando verso la dimensione naturale dell' di l' attività oltre i confini istituzionali dentro i quali siamo abituati a pensarla pensar la , ed in particolare oltre ai a i confini instituzionali in termini di quale strategia di business viene formulata come disciplina .</t>
  </si>
  <si>
    <t>file://conllu/it/teddy-1558.conllu#s88_0</t>
  </si>
  <si>
    <t>89</t>
  </si>
  <si>
    <t>L' essenza del di il discorso è che quello che era integrato verticalmente , competizione oligopolistica tra concorrenti di fatto simili sta evolvendo , in un modo o nell' in l' altro , da una struttura verticale ad una orizzontale .</t>
  </si>
  <si>
    <t>file://conllu/it/teddy-1558.conllu#s89_0</t>
  </si>
  <si>
    <t>90</t>
  </si>
  <si>
    <t>perché?</t>
  </si>
  <si>
    <t>Perché sta succedendo questo ?</t>
  </si>
  <si>
    <t>file://conllu/it/teddy-1558.conllu#s90_0</t>
  </si>
  <si>
    <t>91</t>
  </si>
  <si>
    <t>Succede perché i costi di transazione stanno crollando e perché la scala si sta polarizzando .</t>
  </si>
  <si>
    <t>file://conllu/it/teddy-1558.conllu#s91_0</t>
  </si>
  <si>
    <t>92</t>
  </si>
  <si>
    <t>indebolire</t>
  </si>
  <si>
    <t>Il crollo dei di i costi di transazione indebolisce il collante che tiene insieme le catene di valore e ne consente la separazione .</t>
  </si>
  <si>
    <t>file://conllu/it/teddy-1558.conllu#s92_0</t>
  </si>
  <si>
    <t>93</t>
  </si>
  <si>
    <t>essere (essere bello)</t>
  </si>
  <si>
    <t>La polarizzazione delle di le economie di scala verso il molto piccolo piccolo è bello consente a comunità flessibili di sostituirsi sostituir si alla a la produzione convenzionale delle di le aziende .</t>
  </si>
  <si>
    <t>file://conllu/it/teddy-1558.conllu#s93_0</t>
  </si>
  <si>
    <t>94</t>
  </si>
  <si>
    <t>L' ingrandirsi ingrandir si nella in la direzione opposta , verso cose come i Big Data , guida la struttura dl business verso la creazione di nuovi tipi di istituzioni che possono ottenere quella dimensione .</t>
  </si>
  <si>
    <t>file://conllu/it/teddy-1558.conllu#s94_0</t>
  </si>
  <si>
    <t>95</t>
  </si>
  <si>
    <t>in ogni caso?</t>
  </si>
  <si>
    <t>portare</t>
  </si>
  <si>
    <t>Ma in ogni caso la tipica struttura verticale viene portata a diventare più orizzontale .</t>
  </si>
  <si>
    <t>file://conllu/it/teddy-1558.conllu#s95_0</t>
  </si>
  <si>
    <t>96</t>
  </si>
  <si>
    <t>riguardare</t>
  </si>
  <si>
    <t>Il metodo non riguarda solo i Big Data .</t>
  </si>
  <si>
    <t>file://conllu/it/teddy-1558.conllu#s96_0</t>
  </si>
  <si>
    <t>97</t>
  </si>
  <si>
    <t>raccontare</t>
  </si>
  <si>
    <t>Se dovessimo guardare , ad esempio , all' a l' industria delle di le telecomunicazioni , potreste raccontare una storia simile con le fibre ottiche .</t>
  </si>
  <si>
    <t>file://conllu/it/teddy-1558.conllu#s97_0</t>
  </si>
  <si>
    <t>98</t>
  </si>
  <si>
    <t>guardare</t>
  </si>
  <si>
    <t>Se guardiamo l' industria farmaceutica , o , è lo stesso , la ricerca universitaria potere raccontare esattamente la stessa storia con la cosiddetta ' big science ' .</t>
  </si>
  <si>
    <t>file://conllu/it/teddy-1558.conllu#s98_0</t>
  </si>
  <si>
    <t>100</t>
  </si>
  <si>
    <t>essere (essere frammentazione)</t>
  </si>
  <si>
    <t>È la frammentazione di scala perché il molto piccolo può sostituire la tradizionale scala delle di le aziende .</t>
  </si>
  <si>
    <t>file://conllu/it/teddy-1558.conllu#s100_0</t>
  </si>
  <si>
    <t>101</t>
  </si>
  <si>
    <t>comunque?</t>
  </si>
  <si>
    <t>direggere</t>
  </si>
  <si>
    <t>Comunque , siamo diretti verso l' orizzontalizzazione della di la strutture delle di le industrie , e ciò implica cambiamenti fondamentali in come pensare la strategia .</t>
  </si>
  <si>
    <t>file://conllu/it/teddy-1558.conllu#s101_0</t>
  </si>
  <si>
    <t>102</t>
  </si>
  <si>
    <t>ad esempio?</t>
  </si>
  <si>
    <t>Significa , ad esempio , dover pensare alla a la strategia come ad una catalogazione di questi tipi di struttura orizzontale , dove cose come la definizione di un business , ed anche la definizione di industria , sono in effetti prodotti della di la strategia , non presupposti della di la strategia .</t>
  </si>
  <si>
    <t>file://conllu/it/teddy-1558.conllu#s102_0</t>
  </si>
  <si>
    <t>103</t>
  </si>
  <si>
    <t>per esempio?</t>
  </si>
  <si>
    <t>Significa , per esempio , dover capire come far convivere collaborazione e competizione allo a lo stesso tempo .</t>
  </si>
  <si>
    <t>file://conllu/it/teddy-1558.conllu#s103_0</t>
  </si>
  <si>
    <t>104</t>
  </si>
  <si>
    <t>Pensate al a il genoma .</t>
  </si>
  <si>
    <t>file://conllu/it/teddy-1558.conllu#s104_0</t>
  </si>
  <si>
    <t>105</t>
  </si>
  <si>
    <t>Dobbiamo far convivere il molto grande e il molto piccolo simultaneamente .</t>
  </si>
  <si>
    <t>file://conllu/it/teddy-1558.conllu#s105_0</t>
  </si>
  <si>
    <t>106</t>
  </si>
  <si>
    <t>servire</t>
  </si>
  <si>
    <t>E ci servono settori di industria che possano soddisfare motivazioni molto differenti , dalle da le motivazioni dei di i singoli nelle in le comunità a magari motivazioni sociali di infrastrutture create dai da i governi , o , per quanto le può riguardare , istituzioni cooperative create da aziende che altrimenti sono in competizione , perché è l' unico modo per arrivare ad una certa dimensione .</t>
  </si>
  <si>
    <t>file://conllu/it/teddy-1558.conllu#s106_0</t>
  </si>
  <si>
    <t>107</t>
  </si>
  <si>
    <t>rendere</t>
  </si>
  <si>
    <t>Questi tipi di trasformazione rendono le strategie tradizionali di business obsolete .</t>
  </si>
  <si>
    <t>file://conllu/it/teddy-1558.conllu#s107_0</t>
  </si>
  <si>
    <t>108</t>
  </si>
  <si>
    <t>condurre</t>
  </si>
  <si>
    <t>Ci conducono in un mondo completamente nuovo .</t>
  </si>
  <si>
    <t>file://conllu/it/teddy-1558.conllu#s108_0</t>
  </si>
  <si>
    <t>109</t>
  </si>
  <si>
    <t>obbligare</t>
  </si>
  <si>
    <t>Ci obbligano , se siamo nel in il settore pubblico o in quello privato , a pensare in modo fondamentalmente diverso le strutture di business , e infine , rende la strategia ancora interessante .</t>
  </si>
  <si>
    <t>file://conllu/it/teddy-1558.conllu#s109_0</t>
  </si>
  <si>
    <t>110</t>
  </si>
  <si>
    <t>grazie</t>
  </si>
  <si>
    <t>Grazie .</t>
  </si>
  <si>
    <t>file://conllu/it/teddy-1558.conllu#s110_0</t>
  </si>
  <si>
    <t>111</t>
  </si>
  <si>
    <t>applauso</t>
  </si>
  <si>
    <t>( Applausi )</t>
  </si>
  <si>
    <t>file://conllu/it/teddy-1558.conllu#s111_0</t>
  </si>
  <si>
    <t>WORD</t>
  </si>
  <si>
    <t>GR</t>
  </si>
  <si>
    <t>NP_TYPE</t>
  </si>
  <si>
    <t>REF_AUTO</t>
  </si>
  <si>
    <t>COREF</t>
  </si>
  <si>
    <t>REF</t>
  </si>
  <si>
    <t>IS</t>
  </si>
  <si>
    <t>CB</t>
  </si>
  <si>
    <t>GR_ANTE</t>
  </si>
  <si>
    <t>REF_DIST</t>
  </si>
  <si>
    <t>REF_DIST_ANTE</t>
  </si>
  <si>
    <t># text = Vi parlerò un po' di strategia e delle sue relazioni con la tecnologia.</t>
  </si>
  <si>
    <t>Vi</t>
  </si>
  <si>
    <t>OBJ</t>
  </si>
  <si>
    <t>pron.pper</t>
  </si>
  <si>
    <t>?OLD</t>
  </si>
  <si>
    <t>parlerò</t>
  </si>
  <si>
    <t>un</t>
  </si>
  <si>
    <t>po'</t>
  </si>
  <si>
    <t>def-np.poss</t>
  </si>
  <si>
    <t>di</t>
  </si>
  <si>
    <t>strategia</t>
  </si>
  <si>
    <t>other_2</t>
  </si>
  <si>
    <t>indef-np.bare</t>
  </si>
  <si>
    <t>e</t>
  </si>
  <si>
    <t>le</t>
  </si>
  <si>
    <t>sue</t>
  </si>
  <si>
    <t>other_4</t>
  </si>
  <si>
    <t>pron.ppos</t>
  </si>
  <si>
    <t>relazioni</t>
  </si>
  <si>
    <t>other_3</t>
  </si>
  <si>
    <t>con</t>
  </si>
  <si>
    <t>la</t>
  </si>
  <si>
    <t>tecnologia</t>
  </si>
  <si>
    <t>def-np.the</t>
  </si>
  <si>
    <t>.</t>
  </si>
  <si>
    <t># text = Si tende a pensare alla strategia di business come ad un corpo abbastanza astratto composto essenzialmente di pensiero economico, magari senza tempo.</t>
  </si>
  <si>
    <t>Si</t>
  </si>
  <si>
    <t>other</t>
  </si>
  <si>
    <t>tende</t>
  </si>
  <si>
    <t>a</t>
  </si>
  <si>
    <t>business</t>
  </si>
  <si>
    <t>come</t>
  </si>
  <si>
    <t>ad</t>
  </si>
  <si>
    <t>corpo</t>
  </si>
  <si>
    <t>indef-np.a</t>
  </si>
  <si>
    <t>abbastanza</t>
  </si>
  <si>
    <t>astratto</t>
  </si>
  <si>
    <t>composto</t>
  </si>
  <si>
    <t>essenzialmente</t>
  </si>
  <si>
    <t>pensiero</t>
  </si>
  <si>
    <t>economico</t>
  </si>
  <si>
    <t>,</t>
  </si>
  <si>
    <t>magari</t>
  </si>
  <si>
    <t>senza</t>
  </si>
  <si>
    <t>tempo</t>
  </si>
  <si>
    <t>other_5</t>
  </si>
  <si>
    <t># text = Voglio discutere sul fatto che la strategia di business è sempre stata basata su assunti circa la tecnologia, che quegli assunti stanno cambiando, di fatto, molto in fretta, e che di conseguenza quello che ci guiderà è un concetto diverso di come consideriamo la strategia di business.</t>
  </si>
  <si>
    <t>Voglio</t>
  </si>
  <si>
    <t>discutere</t>
  </si>
  <si>
    <t>su</t>
  </si>
  <si>
    <t>il</t>
  </si>
  <si>
    <t>fatto</t>
  </si>
  <si>
    <t>che</t>
  </si>
  <si>
    <t>SBJ_2</t>
  </si>
  <si>
    <t>è</t>
  </si>
  <si>
    <t>sempre</t>
  </si>
  <si>
    <t>stata</t>
  </si>
  <si>
    <t>basata</t>
  </si>
  <si>
    <t>assunti</t>
  </si>
  <si>
    <t>circa</t>
  </si>
  <si>
    <t>quegli</t>
  </si>
  <si>
    <t>SBJ_3</t>
  </si>
  <si>
    <t>def-np.dem</t>
  </si>
  <si>
    <t>stanno</t>
  </si>
  <si>
    <t>cambiando</t>
  </si>
  <si>
    <t>molto</t>
  </si>
  <si>
    <t>in</t>
  </si>
  <si>
    <t>fretta</t>
  </si>
  <si>
    <t>conseguenza</t>
  </si>
  <si>
    <t>quello</t>
  </si>
  <si>
    <t>SBJ_4</t>
  </si>
  <si>
    <t>pron.pds</t>
  </si>
  <si>
    <t>SBJ_6</t>
  </si>
  <si>
    <t>ci</t>
  </si>
  <si>
    <t>guiderà</t>
  </si>
  <si>
    <t>concetto</t>
  </si>
  <si>
    <t>diverso</t>
  </si>
  <si>
    <t>consideriamo</t>
  </si>
  <si>
    <t>OBJ_6</t>
  </si>
  <si>
    <t>other_7</t>
  </si>
  <si>
    <t># text = Vorrei iniziare, se posso, con un po' di storia.</t>
  </si>
  <si>
    <t>Vorrei</t>
  </si>
  <si>
    <t>se</t>
  </si>
  <si>
    <t>posso</t>
  </si>
  <si>
    <t>storia</t>
  </si>
  <si>
    <t># text = L'idea di strategia nel business deve le sue origini a due giganti del pensiero:</t>
  </si>
  <si>
    <t>L'</t>
  </si>
  <si>
    <t>idea</t>
  </si>
  <si>
    <t>SBJ</t>
  </si>
  <si>
    <t>deve</t>
  </si>
  <si>
    <t>origini</t>
  </si>
  <si>
    <t>due</t>
  </si>
  <si>
    <t>giganti</t>
  </si>
  <si>
    <t>:</t>
  </si>
  <si>
    <t># text = Bruce Henderson, il fondatore del Boston Consulting Group, e Michael Porter, professore alla Harvard Business School.</t>
  </si>
  <si>
    <t>ne</t>
  </si>
  <si>
    <t>Henderson</t>
  </si>
  <si>
    <t>fondatore</t>
  </si>
  <si>
    <t>Boston</t>
  </si>
  <si>
    <t>Consulting</t>
  </si>
  <si>
    <t>Group</t>
  </si>
  <si>
    <t>Michael</t>
  </si>
  <si>
    <t>Porter</t>
  </si>
  <si>
    <t>professore</t>
  </si>
  <si>
    <t>Harvard</t>
  </si>
  <si>
    <t>Business</t>
  </si>
  <si>
    <t>School</t>
  </si>
  <si>
    <t># text = L'idea centrale di Henderson era quella che potremmo chiamare il concetto napoleonico di concentrare la massa contro la debolezza, di sopraffare il nemico.</t>
  </si>
  <si>
    <t>centrale</t>
  </si>
  <si>
    <t>quella</t>
  </si>
  <si>
    <t>potremmo</t>
  </si>
  <si>
    <t>chiamare</t>
  </si>
  <si>
    <t>OBJ_2</t>
  </si>
  <si>
    <t>napoleonico</t>
  </si>
  <si>
    <t>concentrare</t>
  </si>
  <si>
    <t>massa</t>
  </si>
  <si>
    <t>OBJ_4</t>
  </si>
  <si>
    <t>contro</t>
  </si>
  <si>
    <t>debolezza</t>
  </si>
  <si>
    <t>sopraffare</t>
  </si>
  <si>
    <t>nemico</t>
  </si>
  <si>
    <t># text = Quello che Henderson riconosceva era che nel mondo del business esistono molti fenomeni caratterizzati da quello che gli economisti chiamerebbero rendimenti crescenti, di scala, di esperienza.</t>
  </si>
  <si>
    <t>Quello</t>
  </si>
  <si>
    <t>OBJ_3</t>
  </si>
  <si>
    <t>riconosceva</t>
  </si>
  <si>
    <t>mondo</t>
  </si>
  <si>
    <t>esistono</t>
  </si>
  <si>
    <t>molti</t>
  </si>
  <si>
    <t>fenomeni</t>
  </si>
  <si>
    <t>indef-np</t>
  </si>
  <si>
    <t>caratterizzati</t>
  </si>
  <si>
    <t>da</t>
  </si>
  <si>
    <t>gli</t>
  </si>
  <si>
    <t>economisti</t>
  </si>
  <si>
    <t>chiamerebbero</t>
  </si>
  <si>
    <t>rendimenti</t>
  </si>
  <si>
    <t>other_6</t>
  </si>
  <si>
    <t>crescenti</t>
  </si>
  <si>
    <t>scala</t>
  </si>
  <si>
    <t>esperienza</t>
  </si>
  <si>
    <t># text = Più si fa qualcosa, più si ottiene, in modo non proporzionale.</t>
  </si>
  <si>
    <t>Più</t>
  </si>
  <si>
    <t>si</t>
  </si>
  <si>
    <t>fa</t>
  </si>
  <si>
    <t>qualcosa</t>
  </si>
  <si>
    <t>pron.pind</t>
  </si>
  <si>
    <t>più</t>
  </si>
  <si>
    <t>ottiene</t>
  </si>
  <si>
    <t>modo</t>
  </si>
  <si>
    <t>non</t>
  </si>
  <si>
    <t>proporzionale</t>
  </si>
  <si>
    <t># text = E quindi trovò una logica di investimento in quel tipo di massa d'urto al fine di ottenere un vantaggio competitivo.</t>
  </si>
  <si>
    <t>E</t>
  </si>
  <si>
    <t>quindi</t>
  </si>
  <si>
    <t>trovò</t>
  </si>
  <si>
    <t>una</t>
  </si>
  <si>
    <t>logica</t>
  </si>
  <si>
    <t>investimento</t>
  </si>
  <si>
    <t>quel</t>
  </si>
  <si>
    <t>tipo</t>
  </si>
  <si>
    <t>d'</t>
  </si>
  <si>
    <t>urto</t>
  </si>
  <si>
    <t>fine</t>
  </si>
  <si>
    <t>ottenere</t>
  </si>
  <si>
    <t>vantaggio</t>
  </si>
  <si>
    <t>competitivo</t>
  </si>
  <si>
    <t># text = E questa fu la prima introduzione di un concetto di strategia essenzialmente militare nel mondo del business.</t>
  </si>
  <si>
    <t>questa</t>
  </si>
  <si>
    <t>fu</t>
  </si>
  <si>
    <t>prima</t>
  </si>
  <si>
    <t>introduzione</t>
  </si>
  <si>
    <t>militare</t>
  </si>
  <si>
    <t># text = Porter era d'accordo con questa impostazione ma la definì meglio.</t>
  </si>
  <si>
    <t>accordo</t>
  </si>
  <si>
    <t>impostazione</t>
  </si>
  <si>
    <t>ma</t>
  </si>
  <si>
    <t>definì</t>
  </si>
  <si>
    <t>meglio</t>
  </si>
  <si>
    <t># text = Lui sottolineò, correttamente, che era tutto giusto ma i business hanno in realtà più processi al loro interno.</t>
  </si>
  <si>
    <t>Lui</t>
  </si>
  <si>
    <t>sottolineò</t>
  </si>
  <si>
    <t>correttamente</t>
  </si>
  <si>
    <t>tutto</t>
  </si>
  <si>
    <t>giusto</t>
  </si>
  <si>
    <t>i</t>
  </si>
  <si>
    <t>hanno</t>
  </si>
  <si>
    <t>realtà</t>
  </si>
  <si>
    <t>processi</t>
  </si>
  <si>
    <t>loro</t>
  </si>
  <si>
    <t>interno</t>
  </si>
  <si>
    <t># text = Hanno componenti diverse, e ognuna di queste componenti potrebbe essere guidata da un diverso tipo di strategia.</t>
  </si>
  <si>
    <t>Hanno</t>
  </si>
  <si>
    <t>componenti</t>
  </si>
  <si>
    <t>diverse</t>
  </si>
  <si>
    <t>ognuna</t>
  </si>
  <si>
    <t>queste</t>
  </si>
  <si>
    <t>potrebbe</t>
  </si>
  <si>
    <t>guidata</t>
  </si>
  <si>
    <t># text = Un'azienda o un business in realtà può essere avvantaggiata in alcune attività ma non in altre.</t>
  </si>
  <si>
    <t>Un'</t>
  </si>
  <si>
    <t>azienda</t>
  </si>
  <si>
    <t>o</t>
  </si>
  <si>
    <t>può</t>
  </si>
  <si>
    <t>avvantaggiata</t>
  </si>
  <si>
    <t>alcune</t>
  </si>
  <si>
    <t>attività</t>
  </si>
  <si>
    <t>altre</t>
  </si>
  <si>
    <t># text = Lui formulò il concetto di catena di valore, in pratica la sequenza di processi con cui un, diciamo, materiale grezzo diventa un componente, viene assemblato in un prodotto finito, e poi viene distribuito, per esempio; e lui spiegò che il vantaggio accumulato da ognuna di quelle componenti, e il vantaggio dell'insieme erano in un certo senso la somma o la media di tutte le sue parti.</t>
  </si>
  <si>
    <t>formulò</t>
  </si>
  <si>
    <t>catena</t>
  </si>
  <si>
    <t>valore</t>
  </si>
  <si>
    <t>pratica</t>
  </si>
  <si>
    <t>sequenza</t>
  </si>
  <si>
    <t>cui</t>
  </si>
  <si>
    <t>diciamo</t>
  </si>
  <si>
    <t>materiale</t>
  </si>
  <si>
    <t>SBJ_5</t>
  </si>
  <si>
    <t>grezzo</t>
  </si>
  <si>
    <t>diventa</t>
  </si>
  <si>
    <t>componente</t>
  </si>
  <si>
    <t>OBJ_5</t>
  </si>
  <si>
    <t>viene</t>
  </si>
  <si>
    <t>assemblato</t>
  </si>
  <si>
    <t>prodotto</t>
  </si>
  <si>
    <t>finito</t>
  </si>
  <si>
    <t>poi</t>
  </si>
  <si>
    <t>distribuito</t>
  </si>
  <si>
    <t>per</t>
  </si>
  <si>
    <t>esempio</t>
  </si>
  <si>
    <t>;</t>
  </si>
  <si>
    <t>lui</t>
  </si>
  <si>
    <t>spiegò</t>
  </si>
  <si>
    <t>accumulato</t>
  </si>
  <si>
    <t>quelle</t>
  </si>
  <si>
    <t>l'</t>
  </si>
  <si>
    <t>insieme</t>
  </si>
  <si>
    <t>erano</t>
  </si>
  <si>
    <t>certo</t>
  </si>
  <si>
    <t>senso</t>
  </si>
  <si>
    <t>somma</t>
  </si>
  <si>
    <t>media</t>
  </si>
  <si>
    <t>tutte</t>
  </si>
  <si>
    <t>parti</t>
  </si>
  <si>
    <t># text = Questa idea della catena di valore era basata sull'assunto che quello che tiene insieme un business sono i costi di transazione, e che quindi è necessario coordinare.</t>
  </si>
  <si>
    <t>Questa</t>
  </si>
  <si>
    <t>assunto</t>
  </si>
  <si>
    <t>tiene</t>
  </si>
  <si>
    <t>sono</t>
  </si>
  <si>
    <t>costi</t>
  </si>
  <si>
    <t>transazione</t>
  </si>
  <si>
    <t>necessario</t>
  </si>
  <si>
    <t>coordinare</t>
  </si>
  <si>
    <t># text = Le organizzazioni sono più efficienti nel coordinare dei mercati, molto spesso, e di conseguenza il ruolo e la natura dei confini della cooperazione sono definiti dai costi di transazione.</t>
  </si>
  <si>
    <t>Le</t>
  </si>
  <si>
    <t>organizzazioni</t>
  </si>
  <si>
    <t>efficienti</t>
  </si>
  <si>
    <t>mercati</t>
  </si>
  <si>
    <t>spesso</t>
  </si>
  <si>
    <t>ruolo</t>
  </si>
  <si>
    <t>natura</t>
  </si>
  <si>
    <t>confini</t>
  </si>
  <si>
    <t>cooperazione</t>
  </si>
  <si>
    <t>definiti</t>
  </si>
  <si>
    <t># text = È stato su queste due idee, quella di Henderson dei rendimenti crescenti di scala e di esperienza, e l'idea di Porter della catena di valore, che comprendeva elementi eterogenei, che l'intero edificio della strategia di business venne successivamente eretto.</t>
  </si>
  <si>
    <t>È</t>
  </si>
  <si>
    <t>stato</t>
  </si>
  <si>
    <t>idee</t>
  </si>
  <si>
    <t>comprendeva</t>
  </si>
  <si>
    <t>elementi</t>
  </si>
  <si>
    <t>eterogenei</t>
  </si>
  <si>
    <t>intero</t>
  </si>
  <si>
    <t>edificio</t>
  </si>
  <si>
    <t>other_8</t>
  </si>
  <si>
    <t>venne</t>
  </si>
  <si>
    <t>successivamente</t>
  </si>
  <si>
    <t>eretto</t>
  </si>
  <si>
    <t># text = Quello che ora voglio discutere è che quelle premesse, di fatto, non sono più valide.</t>
  </si>
  <si>
    <t>ora</t>
  </si>
  <si>
    <t>voglio</t>
  </si>
  <si>
    <t>premesse</t>
  </si>
  <si>
    <t>valide</t>
  </si>
  <si>
    <t># text = Innanzitutto pensiamo ai costi di transazione.</t>
  </si>
  <si>
    <t>Innanzitutto</t>
  </si>
  <si>
    <t>pensiamo</t>
  </si>
  <si>
    <t># text = Ci sono in realtà due componenti nei costi di transazione.</t>
  </si>
  <si>
    <t>Ci</t>
  </si>
  <si>
    <t># text = Una è l'elaborazione delle informazioni, e l'altra riguarda la comunicazione.</t>
  </si>
  <si>
    <t>Una</t>
  </si>
  <si>
    <t>elaborazione</t>
  </si>
  <si>
    <t>informazioni</t>
  </si>
  <si>
    <t>altra</t>
  </si>
  <si>
    <t>riguarda</t>
  </si>
  <si>
    <t>comunicazione</t>
  </si>
  <si>
    <t># text = Questi sono i dati sull'elaborazione e sulla comunicazione come si sono evolute nel lungo periodo.</t>
  </si>
  <si>
    <t>Questi</t>
  </si>
  <si>
    <t>dati</t>
  </si>
  <si>
    <t>evolute</t>
  </si>
  <si>
    <t>lungo</t>
  </si>
  <si>
    <t>periodo</t>
  </si>
  <si>
    <t># text = Come tutti sappiamo da molte fonti queste si sono fortemente trasformate dai giorni in cui Porter e Henderson per primi formularono le loro teorie.</t>
  </si>
  <si>
    <t>Come</t>
  </si>
  <si>
    <t>tutti</t>
  </si>
  <si>
    <t>sappiamo</t>
  </si>
  <si>
    <t>molte</t>
  </si>
  <si>
    <t>fonti</t>
  </si>
  <si>
    <t>fortemente</t>
  </si>
  <si>
    <t>trasformate</t>
  </si>
  <si>
    <t>giorni</t>
  </si>
  <si>
    <t>primi</t>
  </si>
  <si>
    <t>formularono</t>
  </si>
  <si>
    <t>teorie</t>
  </si>
  <si>
    <t># text = In particolare, dalla metà degli anni '90 i costi di comunicazione sono in realtà diminuiti ancora più velocemente dei costi di transazione, e questo è il motivo per cui la comunicazione, cioè Internet, è esplosa in modo così repentino.</t>
  </si>
  <si>
    <t>In</t>
  </si>
  <si>
    <t>particolare</t>
  </si>
  <si>
    <t>metà</t>
  </si>
  <si>
    <t>anni</t>
  </si>
  <si>
    <t>'90</t>
  </si>
  <si>
    <t>diminuiti</t>
  </si>
  <si>
    <t>ancora</t>
  </si>
  <si>
    <t>velocemente</t>
  </si>
  <si>
    <t>questo</t>
  </si>
  <si>
    <t>motivo</t>
  </si>
  <si>
    <t>cioè</t>
  </si>
  <si>
    <t>Internet</t>
  </si>
  <si>
    <t>esplosa</t>
  </si>
  <si>
    <t>così</t>
  </si>
  <si>
    <t>repentino</t>
  </si>
  <si>
    <t># text = Quei costi di transazione in discesa hanno conseguenze profonde perché se i costi di transazione sono il collante che tiene insieme le catene di valore, e stanno calando, c'è meno su cui economizzare.</t>
  </si>
  <si>
    <t>Quei</t>
  </si>
  <si>
    <t>discesa</t>
  </si>
  <si>
    <t>conseguenze</t>
  </si>
  <si>
    <t>profonde</t>
  </si>
  <si>
    <t>perché</t>
  </si>
  <si>
    <t>collante</t>
  </si>
  <si>
    <t>catene</t>
  </si>
  <si>
    <t>calando</t>
  </si>
  <si>
    <t>c'</t>
  </si>
  <si>
    <t>meno</t>
  </si>
  <si>
    <t>economizzare</t>
  </si>
  <si>
    <t># text = C'è meno bisogno di organizzazioni integrate verticalmente, e le catene di valore possono al limite anche rompersi.</t>
  </si>
  <si>
    <t>C'</t>
  </si>
  <si>
    <t>bisogno</t>
  </si>
  <si>
    <t>integrate</t>
  </si>
  <si>
    <t>verticalmente</t>
  </si>
  <si>
    <t>possono</t>
  </si>
  <si>
    <t>limite</t>
  </si>
  <si>
    <t>anche</t>
  </si>
  <si>
    <t>romper</t>
  </si>
  <si>
    <t># text = Non necessariamente, ma possono.</t>
  </si>
  <si>
    <t>Non</t>
  </si>
  <si>
    <t># text = In particolare diventa possibile per un concorrente in un certo business usare la propria posizione in una fase della catena di valore per penetrare o attaccare o disintermediare un concorrente in un'altro.</t>
  </si>
  <si>
    <t>possibile</t>
  </si>
  <si>
    <t>concorrente</t>
  </si>
  <si>
    <t>usare</t>
  </si>
  <si>
    <t>propria</t>
  </si>
  <si>
    <t>posizione</t>
  </si>
  <si>
    <t>fase</t>
  </si>
  <si>
    <t>penetrare</t>
  </si>
  <si>
    <t>attaccare</t>
  </si>
  <si>
    <t>disintermediare</t>
  </si>
  <si>
    <t>un'</t>
  </si>
  <si>
    <t>altro</t>
  </si>
  <si>
    <t># text = Questo non è solo un enunciato astratto.</t>
  </si>
  <si>
    <t>Questo</t>
  </si>
  <si>
    <t>solo</t>
  </si>
  <si>
    <t>enunciato</t>
  </si>
  <si>
    <t># text = Esistono molte storie dettagliate di come sia successo veramente.</t>
  </si>
  <si>
    <t>Esistono</t>
  </si>
  <si>
    <t>storie</t>
  </si>
  <si>
    <t>dettagliate</t>
  </si>
  <si>
    <t>sia</t>
  </si>
  <si>
    <t>successo</t>
  </si>
  <si>
    <t>veramente</t>
  </si>
  <si>
    <t># text = Un chiaro esempio è stato il business delle enciclopedie.</t>
  </si>
  <si>
    <t>Un</t>
  </si>
  <si>
    <t>chiaro</t>
  </si>
  <si>
    <t>enciclopedie</t>
  </si>
  <si>
    <t># text = Il business delle enciclopedie ai tempi dei libri rilegati di pelle era in sostanza un business distributivo.</t>
  </si>
  <si>
    <t>Il</t>
  </si>
  <si>
    <t>tempi</t>
  </si>
  <si>
    <t>libri</t>
  </si>
  <si>
    <t>rilegati</t>
  </si>
  <si>
    <t>pelle</t>
  </si>
  <si>
    <t>sostanza</t>
  </si>
  <si>
    <t>distributivo</t>
  </si>
  <si>
    <t># text = La maggior parte dei costi erano le provvigioni ai venditori.</t>
  </si>
  <si>
    <t>La</t>
  </si>
  <si>
    <t>maggior</t>
  </si>
  <si>
    <t>parte</t>
  </si>
  <si>
    <t>provvigioni</t>
  </si>
  <si>
    <t>venditori</t>
  </si>
  <si>
    <t># text = Ma poi arrivarono il CD-ROM e poi Internet, le nuove tecnologie resero la distribuzione del sapere di molti ordini di grandezza più economica, e l'industria dell'enciclopedia collassò.</t>
  </si>
  <si>
    <t>Ma</t>
  </si>
  <si>
    <t>arrivarono</t>
  </si>
  <si>
    <t>CD</t>
  </si>
  <si>
    <t>ROM</t>
  </si>
  <si>
    <t>nuove</t>
  </si>
  <si>
    <t>tecnologie</t>
  </si>
  <si>
    <t>resero</t>
  </si>
  <si>
    <t>distribuzione</t>
  </si>
  <si>
    <t>ordini</t>
  </si>
  <si>
    <t>grandezza</t>
  </si>
  <si>
    <t>economica</t>
  </si>
  <si>
    <t>industria</t>
  </si>
  <si>
    <t>enciclopedia</t>
  </si>
  <si>
    <t>collassò</t>
  </si>
  <si>
    <t># text = Oggi, chiaramente, è una storia conosciuta.</t>
  </si>
  <si>
    <t>Oggi</t>
  </si>
  <si>
    <t>chiaramente</t>
  </si>
  <si>
    <t>conosciuta</t>
  </si>
  <si>
    <t># text = Più in generale, questa è stata la storia della prima generazione dell'economia basata su Internet.</t>
  </si>
  <si>
    <t>generale</t>
  </si>
  <si>
    <t>generazione</t>
  </si>
  <si>
    <t>economia</t>
  </si>
  <si>
    <t># text = Era basata sulla riduzione dei costi di transazione che rompendo le catene di valore hanno permesso l'eliminazione degli intermediari, o quella che chiamiamo decostruzione.</t>
  </si>
  <si>
    <t>Era</t>
  </si>
  <si>
    <t>riduzione</t>
  </si>
  <si>
    <t>rompendo</t>
  </si>
  <si>
    <t>permesso</t>
  </si>
  <si>
    <t>eliminazione</t>
  </si>
  <si>
    <t>intermediari</t>
  </si>
  <si>
    <t>chiamiamo</t>
  </si>
  <si>
    <t>decostruzione</t>
  </si>
  <si>
    <t># text = Una delle domande che ogni tanto mi veniva posta era questa:</t>
  </si>
  <si>
    <t>domande</t>
  </si>
  <si>
    <t>ogni</t>
  </si>
  <si>
    <t>tanto</t>
  </si>
  <si>
    <t>mi</t>
  </si>
  <si>
    <t>veniva</t>
  </si>
  <si>
    <t>posta</t>
  </si>
  <si>
    <t>--</t>
  </si>
  <si>
    <t># text = "Ok, che cosa sostituirà l'enciclopedia se la Britannica non ha più un modello di business?"</t>
  </si>
  <si>
    <t>&amp;quot;</t>
  </si>
  <si>
    <t>Ok</t>
  </si>
  <si>
    <t>pron.pint</t>
  </si>
  <si>
    <t>cosa</t>
  </si>
  <si>
    <t>sostituirà</t>
  </si>
  <si>
    <t>Britannica</t>
  </si>
  <si>
    <t>ha</t>
  </si>
  <si>
    <t>modello</t>
  </si>
  <si>
    <t>?</t>
  </si>
  <si>
    <t># text = E questo è stato appena prima che la risposta fosse evidente.</t>
  </si>
  <si>
    <t>appena</t>
  </si>
  <si>
    <t>risposta</t>
  </si>
  <si>
    <t>fosse</t>
  </si>
  <si>
    <t>evidente</t>
  </si>
  <si>
    <t># text = Adesso, naturalmente, sappiamo cos'è: è Wikipedia.</t>
  </si>
  <si>
    <t>Adesso</t>
  </si>
  <si>
    <t>naturalmente</t>
  </si>
  <si>
    <t>cos'</t>
  </si>
  <si>
    <t>Wikipedia</t>
  </si>
  <si>
    <t># text = Ma quello che ha di speciale Wikipedia non è la distribuzione, quello che ha di speciale è il modo in cui viene prodotta.</t>
  </si>
  <si>
    <t>speciale</t>
  </si>
  <si>
    <t>prodotta</t>
  </si>
  <si>
    <t># text = Wikipedia, lo sappiamo, è un'enciclopedia creata dagli utenti.</t>
  </si>
  <si>
    <t>lo</t>
  </si>
  <si>
    <t>creata</t>
  </si>
  <si>
    <t>utenti</t>
  </si>
  <si>
    <t># text = E questo, di fatto, definisce quello che potreste chiamare il secondo decennio dell'economia basata su Internet, il decennio in cui Internet è passato da un nome ad un verbo.</t>
  </si>
  <si>
    <t>definisce</t>
  </si>
  <si>
    <t>potreste</t>
  </si>
  <si>
    <t>secondo</t>
  </si>
  <si>
    <t>decennio</t>
  </si>
  <si>
    <t>SBJ_7</t>
  </si>
  <si>
    <t>passato</t>
  </si>
  <si>
    <t>nome</t>
  </si>
  <si>
    <t>verbo</t>
  </si>
  <si>
    <t># text = È diventato un posto per conversare.</t>
  </si>
  <si>
    <t>diventato</t>
  </si>
  <si>
    <t>posto</t>
  </si>
  <si>
    <t>conversare</t>
  </si>
  <si>
    <t># text = L'era in cui i contenuti generati dagli utenti e le reti sociali sono diventati il fenomeno dominante.</t>
  </si>
  <si>
    <t>contenuti</t>
  </si>
  <si>
    <t>generati</t>
  </si>
  <si>
    <t>reti</t>
  </si>
  <si>
    <t>sociali</t>
  </si>
  <si>
    <t>diventati</t>
  </si>
  <si>
    <t>dominante</t>
  </si>
  <si>
    <t># text = Quello che ha significato realmente in termini dello schema di Porter-Henderson è stato il collasso di certi tipi di economie di scala.</t>
  </si>
  <si>
    <t>significato</t>
  </si>
  <si>
    <t>realmente</t>
  </si>
  <si>
    <t>termini</t>
  </si>
  <si>
    <t>schema</t>
  </si>
  <si>
    <t>collasso</t>
  </si>
  <si>
    <t>certi</t>
  </si>
  <si>
    <t>tipi</t>
  </si>
  <si>
    <t>economie</t>
  </si>
  <si>
    <t># text = È risultato che decine di migliaia di individui autonomi che scrivono un'enciclopedia possono farlo altrettanto bene, e sicuramente in modo molto più economico, rispetto a professionisti inseriti in un'organizzazione gerarchica.</t>
  </si>
  <si>
    <t>decine</t>
  </si>
  <si>
    <t>migliaia</t>
  </si>
  <si>
    <t>individui</t>
  </si>
  <si>
    <t>autonomi</t>
  </si>
  <si>
    <t>scrivono</t>
  </si>
  <si>
    <t>far</t>
  </si>
  <si>
    <t>altrettanto</t>
  </si>
  <si>
    <t>bene</t>
  </si>
  <si>
    <t>sicuramente</t>
  </si>
  <si>
    <t>rispetto</t>
  </si>
  <si>
    <t>professionisti</t>
  </si>
  <si>
    <t>inseriti</t>
  </si>
  <si>
    <t>organizzazione</t>
  </si>
  <si>
    <t>gerarchica</t>
  </si>
  <si>
    <t># text = In pratica è successo che uno strato di questa catena di valore si è frammentato nel momento in cui gli individui hanno preso il posto di organizzazioni che non servivano più.</t>
  </si>
  <si>
    <t>uno</t>
  </si>
  <si>
    <t>strato</t>
  </si>
  <si>
    <t>frammentato</t>
  </si>
  <si>
    <t>momento</t>
  </si>
  <si>
    <t>preso</t>
  </si>
  <si>
    <t>servivano</t>
  </si>
  <si>
    <t># text = Ma c'è un'altra domanda che chiaramente pone questo grafico, che è, "Ok abbiamo attraversato due decenni, che cosa distinguerà il terzo?"</t>
  </si>
  <si>
    <t>domanda</t>
  </si>
  <si>
    <t>pone</t>
  </si>
  <si>
    <t>grafico</t>
  </si>
  <si>
    <t>abbiamo</t>
  </si>
  <si>
    <t>attraversato</t>
  </si>
  <si>
    <t>decenni</t>
  </si>
  <si>
    <t>indef-np.quant</t>
  </si>
  <si>
    <t>distinguerà</t>
  </si>
  <si>
    <t>terzo</t>
  </si>
  <si>
    <t># text = Quello che penso è che davvero c'è qualcosa che distingue il terzo, e coincide esattamente con la logica di Porter-Henderson di cui abbiamo parlato.</t>
  </si>
  <si>
    <t>penso</t>
  </si>
  <si>
    <t>davvero</t>
  </si>
  <si>
    <t>distingue</t>
  </si>
  <si>
    <t>coincide</t>
  </si>
  <si>
    <t>esattamente</t>
  </si>
  <si>
    <t>parlato</t>
  </si>
  <si>
    <t># text = Ed è: i dati.</t>
  </si>
  <si>
    <t>Ed</t>
  </si>
  <si>
    <t># text = Se torniamo indietro a circa il 2000, molte persone parlavano della rivoluzione dell'informazione, ed era vero che i dati di borsa mondiali stavano crescendo, davvero molto in fretta.</t>
  </si>
  <si>
    <t>Se</t>
  </si>
  <si>
    <t>torniamo</t>
  </si>
  <si>
    <t>indietro</t>
  </si>
  <si>
    <t>2000</t>
  </si>
  <si>
    <t>persone</t>
  </si>
  <si>
    <t>parlavano</t>
  </si>
  <si>
    <t>rivoluzione</t>
  </si>
  <si>
    <t>informazione</t>
  </si>
  <si>
    <t>ed</t>
  </si>
  <si>
    <t>vero</t>
  </si>
  <si>
    <t>borsa</t>
  </si>
  <si>
    <t>mondiali</t>
  </si>
  <si>
    <t>stavano</t>
  </si>
  <si>
    <t>crescendo</t>
  </si>
  <si>
    <t># text = Ma era solo allora che stavano superando il non-digitale.</t>
  </si>
  <si>
    <t>allora</t>
  </si>
  <si>
    <t>superando</t>
  </si>
  <si>
    <t>digitale</t>
  </si>
  <si>
    <t># text = Se andiamo al 2007, non solo erano esplosi i dati mondiali sulle borse, ma c'era stata questa massiccia sostituzione del digitale sul non-digitale.</t>
  </si>
  <si>
    <t>andiamo</t>
  </si>
  <si>
    <t>2007</t>
  </si>
  <si>
    <t>esplosi</t>
  </si>
  <si>
    <t>borse</t>
  </si>
  <si>
    <t>massiccia</t>
  </si>
  <si>
    <t>sostituzione</t>
  </si>
  <si>
    <t># text = E più importante di tutto, se guardate attentamente questo grafico, quello che vedrete è che circa la metà di quei dati digitali sono informazioni che hanno un indirizzo I.P. Stanno su un server o su un PC.</t>
  </si>
  <si>
    <t>guardate</t>
  </si>
  <si>
    <t>attentamente</t>
  </si>
  <si>
    <t>vedrete</t>
  </si>
  <si>
    <t>quei</t>
  </si>
  <si>
    <t>digitali</t>
  </si>
  <si>
    <t>indirizzo</t>
  </si>
  <si>
    <t>I.P</t>
  </si>
  <si>
    <t>Stanno</t>
  </si>
  <si>
    <t>server</t>
  </si>
  <si>
    <t>PC</t>
  </si>
  <si>
    <t># text = Ma avere un indirizzo I.P. significa che si possono collegare ad altri dati che hanno un indirizzo I.P.</t>
  </si>
  <si>
    <t>I.P.</t>
  </si>
  <si>
    <t>significa</t>
  </si>
  <si>
    <t>collegare</t>
  </si>
  <si>
    <t>altri</t>
  </si>
  <si>
    <t># text = Significa che diventa possibile mettere insieme metà della conoscenza globale per vedere schemi, una cosa completamente nuova.</t>
  </si>
  <si>
    <t>Significa</t>
  </si>
  <si>
    <t>mettere</t>
  </si>
  <si>
    <t>conoscenza</t>
  </si>
  <si>
    <t>globale</t>
  </si>
  <si>
    <t>vedere</t>
  </si>
  <si>
    <t>schemi</t>
  </si>
  <si>
    <t>completamente</t>
  </si>
  <si>
    <t>nuova</t>
  </si>
  <si>
    <t># text = Se facciamo girare i numeri fino ad oggi, probabilmente viene fuori qualcosa di simile.</t>
  </si>
  <si>
    <t>facciamo</t>
  </si>
  <si>
    <t>girare</t>
  </si>
  <si>
    <t>numeri</t>
  </si>
  <si>
    <t>fino</t>
  </si>
  <si>
    <t>oggi</t>
  </si>
  <si>
    <t>probabilmente</t>
  </si>
  <si>
    <t>fuori</t>
  </si>
  <si>
    <t>simile</t>
  </si>
  <si>
    <t># text = Ma non ne siamo sicuri.</t>
  </si>
  <si>
    <t>siamo</t>
  </si>
  <si>
    <t>sicuri</t>
  </si>
  <si>
    <t># text = Se facciamo girare i numeri fino al 2020, abbiamo un numero esatto, grazie a IDC.</t>
  </si>
  <si>
    <t>2020</t>
  </si>
  <si>
    <t>numero</t>
  </si>
  <si>
    <t>esatto</t>
  </si>
  <si>
    <t>IDC</t>
  </si>
  <si>
    <t># text = È curioso che il futuro sia molto più prevedibile del presente.</t>
  </si>
  <si>
    <t>curioso</t>
  </si>
  <si>
    <t>futuro</t>
  </si>
  <si>
    <t>prevedibile</t>
  </si>
  <si>
    <t>presente</t>
  </si>
  <si>
    <t># text = Questo implica una moltiplicazione per cento nell'insieme delle informazioni che sono connesse con un indirizzo I.P.</t>
  </si>
  <si>
    <t>implica</t>
  </si>
  <si>
    <t>moltiplicazione</t>
  </si>
  <si>
    <t>cento</t>
  </si>
  <si>
    <t>connesse</t>
  </si>
  <si>
    <t># text = Se il numero di connessioni che possiamo effettuare è proporzionale al numero di coppie di punti di informazione, una moltiplicazione per cento nella quantità di dati è una moltiplicazione per diecimila del numero di schemi che possiamo trovare in quei dati; questo solo negli ultimi 10 o 11 anni.</t>
  </si>
  <si>
    <t>connessioni</t>
  </si>
  <si>
    <t>possiamo</t>
  </si>
  <si>
    <t>effettuare</t>
  </si>
  <si>
    <t>coppie</t>
  </si>
  <si>
    <t>punti</t>
  </si>
  <si>
    <t>quantità</t>
  </si>
  <si>
    <t>diecimila</t>
  </si>
  <si>
    <t>ultimi</t>
  </si>
  <si>
    <t># text = Questo, oserei dire, è un cambiamento epocale, un cambiamento profondo nell'economia del mondo in cui viviamo.</t>
  </si>
  <si>
    <t>oserei</t>
  </si>
  <si>
    <t>dire</t>
  </si>
  <si>
    <t>cambiamento</t>
  </si>
  <si>
    <t>epocale</t>
  </si>
  <si>
    <t>profondo</t>
  </si>
  <si>
    <t>viviamo</t>
  </si>
  <si>
    <t># text = Il primo genoma umano, quello di James Watson, è stato mappato al culmine del Progetto Genoma Umano nel 2000, ed è costato circa 200 milioni di dollari e circa 10 anni di lavoro per mappare il genoma di una sola persona.</t>
  </si>
  <si>
    <t>primo</t>
  </si>
  <si>
    <t>genoma</t>
  </si>
  <si>
    <t>umano</t>
  </si>
  <si>
    <t>James</t>
  </si>
  <si>
    <t>Watson</t>
  </si>
  <si>
    <t>mappato</t>
  </si>
  <si>
    <t>culmine</t>
  </si>
  <si>
    <t>Progetto</t>
  </si>
  <si>
    <t>Genoma</t>
  </si>
  <si>
    <t>Umano</t>
  </si>
  <si>
    <t>costato</t>
  </si>
  <si>
    <t>200</t>
  </si>
  <si>
    <t>milioni</t>
  </si>
  <si>
    <t>dollari</t>
  </si>
  <si>
    <t>lavoro</t>
  </si>
  <si>
    <t>sola</t>
  </si>
  <si>
    <t>persona</t>
  </si>
  <si>
    <t># text = Da allora i costi per mappare il genoma sono scesi.</t>
  </si>
  <si>
    <t>Da</t>
  </si>
  <si>
    <t>scesi</t>
  </si>
  <si>
    <t># text = Di fatto, negli ultimi anni sono scesi in modo davvero considerevole, al punto che laddove il costo è oggi sotto i 1000 dollari, ed è previsto con certezza che entro il 2015 sarà sotto i 100 dollari:</t>
  </si>
  <si>
    <t>Di</t>
  </si>
  <si>
    <t>considerevole</t>
  </si>
  <si>
    <t>punto</t>
  </si>
  <si>
    <t>laddove</t>
  </si>
  <si>
    <t>costo</t>
  </si>
  <si>
    <t>sotto</t>
  </si>
  <si>
    <t>1000</t>
  </si>
  <si>
    <t>previsto</t>
  </si>
  <si>
    <t>certezza</t>
  </si>
  <si>
    <t>entro</t>
  </si>
  <si>
    <t>2015</t>
  </si>
  <si>
    <t>sarà</t>
  </si>
  <si>
    <t># text = un calo di un ordine di grandezza di cinque o sei volte del costo della mappatura del genoma in soli 15 anni.</t>
  </si>
  <si>
    <t>ordine</t>
  </si>
  <si>
    <t>cinque</t>
  </si>
  <si>
    <t>sei</t>
  </si>
  <si>
    <t>volte</t>
  </si>
  <si>
    <t>mappatura</t>
  </si>
  <si>
    <t>soli</t>
  </si>
  <si>
    <t># text = Un fenomeno straordinario.</t>
  </si>
  <si>
    <t>straordinario</t>
  </si>
  <si>
    <t># text = Nei giorni un cui mappare un genoma costava milioni, anche decine di migliaia, era sostanzialmente una ricerca d'impresa.</t>
  </si>
  <si>
    <t>costava</t>
  </si>
  <si>
    <t>sostanzialmente</t>
  </si>
  <si>
    <t>ricerca</t>
  </si>
  <si>
    <t>impresa</t>
  </si>
  <si>
    <t># text = Gli scienziati selezionavano alcune persone rappresentative e cercavano schemi, provavano a fare generalizzazioni sulla natura umana e sulle malattie a partire dagli schemi astratti che trovavano da questi individui selezionati.</t>
  </si>
  <si>
    <t>Gli</t>
  </si>
  <si>
    <t>scienziati</t>
  </si>
  <si>
    <t>selezionavano</t>
  </si>
  <si>
    <t>rappresentative</t>
  </si>
  <si>
    <t>cercavano</t>
  </si>
  <si>
    <t>provavano</t>
  </si>
  <si>
    <t>generalizzazioni</t>
  </si>
  <si>
    <t>umana</t>
  </si>
  <si>
    <t>malattie</t>
  </si>
  <si>
    <t>astratti</t>
  </si>
  <si>
    <t>SBJ_9</t>
  </si>
  <si>
    <t>trovavano</t>
  </si>
  <si>
    <t>questi</t>
  </si>
  <si>
    <t>other_9</t>
  </si>
  <si>
    <t>selezionati</t>
  </si>
  <si>
    <t># text = Ma quando il genoma si può mappare per 100 dollari, 99 dollari espresso, succede che diventa di massa.</t>
  </si>
  <si>
    <t>quando</t>
  </si>
  <si>
    <t>99</t>
  </si>
  <si>
    <t>espresso</t>
  </si>
  <si>
    <t>succede</t>
  </si>
  <si>
    <t># text = Diventa soprattutto clinico.</t>
  </si>
  <si>
    <t>Diventa</t>
  </si>
  <si>
    <t>soprattutto</t>
  </si>
  <si>
    <t>clinico</t>
  </si>
  <si>
    <t># text = Vai dal dottore con un raffreddore, e se non lo ha ancora fatto, la prima cosa che fa è una mappa del tuo genoma.</t>
  </si>
  <si>
    <t>Vai</t>
  </si>
  <si>
    <t>dottore</t>
  </si>
  <si>
    <t>raffreddore</t>
  </si>
  <si>
    <t>mappa</t>
  </si>
  <si>
    <t>tuo</t>
  </si>
  <si>
    <t># text = E a questo punto quello che fa non è partire da qualche conoscenza astratta di medicina genomica e cercare di capire come applicarla a voi, ma partire dal vostro genoma particolare.</t>
  </si>
  <si>
    <t>qualche</t>
  </si>
  <si>
    <t>astratta</t>
  </si>
  <si>
    <t>medicina</t>
  </si>
  <si>
    <t>genomica</t>
  </si>
  <si>
    <t>cercare</t>
  </si>
  <si>
    <t>capire</t>
  </si>
  <si>
    <t>applicar</t>
  </si>
  <si>
    <t>voi</t>
  </si>
  <si>
    <t>vostro</t>
  </si>
  <si>
    <t># text = Pensate alla potenzialità di questo.</t>
  </si>
  <si>
    <t>Pensate</t>
  </si>
  <si>
    <t>potenzialità</t>
  </si>
  <si>
    <t># text = Pensate a dove ci può portare quando possiamo combinare i dati genetici con quelli clinici, con dati sull'interazione tra farmaci con i dati ambientali che accessori come il nostro telefono e i sensori medici raccoglieranno sempre di più.</t>
  </si>
  <si>
    <t>dove</t>
  </si>
  <si>
    <t>combinare</t>
  </si>
  <si>
    <t>genetici</t>
  </si>
  <si>
    <t>quelli</t>
  </si>
  <si>
    <t>clinici</t>
  </si>
  <si>
    <t>interazione</t>
  </si>
  <si>
    <t>tra</t>
  </si>
  <si>
    <t>farmaci</t>
  </si>
  <si>
    <t>ambientali</t>
  </si>
  <si>
    <t>OBJ_7</t>
  </si>
  <si>
    <t>accessori</t>
  </si>
  <si>
    <t>nostro</t>
  </si>
  <si>
    <t>telefono</t>
  </si>
  <si>
    <t>sensori</t>
  </si>
  <si>
    <t>medici</t>
  </si>
  <si>
    <t>raccoglieranno</t>
  </si>
  <si>
    <t># text = Pensate a cosa succede quando raccogliamo tutti quei dati e possiamo metterli insieme per trovare schemi che non avremmo potuto vedere prima.</t>
  </si>
  <si>
    <t>raccogliamo</t>
  </si>
  <si>
    <t>metter</t>
  </si>
  <si>
    <t>li</t>
  </si>
  <si>
    <t>avremmo</t>
  </si>
  <si>
    <t>potuto</t>
  </si>
  <si>
    <t># text = Per questo magari ci vorrà un po' ma condurrà ad una rivoluzione in medicina.</t>
  </si>
  <si>
    <t>Per</t>
  </si>
  <si>
    <t>vorrà</t>
  </si>
  <si>
    <t>condurrà</t>
  </si>
  <si>
    <t># text = Favoloso, molte persone ne parlano.</t>
  </si>
  <si>
    <t>parlano</t>
  </si>
  <si>
    <t># text = Ma c'è una cosa che non ha così tanta attenzione.</t>
  </si>
  <si>
    <t>tanta</t>
  </si>
  <si>
    <t>attenzione</t>
  </si>
  <si>
    <t># text = Come fa quel modello di scambio colossale tra ogni tipo di archivio ad essere compatibile con i modelli di business di istituzioni, organizzazioni e gruppi coinvolti oggi in questo business?</t>
  </si>
  <si>
    <t>scambio</t>
  </si>
  <si>
    <t>colossale</t>
  </si>
  <si>
    <t>archivio</t>
  </si>
  <si>
    <t>compatibile</t>
  </si>
  <si>
    <t>modelli</t>
  </si>
  <si>
    <t>istituzioni</t>
  </si>
  <si>
    <t>gruppi</t>
  </si>
  <si>
    <t>coinvolti</t>
  </si>
  <si>
    <t># text = Se il vostro business è basato su dati proprietari, se il vostro vantaggio competitivo è basato sui vostri dati come può quell'azienda o quella società di fatto ottenere quel valore che è implicito in quella tecnologia?</t>
  </si>
  <si>
    <t>basato</t>
  </si>
  <si>
    <t>proprietari</t>
  </si>
  <si>
    <t>vostri</t>
  </si>
  <si>
    <t>quell'</t>
  </si>
  <si>
    <t>società</t>
  </si>
  <si>
    <t>implicito</t>
  </si>
  <si>
    <t># text = Non possono.</t>
  </si>
  <si>
    <t># text = In pratica quello che succede, e la genomica è solo un esempio di questo, è che la tecnologia sta portando verso la dimensione naturale dell'attività oltre i confini istituzionali dentro i quali siamo abituati a pensarla, ed in particolare oltre ai confini instituzionali in termini di quale strategia di business viene formulata come disciplina.</t>
  </si>
  <si>
    <t>sta</t>
  </si>
  <si>
    <t>portando</t>
  </si>
  <si>
    <t>verso</t>
  </si>
  <si>
    <t>dimensione</t>
  </si>
  <si>
    <t>naturale</t>
  </si>
  <si>
    <t>oltre</t>
  </si>
  <si>
    <t>istituzionali</t>
  </si>
  <si>
    <t>dentro</t>
  </si>
  <si>
    <t>quali</t>
  </si>
  <si>
    <t>abituati</t>
  </si>
  <si>
    <t>pensar</t>
  </si>
  <si>
    <t>instituzionali</t>
  </si>
  <si>
    <t>quale</t>
  </si>
  <si>
    <t>formulata</t>
  </si>
  <si>
    <t>disciplina</t>
  </si>
  <si>
    <t># text = L'essenza del discorso è che quello che era integrato verticalmente, competizione oligopolistica tra concorrenti di fatto simili sta evolvendo, in un modo o nell'altro, da una struttura verticale ad una orizzontale.</t>
  </si>
  <si>
    <t>essenza</t>
  </si>
  <si>
    <t>discorso</t>
  </si>
  <si>
    <t>integrato</t>
  </si>
  <si>
    <t>competizione</t>
  </si>
  <si>
    <t>oligopolistica</t>
  </si>
  <si>
    <t>concorrenti</t>
  </si>
  <si>
    <t>simili</t>
  </si>
  <si>
    <t>evolvendo</t>
  </si>
  <si>
    <t>struttura</t>
  </si>
  <si>
    <t>verticale</t>
  </si>
  <si>
    <t>orizzontale</t>
  </si>
  <si>
    <t># text = Perché sta succedendo questo?</t>
  </si>
  <si>
    <t>Perché</t>
  </si>
  <si>
    <t>succedendo</t>
  </si>
  <si>
    <t># text = Succede perché i costi di transazione stanno crollando e perché la scala si sta polarizzando.</t>
  </si>
  <si>
    <t>Succede</t>
  </si>
  <si>
    <t>crollando</t>
  </si>
  <si>
    <t>polarizzando</t>
  </si>
  <si>
    <t># text = Il crollo dei costi di transazione indebolisce il collante che tiene insieme le catene di valore e ne consente la separazione.</t>
  </si>
  <si>
    <t>crollo</t>
  </si>
  <si>
    <t>indebolisce</t>
  </si>
  <si>
    <t>consente</t>
  </si>
  <si>
    <t>separazione</t>
  </si>
  <si>
    <t># text = La polarizzazione delle economie di scala verso il molto piccolo -- piccolo è bello -- consente a comunità flessibili di sostituirsi alla produzione convenzionale delle aziende.</t>
  </si>
  <si>
    <t>polarizzazione</t>
  </si>
  <si>
    <t>piccolo</t>
  </si>
  <si>
    <t>bello</t>
  </si>
  <si>
    <t>comunità</t>
  </si>
  <si>
    <t>flessibili</t>
  </si>
  <si>
    <t>sostituir</t>
  </si>
  <si>
    <t>produzione</t>
  </si>
  <si>
    <t>convenzionale</t>
  </si>
  <si>
    <t>aziende</t>
  </si>
  <si>
    <t># text = L'ingrandirsi nella direzione opposta, verso cose come i Big Data, guida la struttura dl business verso la creazione di nuovi tipi di istituzioni che possono ottenere quella dimensione.</t>
  </si>
  <si>
    <t>ingrandir</t>
  </si>
  <si>
    <t>direzione</t>
  </si>
  <si>
    <t>opposta</t>
  </si>
  <si>
    <t>cose</t>
  </si>
  <si>
    <t>Big</t>
  </si>
  <si>
    <t>Data</t>
  </si>
  <si>
    <t>guida</t>
  </si>
  <si>
    <t>dl</t>
  </si>
  <si>
    <t>creazione</t>
  </si>
  <si>
    <t>nuovi</t>
  </si>
  <si>
    <t># text = Ma in ogni caso la tipica struttura verticale viene portata a diventare più orizzontale.</t>
  </si>
  <si>
    <t>caso</t>
  </si>
  <si>
    <t>tipica</t>
  </si>
  <si>
    <t>portata</t>
  </si>
  <si>
    <t># text = Il metodo non riguarda solo i Big Data.</t>
  </si>
  <si>
    <t>metodo</t>
  </si>
  <si>
    <t># text = Se dovessimo guardare, ad esempio, all'industria delle telecomunicazioni, potreste raccontare una storia simile con le fibre ottiche.</t>
  </si>
  <si>
    <t>dovessimo</t>
  </si>
  <si>
    <t>telecomunicazioni</t>
  </si>
  <si>
    <t>fibre</t>
  </si>
  <si>
    <t>ottiche</t>
  </si>
  <si>
    <t># text = Se guardiamo l'industria farmaceutica, o, è lo stesso, la ricerca universitaria potere raccontare esattamente la stessa storia con la cosiddetta 'big science'.</t>
  </si>
  <si>
    <t>guardiamo</t>
  </si>
  <si>
    <t>farmaceutica</t>
  </si>
  <si>
    <t>stesso</t>
  </si>
  <si>
    <t>universitaria</t>
  </si>
  <si>
    <t>stessa</t>
  </si>
  <si>
    <t>cosiddetta</t>
  </si>
  <si>
    <t>'</t>
  </si>
  <si>
    <t>big</t>
  </si>
  <si>
    <t>science</t>
  </si>
  <si>
    <t># text = All'estremo opposto se guardiamo, diciamo, al settore dell'energia dove tutto il dibattito è se il settore domestico sarà un produttore efficiente di energia rinnovabile ed efficiente risparmiatore di energia, questo è, di fatto, il fenomeno inverso.</t>
  </si>
  <si>
    <t>A</t>
  </si>
  <si>
    <t>estremo</t>
  </si>
  <si>
    <t>opposto</t>
  </si>
  <si>
    <t>settore</t>
  </si>
  <si>
    <t>energia</t>
  </si>
  <si>
    <t>dibattito</t>
  </si>
  <si>
    <t>domestico</t>
  </si>
  <si>
    <t>produttore</t>
  </si>
  <si>
    <t>efficiente</t>
  </si>
  <si>
    <t>rinnovabile</t>
  </si>
  <si>
    <t>risparmiatore</t>
  </si>
  <si>
    <t>inverso</t>
  </si>
  <si>
    <t># text = È la frammentazione di scala perché il molto piccolo può sostituire la tradizionale scala delle aziende.</t>
  </si>
  <si>
    <t>frammentazione</t>
  </si>
  <si>
    <t>tradizionale</t>
  </si>
  <si>
    <t># text = Comunque, siamo diretti verso l'orizzontalizzazione della strutture delle industrie, e ciò implica cambiamenti fondamentali in come pensare la strategia.</t>
  </si>
  <si>
    <t>Comunque</t>
  </si>
  <si>
    <t>diretti</t>
  </si>
  <si>
    <t>orizzontalizzazione</t>
  </si>
  <si>
    <t>strutture</t>
  </si>
  <si>
    <t>industrie</t>
  </si>
  <si>
    <t>ciò</t>
  </si>
  <si>
    <t>cambiamenti</t>
  </si>
  <si>
    <t>fondamentali</t>
  </si>
  <si>
    <t># text = Significa, ad esempio, dover pensare alla strategia come ad una catalogazione di questi tipi di struttura orizzontale, dove cose come la definizione di un business, ed anche la definizione di industria, sono in effetti prodotti della strategia, non presupposti della strategia.</t>
  </si>
  <si>
    <t>dover</t>
  </si>
  <si>
    <t>catalogazione</t>
  </si>
  <si>
    <t>definizione</t>
  </si>
  <si>
    <t>effetti</t>
  </si>
  <si>
    <t>prodotti</t>
  </si>
  <si>
    <t>presupposti</t>
  </si>
  <si>
    <t># text = Significa, per esempio, dover capire come far convivere collaborazione e competizione allo stesso tempo.</t>
  </si>
  <si>
    <t>convivere</t>
  </si>
  <si>
    <t>collaborazione</t>
  </si>
  <si>
    <t># text = Pensate al genoma.</t>
  </si>
  <si>
    <t># text = Dobbiamo far convivere il molto grande e il molto piccolo simultaneamente.</t>
  </si>
  <si>
    <t>Dobbiamo</t>
  </si>
  <si>
    <t>grande</t>
  </si>
  <si>
    <t>simultaneamente</t>
  </si>
  <si>
    <t># text = E ci servono settori di industria che possano soddisfare motivazioni molto differenti, dalle motivazioni dei singoli nelle comunità a magari motivazioni sociali di infrastrutture create dai governi, o, per quanto le può riguardare, istituzioni cooperative create da aziende che altrimenti sono in competizione, perché è l'unico modo per arrivare ad una certa dimensione.</t>
  </si>
  <si>
    <t>servono</t>
  </si>
  <si>
    <t>settori</t>
  </si>
  <si>
    <t>possano</t>
  </si>
  <si>
    <t>soddisfare</t>
  </si>
  <si>
    <t>motivazioni</t>
  </si>
  <si>
    <t>differenti</t>
  </si>
  <si>
    <t>singoli</t>
  </si>
  <si>
    <t>infrastrutture</t>
  </si>
  <si>
    <t>create</t>
  </si>
  <si>
    <t>governi</t>
  </si>
  <si>
    <t>quanto</t>
  </si>
  <si>
    <t>cooperative</t>
  </si>
  <si>
    <t>altrimenti</t>
  </si>
  <si>
    <t>unico</t>
  </si>
  <si>
    <t>certa</t>
  </si>
  <si>
    <t># text = Questi tipi di trasformazione rendono le strategie tradizionali di business obsolete.</t>
  </si>
  <si>
    <t>trasformazione</t>
  </si>
  <si>
    <t>rendono</t>
  </si>
  <si>
    <t>strategie</t>
  </si>
  <si>
    <t>tradizionali</t>
  </si>
  <si>
    <t>obsolete</t>
  </si>
  <si>
    <t># text = Ci conducono in un mondo completamente nuovo.</t>
  </si>
  <si>
    <t>conducono</t>
  </si>
  <si>
    <t>nuovo</t>
  </si>
  <si>
    <t># text = Ci obbligano, se siamo nel settore pubblico o in quello privato, a pensare in modo fondamentalmente diverso le strutture di business, e infine, rende la strategia ancora interessante.</t>
  </si>
  <si>
    <t>obbligano</t>
  </si>
  <si>
    <t>pubblico</t>
  </si>
  <si>
    <t>privato</t>
  </si>
  <si>
    <t>fondamentalmente</t>
  </si>
  <si>
    <t>infine</t>
  </si>
  <si>
    <t>rende</t>
  </si>
  <si>
    <t>interessante</t>
  </si>
  <si>
    <t># text = Grazie.</t>
  </si>
  <si>
    <t>Grazie</t>
  </si>
  <si>
    <t># text = (Applausi)</t>
  </si>
  <si>
    <t>(</t>
  </si>
  <si>
    <t>Applausi</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</si>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</sst>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12</v>
      </c>
      <c r="D3" s="7" t="s">
        <v>16</v>
      </c>
      <c r="E3" s="8" t="s">
        <v>17</v>
      </c>
      <c r="F3" s="6" t="s">
        <v>18</v>
      </c>
      <c r="G3" s="9">
        <f>IF(A3=1,"_",IF(C3="_","???",C3))</f>
        <v/>
      </c>
      <c r="H3" s="10" t="s">
        <v>12</v>
      </c>
      <c r="I3" s="11" t="s">
        <v>12</v>
      </c>
      <c r="J3" s="12"/>
    </row>
    <row r="4" spans="1:10" ht="60" customHeight="1">
      <c r="A4" s="6" t="s">
        <v>19</v>
      </c>
      <c r="B4" s="6" t="s">
        <v>10</v>
      </c>
      <c r="C4" s="6" t="s">
        <v>12</v>
      </c>
      <c r="D4" s="7" t="s">
        <v>20</v>
      </c>
      <c r="E4" s="8" t="s">
        <v>21</v>
      </c>
      <c r="F4" s="6" t="s">
        <v>22</v>
      </c>
      <c r="G4" s="9">
        <f>IF(A4=1,"_",IF(C4="_","???",C4))</f>
        <v/>
      </c>
      <c r="H4" s="10" t="s">
        <v>12</v>
      </c>
      <c r="I4" s="11" t="s">
        <v>12</v>
      </c>
      <c r="J4" s="12"/>
    </row>
    <row r="5" spans="1:10" ht="60" customHeight="1">
      <c r="A5" s="6" t="s">
        <v>23</v>
      </c>
      <c r="B5" s="6" t="s">
        <v>11</v>
      </c>
      <c r="C5" s="6" t="s">
        <v>24</v>
      </c>
      <c r="D5" s="7" t="s">
        <v>25</v>
      </c>
      <c r="E5" s="8" t="s">
        <v>26</v>
      </c>
      <c r="F5" s="6" t="s">
        <v>27</v>
      </c>
      <c r="G5" s="9">
        <f>IF(A5=1,"_",IF(C5="_","???",C5))</f>
        <v/>
      </c>
      <c r="H5" s="10" t="s">
        <v>12</v>
      </c>
      <c r="I5" s="11" t="s">
        <v>12</v>
      </c>
      <c r="J5" s="12"/>
    </row>
    <row r="6" spans="1:10" ht="60" customHeight="1">
      <c r="A6" s="6" t="s">
        <v>28</v>
      </c>
      <c r="B6" s="6" t="s">
        <v>29</v>
      </c>
      <c r="C6" s="6" t="s">
        <v>12</v>
      </c>
      <c r="D6" s="7" t="s">
        <v>30</v>
      </c>
      <c r="E6" s="8" t="s">
        <v>31</v>
      </c>
      <c r="F6" s="6" t="s">
        <v>32</v>
      </c>
      <c r="G6" s="9">
        <f>IF(A6=1,"_",IF(C6="_","???",C6))</f>
        <v/>
      </c>
      <c r="H6" s="10" t="s">
        <v>12</v>
      </c>
      <c r="I6" s="11" t="s">
        <v>12</v>
      </c>
      <c r="J6" s="12"/>
    </row>
    <row r="7" spans="1:10" ht="60" customHeight="1">
      <c r="A7" s="6" t="s">
        <v>33</v>
      </c>
      <c r="B7" s="6" t="s">
        <v>10</v>
      </c>
      <c r="C7" s="6" t="s">
        <v>34</v>
      </c>
      <c r="D7" s="7" t="s">
        <v>35</v>
      </c>
      <c r="E7" s="8" t="s">
        <v>36</v>
      </c>
      <c r="F7" s="6" t="s">
        <v>37</v>
      </c>
      <c r="G7" s="9">
        <f>IF(A7=1,"_",IF(C7="_","???",C7))</f>
        <v/>
      </c>
      <c r="H7" s="10" t="s">
        <v>12</v>
      </c>
      <c r="I7" s="11" t="s">
        <v>12</v>
      </c>
      <c r="J7" s="12"/>
    </row>
    <row r="8" spans="1:10" ht="60" customHeight="1">
      <c r="A8" s="6" t="s">
        <v>38</v>
      </c>
      <c r="B8" s="6" t="s">
        <v>33</v>
      </c>
      <c r="C8" s="6" t="s">
        <v>12</v>
      </c>
      <c r="D8" s="7" t="s">
        <v>39</v>
      </c>
      <c r="E8" s="8" t="s">
        <v>40</v>
      </c>
      <c r="F8" s="6" t="s">
        <v>41</v>
      </c>
      <c r="G8" s="9">
        <f>IF(A8=1,"_",IF(C8="_","???",C8))</f>
        <v/>
      </c>
      <c r="H8" s="10" t="s">
        <v>12</v>
      </c>
      <c r="I8" s="11" t="s">
        <v>12</v>
      </c>
      <c r="J8" s="12"/>
    </row>
    <row r="9" spans="1:10" ht="60" customHeight="1">
      <c r="A9" s="6" t="s">
        <v>29</v>
      </c>
      <c r="B9" s="6" t="s">
        <v>28</v>
      </c>
      <c r="C9" s="6" t="s">
        <v>12</v>
      </c>
      <c r="D9" s="7" t="s">
        <v>42</v>
      </c>
      <c r="E9" s="8" t="s">
        <v>43</v>
      </c>
      <c r="F9" s="6" t="s">
        <v>44</v>
      </c>
      <c r="G9" s="9">
        <f>IF(A9=1,"_",IF(C9="_","???",C9))</f>
        <v/>
      </c>
      <c r="H9" s="10" t="s">
        <v>12</v>
      </c>
      <c r="I9" s="11" t="s">
        <v>12</v>
      </c>
      <c r="J9" s="12"/>
    </row>
    <row r="10" spans="1:10" ht="60" customHeight="1">
      <c r="A10" s="6" t="s">
        <v>45</v>
      </c>
      <c r="B10" s="6" t="s">
        <v>19</v>
      </c>
      <c r="C10" s="6" t="s">
        <v>12</v>
      </c>
      <c r="D10" s="7" t="s">
        <v>46</v>
      </c>
      <c r="E10" s="8" t="s">
        <v>47</v>
      </c>
      <c r="F10" s="6" t="s">
        <v>48</v>
      </c>
      <c r="G10" s="9">
        <f>IF(A10=1,"_",IF(C10="_","???",C10))</f>
        <v/>
      </c>
      <c r="H10" s="10" t="s">
        <v>12</v>
      </c>
      <c r="I10" s="11" t="s">
        <v>12</v>
      </c>
      <c r="J10" s="12"/>
    </row>
    <row r="11" spans="1:10" ht="60" customHeight="1">
      <c r="A11" s="6" t="s">
        <v>49</v>
      </c>
      <c r="B11" s="6" t="s">
        <v>19</v>
      </c>
      <c r="C11" s="6" t="s">
        <v>50</v>
      </c>
      <c r="D11" s="7" t="s">
        <v>51</v>
      </c>
      <c r="E11" s="8" t="s">
        <v>52</v>
      </c>
      <c r="F11" s="6" t="s">
        <v>53</v>
      </c>
      <c r="G11" s="9">
        <f>IF(A11=1,"_",IF(C11="_","???",C11))</f>
        <v/>
      </c>
      <c r="H11" s="10" t="s">
        <v>12</v>
      </c>
      <c r="I11" s="11" t="s">
        <v>12</v>
      </c>
      <c r="J11" s="12"/>
    </row>
    <row r="12" spans="1:10" ht="60" customHeight="1">
      <c r="A12" s="6" t="s">
        <v>54</v>
      </c>
      <c r="B12" s="6" t="s">
        <v>19</v>
      </c>
      <c r="C12" s="6" t="s">
        <v>55</v>
      </c>
      <c r="D12" s="7" t="s">
        <v>56</v>
      </c>
      <c r="E12" s="8" t="s">
        <v>57</v>
      </c>
      <c r="F12" s="6" t="s">
        <v>58</v>
      </c>
      <c r="G12" s="9">
        <f>IF(A12=1,"_",IF(C12="_","???",C12))</f>
        <v/>
      </c>
      <c r="H12" s="10" t="s">
        <v>12</v>
      </c>
      <c r="I12" s="11" t="s">
        <v>12</v>
      </c>
      <c r="J12" s="12"/>
    </row>
    <row r="13" spans="1:10" ht="60" customHeight="1">
      <c r="A13" s="6" t="s">
        <v>59</v>
      </c>
      <c r="B13" s="6" t="s">
        <v>11</v>
      </c>
      <c r="C13" s="6" t="s">
        <v>60</v>
      </c>
      <c r="D13" s="7" t="s">
        <v>61</v>
      </c>
      <c r="E13" s="8" t="s">
        <v>62</v>
      </c>
      <c r="F13" s="6" t="s">
        <v>63</v>
      </c>
      <c r="G13" s="9">
        <f>IF(A13=1,"_",IF(C13="_","???",C13))</f>
        <v/>
      </c>
      <c r="H13" s="10" t="s">
        <v>12</v>
      </c>
      <c r="I13" s="11" t="s">
        <v>12</v>
      </c>
      <c r="J13" s="12"/>
    </row>
    <row r="14" spans="1:10" ht="60" customHeight="1">
      <c r="A14" s="6" t="s">
        <v>64</v>
      </c>
      <c r="B14" s="6" t="s">
        <v>11</v>
      </c>
      <c r="C14" s="6" t="s">
        <v>12</v>
      </c>
      <c r="D14" s="7" t="s">
        <v>65</v>
      </c>
      <c r="E14" s="8" t="s">
        <v>66</v>
      </c>
      <c r="F14" s="6" t="s">
        <v>67</v>
      </c>
      <c r="G14" s="9">
        <f>IF(A14=1,"_",IF(C14="_","???",C14))</f>
        <v/>
      </c>
      <c r="H14" s="10" t="s">
        <v>12</v>
      </c>
      <c r="I14" s="11" t="s">
        <v>12</v>
      </c>
      <c r="J14" s="12"/>
    </row>
    <row r="15" spans="1:10" ht="60" customHeight="1">
      <c r="A15" s="6" t="s">
        <v>68</v>
      </c>
      <c r="B15" s="6" t="s">
        <v>59</v>
      </c>
      <c r="C15" s="6" t="s">
        <v>12</v>
      </c>
      <c r="D15" s="7" t="s">
        <v>69</v>
      </c>
      <c r="E15" s="8" t="s">
        <v>70</v>
      </c>
      <c r="F15" s="6" t="s">
        <v>71</v>
      </c>
      <c r="G15" s="9">
        <f>IF(A15=1,"_",IF(C15="_","???",C15))</f>
        <v/>
      </c>
      <c r="H15" s="10" t="s">
        <v>12</v>
      </c>
      <c r="I15" s="11" t="s">
        <v>12</v>
      </c>
      <c r="J15" s="12"/>
    </row>
    <row r="16" spans="1:10" ht="60" customHeight="1">
      <c r="A16" s="6" t="s">
        <v>72</v>
      </c>
      <c r="B16" s="6" t="s">
        <v>49</v>
      </c>
      <c r="C16" s="6" t="s">
        <v>60</v>
      </c>
      <c r="D16" s="7" t="s">
        <v>73</v>
      </c>
      <c r="E16" s="8" t="s">
        <v>74</v>
      </c>
      <c r="F16" s="6" t="s">
        <v>75</v>
      </c>
      <c r="G16" s="9">
        <f>IF(A16=1,"_",IF(C16="_","???",C16))</f>
        <v/>
      </c>
      <c r="H16" s="10" t="s">
        <v>12</v>
      </c>
      <c r="I16" s="11" t="s">
        <v>12</v>
      </c>
      <c r="J16" s="12"/>
    </row>
    <row r="17" spans="1:10" ht="60" customHeight="1">
      <c r="A17" s="6" t="s">
        <v>76</v>
      </c>
      <c r="B17" s="6" t="s">
        <v>77</v>
      </c>
      <c r="C17" s="6" t="s">
        <v>78</v>
      </c>
      <c r="D17" s="7" t="s">
        <v>79</v>
      </c>
      <c r="E17" s="8" t="s">
        <v>80</v>
      </c>
      <c r="F17" s="6" t="s">
        <v>81</v>
      </c>
      <c r="G17" s="9">
        <f>IF(A17=1,"_",IF(C17="_","???",C17))</f>
        <v/>
      </c>
      <c r="H17" s="10" t="s">
        <v>12</v>
      </c>
      <c r="I17" s="11" t="s">
        <v>12</v>
      </c>
      <c r="J17" s="12"/>
    </row>
    <row r="18" spans="1:10" ht="60" customHeight="1">
      <c r="A18" s="6" t="s">
        <v>82</v>
      </c>
      <c r="B18" s="6" t="s">
        <v>45</v>
      </c>
      <c r="C18" s="6" t="s">
        <v>12</v>
      </c>
      <c r="D18" s="7" t="s">
        <v>83</v>
      </c>
      <c r="E18" s="8" t="s">
        <v>84</v>
      </c>
      <c r="F18" s="6" t="s">
        <v>85</v>
      </c>
      <c r="G18" s="9">
        <f>IF(A18=1,"_",IF(C18="_","???",C18))</f>
        <v/>
      </c>
      <c r="H18" s="10" t="s">
        <v>12</v>
      </c>
      <c r="I18" s="11" t="s">
        <v>12</v>
      </c>
      <c r="J18" s="12"/>
    </row>
    <row r="19" spans="1:10" ht="60" customHeight="1">
      <c r="A19" s="6" t="s">
        <v>86</v>
      </c>
      <c r="B19" s="6" t="s">
        <v>19</v>
      </c>
      <c r="C19" s="6" t="s">
        <v>34</v>
      </c>
      <c r="D19" s="7" t="s">
        <v>87</v>
      </c>
      <c r="E19" s="8" t="s">
        <v>88</v>
      </c>
      <c r="F19" s="6" t="s">
        <v>89</v>
      </c>
      <c r="G19" s="9">
        <f>IF(A19=1,"_",IF(C19="_","???",C19))</f>
        <v/>
      </c>
      <c r="H19" s="10" t="s">
        <v>12</v>
      </c>
      <c r="I19" s="11" t="s">
        <v>12</v>
      </c>
      <c r="J19" s="12"/>
    </row>
    <row r="20" spans="1:10" ht="60" customHeight="1">
      <c r="A20" s="6" t="s">
        <v>90</v>
      </c>
      <c r="B20" s="6" t="s">
        <v>11</v>
      </c>
      <c r="C20" s="6" t="s">
        <v>12</v>
      </c>
      <c r="D20" s="7" t="s">
        <v>91</v>
      </c>
      <c r="E20" s="8" t="s">
        <v>92</v>
      </c>
      <c r="F20" s="6" t="s">
        <v>93</v>
      </c>
      <c r="G20" s="9">
        <f>IF(A20=1,"_",IF(C20="_","???",C20))</f>
        <v/>
      </c>
      <c r="H20" s="10" t="s">
        <v>12</v>
      </c>
      <c r="I20" s="11" t="s">
        <v>12</v>
      </c>
      <c r="J20" s="12"/>
    </row>
    <row r="21" spans="1:10" ht="60" customHeight="1">
      <c r="A21" s="6" t="s">
        <v>94</v>
      </c>
      <c r="B21" s="6" t="s">
        <v>33</v>
      </c>
      <c r="C21" s="6" t="s">
        <v>12</v>
      </c>
      <c r="D21" s="7" t="s">
        <v>95</v>
      </c>
      <c r="E21" s="8" t="s">
        <v>96</v>
      </c>
      <c r="F21" s="6" t="s">
        <v>97</v>
      </c>
      <c r="G21" s="9">
        <f>IF(A21=1,"_",IF(C21="_","???",C21))</f>
        <v/>
      </c>
      <c r="H21" s="10" t="s">
        <v>12</v>
      </c>
      <c r="I21" s="11" t="s">
        <v>12</v>
      </c>
      <c r="J21" s="12"/>
    </row>
    <row r="22" spans="1:10" ht="60" customHeight="1">
      <c r="A22" s="6" t="s">
        <v>98</v>
      </c>
      <c r="B22" s="6" t="s">
        <v>11</v>
      </c>
      <c r="C22" s="6" t="s">
        <v>99</v>
      </c>
      <c r="D22" s="7" t="s">
        <v>100</v>
      </c>
      <c r="E22" s="8" t="s">
        <v>101</v>
      </c>
      <c r="F22" s="6" t="s">
        <v>102</v>
      </c>
      <c r="G22" s="9">
        <f>IF(A22=1,"_",IF(C22="_","???",C22))</f>
        <v/>
      </c>
      <c r="H22" s="10" t="s">
        <v>12</v>
      </c>
      <c r="I22" s="11" t="s">
        <v>12</v>
      </c>
      <c r="J22" s="12"/>
    </row>
    <row r="23" spans="1:10" ht="60" customHeight="1">
      <c r="A23" s="6" t="s">
        <v>103</v>
      </c>
      <c r="B23" s="6" t="s">
        <v>11</v>
      </c>
      <c r="C23" s="6" t="s">
        <v>104</v>
      </c>
      <c r="D23" s="7" t="s">
        <v>95</v>
      </c>
      <c r="E23" s="8" t="s">
        <v>105</v>
      </c>
      <c r="F23" s="6" t="s">
        <v>106</v>
      </c>
      <c r="G23" s="9">
        <f>IF(A23=1,"_",IF(C23="_","???",C23))</f>
        <v/>
      </c>
      <c r="H23" s="10" t="s">
        <v>12</v>
      </c>
      <c r="I23" s="11" t="s">
        <v>12</v>
      </c>
      <c r="J23" s="12"/>
    </row>
    <row r="24" spans="1:10" ht="60" customHeight="1">
      <c r="A24" s="6" t="s">
        <v>107</v>
      </c>
      <c r="B24" s="6" t="s">
        <v>11</v>
      </c>
      <c r="C24" s="6" t="s">
        <v>34</v>
      </c>
      <c r="D24" s="7" t="s">
        <v>108</v>
      </c>
      <c r="E24" s="8" t="s">
        <v>109</v>
      </c>
      <c r="F24" s="6" t="s">
        <v>110</v>
      </c>
      <c r="G24" s="9">
        <f>IF(A24=1,"_",IF(C24="_","???",C24))</f>
        <v/>
      </c>
      <c r="H24" s="10" t="s">
        <v>12</v>
      </c>
      <c r="I24" s="11" t="s">
        <v>12</v>
      </c>
      <c r="J24" s="12"/>
    </row>
    <row r="25" spans="1:10" ht="60" customHeight="1">
      <c r="A25" s="6" t="s">
        <v>111</v>
      </c>
      <c r="B25" s="6" t="s">
        <v>11</v>
      </c>
      <c r="C25" s="6" t="s">
        <v>12</v>
      </c>
      <c r="D25" s="7" t="s">
        <v>112</v>
      </c>
      <c r="E25" s="8" t="s">
        <v>113</v>
      </c>
      <c r="F25" s="6" t="s">
        <v>114</v>
      </c>
      <c r="G25" s="9">
        <f>IF(A25=1,"_",IF(C25="_","???",C25))</f>
        <v/>
      </c>
      <c r="H25" s="10" t="s">
        <v>12</v>
      </c>
      <c r="I25" s="11" t="s">
        <v>12</v>
      </c>
      <c r="J25" s="12"/>
    </row>
    <row r="26" spans="1:10" ht="60" customHeight="1">
      <c r="A26" s="6" t="s">
        <v>115</v>
      </c>
      <c r="B26" s="6" t="s">
        <v>19</v>
      </c>
      <c r="C26" s="6" t="s">
        <v>116</v>
      </c>
      <c r="D26" s="7" t="s">
        <v>117</v>
      </c>
      <c r="E26" s="8" t="s">
        <v>118</v>
      </c>
      <c r="F26" s="6" t="s">
        <v>119</v>
      </c>
      <c r="G26" s="9">
        <f>IF(A26=1,"_",IF(C26="_","???",C26))</f>
        <v/>
      </c>
      <c r="H26" s="10" t="s">
        <v>12</v>
      </c>
      <c r="I26" s="11" t="s">
        <v>12</v>
      </c>
      <c r="J26" s="12"/>
    </row>
    <row r="27" spans="1:10" ht="60" customHeight="1">
      <c r="A27" s="6" t="s">
        <v>120</v>
      </c>
      <c r="B27" s="6" t="s">
        <v>86</v>
      </c>
      <c r="C27" s="6" t="s">
        <v>104</v>
      </c>
      <c r="D27" s="7" t="s">
        <v>121</v>
      </c>
      <c r="E27" s="8" t="s">
        <v>122</v>
      </c>
      <c r="F27" s="6" t="s">
        <v>123</v>
      </c>
      <c r="G27" s="9">
        <f>IF(A27=1,"_",IF(C27="_","???",C27))</f>
        <v/>
      </c>
      <c r="H27" s="10" t="s">
        <v>12</v>
      </c>
      <c r="I27" s="11" t="s">
        <v>12</v>
      </c>
      <c r="J27" s="12"/>
    </row>
    <row r="28" spans="1:10" ht="60" customHeight="1">
      <c r="A28" s="6" t="s">
        <v>124</v>
      </c>
      <c r="B28" s="6" t="s">
        <v>38</v>
      </c>
      <c r="C28" s="6" t="s">
        <v>12</v>
      </c>
      <c r="D28" s="7" t="s">
        <v>125</v>
      </c>
      <c r="E28" s="8" t="s">
        <v>126</v>
      </c>
      <c r="F28" s="6" t="s">
        <v>127</v>
      </c>
      <c r="G28" s="9">
        <f>IF(A28=1,"_",IF(C28="_","???",C28))</f>
        <v/>
      </c>
      <c r="H28" s="10" t="s">
        <v>12</v>
      </c>
      <c r="I28" s="11" t="s">
        <v>12</v>
      </c>
      <c r="J28" s="12"/>
    </row>
    <row r="29" spans="1:10" ht="60" customHeight="1">
      <c r="A29" s="6" t="s">
        <v>128</v>
      </c>
      <c r="B29" s="6" t="s">
        <v>11</v>
      </c>
      <c r="C29" s="6" t="s">
        <v>12</v>
      </c>
      <c r="D29" s="7" t="s">
        <v>95</v>
      </c>
      <c r="E29" s="8" t="s">
        <v>129</v>
      </c>
      <c r="F29" s="6" t="s">
        <v>130</v>
      </c>
      <c r="G29" s="9">
        <f>IF(A29=1,"_",IF(C29="_","???",C29))</f>
        <v/>
      </c>
      <c r="H29" s="10" t="s">
        <v>12</v>
      </c>
      <c r="I29" s="11" t="s">
        <v>12</v>
      </c>
      <c r="J29" s="12"/>
    </row>
    <row r="30" spans="1:10" ht="60" customHeight="1">
      <c r="A30" s="6" t="s">
        <v>77</v>
      </c>
      <c r="B30" s="6" t="s">
        <v>11</v>
      </c>
      <c r="C30" s="6" t="s">
        <v>60</v>
      </c>
      <c r="D30" s="7" t="s">
        <v>131</v>
      </c>
      <c r="E30" s="8" t="s">
        <v>132</v>
      </c>
      <c r="F30" s="6" t="s">
        <v>133</v>
      </c>
      <c r="G30" s="9">
        <f>IF(A30=1,"_",IF(C30="_","???",C30))</f>
        <v/>
      </c>
      <c r="H30" s="10" t="s">
        <v>12</v>
      </c>
      <c r="I30" s="11" t="s">
        <v>12</v>
      </c>
      <c r="J30" s="12"/>
    </row>
    <row r="31" spans="1:10" ht="60" customHeight="1">
      <c r="A31" s="6" t="s">
        <v>134</v>
      </c>
      <c r="B31" s="6" t="s">
        <v>19</v>
      </c>
      <c r="C31" s="6" t="s">
        <v>135</v>
      </c>
      <c r="D31" s="7" t="s">
        <v>136</v>
      </c>
      <c r="E31" s="8" t="s">
        <v>137</v>
      </c>
      <c r="F31" s="6" t="s">
        <v>138</v>
      </c>
      <c r="G31" s="9">
        <f>IF(A31=1,"_",IF(C31="_","???",C31))</f>
        <v/>
      </c>
      <c r="H31" s="10" t="s">
        <v>12</v>
      </c>
      <c r="I31" s="11" t="s">
        <v>12</v>
      </c>
      <c r="J31" s="12"/>
    </row>
    <row r="32" spans="1:10" ht="60" customHeight="1">
      <c r="A32" s="6" t="s">
        <v>139</v>
      </c>
      <c r="B32" s="6" t="s">
        <v>19</v>
      </c>
      <c r="C32" s="6" t="s">
        <v>140</v>
      </c>
      <c r="D32" s="7" t="s">
        <v>141</v>
      </c>
      <c r="E32" s="8" t="s">
        <v>142</v>
      </c>
      <c r="F32" s="6" t="s">
        <v>143</v>
      </c>
      <c r="G32" s="9">
        <f>IF(A32=1,"_",IF(C32="_","???",C32))</f>
        <v/>
      </c>
      <c r="H32" s="10" t="s">
        <v>12</v>
      </c>
      <c r="I32" s="11" t="s">
        <v>12</v>
      </c>
      <c r="J32" s="12"/>
    </row>
    <row r="33" spans="1:10" ht="60" customHeight="1">
      <c r="A33" s="6" t="s">
        <v>144</v>
      </c>
      <c r="B33" s="6" t="s">
        <v>10</v>
      </c>
      <c r="C33" s="6" t="s">
        <v>12</v>
      </c>
      <c r="D33" s="7" t="s">
        <v>145</v>
      </c>
      <c r="E33" s="8" t="s">
        <v>146</v>
      </c>
      <c r="F33" s="6" t="s">
        <v>147</v>
      </c>
      <c r="G33" s="9">
        <f>IF(A33=1,"_",IF(C33="_","???",C33))</f>
        <v/>
      </c>
      <c r="H33" s="10" t="s">
        <v>12</v>
      </c>
      <c r="I33" s="11" t="s">
        <v>12</v>
      </c>
      <c r="J33" s="12"/>
    </row>
    <row r="34" spans="1:10" ht="60" customHeight="1">
      <c r="A34" s="6" t="s">
        <v>148</v>
      </c>
      <c r="B34" s="6" t="s">
        <v>28</v>
      </c>
      <c r="C34" s="6" t="s">
        <v>12</v>
      </c>
      <c r="D34" s="7" t="s">
        <v>149</v>
      </c>
      <c r="E34" s="8" t="s">
        <v>150</v>
      </c>
      <c r="F34" s="6" t="s">
        <v>151</v>
      </c>
      <c r="G34" s="9">
        <f>IF(A34=1,"_",IF(C34="_","???",C34))</f>
        <v/>
      </c>
      <c r="H34" s="10" t="s">
        <v>12</v>
      </c>
      <c r="I34" s="11" t="s">
        <v>12</v>
      </c>
      <c r="J34" s="12"/>
    </row>
    <row r="35" spans="1:10" ht="60" customHeight="1">
      <c r="A35" s="6" t="s">
        <v>152</v>
      </c>
      <c r="B35" s="6" t="s">
        <v>72</v>
      </c>
      <c r="C35" s="6" t="s">
        <v>153</v>
      </c>
      <c r="D35" s="7" t="s">
        <v>154</v>
      </c>
      <c r="E35" s="8" t="s">
        <v>155</v>
      </c>
      <c r="F35" s="6" t="s">
        <v>156</v>
      </c>
      <c r="G35" s="9">
        <f>IF(A35=1,"_",IF(C35="_","???",C35))</f>
        <v/>
      </c>
      <c r="H35" s="10" t="s">
        <v>12</v>
      </c>
      <c r="I35" s="11" t="s">
        <v>12</v>
      </c>
      <c r="J35" s="12"/>
    </row>
    <row r="36" spans="1:10" ht="60" customHeight="1">
      <c r="A36" s="6" t="s">
        <v>157</v>
      </c>
      <c r="B36" s="6" t="s">
        <v>38</v>
      </c>
      <c r="C36" s="6" t="s">
        <v>12</v>
      </c>
      <c r="D36" s="7" t="s">
        <v>158</v>
      </c>
      <c r="E36" s="8" t="s">
        <v>159</v>
      </c>
      <c r="F36" s="6" t="s">
        <v>160</v>
      </c>
      <c r="G36" s="9">
        <f>IF(A36=1,"_",IF(C36="_","???",C36))</f>
        <v/>
      </c>
      <c r="H36" s="10" t="s">
        <v>12</v>
      </c>
      <c r="I36" s="11" t="s">
        <v>12</v>
      </c>
      <c r="J36" s="12"/>
    </row>
    <row r="37" spans="1:10" ht="60" customHeight="1">
      <c r="A37" s="6" t="s">
        <v>161</v>
      </c>
      <c r="B37" s="6" t="s">
        <v>19</v>
      </c>
      <c r="C37" s="6" t="s">
        <v>78</v>
      </c>
      <c r="D37" s="7" t="s">
        <v>162</v>
      </c>
      <c r="E37" s="8" t="s">
        <v>163</v>
      </c>
      <c r="F37" s="6" t="s">
        <v>164</v>
      </c>
      <c r="G37" s="9">
        <f>IF(A37=1,"_",IF(C37="_","???",C37))</f>
        <v/>
      </c>
      <c r="H37" s="10" t="s">
        <v>12</v>
      </c>
      <c r="I37" s="11" t="s">
        <v>12</v>
      </c>
      <c r="J37" s="12"/>
    </row>
    <row r="38" spans="1:10" ht="60" customHeight="1">
      <c r="A38" s="6" t="s">
        <v>165</v>
      </c>
      <c r="B38" s="6" t="s">
        <v>28</v>
      </c>
      <c r="C38" s="6" t="s">
        <v>12</v>
      </c>
      <c r="D38" s="7" t="s">
        <v>166</v>
      </c>
      <c r="E38" s="8" t="s">
        <v>167</v>
      </c>
      <c r="F38" s="6" t="s">
        <v>168</v>
      </c>
      <c r="G38" s="9">
        <f>IF(A38=1,"_",IF(C38="_","???",C38))</f>
        <v/>
      </c>
      <c r="H38" s="10" t="s">
        <v>12</v>
      </c>
      <c r="I38" s="11" t="s">
        <v>12</v>
      </c>
      <c r="J38" s="12"/>
    </row>
    <row r="39" spans="1:10" ht="60" customHeight="1">
      <c r="A39" s="6" t="s">
        <v>169</v>
      </c>
      <c r="B39" s="6" t="s">
        <v>38</v>
      </c>
      <c r="C39" s="6" t="s">
        <v>55</v>
      </c>
      <c r="D39" s="7" t="s">
        <v>166</v>
      </c>
      <c r="E39" s="8" t="s">
        <v>170</v>
      </c>
      <c r="F39" s="6" t="s">
        <v>171</v>
      </c>
      <c r="G39" s="9">
        <f>IF(A39=1,"_",IF(C39="_","???",C39))</f>
        <v/>
      </c>
      <c r="H39" s="10" t="s">
        <v>12</v>
      </c>
      <c r="I39" s="11" t="s">
        <v>12</v>
      </c>
      <c r="J39" s="12"/>
    </row>
    <row r="40" spans="1:10" ht="60" customHeight="1">
      <c r="A40" s="6" t="s">
        <v>172</v>
      </c>
      <c r="B40" s="6" t="s">
        <v>11</v>
      </c>
      <c r="C40" s="6" t="s">
        <v>12</v>
      </c>
      <c r="D40" s="7" t="s">
        <v>83</v>
      </c>
      <c r="E40" s="8" t="s">
        <v>173</v>
      </c>
      <c r="F40" s="6" t="s">
        <v>174</v>
      </c>
      <c r="G40" s="9">
        <f>IF(A40=1,"_",IF(C40="_","???",C40))</f>
        <v/>
      </c>
      <c r="H40" s="10" t="s">
        <v>12</v>
      </c>
      <c r="I40" s="11" t="s">
        <v>12</v>
      </c>
      <c r="J40" s="12"/>
    </row>
    <row r="41" spans="1:10" ht="60" customHeight="1">
      <c r="A41" s="6" t="s">
        <v>175</v>
      </c>
      <c r="B41" s="6" t="s">
        <v>54</v>
      </c>
      <c r="C41" s="6" t="s">
        <v>12</v>
      </c>
      <c r="D41" s="7" t="s">
        <v>112</v>
      </c>
      <c r="E41" s="8" t="s">
        <v>176</v>
      </c>
      <c r="F41" s="6" t="s">
        <v>177</v>
      </c>
      <c r="G41" s="9">
        <f>IF(A41=1,"_",IF(C41="_","???",C41))</f>
        <v/>
      </c>
      <c r="H41" s="10" t="s">
        <v>12</v>
      </c>
      <c r="I41" s="11" t="s">
        <v>12</v>
      </c>
      <c r="J41" s="12"/>
    </row>
    <row r="42" spans="1:10" ht="60" customHeight="1">
      <c r="A42" s="6" t="s">
        <v>178</v>
      </c>
      <c r="B42" s="6" t="s">
        <v>33</v>
      </c>
      <c r="C42" s="6" t="s">
        <v>24</v>
      </c>
      <c r="D42" s="7" t="s">
        <v>179</v>
      </c>
      <c r="E42" s="8" t="s">
        <v>180</v>
      </c>
      <c r="F42" s="6" t="s">
        <v>181</v>
      </c>
      <c r="G42" s="9">
        <f>IF(A42=1,"_",IF(C42="_","???",C42))</f>
        <v/>
      </c>
      <c r="H42" s="10" t="s">
        <v>12</v>
      </c>
      <c r="I42" s="11" t="s">
        <v>12</v>
      </c>
      <c r="J42" s="12"/>
    </row>
    <row r="43" spans="1:10" ht="60" customHeight="1">
      <c r="A43" s="6" t="s">
        <v>182</v>
      </c>
      <c r="B43" s="6" t="s">
        <v>49</v>
      </c>
      <c r="C43" s="6" t="s">
        <v>183</v>
      </c>
      <c r="D43" s="7" t="s">
        <v>184</v>
      </c>
      <c r="E43" s="8" t="s">
        <v>185</v>
      </c>
      <c r="F43" s="6" t="s">
        <v>186</v>
      </c>
      <c r="G43" s="9">
        <f>IF(A43=1,"_",IF(C43="_","???",C43))</f>
        <v/>
      </c>
      <c r="H43" s="10" t="s">
        <v>12</v>
      </c>
      <c r="I43" s="11" t="s">
        <v>12</v>
      </c>
      <c r="J43" s="12"/>
    </row>
    <row r="44" spans="1:10" ht="60" customHeight="1">
      <c r="A44" s="6" t="s">
        <v>187</v>
      </c>
      <c r="B44" s="6" t="s">
        <v>28</v>
      </c>
      <c r="C44" s="6" t="s">
        <v>12</v>
      </c>
      <c r="D44" s="7" t="s">
        <v>117</v>
      </c>
      <c r="E44" s="8" t="s">
        <v>188</v>
      </c>
      <c r="F44" s="6" t="s">
        <v>189</v>
      </c>
      <c r="G44" s="9">
        <f>IF(A44=1,"_",IF(C44="_","???",C44))</f>
        <v/>
      </c>
      <c r="H44" s="10" t="s">
        <v>12</v>
      </c>
      <c r="I44" s="11" t="s">
        <v>12</v>
      </c>
      <c r="J44" s="12"/>
    </row>
    <row r="45" spans="1:10" ht="60" customHeight="1">
      <c r="A45" s="6" t="s">
        <v>190</v>
      </c>
      <c r="B45" s="6" t="s">
        <v>86</v>
      </c>
      <c r="C45" s="6" t="s">
        <v>60</v>
      </c>
      <c r="D45" s="7" t="s">
        <v>191</v>
      </c>
      <c r="E45" s="8" t="s">
        <v>192</v>
      </c>
      <c r="F45" s="6" t="s">
        <v>193</v>
      </c>
      <c r="G45" s="9">
        <f>IF(A45=1,"_",IF(C45="_","???",C45))</f>
        <v/>
      </c>
      <c r="H45" s="10" t="s">
        <v>12</v>
      </c>
      <c r="I45" s="11" t="s">
        <v>12</v>
      </c>
      <c r="J45" s="12"/>
    </row>
    <row r="46" spans="1:10" ht="60" customHeight="1">
      <c r="A46" s="6" t="s">
        <v>194</v>
      </c>
      <c r="B46" s="6" t="s">
        <v>33</v>
      </c>
      <c r="C46" s="6" t="s">
        <v>12</v>
      </c>
      <c r="D46" s="7" t="s">
        <v>195</v>
      </c>
      <c r="E46" s="8" t="s">
        <v>196</v>
      </c>
      <c r="F46" s="6" t="s">
        <v>197</v>
      </c>
      <c r="G46" s="9">
        <f>IF(A46=1,"_",IF(C46="_","???",C46))</f>
        <v/>
      </c>
      <c r="H46" s="10" t="s">
        <v>12</v>
      </c>
      <c r="I46" s="11" t="s">
        <v>12</v>
      </c>
      <c r="J46" s="12"/>
    </row>
    <row r="47" spans="1:10" ht="60" customHeight="1">
      <c r="A47" s="6" t="s">
        <v>198</v>
      </c>
      <c r="B47" s="6" t="s">
        <v>38</v>
      </c>
      <c r="C47" s="6" t="s">
        <v>34</v>
      </c>
      <c r="D47" s="7" t="s">
        <v>199</v>
      </c>
      <c r="E47" s="8" t="s">
        <v>200</v>
      </c>
      <c r="F47" s="6" t="s">
        <v>201</v>
      </c>
      <c r="G47" s="9">
        <f>IF(A47=1,"_",IF(C47="_","???",C47))</f>
        <v/>
      </c>
      <c r="H47" s="10" t="s">
        <v>12</v>
      </c>
      <c r="I47" s="11" t="s">
        <v>12</v>
      </c>
      <c r="J47" s="12"/>
    </row>
    <row r="48" spans="1:10" ht="60" customHeight="1">
      <c r="A48" s="6" t="s">
        <v>202</v>
      </c>
      <c r="B48" s="6" t="s">
        <v>11</v>
      </c>
      <c r="C48" s="6" t="s">
        <v>135</v>
      </c>
      <c r="D48" s="7" t="s">
        <v>136</v>
      </c>
      <c r="E48" s="8" t="s">
        <v>203</v>
      </c>
      <c r="F48" s="6" t="s">
        <v>204</v>
      </c>
      <c r="G48" s="9">
        <f>IF(A48=1,"_",IF(C48="_","???",C48))</f>
        <v/>
      </c>
      <c r="H48" s="10" t="s">
        <v>12</v>
      </c>
      <c r="I48" s="11" t="s">
        <v>12</v>
      </c>
      <c r="J48" s="12"/>
    </row>
    <row r="49" spans="1:10" ht="60" customHeight="1">
      <c r="A49" s="6" t="s">
        <v>205</v>
      </c>
      <c r="B49" s="6" t="s">
        <v>11</v>
      </c>
      <c r="C49" s="6" t="s">
        <v>12</v>
      </c>
      <c r="D49" s="7" t="s">
        <v>206</v>
      </c>
      <c r="E49" s="8" t="s">
        <v>207</v>
      </c>
      <c r="F49" s="6" t="s">
        <v>208</v>
      </c>
      <c r="G49" s="9">
        <f>IF(A49=1,"_",IF(C49="_","???",C49))</f>
        <v/>
      </c>
      <c r="H49" s="10" t="s">
        <v>12</v>
      </c>
      <c r="I49" s="11" t="s">
        <v>12</v>
      </c>
      <c r="J49" s="12"/>
    </row>
    <row r="50" spans="1:10" ht="60" customHeight="1">
      <c r="A50" s="6" t="s">
        <v>209</v>
      </c>
      <c r="B50" s="6" t="s">
        <v>76</v>
      </c>
      <c r="C50" s="6" t="s">
        <v>12</v>
      </c>
      <c r="D50" s="7" t="s">
        <v>210</v>
      </c>
      <c r="E50" s="8" t="s">
        <v>211</v>
      </c>
      <c r="F50" s="6" t="s">
        <v>212</v>
      </c>
      <c r="G50" s="9">
        <f>IF(A50=1,"_",IF(C50="_","???",C50))</f>
        <v/>
      </c>
      <c r="H50" s="10" t="s">
        <v>12</v>
      </c>
      <c r="I50" s="11" t="s">
        <v>12</v>
      </c>
      <c r="J50" s="12"/>
    </row>
    <row r="51" spans="1:10" ht="60" customHeight="1">
      <c r="A51" s="6" t="s">
        <v>213</v>
      </c>
      <c r="B51" s="6" t="s">
        <v>11</v>
      </c>
      <c r="C51" s="6" t="s">
        <v>34</v>
      </c>
      <c r="D51" s="7" t="s">
        <v>214</v>
      </c>
      <c r="E51" s="8" t="s">
        <v>215</v>
      </c>
      <c r="F51" s="6" t="s">
        <v>216</v>
      </c>
      <c r="G51" s="9">
        <f>IF(A51=1,"_",IF(C51="_","???",C51))</f>
        <v/>
      </c>
      <c r="H51" s="10" t="s">
        <v>12</v>
      </c>
      <c r="I51" s="11" t="s">
        <v>12</v>
      </c>
      <c r="J51" s="12"/>
    </row>
    <row r="52" spans="1:10" ht="60" customHeight="1">
      <c r="A52" s="6" t="s">
        <v>217</v>
      </c>
      <c r="B52" s="6" t="s">
        <v>23</v>
      </c>
      <c r="C52" s="6" t="s">
        <v>12</v>
      </c>
      <c r="D52" s="7" t="s">
        <v>218</v>
      </c>
      <c r="E52" s="8" t="s">
        <v>219</v>
      </c>
      <c r="F52" s="6" t="s">
        <v>220</v>
      </c>
      <c r="G52" s="9">
        <f>IF(A52=1,"_",IF(C52="_","???",C52))</f>
        <v/>
      </c>
      <c r="H52" s="10" t="s">
        <v>12</v>
      </c>
      <c r="I52" s="11" t="s">
        <v>12</v>
      </c>
      <c r="J52" s="12"/>
    </row>
    <row r="53" spans="1:10" ht="60" customHeight="1">
      <c r="A53" s="6" t="s">
        <v>221</v>
      </c>
      <c r="B53" s="6" t="s">
        <v>19</v>
      </c>
      <c r="C53" s="6" t="s">
        <v>60</v>
      </c>
      <c r="D53" s="7" t="s">
        <v>95</v>
      </c>
      <c r="E53" s="8" t="s">
        <v>222</v>
      </c>
      <c r="F53" s="6" t="s">
        <v>223</v>
      </c>
      <c r="G53" s="9">
        <f>IF(A53=1,"_",IF(C53="_","???",C53))</f>
        <v/>
      </c>
      <c r="H53" s="10" t="s">
        <v>12</v>
      </c>
      <c r="I53" s="11" t="s">
        <v>12</v>
      </c>
      <c r="J53" s="12"/>
    </row>
    <row r="54" spans="1:10" ht="60" customHeight="1">
      <c r="A54" s="6" t="s">
        <v>224</v>
      </c>
      <c r="B54" s="6" t="s">
        <v>23</v>
      </c>
      <c r="C54" s="6" t="s">
        <v>34</v>
      </c>
      <c r="D54" s="7" t="s">
        <v>95</v>
      </c>
      <c r="E54" s="8" t="s">
        <v>225</v>
      </c>
      <c r="F54" s="6" t="s">
        <v>226</v>
      </c>
      <c r="G54" s="9">
        <f>IF(A54=1,"_",IF(C54="_","???",C54))</f>
        <v/>
      </c>
      <c r="H54" s="10" t="s">
        <v>12</v>
      </c>
      <c r="I54" s="11" t="s">
        <v>12</v>
      </c>
      <c r="J54" s="12"/>
    </row>
    <row r="55" spans="1:10" ht="60" customHeight="1">
      <c r="A55" s="6" t="s">
        <v>227</v>
      </c>
      <c r="B55" s="6" t="s">
        <v>11</v>
      </c>
      <c r="C55" s="6" t="s">
        <v>12</v>
      </c>
      <c r="D55" s="7" t="s">
        <v>228</v>
      </c>
      <c r="E55" s="8" t="s">
        <v>229</v>
      </c>
      <c r="F55" s="6" t="s">
        <v>230</v>
      </c>
      <c r="G55" s="9">
        <f>IF(A55=1,"_",IF(C55="_","???",C55))</f>
        <v/>
      </c>
      <c r="H55" s="10" t="s">
        <v>12</v>
      </c>
      <c r="I55" s="11" t="s">
        <v>12</v>
      </c>
      <c r="J55" s="12"/>
    </row>
    <row r="56" spans="1:10" ht="60" customHeight="1">
      <c r="A56" s="6" t="s">
        <v>231</v>
      </c>
      <c r="B56" s="6" t="s">
        <v>54</v>
      </c>
      <c r="C56" s="6" t="s">
        <v>24</v>
      </c>
      <c r="D56" s="7" t="s">
        <v>13</v>
      </c>
      <c r="E56" s="8" t="s">
        <v>232</v>
      </c>
      <c r="F56" s="6" t="s">
        <v>233</v>
      </c>
      <c r="G56" s="9">
        <f>IF(A56=1,"_",IF(C56="_","???",C56))</f>
        <v/>
      </c>
      <c r="H56" s="10" t="s">
        <v>12</v>
      </c>
      <c r="I56" s="11" t="s">
        <v>12</v>
      </c>
      <c r="J56" s="12"/>
    </row>
    <row r="57" spans="1:10" ht="60" customHeight="1">
      <c r="A57" s="6" t="s">
        <v>234</v>
      </c>
      <c r="B57" s="6" t="s">
        <v>11</v>
      </c>
      <c r="C57" s="6" t="s">
        <v>235</v>
      </c>
      <c r="D57" s="7" t="s">
        <v>236</v>
      </c>
      <c r="E57" s="8" t="s">
        <v>237</v>
      </c>
      <c r="F57" s="6" t="s">
        <v>238</v>
      </c>
      <c r="G57" s="9">
        <f>IF(A57=1,"_",IF(C57="_","???",C57))</f>
        <v/>
      </c>
      <c r="H57" s="10" t="s">
        <v>12</v>
      </c>
      <c r="I57" s="11" t="s">
        <v>12</v>
      </c>
      <c r="J57" s="12"/>
    </row>
    <row r="58" spans="1:10" ht="60" customHeight="1">
      <c r="A58" s="6" t="s">
        <v>239</v>
      </c>
      <c r="B58" s="6" t="s">
        <v>45</v>
      </c>
      <c r="C58" s="6" t="s">
        <v>140</v>
      </c>
      <c r="D58" s="7" t="s">
        <v>240</v>
      </c>
      <c r="E58" s="8" t="s">
        <v>241</v>
      </c>
      <c r="F58" s="6" t="s">
        <v>242</v>
      </c>
      <c r="G58" s="9">
        <f>IF(A58=1,"_",IF(C58="_","???",C58))</f>
        <v/>
      </c>
      <c r="H58" s="10" t="s">
        <v>12</v>
      </c>
      <c r="I58" s="11" t="s">
        <v>12</v>
      </c>
      <c r="J58" s="12"/>
    </row>
    <row r="59" spans="1:10" ht="60" customHeight="1">
      <c r="A59" s="6" t="s">
        <v>243</v>
      </c>
      <c r="B59" s="6" t="s">
        <v>19</v>
      </c>
      <c r="C59" s="6" t="s">
        <v>24</v>
      </c>
      <c r="D59" s="7" t="s">
        <v>244</v>
      </c>
      <c r="E59" s="8" t="s">
        <v>245</v>
      </c>
      <c r="F59" s="6" t="s">
        <v>246</v>
      </c>
      <c r="G59" s="9">
        <f>IF(A59=1,"_",IF(C59="_","???",C59))</f>
        <v/>
      </c>
      <c r="H59" s="10" t="s">
        <v>12</v>
      </c>
      <c r="I59" s="11" t="s">
        <v>12</v>
      </c>
      <c r="J59" s="12"/>
    </row>
    <row r="60" spans="1:10" ht="60" customHeight="1">
      <c r="A60" s="6" t="s">
        <v>247</v>
      </c>
      <c r="B60" s="6" t="s">
        <v>11</v>
      </c>
      <c r="C60" s="6" t="s">
        <v>60</v>
      </c>
      <c r="D60" s="7" t="s">
        <v>125</v>
      </c>
      <c r="E60" s="8" t="s">
        <v>248</v>
      </c>
      <c r="F60" s="6" t="s">
        <v>249</v>
      </c>
      <c r="G60" s="9">
        <f>IF(A60=1,"_",IF(C60="_","???",C60))</f>
        <v/>
      </c>
      <c r="H60" s="10" t="s">
        <v>12</v>
      </c>
      <c r="I60" s="11" t="s">
        <v>12</v>
      </c>
      <c r="J60" s="12"/>
    </row>
    <row r="61" spans="1:10" ht="60" customHeight="1">
      <c r="A61" s="6" t="s">
        <v>250</v>
      </c>
      <c r="B61" s="6" t="s">
        <v>10</v>
      </c>
      <c r="C61" s="6" t="s">
        <v>12</v>
      </c>
      <c r="D61" s="7" t="s">
        <v>251</v>
      </c>
      <c r="E61" s="8" t="s">
        <v>252</v>
      </c>
      <c r="F61" s="6" t="s">
        <v>253</v>
      </c>
      <c r="G61" s="9">
        <f>IF(A61=1,"_",IF(C61="_","???",C61))</f>
        <v/>
      </c>
      <c r="H61" s="10" t="s">
        <v>12</v>
      </c>
      <c r="I61" s="11" t="s">
        <v>12</v>
      </c>
      <c r="J61" s="12"/>
    </row>
    <row r="62" spans="1:10" ht="60" customHeight="1">
      <c r="A62" s="6" t="s">
        <v>254</v>
      </c>
      <c r="B62" s="6" t="s">
        <v>54</v>
      </c>
      <c r="C62" s="6" t="s">
        <v>24</v>
      </c>
      <c r="D62" s="7" t="s">
        <v>255</v>
      </c>
      <c r="E62" s="8" t="s">
        <v>256</v>
      </c>
      <c r="F62" s="6" t="s">
        <v>257</v>
      </c>
      <c r="G62" s="9">
        <f>IF(A62=1,"_",IF(C62="_","???",C62))</f>
        <v/>
      </c>
      <c r="H62" s="10" t="s">
        <v>12</v>
      </c>
      <c r="I62" s="11" t="s">
        <v>12</v>
      </c>
      <c r="J62" s="12"/>
    </row>
    <row r="63" spans="1:10" ht="60" customHeight="1">
      <c r="A63" s="6" t="s">
        <v>258</v>
      </c>
      <c r="B63" s="6" t="s">
        <v>23</v>
      </c>
      <c r="C63" s="6" t="s">
        <v>60</v>
      </c>
      <c r="D63" s="7" t="s">
        <v>259</v>
      </c>
      <c r="E63" s="8" t="s">
        <v>260</v>
      </c>
      <c r="F63" s="6" t="s">
        <v>261</v>
      </c>
      <c r="G63" s="9">
        <f>IF(A63=1,"_",IF(C63="_","???",C63))</f>
        <v/>
      </c>
      <c r="H63" s="10" t="s">
        <v>12</v>
      </c>
      <c r="I63" s="11" t="s">
        <v>12</v>
      </c>
      <c r="J63" s="12"/>
    </row>
    <row r="64" spans="1:10" ht="60" customHeight="1">
      <c r="A64" s="6" t="s">
        <v>262</v>
      </c>
      <c r="B64" s="6" t="s">
        <v>54</v>
      </c>
      <c r="C64" s="6" t="s">
        <v>24</v>
      </c>
      <c r="D64" s="7" t="s">
        <v>125</v>
      </c>
      <c r="E64" s="8" t="s">
        <v>263</v>
      </c>
      <c r="F64" s="6" t="s">
        <v>264</v>
      </c>
      <c r="G64" s="9">
        <f>IF(A64=1,"_",IF(C64="_","???",C64))</f>
        <v/>
      </c>
      <c r="H64" s="10" t="s">
        <v>12</v>
      </c>
      <c r="I64" s="11" t="s">
        <v>12</v>
      </c>
      <c r="J64" s="12"/>
    </row>
    <row r="65" spans="1:10" ht="60" customHeight="1">
      <c r="A65" s="6" t="s">
        <v>265</v>
      </c>
      <c r="B65" s="6" t="s">
        <v>10</v>
      </c>
      <c r="C65" s="6" t="s">
        <v>12</v>
      </c>
      <c r="D65" s="7" t="s">
        <v>266</v>
      </c>
      <c r="E65" s="8" t="s">
        <v>267</v>
      </c>
      <c r="F65" s="6" t="s">
        <v>268</v>
      </c>
      <c r="G65" s="9">
        <f>IF(A65=1,"_",IF(C65="_","???",C65))</f>
        <v/>
      </c>
      <c r="H65" s="10" t="s">
        <v>12</v>
      </c>
      <c r="I65" s="11" t="s">
        <v>12</v>
      </c>
      <c r="J65" s="12"/>
    </row>
    <row r="66" spans="1:10" ht="60" customHeight="1">
      <c r="A66" s="6" t="s">
        <v>269</v>
      </c>
      <c r="B66" s="6" t="s">
        <v>11</v>
      </c>
      <c r="C66" s="6" t="s">
        <v>12</v>
      </c>
      <c r="D66" s="7" t="s">
        <v>270</v>
      </c>
      <c r="E66" s="8" t="s">
        <v>271</v>
      </c>
      <c r="F66" s="6" t="s">
        <v>272</v>
      </c>
      <c r="G66" s="9">
        <f>IF(A66=1,"_",IF(C66="_","???",C66))</f>
        <v/>
      </c>
      <c r="H66" s="10" t="s">
        <v>12</v>
      </c>
      <c r="I66" s="11" t="s">
        <v>12</v>
      </c>
      <c r="J66" s="12"/>
    </row>
    <row r="67" spans="1:10" ht="60" customHeight="1">
      <c r="A67" s="6" t="s">
        <v>273</v>
      </c>
      <c r="B67" s="6" t="s">
        <v>134</v>
      </c>
      <c r="C67" s="6" t="s">
        <v>135</v>
      </c>
      <c r="D67" s="7" t="s">
        <v>274</v>
      </c>
      <c r="E67" s="8" t="s">
        <v>275</v>
      </c>
      <c r="F67" s="6" t="s">
        <v>276</v>
      </c>
      <c r="G67" s="9">
        <f>IF(A67=1,"_",IF(C67="_","???",C67))</f>
        <v/>
      </c>
      <c r="H67" s="10" t="s">
        <v>12</v>
      </c>
      <c r="I67" s="11" t="s">
        <v>12</v>
      </c>
      <c r="J67" s="12"/>
    </row>
    <row r="68" spans="1:10" ht="60" customHeight="1">
      <c r="A68" s="6" t="s">
        <v>277</v>
      </c>
      <c r="B68" s="6" t="s">
        <v>33</v>
      </c>
      <c r="C68" s="6" t="s">
        <v>12</v>
      </c>
      <c r="D68" s="7" t="s">
        <v>278</v>
      </c>
      <c r="E68" s="8" t="s">
        <v>279</v>
      </c>
      <c r="F68" s="6" t="s">
        <v>280</v>
      </c>
      <c r="G68" s="9">
        <f>IF(A68=1,"_",IF(C68="_","???",C68))</f>
        <v/>
      </c>
      <c r="H68" s="10" t="s">
        <v>12</v>
      </c>
      <c r="I68" s="11" t="s">
        <v>12</v>
      </c>
      <c r="J68" s="12"/>
    </row>
    <row r="69" spans="1:10" ht="60" customHeight="1">
      <c r="A69" s="6" t="s">
        <v>281</v>
      </c>
      <c r="B69" s="6" t="s">
        <v>64</v>
      </c>
      <c r="C69" s="6" t="s">
        <v>12</v>
      </c>
      <c r="D69" s="7" t="s">
        <v>282</v>
      </c>
      <c r="E69" s="8" t="s">
        <v>283</v>
      </c>
      <c r="F69" s="6" t="s">
        <v>284</v>
      </c>
      <c r="G69" s="9">
        <f>IF(A69=1,"_",IF(C69="_","???",C69))</f>
        <v/>
      </c>
      <c r="H69" s="10" t="s">
        <v>12</v>
      </c>
      <c r="I69" s="11" t="s">
        <v>12</v>
      </c>
      <c r="J69" s="12"/>
    </row>
    <row r="70" spans="1:10" ht="60" customHeight="1">
      <c r="A70" s="6" t="s">
        <v>285</v>
      </c>
      <c r="B70" s="6" t="s">
        <v>49</v>
      </c>
      <c r="C70" s="6" t="s">
        <v>286</v>
      </c>
      <c r="D70" s="7" t="s">
        <v>287</v>
      </c>
      <c r="E70" s="8" t="s">
        <v>288</v>
      </c>
      <c r="F70" s="6" t="s">
        <v>289</v>
      </c>
      <c r="G70" s="9">
        <f>IF(A70=1,"_",IF(C70="_","???",C70))</f>
        <v/>
      </c>
      <c r="H70" s="10" t="s">
        <v>12</v>
      </c>
      <c r="I70" s="11" t="s">
        <v>12</v>
      </c>
      <c r="J70" s="12"/>
    </row>
    <row r="71" spans="1:10" ht="60" customHeight="1">
      <c r="A71" s="6" t="s">
        <v>290</v>
      </c>
      <c r="B71" s="6" t="s">
        <v>139</v>
      </c>
      <c r="C71" s="6" t="s">
        <v>12</v>
      </c>
      <c r="D71" s="7" t="s">
        <v>291</v>
      </c>
      <c r="E71" s="8" t="s">
        <v>292</v>
      </c>
      <c r="F71" s="6" t="s">
        <v>293</v>
      </c>
      <c r="G71" s="9">
        <f>IF(A71=1,"_",IF(C71="_","???",C71))</f>
        <v/>
      </c>
      <c r="H71" s="10" t="s">
        <v>12</v>
      </c>
      <c r="I71" s="11" t="s">
        <v>12</v>
      </c>
      <c r="J71" s="12"/>
    </row>
    <row r="72" spans="1:10" ht="60" customHeight="1">
      <c r="A72" s="6" t="s">
        <v>294</v>
      </c>
      <c r="B72" s="6" t="s">
        <v>11</v>
      </c>
      <c r="C72" s="6" t="s">
        <v>12</v>
      </c>
      <c r="D72" s="7" t="s">
        <v>295</v>
      </c>
      <c r="E72" s="8" t="s">
        <v>296</v>
      </c>
      <c r="F72" s="6" t="s">
        <v>297</v>
      </c>
      <c r="G72" s="9">
        <f>IF(A72=1,"_",IF(C72="_","???",C72))</f>
        <v/>
      </c>
      <c r="H72" s="10" t="s">
        <v>12</v>
      </c>
      <c r="I72" s="11" t="s">
        <v>12</v>
      </c>
      <c r="J72" s="12"/>
    </row>
    <row r="73" spans="1:10" ht="60" customHeight="1">
      <c r="A73" s="6" t="s">
        <v>298</v>
      </c>
      <c r="B73" s="6" t="s">
        <v>11</v>
      </c>
      <c r="C73" s="6" t="s">
        <v>12</v>
      </c>
      <c r="D73" s="7" t="s">
        <v>299</v>
      </c>
      <c r="E73" s="8" t="s">
        <v>300</v>
      </c>
      <c r="F73" s="6" t="s">
        <v>301</v>
      </c>
      <c r="G73" s="9">
        <f>IF(A73=1,"_",IF(C73="_","???",C73))</f>
        <v/>
      </c>
      <c r="H73" s="10" t="s">
        <v>12</v>
      </c>
      <c r="I73" s="11" t="s">
        <v>12</v>
      </c>
      <c r="J73" s="12"/>
    </row>
    <row r="74" spans="1:10" ht="60" customHeight="1">
      <c r="A74" s="6" t="s">
        <v>302</v>
      </c>
      <c r="B74" s="6" t="s">
        <v>19</v>
      </c>
      <c r="C74" s="6" t="s">
        <v>34</v>
      </c>
      <c r="D74" s="7" t="s">
        <v>303</v>
      </c>
      <c r="E74" s="8" t="s">
        <v>304</v>
      </c>
      <c r="F74" s="6" t="s">
        <v>305</v>
      </c>
      <c r="G74" s="9">
        <f>IF(A74=1,"_",IF(C74="_","???",C74))</f>
        <v/>
      </c>
      <c r="H74" s="10" t="s">
        <v>12</v>
      </c>
      <c r="I74" s="11" t="s">
        <v>12</v>
      </c>
      <c r="J74" s="12"/>
    </row>
    <row r="75" spans="1:10" ht="60" customHeight="1">
      <c r="A75" s="6" t="s">
        <v>306</v>
      </c>
      <c r="B75" s="6" t="s">
        <v>76</v>
      </c>
      <c r="C75" s="6" t="s">
        <v>307</v>
      </c>
      <c r="D75" s="7" t="s">
        <v>218</v>
      </c>
      <c r="E75" s="8" t="s">
        <v>308</v>
      </c>
      <c r="F75" s="6" t="s">
        <v>309</v>
      </c>
      <c r="G75" s="9">
        <f>IF(A75=1,"_",IF(C75="_","???",C75))</f>
        <v/>
      </c>
      <c r="H75" s="10" t="s">
        <v>12</v>
      </c>
      <c r="I75" s="11" t="s">
        <v>12</v>
      </c>
      <c r="J75" s="12"/>
    </row>
    <row r="76" spans="1:10" ht="60" customHeight="1">
      <c r="A76" s="6" t="s">
        <v>310</v>
      </c>
      <c r="B76" s="6" t="s">
        <v>10</v>
      </c>
      <c r="C76" s="6" t="s">
        <v>12</v>
      </c>
      <c r="D76" s="7" t="s">
        <v>136</v>
      </c>
      <c r="E76" s="8" t="s">
        <v>311</v>
      </c>
      <c r="F76" s="6" t="s">
        <v>312</v>
      </c>
      <c r="G76" s="9">
        <f>IF(A76=1,"_",IF(C76="_","???",C76))</f>
        <v/>
      </c>
      <c r="H76" s="10" t="s">
        <v>12</v>
      </c>
      <c r="I76" s="11" t="s">
        <v>12</v>
      </c>
      <c r="J76" s="12"/>
    </row>
    <row r="77" spans="1:10" ht="60" customHeight="1">
      <c r="A77" s="6" t="s">
        <v>313</v>
      </c>
      <c r="B77" s="6" t="s">
        <v>10</v>
      </c>
      <c r="C77" s="6" t="s">
        <v>12</v>
      </c>
      <c r="D77" s="7" t="s">
        <v>314</v>
      </c>
      <c r="E77" s="8" t="s">
        <v>315</v>
      </c>
      <c r="F77" s="6" t="s">
        <v>316</v>
      </c>
      <c r="G77" s="9">
        <f>IF(A77=1,"_",IF(C77="_","???",C77))</f>
        <v/>
      </c>
      <c r="H77" s="10" t="s">
        <v>12</v>
      </c>
      <c r="I77" s="11" t="s">
        <v>12</v>
      </c>
      <c r="J77" s="12"/>
    </row>
    <row r="78" spans="1:10" ht="60" customHeight="1">
      <c r="A78" s="6" t="s">
        <v>317</v>
      </c>
      <c r="B78" s="6" t="s">
        <v>49</v>
      </c>
      <c r="C78" s="6" t="s">
        <v>34</v>
      </c>
      <c r="D78" s="7" t="s">
        <v>318</v>
      </c>
      <c r="E78" s="8" t="s">
        <v>319</v>
      </c>
      <c r="F78" s="6" t="s">
        <v>320</v>
      </c>
      <c r="G78" s="9">
        <f>IF(A78=1,"_",IF(C78="_","???",C78))</f>
        <v/>
      </c>
      <c r="H78" s="10" t="s">
        <v>12</v>
      </c>
      <c r="I78" s="11" t="s">
        <v>12</v>
      </c>
      <c r="J78" s="12"/>
    </row>
    <row r="79" spans="1:10" ht="60" customHeight="1">
      <c r="A79" s="6" t="s">
        <v>321</v>
      </c>
      <c r="B79" s="6" t="s">
        <v>10</v>
      </c>
      <c r="C79" s="6" t="s">
        <v>12</v>
      </c>
      <c r="D79" s="7" t="s">
        <v>100</v>
      </c>
      <c r="E79" s="8" t="s">
        <v>322</v>
      </c>
      <c r="F79" s="6" t="s">
        <v>323</v>
      </c>
      <c r="G79" s="9">
        <f>IF(A79=1,"_",IF(C79="_","???",C79))</f>
        <v/>
      </c>
      <c r="H79" s="10" t="s">
        <v>12</v>
      </c>
      <c r="I79" s="11" t="s">
        <v>12</v>
      </c>
      <c r="J79" s="12"/>
    </row>
    <row r="80" spans="1:10" ht="60" customHeight="1">
      <c r="A80" s="6" t="s">
        <v>324</v>
      </c>
      <c r="B80" s="6" t="s">
        <v>10</v>
      </c>
      <c r="C80" s="6" t="s">
        <v>12</v>
      </c>
      <c r="D80" s="7" t="s">
        <v>100</v>
      </c>
      <c r="E80" s="8" t="s">
        <v>325</v>
      </c>
      <c r="F80" s="6" t="s">
        <v>326</v>
      </c>
      <c r="G80" s="9">
        <f>IF(A80=1,"_",IF(C80="_","???",C80))</f>
        <v/>
      </c>
      <c r="H80" s="10" t="s">
        <v>12</v>
      </c>
      <c r="I80" s="11" t="s">
        <v>12</v>
      </c>
      <c r="J80" s="12"/>
    </row>
    <row r="81" spans="1:10" ht="60" customHeight="1">
      <c r="A81" s="6" t="s">
        <v>327</v>
      </c>
      <c r="B81" s="6" t="s">
        <v>23</v>
      </c>
      <c r="C81" s="6" t="s">
        <v>307</v>
      </c>
      <c r="D81" s="7" t="s">
        <v>218</v>
      </c>
      <c r="E81" s="8" t="s">
        <v>328</v>
      </c>
      <c r="F81" s="6" t="s">
        <v>329</v>
      </c>
      <c r="G81" s="9">
        <f>IF(A81=1,"_",IF(C81="_","???",C81))</f>
        <v/>
      </c>
      <c r="H81" s="10" t="s">
        <v>12</v>
      </c>
      <c r="I81" s="11" t="s">
        <v>12</v>
      </c>
      <c r="J81" s="12"/>
    </row>
    <row r="82" spans="1:10" ht="60" customHeight="1">
      <c r="A82" s="6" t="s">
        <v>330</v>
      </c>
      <c r="B82" s="6" t="s">
        <v>28</v>
      </c>
      <c r="C82" s="6" t="s">
        <v>331</v>
      </c>
      <c r="D82" s="7" t="s">
        <v>332</v>
      </c>
      <c r="E82" s="8" t="s">
        <v>333</v>
      </c>
      <c r="F82" s="6" t="s">
        <v>334</v>
      </c>
      <c r="G82" s="9">
        <f>IF(A82=1,"_",IF(C82="_","???",C82))</f>
        <v/>
      </c>
      <c r="H82" s="10" t="s">
        <v>12</v>
      </c>
      <c r="I82" s="11" t="s">
        <v>12</v>
      </c>
      <c r="J82" s="12"/>
    </row>
    <row r="83" spans="1:10" ht="60" customHeight="1">
      <c r="A83" s="6" t="s">
        <v>335</v>
      </c>
      <c r="B83" s="6" t="s">
        <v>10</v>
      </c>
      <c r="C83" s="6" t="s">
        <v>12</v>
      </c>
      <c r="D83" s="7" t="s">
        <v>336</v>
      </c>
      <c r="E83" s="8" t="s">
        <v>337</v>
      </c>
      <c r="F83" s="6" t="s">
        <v>338</v>
      </c>
      <c r="G83" s="9">
        <f>IF(A83=1,"_",IF(C83="_","???",C83))</f>
        <v/>
      </c>
      <c r="H83" s="10" t="s">
        <v>12</v>
      </c>
      <c r="I83" s="11" t="s">
        <v>12</v>
      </c>
      <c r="J83" s="12"/>
    </row>
    <row r="84" spans="1:10" ht="60" customHeight="1">
      <c r="A84" s="6" t="s">
        <v>339</v>
      </c>
      <c r="B84" s="6" t="s">
        <v>19</v>
      </c>
      <c r="C84" s="6" t="s">
        <v>60</v>
      </c>
      <c r="D84" s="7" t="s">
        <v>95</v>
      </c>
      <c r="E84" s="8" t="s">
        <v>340</v>
      </c>
      <c r="F84" s="6" t="s">
        <v>341</v>
      </c>
      <c r="G84" s="9">
        <f>IF(A84=1,"_",IF(C84="_","???",C84))</f>
        <v/>
      </c>
      <c r="H84" s="10" t="s">
        <v>12</v>
      </c>
      <c r="I84" s="11" t="s">
        <v>12</v>
      </c>
      <c r="J84" s="12"/>
    </row>
    <row r="85" spans="1:10" ht="60" customHeight="1">
      <c r="A85" s="6" t="s">
        <v>342</v>
      </c>
      <c r="B85" s="6" t="s">
        <v>11</v>
      </c>
      <c r="C85" s="6" t="s">
        <v>116</v>
      </c>
      <c r="D85" s="7" t="s">
        <v>46</v>
      </c>
      <c r="E85" s="8" t="s">
        <v>343</v>
      </c>
      <c r="F85" s="6" t="s">
        <v>344</v>
      </c>
      <c r="G85" s="9">
        <f>IF(A85=1,"_",IF(C85="_","???",C85))</f>
        <v/>
      </c>
      <c r="H85" s="10" t="s">
        <v>12</v>
      </c>
      <c r="I85" s="11" t="s">
        <v>12</v>
      </c>
      <c r="J85" s="12"/>
    </row>
    <row r="86" spans="1:10" ht="60" customHeight="1">
      <c r="A86" s="6" t="s">
        <v>345</v>
      </c>
      <c r="B86" s="6" t="s">
        <v>33</v>
      </c>
      <c r="C86" s="6" t="s">
        <v>24</v>
      </c>
      <c r="D86" s="7" t="s">
        <v>83</v>
      </c>
      <c r="E86" s="8" t="s">
        <v>346</v>
      </c>
      <c r="F86" s="6" t="s">
        <v>347</v>
      </c>
      <c r="G86" s="9">
        <f>IF(A86=1,"_",IF(C86="_","???",C86))</f>
        <v/>
      </c>
      <c r="H86" s="10" t="s">
        <v>12</v>
      </c>
      <c r="I86" s="11" t="s">
        <v>12</v>
      </c>
      <c r="J86" s="12"/>
    </row>
    <row r="87" spans="1:10" ht="60" customHeight="1">
      <c r="A87" s="6" t="s">
        <v>348</v>
      </c>
      <c r="B87" s="6" t="s">
        <v>11</v>
      </c>
      <c r="C87" s="6" t="s">
        <v>12</v>
      </c>
      <c r="D87" s="7" t="s">
        <v>349</v>
      </c>
      <c r="E87" s="8" t="s">
        <v>350</v>
      </c>
      <c r="F87" s="6" t="s">
        <v>351</v>
      </c>
      <c r="G87" s="9">
        <f>IF(A87=1,"_",IF(C87="_","???",C87))</f>
        <v/>
      </c>
      <c r="H87" s="10" t="s">
        <v>12</v>
      </c>
      <c r="I87" s="11" t="s">
        <v>12</v>
      </c>
      <c r="J87" s="12"/>
    </row>
    <row r="88" spans="1:10" ht="60" customHeight="1">
      <c r="A88" s="6" t="s">
        <v>352</v>
      </c>
      <c r="B88" s="6" t="s">
        <v>82</v>
      </c>
      <c r="C88" s="6" t="s">
        <v>12</v>
      </c>
      <c r="D88" s="7" t="s">
        <v>95</v>
      </c>
      <c r="E88" s="8" t="s">
        <v>353</v>
      </c>
      <c r="F88" s="6" t="s">
        <v>354</v>
      </c>
      <c r="G88" s="9">
        <f>IF(A88=1,"_",IF(C88="_","???",C88))</f>
        <v/>
      </c>
      <c r="H88" s="10" t="s">
        <v>12</v>
      </c>
      <c r="I88" s="11" t="s">
        <v>12</v>
      </c>
      <c r="J88" s="12"/>
    </row>
    <row r="89" spans="1:10" ht="60" customHeight="1">
      <c r="A89" s="6" t="s">
        <v>355</v>
      </c>
      <c r="B89" s="6" t="s">
        <v>33</v>
      </c>
      <c r="C89" s="6" t="s">
        <v>12</v>
      </c>
      <c r="D89" s="7" t="s">
        <v>95</v>
      </c>
      <c r="E89" s="8" t="s">
        <v>356</v>
      </c>
      <c r="F89" s="6" t="s">
        <v>357</v>
      </c>
      <c r="G89" s="9">
        <f>IF(A89=1,"_",IF(C89="_","???",C89))</f>
        <v/>
      </c>
      <c r="H89" s="10" t="s">
        <v>12</v>
      </c>
      <c r="I89" s="11" t="s">
        <v>12</v>
      </c>
      <c r="J89" s="12"/>
    </row>
    <row r="90" spans="1:10" ht="60" customHeight="1">
      <c r="A90" s="6" t="s">
        <v>358</v>
      </c>
      <c r="B90" s="6" t="s">
        <v>19</v>
      </c>
      <c r="C90" s="6" t="s">
        <v>359</v>
      </c>
      <c r="D90" s="7" t="s">
        <v>218</v>
      </c>
      <c r="E90" s="8" t="s">
        <v>360</v>
      </c>
      <c r="F90" s="6" t="s">
        <v>361</v>
      </c>
      <c r="G90" s="9">
        <f>IF(A90=1,"_",IF(C90="_","???",C90))</f>
        <v/>
      </c>
      <c r="H90" s="10" t="s">
        <v>12</v>
      </c>
      <c r="I90" s="11" t="s">
        <v>12</v>
      </c>
      <c r="J90" s="12"/>
    </row>
    <row r="91" spans="1:10" ht="60" customHeight="1">
      <c r="A91" s="6" t="s">
        <v>362</v>
      </c>
      <c r="B91" s="6" t="s">
        <v>10</v>
      </c>
      <c r="C91" s="6" t="s">
        <v>359</v>
      </c>
      <c r="D91" s="7" t="s">
        <v>218</v>
      </c>
      <c r="E91" s="8" t="s">
        <v>363</v>
      </c>
      <c r="F91" s="6" t="s">
        <v>364</v>
      </c>
      <c r="G91" s="9">
        <f>IF(A91=1,"_",IF(C91="_","???",C91))</f>
        <v/>
      </c>
      <c r="H91" s="10" t="s">
        <v>12</v>
      </c>
      <c r="I91" s="11" t="s">
        <v>12</v>
      </c>
      <c r="J91" s="12"/>
    </row>
    <row r="92" spans="1:10" ht="60" customHeight="1">
      <c r="A92" s="6" t="s">
        <v>365</v>
      </c>
      <c r="B92" s="6" t="s">
        <v>29</v>
      </c>
      <c r="C92" s="6" t="s">
        <v>34</v>
      </c>
      <c r="D92" s="7" t="s">
        <v>366</v>
      </c>
      <c r="E92" s="8" t="s">
        <v>367</v>
      </c>
      <c r="F92" s="6" t="s">
        <v>368</v>
      </c>
      <c r="G92" s="9">
        <f>IF(A92=1,"_",IF(C92="_","???",C92))</f>
        <v/>
      </c>
      <c r="H92" s="10" t="s">
        <v>12</v>
      </c>
      <c r="I92" s="11" t="s">
        <v>12</v>
      </c>
      <c r="J92" s="12"/>
    </row>
    <row r="93" spans="1:10" ht="60" customHeight="1">
      <c r="A93" s="6" t="s">
        <v>369</v>
      </c>
      <c r="B93" s="6" t="s">
        <v>72</v>
      </c>
      <c r="C93" s="6" t="s">
        <v>12</v>
      </c>
      <c r="D93" s="7" t="s">
        <v>370</v>
      </c>
      <c r="E93" s="8" t="s">
        <v>371</v>
      </c>
      <c r="F93" s="6" t="s">
        <v>372</v>
      </c>
      <c r="G93" s="9">
        <f>IF(A93=1,"_",IF(C93="_","???",C93))</f>
        <v/>
      </c>
      <c r="H93" s="10" t="s">
        <v>12</v>
      </c>
      <c r="I93" s="11" t="s">
        <v>12</v>
      </c>
      <c r="J93" s="12"/>
    </row>
    <row r="94" spans="1:10" ht="60" customHeight="1">
      <c r="A94" s="6" t="s">
        <v>373</v>
      </c>
      <c r="B94" s="6" t="s">
        <v>76</v>
      </c>
      <c r="C94" s="6" t="s">
        <v>12</v>
      </c>
      <c r="D94" s="7" t="s">
        <v>69</v>
      </c>
      <c r="E94" s="8" t="s">
        <v>374</v>
      </c>
      <c r="F94" s="6" t="s">
        <v>375</v>
      </c>
      <c r="G94" s="9">
        <f>IF(A94=1,"_",IF(C94="_","???",C94))</f>
        <v/>
      </c>
      <c r="H94" s="10" t="s">
        <v>12</v>
      </c>
      <c r="I94" s="11" t="s">
        <v>12</v>
      </c>
      <c r="J94" s="12"/>
    </row>
    <row r="95" spans="1:10" ht="60" customHeight="1">
      <c r="A95" s="6" t="s">
        <v>376</v>
      </c>
      <c r="B95" s="6" t="s">
        <v>49</v>
      </c>
      <c r="C95" s="6" t="s">
        <v>377</v>
      </c>
      <c r="D95" s="7" t="s">
        <v>378</v>
      </c>
      <c r="E95" s="8" t="s">
        <v>379</v>
      </c>
      <c r="F95" s="6" t="s">
        <v>380</v>
      </c>
      <c r="G95" s="9">
        <f>IF(A95=1,"_",IF(C95="_","???",C95))</f>
        <v/>
      </c>
      <c r="H95" s="10" t="s">
        <v>12</v>
      </c>
      <c r="I95" s="11" t="s">
        <v>12</v>
      </c>
      <c r="J95" s="12"/>
    </row>
    <row r="96" spans="1:10" ht="60" customHeight="1">
      <c r="A96" s="6" t="s">
        <v>381</v>
      </c>
      <c r="B96" s="6" t="s">
        <v>23</v>
      </c>
      <c r="C96" s="6" t="s">
        <v>140</v>
      </c>
      <c r="D96" s="7" t="s">
        <v>382</v>
      </c>
      <c r="E96" s="8" t="s">
        <v>383</v>
      </c>
      <c r="F96" s="6" t="s">
        <v>384</v>
      </c>
      <c r="G96" s="9">
        <f>IF(A96=1,"_",IF(C96="_","???",C96))</f>
        <v/>
      </c>
      <c r="H96" s="10" t="s">
        <v>12</v>
      </c>
      <c r="I96" s="11" t="s">
        <v>12</v>
      </c>
      <c r="J96" s="12"/>
    </row>
    <row r="97" spans="1:10" ht="60" customHeight="1">
      <c r="A97" s="6" t="s">
        <v>385</v>
      </c>
      <c r="B97" s="6" t="s">
        <v>76</v>
      </c>
      <c r="C97" s="6" t="s">
        <v>24</v>
      </c>
      <c r="D97" s="7" t="s">
        <v>386</v>
      </c>
      <c r="E97" s="8" t="s">
        <v>387</v>
      </c>
      <c r="F97" s="6" t="s">
        <v>388</v>
      </c>
      <c r="G97" s="9">
        <f>IF(A97=1,"_",IF(C97="_","???",C97))</f>
        <v/>
      </c>
      <c r="H97" s="10" t="s">
        <v>12</v>
      </c>
      <c r="I97" s="11" t="s">
        <v>12</v>
      </c>
      <c r="J97" s="12"/>
    </row>
    <row r="98" spans="1:10" ht="60" customHeight="1">
      <c r="A98" s="6" t="s">
        <v>389</v>
      </c>
      <c r="B98" s="6" t="s">
        <v>11</v>
      </c>
      <c r="C98" s="6" t="s">
        <v>24</v>
      </c>
      <c r="D98" s="7" t="s">
        <v>390</v>
      </c>
      <c r="E98" s="8" t="s">
        <v>391</v>
      </c>
      <c r="F98" s="6" t="s">
        <v>392</v>
      </c>
      <c r="G98" s="9">
        <f>IF(A98=1,"_",IF(C98="_","???",C98))</f>
        <v/>
      </c>
      <c r="H98" s="10" t="s">
        <v>12</v>
      </c>
      <c r="I98" s="11" t="s">
        <v>12</v>
      </c>
      <c r="J98" s="12"/>
    </row>
    <row r="99" spans="1:10" ht="60" customHeight="1">
      <c r="A99" s="6" t="s">
        <v>393</v>
      </c>
      <c r="B99" s="6" t="s">
        <v>10</v>
      </c>
      <c r="C99" s="6" t="s">
        <v>359</v>
      </c>
      <c r="D99" s="7" t="s">
        <v>394</v>
      </c>
      <c r="E99" s="8" t="s">
        <v>395</v>
      </c>
      <c r="F99" s="6" t="s">
        <v>396</v>
      </c>
      <c r="G99" s="9">
        <f>IF(A99=1,"_",IF(C99="_","???",C99))</f>
        <v/>
      </c>
      <c r="H99" s="10" t="s">
        <v>12</v>
      </c>
      <c r="I99" s="11" t="s">
        <v>12</v>
      </c>
      <c r="J99" s="12"/>
    </row>
    <row r="100" spans="1:10" ht="60" customHeight="1">
      <c r="A100" s="6" t="s">
        <v>397</v>
      </c>
      <c r="B100" s="6" t="s">
        <v>23</v>
      </c>
      <c r="C100" s="6" t="s">
        <v>398</v>
      </c>
      <c r="D100" s="7" t="s">
        <v>399</v>
      </c>
      <c r="E100" s="8" t="s">
        <v>400</v>
      </c>
      <c r="F100" s="6" t="s">
        <v>401</v>
      </c>
      <c r="G100" s="9">
        <f>IF(A100=1,"_",IF(C100="_","???",C100))</f>
        <v/>
      </c>
      <c r="H100" s="10" t="s">
        <v>12</v>
      </c>
      <c r="I100" s="11" t="s">
        <v>12</v>
      </c>
      <c r="J100" s="12"/>
    </row>
    <row r="101" spans="1:10" ht="60" customHeight="1">
      <c r="A101" s="6" t="s">
        <v>402</v>
      </c>
      <c r="B101" s="6" t="s">
        <v>38</v>
      </c>
      <c r="C101" s="6" t="s">
        <v>403</v>
      </c>
      <c r="D101" s="7" t="s">
        <v>100</v>
      </c>
      <c r="E101" s="8" t="s">
        <v>404</v>
      </c>
      <c r="F101" s="6" t="s">
        <v>405</v>
      </c>
      <c r="G101" s="9">
        <f>IF(A101=1,"_",IF(C101="_","???",C101))</f>
        <v/>
      </c>
      <c r="H101" s="10" t="s">
        <v>12</v>
      </c>
      <c r="I101" s="11" t="s">
        <v>12</v>
      </c>
      <c r="J101" s="12"/>
    </row>
    <row r="102" spans="1:10" ht="60" customHeight="1">
      <c r="A102" s="6" t="s">
        <v>406</v>
      </c>
      <c r="B102" s="6" t="s">
        <v>10</v>
      </c>
      <c r="C102" s="6" t="s">
        <v>407</v>
      </c>
      <c r="D102" s="7" t="s">
        <v>251</v>
      </c>
      <c r="E102" s="8" t="s">
        <v>408</v>
      </c>
      <c r="F102" s="6" t="s">
        <v>409</v>
      </c>
      <c r="G102" s="9">
        <f>IF(A102=1,"_",IF(C102="_","???",C102))</f>
        <v/>
      </c>
      <c r="H102" s="10" t="s">
        <v>12</v>
      </c>
      <c r="I102" s="11" t="s">
        <v>12</v>
      </c>
      <c r="J102" s="12"/>
    </row>
    <row r="103" spans="1:10" ht="60" customHeight="1">
      <c r="A103" s="6" t="s">
        <v>410</v>
      </c>
      <c r="B103" s="6" t="s">
        <v>10</v>
      </c>
      <c r="C103" s="6" t="s">
        <v>12</v>
      </c>
      <c r="D103" s="7" t="s">
        <v>100</v>
      </c>
      <c r="E103" s="8" t="s">
        <v>411</v>
      </c>
      <c r="F103" s="6" t="s">
        <v>412</v>
      </c>
      <c r="G103" s="9">
        <f>IF(A103=1,"_",IF(C103="_","???",C103))</f>
        <v/>
      </c>
      <c r="H103" s="10" t="s">
        <v>12</v>
      </c>
      <c r="I103" s="11" t="s">
        <v>12</v>
      </c>
      <c r="J103" s="12"/>
    </row>
    <row r="104" spans="1:10" ht="60" customHeight="1">
      <c r="A104" s="6" t="s">
        <v>413</v>
      </c>
      <c r="B104" s="6" t="s">
        <v>11</v>
      </c>
      <c r="C104" s="6" t="s">
        <v>12</v>
      </c>
      <c r="D104" s="7" t="s">
        <v>46</v>
      </c>
      <c r="E104" s="8" t="s">
        <v>414</v>
      </c>
      <c r="F104" s="6" t="s">
        <v>415</v>
      </c>
      <c r="G104" s="9">
        <f>IF(A104=1,"_",IF(C104="_","???",C104))</f>
        <v/>
      </c>
      <c r="H104" s="10" t="s">
        <v>12</v>
      </c>
      <c r="I104" s="11" t="s">
        <v>12</v>
      </c>
      <c r="J104" s="12"/>
    </row>
    <row r="105" spans="1:10" ht="60" customHeight="1">
      <c r="A105" s="6" t="s">
        <v>416</v>
      </c>
      <c r="B105" s="6" t="s">
        <v>19</v>
      </c>
      <c r="C105" s="6" t="s">
        <v>34</v>
      </c>
      <c r="D105" s="7" t="s">
        <v>417</v>
      </c>
      <c r="E105" s="8" t="s">
        <v>418</v>
      </c>
      <c r="F105" s="6" t="s">
        <v>419</v>
      </c>
      <c r="G105" s="9">
        <f>IF(A105=1,"_",IF(C105="_","???",C105))</f>
        <v/>
      </c>
      <c r="H105" s="10" t="s">
        <v>12</v>
      </c>
      <c r="I105" s="11" t="s">
        <v>12</v>
      </c>
      <c r="J105" s="12"/>
    </row>
    <row r="106" spans="1:10" ht="60" customHeight="1">
      <c r="A106" s="6" t="s">
        <v>420</v>
      </c>
      <c r="B106" s="6" t="s">
        <v>28</v>
      </c>
      <c r="C106" s="6" t="s">
        <v>12</v>
      </c>
      <c r="D106" s="7" t="s">
        <v>421</v>
      </c>
      <c r="E106" s="8" t="s">
        <v>422</v>
      </c>
      <c r="F106" s="6" t="s">
        <v>423</v>
      </c>
      <c r="G106" s="9">
        <f>IF(A106=1,"_",IF(C106="_","???",C106))</f>
        <v/>
      </c>
      <c r="H106" s="10" t="s">
        <v>12</v>
      </c>
      <c r="I106" s="11" t="s">
        <v>12</v>
      </c>
      <c r="J106" s="12"/>
    </row>
    <row r="107" spans="1:10" ht="60" customHeight="1">
      <c r="A107" s="6" t="s">
        <v>424</v>
      </c>
      <c r="B107" s="6" t="s">
        <v>11</v>
      </c>
      <c r="C107" s="6" t="s">
        <v>12</v>
      </c>
      <c r="D107" s="7" t="s">
        <v>425</v>
      </c>
      <c r="E107" s="8" t="s">
        <v>426</v>
      </c>
      <c r="F107" s="6" t="s">
        <v>427</v>
      </c>
      <c r="G107" s="9">
        <f>IF(A107=1,"_",IF(C107="_","???",C107))</f>
        <v/>
      </c>
      <c r="H107" s="10" t="s">
        <v>12</v>
      </c>
      <c r="I107" s="11" t="s">
        <v>12</v>
      </c>
      <c r="J107" s="12"/>
    </row>
    <row r="108" spans="1:10" ht="60" customHeight="1">
      <c r="A108" s="6" t="s">
        <v>428</v>
      </c>
      <c r="B108" s="6" t="s">
        <v>11</v>
      </c>
      <c r="C108" s="6" t="s">
        <v>24</v>
      </c>
      <c r="D108" s="7" t="s">
        <v>429</v>
      </c>
      <c r="E108" s="8" t="s">
        <v>430</v>
      </c>
      <c r="F108" s="6" t="s">
        <v>431</v>
      </c>
      <c r="G108" s="9">
        <f>IF(A108=1,"_",IF(C108="_","???",C108))</f>
        <v/>
      </c>
      <c r="H108" s="10" t="s">
        <v>12</v>
      </c>
      <c r="I108" s="11" t="s">
        <v>12</v>
      </c>
      <c r="J108" s="12"/>
    </row>
    <row r="109" spans="1:10" ht="60" customHeight="1">
      <c r="A109" s="6" t="s">
        <v>432</v>
      </c>
      <c r="B109" s="6" t="s">
        <v>10</v>
      </c>
      <c r="C109" s="6" t="s">
        <v>12</v>
      </c>
      <c r="D109" s="7" t="s">
        <v>433</v>
      </c>
      <c r="E109" s="8" t="s">
        <v>434</v>
      </c>
      <c r="F109" s="6" t="s">
        <v>435</v>
      </c>
      <c r="G109" s="9">
        <f>IF(A109=1,"_",IF(C109="_","???",C109))</f>
        <v/>
      </c>
      <c r="H109" s="10" t="s">
        <v>12</v>
      </c>
      <c r="I109" s="11" t="s">
        <v>12</v>
      </c>
      <c r="J109" s="12"/>
    </row>
    <row r="110" spans="1:10" ht="60" customHeight="1">
      <c r="A110" s="6" t="s">
        <v>436</v>
      </c>
      <c r="B110" s="6" t="s">
        <v>11</v>
      </c>
      <c r="C110" s="6" t="s">
        <v>12</v>
      </c>
      <c r="D110" s="7" t="s">
        <v>437</v>
      </c>
      <c r="E110" s="8" t="s">
        <v>438</v>
      </c>
      <c r="F110" s="6" t="s">
        <v>439</v>
      </c>
      <c r="G110" s="9">
        <f>IF(A110=1,"_",IF(C110="_","???",C110))</f>
        <v/>
      </c>
      <c r="H110" s="10" t="s">
        <v>12</v>
      </c>
      <c r="I110" s="11" t="s">
        <v>12</v>
      </c>
      <c r="J11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83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440</v>
      </c>
      <c r="B1" s="13" t="s">
        <v>441</v>
      </c>
      <c r="C1" s="13" t="s">
        <v>442</v>
      </c>
      <c r="D1" s="13" t="s">
        <v>443</v>
      </c>
      <c r="E1" s="14" t="s">
        <v>444</v>
      </c>
      <c r="F1" s="15" t="s">
        <v>445</v>
      </c>
      <c r="G1" s="16" t="s">
        <v>446</v>
      </c>
      <c r="H1" s="17" t="s">
        <v>447</v>
      </c>
      <c r="I1" s="18" t="s">
        <v>448</v>
      </c>
      <c r="J1" s="18" t="s">
        <v>449</v>
      </c>
      <c r="K1" s="18" t="s">
        <v>450</v>
      </c>
      <c r="L1" s="19" t="s">
        <v>9</v>
      </c>
    </row>
    <row r="2" spans="1:12">
      <c r="A2" s="20" t="s">
        <v>451</v>
      </c>
    </row>
    <row r="3" spans="1:12">
      <c r="A3" s="20" t="s">
        <v>452</v>
      </c>
      <c r="B3" s="21" t="s">
        <v>453</v>
      </c>
      <c r="C3" s="21" t="s">
        <v>454</v>
      </c>
      <c r="D3" s="21" t="s">
        <v>455</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456</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457</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458</v>
      </c>
      <c r="B6" s="21" t="s">
        <v>453</v>
      </c>
      <c r="C6" s="21" t="s">
        <v>459</v>
      </c>
      <c r="D6" s="21" t="s">
        <v>455</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460</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461</v>
      </c>
      <c r="B8" s="21" t="s">
        <v>462</v>
      </c>
      <c r="C8" s="21" t="s">
        <v>463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464</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460</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465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466</v>
      </c>
      <c r="B12" s="21" t="s">
        <v>467</v>
      </c>
      <c r="C12" s="21" t="s">
        <v>468</v>
      </c>
      <c r="D12" s="21" t="s">
        <v>455</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469</v>
      </c>
      <c r="B13" s="21" t="s">
        <v>470</v>
      </c>
      <c r="C13" s="21" t="s">
        <v>459</v>
      </c>
      <c r="D13" s="21" t="s">
        <v>455</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471</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472</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473</v>
      </c>
      <c r="B16" s="21" t="s">
        <v>467</v>
      </c>
      <c r="C16" s="21" t="s">
        <v>474</v>
      </c>
      <c r="D16" s="21" t="s">
        <v>455</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475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row>
    <row r="19" spans="1:12">
      <c r="A19" s="20" t="s">
        <v>476</v>
      </c>
    </row>
    <row r="20" spans="1:12">
      <c r="A20" s="20" t="s">
        <v>477</v>
      </c>
      <c r="B20" s="21" t="s">
        <v>478</v>
      </c>
      <c r="C20" s="21" t="s">
        <v>454</v>
      </c>
      <c r="D20" s="21" t="s">
        <v>455</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479</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480</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480</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472</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461</v>
      </c>
      <c r="B26" s="21" t="s">
        <v>462</v>
      </c>
      <c r="C26" s="21" t="s">
        <v>459</v>
      </c>
      <c r="D26" s="21" t="s">
        <v>455</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460</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481</v>
      </c>
      <c r="B28" s="21" t="s">
        <v>470</v>
      </c>
      <c r="C28" s="21" t="s">
        <v>463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482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483</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457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484</v>
      </c>
      <c r="B32" s="21" t="s">
        <v>470</v>
      </c>
      <c r="C32" s="21" t="s">
        <v>485</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486</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487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488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489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460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490</v>
      </c>
      <c r="B38" s="21" t="s">
        <v>467</v>
      </c>
      <c r="C38" s="21" t="s">
        <v>459</v>
      </c>
      <c r="D38" s="21" t="s">
        <v>455</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491</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492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493</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494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495</v>
      </c>
      <c r="B43" s="21" t="s">
        <v>496</v>
      </c>
      <c r="C43" s="21" t="s">
        <v>463</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475</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row>
    <row r="46" spans="1:12">
      <c r="A46" s="20" t="s">
        <v>497</v>
      </c>
    </row>
    <row r="47" spans="1:12">
      <c r="A47" s="20" t="s">
        <v>498</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499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500</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501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502</v>
      </c>
      <c r="B51" s="21" t="s">
        <v>478</v>
      </c>
      <c r="C51" s="21" t="s">
        <v>474</v>
      </c>
      <c r="D51" s="21" t="s">
        <v>455</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503</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472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461</v>
      </c>
      <c r="B54" s="21" t="s">
        <v>504</v>
      </c>
      <c r="C54" s="21" t="s">
        <v>459</v>
      </c>
      <c r="D54" s="21" t="s">
        <v>455</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460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481</v>
      </c>
      <c r="B56" s="21" t="s">
        <v>470</v>
      </c>
      <c r="C56" s="21" t="s">
        <v>463</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505</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506</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507</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508</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500</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509</v>
      </c>
      <c r="B62" s="21" t="s">
        <v>462</v>
      </c>
      <c r="C62" s="21" t="s">
        <v>459</v>
      </c>
      <c r="D62" s="21" t="s">
        <v>455</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510</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472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473</v>
      </c>
      <c r="B65" s="21" t="s">
        <v>470</v>
      </c>
      <c r="C65" s="21" t="s">
        <v>474</v>
      </c>
      <c r="D65" s="21" t="s">
        <v>455</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492</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503</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511</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509</v>
      </c>
      <c r="B69" s="21" t="s">
        <v>512</v>
      </c>
      <c r="C69" s="21" t="s">
        <v>513</v>
      </c>
      <c r="D69" s="21" t="s">
        <v>455</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514</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515</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492</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460</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502</v>
      </c>
      <c r="B74" s="21" t="s">
        <v>470</v>
      </c>
      <c r="C74" s="21" t="s">
        <v>463</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492</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516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517</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518</v>
      </c>
      <c r="B78" s="21" t="s">
        <v>470</v>
      </c>
      <c r="C78" s="21" t="s">
        <v>463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492</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464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503</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460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519</v>
      </c>
      <c r="B83" s="21" t="s">
        <v>467</v>
      </c>
      <c r="C83" s="21" t="s">
        <v>463</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520</v>
      </c>
      <c r="B84" s="21" t="s">
        <v>521</v>
      </c>
      <c r="C84" s="21" t="s">
        <v>522</v>
      </c>
      <c r="D84" s="21" t="s">
        <v>455</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503</v>
      </c>
      <c r="B85" s="21" t="s">
        <v>523</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524</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525</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505</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457</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526</v>
      </c>
      <c r="B90" s="21" t="s">
        <v>470</v>
      </c>
      <c r="C90" s="21" t="s">
        <v>485</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527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460</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482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528</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472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461</v>
      </c>
      <c r="B96" s="21" t="s">
        <v>529</v>
      </c>
      <c r="C96" s="21" t="s">
        <v>459</v>
      </c>
      <c r="D96" s="21" t="s">
        <v>455</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460</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481</v>
      </c>
      <c r="B98" s="21" t="s">
        <v>530</v>
      </c>
      <c r="C98" s="21" t="s">
        <v>463</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475</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row>
    <row r="101" spans="1:12">
      <c r="A101" s="20" t="s">
        <v>531</v>
      </c>
    </row>
    <row r="102" spans="1:12">
      <c r="A102" s="20" t="s">
        <v>532</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25</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492</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533</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534</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492</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471</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457</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458</v>
      </c>
      <c r="B110" s="21" t="s">
        <v>478</v>
      </c>
      <c r="C110" s="21" t="s">
        <v>459</v>
      </c>
      <c r="D110" s="21" t="s">
        <v>455</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460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535</v>
      </c>
      <c r="B112" s="21" t="s">
        <v>462</v>
      </c>
      <c r="C112" s="21" t="s">
        <v>463</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475</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row>
    <row r="115" spans="1:12">
      <c r="A115" s="20" t="s">
        <v>536</v>
      </c>
    </row>
    <row r="116" spans="1:12">
      <c r="A116" s="20" t="s">
        <v>537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538</v>
      </c>
      <c r="B117" s="21" t="s">
        <v>539</v>
      </c>
      <c r="C117" s="21" t="s">
        <v>459</v>
      </c>
      <c r="D117" s="21" t="s">
        <v>455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460</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461</v>
      </c>
      <c r="B119" s="21" t="s">
        <v>462</v>
      </c>
      <c r="C119" s="21" t="s">
        <v>459</v>
      </c>
      <c r="D119" s="21" t="s">
        <v>455</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517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501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481</v>
      </c>
      <c r="B122" s="21" t="s">
        <v>470</v>
      </c>
      <c r="C122" s="21" t="s">
        <v>474</v>
      </c>
      <c r="D122" s="21" t="s">
        <v>455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540</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465</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466</v>
      </c>
      <c r="B125" s="21" t="s">
        <v>478</v>
      </c>
      <c r="C125" s="21" t="s">
        <v>468</v>
      </c>
      <c r="D125" s="21" t="s">
        <v>455</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541</v>
      </c>
      <c r="B126" s="21" t="s">
        <v>478</v>
      </c>
      <c r="C126" s="21" t="s">
        <v>459</v>
      </c>
      <c r="D126" s="21" t="s">
        <v>455</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480</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542</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543</v>
      </c>
      <c r="B129" s="21" t="s">
        <v>478</v>
      </c>
      <c r="C129" s="21" t="s">
        <v>459</v>
      </c>
      <c r="D129" s="21" t="s">
        <v>455</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460</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501</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490</v>
      </c>
      <c r="B132" s="21" t="s">
        <v>462</v>
      </c>
      <c r="C132" s="21" t="s">
        <v>474</v>
      </c>
      <c r="D132" s="21" t="s">
        <v>455</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544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row>
    <row r="135" spans="1:12">
      <c r="A135" s="20" t="s">
        <v>545</v>
      </c>
    </row>
    <row r="136" spans="1:12">
      <c r="A136" s="20" t="s">
        <v>35</v>
      </c>
      <c r="B136" s="21" t="s">
        <v>478</v>
      </c>
      <c r="C136" s="21" t="s">
        <v>546</v>
      </c>
      <c r="D136" s="21" t="s">
        <v>455</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547</v>
      </c>
      <c r="B137" s="21" t="s">
        <v>478</v>
      </c>
      <c r="C137" s="21" t="s">
        <v>546</v>
      </c>
      <c r="D137" s="21" t="s">
        <v>455</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492</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501</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548</v>
      </c>
      <c r="B140" s="21" t="s">
        <v>478</v>
      </c>
      <c r="C140" s="21" t="s">
        <v>459</v>
      </c>
      <c r="D140" s="21" t="s">
        <v>455</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460</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501</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549</v>
      </c>
      <c r="B143" s="21" t="s">
        <v>462</v>
      </c>
      <c r="C143" s="21" t="s">
        <v>546</v>
      </c>
      <c r="D143" s="21" t="s">
        <v>455</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550</v>
      </c>
      <c r="B144" s="21" t="s">
        <v>470</v>
      </c>
      <c r="C144" s="21" t="s">
        <v>546</v>
      </c>
      <c r="D144" s="21" t="s">
        <v>455</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551</v>
      </c>
      <c r="B145" s="21" t="s">
        <v>470</v>
      </c>
      <c r="C145" s="21" t="s">
        <v>546</v>
      </c>
      <c r="D145" s="21" t="s">
        <v>455</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492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464</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552</v>
      </c>
      <c r="B148" s="21" t="s">
        <v>478</v>
      </c>
      <c r="C148" s="21" t="s">
        <v>546</v>
      </c>
      <c r="D148" s="21" t="s">
        <v>455</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553</v>
      </c>
      <c r="B149" s="21" t="s">
        <v>462</v>
      </c>
      <c r="C149" s="21" t="s">
        <v>546</v>
      </c>
      <c r="D149" s="21" t="s">
        <v>455</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492</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554</v>
      </c>
      <c r="B151" s="21" t="s">
        <v>462</v>
      </c>
      <c r="C151" s="21" t="s">
        <v>459</v>
      </c>
      <c r="D151" s="21" t="s">
        <v>455</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480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472</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555</v>
      </c>
      <c r="B154" s="21" t="s">
        <v>470</v>
      </c>
      <c r="C154" s="21" t="s">
        <v>546</v>
      </c>
      <c r="D154" s="21" t="s">
        <v>455</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556</v>
      </c>
      <c r="B155" s="21" t="s">
        <v>467</v>
      </c>
      <c r="C155" s="21" t="s">
        <v>546</v>
      </c>
      <c r="D155" s="21" t="s">
        <v>455</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557</v>
      </c>
      <c r="B156" s="21" t="s">
        <v>467</v>
      </c>
      <c r="C156" s="21" t="s">
        <v>546</v>
      </c>
      <c r="D156" s="21" t="s">
        <v>455</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475</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558</v>
      </c>
    </row>
    <row r="160" spans="1:12">
      <c r="A160" s="20" t="s">
        <v>537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538</v>
      </c>
      <c r="B161" s="21" t="s">
        <v>539</v>
      </c>
      <c r="C161" s="21" t="s">
        <v>459</v>
      </c>
      <c r="D161" s="21" t="s">
        <v>455</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559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460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547</v>
      </c>
      <c r="B164" s="21" t="s">
        <v>462</v>
      </c>
      <c r="C164" s="21" t="s">
        <v>546</v>
      </c>
      <c r="D164" s="21" t="s">
        <v>455</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206</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560</v>
      </c>
      <c r="B166" s="21" t="s">
        <v>478</v>
      </c>
      <c r="C166" s="21" t="s">
        <v>522</v>
      </c>
      <c r="D166" s="21" t="s">
        <v>455</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503</v>
      </c>
      <c r="B167" s="21" t="s">
        <v>504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561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562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501</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526</v>
      </c>
      <c r="B171" s="21" t="s">
        <v>563</v>
      </c>
      <c r="C171" s="21" t="s">
        <v>474</v>
      </c>
      <c r="D171" s="21" t="s">
        <v>455</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564</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460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565</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472</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566</v>
      </c>
      <c r="B176" s="21" t="s">
        <v>567</v>
      </c>
      <c r="C176" s="21" t="s">
        <v>474</v>
      </c>
      <c r="D176" s="21" t="s">
        <v>455</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568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472</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569</v>
      </c>
      <c r="B179" s="21" t="s">
        <v>467</v>
      </c>
      <c r="C179" s="21" t="s">
        <v>474</v>
      </c>
      <c r="D179" s="21" t="s">
        <v>455</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492</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460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570</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501</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571</v>
      </c>
      <c r="B184" s="21" t="s">
        <v>529</v>
      </c>
      <c r="C184" s="21" t="s">
        <v>474</v>
      </c>
      <c r="D184" s="21" t="s">
        <v>455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475</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row>
    <row r="187" spans="1:12">
      <c r="A187" s="20" t="s">
        <v>572</v>
      </c>
    </row>
    <row r="188" spans="1:12">
      <c r="A188" s="20" t="s">
        <v>573</v>
      </c>
      <c r="B188" s="21" t="s">
        <v>539</v>
      </c>
      <c r="C188" s="21" t="s">
        <v>522</v>
      </c>
      <c r="D188" s="21" t="s">
        <v>455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503</v>
      </c>
      <c r="B189" s="21" t="s">
        <v>574</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547</v>
      </c>
      <c r="B190" s="21" t="s">
        <v>512</v>
      </c>
      <c r="C190" s="21" t="s">
        <v>546</v>
      </c>
      <c r="D190" s="21" t="s">
        <v>455</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575</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206</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503</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517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501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576</v>
      </c>
      <c r="B196" s="21" t="s">
        <v>462</v>
      </c>
      <c r="C196" s="21" t="s">
        <v>459</v>
      </c>
      <c r="D196" s="21" t="s">
        <v>455</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460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501</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481</v>
      </c>
      <c r="B199" s="21" t="s">
        <v>470</v>
      </c>
      <c r="C199" s="21" t="s">
        <v>474</v>
      </c>
      <c r="D199" s="21" t="s">
        <v>455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577</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578</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579</v>
      </c>
      <c r="B202" s="21" t="s">
        <v>504</v>
      </c>
      <c r="C202" s="21" t="s">
        <v>580</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581</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582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520</v>
      </c>
      <c r="B205" s="21" t="s">
        <v>467</v>
      </c>
      <c r="C205" s="21" t="s">
        <v>522</v>
      </c>
      <c r="D205" s="21" t="s">
        <v>455</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503</v>
      </c>
      <c r="B206" s="21" t="s">
        <v>529</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583</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584</v>
      </c>
      <c r="B208" s="21" t="s">
        <v>523</v>
      </c>
      <c r="C208" s="21" t="s">
        <v>474</v>
      </c>
      <c r="D208" s="21" t="s">
        <v>455</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585</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586</v>
      </c>
      <c r="B210" s="21" t="s">
        <v>587</v>
      </c>
      <c r="C210" s="21" t="s">
        <v>459</v>
      </c>
      <c r="D210" s="21" t="s">
        <v>455</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588</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492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460</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589</v>
      </c>
      <c r="B214" s="21" t="s">
        <v>530</v>
      </c>
      <c r="C214" s="21" t="s">
        <v>463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492</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460</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590</v>
      </c>
      <c r="B217" s="21" t="s">
        <v>530</v>
      </c>
      <c r="C217" s="21" t="s">
        <v>463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475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row>
    <row r="220" spans="1:12">
      <c r="A220" s="20" t="s">
        <v>591</v>
      </c>
    </row>
    <row r="221" spans="1:12">
      <c r="A221" s="20" t="s">
        <v>592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593</v>
      </c>
      <c r="B222" s="21" t="s">
        <v>478</v>
      </c>
      <c r="C222" s="21" t="s">
        <v>454</v>
      </c>
      <c r="D222" s="21" t="s">
        <v>455</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594</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595</v>
      </c>
      <c r="B224" s="21" t="s">
        <v>504</v>
      </c>
      <c r="C224" s="21" t="s">
        <v>596</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492</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597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593</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598</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492</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517</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599</v>
      </c>
      <c r="B231" s="21" t="s">
        <v>462</v>
      </c>
      <c r="C231" s="21" t="s">
        <v>463</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600</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601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475</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row>
    <row r="236" spans="1:12">
      <c r="A236" s="20" t="s">
        <v>602</v>
      </c>
    </row>
    <row r="237" spans="1:12">
      <c r="A237" s="20" t="s">
        <v>603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604</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605</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606</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607</v>
      </c>
      <c r="B241" s="21" t="s">
        <v>453</v>
      </c>
      <c r="C241" s="21" t="s">
        <v>459</v>
      </c>
      <c r="D241" s="21" t="s">
        <v>455</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460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608</v>
      </c>
      <c r="B243" s="21" t="s">
        <v>462</v>
      </c>
      <c r="C243" s="21" t="s">
        <v>463</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517</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609</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610</v>
      </c>
      <c r="B246" s="21" t="s">
        <v>478</v>
      </c>
      <c r="C246" s="21" t="s">
        <v>513</v>
      </c>
      <c r="D246" s="21" t="s">
        <v>455</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460</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566</v>
      </c>
      <c r="B248" s="21" t="s">
        <v>462</v>
      </c>
      <c r="C248" s="21" t="s">
        <v>459</v>
      </c>
      <c r="D248" s="21" t="s">
        <v>455</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611</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612</v>
      </c>
      <c r="B250" s="21" t="s">
        <v>470</v>
      </c>
      <c r="C250" s="21" t="s">
        <v>463</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480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501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613</v>
      </c>
      <c r="B253" s="21" t="s">
        <v>478</v>
      </c>
      <c r="C253" s="21" t="s">
        <v>474</v>
      </c>
      <c r="D253" s="21" t="s">
        <v>455</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460</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614</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457</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615</v>
      </c>
      <c r="B257" s="21" t="s">
        <v>574</v>
      </c>
      <c r="C257" s="21" t="s">
        <v>485</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616</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475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row>
    <row r="261" spans="1:12">
      <c r="A261" s="20" t="s">
        <v>617</v>
      </c>
    </row>
    <row r="262" spans="1:12">
      <c r="A262" s="20" t="s">
        <v>603</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618</v>
      </c>
      <c r="B263" s="21" t="s">
        <v>539</v>
      </c>
      <c r="C263" s="21" t="s">
        <v>522</v>
      </c>
      <c r="D263" s="21" t="s">
        <v>455</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619</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472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620</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621</v>
      </c>
      <c r="B267" s="21" t="s">
        <v>478</v>
      </c>
      <c r="C267" s="21" t="s">
        <v>459</v>
      </c>
      <c r="D267" s="21" t="s">
        <v>455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460</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457</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526</v>
      </c>
      <c r="B270" s="21" t="s">
        <v>478</v>
      </c>
      <c r="C270" s="21" t="s">
        <v>459</v>
      </c>
      <c r="D270" s="21" t="s">
        <v>455</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460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461</v>
      </c>
      <c r="B272" s="21" t="s">
        <v>462</v>
      </c>
      <c r="C272" s="21" t="s">
        <v>463</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489</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622</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517</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501</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576</v>
      </c>
      <c r="B277" s="21" t="s">
        <v>462</v>
      </c>
      <c r="C277" s="21" t="s">
        <v>459</v>
      </c>
      <c r="D277" s="21" t="s">
        <v>455</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460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501</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481</v>
      </c>
      <c r="B280" s="21" t="s">
        <v>470</v>
      </c>
      <c r="C280" s="21" t="s">
        <v>474</v>
      </c>
      <c r="D280" s="21" t="s">
        <v>455</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475</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row>
    <row r="283" spans="1:12">
      <c r="A283" s="20" t="s">
        <v>623</v>
      </c>
    </row>
    <row r="284" spans="1:12">
      <c r="A284" s="20" t="s">
        <v>553</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206</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611</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624</v>
      </c>
      <c r="B287" s="21" t="s">
        <v>478</v>
      </c>
      <c r="C287" s="21" t="s">
        <v>463</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471</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618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625</v>
      </c>
      <c r="B290" s="21" t="s">
        <v>478</v>
      </c>
      <c r="C290" s="21" t="s">
        <v>513</v>
      </c>
      <c r="D290" s="21" t="s">
        <v>455</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626</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472</v>
      </c>
      <c r="B292" s="21" t="s">
        <v>563</v>
      </c>
      <c r="C292" s="21" t="s">
        <v>454</v>
      </c>
      <c r="D292" s="21" t="s">
        <v>455</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627</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628</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475</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629</v>
      </c>
    </row>
    <row r="298" spans="1:12">
      <c r="A298" s="20" t="s">
        <v>630</v>
      </c>
      <c r="B298" s="21" t="s">
        <v>539</v>
      </c>
      <c r="C298" s="21" t="s">
        <v>454</v>
      </c>
      <c r="D298" s="21" t="s">
        <v>455</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631</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492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632</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492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503</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206</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633</v>
      </c>
      <c r="B305" s="21" t="s">
        <v>462</v>
      </c>
      <c r="C305" s="21" t="s">
        <v>596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634</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626</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635</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481</v>
      </c>
      <c r="B309" s="21" t="s">
        <v>512</v>
      </c>
      <c r="C309" s="21" t="s">
        <v>474</v>
      </c>
      <c r="D309" s="21" t="s">
        <v>455</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636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517</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637</v>
      </c>
      <c r="B312" s="21" t="s">
        <v>470</v>
      </c>
      <c r="C312" s="21" t="s">
        <v>463</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597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638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480</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501</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639</v>
      </c>
      <c r="B317" s="21" t="s">
        <v>587</v>
      </c>
      <c r="C317" s="21" t="s">
        <v>468</v>
      </c>
      <c r="D317" s="21" t="s">
        <v>455</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640</v>
      </c>
      <c r="B318" s="21" t="s">
        <v>496</v>
      </c>
      <c r="C318" s="21" t="s">
        <v>474</v>
      </c>
      <c r="D318" s="21" t="s">
        <v>455</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475</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row>
    <row r="321" spans="1:12">
      <c r="A321" s="20" t="s">
        <v>641</v>
      </c>
    </row>
    <row r="322" spans="1:12">
      <c r="A322" s="20" t="s">
        <v>642</v>
      </c>
      <c r="B322" s="21" t="s">
        <v>539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643</v>
      </c>
      <c r="B323" s="21" t="s">
        <v>563</v>
      </c>
      <c r="C323" s="21" t="s">
        <v>463</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644</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492</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464</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645</v>
      </c>
      <c r="B327" s="21" t="s">
        <v>462</v>
      </c>
      <c r="C327" s="21" t="s">
        <v>596</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460</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646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643</v>
      </c>
      <c r="B330" s="21" t="s">
        <v>470</v>
      </c>
      <c r="C330" s="21" t="s">
        <v>513</v>
      </c>
      <c r="D330" s="21" t="s">
        <v>455</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647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95</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648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582</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457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527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610</v>
      </c>
      <c r="B337" s="21" t="s">
        <v>478</v>
      </c>
      <c r="C337" s="21" t="s">
        <v>459</v>
      </c>
      <c r="D337" s="21" t="s">
        <v>455</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460</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461</v>
      </c>
      <c r="B339" s="21" t="s">
        <v>462</v>
      </c>
      <c r="C339" s="21" t="s">
        <v>463</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475</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row>
    <row r="342" spans="1:12">
      <c r="A342" s="20" t="s">
        <v>649</v>
      </c>
    </row>
    <row r="343" spans="1:12">
      <c r="A343" s="20" t="s">
        <v>650</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651</v>
      </c>
      <c r="B344" s="21" t="s">
        <v>539</v>
      </c>
      <c r="C344" s="21" t="s">
        <v>485</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652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457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481</v>
      </c>
      <c r="B347" s="21" t="s">
        <v>462</v>
      </c>
      <c r="C347" s="21" t="s">
        <v>459</v>
      </c>
      <c r="D347" s="21" t="s">
        <v>455</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517</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637</v>
      </c>
      <c r="B349" s="21" t="s">
        <v>470</v>
      </c>
      <c r="C349" s="21" t="s">
        <v>463</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653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95</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654</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517</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655</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656</v>
      </c>
      <c r="B355" s="21" t="s">
        <v>478</v>
      </c>
      <c r="C355" s="21" t="s">
        <v>580</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626</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600</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517</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657</v>
      </c>
      <c r="B359" s="21" t="s">
        <v>478</v>
      </c>
      <c r="C359" s="21" t="s">
        <v>596</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475</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row>
    <row r="362" spans="1:12">
      <c r="A362" s="20" t="s">
        <v>658</v>
      </c>
    </row>
    <row r="363" spans="1:12">
      <c r="A363" s="20" t="s">
        <v>630</v>
      </c>
      <c r="B363" s="21" t="s">
        <v>504</v>
      </c>
      <c r="C363" s="21" t="s">
        <v>454</v>
      </c>
      <c r="D363" s="21" t="s">
        <v>455</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659</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501</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526</v>
      </c>
      <c r="B366" s="21" t="s">
        <v>563</v>
      </c>
      <c r="C366" s="21" t="s">
        <v>459</v>
      </c>
      <c r="D366" s="21" t="s">
        <v>455</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460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660</v>
      </c>
      <c r="B368" s="21" t="s">
        <v>470</v>
      </c>
      <c r="C368" s="21" t="s">
        <v>459</v>
      </c>
      <c r="D368" s="21" t="s">
        <v>455</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460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661</v>
      </c>
      <c r="B370" s="21" t="s">
        <v>467</v>
      </c>
      <c r="C370" s="21" t="s">
        <v>463</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492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517</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662</v>
      </c>
      <c r="B373" s="21" t="s">
        <v>462</v>
      </c>
      <c r="C373" s="21" t="s">
        <v>463</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472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663</v>
      </c>
      <c r="B375" s="21" t="s">
        <v>563</v>
      </c>
      <c r="C375" s="21" t="s">
        <v>459</v>
      </c>
      <c r="D375" s="21" t="s">
        <v>455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460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638</v>
      </c>
      <c r="B377" s="21" t="s">
        <v>470</v>
      </c>
      <c r="C377" s="21" t="s">
        <v>463</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471</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664</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457</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492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665</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492</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666</v>
      </c>
      <c r="B384" s="21" t="s">
        <v>667</v>
      </c>
      <c r="C384" s="21" t="s">
        <v>463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668</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669</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457</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670</v>
      </c>
      <c r="B388" s="21" t="s">
        <v>671</v>
      </c>
      <c r="C388" s="21" t="s">
        <v>485</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492</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672</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673</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517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457</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674</v>
      </c>
      <c r="B394" s="21" t="s">
        <v>478</v>
      </c>
      <c r="C394" s="21" t="s">
        <v>485</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675</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492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464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676</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672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677</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492</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678</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679</v>
      </c>
      <c r="B403" s="21" t="s">
        <v>462</v>
      </c>
      <c r="C403" s="21" t="s">
        <v>463</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680</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464</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681</v>
      </c>
      <c r="B406" s="21" t="s">
        <v>512</v>
      </c>
      <c r="C406" s="21" t="s">
        <v>454</v>
      </c>
      <c r="D406" s="21" t="s">
        <v>455</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682</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503</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501</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615</v>
      </c>
      <c r="B410" s="21" t="s">
        <v>521</v>
      </c>
      <c r="C410" s="21" t="s">
        <v>474</v>
      </c>
      <c r="D410" s="21" t="s">
        <v>455</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683</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582</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645</v>
      </c>
      <c r="B413" s="21" t="s">
        <v>587</v>
      </c>
      <c r="C413" s="21" t="s">
        <v>596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460</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684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643</v>
      </c>
      <c r="B416" s="21" t="s">
        <v>530</v>
      </c>
      <c r="C416" s="21" t="s">
        <v>513</v>
      </c>
      <c r="D416" s="21" t="s">
        <v>455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492</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464</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501</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615</v>
      </c>
      <c r="B420" s="21" t="s">
        <v>496</v>
      </c>
      <c r="C420" s="21" t="s">
        <v>459</v>
      </c>
      <c r="D420" s="21" t="s">
        <v>455</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460</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685</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686</v>
      </c>
      <c r="B423" s="21" t="s">
        <v>587</v>
      </c>
      <c r="C423" s="21" t="s">
        <v>474</v>
      </c>
      <c r="D423" s="21" t="s">
        <v>455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687</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517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457</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688</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689</v>
      </c>
      <c r="B428" s="21" t="s">
        <v>467</v>
      </c>
      <c r="C428" s="21" t="s">
        <v>485</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472</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690</v>
      </c>
      <c r="B430" s="21" t="s">
        <v>567</v>
      </c>
      <c r="C430" s="21" t="s">
        <v>474</v>
      </c>
      <c r="D430" s="21" t="s">
        <v>455</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652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472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691</v>
      </c>
      <c r="B433" s="21" t="s">
        <v>496</v>
      </c>
      <c r="C433" s="21" t="s">
        <v>459</v>
      </c>
      <c r="D433" s="21" t="s">
        <v>455</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460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692</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465</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466</v>
      </c>
      <c r="B437" s="21" t="s">
        <v>530</v>
      </c>
      <c r="C437" s="21" t="s">
        <v>468</v>
      </c>
      <c r="D437" s="21" t="s">
        <v>455</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693</v>
      </c>
      <c r="B438" s="21" t="s">
        <v>587</v>
      </c>
      <c r="C438" s="21" t="s">
        <v>474</v>
      </c>
      <c r="D438" s="21" t="s">
        <v>455</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475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row>
    <row r="441" spans="1:12">
      <c r="A441" s="20" t="s">
        <v>694</v>
      </c>
    </row>
    <row r="442" spans="1:12">
      <c r="A442" s="20" t="s">
        <v>695</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538</v>
      </c>
      <c r="B443" s="21" t="s">
        <v>539</v>
      </c>
      <c r="C443" s="21" t="s">
        <v>513</v>
      </c>
      <c r="D443" s="21" t="s">
        <v>455</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460</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472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660</v>
      </c>
      <c r="B446" s="21" t="s">
        <v>462</v>
      </c>
      <c r="C446" s="21" t="s">
        <v>459</v>
      </c>
      <c r="D446" s="21" t="s">
        <v>455</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460</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661</v>
      </c>
      <c r="B448" s="21" t="s">
        <v>470</v>
      </c>
      <c r="C448" s="21" t="s">
        <v>463</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206</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508</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500</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685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696</v>
      </c>
      <c r="B453" s="21" t="s">
        <v>478</v>
      </c>
      <c r="C453" s="21" t="s">
        <v>474</v>
      </c>
      <c r="D453" s="21" t="s">
        <v>455</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503</v>
      </c>
      <c r="B454" s="21" t="s">
        <v>512</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520</v>
      </c>
      <c r="B455" s="21" t="s">
        <v>512</v>
      </c>
      <c r="C455" s="21" t="s">
        <v>522</v>
      </c>
      <c r="D455" s="21" t="s">
        <v>455</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503</v>
      </c>
      <c r="B456" s="21" t="s">
        <v>667</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697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686</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457</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481</v>
      </c>
      <c r="B460" s="21" t="s">
        <v>671</v>
      </c>
      <c r="C460" s="21" t="s">
        <v>485</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698</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635</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699</v>
      </c>
      <c r="B463" s="21" t="s">
        <v>462</v>
      </c>
      <c r="C463" s="21" t="s">
        <v>459</v>
      </c>
      <c r="D463" s="21" t="s">
        <v>455</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460</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700</v>
      </c>
      <c r="B465" s="21" t="s">
        <v>470</v>
      </c>
      <c r="C465" s="21" t="s">
        <v>463</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492</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464</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503</v>
      </c>
      <c r="B468" s="21" t="s">
        <v>667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604</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505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701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702</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475</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row>
    <row r="475" spans="1:12">
      <c r="A475" s="20" t="s">
        <v>703</v>
      </c>
    </row>
    <row r="476" spans="1:12">
      <c r="A476" s="20" t="s">
        <v>704</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705</v>
      </c>
      <c r="B477" s="21" t="s">
        <v>539</v>
      </c>
      <c r="C477" s="21" t="s">
        <v>474</v>
      </c>
      <c r="D477" s="21" t="s">
        <v>455</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698</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597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706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517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501</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702</v>
      </c>
      <c r="B483" s="21" t="s">
        <v>478</v>
      </c>
      <c r="C483" s="21" t="s">
        <v>459</v>
      </c>
      <c r="D483" s="21" t="s">
        <v>455</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460</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635</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707</v>
      </c>
      <c r="B486" s="21" t="s">
        <v>462</v>
      </c>
      <c r="C486" s="21" t="s">
        <v>474</v>
      </c>
      <c r="D486" s="21" t="s">
        <v>455</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492</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516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708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492</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464</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460</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519</v>
      </c>
      <c r="B493" s="21" t="s">
        <v>462</v>
      </c>
      <c r="C493" s="21" t="s">
        <v>463</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501</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709</v>
      </c>
      <c r="B495" s="21" t="s">
        <v>504</v>
      </c>
      <c r="C495" s="21" t="s">
        <v>474</v>
      </c>
      <c r="D495" s="21" t="s">
        <v>455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464</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472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710</v>
      </c>
      <c r="B498" s="21" t="s">
        <v>470</v>
      </c>
      <c r="C498" s="21" t="s">
        <v>459</v>
      </c>
      <c r="D498" s="21" t="s">
        <v>455</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460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635</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711</v>
      </c>
      <c r="B501" s="21" t="s">
        <v>467</v>
      </c>
      <c r="C501" s="21" t="s">
        <v>459</v>
      </c>
      <c r="D501" s="21" t="s">
        <v>455</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460</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472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712</v>
      </c>
      <c r="B504" s="21" t="s">
        <v>496</v>
      </c>
      <c r="C504" s="21" t="s">
        <v>474</v>
      </c>
      <c r="D504" s="21" t="s">
        <v>455</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698</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713</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582</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635</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699</v>
      </c>
      <c r="B509" s="21" t="s">
        <v>462</v>
      </c>
      <c r="C509" s="21" t="s">
        <v>459</v>
      </c>
      <c r="D509" s="21" t="s">
        <v>455</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460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700</v>
      </c>
      <c r="B511" s="21" t="s">
        <v>470</v>
      </c>
      <c r="C511" s="21" t="s">
        <v>463</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475</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row>
    <row r="514" spans="1:12">
      <c r="A514" s="20" t="s">
        <v>714</v>
      </c>
    </row>
    <row r="515" spans="1:12">
      <c r="A515" s="20" t="s">
        <v>715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716</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500</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646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542</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717</v>
      </c>
      <c r="B520" s="21" t="s">
        <v>478</v>
      </c>
      <c r="C520" s="21" t="s">
        <v>513</v>
      </c>
      <c r="D520" s="21" t="s">
        <v>455</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492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560</v>
      </c>
      <c r="B522" s="21" t="s">
        <v>478</v>
      </c>
      <c r="C522" s="21" t="s">
        <v>522</v>
      </c>
      <c r="D522" s="21" t="s">
        <v>455</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460</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547</v>
      </c>
      <c r="B524" s="21" t="s">
        <v>462</v>
      </c>
      <c r="C524" s="21" t="s">
        <v>546</v>
      </c>
      <c r="D524" s="21" t="s">
        <v>455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460</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635</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586</v>
      </c>
      <c r="B527" s="21" t="s">
        <v>470</v>
      </c>
      <c r="C527" s="21" t="s">
        <v>459</v>
      </c>
      <c r="D527" s="21" t="s">
        <v>455</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588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460</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589</v>
      </c>
      <c r="B530" s="21" t="s">
        <v>467</v>
      </c>
      <c r="C530" s="21" t="s">
        <v>463</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464</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460</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590</v>
      </c>
      <c r="B533" s="21" t="s">
        <v>467</v>
      </c>
      <c r="C533" s="21" t="s">
        <v>463</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492</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464</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685</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538</v>
      </c>
      <c r="B537" s="21" t="s">
        <v>462</v>
      </c>
      <c r="C537" s="21" t="s">
        <v>459</v>
      </c>
      <c r="D537" s="21" t="s">
        <v>455</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460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553</v>
      </c>
      <c r="B539" s="21" t="s">
        <v>470</v>
      </c>
      <c r="C539" s="21" t="s">
        <v>546</v>
      </c>
      <c r="D539" s="21" t="s">
        <v>455</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460</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472</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660</v>
      </c>
      <c r="B542" s="21" t="s">
        <v>470</v>
      </c>
      <c r="C542" s="21" t="s">
        <v>459</v>
      </c>
      <c r="D542" s="21" t="s">
        <v>455</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460</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661</v>
      </c>
      <c r="B544" s="21" t="s">
        <v>467</v>
      </c>
      <c r="C544" s="21" t="s">
        <v>463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492</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503</v>
      </c>
      <c r="B546" s="21" t="s">
        <v>521</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718</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719</v>
      </c>
      <c r="B548" s="21" t="s">
        <v>567</v>
      </c>
      <c r="C548" s="21" t="s">
        <v>463</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720</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492</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503</v>
      </c>
      <c r="B551" s="21" t="s">
        <v>523</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685</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721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722</v>
      </c>
      <c r="B554" s="21" t="s">
        <v>523</v>
      </c>
      <c r="C554" s="21" t="s">
        <v>459</v>
      </c>
      <c r="D554" s="21" t="s">
        <v>455</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460</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472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461</v>
      </c>
      <c r="B557" s="21" t="s">
        <v>530</v>
      </c>
      <c r="C557" s="21" t="s">
        <v>459</v>
      </c>
      <c r="D557" s="21" t="s">
        <v>455</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460</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481</v>
      </c>
      <c r="B559" s="21" t="s">
        <v>723</v>
      </c>
      <c r="C559" s="21" t="s">
        <v>463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724</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725</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726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475</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row>
    <row r="565" spans="1:12">
      <c r="A565" s="20" t="s">
        <v>727</v>
      </c>
    </row>
    <row r="566" spans="1:12">
      <c r="A566" s="20" t="s">
        <v>573</v>
      </c>
      <c r="B566" s="21" t="s">
        <v>539</v>
      </c>
      <c r="C566" s="21" t="s">
        <v>522</v>
      </c>
      <c r="D566" s="21" t="s">
        <v>455</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503</v>
      </c>
      <c r="B567" s="21" t="s">
        <v>512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728</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729</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499</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505</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503</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684</v>
      </c>
      <c r="B573" s="21" t="s">
        <v>504</v>
      </c>
      <c r="C573" s="21" t="s">
        <v>522</v>
      </c>
      <c r="D573" s="21" t="s">
        <v>455</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730</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492</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460</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502</v>
      </c>
      <c r="B577" s="21" t="s">
        <v>462</v>
      </c>
      <c r="C577" s="21" t="s">
        <v>463</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492</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600</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698</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597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731</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475</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row>
    <row r="585" spans="1:12">
      <c r="A585" s="20" t="s">
        <v>732</v>
      </c>
    </row>
    <row r="586" spans="1:12">
      <c r="A586" s="20" t="s">
        <v>733</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734</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480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635</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699</v>
      </c>
      <c r="B590" s="21" t="s">
        <v>478</v>
      </c>
      <c r="C590" s="21" t="s">
        <v>459</v>
      </c>
      <c r="D590" s="21" t="s">
        <v>455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460</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700</v>
      </c>
      <c r="B592" s="21" t="s">
        <v>462</v>
      </c>
      <c r="C592" s="21" t="s">
        <v>463</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475</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row>
    <row r="595" spans="1:12">
      <c r="A595" s="20" t="s">
        <v>735</v>
      </c>
    </row>
    <row r="596" spans="1:12">
      <c r="A596" s="20" t="s">
        <v>736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698</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517</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637</v>
      </c>
      <c r="B599" s="21" t="s">
        <v>478</v>
      </c>
      <c r="C599" s="21" t="s">
        <v>463</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542</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643</v>
      </c>
      <c r="B601" s="21" t="s">
        <v>539</v>
      </c>
      <c r="C601" s="21" t="s">
        <v>459</v>
      </c>
      <c r="D601" s="21" t="s">
        <v>455</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517</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635</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699</v>
      </c>
      <c r="B604" s="21" t="s">
        <v>462</v>
      </c>
      <c r="C604" s="21" t="s">
        <v>459</v>
      </c>
      <c r="D604" s="21" t="s">
        <v>455</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460</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700</v>
      </c>
      <c r="B606" s="21" t="s">
        <v>470</v>
      </c>
      <c r="C606" s="21" t="s">
        <v>463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475</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row>
    <row r="609" spans="1:12">
      <c r="A609" s="20" t="s">
        <v>737</v>
      </c>
    </row>
    <row r="610" spans="1:12">
      <c r="A610" s="20" t="s">
        <v>738</v>
      </c>
      <c r="B610" s="21" t="s">
        <v>539</v>
      </c>
      <c r="C610" s="21" t="s">
        <v>596</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505</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685</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739</v>
      </c>
      <c r="B613" s="21" t="s">
        <v>478</v>
      </c>
      <c r="C613" s="21" t="s">
        <v>459</v>
      </c>
      <c r="D613" s="21" t="s">
        <v>455</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460</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465</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740</v>
      </c>
      <c r="B616" s="21" t="s">
        <v>478</v>
      </c>
      <c r="C616" s="21" t="s">
        <v>474</v>
      </c>
      <c r="D616" s="21" t="s">
        <v>455</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492</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464</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685</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741</v>
      </c>
      <c r="B620" s="21" t="s">
        <v>504</v>
      </c>
      <c r="C620" s="21" t="s">
        <v>596</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742</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472</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743</v>
      </c>
      <c r="B623" s="21" t="s">
        <v>563</v>
      </c>
      <c r="C623" s="21" t="s">
        <v>474</v>
      </c>
      <c r="D623" s="21" t="s">
        <v>455</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475</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row>
    <row r="626" spans="1:12">
      <c r="A626" s="20" t="s">
        <v>744</v>
      </c>
    </row>
    <row r="627" spans="1:12">
      <c r="A627" s="20" t="s">
        <v>745</v>
      </c>
      <c r="B627" s="21" t="s">
        <v>478</v>
      </c>
      <c r="C627" s="21" t="s">
        <v>522</v>
      </c>
      <c r="D627" s="21" t="s">
        <v>455</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698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635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746</v>
      </c>
      <c r="B630" s="21" t="s">
        <v>539</v>
      </c>
      <c r="C630" s="21" t="s">
        <v>459</v>
      </c>
      <c r="D630" s="21" t="s">
        <v>455</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500</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685</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739</v>
      </c>
      <c r="B633" s="21" t="s">
        <v>462</v>
      </c>
      <c r="C633" s="21" t="s">
        <v>474</v>
      </c>
      <c r="D633" s="21" t="s">
        <v>455</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464</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500</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472</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743</v>
      </c>
      <c r="B637" s="21" t="s">
        <v>470</v>
      </c>
      <c r="C637" s="21" t="s">
        <v>474</v>
      </c>
      <c r="D637" s="21" t="s">
        <v>455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482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593</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698</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747</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517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501</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748</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749</v>
      </c>
      <c r="B645" s="21" t="s">
        <v>496</v>
      </c>
      <c r="C645" s="21" t="s">
        <v>474</v>
      </c>
      <c r="D645" s="21" t="s">
        <v>455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475</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row>
    <row r="648" spans="1:12">
      <c r="A648" s="20" t="s">
        <v>750</v>
      </c>
    </row>
    <row r="649" spans="1:12">
      <c r="A649" s="20" t="s">
        <v>751</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752</v>
      </c>
      <c r="B650" s="21" t="s">
        <v>478</v>
      </c>
      <c r="C650" s="21" t="s">
        <v>596</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753</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582</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754</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755</v>
      </c>
      <c r="B654" s="21" t="s">
        <v>478</v>
      </c>
      <c r="C654" s="21" t="s">
        <v>580</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646</v>
      </c>
      <c r="B655" s="21" t="s">
        <v>504</v>
      </c>
      <c r="C655" s="21" t="s">
        <v>522</v>
      </c>
      <c r="D655" s="21" t="s">
        <v>455</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593</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698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756</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757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582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635</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758</v>
      </c>
      <c r="B662" s="21" t="s">
        <v>462</v>
      </c>
      <c r="C662" s="21" t="s">
        <v>474</v>
      </c>
      <c r="D662" s="21" t="s">
        <v>455</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517</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664</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553</v>
      </c>
      <c r="B665" s="21" t="s">
        <v>521</v>
      </c>
      <c r="C665" s="21" t="s">
        <v>546</v>
      </c>
      <c r="D665" s="21" t="s">
        <v>455</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464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547</v>
      </c>
      <c r="B667" s="21" t="s">
        <v>496</v>
      </c>
      <c r="C667" s="21" t="s">
        <v>546</v>
      </c>
      <c r="D667" s="21" t="s">
        <v>455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678</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759</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760</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465</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639</v>
      </c>
      <c r="B672" s="21" t="s">
        <v>496</v>
      </c>
      <c r="C672" s="21" t="s">
        <v>468</v>
      </c>
      <c r="D672" s="21" t="s">
        <v>455</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761</v>
      </c>
      <c r="B673" s="21" t="s">
        <v>567</v>
      </c>
      <c r="C673" s="21" t="s">
        <v>474</v>
      </c>
      <c r="D673" s="21" t="s">
        <v>455</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475</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row>
    <row r="676" spans="1:12">
      <c r="A676" s="20" t="s">
        <v>762</v>
      </c>
    </row>
    <row r="677" spans="1:12">
      <c r="A677" s="20" t="s">
        <v>763</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764</v>
      </c>
      <c r="B678" s="21" t="s">
        <v>478</v>
      </c>
      <c r="C678" s="21" t="s">
        <v>459</v>
      </c>
      <c r="D678" s="21" t="s">
        <v>455</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492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582</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472</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765</v>
      </c>
      <c r="B682" s="21" t="s">
        <v>462</v>
      </c>
      <c r="C682" s="21" t="s">
        <v>459</v>
      </c>
      <c r="D682" s="21" t="s">
        <v>455</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460</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583</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766</v>
      </c>
      <c r="B685" s="21" t="s">
        <v>470</v>
      </c>
      <c r="C685" s="21" t="s">
        <v>474</v>
      </c>
      <c r="D685" s="21" t="s">
        <v>455</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767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635</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699</v>
      </c>
      <c r="B688" s="21" t="s">
        <v>539</v>
      </c>
      <c r="C688" s="21" t="s">
        <v>459</v>
      </c>
      <c r="D688" s="21" t="s">
        <v>455</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460</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743</v>
      </c>
      <c r="B690" s="21" t="s">
        <v>462</v>
      </c>
      <c r="C690" s="21" t="s">
        <v>463</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698</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517</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637</v>
      </c>
      <c r="B693" s="21" t="s">
        <v>478</v>
      </c>
      <c r="C693" s="21" t="s">
        <v>463</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768</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769</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597</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770</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460</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635</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699</v>
      </c>
      <c r="B700" s="21" t="s">
        <v>462</v>
      </c>
      <c r="C700" s="21" t="s">
        <v>459</v>
      </c>
      <c r="D700" s="21" t="s">
        <v>455</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460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700</v>
      </c>
      <c r="B702" s="21" t="s">
        <v>470</v>
      </c>
      <c r="C702" s="21" t="s">
        <v>463</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492</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464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771</v>
      </c>
      <c r="B705" s="21" t="s">
        <v>504</v>
      </c>
      <c r="C705" s="21" t="s">
        <v>522</v>
      </c>
      <c r="D705" s="21" t="s">
        <v>455</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505</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501</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772</v>
      </c>
      <c r="B708" s="21" t="s">
        <v>478</v>
      </c>
      <c r="C708" s="21" t="s">
        <v>474</v>
      </c>
      <c r="D708" s="21" t="s">
        <v>455</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678</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664</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472</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743</v>
      </c>
      <c r="B712" s="21" t="s">
        <v>512</v>
      </c>
      <c r="C712" s="21" t="s">
        <v>474</v>
      </c>
      <c r="D712" s="21" t="s">
        <v>455</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492</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773</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774</v>
      </c>
      <c r="B715" s="21" t="s">
        <v>467</v>
      </c>
      <c r="C715" s="21" t="s">
        <v>546</v>
      </c>
      <c r="D715" s="21" t="s">
        <v>455</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492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505</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775</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517</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599</v>
      </c>
      <c r="B720" s="21" t="s">
        <v>470</v>
      </c>
      <c r="C720" s="21" t="s">
        <v>463</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776</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777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475</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row>
    <row r="725" spans="1:12">
      <c r="A725" s="20" t="s">
        <v>778</v>
      </c>
    </row>
    <row r="726" spans="1:12">
      <c r="A726" s="20" t="s">
        <v>779</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699</v>
      </c>
      <c r="B727" s="21" t="s">
        <v>539</v>
      </c>
      <c r="C727" s="21" t="s">
        <v>513</v>
      </c>
      <c r="D727" s="21" t="s">
        <v>455</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460</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700</v>
      </c>
      <c r="B729" s="21" t="s">
        <v>462</v>
      </c>
      <c r="C729" s="21" t="s">
        <v>459</v>
      </c>
      <c r="D729" s="21" t="s">
        <v>455</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517</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780</v>
      </c>
      <c r="B731" s="21" t="s">
        <v>470</v>
      </c>
      <c r="C731" s="21" t="s">
        <v>463</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636</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781</v>
      </c>
      <c r="B733" s="21" t="s">
        <v>453</v>
      </c>
      <c r="C733" s="21" t="s">
        <v>463</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782</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783</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533</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635</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699</v>
      </c>
      <c r="B738" s="21" t="s">
        <v>512</v>
      </c>
      <c r="C738" s="21" t="s">
        <v>459</v>
      </c>
      <c r="D738" s="21" t="s">
        <v>455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460</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700</v>
      </c>
      <c r="B740" s="21" t="s">
        <v>467</v>
      </c>
      <c r="C740" s="21" t="s">
        <v>463</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698</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501</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784</v>
      </c>
      <c r="B743" s="21" t="s">
        <v>504</v>
      </c>
      <c r="C743" s="21" t="s">
        <v>474</v>
      </c>
      <c r="D743" s="21" t="s">
        <v>455</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503</v>
      </c>
      <c r="B744" s="21" t="s">
        <v>521</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697</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686</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465</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785</v>
      </c>
      <c r="B748" s="21" t="s">
        <v>567</v>
      </c>
      <c r="C748" s="21" t="s">
        <v>459</v>
      </c>
      <c r="D748" s="21" t="s">
        <v>455</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460</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661</v>
      </c>
      <c r="B750" s="21" t="s">
        <v>496</v>
      </c>
      <c r="C750" s="21" t="s">
        <v>463</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492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464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514</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786</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492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787</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505</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788</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500</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664</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789</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475</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row>
    <row r="764" spans="1:12">
      <c r="A764" s="20" t="s">
        <v>790</v>
      </c>
    </row>
    <row r="765" spans="1:12">
      <c r="A765" s="20" t="s">
        <v>791</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505</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788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792</v>
      </c>
      <c r="B768" s="21" t="s">
        <v>539</v>
      </c>
      <c r="C768" s="21" t="s">
        <v>459</v>
      </c>
      <c r="D768" s="21" t="s">
        <v>455</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460</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705</v>
      </c>
      <c r="B770" s="21" t="s">
        <v>462</v>
      </c>
      <c r="C770" s="21" t="s">
        <v>463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793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794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492</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464</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465</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785</v>
      </c>
      <c r="B776" s="21" t="s">
        <v>521</v>
      </c>
      <c r="C776" s="21" t="s">
        <v>459</v>
      </c>
      <c r="D776" s="21" t="s">
        <v>455</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460</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661</v>
      </c>
      <c r="B778" s="21" t="s">
        <v>496</v>
      </c>
      <c r="C778" s="21" t="s">
        <v>463</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795</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480</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501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796</v>
      </c>
      <c r="B782" s="21" t="s">
        <v>470</v>
      </c>
      <c r="C782" s="21" t="s">
        <v>474</v>
      </c>
      <c r="D782" s="21" t="s">
        <v>455</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797</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798</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593</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475</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row>
    <row r="788" spans="1:12">
      <c r="A788" s="20" t="s">
        <v>799</v>
      </c>
    </row>
    <row r="789" spans="1:12">
      <c r="A789" s="20" t="s">
        <v>800</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131</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492</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626</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795</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475</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row>
    <row r="796" spans="1:12">
      <c r="A796" s="20" t="s">
        <v>801</v>
      </c>
    </row>
    <row r="797" spans="1:12">
      <c r="A797" s="20" t="s">
        <v>763</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764</v>
      </c>
      <c r="B798" s="21" t="s">
        <v>478</v>
      </c>
      <c r="C798" s="21" t="s">
        <v>463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669</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802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678</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457</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803</v>
      </c>
      <c r="B803" s="21" t="s">
        <v>478</v>
      </c>
      <c r="C803" s="21" t="s">
        <v>485</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517</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457</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688</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481</v>
      </c>
      <c r="B807" s="21" t="s">
        <v>478</v>
      </c>
      <c r="C807" s="21" t="s">
        <v>485</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804</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472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805</v>
      </c>
      <c r="B810" s="21" t="s">
        <v>470</v>
      </c>
      <c r="C810" s="21" t="s">
        <v>468</v>
      </c>
      <c r="D810" s="21" t="s">
        <v>455</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806</v>
      </c>
      <c r="B811" s="21" t="s">
        <v>563</v>
      </c>
      <c r="C811" s="21" t="s">
        <v>474</v>
      </c>
      <c r="D811" s="21" t="s">
        <v>455</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517</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606</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807</v>
      </c>
      <c r="B814" s="21" t="s">
        <v>462</v>
      </c>
      <c r="C814" s="21" t="s">
        <v>459</v>
      </c>
      <c r="D814" s="21" t="s">
        <v>455</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460</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472</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660</v>
      </c>
      <c r="B817" s="21" t="s">
        <v>470</v>
      </c>
      <c r="C817" s="21" t="s">
        <v>459</v>
      </c>
      <c r="D817" s="21" t="s">
        <v>455</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460</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661</v>
      </c>
      <c r="B819" s="21" t="s">
        <v>467</v>
      </c>
      <c r="C819" s="21" t="s">
        <v>463</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678</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808</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652</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809</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652</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810</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457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803</v>
      </c>
      <c r="B827" s="21" t="s">
        <v>567</v>
      </c>
      <c r="C827" s="21" t="s">
        <v>485</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517</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811</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812</v>
      </c>
      <c r="B830" s="21" t="s">
        <v>467</v>
      </c>
      <c r="C830" s="21" t="s">
        <v>596</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475</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row>
    <row r="833" spans="1:12">
      <c r="A833" s="20" t="s">
        <v>813</v>
      </c>
    </row>
    <row r="834" spans="1:12">
      <c r="A834" s="20" t="s">
        <v>814</v>
      </c>
      <c r="B834" s="21" t="s">
        <v>539</v>
      </c>
      <c r="C834" s="21" t="s">
        <v>522</v>
      </c>
      <c r="D834" s="21" t="s">
        <v>455</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600</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505</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815</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457</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816</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487</v>
      </c>
      <c r="B840" s="21" t="s">
        <v>478</v>
      </c>
      <c r="C840" s="21" t="s">
        <v>485</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475</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row>
    <row r="843" spans="1:12">
      <c r="A843" s="20" t="s">
        <v>817</v>
      </c>
    </row>
    <row r="844" spans="1:12">
      <c r="A844" s="20" t="s">
        <v>818</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754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819</v>
      </c>
      <c r="B846" s="21" t="s">
        <v>539</v>
      </c>
      <c r="C846" s="21" t="s">
        <v>580</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820</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460</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482</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821</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822</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823</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475</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row>
    <row r="855" spans="1:12">
      <c r="A855" s="20" t="s">
        <v>824</v>
      </c>
    </row>
    <row r="856" spans="1:12">
      <c r="A856" s="20" t="s">
        <v>825</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826</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679</v>
      </c>
      <c r="B858" s="21" t="s">
        <v>539</v>
      </c>
      <c r="C858" s="21" t="s">
        <v>485</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505</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716</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501</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481</v>
      </c>
      <c r="B862" s="21" t="s">
        <v>478</v>
      </c>
      <c r="C862" s="21" t="s">
        <v>459</v>
      </c>
      <c r="D862" s="21" t="s">
        <v>455</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460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465</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827</v>
      </c>
      <c r="B865" s="21" t="s">
        <v>478</v>
      </c>
      <c r="C865" s="21" t="s">
        <v>474</v>
      </c>
      <c r="D865" s="21" t="s">
        <v>455</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475</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row>
    <row r="868" spans="1:12">
      <c r="A868" s="20" t="s">
        <v>828</v>
      </c>
    </row>
    <row r="869" spans="1:12">
      <c r="A869" s="20" t="s">
        <v>829</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481</v>
      </c>
      <c r="B870" s="21" t="s">
        <v>539</v>
      </c>
      <c r="C870" s="21" t="s">
        <v>459</v>
      </c>
      <c r="D870" s="21" t="s">
        <v>455</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460</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465</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827</v>
      </c>
      <c r="B873" s="21" t="s">
        <v>462</v>
      </c>
      <c r="C873" s="21" t="s">
        <v>474</v>
      </c>
      <c r="D873" s="21" t="s">
        <v>455</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480</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635</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830</v>
      </c>
      <c r="B876" s="21" t="s">
        <v>462</v>
      </c>
      <c r="C876" s="21" t="s">
        <v>459</v>
      </c>
      <c r="D876" s="21" t="s">
        <v>455</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460</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635</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831</v>
      </c>
      <c r="B879" s="21" t="s">
        <v>470</v>
      </c>
      <c r="C879" s="21" t="s">
        <v>474</v>
      </c>
      <c r="D879" s="21" t="s">
        <v>455</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832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460</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833</v>
      </c>
      <c r="B882" s="21" t="s">
        <v>496</v>
      </c>
      <c r="C882" s="21" t="s">
        <v>463</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206</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517</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834</v>
      </c>
      <c r="B885" s="21" t="s">
        <v>478</v>
      </c>
      <c r="C885" s="21" t="s">
        <v>463</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457</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481</v>
      </c>
      <c r="B887" s="21" t="s">
        <v>478</v>
      </c>
      <c r="C887" s="21" t="s">
        <v>485</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835</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475</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row>
    <row r="891" spans="1:12">
      <c r="A891" s="20" t="s">
        <v>836</v>
      </c>
    </row>
    <row r="892" spans="1:12">
      <c r="A892" s="20" t="s">
        <v>837</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838</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839</v>
      </c>
      <c r="B894" s="21" t="s">
        <v>539</v>
      </c>
      <c r="C894" s="21" t="s">
        <v>459</v>
      </c>
      <c r="D894" s="21" t="s">
        <v>455</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460</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635</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699</v>
      </c>
      <c r="B897" s="21" t="s">
        <v>462</v>
      </c>
      <c r="C897" s="21" t="s">
        <v>474</v>
      </c>
      <c r="D897" s="21" t="s">
        <v>455</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687</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465</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840</v>
      </c>
      <c r="B900" s="21" t="s">
        <v>478</v>
      </c>
      <c r="C900" s="21" t="s">
        <v>459</v>
      </c>
      <c r="D900" s="21" t="s">
        <v>455</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480</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635</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841</v>
      </c>
      <c r="B903" s="21" t="s">
        <v>478</v>
      </c>
      <c r="C903" s="21" t="s">
        <v>474</v>
      </c>
      <c r="D903" s="21" t="s">
        <v>455</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475</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row>
    <row r="906" spans="1:12">
      <c r="A906" s="20" t="s">
        <v>842</v>
      </c>
    </row>
    <row r="907" spans="1:12">
      <c r="A907" s="20" t="s">
        <v>843</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676</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844</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501</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845</v>
      </c>
      <c r="B911" s="21" t="s">
        <v>453</v>
      </c>
      <c r="C911" s="21" t="s">
        <v>546</v>
      </c>
      <c r="D911" s="21" t="s">
        <v>455</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12</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846</v>
      </c>
      <c r="B913" s="21" t="s">
        <v>462</v>
      </c>
      <c r="C913" s="21" t="s">
        <v>546</v>
      </c>
      <c r="D913" s="21" t="s">
        <v>455</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464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676</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774</v>
      </c>
      <c r="B916" s="21" t="s">
        <v>478</v>
      </c>
      <c r="C916" s="21" t="s">
        <v>546</v>
      </c>
      <c r="D916" s="21" t="s">
        <v>455</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492</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465</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847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848</v>
      </c>
      <c r="B920" s="21" t="s">
        <v>512</v>
      </c>
      <c r="C920" s="21" t="s">
        <v>474</v>
      </c>
      <c r="D920" s="21" t="s">
        <v>455</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849</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t="s">
        <v>472</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850</v>
      </c>
      <c r="B923" s="21" t="s">
        <v>574</v>
      </c>
      <c r="C923" s="21" t="s">
        <v>459</v>
      </c>
      <c r="D923" s="21" t="s">
        <v>455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460</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501</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117</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460</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578</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851</v>
      </c>
      <c r="B929" s="21" t="s">
        <v>496</v>
      </c>
      <c r="C929" s="21" t="s">
        <v>459</v>
      </c>
      <c r="D929" s="21" t="s">
        <v>455</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460</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852</v>
      </c>
      <c r="B931" s="21" t="s">
        <v>587</v>
      </c>
      <c r="C931" s="21" t="s">
        <v>463</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597</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853</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492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464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685</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854</v>
      </c>
      <c r="B937" s="21" t="s">
        <v>523</v>
      </c>
      <c r="C937" s="21" t="s">
        <v>459</v>
      </c>
      <c r="D937" s="21" t="s">
        <v>455</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460</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685</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855</v>
      </c>
      <c r="B940" s="21" t="s">
        <v>530</v>
      </c>
      <c r="C940" s="21" t="s">
        <v>474</v>
      </c>
      <c r="D940" s="21" t="s">
        <v>455</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856</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475</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row>
    <row r="944" spans="1:12">
      <c r="A944" s="20" t="s">
        <v>857</v>
      </c>
    </row>
    <row r="945" spans="1:12">
      <c r="A945" s="20" t="s">
        <v>858</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492</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859</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492</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505</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606</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535</v>
      </c>
      <c r="B951" s="21" t="s">
        <v>478</v>
      </c>
      <c r="C951" s="21" t="s">
        <v>485</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860</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475</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row>
    <row r="955" spans="1:12">
      <c r="A955" s="20" t="s">
        <v>861</v>
      </c>
    </row>
    <row r="956" spans="1:12">
      <c r="A956" s="20" t="s">
        <v>592</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517</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862</v>
      </c>
      <c r="B958" s="21" t="s">
        <v>478</v>
      </c>
      <c r="C958" s="21" t="s">
        <v>463</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492</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618</v>
      </c>
      <c r="B960" s="21" t="s">
        <v>539</v>
      </c>
      <c r="C960" s="21" t="s">
        <v>522</v>
      </c>
      <c r="D960" s="21" t="s">
        <v>455</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505</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507</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472</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535</v>
      </c>
      <c r="B964" s="21" t="s">
        <v>478</v>
      </c>
      <c r="C964" s="21" t="s">
        <v>459</v>
      </c>
      <c r="D964" s="21" t="s">
        <v>455</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460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472</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620</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863</v>
      </c>
      <c r="B968" s="21" t="s">
        <v>478</v>
      </c>
      <c r="C968" s="21" t="s">
        <v>459</v>
      </c>
      <c r="D968" s="21" t="s">
        <v>455</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460</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685</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864</v>
      </c>
      <c r="B971" s="21" t="s">
        <v>462</v>
      </c>
      <c r="C971" s="21" t="s">
        <v>474</v>
      </c>
      <c r="D971" s="21" t="s">
        <v>455</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508</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500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774</v>
      </c>
      <c r="B974" s="21" t="s">
        <v>467</v>
      </c>
      <c r="C974" s="21" t="s">
        <v>546</v>
      </c>
      <c r="D974" s="21" t="s">
        <v>455</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475</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row>
    <row r="977" spans="1:12">
      <c r="A977" s="20" t="s">
        <v>865</v>
      </c>
    </row>
    <row r="978" spans="1:12">
      <c r="A978" s="20" t="s">
        <v>866</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508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500</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472</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867</v>
      </c>
      <c r="B982" s="21" t="s">
        <v>478</v>
      </c>
      <c r="C982" s="21" t="s">
        <v>459</v>
      </c>
      <c r="D982" s="21" t="s">
        <v>455</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460</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635</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699</v>
      </c>
      <c r="B985" s="21" t="s">
        <v>462</v>
      </c>
      <c r="C985" s="21" t="s">
        <v>459</v>
      </c>
      <c r="D985" s="21" t="s">
        <v>455</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460</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700</v>
      </c>
      <c r="B987" s="21" t="s">
        <v>470</v>
      </c>
      <c r="C987" s="21" t="s">
        <v>463</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503</v>
      </c>
      <c r="B988" s="21" t="s">
        <v>512</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868</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465</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785</v>
      </c>
      <c r="B991" s="21" t="s">
        <v>574</v>
      </c>
      <c r="C991" s="21" t="s">
        <v>459</v>
      </c>
      <c r="D991" s="21" t="s">
        <v>455</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460</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661</v>
      </c>
      <c r="B993" s="21" t="s">
        <v>467</v>
      </c>
      <c r="C993" s="21" t="s">
        <v>463</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636</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869</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685</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870</v>
      </c>
      <c r="B997" s="21" t="s">
        <v>563</v>
      </c>
      <c r="C997" s="21" t="s">
        <v>459</v>
      </c>
      <c r="D997" s="21" t="s">
        <v>455</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460</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583</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871</v>
      </c>
      <c r="B1000" s="21" t="s">
        <v>470</v>
      </c>
      <c r="C1000" s="21" t="s">
        <v>474</v>
      </c>
      <c r="D1000" s="21" t="s">
        <v>455</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492</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652</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560</v>
      </c>
      <c r="B1003" s="21" t="s">
        <v>470</v>
      </c>
      <c r="C1003" s="21" t="s">
        <v>522</v>
      </c>
      <c r="D1003" s="21" t="s">
        <v>455</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503</v>
      </c>
      <c r="B1004" s="21" t="s">
        <v>667</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872</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873</v>
      </c>
      <c r="B1006" s="21" t="s">
        <v>671</v>
      </c>
      <c r="C1006" s="21" t="s">
        <v>463</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475</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row>
    <row r="1009" spans="1:12">
      <c r="A1009" s="20" t="s">
        <v>874</v>
      </c>
    </row>
    <row r="1010" spans="1:12">
      <c r="A1010" s="20" t="s">
        <v>738</v>
      </c>
      <c r="B1010" s="21" t="s">
        <v>539</v>
      </c>
      <c r="C1010" s="21" t="s">
        <v>596</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460</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465</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875</v>
      </c>
      <c r="B1013" s="21" t="s">
        <v>462</v>
      </c>
      <c r="C1013" s="21" t="s">
        <v>474</v>
      </c>
      <c r="D1013" s="21" t="s">
        <v>455</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503</v>
      </c>
      <c r="B1014" s="21" t="s">
        <v>567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876</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877</v>
      </c>
      <c r="B1016" s="21" t="s">
        <v>467</v>
      </c>
      <c r="C1016" s="21" t="s">
        <v>580</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878</v>
      </c>
      <c r="B1017" s="21" t="s">
        <v>567</v>
      </c>
      <c r="C1017" s="21" t="s">
        <v>454</v>
      </c>
      <c r="D1017" s="21" t="s">
        <v>455</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879</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880</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206</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618</v>
      </c>
      <c r="B1021" s="21" t="s">
        <v>478</v>
      </c>
      <c r="C1021" s="21" t="s">
        <v>522</v>
      </c>
      <c r="D1021" s="21" t="s">
        <v>455</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544</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row>
    <row r="1024" spans="1:12">
      <c r="A1024" s="20" t="s">
        <v>881</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882</v>
      </c>
    </row>
    <row r="1026" spans="1:12">
      <c r="A1026" s="20" t="s">
        <v>883</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884</v>
      </c>
      <c r="B1027" s="21" t="s">
        <v>478</v>
      </c>
      <c r="C1027" s="21" t="s">
        <v>546</v>
      </c>
      <c r="D1027" s="21" t="s">
        <v>455</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492</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503</v>
      </c>
      <c r="B1029" s="21" t="s">
        <v>462</v>
      </c>
      <c r="C1029" s="21" t="s">
        <v>885</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886</v>
      </c>
      <c r="B1030" s="21" t="s">
        <v>539</v>
      </c>
      <c r="C1030" s="21" t="s">
        <v>580</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887</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685</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855</v>
      </c>
      <c r="B1033" s="21" t="s">
        <v>453</v>
      </c>
      <c r="C1033" s="21" t="s">
        <v>474</v>
      </c>
      <c r="D1033" s="21" t="s">
        <v>455</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533</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472</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888</v>
      </c>
      <c r="B1036" s="21" t="s">
        <v>504</v>
      </c>
      <c r="C1036" s="21" t="s">
        <v>546</v>
      </c>
      <c r="D1036" s="21" t="s">
        <v>455</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600</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889</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597</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457</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890</v>
      </c>
      <c r="B1041" s="21" t="s">
        <v>563</v>
      </c>
      <c r="C1041" s="21" t="s">
        <v>459</v>
      </c>
      <c r="D1041" s="21" t="s">
        <v>455</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460</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481</v>
      </c>
      <c r="B1043" s="21" t="s">
        <v>470</v>
      </c>
      <c r="C1043" s="21" t="s">
        <v>463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891</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883</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row>
    <row r="1047" spans="1:12">
      <c r="A1047" s="20" t="s">
        <v>892</v>
      </c>
    </row>
    <row r="1048" spans="1:12">
      <c r="A1048" s="20" t="s">
        <v>603</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771</v>
      </c>
      <c r="B1049" s="21" t="s">
        <v>539</v>
      </c>
      <c r="C1049" s="21" t="s">
        <v>522</v>
      </c>
      <c r="D1049" s="21" t="s">
        <v>455</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505</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716</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893</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620</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503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472</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894</v>
      </c>
      <c r="B1056" s="21" t="s">
        <v>539</v>
      </c>
      <c r="C1056" s="21" t="s">
        <v>474</v>
      </c>
      <c r="D1056" s="21" t="s">
        <v>455</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895</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896</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475</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row>
    <row r="1061" spans="1:12">
      <c r="A1061" s="20" t="s">
        <v>897</v>
      </c>
    </row>
    <row r="1062" spans="1:12">
      <c r="A1062" s="20" t="s">
        <v>898</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492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899</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492</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753</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900</v>
      </c>
      <c r="B1067" s="21" t="s">
        <v>504</v>
      </c>
      <c r="C1067" s="21" t="s">
        <v>885</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505</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544</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505</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901</v>
      </c>
      <c r="B1071" s="21" t="s">
        <v>478</v>
      </c>
      <c r="C1071" s="21" t="s">
        <v>546</v>
      </c>
      <c r="D1071" s="21" t="s">
        <v>455</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475</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row>
    <row r="1074" spans="1:12">
      <c r="A1074" s="20" t="s">
        <v>902</v>
      </c>
    </row>
    <row r="1075" spans="1:12">
      <c r="A1075" s="20" t="s">
        <v>843</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520</v>
      </c>
      <c r="B1076" s="21" t="s">
        <v>504</v>
      </c>
      <c r="C1076" s="21" t="s">
        <v>522</v>
      </c>
      <c r="D1076" s="21" t="s">
        <v>455</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503</v>
      </c>
      <c r="B1077" s="21" t="s">
        <v>521</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889</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460</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903</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901</v>
      </c>
      <c r="B1081" s="21" t="s">
        <v>467</v>
      </c>
      <c r="C1081" s="21" t="s">
        <v>546</v>
      </c>
      <c r="D1081" s="21" t="s">
        <v>455</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600</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505</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472</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850</v>
      </c>
      <c r="B1085" s="21" t="s">
        <v>478</v>
      </c>
      <c r="C1085" s="21" t="s">
        <v>474</v>
      </c>
      <c r="D1085" s="21" t="s">
        <v>455</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492</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520</v>
      </c>
      <c r="B1087" s="21" t="s">
        <v>539</v>
      </c>
      <c r="C1087" s="21" t="s">
        <v>522</v>
      </c>
      <c r="D1087" s="21" t="s">
        <v>455</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503</v>
      </c>
      <c r="B1088" s="21" t="s">
        <v>574</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889</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460</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903</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505</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501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599</v>
      </c>
      <c r="B1094" s="21" t="s">
        <v>478</v>
      </c>
      <c r="C1094" s="21" t="s">
        <v>474</v>
      </c>
      <c r="D1094" s="21" t="s">
        <v>455</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517</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664</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672</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904</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475</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row>
    <row r="1101" spans="1:12">
      <c r="A1101" s="20" t="s">
        <v>905</v>
      </c>
    </row>
    <row r="1102" spans="1:12">
      <c r="A1102" s="20" t="s">
        <v>901</v>
      </c>
      <c r="B1102" s="21" t="s">
        <v>539</v>
      </c>
      <c r="C1102" s="21" t="s">
        <v>546</v>
      </c>
      <c r="D1102" s="21" t="s">
        <v>455</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492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906</v>
      </c>
      <c r="B1104" s="21" t="s">
        <v>574</v>
      </c>
      <c r="C1104" s="21" t="s">
        <v>454</v>
      </c>
      <c r="D1104" s="21" t="s">
        <v>455</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753</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492</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505</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811</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855</v>
      </c>
      <c r="B1109" s="21" t="s">
        <v>478</v>
      </c>
      <c r="C1109" s="21" t="s">
        <v>485</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907</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582</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583</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908</v>
      </c>
      <c r="B1113" s="21" t="s">
        <v>462</v>
      </c>
      <c r="C1113" s="21" t="s">
        <v>474</v>
      </c>
      <c r="D1113" s="21" t="s">
        <v>455</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475</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row>
    <row r="1116" spans="1:12">
      <c r="A1116" s="20" t="s">
        <v>909</v>
      </c>
    </row>
    <row r="1117" spans="1:12">
      <c r="A1117" s="20" t="s">
        <v>603</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771</v>
      </c>
      <c r="B1118" s="21" t="s">
        <v>539</v>
      </c>
      <c r="C1118" s="21" t="s">
        <v>522</v>
      </c>
      <c r="D1118" s="21" t="s">
        <v>455</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492</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460</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502</v>
      </c>
      <c r="B1121" s="21" t="s">
        <v>462</v>
      </c>
      <c r="C1121" s="21" t="s">
        <v>463</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492</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910</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520</v>
      </c>
      <c r="B1124" s="21" t="s">
        <v>453</v>
      </c>
      <c r="C1124" s="21" t="s">
        <v>522</v>
      </c>
      <c r="D1124" s="21" t="s">
        <v>455</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503</v>
      </c>
      <c r="B1125" s="21" t="s">
        <v>512</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911</v>
      </c>
      <c r="B1126" s="21" t="s">
        <v>462</v>
      </c>
      <c r="C1126" s="21" t="s">
        <v>522</v>
      </c>
      <c r="D1126" s="21" t="s">
        <v>455</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562</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501</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912</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913</v>
      </c>
      <c r="B1130" s="21" t="s">
        <v>567</v>
      </c>
      <c r="C1130" s="21" t="s">
        <v>459</v>
      </c>
      <c r="D1130" s="21" t="s">
        <v>455</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460</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685</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864</v>
      </c>
      <c r="B1133" s="21" t="s">
        <v>496</v>
      </c>
      <c r="C1133" s="21" t="s">
        <v>474</v>
      </c>
      <c r="D1133" s="21" t="s">
        <v>455</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508</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500</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774</v>
      </c>
      <c r="B1136" s="21" t="s">
        <v>530</v>
      </c>
      <c r="C1136" s="21" t="s">
        <v>546</v>
      </c>
      <c r="D1136" s="21" t="s">
        <v>455</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492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501</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913</v>
      </c>
      <c r="B1139" s="21" t="s">
        <v>496</v>
      </c>
      <c r="C1139" s="21" t="s">
        <v>474</v>
      </c>
      <c r="D1139" s="21" t="s">
        <v>455</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517</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664</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774</v>
      </c>
      <c r="B1142" s="21" t="s">
        <v>914</v>
      </c>
      <c r="C1142" s="21" t="s">
        <v>546</v>
      </c>
      <c r="D1142" s="21" t="s">
        <v>455</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505</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915</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582</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457</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916</v>
      </c>
      <c r="B1147" s="21" t="s">
        <v>530</v>
      </c>
      <c r="C1147" s="21" t="s">
        <v>485</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483</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457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917</v>
      </c>
      <c r="B1150" s="21" t="s">
        <v>530</v>
      </c>
      <c r="C1150" s="21" t="s">
        <v>485</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475</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row>
    <row r="1153" spans="1:12">
      <c r="A1153" s="20" t="s">
        <v>918</v>
      </c>
    </row>
    <row r="1154" spans="1:12">
      <c r="A1154" s="20" t="s">
        <v>715</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919</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457</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920</v>
      </c>
      <c r="B1157" s="21" t="s">
        <v>539</v>
      </c>
      <c r="C1157" s="21" t="s">
        <v>485</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678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921</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475</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row>
    <row r="1162" spans="1:12">
      <c r="A1162" s="20" t="s">
        <v>922</v>
      </c>
    </row>
    <row r="1163" spans="1:12">
      <c r="A1163" s="20" t="s">
        <v>537</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206</v>
      </c>
      <c r="B1164" s="21" t="s">
        <v>478</v>
      </c>
      <c r="C1164" s="21" t="s">
        <v>474</v>
      </c>
      <c r="D1164" s="21" t="s">
        <v>455</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517</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664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635</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923</v>
      </c>
      <c r="B1168" s="21" t="s">
        <v>504</v>
      </c>
      <c r="C1168" s="21" t="s">
        <v>474</v>
      </c>
      <c r="D1168" s="21" t="s">
        <v>455</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924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582</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583</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908</v>
      </c>
      <c r="B1172" s="21" t="s">
        <v>467</v>
      </c>
      <c r="C1172" s="21" t="s">
        <v>474</v>
      </c>
      <c r="D1172" s="21" t="s">
        <v>455</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464</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465</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925</v>
      </c>
      <c r="B1175" s="21" t="s">
        <v>470</v>
      </c>
      <c r="C1175" s="21" t="s">
        <v>474</v>
      </c>
      <c r="D1175" s="21" t="s">
        <v>455</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926</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698</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927</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501</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299</v>
      </c>
      <c r="B1180" s="21" t="s">
        <v>462</v>
      </c>
      <c r="C1180" s="21" t="s">
        <v>474</v>
      </c>
      <c r="D1180" s="21" t="s">
        <v>455</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928</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475</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row>
    <row r="1184" spans="1:12">
      <c r="A1184" s="20" t="s">
        <v>929</v>
      </c>
    </row>
    <row r="1185" spans="1:12">
      <c r="A1185" s="20" t="s">
        <v>573</v>
      </c>
      <c r="B1185" s="21" t="s">
        <v>539</v>
      </c>
      <c r="C1185" s="21" t="s">
        <v>522</v>
      </c>
      <c r="D1185" s="21" t="s">
        <v>455</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503</v>
      </c>
      <c r="B1186" s="21" t="s">
        <v>512</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889</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930</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931</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517</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932</v>
      </c>
      <c r="B1191" s="21" t="s">
        <v>470</v>
      </c>
      <c r="C1191" s="21" t="s">
        <v>459</v>
      </c>
      <c r="D1191" s="21" t="s">
        <v>455</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460</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906</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933</v>
      </c>
      <c r="B1194" s="21" t="s">
        <v>467</v>
      </c>
      <c r="C1194" s="21" t="s">
        <v>459</v>
      </c>
      <c r="D1194" s="21" t="s">
        <v>455</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460</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553</v>
      </c>
      <c r="B1196" s="21" t="s">
        <v>496</v>
      </c>
      <c r="C1196" s="21" t="s">
        <v>546</v>
      </c>
      <c r="D1196" s="21" t="s">
        <v>455</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12</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547</v>
      </c>
      <c r="B1198" s="21" t="s">
        <v>467</v>
      </c>
      <c r="C1198" s="21" t="s">
        <v>546</v>
      </c>
      <c r="D1198" s="21" t="s">
        <v>455</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505</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716</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501</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934</v>
      </c>
      <c r="B1202" s="21" t="s">
        <v>478</v>
      </c>
      <c r="C1202" s="21" t="s">
        <v>459</v>
      </c>
      <c r="D1202" s="21" t="s">
        <v>455</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460</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935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936</v>
      </c>
      <c r="B1205" s="21" t="s">
        <v>478</v>
      </c>
      <c r="C1205" s="21" t="s">
        <v>459</v>
      </c>
      <c r="D1205" s="21" t="s">
        <v>455</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460</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937</v>
      </c>
      <c r="B1207" s="21" t="s">
        <v>462</v>
      </c>
      <c r="C1207" s="21" t="s">
        <v>459</v>
      </c>
      <c r="D1207" s="21" t="s">
        <v>455</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460</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589</v>
      </c>
      <c r="B1209" s="21" t="s">
        <v>470</v>
      </c>
      <c r="C1209" s="21" t="s">
        <v>463</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475</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row>
    <row r="1212" spans="1:12">
      <c r="A1212" s="20" t="s">
        <v>938</v>
      </c>
    </row>
    <row r="1213" spans="1:12">
      <c r="A1213" s="20" t="s">
        <v>715</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214</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503</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939</v>
      </c>
      <c r="B1216" s="21" t="s">
        <v>504</v>
      </c>
      <c r="C1216" s="21" t="s">
        <v>459</v>
      </c>
      <c r="D1216" s="21" t="s">
        <v>455</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460</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940</v>
      </c>
      <c r="B1218" s="21" t="s">
        <v>470</v>
      </c>
      <c r="C1218" s="21" t="s">
        <v>463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460</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941</v>
      </c>
      <c r="B1220" s="21" t="s">
        <v>470</v>
      </c>
      <c r="C1220" s="21" t="s">
        <v>463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942</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503</v>
      </c>
      <c r="B1222" s="21" t="s">
        <v>521</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943</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811</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855</v>
      </c>
      <c r="B1225" s="21" t="s">
        <v>567</v>
      </c>
      <c r="C1225" s="21" t="s">
        <v>485</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795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944</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906</v>
      </c>
      <c r="B1228" s="21" t="s">
        <v>563</v>
      </c>
      <c r="C1228" s="21" t="s">
        <v>454</v>
      </c>
      <c r="D1228" s="21" t="s">
        <v>455</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945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946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492</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464</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947</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517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599</v>
      </c>
      <c r="B1235" s="21" t="s">
        <v>478</v>
      </c>
      <c r="C1235" s="21" t="s">
        <v>459</v>
      </c>
      <c r="D1235" s="21" t="s">
        <v>455</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516</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597</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491</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492</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948</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480</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949</v>
      </c>
      <c r="B1242" s="21" t="s">
        <v>462</v>
      </c>
      <c r="C1242" s="21" t="s">
        <v>463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950</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517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811</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951</v>
      </c>
      <c r="B1246" s="21" t="s">
        <v>467</v>
      </c>
      <c r="C1246" s="21" t="s">
        <v>485</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952</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475</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row>
    <row r="1250" spans="1:12">
      <c r="A1250" s="20" t="s">
        <v>953</v>
      </c>
    </row>
    <row r="1251" spans="1:12">
      <c r="A1251" s="20" t="s">
        <v>763</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662</v>
      </c>
      <c r="B1252" s="21" t="s">
        <v>478</v>
      </c>
      <c r="C1252" s="21" t="s">
        <v>463</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505</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822</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503</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954</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955</v>
      </c>
      <c r="B1257" s="21" t="s">
        <v>504</v>
      </c>
      <c r="C1257" s="21" t="s">
        <v>459</v>
      </c>
      <c r="D1257" s="21" t="s">
        <v>455</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460</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618</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660</v>
      </c>
      <c r="B1260" s="21" t="s">
        <v>470</v>
      </c>
      <c r="C1260" s="21" t="s">
        <v>513</v>
      </c>
      <c r="D1260" s="21" t="s">
        <v>455</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460</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661</v>
      </c>
      <c r="B1262" s="21" t="s">
        <v>467</v>
      </c>
      <c r="C1262" s="21" t="s">
        <v>463</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593</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505</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956</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517</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501</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957</v>
      </c>
      <c r="B1268" s="21" t="s">
        <v>462</v>
      </c>
      <c r="C1268" s="21" t="s">
        <v>474</v>
      </c>
      <c r="D1268" s="21" t="s">
        <v>455</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517</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664</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583</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941</v>
      </c>
      <c r="B1272" s="21" t="s">
        <v>521</v>
      </c>
      <c r="C1272" s="21" t="s">
        <v>474</v>
      </c>
      <c r="D1272" s="21" t="s">
        <v>455</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636</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958</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501</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920</v>
      </c>
      <c r="B1276" s="21" t="s">
        <v>567</v>
      </c>
      <c r="C1276" s="21" t="s">
        <v>459</v>
      </c>
      <c r="D1276" s="21" t="s">
        <v>455</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460</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705</v>
      </c>
      <c r="B1278" s="21" t="s">
        <v>496</v>
      </c>
      <c r="C1278" s="21" t="s">
        <v>463</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503</v>
      </c>
      <c r="B1279" s="21" t="s">
        <v>914</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600</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959</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597</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475</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row>
    <row r="1285" spans="1:12">
      <c r="A1285" s="20" t="s">
        <v>881</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960</v>
      </c>
    </row>
    <row r="1287" spans="1:12">
      <c r="A1287" s="20" t="s">
        <v>843</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787</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505</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811</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741</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961</v>
      </c>
      <c r="B1292" s="21" t="s">
        <v>539</v>
      </c>
      <c r="C1292" s="21" t="s">
        <v>485</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503</v>
      </c>
      <c r="B1293" s="21" t="s">
        <v>512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859</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962</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771</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963</v>
      </c>
      <c r="B1297" s="21" t="s">
        <v>574</v>
      </c>
      <c r="C1297" s="21" t="s">
        <v>513</v>
      </c>
      <c r="D1297" s="21" t="s">
        <v>455</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492</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503</v>
      </c>
      <c r="B1299" s="21" t="s">
        <v>512</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505</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492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883</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884</v>
      </c>
      <c r="B1303" s="21" t="s">
        <v>512</v>
      </c>
      <c r="C1303" s="21" t="s">
        <v>546</v>
      </c>
      <c r="D1303" s="21" t="s">
        <v>455</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964</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965</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542</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966</v>
      </c>
      <c r="B1307" s="21" t="s">
        <v>574</v>
      </c>
      <c r="C1307" s="21" t="s">
        <v>967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492</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503</v>
      </c>
      <c r="B1309" s="21" t="s">
        <v>587</v>
      </c>
      <c r="C1309" s="21" t="s">
        <v>885</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886</v>
      </c>
      <c r="B1310" s="21" t="s">
        <v>667</v>
      </c>
      <c r="C1310" s="21" t="s">
        <v>580</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968</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501</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969</v>
      </c>
      <c r="B1313" s="21" t="s">
        <v>671</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891</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883</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row>
    <row r="1317" spans="1:12">
      <c r="A1317" s="20" t="s">
        <v>970</v>
      </c>
    </row>
    <row r="1318" spans="1:12">
      <c r="A1318" s="20" t="s">
        <v>573</v>
      </c>
      <c r="B1318" s="21" t="s">
        <v>539</v>
      </c>
      <c r="C1318" s="21" t="s">
        <v>522</v>
      </c>
      <c r="D1318" s="21" t="s">
        <v>455</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503</v>
      </c>
      <c r="B1319" s="21" t="s">
        <v>574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971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505</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503</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972</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787</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505</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595</v>
      </c>
      <c r="B1326" s="21" t="s">
        <v>504</v>
      </c>
      <c r="C1326" s="21" t="s">
        <v>596</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503</v>
      </c>
      <c r="B1327" s="21" t="s">
        <v>521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973</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501</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969</v>
      </c>
      <c r="B1330" s="21" t="s">
        <v>567</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492</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464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974</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975</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471</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472</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607</v>
      </c>
      <c r="B1337" s="21" t="s">
        <v>462</v>
      </c>
      <c r="C1337" s="21" t="s">
        <v>459</v>
      </c>
      <c r="D1337" s="21" t="s">
        <v>455</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460</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553</v>
      </c>
      <c r="B1339" s="21" t="s">
        <v>470</v>
      </c>
      <c r="C1339" s="21" t="s">
        <v>546</v>
      </c>
      <c r="D1339" s="21" t="s">
        <v>455</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12</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547</v>
      </c>
      <c r="B1341" s="21" t="s">
        <v>467</v>
      </c>
      <c r="C1341" s="21" t="s">
        <v>546</v>
      </c>
      <c r="D1341" s="21" t="s">
        <v>455</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460</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664</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964</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976</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475</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row>
    <row r="1348" spans="1:12">
      <c r="A1348" s="20" t="s">
        <v>977</v>
      </c>
    </row>
    <row r="1349" spans="1:12">
      <c r="A1349" s="20" t="s">
        <v>978</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505</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544</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635</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746</v>
      </c>
      <c r="B1353" s="21" t="s">
        <v>478</v>
      </c>
      <c r="C1353" s="21" t="s">
        <v>474</v>
      </c>
      <c r="D1353" s="21" t="s">
        <v>455</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475</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row>
    <row r="1356" spans="1:12">
      <c r="A1356" s="20" t="s">
        <v>979</v>
      </c>
    </row>
    <row r="1357" spans="1:12">
      <c r="A1357" s="20" t="s">
        <v>980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981</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982</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480</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510</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501</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983</v>
      </c>
      <c r="B1363" s="21" t="s">
        <v>563</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492</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754</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984</v>
      </c>
      <c r="B1366" s="21" t="s">
        <v>539</v>
      </c>
      <c r="C1366" s="21" t="s">
        <v>580</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985</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460</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472</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986</v>
      </c>
      <c r="B1370" s="21" t="s">
        <v>478</v>
      </c>
      <c r="C1370" s="21" t="s">
        <v>459</v>
      </c>
      <c r="D1370" s="21" t="s">
        <v>455</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460</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685</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987</v>
      </c>
      <c r="B1373" s="21" t="s">
        <v>462</v>
      </c>
      <c r="C1373" s="21" t="s">
        <v>474</v>
      </c>
      <c r="D1373" s="21" t="s">
        <v>455</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492</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988</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206</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989</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503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635</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746</v>
      </c>
      <c r="B1380" s="21" t="s">
        <v>512</v>
      </c>
      <c r="C1380" s="21" t="s">
        <v>459</v>
      </c>
      <c r="D1380" s="21" t="s">
        <v>455</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460</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990</v>
      </c>
      <c r="B1382" s="21" t="s">
        <v>467</v>
      </c>
      <c r="C1382" s="21" t="s">
        <v>463</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991</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992</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993</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492</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972</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516</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517</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518</v>
      </c>
      <c r="B1390" s="21" t="s">
        <v>470</v>
      </c>
      <c r="C1390" s="21" t="s">
        <v>463</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475</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row>
    <row r="1393" spans="1:12">
      <c r="A1393" s="20" t="s">
        <v>994</v>
      </c>
    </row>
    <row r="1394" spans="1:12">
      <c r="A1394" s="20" t="s">
        <v>843</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206</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815</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995</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503</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992</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996</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501</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600</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997</v>
      </c>
      <c r="B1404" s="21" t="s">
        <v>563</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475</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row>
    <row r="1407" spans="1:12">
      <c r="A1407" s="20" t="s">
        <v>998</v>
      </c>
    </row>
    <row r="1408" spans="1:12">
      <c r="A1408" s="20" t="s">
        <v>980</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999</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480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501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1000</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492</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600</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815</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687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1001</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635</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746</v>
      </c>
      <c r="B1419" s="21" t="s">
        <v>539</v>
      </c>
      <c r="C1419" s="21" t="s">
        <v>459</v>
      </c>
      <c r="D1419" s="21" t="s">
        <v>455</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991</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500</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465</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1002</v>
      </c>
      <c r="B1423" s="21" t="s">
        <v>462</v>
      </c>
      <c r="C1423" s="21" t="s">
        <v>474</v>
      </c>
      <c r="D1423" s="21" t="s">
        <v>455</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492</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626</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787</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206</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507</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618</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1003</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1004</v>
      </c>
      <c r="B1431" s="21" t="s">
        <v>478</v>
      </c>
      <c r="C1431" s="21" t="s">
        <v>513</v>
      </c>
      <c r="D1431" s="21" t="s">
        <v>455</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460</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501</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997</v>
      </c>
      <c r="B1434" s="21" t="s">
        <v>462</v>
      </c>
      <c r="C1434" s="21" t="s">
        <v>474</v>
      </c>
      <c r="D1434" s="21" t="s">
        <v>455</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500</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501</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600</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12</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997</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475</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row>
    <row r="1442" spans="1:12">
      <c r="A1442" s="20" t="s">
        <v>1005</v>
      </c>
    </row>
    <row r="1443" spans="1:12">
      <c r="A1443" s="20" t="s">
        <v>603</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597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244</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460</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633</v>
      </c>
      <c r="B1447" s="21" t="s">
        <v>478</v>
      </c>
      <c r="C1447" s="21" t="s">
        <v>596</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492</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533</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1006</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1007</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771</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963</v>
      </c>
      <c r="B1453" s="21" t="s">
        <v>563</v>
      </c>
      <c r="C1453" s="21" t="s">
        <v>513</v>
      </c>
      <c r="D1453" s="21" t="s">
        <v>455</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492</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520</v>
      </c>
      <c r="B1455" s="21" t="s">
        <v>521</v>
      </c>
      <c r="C1455" s="21" t="s">
        <v>522</v>
      </c>
      <c r="D1455" s="21" t="s">
        <v>455</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503</v>
      </c>
      <c r="B1456" s="21" t="s">
        <v>523</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1008</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505</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503</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510</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472</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765</v>
      </c>
      <c r="B1462" s="21" t="s">
        <v>667</v>
      </c>
      <c r="C1462" s="21" t="s">
        <v>459</v>
      </c>
      <c r="D1462" s="21" t="s">
        <v>455</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460</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1009</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746</v>
      </c>
      <c r="B1465" s="21" t="s">
        <v>587</v>
      </c>
      <c r="C1465" s="21" t="s">
        <v>513</v>
      </c>
      <c r="D1465" s="21" t="s">
        <v>455</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1010</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698</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740</v>
      </c>
      <c r="B1468" s="21" t="s">
        <v>467</v>
      </c>
      <c r="C1468" s="21" t="s">
        <v>463</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503</v>
      </c>
      <c r="B1469" s="21" t="s">
        <v>523</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636</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457</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1011</v>
      </c>
      <c r="B1472" s="21" t="s">
        <v>529</v>
      </c>
      <c r="C1472" s="21" t="s">
        <v>485</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1012</v>
      </c>
      <c r="B1473" s="21" t="s">
        <v>530</v>
      </c>
      <c r="C1473" s="21" t="s">
        <v>546</v>
      </c>
      <c r="D1473" s="21" t="s">
        <v>455</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475</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1013</v>
      </c>
      <c r="B1475" s="21" t="s">
        <v>723</v>
      </c>
      <c r="C1475" s="21" t="s">
        <v>546</v>
      </c>
      <c r="D1475" s="21" t="s">
        <v>455</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500</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457</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1014</v>
      </c>
      <c r="B1478" s="21" t="s">
        <v>723</v>
      </c>
      <c r="C1478" s="21" t="s">
        <v>485</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652</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500</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457</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t="s">
        <v>1015</v>
      </c>
      <c r="B1482" s="21" t="s">
        <v>723</v>
      </c>
      <c r="C1482" s="21" t="s">
        <v>546</v>
      </c>
      <c r="D1482" s="21" t="s">
        <v>455</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475</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row>
    <row r="1485" spans="1:12">
      <c r="A1485" s="20" t="s">
        <v>1016</v>
      </c>
    </row>
    <row r="1486" spans="1:12">
      <c r="A1486" s="20" t="s">
        <v>843</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125</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457</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1011</v>
      </c>
      <c r="B1489" s="21" t="s">
        <v>453</v>
      </c>
      <c r="C1489" s="21" t="s">
        <v>459</v>
      </c>
      <c r="D1489" s="21" t="s">
        <v>455</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1017</v>
      </c>
      <c r="B1490" s="21" t="s">
        <v>462</v>
      </c>
      <c r="C1490" s="21" t="s">
        <v>546</v>
      </c>
      <c r="D1490" s="21" t="s">
        <v>455</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1018</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503</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593</v>
      </c>
      <c r="B1493" s="21" t="s">
        <v>470</v>
      </c>
      <c r="C1493" s="21" t="s">
        <v>454</v>
      </c>
      <c r="D1493" s="21" t="s">
        <v>455</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795</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1019</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483</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1020</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746</v>
      </c>
      <c r="B1498" s="21" t="s">
        <v>470</v>
      </c>
      <c r="C1498" s="21" t="s">
        <v>463</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503</v>
      </c>
      <c r="B1499" s="21" t="s">
        <v>667</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636</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457</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1011</v>
      </c>
      <c r="B1502" s="21" t="s">
        <v>671</v>
      </c>
      <c r="C1502" s="21" t="s">
        <v>459</v>
      </c>
      <c r="D1502" s="21" t="s">
        <v>455</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1012</v>
      </c>
      <c r="B1503" s="21" t="s">
        <v>587</v>
      </c>
      <c r="C1503" s="21" t="s">
        <v>546</v>
      </c>
      <c r="D1503" s="21" t="s">
        <v>455</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475</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row>
    <row r="1506" spans="1:12">
      <c r="A1506" s="20" t="s">
        <v>1021</v>
      </c>
    </row>
    <row r="1507" spans="1:12">
      <c r="A1507" s="20" t="s">
        <v>1022</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503</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669</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802</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1023</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686</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765</v>
      </c>
      <c r="B1513" s="21" t="s">
        <v>574</v>
      </c>
      <c r="C1513" s="21" t="s">
        <v>459</v>
      </c>
      <c r="D1513" s="21" t="s">
        <v>455</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460</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472</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1024</v>
      </c>
      <c r="B1516" s="21" t="s">
        <v>467</v>
      </c>
      <c r="C1516" s="21" t="s">
        <v>474</v>
      </c>
      <c r="D1516" s="21" t="s">
        <v>455</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1025</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678</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1026</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1027</v>
      </c>
      <c r="B1520" s="21" t="s">
        <v>567</v>
      </c>
      <c r="C1520" s="21" t="s">
        <v>463</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492</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606</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886</v>
      </c>
      <c r="B1523" s="21" t="s">
        <v>496</v>
      </c>
      <c r="C1523" s="21" t="s">
        <v>485</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1028</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1029</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475</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row>
    <row r="1528" spans="1:12">
      <c r="A1528" s="20" t="s">
        <v>1030</v>
      </c>
    </row>
    <row r="1529" spans="1:12">
      <c r="A1529" s="20" t="s">
        <v>980</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1031</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1032</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635</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1033</v>
      </c>
      <c r="B1533" s="21" t="s">
        <v>574</v>
      </c>
      <c r="C1533" s="21" t="s">
        <v>474</v>
      </c>
      <c r="D1533" s="21" t="s">
        <v>455</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1034</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483</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1035</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492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1036</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672</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1037</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595</v>
      </c>
      <c r="B1541" s="21" t="s">
        <v>539</v>
      </c>
      <c r="C1541" s="21" t="s">
        <v>596</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460</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1038</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475</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row>
    <row r="1546" spans="1:12">
      <c r="A1546" s="20" t="s">
        <v>1039</v>
      </c>
    </row>
    <row r="1547" spans="1:12">
      <c r="A1547" s="20" t="s">
        <v>843</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600</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546</v>
      </c>
      <c r="B1549" s="21" t="s">
        <v>453</v>
      </c>
      <c r="C1549" s="21" t="s">
        <v>454</v>
      </c>
      <c r="D1549" s="21" t="s">
        <v>455</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1040</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1041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475</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row>
    <row r="1554" spans="1:12">
      <c r="A1554" s="20" t="s">
        <v>1042</v>
      </c>
    </row>
    <row r="1555" spans="1:12">
      <c r="A1555" s="20" t="s">
        <v>980</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1031</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1032</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635</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1033</v>
      </c>
      <c r="B1559" s="21" t="s">
        <v>574</v>
      </c>
      <c r="C1559" s="21" t="s">
        <v>474</v>
      </c>
      <c r="D1559" s="21" t="s">
        <v>455</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1034</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480</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501</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1043</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492</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964</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457</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1044</v>
      </c>
      <c r="B1567" s="21" t="s">
        <v>453</v>
      </c>
      <c r="C1567" s="21" t="s">
        <v>459</v>
      </c>
      <c r="D1567" s="21" t="s">
        <v>455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1045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492</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433</v>
      </c>
      <c r="B1570" s="21" t="s">
        <v>470</v>
      </c>
      <c r="C1570" s="21" t="s">
        <v>463</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480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1046</v>
      </c>
      <c r="B1572" s="21" t="s">
        <v>462</v>
      </c>
      <c r="C1572" s="21" t="s">
        <v>546</v>
      </c>
      <c r="D1572" s="21" t="s">
        <v>455</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475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row>
    <row r="1575" spans="1:12">
      <c r="A1575" s="20" t="s">
        <v>1047</v>
      </c>
    </row>
    <row r="1576" spans="1:12">
      <c r="A1576" s="20" t="s">
        <v>715</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1048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503</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501</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1049</v>
      </c>
      <c r="B1580" s="21" t="s">
        <v>504</v>
      </c>
      <c r="C1580" s="21" t="s">
        <v>474</v>
      </c>
      <c r="D1580" s="21" t="s">
        <v>455</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821</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516</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597</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1050</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460</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501</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1051</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475</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row>
    <row r="1590" spans="1:12">
      <c r="A1590" s="20" t="s">
        <v>1052</v>
      </c>
    </row>
    <row r="1591" spans="1:12">
      <c r="A1591" s="20" t="s">
        <v>814</v>
      </c>
      <c r="B1591" s="21" t="s">
        <v>539</v>
      </c>
      <c r="C1591" s="21" t="s">
        <v>522</v>
      </c>
      <c r="D1591" s="21" t="s">
        <v>455</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1053</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606</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1054</v>
      </c>
      <c r="B1594" s="21" t="s">
        <v>453</v>
      </c>
      <c r="C1594" s="21" t="s">
        <v>459</v>
      </c>
      <c r="D1594" s="21" t="s">
        <v>455</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678</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1055</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517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685</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686</v>
      </c>
      <c r="B1599" s="21" t="s">
        <v>462</v>
      </c>
      <c r="C1599" s="21" t="s">
        <v>459</v>
      </c>
      <c r="D1599" s="21" t="s">
        <v>455</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460</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465</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740</v>
      </c>
      <c r="B1602" s="21" t="s">
        <v>470</v>
      </c>
      <c r="C1602" s="21" t="s">
        <v>474</v>
      </c>
      <c r="D1602" s="21" t="s">
        <v>455</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503</v>
      </c>
      <c r="B1603" s="21" t="s">
        <v>667</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698</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1056</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471</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457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1011</v>
      </c>
      <c r="B1608" s="21" t="s">
        <v>496</v>
      </c>
      <c r="C1608" s="21" t="s">
        <v>459</v>
      </c>
      <c r="D1608" s="21" t="s">
        <v>455</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1012</v>
      </c>
      <c r="B1609" s="21" t="s">
        <v>587</v>
      </c>
      <c r="C1609" s="21" t="s">
        <v>546</v>
      </c>
      <c r="D1609" s="21" t="s">
        <v>455</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475</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row>
    <row r="1612" spans="1:12">
      <c r="A1612" s="20" t="s">
        <v>1057</v>
      </c>
    </row>
    <row r="1613" spans="1:12">
      <c r="A1613" s="20" t="s">
        <v>980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501</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1044</v>
      </c>
      <c r="B1615" s="21" t="s">
        <v>504</v>
      </c>
      <c r="C1615" s="21" t="s">
        <v>459</v>
      </c>
      <c r="D1615" s="21" t="s">
        <v>455</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460</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1058</v>
      </c>
      <c r="B1617" s="21" t="s">
        <v>470</v>
      </c>
      <c r="C1617" s="21" t="s">
        <v>463</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503</v>
      </c>
      <c r="B1618" s="21" t="s">
        <v>671</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1059</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1060</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505</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601</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480</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501</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1044</v>
      </c>
      <c r="B1625" s="21" t="s">
        <v>462</v>
      </c>
      <c r="C1625" s="21" t="s">
        <v>459</v>
      </c>
      <c r="D1625" s="21" t="s">
        <v>455</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460</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1061</v>
      </c>
      <c r="B1627" s="21" t="s">
        <v>470</v>
      </c>
      <c r="C1627" s="21" t="s">
        <v>459</v>
      </c>
      <c r="D1627" s="21" t="s">
        <v>455</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460</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1062</v>
      </c>
      <c r="B1629" s="21" t="s">
        <v>467</v>
      </c>
      <c r="C1629" s="21" t="s">
        <v>459</v>
      </c>
      <c r="D1629" s="21" t="s">
        <v>455</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460</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987</v>
      </c>
      <c r="B1631" s="21" t="s">
        <v>496</v>
      </c>
      <c r="C1631" s="21" t="s">
        <v>463</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492</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606</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1054</v>
      </c>
      <c r="B1634" s="21" t="s">
        <v>539</v>
      </c>
      <c r="C1634" s="21" t="s">
        <v>459</v>
      </c>
      <c r="D1634" s="21" t="s">
        <v>455</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678</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1055</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517</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472</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1063</v>
      </c>
      <c r="B1639" s="21" t="s">
        <v>462</v>
      </c>
      <c r="C1639" s="21" t="s">
        <v>459</v>
      </c>
      <c r="D1639" s="21" t="s">
        <v>455</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460</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746</v>
      </c>
      <c r="B1641" s="21" t="s">
        <v>470</v>
      </c>
      <c r="C1641" s="21" t="s">
        <v>463</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505</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606</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1054</v>
      </c>
      <c r="B1644" s="21" t="s">
        <v>478</v>
      </c>
      <c r="C1644" s="21" t="s">
        <v>459</v>
      </c>
      <c r="D1644" s="21" t="s">
        <v>455</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678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1064</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460</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501</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1044</v>
      </c>
      <c r="B1649" s="21" t="s">
        <v>478</v>
      </c>
      <c r="C1649" s="21" t="s">
        <v>459</v>
      </c>
      <c r="D1649" s="21" t="s">
        <v>455</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460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1027</v>
      </c>
      <c r="B1651" s="21" t="s">
        <v>462</v>
      </c>
      <c r="C1651" s="21" t="s">
        <v>463</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503</v>
      </c>
      <c r="B1652" s="21" t="s">
        <v>567</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1059</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51</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517</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1009</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746</v>
      </c>
      <c r="B1657" s="21" t="s">
        <v>467</v>
      </c>
      <c r="C1657" s="21" t="s">
        <v>513</v>
      </c>
      <c r="D1657" s="21" t="s">
        <v>455</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680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771</v>
      </c>
      <c r="B1659" s="21" t="s">
        <v>478</v>
      </c>
      <c r="C1659" s="21" t="s">
        <v>522</v>
      </c>
      <c r="D1659" s="21" t="s">
        <v>455</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815</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517</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583</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1065</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49</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652</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54</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766</v>
      </c>
      <c r="B1667" s="21" t="s">
        <v>462</v>
      </c>
      <c r="C1667" s="21" t="s">
        <v>474</v>
      </c>
      <c r="D1667" s="21" t="s">
        <v>455</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475</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row>
    <row r="1670" spans="1:12">
      <c r="A1670" s="20" t="s">
        <v>1066</v>
      </c>
    </row>
    <row r="1671" spans="1:12">
      <c r="A1671" s="20" t="s">
        <v>814</v>
      </c>
      <c r="B1671" s="21" t="s">
        <v>539</v>
      </c>
      <c r="C1671" s="21" t="s">
        <v>522</v>
      </c>
      <c r="D1671" s="21" t="s">
        <v>455</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492</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1067</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1068</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492</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505</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457</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1069</v>
      </c>
      <c r="B1678" s="21" t="s">
        <v>478</v>
      </c>
      <c r="C1678" s="21" t="s">
        <v>459</v>
      </c>
      <c r="D1678" s="21" t="s">
        <v>455</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1070</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492</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457</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1069</v>
      </c>
      <c r="B1682" s="21" t="s">
        <v>478</v>
      </c>
      <c r="C1682" s="21" t="s">
        <v>459</v>
      </c>
      <c r="D1682" s="21" t="s">
        <v>455</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1071</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517</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685</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864</v>
      </c>
      <c r="B1686" s="21" t="s">
        <v>462</v>
      </c>
      <c r="C1686" s="21" t="s">
        <v>459</v>
      </c>
      <c r="D1686" s="21" t="s">
        <v>455</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460</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501</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576</v>
      </c>
      <c r="B1689" s="21" t="s">
        <v>470</v>
      </c>
      <c r="C1689" s="21" t="s">
        <v>474</v>
      </c>
      <c r="D1689" s="21" t="s">
        <v>455</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517</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664</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1072</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475</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row>
    <row r="1695" spans="1:12">
      <c r="A1695" s="20" t="s">
        <v>1073</v>
      </c>
    </row>
    <row r="1696" spans="1:12">
      <c r="A1696" s="20" t="s">
        <v>829</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1074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1075</v>
      </c>
      <c r="B1698" s="21" t="s">
        <v>539</v>
      </c>
      <c r="C1698" s="21" t="s">
        <v>459</v>
      </c>
      <c r="D1698" s="21" t="s">
        <v>455</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1076</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492</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520</v>
      </c>
      <c r="B1701" s="21" t="s">
        <v>462</v>
      </c>
      <c r="C1701" s="21" t="s">
        <v>522</v>
      </c>
      <c r="D1701" s="21" t="s">
        <v>455</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460</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1077</v>
      </c>
      <c r="B1703" s="21" t="s">
        <v>470</v>
      </c>
      <c r="C1703" s="21" t="s">
        <v>546</v>
      </c>
      <c r="D1703" s="21" t="s">
        <v>455</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1078</v>
      </c>
      <c r="B1704" s="21" t="s">
        <v>467</v>
      </c>
      <c r="C1704" s="21" t="s">
        <v>546</v>
      </c>
      <c r="D1704" s="21" t="s">
        <v>455</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492</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505</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716</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1079</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480</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501</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1080</v>
      </c>
      <c r="B1711" s="21" t="s">
        <v>478</v>
      </c>
      <c r="C1711" s="21" t="s">
        <v>459</v>
      </c>
      <c r="D1711" s="21" t="s">
        <v>455</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460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501</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1081</v>
      </c>
      <c r="B1714" s="21" t="s">
        <v>462</v>
      </c>
      <c r="C1714" s="21" t="s">
        <v>459</v>
      </c>
      <c r="D1714" s="21" t="s">
        <v>455</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1082</v>
      </c>
      <c r="B1715" s="21" t="s">
        <v>470</v>
      </c>
      <c r="C1715" s="21" t="s">
        <v>546</v>
      </c>
      <c r="D1715" s="21" t="s">
        <v>455</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1083</v>
      </c>
      <c r="B1716" s="21" t="s">
        <v>467</v>
      </c>
      <c r="C1716" s="21" t="s">
        <v>546</v>
      </c>
      <c r="D1716" s="21" t="s">
        <v>455</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517</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501</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983</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492</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988</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505</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1084</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510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1085</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1086</v>
      </c>
      <c r="B1726" s="21" t="s">
        <v>504</v>
      </c>
      <c r="C1726" s="21" t="s">
        <v>459</v>
      </c>
      <c r="D1726" s="21" t="s">
        <v>455</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460</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1087</v>
      </c>
      <c r="B1728" s="21" t="s">
        <v>470</v>
      </c>
      <c r="C1728" s="21" t="s">
        <v>463</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464</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510</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49</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766</v>
      </c>
      <c r="B1732" s="21" t="s">
        <v>470</v>
      </c>
      <c r="C1732" s="21" t="s">
        <v>459</v>
      </c>
      <c r="D1732" s="21" t="s">
        <v>455</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460</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1088</v>
      </c>
      <c r="B1734" s="21" t="s">
        <v>467</v>
      </c>
      <c r="C1734" s="21" t="s">
        <v>463</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678</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282</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501</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1075</v>
      </c>
      <c r="B1738" s="21" t="s">
        <v>574</v>
      </c>
      <c r="C1738" s="21" t="s">
        <v>459</v>
      </c>
      <c r="D1738" s="21" t="s">
        <v>455</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460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606</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1089</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1090</v>
      </c>
      <c r="B1742" s="21" t="s">
        <v>467</v>
      </c>
      <c r="C1742" s="21" t="s">
        <v>485</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475</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row>
    <row r="1745" spans="1:12">
      <c r="A1745" s="20" t="s">
        <v>1091</v>
      </c>
    </row>
    <row r="1746" spans="1:12">
      <c r="A1746" s="20" t="s">
        <v>1092</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995</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635</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699</v>
      </c>
      <c r="B1749" s="21" t="s">
        <v>539</v>
      </c>
      <c r="C1749" s="21" t="s">
        <v>474</v>
      </c>
      <c r="D1749" s="21" t="s">
        <v>455</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678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282</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501</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1075</v>
      </c>
      <c r="B1753" s="21" t="s">
        <v>574</v>
      </c>
      <c r="C1753" s="21" t="s">
        <v>474</v>
      </c>
      <c r="D1753" s="21" t="s">
        <v>455</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698</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1093</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475</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row>
    <row r="1758" spans="1:12">
      <c r="A1758" s="20" t="s">
        <v>1094</v>
      </c>
    </row>
    <row r="1759" spans="1:12">
      <c r="A1759" s="20" t="s">
        <v>1095</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502</v>
      </c>
      <c r="B1760" s="21" t="s">
        <v>462</v>
      </c>
      <c r="C1760" s="21" t="s">
        <v>463</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492</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517</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583</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1065</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766</v>
      </c>
      <c r="B1765" s="21" t="s">
        <v>462</v>
      </c>
      <c r="C1765" s="21" t="s">
        <v>474</v>
      </c>
      <c r="D1765" s="21" t="s">
        <v>455</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698</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1093</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517</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599</v>
      </c>
      <c r="B1769" s="21" t="s">
        <v>462</v>
      </c>
      <c r="C1769" s="21" t="s">
        <v>463</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972</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1096</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492</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480</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501</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1097</v>
      </c>
      <c r="B1775" s="21" t="s">
        <v>478</v>
      </c>
      <c r="C1775" s="21" t="s">
        <v>474</v>
      </c>
      <c r="D1775" s="21" t="s">
        <v>455</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503</v>
      </c>
      <c r="B1776" s="21" t="s">
        <v>512</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1098</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501</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1099</v>
      </c>
      <c r="B1779" s="21" t="s">
        <v>574</v>
      </c>
      <c r="C1779" s="21" t="s">
        <v>474</v>
      </c>
      <c r="D1779" s="21" t="s">
        <v>455</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505</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1035</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1100</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635</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1101</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1087</v>
      </c>
      <c r="B1785" s="21" t="s">
        <v>462</v>
      </c>
      <c r="C1785" s="21" t="s">
        <v>474</v>
      </c>
      <c r="D1785" s="21" t="s">
        <v>455</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492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988</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505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1102</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471</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1103</v>
      </c>
      <c r="B1791" s="21" t="s">
        <v>478</v>
      </c>
      <c r="C1791" s="21" t="s">
        <v>463</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503</v>
      </c>
      <c r="B1792" s="21" t="s">
        <v>512</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1104</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501</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1105</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1106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1100</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635</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393</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1087</v>
      </c>
      <c r="B1800" s="21" t="s">
        <v>462</v>
      </c>
      <c r="C1800" s="21" t="s">
        <v>474</v>
      </c>
      <c r="D1800" s="21" t="s">
        <v>455</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544</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row>
    <row r="1803" spans="1:12">
      <c r="A1803" s="20" t="s">
        <v>1107</v>
      </c>
    </row>
    <row r="1804" spans="1:12">
      <c r="A1804" s="20" t="s">
        <v>457</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295</v>
      </c>
      <c r="B1805" s="21" t="s">
        <v>478</v>
      </c>
      <c r="C1805" s="21" t="s">
        <v>459</v>
      </c>
      <c r="D1805" s="21" t="s">
        <v>455</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460</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457</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1108</v>
      </c>
      <c r="B1808" s="21" t="s">
        <v>478</v>
      </c>
      <c r="C1808" s="21" t="s">
        <v>459</v>
      </c>
      <c r="D1808" s="21" t="s">
        <v>455</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460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852</v>
      </c>
      <c r="B1810" s="21" t="s">
        <v>462</v>
      </c>
      <c r="C1810" s="21" t="s">
        <v>459</v>
      </c>
      <c r="D1810" s="21" t="s">
        <v>455</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460</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1109</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652</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1110</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1111</v>
      </c>
      <c r="B1815" s="21" t="s">
        <v>470</v>
      </c>
      <c r="C1815" s="21" t="s">
        <v>967</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460</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501</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1099</v>
      </c>
      <c r="B1818" s="21" t="s">
        <v>462</v>
      </c>
      <c r="C1818" s="21" t="s">
        <v>459</v>
      </c>
      <c r="D1818" s="21" t="s">
        <v>455</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460</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472</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1112</v>
      </c>
      <c r="B1821" s="21" t="s">
        <v>470</v>
      </c>
      <c r="C1821" s="21" t="s">
        <v>459</v>
      </c>
      <c r="D1821" s="21" t="s">
        <v>455</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460</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501</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1075</v>
      </c>
      <c r="B1824" s="21" t="s">
        <v>467</v>
      </c>
      <c r="C1824" s="21" t="s">
        <v>474</v>
      </c>
      <c r="D1824" s="21" t="s">
        <v>455</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517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1113</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72</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766</v>
      </c>
      <c r="B1828" s="21" t="s">
        <v>478</v>
      </c>
      <c r="C1828" s="21" t="s">
        <v>967</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475</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row>
    <row r="1831" spans="1:12">
      <c r="A1831" s="20" t="s">
        <v>1114</v>
      </c>
    </row>
    <row r="1832" spans="1:12">
      <c r="A1832" s="20" t="s">
        <v>825</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299</v>
      </c>
      <c r="B1833" s="21" t="s">
        <v>478</v>
      </c>
      <c r="C1833" s="21" t="s">
        <v>485</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1115</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475</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row>
    <row r="1837" spans="1:12">
      <c r="A1837" s="20" t="s">
        <v>1116</v>
      </c>
    </row>
    <row r="1838" spans="1:12">
      <c r="A1838" s="20" t="s">
        <v>763</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635</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758</v>
      </c>
      <c r="B1840" s="21" t="s">
        <v>478</v>
      </c>
      <c r="C1840" s="21" t="s">
        <v>474</v>
      </c>
      <c r="D1840" s="21" t="s">
        <v>455</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457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664</v>
      </c>
      <c r="B1842" s="21" t="s">
        <v>512</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282</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457</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1075</v>
      </c>
      <c r="B1845" s="21" t="s">
        <v>574</v>
      </c>
      <c r="C1845" s="21" t="s">
        <v>485</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1117</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1086</v>
      </c>
      <c r="B1847" s="21" t="s">
        <v>539</v>
      </c>
      <c r="C1847" s="21" t="s">
        <v>459</v>
      </c>
      <c r="D1847" s="21" t="s">
        <v>455</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492</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797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939</v>
      </c>
      <c r="B1850" s="21" t="s">
        <v>462</v>
      </c>
      <c r="C1850" s="21" t="s">
        <v>459</v>
      </c>
      <c r="D1850" s="21" t="s">
        <v>455</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460</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940</v>
      </c>
      <c r="B1852" s="21" t="s">
        <v>470</v>
      </c>
      <c r="C1852" s="21" t="s">
        <v>463</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492</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206</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1118</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606</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1119</v>
      </c>
      <c r="B1857" s="21" t="s">
        <v>478</v>
      </c>
      <c r="C1857" s="21" t="s">
        <v>459</v>
      </c>
      <c r="D1857" s="21" t="s">
        <v>455</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611</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1120</v>
      </c>
      <c r="B1859" s="21" t="s">
        <v>462</v>
      </c>
      <c r="C1859" s="21" t="s">
        <v>463</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475</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row>
    <row r="1862" spans="1:12">
      <c r="A1862" s="20" t="s">
        <v>1121</v>
      </c>
    </row>
    <row r="1863" spans="1:12">
      <c r="A1863" s="20" t="s">
        <v>1122</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1123</v>
      </c>
      <c r="B1864" s="21" t="s">
        <v>539</v>
      </c>
      <c r="C1864" s="21" t="s">
        <v>474</v>
      </c>
      <c r="D1864" s="21" t="s">
        <v>455</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1124</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655</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984</v>
      </c>
      <c r="B1867" s="21" t="s">
        <v>453</v>
      </c>
      <c r="C1867" s="21" t="s">
        <v>580</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1125</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464</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1126</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1027</v>
      </c>
      <c r="B1871" s="21" t="s">
        <v>563</v>
      </c>
      <c r="C1871" s="21" t="s">
        <v>463</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492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1127</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480</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46</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1128</v>
      </c>
      <c r="B1876" s="21" t="s">
        <v>574</v>
      </c>
      <c r="C1876" s="21" t="s">
        <v>459</v>
      </c>
      <c r="D1876" s="21" t="s">
        <v>455</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500</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472</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710</v>
      </c>
      <c r="B1879" s="21" t="s">
        <v>467</v>
      </c>
      <c r="C1879" s="21" t="s">
        <v>474</v>
      </c>
      <c r="D1879" s="21" t="s">
        <v>455</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1129</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464</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500</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465</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1130</v>
      </c>
      <c r="B1884" s="21" t="s">
        <v>496</v>
      </c>
      <c r="C1884" s="21" t="s">
        <v>474</v>
      </c>
      <c r="D1884" s="21" t="s">
        <v>455</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480</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318</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582</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583</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1027</v>
      </c>
      <c r="B1889" s="21" t="s">
        <v>530</v>
      </c>
      <c r="C1889" s="21" t="s">
        <v>474</v>
      </c>
      <c r="D1889" s="21" t="s">
        <v>455</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1131</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503</v>
      </c>
      <c r="B1891" s="21" t="s">
        <v>1132</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1133</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582</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1134</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941</v>
      </c>
      <c r="B1895" s="21" t="s">
        <v>1135</v>
      </c>
      <c r="C1895" s="21" t="s">
        <v>513</v>
      </c>
      <c r="D1895" s="21" t="s">
        <v>455</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1136</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475</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row>
    <row r="1899" spans="1:12">
      <c r="A1899" s="20" t="s">
        <v>1137</v>
      </c>
    </row>
    <row r="1900" spans="1:12">
      <c r="A1900" s="20" t="s">
        <v>843</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1138</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t="s">
        <v>501</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1075</v>
      </c>
      <c r="B1903" s="21" t="s">
        <v>504</v>
      </c>
      <c r="C1903" s="21" t="s">
        <v>474</v>
      </c>
      <c r="D1903" s="21" t="s">
        <v>455</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593</v>
      </c>
      <c r="B1904" s="21" t="s">
        <v>462</v>
      </c>
      <c r="C1904" s="21" t="s">
        <v>454</v>
      </c>
      <c r="D1904" s="21" t="s">
        <v>455</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653</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282</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678</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393</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1087</v>
      </c>
      <c r="B1909" s="21" t="s">
        <v>462</v>
      </c>
      <c r="C1909" s="21" t="s">
        <v>967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492</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1139</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1087</v>
      </c>
      <c r="B1912" s="21" t="s">
        <v>462</v>
      </c>
      <c r="C1912" s="21" t="s">
        <v>967</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1140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492</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1141</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503</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669</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460</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566</v>
      </c>
      <c r="B1919" s="21" t="s">
        <v>462</v>
      </c>
      <c r="C1919" s="21" t="s">
        <v>463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475</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row>
    <row r="1922" spans="1:12">
      <c r="A1922" s="20" t="s">
        <v>1142</v>
      </c>
    </row>
    <row r="1923" spans="1:12">
      <c r="A1923" s="20" t="s">
        <v>1143</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1144</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1145</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475</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row>
    <row r="1928" spans="1:12">
      <c r="A1928" s="20" t="s">
        <v>1146</v>
      </c>
    </row>
    <row r="1929" spans="1:12">
      <c r="A1929" s="20" t="s">
        <v>1147</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582</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501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1148</v>
      </c>
      <c r="B1932" s="21" t="s">
        <v>478</v>
      </c>
      <c r="C1932" s="21" t="s">
        <v>474</v>
      </c>
      <c r="D1932" s="21" t="s">
        <v>455</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471</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457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1149</v>
      </c>
      <c r="B1935" s="21" t="s">
        <v>478</v>
      </c>
      <c r="C1935" s="21" t="s">
        <v>485</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492</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t="s">
        <v>464</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533</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600</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906</v>
      </c>
      <c r="B1940" s="21" t="s">
        <v>574</v>
      </c>
      <c r="C1940" s="21" t="s">
        <v>454</v>
      </c>
      <c r="D1940" s="21" t="s">
        <v>455</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889</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769</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502</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492</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472</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620</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886</v>
      </c>
      <c r="B1947" s="21" t="s">
        <v>504</v>
      </c>
      <c r="C1947" s="21" t="s">
        <v>474</v>
      </c>
      <c r="D1947" s="21" t="s">
        <v>455</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503</v>
      </c>
      <c r="B1948" s="21" t="s">
        <v>521</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594</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505</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606</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1150</v>
      </c>
      <c r="B1952" s="21" t="s">
        <v>453</v>
      </c>
      <c r="C1952" s="21" t="s">
        <v>459</v>
      </c>
      <c r="D1952" s="21" t="s">
        <v>455</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460</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501</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1151</v>
      </c>
      <c r="B1955" s="21" t="s">
        <v>470</v>
      </c>
      <c r="C1955" s="21" t="s">
        <v>468</v>
      </c>
      <c r="D1955" s="21" t="s">
        <v>455</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1075</v>
      </c>
      <c r="B1956" s="21" t="s">
        <v>462</v>
      </c>
      <c r="C1956" s="21" t="s">
        <v>474</v>
      </c>
      <c r="D1956" s="21" t="s">
        <v>455</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475</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row>
    <row r="1959" spans="1:12">
      <c r="A1959" s="20" t="s">
        <v>1152</v>
      </c>
    </row>
    <row r="1960" spans="1:12">
      <c r="A1960" s="20" t="s">
        <v>603</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480</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771</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1097</v>
      </c>
      <c r="B1963" s="21" t="s">
        <v>478</v>
      </c>
      <c r="C1963" s="21" t="s">
        <v>513</v>
      </c>
      <c r="D1963" s="21" t="s">
        <v>455</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520</v>
      </c>
      <c r="B1964" s="21" t="s">
        <v>539</v>
      </c>
      <c r="C1964" s="21" t="s">
        <v>522</v>
      </c>
      <c r="D1964" s="21" t="s">
        <v>455</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503</v>
      </c>
      <c r="B1965" s="21" t="s">
        <v>512</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594</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600</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505</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318</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582</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1153</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1024</v>
      </c>
      <c r="B1972" s="21" t="s">
        <v>478</v>
      </c>
      <c r="C1972" s="21" t="s">
        <v>459</v>
      </c>
      <c r="D1972" s="21" t="s">
        <v>455</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1154</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460</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1155</v>
      </c>
      <c r="B1975" s="21" t="s">
        <v>462</v>
      </c>
      <c r="C1975" s="21" t="s">
        <v>463</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1156</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464</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1157</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460</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1158</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482</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1159</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472</v>
      </c>
      <c r="B1983" s="21" t="s">
        <v>567</v>
      </c>
      <c r="C1983" s="21" t="s">
        <v>454</v>
      </c>
      <c r="D1983" s="21" t="s">
        <v>455</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480</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1160</v>
      </c>
      <c r="B1985" s="21" t="s">
        <v>467</v>
      </c>
      <c r="C1985" s="21" t="s">
        <v>454</v>
      </c>
      <c r="D1985" s="21" t="s">
        <v>455</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492</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626</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318</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582</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501</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1161</v>
      </c>
      <c r="B1991" s="21" t="s">
        <v>467</v>
      </c>
      <c r="C1991" s="21" t="s">
        <v>468</v>
      </c>
      <c r="D1991" s="21" t="s">
        <v>455</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1075</v>
      </c>
      <c r="B1992" s="21" t="s">
        <v>470</v>
      </c>
      <c r="C1992" s="21" t="s">
        <v>474</v>
      </c>
      <c r="D1992" s="21" t="s">
        <v>455</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764</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475</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row>
    <row r="1996" spans="1:12">
      <c r="A1996" s="20" t="s">
        <v>1162</v>
      </c>
    </row>
    <row r="1997" spans="1:12">
      <c r="A1997" s="20" t="s">
        <v>1163</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480</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472</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1164</v>
      </c>
      <c r="B2000" s="21" t="s">
        <v>478</v>
      </c>
      <c r="C2000" s="21" t="s">
        <v>459</v>
      </c>
      <c r="D2000" s="21" t="s">
        <v>455</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460</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771</v>
      </c>
      <c r="B2002" s="21" t="s">
        <v>462</v>
      </c>
      <c r="C2002" s="21" t="s">
        <v>522</v>
      </c>
      <c r="D2002" s="21" t="s">
        <v>455</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475</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row>
    <row r="2005" spans="1:12">
      <c r="A2005" s="20" t="s">
        <v>1165</v>
      </c>
    </row>
    <row r="2006" spans="1:12">
      <c r="A2006" s="20" t="s">
        <v>1163</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480</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1166</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524</v>
      </c>
      <c r="B2009" s="21" t="s">
        <v>563</v>
      </c>
      <c r="C2009" s="21" t="s">
        <v>454</v>
      </c>
      <c r="D2009" s="21" t="s">
        <v>455</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653</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378</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1138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1059</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1167</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635</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746</v>
      </c>
      <c r="B2016" s="21" t="s">
        <v>574</v>
      </c>
      <c r="C2016" s="21" t="s">
        <v>474</v>
      </c>
      <c r="D2016" s="21" t="s">
        <v>455</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1168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471</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1169</v>
      </c>
      <c r="B2019" s="21" t="s">
        <v>470</v>
      </c>
      <c r="C2019" s="21" t="s">
        <v>522</v>
      </c>
      <c r="D2019" s="21" t="s">
        <v>455</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1170</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492</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471</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746</v>
      </c>
      <c r="B2023" s="21" t="s">
        <v>462</v>
      </c>
      <c r="C2023" s="21" t="s">
        <v>459</v>
      </c>
      <c r="D2023" s="21" t="s">
        <v>455</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500</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685</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1171</v>
      </c>
      <c r="B2026" s="21" t="s">
        <v>470</v>
      </c>
      <c r="C2026" s="21" t="s">
        <v>459</v>
      </c>
      <c r="D2026" s="21" t="s">
        <v>455</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1172</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1173</v>
      </c>
      <c r="B2028" s="21" t="s">
        <v>467</v>
      </c>
      <c r="C2028" s="21" t="s">
        <v>459</v>
      </c>
      <c r="D2028" s="21" t="s">
        <v>455</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471</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635</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746</v>
      </c>
      <c r="B2031" s="21" t="s">
        <v>496</v>
      </c>
      <c r="C2031" s="21" t="s">
        <v>474</v>
      </c>
      <c r="D2031" s="21" t="s">
        <v>455</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1174</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503</v>
      </c>
      <c r="B2033" s="21" t="s">
        <v>1175</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1176</v>
      </c>
      <c r="B2034" s="21" t="s">
        <v>914</v>
      </c>
      <c r="C2034" s="21" t="s">
        <v>459</v>
      </c>
      <c r="D2034" s="21" t="s">
        <v>455</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482</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501</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1177</v>
      </c>
      <c r="B2037" s="21" t="s">
        <v>1135</v>
      </c>
      <c r="C2037" s="21" t="s">
        <v>468</v>
      </c>
      <c r="D2037" s="21" t="s">
        <v>455</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1178</v>
      </c>
      <c r="B2038" s="21" t="s">
        <v>723</v>
      </c>
      <c r="C2038" s="21" t="s">
        <v>474</v>
      </c>
      <c r="D2038" s="21" t="s">
        <v>455</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464</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635</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1179</v>
      </c>
      <c r="B2041" s="21" t="s">
        <v>723</v>
      </c>
      <c r="C2041" s="21" t="s">
        <v>474</v>
      </c>
      <c r="D2041" s="21" t="s">
        <v>455</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1180</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1181</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506</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460</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597</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475</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row>
    <row r="2049" spans="1:12">
      <c r="A2049" s="20" t="s">
        <v>1182</v>
      </c>
    </row>
    <row r="2050" spans="1:12">
      <c r="A2050" s="20" t="s">
        <v>1163</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480</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886</v>
      </c>
      <c r="B2052" s="21" t="s">
        <v>462</v>
      </c>
      <c r="C2052" s="21" t="s">
        <v>463</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1141</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1138</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1183</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752</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1009</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746</v>
      </c>
      <c r="B2058" s="21" t="s">
        <v>563</v>
      </c>
      <c r="C2058" s="21" t="s">
        <v>513</v>
      </c>
      <c r="D2058" s="21" t="s">
        <v>455</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464</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1059</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1184</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1185</v>
      </c>
      <c r="B2062" s="21" t="s">
        <v>574</v>
      </c>
      <c r="C2062" s="21" t="s">
        <v>454</v>
      </c>
      <c r="D2062" s="21" t="s">
        <v>455</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686</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678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51</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1027</v>
      </c>
      <c r="B2066" s="21" t="s">
        <v>567</v>
      </c>
      <c r="C2066" s="21" t="s">
        <v>463</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503</v>
      </c>
      <c r="B2067" s="21" t="s">
        <v>523</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600</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1186</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1187</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1026</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620</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475</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row>
    <row r="2075" spans="1:12">
      <c r="A2075" s="20" t="s">
        <v>1188</v>
      </c>
    </row>
    <row r="2076" spans="1:12">
      <c r="A2076" s="20" t="s">
        <v>1189</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771</v>
      </c>
      <c r="B2077" s="21" t="s">
        <v>478</v>
      </c>
      <c r="C2077" s="21" t="s">
        <v>522</v>
      </c>
      <c r="D2077" s="21" t="s">
        <v>455</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493</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524</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1190</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457</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458</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626</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1191</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t="s">
        <v>483</v>
      </c>
      <c r="E2085" s="22">
        <f>IF(D2085="?OLD","!!!","")</f>
        <v/>
      </c>
      <c r="F2085" s="23" t="str">
        <f>IF(OR(E2085="",E2085="!!!"),"",IF(NOT(ISNA(VLOOKUP(E2085,E$1:E2084,1,FALSE()))),"OLD",IF(AND(E2085&lt;&gt;"",E2085&lt;&gt;"!!!"),"NEW","")))</f>
        <v> </v>
      </c>
      <c r="G2085" s="24" t="str">
        <f>IF(OR(E2085="",E2085="!!!"),"",IF(OR(J2085=0,AND(J2085=1,K2085=1),AND(J2085=1,I2085="SBJ"),AND(J2085=1,I2085=0)),"?IN_FOCUS",IF(J2085&lt;=2,"?ACTIVATED",IF(J2085&lt;&gt;"","?FAMILIAR",IF(F2085="NEW",IF(ISNA(VLOOKUP(E2085,#REF!,1,FALSE())),"?TYPE_IDENTIFIABLE","?REFERENTIAL"),"_")))))</f>
        <v> </v>
      </c>
      <c r="H2085" s="25" t="str">
        <f>IF(J2085&lt;&gt;1,"",IF(I2085="SBJ","CB","?"))</f>
        <v> </v>
      </c>
      <c r="I2085" s="26" t="str">
        <f>IF(OR(E2085="",E2085="!!!",F2085="NEW"),"",INDEX(B2084:B$2,-1+SUMPRODUCT(MAX(ROW(E2084:E$2)*(E2085=E2084:E$2)))))</f>
        <v> </v>
      </c>
      <c r="J2085" s="26" t="str">
        <f>IF(OR(E2085="",E2085="!!!",F2085="NEW"),"",COUNTBLANK(OFFSET(A$1,,,SUMPRODUCT(MAX(ROW(E$2:E2085)*(E2085=E$2:E2085)))))-COUNTBLANK(OFFSET(A$1,,,SUMPRODUCT(MAX(ROW(E$1:E2084)*(E2=E$1:E2084))))))</f>
        <v> </v>
      </c>
      <c r="K2085" s="26" t="str">
        <f>IF(OR(E2085="",E2085="!!!",F2085="NEW"),"",INDEX(J$1:J2084,SUMPRODUCT(MAX(ROW(E$1:E2084)*(E2085=E$1:E2084)))))</f>
        <v> </v>
      </c>
      <c r="L2085" s="27"/>
    </row>
    <row r="2086" spans="1:12">
      <c r="A2086" s="20" t="s">
        <v>606</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986</v>
      </c>
      <c r="B2087" s="21" t="s">
        <v>462</v>
      </c>
      <c r="C2087" s="21" t="s">
        <v>459</v>
      </c>
      <c r="D2087" s="21" t="s">
        <v>455</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517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1155</v>
      </c>
      <c r="B2089" s="21" t="s">
        <v>470</v>
      </c>
      <c r="C2089" s="21" t="s">
        <v>463</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475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row>
    <row r="2092" spans="1:12">
      <c r="A2092" s="20" t="s">
        <v>1192</v>
      </c>
    </row>
    <row r="2093" spans="1:12">
      <c r="A2093" s="20" t="s">
        <v>336</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492</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754</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984</v>
      </c>
      <c r="B2096" s="21" t="s">
        <v>504</v>
      </c>
      <c r="C2096" s="21" t="s">
        <v>580</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546</v>
      </c>
      <c r="B2097" s="21" t="s">
        <v>563</v>
      </c>
      <c r="C2097" s="21" t="s">
        <v>454</v>
      </c>
      <c r="D2097" s="21" t="s">
        <v>455</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1193</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475</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row>
    <row r="2101" spans="1:12">
      <c r="A2101" s="20" t="s">
        <v>1194</v>
      </c>
    </row>
    <row r="2102" spans="1:12">
      <c r="A2102" s="20" t="s">
        <v>843</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787</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505</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606</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886</v>
      </c>
      <c r="B2106" s="21" t="s">
        <v>539</v>
      </c>
      <c r="C2106" s="21" t="s">
        <v>485</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503</v>
      </c>
      <c r="B2107" s="21" t="s">
        <v>512</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600</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889</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776</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1195</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1196</v>
      </c>
      <c r="B2112" s="21" t="s">
        <v>574</v>
      </c>
      <c r="C2112" s="21" t="s">
        <v>580</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475</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row>
    <row r="2115" spans="1:12">
      <c r="A2115" s="20" t="s">
        <v>1197</v>
      </c>
    </row>
    <row r="2116" spans="1:12">
      <c r="A2116" s="20" t="s">
        <v>751</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594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609</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890</v>
      </c>
      <c r="B2119" s="21" t="s">
        <v>453</v>
      </c>
      <c r="C2119" s="21" t="s">
        <v>513</v>
      </c>
      <c r="D2119" s="21" t="s">
        <v>455</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460</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1198</v>
      </c>
      <c r="B2121" s="21" t="s">
        <v>462</v>
      </c>
      <c r="C2121" s="21" t="s">
        <v>463</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1199</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1172</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876</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610</v>
      </c>
      <c r="B2125" s="21" t="s">
        <v>478</v>
      </c>
      <c r="C2125" s="21" t="s">
        <v>459</v>
      </c>
      <c r="D2125" s="21" t="s">
        <v>455</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460</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1200</v>
      </c>
      <c r="B2127" s="21" t="s">
        <v>462</v>
      </c>
      <c r="C2127" s="21" t="s">
        <v>463</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483</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95</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1201</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471</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635</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1202</v>
      </c>
      <c r="B2133" s="21" t="s">
        <v>462</v>
      </c>
      <c r="C2133" s="21" t="s">
        <v>459</v>
      </c>
      <c r="D2133" s="21" t="s">
        <v>455</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460</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481</v>
      </c>
      <c r="B2135" s="21" t="s">
        <v>470</v>
      </c>
      <c r="C2135" s="21" t="s">
        <v>459</v>
      </c>
      <c r="D2135" s="21" t="s">
        <v>455</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460</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1203</v>
      </c>
      <c r="B2137" s="21" t="s">
        <v>467</v>
      </c>
      <c r="C2137" s="21" t="s">
        <v>463</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492</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705</v>
      </c>
      <c r="B2139" s="21" t="s">
        <v>496</v>
      </c>
      <c r="C2139" s="21" t="s">
        <v>463</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464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1204</v>
      </c>
      <c r="B2141" s="21" t="s">
        <v>496</v>
      </c>
      <c r="C2141" s="21" t="s">
        <v>463</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1205</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1035</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517</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771</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481</v>
      </c>
      <c r="B2146" s="21" t="s">
        <v>530</v>
      </c>
      <c r="C2146" s="21" t="s">
        <v>513</v>
      </c>
      <c r="D2146" s="21" t="s">
        <v>455</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891</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row>
    <row r="2149" spans="1:12">
      <c r="A2149" s="20" t="s">
        <v>1206</v>
      </c>
    </row>
    <row r="2150" spans="1:12">
      <c r="A2150" s="20" t="s">
        <v>980</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501</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1161</v>
      </c>
      <c r="B2152" s="21" t="s">
        <v>462</v>
      </c>
      <c r="C2152" s="21" t="s">
        <v>468</v>
      </c>
      <c r="D2152" s="21" t="s">
        <v>455</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481</v>
      </c>
      <c r="B2153" s="21" t="s">
        <v>539</v>
      </c>
      <c r="C2153" s="21" t="s">
        <v>474</v>
      </c>
      <c r="D2153" s="21" t="s">
        <v>455</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505</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1207</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500</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746</v>
      </c>
      <c r="B2157" s="21" t="s">
        <v>478</v>
      </c>
      <c r="C2157" s="21" t="s">
        <v>463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1208</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492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533</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501</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1161</v>
      </c>
      <c r="B2162" s="21" t="s">
        <v>470</v>
      </c>
      <c r="C2162" s="21" t="s">
        <v>468</v>
      </c>
      <c r="D2162" s="21" t="s">
        <v>455</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615</v>
      </c>
      <c r="B2163" s="21" t="s">
        <v>504</v>
      </c>
      <c r="C2163" s="21" t="s">
        <v>474</v>
      </c>
      <c r="D2163" s="21" t="s">
        <v>455</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616</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505</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1207</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500</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635</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1209</v>
      </c>
      <c r="B2169" s="21" t="s">
        <v>470</v>
      </c>
      <c r="C2169" s="21" t="s">
        <v>468</v>
      </c>
      <c r="D2169" s="21" t="s">
        <v>455</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746</v>
      </c>
      <c r="B2170" s="21" t="s">
        <v>462</v>
      </c>
      <c r="C2170" s="21" t="s">
        <v>474</v>
      </c>
      <c r="D2170" s="21" t="s">
        <v>455</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482</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653</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1210</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651</v>
      </c>
      <c r="B2174" s="21" t="s">
        <v>470</v>
      </c>
      <c r="C2174" s="21" t="s">
        <v>513</v>
      </c>
      <c r="D2174" s="21" t="s">
        <v>455</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652</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560</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1211</v>
      </c>
      <c r="B2177" s="21" t="s">
        <v>470</v>
      </c>
      <c r="C2177" s="21" t="s">
        <v>513</v>
      </c>
      <c r="D2177" s="21" t="s">
        <v>455</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460</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502</v>
      </c>
      <c r="B2179" s="21" t="s">
        <v>467</v>
      </c>
      <c r="C2179" s="21" t="s">
        <v>463</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614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609</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661</v>
      </c>
      <c r="B2182" s="21" t="s">
        <v>671</v>
      </c>
      <c r="C2182" s="21" t="s">
        <v>513</v>
      </c>
      <c r="D2182" s="21" t="s">
        <v>455</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503</v>
      </c>
      <c r="B2183" s="21" t="s">
        <v>914</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505</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1212</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517</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560</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473</v>
      </c>
      <c r="B2188" s="21" t="s">
        <v>530</v>
      </c>
      <c r="C2188" s="21" t="s">
        <v>513</v>
      </c>
      <c r="D2188" s="21" t="s">
        <v>455</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891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row>
    <row r="2191" spans="1:12">
      <c r="A2191" s="20" t="s">
        <v>1213</v>
      </c>
    </row>
    <row r="2192" spans="1:12">
      <c r="A2192" s="20" t="s">
        <v>800</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795</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475</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row>
    <row r="2196" spans="1:12">
      <c r="A2196" s="20" t="s">
        <v>1214</v>
      </c>
    </row>
    <row r="2197" spans="1:12">
      <c r="A2197" s="20" t="s">
        <v>763</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662</v>
      </c>
      <c r="B2198" s="21" t="s">
        <v>478</v>
      </c>
      <c r="C2198" s="21" t="s">
        <v>463</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520</v>
      </c>
      <c r="B2199" s="21" t="s">
        <v>539</v>
      </c>
      <c r="C2199" s="21" t="s">
        <v>522</v>
      </c>
      <c r="D2199" s="21" t="s">
        <v>455</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503</v>
      </c>
      <c r="B2200" s="21" t="s">
        <v>512</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1141</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492</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464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472</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1156</v>
      </c>
      <c r="B2205" s="21" t="s">
        <v>512</v>
      </c>
      <c r="C2205" s="21" t="s">
        <v>474</v>
      </c>
      <c r="D2205" s="21" t="s">
        <v>455</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505</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815</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457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679</v>
      </c>
      <c r="B2209" s="21" t="s">
        <v>462</v>
      </c>
      <c r="C2209" s="21" t="s">
        <v>459</v>
      </c>
      <c r="D2209" s="21" t="s">
        <v>455</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460</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771</v>
      </c>
      <c r="B2211" s="21" t="s">
        <v>470</v>
      </c>
      <c r="C2211" s="21" t="s">
        <v>522</v>
      </c>
      <c r="D2211" s="21" t="s">
        <v>455</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492</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505</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503</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472</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473</v>
      </c>
      <c r="B2216" s="21" t="s">
        <v>512</v>
      </c>
      <c r="C2216" s="21" t="s">
        <v>474</v>
      </c>
      <c r="D2216" s="21" t="s">
        <v>455</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1215</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1216</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1217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472</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1218</v>
      </c>
      <c r="B2221" s="21" t="s">
        <v>470</v>
      </c>
      <c r="C2221" s="21" t="s">
        <v>459</v>
      </c>
      <c r="D2221" s="21" t="s">
        <v>455</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1219</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460</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685</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656</v>
      </c>
      <c r="B2225" s="21" t="s">
        <v>467</v>
      </c>
      <c r="C2225" s="21" t="s">
        <v>459</v>
      </c>
      <c r="D2225" s="21" t="s">
        <v>455</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1220</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635</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711</v>
      </c>
      <c r="B2228" s="21" t="s">
        <v>496</v>
      </c>
      <c r="C2228" s="21" t="s">
        <v>474</v>
      </c>
      <c r="D2228" s="21" t="s">
        <v>455</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1221</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1222</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635</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1223</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1040</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1224</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480</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1225</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472</v>
      </c>
      <c r="B2237" s="21" t="s">
        <v>574</v>
      </c>
      <c r="C2237" s="21" t="s">
        <v>454</v>
      </c>
      <c r="D2237" s="21" t="s">
        <v>455</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492</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988</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517</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764</v>
      </c>
      <c r="B2241" s="21" t="s">
        <v>470</v>
      </c>
      <c r="C2241" s="21" t="s">
        <v>463</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1220</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480</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635</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711</v>
      </c>
      <c r="B2245" s="21" t="s">
        <v>470</v>
      </c>
      <c r="C2245" s="21" t="s">
        <v>459</v>
      </c>
      <c r="D2245" s="21" t="s">
        <v>455</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1226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517</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932</v>
      </c>
      <c r="B2248" s="21" t="s">
        <v>467</v>
      </c>
      <c r="C2248" s="21" t="s">
        <v>463</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460</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1227</v>
      </c>
      <c r="B2250" s="21" t="s">
        <v>496</v>
      </c>
      <c r="C2250" s="21" t="s">
        <v>885</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461</v>
      </c>
      <c r="B2251" s="21" t="s">
        <v>467</v>
      </c>
      <c r="C2251" s="21" t="s">
        <v>459</v>
      </c>
      <c r="D2251" s="21" t="s">
        <v>455</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460</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481</v>
      </c>
      <c r="B2253" s="21" t="s">
        <v>496</v>
      </c>
      <c r="C2253" s="21" t="s">
        <v>463</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672</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1228</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482</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1229</v>
      </c>
      <c r="B2257" s="21" t="s">
        <v>470</v>
      </c>
      <c r="C2257" s="21" t="s">
        <v>463</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475</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row>
    <row r="2260" spans="1:12">
      <c r="A2260" s="20" t="s">
        <v>1230</v>
      </c>
    </row>
    <row r="2261" spans="1:12">
      <c r="A2261" s="20" t="s">
        <v>537</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1231</v>
      </c>
      <c r="B2262" s="21" t="s">
        <v>539</v>
      </c>
      <c r="C2262" s="21" t="s">
        <v>459</v>
      </c>
      <c r="D2262" s="21" t="s">
        <v>455</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460</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501</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1232</v>
      </c>
      <c r="B2265" s="21" t="s">
        <v>462</v>
      </c>
      <c r="C2265" s="21" t="s">
        <v>474</v>
      </c>
      <c r="D2265" s="21" t="s">
        <v>455</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505</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503</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520</v>
      </c>
      <c r="B2268" s="21" t="s">
        <v>563</v>
      </c>
      <c r="C2268" s="21" t="s">
        <v>522</v>
      </c>
      <c r="D2268" s="21" t="s">
        <v>455</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503</v>
      </c>
      <c r="B2269" s="21" t="s">
        <v>521</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206</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1233</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794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492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1234</v>
      </c>
      <c r="B2274" s="21" t="s">
        <v>504</v>
      </c>
      <c r="C2274" s="21" t="s">
        <v>459</v>
      </c>
      <c r="D2274" s="21" t="s">
        <v>455</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1235</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1172</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1236</v>
      </c>
      <c r="B2277" s="21" t="s">
        <v>470</v>
      </c>
      <c r="C2277" s="21" t="s">
        <v>459</v>
      </c>
      <c r="D2277" s="21" t="s">
        <v>455</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460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502</v>
      </c>
      <c r="B2279" s="21" t="s">
        <v>467</v>
      </c>
      <c r="C2279" s="21" t="s">
        <v>463</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1237</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1215</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1238</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t="s">
        <v>492</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517</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457</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599</v>
      </c>
      <c r="B2286" s="21" t="s">
        <v>478</v>
      </c>
      <c r="C2286" s="21" t="s">
        <v>485</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652</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517</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685</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812</v>
      </c>
      <c r="B2290" s="21" t="s">
        <v>462</v>
      </c>
      <c r="C2290" s="21" t="s">
        <v>596</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492</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582</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606</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1239</v>
      </c>
      <c r="B2294" s="21" t="s">
        <v>478</v>
      </c>
      <c r="C2294" s="21" t="s">
        <v>459</v>
      </c>
      <c r="D2294" s="21" t="s">
        <v>455</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1240</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483</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606</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1241</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475</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row>
    <row r="2301" spans="1:12">
      <c r="A2301" s="20" t="s">
        <v>1242</v>
      </c>
    </row>
    <row r="2302" spans="1:12">
      <c r="A2302" s="20" t="s">
        <v>1243</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1215</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1244</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771</v>
      </c>
      <c r="B2305" s="21" t="s">
        <v>539</v>
      </c>
      <c r="C2305" s="21" t="s">
        <v>522</v>
      </c>
      <c r="D2305" s="21" t="s">
        <v>455</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891</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row>
    <row r="2308" spans="1:12">
      <c r="A2308" s="20" t="s">
        <v>1245</v>
      </c>
    </row>
    <row r="2309" spans="1:12">
      <c r="A2309" s="20" t="s">
        <v>1246</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783</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635</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699</v>
      </c>
      <c r="B2312" s="21" t="s">
        <v>504</v>
      </c>
      <c r="C2312" s="21" t="s">
        <v>459</v>
      </c>
      <c r="D2312" s="21" t="s">
        <v>455</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460</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700</v>
      </c>
      <c r="B2314" s="21" t="s">
        <v>470</v>
      </c>
      <c r="C2314" s="21" t="s">
        <v>463</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514</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1247</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464</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783</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472</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589</v>
      </c>
      <c r="B2320" s="21" t="s">
        <v>504</v>
      </c>
      <c r="C2320" s="21" t="s">
        <v>474</v>
      </c>
      <c r="D2320" s="21" t="s">
        <v>455</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593</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1215</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1248</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475</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row>
    <row r="2326" spans="1:12">
      <c r="A2326" s="20" t="s">
        <v>1249</v>
      </c>
    </row>
    <row r="2327" spans="1:12">
      <c r="A2327" s="20" t="s">
        <v>829</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1250</v>
      </c>
      <c r="B2328" s="21" t="s">
        <v>539</v>
      </c>
      <c r="C2328" s="21" t="s">
        <v>459</v>
      </c>
      <c r="D2328" s="21" t="s">
        <v>455</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460</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635</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699</v>
      </c>
      <c r="B2331" s="21" t="s">
        <v>462</v>
      </c>
      <c r="C2331" s="21" t="s">
        <v>459</v>
      </c>
      <c r="D2331" s="21" t="s">
        <v>455</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460</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700</v>
      </c>
      <c r="B2333" s="21" t="s">
        <v>470</v>
      </c>
      <c r="C2333" s="21" t="s">
        <v>463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1251</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501</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784</v>
      </c>
      <c r="B2336" s="21" t="s">
        <v>453</v>
      </c>
      <c r="C2336" s="21" t="s">
        <v>474</v>
      </c>
      <c r="D2336" s="21" t="s">
        <v>455</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503</v>
      </c>
      <c r="B2337" s="21" t="s">
        <v>512</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697</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686</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465</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785</v>
      </c>
      <c r="B2341" s="21" t="s">
        <v>574</v>
      </c>
      <c r="C2341" s="21" t="s">
        <v>459</v>
      </c>
      <c r="D2341" s="21" t="s">
        <v>455</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460</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661</v>
      </c>
      <c r="B2343" s="21" t="s">
        <v>467</v>
      </c>
      <c r="C2343" s="21" t="s">
        <v>463</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464</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546</v>
      </c>
      <c r="B2345" s="21" t="s">
        <v>563</v>
      </c>
      <c r="C2345" s="21" t="s">
        <v>454</v>
      </c>
      <c r="D2345" s="21" t="s">
        <v>455</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1252</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472</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1253</v>
      </c>
      <c r="B2348" s="21" t="s">
        <v>563</v>
      </c>
      <c r="C2348" s="21" t="s">
        <v>474</v>
      </c>
      <c r="D2348" s="21" t="s">
        <v>455</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475</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row>
    <row r="2351" spans="1:12">
      <c r="A2351" s="20" t="s">
        <v>1254</v>
      </c>
    </row>
    <row r="2352" spans="1:12">
      <c r="A2352" s="20" t="s">
        <v>837</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1255</v>
      </c>
      <c r="B2353" s="21" t="s">
        <v>539</v>
      </c>
      <c r="C2353" s="21" t="s">
        <v>459</v>
      </c>
      <c r="D2353" s="21" t="s">
        <v>455</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460</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465</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937</v>
      </c>
      <c r="B2356" s="21" t="s">
        <v>462</v>
      </c>
      <c r="C2356" s="21" t="s">
        <v>459</v>
      </c>
      <c r="D2356" s="21" t="s">
        <v>455</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460</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589</v>
      </c>
      <c r="B2358" s="21" t="s">
        <v>470</v>
      </c>
      <c r="C2358" s="21" t="s">
        <v>463</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1217</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501</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516</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1256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12</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1256</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505</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1257</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12</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12</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1252</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480</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1258</v>
      </c>
      <c r="B2372" s="21" t="s">
        <v>462</v>
      </c>
      <c r="C2372" s="21" t="s">
        <v>463</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1259</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460</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1260</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593</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480</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472</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1261</v>
      </c>
      <c r="B2379" s="21" t="s">
        <v>470</v>
      </c>
      <c r="C2379" s="21" t="s">
        <v>459</v>
      </c>
      <c r="D2379" s="21" t="s">
        <v>455</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1262</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460</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465</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1263</v>
      </c>
      <c r="B2383" s="21" t="s">
        <v>467</v>
      </c>
      <c r="C2383" s="21" t="s">
        <v>474</v>
      </c>
      <c r="D2383" s="21" t="s">
        <v>455</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475</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row>
    <row r="2386" spans="1:12">
      <c r="A2386" s="20" t="s">
        <v>1264</v>
      </c>
    </row>
    <row r="2387" spans="1:12">
      <c r="A2387" s="20" t="s">
        <v>537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1265</v>
      </c>
      <c r="B2388" s="21" t="s">
        <v>539</v>
      </c>
      <c r="C2388" s="21" t="s">
        <v>474</v>
      </c>
      <c r="D2388" s="21" t="s">
        <v>455</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593</v>
      </c>
      <c r="B2389" s="21" t="s">
        <v>478</v>
      </c>
      <c r="C2389" s="21" t="s">
        <v>454</v>
      </c>
      <c r="D2389" s="21" t="s">
        <v>455</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517</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472</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1266</v>
      </c>
      <c r="B2392" s="21" t="s">
        <v>478</v>
      </c>
      <c r="C2392" s="21" t="s">
        <v>459</v>
      </c>
      <c r="D2392" s="21" t="s">
        <v>455</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1267</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492</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1217</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1268</v>
      </c>
      <c r="B2396" s="21" t="s">
        <v>462</v>
      </c>
      <c r="C2396" s="21" t="s">
        <v>459</v>
      </c>
      <c r="D2396" s="21" t="s">
        <v>455</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482</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635</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1269</v>
      </c>
      <c r="B2399" s="21" t="s">
        <v>470</v>
      </c>
      <c r="C2399" s="21" t="s">
        <v>546</v>
      </c>
      <c r="D2399" s="21" t="s">
        <v>455</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1270</v>
      </c>
      <c r="B2400" s="21" t="s">
        <v>467</v>
      </c>
      <c r="C2400" s="21" t="s">
        <v>546</v>
      </c>
      <c r="D2400" s="21" t="s">
        <v>455</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492</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1271</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472</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1239</v>
      </c>
      <c r="B2404" s="21" t="s">
        <v>539</v>
      </c>
      <c r="C2404" s="21" t="s">
        <v>459</v>
      </c>
      <c r="D2404" s="21" t="s">
        <v>455</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1272</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481</v>
      </c>
      <c r="B2406" s="21" t="s">
        <v>462</v>
      </c>
      <c r="C2406" s="21" t="s">
        <v>459</v>
      </c>
      <c r="D2406" s="21" t="s">
        <v>455</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1217</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472</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1273</v>
      </c>
      <c r="B2409" s="21" t="s">
        <v>470</v>
      </c>
      <c r="C2409" s="21" t="s">
        <v>459</v>
      </c>
      <c r="D2409" s="21" t="s">
        <v>455</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460</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1274</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936</v>
      </c>
      <c r="B2412" s="21" t="s">
        <v>467</v>
      </c>
      <c r="C2412" s="21" t="s">
        <v>459</v>
      </c>
      <c r="D2412" s="21" t="s">
        <v>455</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460</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1203</v>
      </c>
      <c r="B2414" s="21" t="s">
        <v>496</v>
      </c>
      <c r="C2414" s="21" t="s">
        <v>463</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503</v>
      </c>
      <c r="B2415" s="21" t="s">
        <v>914</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795</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614</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560</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1218</v>
      </c>
      <c r="B2419" s="21" t="s">
        <v>1175</v>
      </c>
      <c r="C2419" s="21" t="s">
        <v>513</v>
      </c>
      <c r="D2419" s="21" t="s">
        <v>455</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475</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row>
    <row r="2422" spans="1:12">
      <c r="A2422" s="20" t="s">
        <v>1275</v>
      </c>
    </row>
    <row r="2423" spans="1:12">
      <c r="A2423" s="20" t="s">
        <v>843</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517</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876</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1276</v>
      </c>
      <c r="B2426" s="21" t="s">
        <v>478</v>
      </c>
      <c r="C2426" s="21" t="s">
        <v>580</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472</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1277</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1239</v>
      </c>
      <c r="B2429" s="21" t="s">
        <v>539</v>
      </c>
      <c r="C2429" s="21" t="s">
        <v>474</v>
      </c>
      <c r="D2429" s="21" t="s">
        <v>455</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1240</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672</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1278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480</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136</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597</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1241</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475</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row>
    <row r="2439" spans="1:12">
      <c r="A2439" s="20" t="s">
        <v>1279</v>
      </c>
    </row>
    <row r="2440" spans="1:12">
      <c r="A2440" s="20" t="s">
        <v>829</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1280</v>
      </c>
      <c r="B2441" s="21" t="s">
        <v>539</v>
      </c>
      <c r="C2441" s="21" t="s">
        <v>474</v>
      </c>
      <c r="D2441" s="21" t="s">
        <v>455</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600</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742</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815</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635</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1269</v>
      </c>
      <c r="B2446" s="21" t="s">
        <v>453</v>
      </c>
      <c r="C2446" s="21" t="s">
        <v>546</v>
      </c>
      <c r="D2446" s="21" t="s">
        <v>455</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1270</v>
      </c>
      <c r="B2447" s="21" t="s">
        <v>462</v>
      </c>
      <c r="C2447" s="21" t="s">
        <v>546</v>
      </c>
      <c r="D2447" s="21" t="s">
        <v>455</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475</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row>
    <row r="2450" spans="1:12">
      <c r="A2450" s="20" t="s">
        <v>1281</v>
      </c>
    </row>
    <row r="2451" spans="1:12">
      <c r="A2451" s="20" t="s">
        <v>980</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1282</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390</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492</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483</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679</v>
      </c>
      <c r="B2456" s="21" t="s">
        <v>470</v>
      </c>
      <c r="C2456" s="21" t="s">
        <v>463</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492</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480</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685</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854</v>
      </c>
      <c r="B2460" s="21" t="s">
        <v>462</v>
      </c>
      <c r="C2460" s="21" t="s">
        <v>459</v>
      </c>
      <c r="D2460" s="21" t="s">
        <v>455</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460</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465</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1283</v>
      </c>
      <c r="B2463" s="21" t="s">
        <v>470</v>
      </c>
      <c r="C2463" s="21" t="s">
        <v>474</v>
      </c>
      <c r="D2463" s="21" t="s">
        <v>455</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492</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911</v>
      </c>
      <c r="B2465" s="21" t="s">
        <v>539</v>
      </c>
      <c r="C2465" s="21" t="s">
        <v>522</v>
      </c>
      <c r="D2465" s="21" t="s">
        <v>455</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386</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606</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535</v>
      </c>
      <c r="B2468" s="21" t="s">
        <v>453</v>
      </c>
      <c r="C2468" s="21" t="s">
        <v>459</v>
      </c>
      <c r="D2468" s="21" t="s">
        <v>455</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1038</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471</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465</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1284</v>
      </c>
      <c r="B2472" s="21" t="s">
        <v>462</v>
      </c>
      <c r="C2472" s="21" t="s">
        <v>474</v>
      </c>
      <c r="D2472" s="21" t="s">
        <v>455</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1285</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475</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row>
    <row r="2476" spans="1:12">
      <c r="A2476" s="20" t="s">
        <v>1286</v>
      </c>
    </row>
    <row r="2477" spans="1:12">
      <c r="A2477" s="20" t="s">
        <v>980</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1287</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685</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854</v>
      </c>
      <c r="B2480" s="21" t="s">
        <v>453</v>
      </c>
      <c r="C2480" s="21" t="s">
        <v>474</v>
      </c>
      <c r="D2480" s="21" t="s">
        <v>455</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1288</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492</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652</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492</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505</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906</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1289</v>
      </c>
      <c r="B2487" s="21" t="s">
        <v>478</v>
      </c>
      <c r="C2487" s="21" t="s">
        <v>522</v>
      </c>
      <c r="D2487" s="21" t="s">
        <v>455</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492</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472</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1119</v>
      </c>
      <c r="B2490" s="21" t="s">
        <v>453</v>
      </c>
      <c r="C2490" s="21" t="s">
        <v>459</v>
      </c>
      <c r="D2490" s="21" t="s">
        <v>455</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1290</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349</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386</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975</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472</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1291</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535</v>
      </c>
      <c r="B2497" s="21" t="s">
        <v>574</v>
      </c>
      <c r="C2497" s="21" t="s">
        <v>474</v>
      </c>
      <c r="D2497" s="21" t="s">
        <v>455</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471</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472</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1292</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1293</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1294</v>
      </c>
      <c r="B2502" s="21" t="s">
        <v>470</v>
      </c>
      <c r="C2502" s="21" t="s">
        <v>474</v>
      </c>
      <c r="D2502" s="21" t="s">
        <v>455</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1295</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1293</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475</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row>
    <row r="2507" spans="1:12">
      <c r="A2507" s="20" t="s">
        <v>1296</v>
      </c>
    </row>
    <row r="2508" spans="1:12">
      <c r="A2508" s="20" t="s">
        <v>1297</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685</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1298</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1299</v>
      </c>
      <c r="B2511" s="21" t="s">
        <v>478</v>
      </c>
      <c r="C2511" s="21" t="s">
        <v>474</v>
      </c>
      <c r="D2511" s="21" t="s">
        <v>455</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533</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1287</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492</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665</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492</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480</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501</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1300</v>
      </c>
      <c r="B2519" s="21" t="s">
        <v>478</v>
      </c>
      <c r="C2519" s="21" t="s">
        <v>459</v>
      </c>
      <c r="D2519" s="21" t="s">
        <v>455</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460</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685</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1301</v>
      </c>
      <c r="B2522" s="21" t="s">
        <v>462</v>
      </c>
      <c r="C2522" s="21" t="s">
        <v>474</v>
      </c>
      <c r="D2522" s="21" t="s">
        <v>455</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1166</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633</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501</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1302</v>
      </c>
      <c r="B2526" s="21" t="s">
        <v>462</v>
      </c>
      <c r="C2526" s="21" t="s">
        <v>474</v>
      </c>
      <c r="D2526" s="21" t="s">
        <v>455</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505</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533</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501</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1300</v>
      </c>
      <c r="B2530" s="21" t="s">
        <v>667</v>
      </c>
      <c r="C2530" s="21" t="s">
        <v>474</v>
      </c>
      <c r="D2530" s="21" t="s">
        <v>455</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1303</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1106</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457</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1304</v>
      </c>
      <c r="B2534" s="21" t="s">
        <v>467</v>
      </c>
      <c r="C2534" s="21" t="s">
        <v>459</v>
      </c>
      <c r="D2534" s="21" t="s">
        <v>455</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1305</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460</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1301</v>
      </c>
      <c r="B2537" s="21" t="s">
        <v>496</v>
      </c>
      <c r="C2537" s="21" t="s">
        <v>463</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1306</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988</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1305</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1307</v>
      </c>
      <c r="B2541" s="21" t="s">
        <v>496</v>
      </c>
      <c r="C2541" s="21" t="s">
        <v>459</v>
      </c>
      <c r="D2541" s="21" t="s">
        <v>455</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460</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1301</v>
      </c>
      <c r="B2543" s="21" t="s">
        <v>587</v>
      </c>
      <c r="C2543" s="21" t="s">
        <v>463</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492</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771</v>
      </c>
      <c r="B2545" s="21" t="s">
        <v>521</v>
      </c>
      <c r="C2545" s="21" t="s">
        <v>522</v>
      </c>
      <c r="D2545" s="21" t="s">
        <v>455</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505</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492</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460</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t="s">
        <v>502</v>
      </c>
      <c r="B2549" s="21" t="s">
        <v>512</v>
      </c>
      <c r="C2549" s="21" t="s">
        <v>463</v>
      </c>
      <c r="E2549" s="22">
        <f>IF(D2549="?OLD","!!!","")</f>
        <v/>
      </c>
      <c r="F2549" s="23" t="str">
        <f>IF(OR(E2549="",E2549="!!!"),"",IF(NOT(ISNA(VLOOKUP(E2549,E$1:E2548,1,FALSE()))),"OLD",IF(AND(E2549&lt;&gt;"",E2549&lt;&gt;"!!!"),"NEW","")))</f>
        <v> </v>
      </c>
      <c r="G2549" s="24" t="str">
        <f>IF(OR(E2549="",E2549="!!!"),"",IF(OR(J2549=0,AND(J2549=1,K2549=1),AND(J2549=1,I2549="SBJ"),AND(J2549=1,I2549=0)),"?IN_FOCUS",IF(J2549&lt;=2,"?ACTIVATED",IF(J2549&lt;&gt;"","?FAMILIAR",IF(F2549="NEW",IF(ISNA(VLOOKUP(E2549,#REF!,1,FALSE())),"?TYPE_IDENTIFIABLE","?REFERENTIAL"),"_")))))</f>
        <v> </v>
      </c>
      <c r="H2549" s="25" t="str">
        <f>IF(J2549&lt;&gt;1,"",IF(I2549="SBJ","CB","?"))</f>
        <v> </v>
      </c>
      <c r="I2549" s="26" t="str">
        <f>IF(OR(E2549="",E2549="!!!",F2549="NEW"),"",INDEX(B2548:B$2,-1+SUMPRODUCT(MAX(ROW(E2548:E$2)*(E2549=E2548:E$2)))))</f>
        <v> </v>
      </c>
      <c r="J2549" s="26" t="str">
        <f>IF(OR(E2549="",E2549="!!!",F2549="NEW"),"",COUNTBLANK(OFFSET(A$1,,,SUMPRODUCT(MAX(ROW(E$2:E2549)*(E2549=E$2:E2549)))))-COUNTBLANK(OFFSET(A$1,,,SUMPRODUCT(MAX(ROW(E$1:E2548)*(E2=E$1:E2548))))))</f>
        <v> </v>
      </c>
      <c r="K2549" s="26" t="str">
        <f>IF(OR(E2549="",E2549="!!!",F2549="NEW"),"",INDEX(J$1:J2548,SUMPRODUCT(MAX(ROW(E$1:E2548)*(E2549=E$1:E2548)))))</f>
        <v> </v>
      </c>
      <c r="L2549" s="27"/>
    </row>
    <row r="2550" spans="1:12">
      <c r="A2550" s="20" t="s">
        <v>492</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501</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299</v>
      </c>
      <c r="B2552" s="21" t="s">
        <v>467</v>
      </c>
      <c r="C2552" s="21" t="s">
        <v>474</v>
      </c>
      <c r="D2552" s="21" t="s">
        <v>455</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1308</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475</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row>
    <row r="2556" spans="1:12">
      <c r="A2556" s="20" t="s">
        <v>1309</v>
      </c>
    </row>
    <row r="2557" spans="1:12">
      <c r="A2557" s="20" t="s">
        <v>715</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472</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1310</v>
      </c>
      <c r="B2559" s="21" t="s">
        <v>478</v>
      </c>
      <c r="C2559" s="21" t="s">
        <v>459</v>
      </c>
      <c r="D2559" s="21" t="s">
        <v>455</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460</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589</v>
      </c>
      <c r="B2561" s="21" t="s">
        <v>478</v>
      </c>
      <c r="C2561" s="21" t="s">
        <v>463</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783</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501</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516</v>
      </c>
      <c r="B2564" s="21" t="s">
        <v>504</v>
      </c>
      <c r="C2564" s="21" t="s">
        <v>474</v>
      </c>
      <c r="D2564" s="21" t="s">
        <v>455</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1256</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653</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179</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472</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1311</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589</v>
      </c>
      <c r="B2570" s="21" t="s">
        <v>563</v>
      </c>
      <c r="C2570" s="21" t="s">
        <v>459</v>
      </c>
      <c r="D2570" s="21" t="s">
        <v>455</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460</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465</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1263</v>
      </c>
      <c r="B2573" s="21" t="s">
        <v>470</v>
      </c>
      <c r="C2573" s="21" t="s">
        <v>474</v>
      </c>
      <c r="D2573" s="21" t="s">
        <v>455</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475</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row>
    <row r="2576" spans="1:12">
      <c r="A2576" s="20" t="s">
        <v>1312</v>
      </c>
    </row>
    <row r="2577" spans="1:12">
      <c r="A2577" s="20" t="s">
        <v>1313</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492</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1040</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1314</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1217</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685</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1315</v>
      </c>
      <c r="B2583" s="21" t="s">
        <v>478</v>
      </c>
      <c r="C2583" s="21" t="s">
        <v>459</v>
      </c>
      <c r="D2583" s="21" t="s">
        <v>455</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460</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472</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1316</v>
      </c>
      <c r="B2586" s="21" t="s">
        <v>462</v>
      </c>
      <c r="C2586" s="21" t="s">
        <v>459</v>
      </c>
      <c r="D2586" s="21" t="s">
        <v>455</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460</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465</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1317</v>
      </c>
      <c r="B2589" s="21" t="s">
        <v>470</v>
      </c>
      <c r="C2589" s="21" t="s">
        <v>474</v>
      </c>
      <c r="D2589" s="21" t="s">
        <v>455</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492</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464</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1318</v>
      </c>
      <c r="B2592" s="21" t="s">
        <v>504</v>
      </c>
      <c r="C2592" s="21" t="s">
        <v>522</v>
      </c>
      <c r="D2592" s="21" t="s">
        <v>455</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1053</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1319</v>
      </c>
      <c r="B2594" s="21" t="s">
        <v>563</v>
      </c>
      <c r="C2594" s="21" t="s">
        <v>463</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1320</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517</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482</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100</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472</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461</v>
      </c>
      <c r="B2600" s="21" t="s">
        <v>574</v>
      </c>
      <c r="C2600" s="21" t="s">
        <v>474</v>
      </c>
      <c r="D2600" s="21" t="s">
        <v>455</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475</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row>
    <row r="2603" spans="1:12">
      <c r="A2603" s="20" t="s">
        <v>1321</v>
      </c>
    </row>
    <row r="2604" spans="1:12">
      <c r="A2604" s="20" t="s">
        <v>1022</v>
      </c>
      <c r="B2604" s="21" t="s">
        <v>539</v>
      </c>
      <c r="C2604" s="21" t="s">
        <v>546</v>
      </c>
      <c r="D2604" s="21" t="s">
        <v>455</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492</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483</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679</v>
      </c>
      <c r="B2607" s="21" t="s">
        <v>478</v>
      </c>
      <c r="C2607" s="21" t="s">
        <v>463</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492</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1322</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100</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480</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472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461</v>
      </c>
      <c r="B2613" s="21" t="s">
        <v>478</v>
      </c>
      <c r="C2613" s="21" t="s">
        <v>459</v>
      </c>
      <c r="D2613" s="21" t="s">
        <v>455</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482</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483</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606</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t="s">
        <v>1323</v>
      </c>
      <c r="B2617" s="21" t="s">
        <v>462</v>
      </c>
      <c r="C2617" s="21" t="s">
        <v>459</v>
      </c>
      <c r="D2617" s="21" t="s">
        <v>455</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460</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1134</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936</v>
      </c>
      <c r="B2620" s="21" t="s">
        <v>470</v>
      </c>
      <c r="C2620" s="21" t="s">
        <v>513</v>
      </c>
      <c r="D2620" s="21" t="s">
        <v>455</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460</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1239</v>
      </c>
      <c r="B2622" s="21" t="s">
        <v>467</v>
      </c>
      <c r="C2622" s="21" t="s">
        <v>463</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1241</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492</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1166</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1268</v>
      </c>
      <c r="B2626" s="21" t="s">
        <v>523</v>
      </c>
      <c r="C2626" s="21" t="s">
        <v>459</v>
      </c>
      <c r="D2626" s="21" t="s">
        <v>455</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482</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472</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1324</v>
      </c>
      <c r="B2629" s="21" t="s">
        <v>530</v>
      </c>
      <c r="C2629" s="21" t="s">
        <v>459</v>
      </c>
      <c r="D2629" s="21" t="s">
        <v>455</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460</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457</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481</v>
      </c>
      <c r="B2632" s="21" t="s">
        <v>723</v>
      </c>
      <c r="C2632" s="21" t="s">
        <v>485</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492</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988</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797</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472</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1324</v>
      </c>
      <c r="B2637" s="21" t="s">
        <v>530</v>
      </c>
      <c r="C2637" s="21" t="s">
        <v>459</v>
      </c>
      <c r="D2637" s="21" t="s">
        <v>455</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460</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854</v>
      </c>
      <c r="B2639" s="21" t="s">
        <v>723</v>
      </c>
      <c r="C2639" s="21" t="s">
        <v>463</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492</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698</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517</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1325</v>
      </c>
      <c r="B2643" s="21" t="s">
        <v>496</v>
      </c>
      <c r="C2643" s="21" t="s">
        <v>459</v>
      </c>
      <c r="D2643" s="21" t="s">
        <v>455</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1326</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460</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472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461</v>
      </c>
      <c r="B2647" s="21" t="s">
        <v>530</v>
      </c>
      <c r="C2647" s="21" t="s">
        <v>474</v>
      </c>
      <c r="D2647" s="21" t="s">
        <v>455</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492</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600</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1327</v>
      </c>
      <c r="B2650" s="21" t="s">
        <v>587</v>
      </c>
      <c r="C2650" s="21" t="s">
        <v>459</v>
      </c>
      <c r="D2650" s="21" t="s">
        <v>455</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460</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472</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461</v>
      </c>
      <c r="B2653" s="21" t="s">
        <v>530</v>
      </c>
      <c r="C2653" s="21" t="s">
        <v>474</v>
      </c>
      <c r="D2653" s="21" t="s">
        <v>455</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475</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row>
    <row r="2656" spans="1:12">
      <c r="A2656" s="20" t="s">
        <v>1328</v>
      </c>
    </row>
    <row r="2657" spans="1:12">
      <c r="A2657" s="20" t="s">
        <v>1022</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492</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678</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679</v>
      </c>
      <c r="B2660" s="21" t="s">
        <v>478</v>
      </c>
      <c r="C2660" s="21" t="s">
        <v>463</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492</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1322</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1158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482</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944</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1329</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1330</v>
      </c>
      <c r="B2667" s="21" t="s">
        <v>567</v>
      </c>
      <c r="C2667" s="21" t="s">
        <v>463</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464</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1234</v>
      </c>
      <c r="B2669" s="21" t="s">
        <v>496</v>
      </c>
      <c r="C2669" s="21" t="s">
        <v>459</v>
      </c>
      <c r="D2669" s="21" t="s">
        <v>455</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480</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906</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1289</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495</v>
      </c>
      <c r="B2673" s="21" t="s">
        <v>587</v>
      </c>
      <c r="C2673" s="21" t="s">
        <v>474</v>
      </c>
      <c r="D2673" s="21" t="s">
        <v>455</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475</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row>
    <row r="2676" spans="1:12">
      <c r="A2676" s="20" t="s">
        <v>1331</v>
      </c>
    </row>
    <row r="2677" spans="1:12">
      <c r="A2677" s="20" t="s">
        <v>1163</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480</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501</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1075</v>
      </c>
      <c r="B2680" s="21" t="s">
        <v>478</v>
      </c>
      <c r="C2680" s="21" t="s">
        <v>474</v>
      </c>
      <c r="D2680" s="21" t="s">
        <v>455</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475</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row>
    <row r="2683" spans="1:12">
      <c r="A2683" s="20" t="s">
        <v>1332</v>
      </c>
    </row>
    <row r="2684" spans="1:12">
      <c r="A2684" s="20" t="s">
        <v>1333</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944</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1329</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501</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516</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1334</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464</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501</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t="s">
        <v>516</v>
      </c>
      <c r="E2692" s="22">
        <f>IF(D2692="?OLD","!!!","")</f>
        <v/>
      </c>
      <c r="F2692" s="23" t="str">
        <f>IF(OR(E2692="",E2692="!!!"),"",IF(NOT(ISNA(VLOOKUP(E2692,E$1:E2691,1,FALSE()))),"OLD",IF(AND(E2692&lt;&gt;"",E2692&lt;&gt;"!!!"),"NEW","")))</f>
        <v> </v>
      </c>
      <c r="G2692" s="24" t="str">
        <f>IF(OR(E2692="",E2692="!!!"),"",IF(OR(J2692=0,AND(J2692=1,K2692=1),AND(J2692=1,I2692="SBJ"),AND(J2692=1,I2692=0)),"?IN_FOCUS",IF(J2692&lt;=2,"?ACTIVATED",IF(J2692&lt;&gt;"","?FAMILIAR",IF(F2692="NEW",IF(ISNA(VLOOKUP(E2692,#REF!,1,FALSE())),"?TYPE_IDENTIFIABLE","?REFERENTIAL"),"_")))))</f>
        <v> </v>
      </c>
      <c r="H2692" s="25" t="str">
        <f>IF(J2692&lt;&gt;1,"",IF(I2692="SBJ","CB","?"))</f>
        <v> </v>
      </c>
      <c r="I2692" s="26" t="str">
        <f>IF(OR(E2692="",E2692="!!!",F2692="NEW"),"",INDEX(B2691:B$2,-1+SUMPRODUCT(MAX(ROW(E2691:E$2)*(E2692=E2691:E$2)))))</f>
        <v> </v>
      </c>
      <c r="J2692" s="26" t="str">
        <f>IF(OR(E2692="",E2692="!!!",F2692="NEW"),"",COUNTBLANK(OFFSET(A$1,,,SUMPRODUCT(MAX(ROW(E$2:E2692)*(E2692=E$2:E2692)))))-COUNTBLANK(OFFSET(A$1,,,SUMPRODUCT(MAX(ROW(E$1:E2691)*(E2=E$1:E2691))))))</f>
        <v> </v>
      </c>
      <c r="K2692" s="26" t="str">
        <f>IF(OR(E2692="",E2692="!!!",F2692="NEW"),"",INDEX(J$1:J2691,SUMPRODUCT(MAX(ROW(E$1:E2691)*(E2692=E$1:E2691)))))</f>
        <v> </v>
      </c>
      <c r="L2692" s="27"/>
    </row>
    <row r="2693" spans="1:12">
      <c r="A2693" s="20" t="s">
        <v>1256</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1335</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475</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row>
    <row r="2697" spans="1:12">
      <c r="A2697" s="20" t="s">
        <v>1336</v>
      </c>
    </row>
    <row r="2698" spans="1:12">
      <c r="A2698" s="20" t="s">
        <v>603</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524</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1337</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1338</v>
      </c>
      <c r="B2701" s="21" t="s">
        <v>539</v>
      </c>
      <c r="C2701" s="21" t="s">
        <v>459</v>
      </c>
      <c r="D2701" s="21" t="s">
        <v>455</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460</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854</v>
      </c>
      <c r="B2703" s="21" t="s">
        <v>462</v>
      </c>
      <c r="C2703" s="21" t="s">
        <v>463</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503</v>
      </c>
      <c r="B2704" s="21" t="s">
        <v>512</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1339</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1340</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1341</v>
      </c>
      <c r="B2707" s="21" t="s">
        <v>574</v>
      </c>
      <c r="C2707" s="21" t="s">
        <v>463</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516</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1342</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492</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582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465</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1341</v>
      </c>
      <c r="B2713" s="21" t="s">
        <v>478</v>
      </c>
      <c r="C2713" s="21" t="s">
        <v>459</v>
      </c>
      <c r="D2713" s="21" t="s">
        <v>455</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460</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635</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1343</v>
      </c>
      <c r="B2716" s="21" t="s">
        <v>462</v>
      </c>
      <c r="C2716" s="21" t="s">
        <v>474</v>
      </c>
      <c r="D2716" s="21" t="s">
        <v>455</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517</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465</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1258</v>
      </c>
      <c r="B2719" s="21" t="s">
        <v>462</v>
      </c>
      <c r="C2719" s="21" t="s">
        <v>459</v>
      </c>
      <c r="D2719" s="21" t="s">
        <v>455</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480</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493</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1341</v>
      </c>
      <c r="B2722" s="21" t="s">
        <v>470</v>
      </c>
      <c r="C2722" s="21" t="s">
        <v>459</v>
      </c>
      <c r="D2722" s="21" t="s">
        <v>455</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926</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460</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1344</v>
      </c>
      <c r="B2725" s="21" t="s">
        <v>467</v>
      </c>
      <c r="C2725" s="21" t="s">
        <v>463</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1345</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582</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635</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1346</v>
      </c>
      <c r="B2729" s="21" t="s">
        <v>587</v>
      </c>
      <c r="C2729" s="21" t="s">
        <v>474</v>
      </c>
      <c r="D2729" s="21" t="s">
        <v>455</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492</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652</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492</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678</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1347</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465</v>
      </c>
      <c r="B2735" s="21" t="s">
        <v>574</v>
      </c>
      <c r="C2735" s="21" t="s">
        <v>454</v>
      </c>
      <c r="D2735" s="21" t="s">
        <v>455</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653</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382</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492</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1203</v>
      </c>
      <c r="B2739" s="21" t="s">
        <v>574</v>
      </c>
      <c r="C2739" s="21" t="s">
        <v>463</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1348</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1345</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582</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t="s">
        <v>1263</v>
      </c>
      <c r="B2743" s="21" t="s">
        <v>496</v>
      </c>
      <c r="C2743" s="21" t="s">
        <v>463</v>
      </c>
      <c r="E2743" s="22">
        <f>IF(D2743="?OLD","!!!","")</f>
        <v/>
      </c>
      <c r="F2743" s="23" t="str">
        <f>IF(OR(E2743="",E2743="!!!"),"",IF(NOT(ISNA(VLOOKUP(E2743,E$1:E2742,1,FALSE()))),"OLD",IF(AND(E2743&lt;&gt;"",E2743&lt;&gt;"!!!"),"NEW","")))</f>
        <v> </v>
      </c>
      <c r="G2743" s="24" t="str">
        <f>IF(OR(E2743="",E2743="!!!"),"",IF(OR(J2743=0,AND(J2743=1,K2743=1),AND(J2743=1,I2743="SBJ"),AND(J2743=1,I2743=0)),"?IN_FOCUS",IF(J2743&lt;=2,"?ACTIVATED",IF(J2743&lt;&gt;"","?FAMILIAR",IF(F2743="NEW",IF(ISNA(VLOOKUP(E2743,#REF!,1,FALSE())),"?TYPE_IDENTIFIABLE","?REFERENTIAL"),"_")))))</f>
        <v> </v>
      </c>
      <c r="H2743" s="25" t="str">
        <f>IF(J2743&lt;&gt;1,"",IF(I2743="SBJ","CB","?"))</f>
        <v> </v>
      </c>
      <c r="I2743" s="26" t="str">
        <f>IF(OR(E2743="",E2743="!!!",F2743="NEW"),"",INDEX(B2742:B$2,-1+SUMPRODUCT(MAX(ROW(E2742:E$2)*(E2743=E2742:E$2)))))</f>
        <v> </v>
      </c>
      <c r="J2743" s="26" t="str">
        <f>IF(OR(E2743="",E2743="!!!",F2743="NEW"),"",COUNTBLANK(OFFSET(A$1,,,SUMPRODUCT(MAX(ROW(E$2:E2743)*(E2743=E$2:E2743)))))-COUNTBLANK(OFFSET(A$1,,,SUMPRODUCT(MAX(ROW(E$1:E2742)*(E2=E$1:E2742))))))</f>
        <v> </v>
      </c>
      <c r="K2743" s="26" t="str">
        <f>IF(OR(E2743="",E2743="!!!",F2743="NEW"),"",INDEX(J$1:J2742,SUMPRODUCT(MAX(ROW(E$1:E2742)*(E2743=E$1:E2742)))))</f>
        <v> </v>
      </c>
      <c r="L2743" s="27"/>
    </row>
    <row r="2744" spans="1:12">
      <c r="A2744" s="20" t="s">
        <v>503</v>
      </c>
      <c r="B2744" s="21" t="s">
        <v>914</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1349</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698</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517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1234</v>
      </c>
      <c r="B2748" s="21" t="s">
        <v>587</v>
      </c>
      <c r="C2748" s="21" t="s">
        <v>463</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492</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783</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505</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685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1350</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599</v>
      </c>
      <c r="B2754" s="21" t="s">
        <v>470</v>
      </c>
      <c r="C2754" s="21" t="s">
        <v>474</v>
      </c>
      <c r="D2754" s="21" t="s">
        <v>455</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678</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162</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483</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t="s">
        <v>606</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1351</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1218</v>
      </c>
      <c r="B2760" s="21" t="s">
        <v>496</v>
      </c>
      <c r="C2760" s="21" t="s">
        <v>485</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475</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row>
    <row r="2763" spans="1:12">
      <c r="A2763" s="20" t="s">
        <v>1352</v>
      </c>
    </row>
    <row r="2764" spans="1:12">
      <c r="A2764" s="20" t="s">
        <v>745</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936</v>
      </c>
      <c r="B2765" s="21" t="s">
        <v>539</v>
      </c>
      <c r="C2765" s="21" t="s">
        <v>513</v>
      </c>
      <c r="D2765" s="21" t="s">
        <v>455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460</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1353</v>
      </c>
      <c r="B2767" s="21" t="s">
        <v>462</v>
      </c>
      <c r="C2767" s="21" t="s">
        <v>463</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1354</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465</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1355</v>
      </c>
      <c r="B2770" s="21" t="s">
        <v>453</v>
      </c>
      <c r="C2770" s="21" t="s">
        <v>459</v>
      </c>
      <c r="D2770" s="21" t="s">
        <v>455</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1356</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460</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481</v>
      </c>
      <c r="B2773" s="21" t="s">
        <v>462</v>
      </c>
      <c r="C2773" s="21" t="s">
        <v>463</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1357</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t="s">
        <v>475</v>
      </c>
      <c r="E2775" s="22">
        <f>IF(D2775="?OLD","!!!","")</f>
        <v/>
      </c>
      <c r="F2775" s="23" t="str">
        <f>IF(OR(E2775="",E2775="!!!"),"",IF(NOT(ISNA(VLOOKUP(E2775,E$1:E2774,1,FALSE()))),"OLD",IF(AND(E2775&lt;&gt;"",E2775&lt;&gt;"!!!"),"NEW","")))</f>
        <v> </v>
      </c>
      <c r="G2775" s="24" t="str">
        <f>IF(OR(E2775="",E2775="!!!"),"",IF(OR(J2775=0,AND(J2775=1,K2775=1),AND(J2775=1,I2775="SBJ"),AND(J2775=1,I2775=0)),"?IN_FOCUS",IF(J2775&lt;=2,"?ACTIVATED",IF(J2775&lt;&gt;"","?FAMILIAR",IF(F2775="NEW",IF(ISNA(VLOOKUP(E2775,#REF!,1,FALSE())),"?TYPE_IDENTIFIABLE","?REFERENTIAL"),"_")))))</f>
        <v> </v>
      </c>
      <c r="H2775" s="25" t="str">
        <f>IF(J2775&lt;&gt;1,"",IF(I2775="SBJ","CB","?"))</f>
        <v> </v>
      </c>
      <c r="I2775" s="26" t="str">
        <f>IF(OR(E2775="",E2775="!!!",F2775="NEW"),"",INDEX(B2774:B$2,-1+SUMPRODUCT(MAX(ROW(E2774:E$2)*(E2775=E2774:E$2)))))</f>
        <v> </v>
      </c>
      <c r="J2775" s="26" t="str">
        <f>IF(OR(E2775="",E2775="!!!",F2775="NEW"),"",COUNTBLANK(OFFSET(A$1,,,SUMPRODUCT(MAX(ROW(E$2:E2775)*(E2775=E$2:E2775)))))-COUNTBLANK(OFFSET(A$1,,,SUMPRODUCT(MAX(ROW(E$1:E2774)*(E2=E$1:E2774))))))</f>
        <v> </v>
      </c>
      <c r="K2775" s="26" t="str">
        <f>IF(OR(E2775="",E2775="!!!",F2775="NEW"),"",INDEX(J$1:J2774,SUMPRODUCT(MAX(ROW(E$1:E2774)*(E2775=E$1:E2774)))))</f>
        <v> </v>
      </c>
      <c r="L2775" s="27"/>
    </row>
    <row r="2776" spans="1:12">
      <c r="A2776" s="20"/>
    </row>
    <row r="2777" spans="1:12">
      <c r="A2777" s="20" t="s">
        <v>1358</v>
      </c>
    </row>
    <row r="2778" spans="1:12">
      <c r="A2778" s="20" t="s">
        <v>736</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1359</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517</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457</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576</v>
      </c>
      <c r="B2782" s="21" t="s">
        <v>478</v>
      </c>
      <c r="C2782" s="21" t="s">
        <v>485</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1028</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1360</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475</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row>
    <row r="2787" spans="1:12">
      <c r="A2787" s="20" t="s">
        <v>1361</v>
      </c>
    </row>
    <row r="2788" spans="1:12">
      <c r="A2788" s="20" t="s">
        <v>736</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1362</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492</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533</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1040</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517</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501</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1300</v>
      </c>
      <c r="B2795" s="21" t="s">
        <v>462</v>
      </c>
      <c r="C2795" s="21" t="s">
        <v>474</v>
      </c>
      <c r="D2795" s="21" t="s">
        <v>455</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1363</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652</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517</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520</v>
      </c>
      <c r="B2799" s="21" t="s">
        <v>470</v>
      </c>
      <c r="C2799" s="21" t="s">
        <v>522</v>
      </c>
      <c r="D2799" s="21" t="s">
        <v>455</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1364</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492</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480</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100</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517</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599</v>
      </c>
      <c r="B2805" s="21" t="s">
        <v>470</v>
      </c>
      <c r="C2805" s="21" t="s">
        <v>459</v>
      </c>
      <c r="D2805" s="21" t="s">
        <v>455</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1365</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527</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465</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1316</v>
      </c>
      <c r="B2809" s="21" t="s">
        <v>467</v>
      </c>
      <c r="C2809" s="21" t="s">
        <v>459</v>
      </c>
      <c r="D2809" s="21" t="s">
        <v>455</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460</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481</v>
      </c>
      <c r="B2811" s="21" t="s">
        <v>496</v>
      </c>
      <c r="C2811" s="21" t="s">
        <v>463</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492</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464</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1366</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492</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1367</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472</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461</v>
      </c>
      <c r="B2818" s="21" t="s">
        <v>567</v>
      </c>
      <c r="C2818" s="21" t="s">
        <v>474</v>
      </c>
      <c r="D2818" s="21" t="s">
        <v>455</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769</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1368</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475</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row>
    <row r="2823" spans="1:12">
      <c r="A2823" s="20" t="s">
        <v>1369</v>
      </c>
    </row>
    <row r="2824" spans="1:12">
      <c r="A2824" s="20" t="s">
        <v>1370</v>
      </c>
      <c r="B2824" s="21" t="s">
        <v>478</v>
      </c>
      <c r="C2824" s="21" t="s">
        <v>463</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475</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row>
    <row r="2827" spans="1:12">
      <c r="A2827" s="20" t="s">
        <v>1371</v>
      </c>
    </row>
    <row r="2828" spans="1:12">
      <c r="A2828" s="20" t="s">
        <v>1372</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1373</v>
      </c>
      <c r="B2829" s="21" t="s">
        <v>478</v>
      </c>
      <c r="C2829" s="21" t="s">
        <v>546</v>
      </c>
      <c r="D2829" s="21" t="s">
        <v>455</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1374</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2025-07-11T07:04:23Z</dcterms:created>
  <dcterms:modified xsi:type="dcterms:W3CDTF">2025-07-11T07:04:23Z</dcterms:modified>
</cp:coreProperties>
</file>