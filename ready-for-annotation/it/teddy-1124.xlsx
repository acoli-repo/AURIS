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<sst xmlns="http://schemas.openxmlformats.org/spreadsheetml/2006/main" count="9412" uniqueCount="2287">
  <si>
    <t>ID</t>
  </si>
  <si>
    <t>PRED_ID</t>
  </si>
  <si>
    <t>MARKER_AUTO</t>
  </si>
  <si>
    <t>PREDICATE</t>
  </si>
  <si>
    <t>TEXT</t>
  </si>
  <si>
    <t>SENTENCE</t>
  </si>
  <si>
    <t>MARKER</t>
  </si>
  <si>
    <t>TARGET</t>
  </si>
  <si>
    <t>RELATION</t>
  </si>
  <si>
    <t>COMMENT</t>
  </si>
  <si>
    <t>1</t>
  </si>
  <si>
    <t>2</t>
  </si>
  <si>
    <t>_</t>
  </si>
  <si>
    <t>chare</t>
  </si>
  <si>
    <t>Mi chiamo Jane McGonigal .</t>
  </si>
  <si>
    <t>file://conllu/it/teddy-1124.conllu#s1_0</t>
  </si>
  <si>
    <t>essere (essere autore)</t>
  </si>
  <si>
    <t>Sono un' autrice di videogiochi .</t>
  </si>
  <si>
    <t>file://conllu/it/teddy-1124.conllu#s2_0</t>
  </si>
  <si>
    <t>3</t>
  </si>
  <si>
    <t>15</t>
  </si>
  <si>
    <t>essere</t>
  </si>
  <si>
    <t>Realizzo giochi online da 10 anni e il mio obbiettivo per i prossimi dieci è di cercare di rendere facile salvare il mondo nella in la vita reale quanto lo è nel in il mondo dei di i giochi online .</t>
  </si>
  <si>
    <t>file://conllu/it/teddy-1124.conllu#s3_0</t>
  </si>
  <si>
    <t>4</t>
  </si>
  <si>
    <t>per?</t>
  </si>
  <si>
    <t>avere</t>
  </si>
  <si>
    <t>Per farlo far lo ho un piano , e consiste nel in il convincere più persone , compresi tutti voi , a passare più tempo a giocare giochi più belli e interessanti .</t>
  </si>
  <si>
    <t>file://conllu/it/teddy-1124.conllu#s4_0</t>
  </si>
  <si>
    <t>6</t>
  </si>
  <si>
    <t>5</t>
  </si>
  <si>
    <t>pensare</t>
  </si>
  <si>
    <t>Alcuni di voi potrebbero pensare , &amp;quot; É un bel po' di tempo passato a giocare . &amp;quot; magari troppo tempo , considerando quanti problemi urgenti dobbiamo risolvere nel in il mondo reale .</t>
  </si>
  <si>
    <t>file://conllu/it/teddy-1124.conllu#s6_0</t>
  </si>
  <si>
    <t>7</t>
  </si>
  <si>
    <t>18</t>
  </si>
  <si>
    <t>in realtà?</t>
  </si>
  <si>
    <t>essere (essere vero)</t>
  </si>
  <si>
    <t>In realtà , secondo le mie ricerche , presso l' Istituto per il Futuro , in realtà è vero il contrario .</t>
  </si>
  <si>
    <t>file://conllu/it/teddy-1124.conllu#s7_0</t>
  </si>
  <si>
    <t>8</t>
  </si>
  <si>
    <t>9</t>
  </si>
  <si>
    <t>essere (essere sufficiente)</t>
  </si>
  <si>
    <t>Tre miliardi di ore alla a la settimana non sono minimamente sufficienti a risolvere i problemi più urgenti del di il mondo .</t>
  </si>
  <si>
    <t>file://conllu/it/teddy-1124.conllu#s8_0</t>
  </si>
  <si>
    <t>infatti?</t>
  </si>
  <si>
    <t>credere</t>
  </si>
  <si>
    <t>Infatti io credo che se vogliamo sopravvivere il prossimo secolo su questo pianeta dobbiamo aumentare notevolmente quella cifra .</t>
  </si>
  <si>
    <t>file://conllu/it/teddy-1124.conllu#s9_0</t>
  </si>
  <si>
    <t>10</t>
  </si>
  <si>
    <t>calcolare</t>
  </si>
  <si>
    <t>Ho calcolato che il totale di cui abbiamo bisogno è di 21 miliardi di ore di gioco ogni settimana .</t>
  </si>
  <si>
    <t>file://conllu/it/teddy-1124.conllu#s10_0</t>
  </si>
  <si>
    <t>11</t>
  </si>
  <si>
    <t>quindi?</t>
  </si>
  <si>
    <t>essere (essere idea)</t>
  </si>
  <si>
    <t>Probabilmente è un' idea un attimino controintuitiva , quindi la ripeto , per rinforzare il concetto .</t>
  </si>
  <si>
    <t>file://conllu/it/teddy-1124.conllu#s11_0</t>
  </si>
  <si>
    <t>12</t>
  </si>
  <si>
    <t>24</t>
  </si>
  <si>
    <t>se?</t>
  </si>
  <si>
    <t>Se vogliamo risolvere problemi quali la fame , la povertà , i cambiamenti climatici , i conflitti globali , l' obesità , io credo che dobbiamo avere l' ambizione di giocare online , per almeno 21 miliardi di ore alla a la settima , per la fine del di il prossimo decennio .</t>
  </si>
  <si>
    <t>file://conllu/it/teddy-1124.conllu#s12_0</t>
  </si>
  <si>
    <t>13</t>
  </si>
  <si>
    <t>essere (essere serio)</t>
  </si>
  <si>
    <t>( Risate ) No , sono seria , davvero .</t>
  </si>
  <si>
    <t>file://conllu/it/teddy-1124.conllu#s13_0</t>
  </si>
  <si>
    <t>14</t>
  </si>
  <si>
    <t>perché?</t>
  </si>
  <si>
    <t>perché</t>
  </si>
  <si>
    <t>Ecco il perché .</t>
  </si>
  <si>
    <t>file://conllu/it/teddy-1124.conllu#s14_0</t>
  </si>
  <si>
    <t>riassumere</t>
  </si>
  <si>
    <t>Questa immagine riassume perché penso che giocare sia così importante per la sopravvivenza della di la specie umana .</t>
  </si>
  <si>
    <t>file://conllu/it/teddy-1124.conllu#s15_0</t>
  </si>
  <si>
    <t>16</t>
  </si>
  <si>
    <t>risate</t>
  </si>
  <si>
    <t>( Risate ) Davvero .</t>
  </si>
  <si>
    <t>file://conllu/it/teddy-1124.conllu#s16_0</t>
  </si>
  <si>
    <t>17</t>
  </si>
  <si>
    <t>catturare</t>
  </si>
  <si>
    <t>Questo è un ritratto del di il fotografo Phil Toldano , voleva catturare l' emozione del di il gioco .</t>
  </si>
  <si>
    <t>file://conllu/it/teddy-1124.conllu#s17_0</t>
  </si>
  <si>
    <t>fotografare</t>
  </si>
  <si>
    <t>Quindi ha fotografato dei di i giocatori mentre giocavano .</t>
  </si>
  <si>
    <t>file://conllu/it/teddy-1124.conllu#s18_0</t>
  </si>
  <si>
    <t>19</t>
  </si>
  <si>
    <t>e?</t>
  </si>
  <si>
    <t>essere (essere emozione)</t>
  </si>
  <si>
    <t>E questa è una classica emozione di gioco .</t>
  </si>
  <si>
    <t>file://conllu/it/teddy-1124.conllu#s19_0</t>
  </si>
  <si>
    <t>20</t>
  </si>
  <si>
    <t>essere (essere possibile)</t>
  </si>
  <si>
    <t>Se non siete giocatori abituali è possibile che vi perdiate alcune delle di le sfumature di questa foto .</t>
  </si>
  <si>
    <t>file://conllu/it/teddy-1124.conllu#s20_0</t>
  </si>
  <si>
    <t>21</t>
  </si>
  <si>
    <t>notare</t>
  </si>
  <si>
    <t>Probabilmente potete notare il senso di urgenza , un po' di paura , ma anche un' intensa concentrazione , un' attenzione molto profonda nell' in l' affrontare un problema davvero difficile .</t>
  </si>
  <si>
    <t>file://conllu/it/teddy-1124.conllu#s21_0</t>
  </si>
  <si>
    <t>22</t>
  </si>
  <si>
    <t>noteere</t>
  </si>
  <si>
    <t>Se siete giocatori abituali , noterete alcuni dettagli , le pieghe intorno agli a gli occhi , e intorno alla a la bocca sono un segno di ottimismo .</t>
  </si>
  <si>
    <t>file://conllu/it/teddy-1124.conllu#s22_0</t>
  </si>
  <si>
    <t>23</t>
  </si>
  <si>
    <t>mostrare</t>
  </si>
  <si>
    <t>E le sopracciglia inarcate mostrano sorpresa .</t>
  </si>
  <si>
    <t>file://conllu/it/teddy-1124.conllu#s23_0</t>
  </si>
  <si>
    <t>essere (essere giocatore)</t>
  </si>
  <si>
    <t>Questo è un giocatore abituale a un passo da una cosa chiamata una &amp;quot; Vittoria Epica &amp;quot; .</t>
  </si>
  <si>
    <t>file://conllu/it/teddy-1124.conllu#s24_0</t>
  </si>
  <si>
    <t>25</t>
  </si>
  <si>
    <t>essere (essere termine)</t>
  </si>
  <si>
    <t>( Risate ) Ah , è un termine che avete già sentito .</t>
  </si>
  <si>
    <t>file://conllu/it/teddy-1124.conllu#s25_0</t>
  </si>
  <si>
    <t>26</t>
  </si>
  <si>
    <t>Ok</t>
  </si>
  <si>
    <t>Ok .</t>
  </si>
  <si>
    <t>file://conllu/it/teddy-1124.conllu#s26_0</t>
  </si>
  <si>
    <t>27</t>
  </si>
  <si>
    <t>bene</t>
  </si>
  <si>
    <t>Bene .</t>
  </si>
  <si>
    <t>file://conllu/it/teddy-1124.conllu#s27_0</t>
  </si>
  <si>
    <t>28</t>
  </si>
  <si>
    <t>Abbiamo quindi dei di i giocatori abituali tra di noi .</t>
  </si>
  <si>
    <t>file://conllu/it/teddy-1124.conllu#s28_0</t>
  </si>
  <si>
    <t>29</t>
  </si>
  <si>
    <t>essere (essere risultato)</t>
  </si>
  <si>
    <t>Una vittoria epica è un risultato così straordinariamente positivo che non ti sembra possibile fino a quando non lo ottieni .</t>
  </si>
  <si>
    <t>file://conllu/it/teddy-1124.conllu#s29_0</t>
  </si>
  <si>
    <t>30</t>
  </si>
  <si>
    <t>essere (essere soglia)</t>
  </si>
  <si>
    <t>E' quasi oltre la soglia dell' di l' immaginazione , e quando ci arrivi è uno shock scoprire ciò di cui sei veramente capace .</t>
  </si>
  <si>
    <t>file://conllu/it/teddy-1124.conllu#s30_0</t>
  </si>
  <si>
    <t>31</t>
  </si>
  <si>
    <t>essere (essere vittoria)</t>
  </si>
  <si>
    <t>Questa è una vittoria epica .</t>
  </si>
  <si>
    <t>file://conllu/it/teddy-1124.conllu#s31_0</t>
  </si>
  <si>
    <t>32</t>
  </si>
  <si>
    <t>essere (essere passo)</t>
  </si>
  <si>
    <t>Questo giocatore è a un passo da una vittoria epica .</t>
  </si>
  <si>
    <t>file://conllu/it/teddy-1124.conllu#s32_0</t>
  </si>
  <si>
    <t>33</t>
  </si>
  <si>
    <t>essere (essere espressione)</t>
  </si>
  <si>
    <t>E questa è l' espressione che abbiamo bisogno di vedere sul su il viso di milioni di risolutori di problemi nel in il mondo mentre affrontiamo gli ostacoli dei di i prossimi cento anni.©</t>
  </si>
  <si>
    <t>file://conllu/it/teddy-1124.conllu#s33_0</t>
  </si>
  <si>
    <t>34</t>
  </si>
  <si>
    <t>espressione</t>
  </si>
  <si>
    <t>L' espressione di qualcuno che , contro tutte le aspettative , è a un passo da una vittoria epica .</t>
  </si>
  <si>
    <t>file://conllu/it/teddy-1124.conllu#s34_0</t>
  </si>
  <si>
    <t>35</t>
  </si>
  <si>
    <t>Sfortunatamente questa è l' espressione che vediamo nella in la vita di tutti i giorni mentre tentiamo di affrontare dei di i problemi urgenti .</t>
  </si>
  <si>
    <t>file://conllu/it/teddy-1124.conllu#s35_0</t>
  </si>
  <si>
    <t>36</t>
  </si>
  <si>
    <t>brava</t>
  </si>
  <si>
    <t>Questa è l' espressione che chiamo &amp;quot; Non Sono Brava Nella In la Realtà &amp;quot; E sono io a farla far la .</t>
  </si>
  <si>
    <t>file://conllu/it/teddy-1124.conllu#s36_0</t>
  </si>
  <si>
    <t>37</t>
  </si>
  <si>
    <t>vedere</t>
  </si>
  <si>
    <t>La vedete ?</t>
  </si>
  <si>
    <t>file://conllu/it/teddy-1124.conllu#s37_0</t>
  </si>
  <si>
    <t>38</t>
  </si>
  <si>
    <t>si</t>
  </si>
  <si>
    <t>Si .</t>
  </si>
  <si>
    <t>file://conllu/it/teddy-1124.conllu#s38_0</t>
  </si>
  <si>
    <t>39</t>
  </si>
  <si>
    <t>file://conllu/it/teddy-1124.conllu#s39_0</t>
  </si>
  <si>
    <t>40</t>
  </si>
  <si>
    <t>Brare</t>
  </si>
  <si>
    <t>Sono io con l' espressione &amp;quot; Non Sono Brava Nella In la Realtà &amp;quot; .</t>
  </si>
  <si>
    <t>file://conllu/it/teddy-1124.conllu#s40_0</t>
  </si>
  <si>
    <t>41</t>
  </si>
  <si>
    <t>essere (essere graffito)</t>
  </si>
  <si>
    <t>Questo è un graffito nel in il mio vecchio quartiere di Berkeley , in California , dove ho fatto il PhD sul su il perché siamo più bravi nel in il gioco che nella in la vita reale .</t>
  </si>
  <si>
    <t>file://conllu/it/teddy-1124.conllu#s41_0</t>
  </si>
  <si>
    <t>42</t>
  </si>
  <si>
    <t>essere (essere problema)</t>
  </si>
  <si>
    <t>E questo è un problema di molti giocatori abituali :</t>
  </si>
  <si>
    <t>file://conllu/it/teddy-1124.conllu#s42_0</t>
  </si>
  <si>
    <t>43</t>
  </si>
  <si>
    <t>sentire</t>
  </si>
  <si>
    <t>sentiamo che nella in la realtà non siamo bravi quanto nei in i giochi .</t>
  </si>
  <si>
    <t>file://conllu/it/teddy-1124.conllu#s43_0</t>
  </si>
  <si>
    <t>44</t>
  </si>
  <si>
    <t>anche?</t>
  </si>
  <si>
    <t>intendere</t>
  </si>
  <si>
    <t>E non intendo &amp;quot; bravi &amp;quot; semplicemente come &amp;quot; di successo &amp;quot; , anche se il successo ne è parte :</t>
  </si>
  <si>
    <t>file://conllu/it/teddy-1124.conllu#s44_0</t>
  </si>
  <si>
    <t>45</t>
  </si>
  <si>
    <t>ottenere</t>
  </si>
  <si>
    <t>otteniamo più risultati nei in i mondi online .</t>
  </si>
  <si>
    <t>file://conllu/it/teddy-1124.conllu#s45_0</t>
  </si>
  <si>
    <t>46</t>
  </si>
  <si>
    <t>Ma intendo anche &amp;quot; bravi &amp;quot; nel in il senso di motivati a fare qualcosa di importante , ispirati a collaborare e a cooperare .</t>
  </si>
  <si>
    <t>file://conllu/it/teddy-1124.conllu#s46_0</t>
  </si>
  <si>
    <t>47</t>
  </si>
  <si>
    <t>quando?</t>
  </si>
  <si>
    <t>E quando siamo in un mondo online io credo che molti di noi diventano le versioni migliori di se stessi , le versioni più capaci di aiutare senza preavviso , più capaci di concentrarsi concentrar si su un problema per tutto il tempo necessario , di rialzarsi rialzar si dopo un fallimento e provare nuovamente .</t>
  </si>
  <si>
    <t>file://conllu/it/teddy-1124.conllu#s47_0</t>
  </si>
  <si>
    <t>48</t>
  </si>
  <si>
    <t>E nella in la vita reale , quando affrontiamo un fallimento , quando affrontiamo un ostacolo , spesso non ci sentiamo così : ci sentiamo..</t>
  </si>
  <si>
    <t>file://conllu/it/teddy-1124.conllu#s48_0</t>
  </si>
  <si>
    <t>49</t>
  </si>
  <si>
    <t>.</t>
  </si>
  <si>
    <t>file://conllu/it/teddy-1124.conllu#s49_0</t>
  </si>
  <si>
    <t>50</t>
  </si>
  <si>
    <t>sentire (sentire sentire)</t>
  </si>
  <si>
    <t>sconfitti , ci sentiamo sopraffatti , ci sentiamo ansiosi , magari depressi , frustrati o cinici .</t>
  </si>
  <si>
    <t>file://conllu/it/teddy-1124.conllu#s50_0</t>
  </si>
  <si>
    <t>51</t>
  </si>
  <si>
    <t>mentre?</t>
  </si>
  <si>
    <t>provare</t>
  </si>
  <si>
    <t>Non proviamo mai questi sentimenti mentre giochiamo , semplicemente non esistono in un gioco .</t>
  </si>
  <si>
    <t>file://conllu/it/teddy-1124.conllu#s51_0</t>
  </si>
  <si>
    <t>52</t>
  </si>
  <si>
    <t>essere (essere ciò)</t>
  </si>
  <si>
    <t>Quindi questo è ciò che ho voluto studiare all' a l' università .</t>
  </si>
  <si>
    <t>file://conllu/it/teddy-1124.conllu#s52_0</t>
  </si>
  <si>
    <t>53</t>
  </si>
  <si>
    <t>Cos' è che in un gioco ci impedisce di sentire che non possiamo ottenere qualsiasi risultato ?</t>
  </si>
  <si>
    <t>file://conllu/it/teddy-1124.conllu#s53_0</t>
  </si>
  <si>
    <t>54</t>
  </si>
  <si>
    <t>come?</t>
  </si>
  <si>
    <t>trasportare</t>
  </si>
  <si>
    <t>Come possiamo trasportare quei sentimenti dai da i giochi e applicarli applicar li al a il mondo reale ?</t>
  </si>
  <si>
    <t>file://conllu/it/teddy-1124.conllu#s54_0</t>
  </si>
  <si>
    <t>55</t>
  </si>
  <si>
    <t>studiare</t>
  </si>
  <si>
    <t>Ho studiato quindi dei di i giochi come World of Warcraft , che è veramente l' ambiente ideale per risolvere problemi in maniera collaborativa .</t>
  </si>
  <si>
    <t>file://conllu/it/teddy-1124.conllu#s55_0</t>
  </si>
  <si>
    <t>56</t>
  </si>
  <si>
    <t>cominciare</t>
  </si>
  <si>
    <t>E ho cominciato a notare alcune cose che rendono le vittorie epiche così possibili nei in i mondi online .</t>
  </si>
  <si>
    <t>file://conllu/it/teddy-1124.conllu#s56_0</t>
  </si>
  <si>
    <t>57</t>
  </si>
  <si>
    <t>prima?</t>
  </si>
  <si>
    <t>La prima è che , quando appari in uno di questi giochi online , specialmente in World of Warcraft , ci sono tantissimi personaggi diversi che si fidano al a il punto tale da affidarti una missione per salvare il mondo .</t>
  </si>
  <si>
    <t>file://conllu/it/teddy-1124.conllu#s57_0</t>
  </si>
  <si>
    <t>58</t>
  </si>
  <si>
    <t>subito</t>
  </si>
  <si>
    <t>Fin da subito .</t>
  </si>
  <si>
    <t>file://conllu/it/teddy-1124.conllu#s58_0</t>
  </si>
  <si>
    <t>59</t>
  </si>
  <si>
    <t>ma?</t>
  </si>
  <si>
    <t>missione</t>
  </si>
  <si>
    <t>Ma non una missione qualsiasi :</t>
  </si>
  <si>
    <t>file://conllu/it/teddy-1124.conllu#s59_0</t>
  </si>
  <si>
    <t>60</t>
  </si>
  <si>
    <t>una missione perfettamente adeguata al a il tuo attuale livello nel in il gioco .</t>
  </si>
  <si>
    <t>file://conllu/it/teddy-1124.conllu#s60_0</t>
  </si>
  <si>
    <t>61</t>
  </si>
  <si>
    <t>giusto</t>
  </si>
  <si>
    <t>Giusto ?</t>
  </si>
  <si>
    <t>file://conllu/it/teddy-1124.conllu#s61_0</t>
  </si>
  <si>
    <t>62</t>
  </si>
  <si>
    <t>così?</t>
  </si>
  <si>
    <t>completare</t>
  </si>
  <si>
    <t>Così la puoi completare .</t>
  </si>
  <si>
    <t>file://conllu/it/teddy-1124.conllu#s62_0</t>
  </si>
  <si>
    <t>63</t>
  </si>
  <si>
    <t>dare</t>
  </si>
  <si>
    <t>Non ti danno mai un sfida impossibile .</t>
  </si>
  <si>
    <t>file://conllu/it/teddy-1124.conllu#s63_0</t>
  </si>
  <si>
    <t>64</t>
  </si>
  <si>
    <t>essere (essere limite)</t>
  </si>
  <si>
    <t>Ma è al a il limite delle di le tue capacità .</t>
  </si>
  <si>
    <t>file://conllu/it/teddy-1124.conllu#s64_0</t>
  </si>
  <si>
    <t>65</t>
  </si>
  <si>
    <t>provarre</t>
  </si>
  <si>
    <t>Quindi devi provarci provar ci seriamente .</t>
  </si>
  <si>
    <t>file://conllu/it/teddy-1124.conllu#s65_0</t>
  </si>
  <si>
    <t>66</t>
  </si>
  <si>
    <t>Ma non c' è disoccupazione in World of Warcraft , non si passa il tempo a girarsi girar si i pollici , c' è sempre qualcosa di specifico e importante da fare .</t>
  </si>
  <si>
    <t>file://conllu/it/teddy-1124.conllu#s66_0</t>
  </si>
  <si>
    <t>67</t>
  </si>
  <si>
    <t>E ci sono anche moltissimi collaboratori .</t>
  </si>
  <si>
    <t>file://conllu/it/teddy-1124.conllu#s67_0</t>
  </si>
  <si>
    <t>68</t>
  </si>
  <si>
    <t>andare</t>
  </si>
  <si>
    <t>Ovunque vai , centinaia di migliaia di persone , pronte a unirsi unir si a te per completare la tua missione epica .</t>
  </si>
  <si>
    <t>file://conllu/it/teddy-1124.conllu#s68_0</t>
  </si>
  <si>
    <t>69</t>
  </si>
  <si>
    <t>essere (essere cosa)</t>
  </si>
  <si>
    <t>Non è una cosa così comune nella in la vita reale , questa sensazione che a nostra disposizione ci sono tantissimi collaboratori .</t>
  </si>
  <si>
    <t>file://conllu/it/teddy-1124.conllu#s69_0</t>
  </si>
  <si>
    <t>70</t>
  </si>
  <si>
    <t>E c' è anche questa narrativa epica , questa narrativa che ispira , sul su il perché siamo lì , e cosa stiamo facendo .</t>
  </si>
  <si>
    <t>file://conllu/it/teddy-1124.conllu#s70_0</t>
  </si>
  <si>
    <t>71</t>
  </si>
  <si>
    <t>poi?</t>
  </si>
  <si>
    <t>ricevere</t>
  </si>
  <si>
    <t>E poi riceviamo tutto questo feedback positivo..</t>
  </si>
  <si>
    <t>file://conllu/it/teddy-1124.conllu#s71_0</t>
  </si>
  <si>
    <t>72</t>
  </si>
  <si>
    <t>file://conllu/it/teddy-1124.conllu#s72_0</t>
  </si>
  <si>
    <t>73</t>
  </si>
  <si>
    <t>parlare (parlare sentire)</t>
  </si>
  <si>
    <t>avete sentito parlare di aumentare di livello e +1 di forza , e +1 in intelligenza .</t>
  </si>
  <si>
    <t>file://conllu/it/teddy-1124.conllu#s73_0</t>
  </si>
  <si>
    <t>74</t>
  </si>
  <si>
    <t>Non riceviamo quel tipo di feedback costante nella in la vita reale .</t>
  </si>
  <si>
    <t>file://conllu/it/teddy-1124.conllu#s74_0</t>
  </si>
  <si>
    <t>75</t>
  </si>
  <si>
    <t>Quando lascio questo palco non avrò + 1 in parlare di fronte a un pubblico , e +1 in idee bizzarre ( +20 in idee bizzarre ) .</t>
  </si>
  <si>
    <t>file://conllu/it/teddy-1124.conllu#s75_0</t>
  </si>
  <si>
    <t>76</t>
  </si>
  <si>
    <t>Non ricevo quel tipo di feedback nella in la vita reale .</t>
  </si>
  <si>
    <t>file://conllu/it/teddy-1124.conllu#s76_0</t>
  </si>
  <si>
    <t>77</t>
  </si>
  <si>
    <t>Ora , il problema degli di gli ambienti collaborativi online come World of Warcraft è che dà così tanta soddisfazione essere ad un passo da una vittoria epica tutti i momenti , che decidiamo di passare tutto il nostro tempo in questi mondi di gioco .</t>
  </si>
  <si>
    <t>file://conllu/it/teddy-1124.conllu#s77_0</t>
  </si>
  <si>
    <t>78</t>
  </si>
  <si>
    <t>essere (essere meglio)</t>
  </si>
  <si>
    <t>Semplicemente è meglio della di la realtà .</t>
  </si>
  <si>
    <t>file://conllu/it/teddy-1124.conllu#s78_0</t>
  </si>
  <si>
    <t>79</t>
  </si>
  <si>
    <t>per questo?</t>
  </si>
  <si>
    <t>essere (essere questo)</t>
  </si>
  <si>
    <t>E' per questo che , finora , collettivamente tutti i giocatori di World of Warcraft hanno passato 5.93 milioni di anni a risolvere i problemi virtuali di Azeroth .</t>
  </si>
  <si>
    <t>file://conllu/it/teddy-1124.conllu#s79_0</t>
  </si>
  <si>
    <t>80</t>
  </si>
  <si>
    <t>Questa non è necessariamente una cosa negativa .</t>
  </si>
  <si>
    <t>file://conllu/it/teddy-1124.conllu#s80_0</t>
  </si>
  <si>
    <t>81</t>
  </si>
  <si>
    <t>sembrare</t>
  </si>
  <si>
    <t>( Può sembrare una cosa negativa .</t>
  </si>
  <si>
    <t>file://conllu/it/teddy-1124.conllu#s81_0</t>
  </si>
  <si>
    <t>82</t>
  </si>
  <si>
    <t>)</t>
  </si>
  <si>
    <t>file://conllu/it/teddy-1124.conllu#s82_0</t>
  </si>
  <si>
    <t>83</t>
  </si>
  <si>
    <t>mettere</t>
  </si>
  <si>
    <t>Ma mettiamola mettiamo la in prospettiva :</t>
  </si>
  <si>
    <t>file://conllu/it/teddy-1124.conllu#s83_0</t>
  </si>
  <si>
    <t>84</t>
  </si>
  <si>
    <t>essere (essere periodo)</t>
  </si>
  <si>
    <t>5.93 milioni di anni fa fu il periodo in cui uno dei di i nostri antenati si alzò in piedi .</t>
  </si>
  <si>
    <t>file://conllu/it/teddy-1124.conllu#s84_0</t>
  </si>
  <si>
    <t>85</t>
  </si>
  <si>
    <t>essere (essere primare)</t>
  </si>
  <si>
    <t>Quello era il primo primate a camminare eretto .</t>
  </si>
  <si>
    <t>file://conllu/it/teddy-1124.conllu#s85_0</t>
  </si>
  <si>
    <t>86</t>
  </si>
  <si>
    <t>Ok , quindi quando parliamo di quanto tempo stiamo investendo nel in il giocare , l' unica maniera sensata anche solo di pensarci pensar ci , è di parlare di tempi pari all' a l' evoluzione umana , che di per sè è una cosa straordinaria , ma anche utile , perché abbiamo scoperto che passando tutto questo tempo a giocare , stiamo cambiando ciò di cui siamo capaci come essere umani , ci stiamo evolvendo a collaborare di più e ad avere più cuore .</t>
  </si>
  <si>
    <t>file://conllu/it/teddy-1124.conllu#s86_0</t>
  </si>
  <si>
    <t>87</t>
  </si>
  <si>
    <t>Questo è vero , io ci credo .</t>
  </si>
  <si>
    <t>file://conllu/it/teddy-1124.conllu#s87_0</t>
  </si>
  <si>
    <t>88</t>
  </si>
  <si>
    <t>dunque?</t>
  </si>
  <si>
    <t>considerare</t>
  </si>
  <si>
    <t>Considerate dunque questa interessante statistica .</t>
  </si>
  <si>
    <t>file://conllu/it/teddy-1124.conllu#s88_0</t>
  </si>
  <si>
    <t>89</t>
  </si>
  <si>
    <t>pubblicare</t>
  </si>
  <si>
    <t>E' stata pubblicata recentemente da un ricercatore all' a l' università Carnagie Mellon .</t>
  </si>
  <si>
    <t>file://conllu/it/teddy-1124.conllu#s89_0</t>
  </si>
  <si>
    <t>90</t>
  </si>
  <si>
    <t>Il tipico giovane medio oggi giorno in un paese con una forte cultura di giocatori abituali , avrà passato 10.000 ore giocando online , all' a l' età di 21 anni .</t>
  </si>
  <si>
    <t>file://conllu/it/teddy-1124.conllu#s90_0</t>
  </si>
  <si>
    <t>91</t>
  </si>
  <si>
    <t>essere (essere numero)</t>
  </si>
  <si>
    <t>10.000 ore è un numero decisamente interessante per due ragioni .</t>
  </si>
  <si>
    <t>file://conllu/it/teddy-1124.conllu#s91_0</t>
  </si>
  <si>
    <t>92</t>
  </si>
  <si>
    <t>Prima di tutto , per i bambini negli in gli Stati Uniti 10.080 ore è l' esatto numero di ore che passi a scuola dalla da la quinta elementare fino alla a la maturità se sei presente tutti i giorni .</t>
  </si>
  <si>
    <t>file://conllu/it/teddy-1124.conllu#s92_0</t>
  </si>
  <si>
    <t>93</t>
  </si>
  <si>
    <t>Abbiamo dunque un' intero percorso di educazione parallelo nel in il quale i giovani imparano come essere dei di i bravi giocatori♪ pari al a il tempo a scuola nel in il quale imparano tutto il resto .</t>
  </si>
  <si>
    <t>file://conllu/it/teddy-1124.conllu#s93_0</t>
  </si>
  <si>
    <t>94</t>
  </si>
  <si>
    <t>leggere</t>
  </si>
  <si>
    <t>E alcuni di voi avranno probabilmente letto il nuovo di libro di Malcolm Gladwell , &amp;quot; Fuoriclasse &amp;quot; .</t>
  </si>
  <si>
    <t>file://conllu/it/teddy-1124.conllu#s94_0</t>
  </si>
  <si>
    <t>95</t>
  </si>
  <si>
    <t>letto</t>
  </si>
  <si>
    <t>Se lo avete fatto avrete letto della di la sua teoria del di il successo , la teoria delle di le 10.000 ore per il successo .</t>
  </si>
  <si>
    <t>file://conllu/it/teddy-1124.conllu#s95_0</t>
  </si>
  <si>
    <t>96</t>
  </si>
  <si>
    <t>fondare</t>
  </si>
  <si>
    <t>E' fondata su un' ottima ricerca nel in il campo della di la cognizione , che afferma che se dedichiamo 10.000 ore di studio fruttuoso a una qualsiasi cosa all' a l' età di 21 anni saremo dei di i geni in quel campo .</t>
  </si>
  <si>
    <t>file://conllu/it/teddy-1124.conllu#s96_0</t>
  </si>
  <si>
    <t>97</t>
  </si>
  <si>
    <t>essere (essere bravo)</t>
  </si>
  <si>
    <t>Saremo bravi in quel qualcosa tanto quanto le migliori persone al a il mondo .</t>
  </si>
  <si>
    <t>file://conllu/it/teddy-1124.conllu#s97_0</t>
  </si>
  <si>
    <t>98</t>
  </si>
  <si>
    <t>essere (essere generazione)</t>
  </si>
  <si>
    <t>Quindi , ciò che abbiamo adesso a disposizione è un' intera generazione di giovani che sono dei di i geni del di il gioco .</t>
  </si>
  <si>
    <t>file://conllu/it/teddy-1124.conllu#s98_0</t>
  </si>
  <si>
    <t>99</t>
  </si>
  <si>
    <t>essere (essere diventare)</t>
  </si>
  <si>
    <t>Dunque , la domanda è : &amp;quot; Esattamente , in cosa diventano bravi questi giocatori ? &amp;quot; perché se potessimo capire di cosa si tratta avremmo a disposizione una quantità di risorse umane senza precedenti .</t>
  </si>
  <si>
    <t>file://conllu/it/teddy-1124.conllu#s99_0</t>
  </si>
  <si>
    <t>100</t>
  </si>
  <si>
    <t>Questo è il numero di persone nel in il mondo che passano almeno un' ora al a il giorno a giocare online .</t>
  </si>
  <si>
    <t>file://conllu/it/teddy-1124.conllu#s100_0</t>
  </si>
  <si>
    <t>101</t>
  </si>
  <si>
    <t>essere (essere gene)</t>
  </si>
  <si>
    <t>Questi sono i nostri geni del di il gioco .</t>
  </si>
  <si>
    <t>file://conllu/it/teddy-1124.conllu#s101_0</t>
  </si>
  <si>
    <t>102</t>
  </si>
  <si>
    <t>milione</t>
  </si>
  <si>
    <t>500 milioni di persone che sono straordinariamente brave..</t>
  </si>
  <si>
    <t>file://conllu/it/teddy-1124.conllu#s102_0</t>
  </si>
  <si>
    <t>103</t>
  </si>
  <si>
    <t>file://conllu/it/teddy-1124.conllu#s103_0</t>
  </si>
  <si>
    <t>104</t>
  </si>
  <si>
    <t>qualcosa</t>
  </si>
  <si>
    <t>in qualcosa .</t>
  </si>
  <si>
    <t>file://conllu/it/teddy-1124.conllu#s104_0</t>
  </si>
  <si>
    <t>105</t>
  </si>
  <si>
    <t>E nel in il prossimo decennio avremo un altro miliardo di giocatori abituali che sono straordinariamente bravi in quel qualcosa .</t>
  </si>
  <si>
    <t>file://conllu/it/teddy-1124.conllu#s105_0</t>
  </si>
  <si>
    <t>106</t>
  </si>
  <si>
    <t>Se già non lo sapevate , questo è ciò che ci aspetta :</t>
  </si>
  <si>
    <t>file://conllu/it/teddy-1124.conllu#s106_0</t>
  </si>
  <si>
    <t>107</t>
  </si>
  <si>
    <t>sviluppare</t>
  </si>
  <si>
    <t>l' industria dei di i videogiochi sta sviluppando piattaforme che consumano poca energia e che funzionano con la rete cellulare invece dell' di l' Internet a banda larga cosicchè giocatori di tutto il mondo , in particolare in India , Cina , Brasile , potranno connettersi connetter si online .</t>
  </si>
  <si>
    <t>file://conllu/it/teddy-1124.conllu#s107_0</t>
  </si>
  <si>
    <t>108</t>
  </si>
  <si>
    <t>in più?</t>
  </si>
  <si>
    <t>essere (essere miliardo)</t>
  </si>
  <si>
    <t>La stima è un miliardo di giocatori in più nel in il prossimo decennio .</t>
  </si>
  <si>
    <t>file://conllu/it/teddy-1124.conllu#s108_0</t>
  </si>
  <si>
    <t>109</t>
  </si>
  <si>
    <t>portare</t>
  </si>
  <si>
    <t>Questo ci porterà a 1.5 miliardi di giocatori abituali .</t>
  </si>
  <si>
    <t>file://conllu/it/teddy-1124.conllu#s109_0</t>
  </si>
  <si>
    <t>110</t>
  </si>
  <si>
    <t>Quindi ho cominciato a pensare sotto quali aspetti questi giochi ci stanno trasformando in geni .</t>
  </si>
  <si>
    <t>file://conllu/it/teddy-1124.conllu#s110_0</t>
  </si>
  <si>
    <t>111</t>
  </si>
  <si>
    <t>Questi sono quattro aspetti che ho individuato .</t>
  </si>
  <si>
    <t>file://conllu/it/teddy-1124.conllu#s111_0</t>
  </si>
  <si>
    <t>112</t>
  </si>
  <si>
    <t>essere (essere ottimismo)</t>
  </si>
  <si>
    <t>Il primo è un ottimismo urgente .</t>
  </si>
  <si>
    <t>file://conllu/it/teddy-1124.conllu#s112_0</t>
  </si>
  <si>
    <t>113</t>
  </si>
  <si>
    <t>file://conllu/it/teddy-1124.conllu#s113_0</t>
  </si>
  <si>
    <t>114</t>
  </si>
  <si>
    <t>Pensatelare</t>
  </si>
  <si>
    <t>Pensatelo come una forma estrema di auto motivazione .</t>
  </si>
  <si>
    <t>file://conllu/it/teddy-1124.conllu#s114_0</t>
  </si>
  <si>
    <t>115</t>
  </si>
  <si>
    <t>essere (essere desiderio)</t>
  </si>
  <si>
    <t>Un ottimismo urgente è il desiderio di agire immediatamente per affrontare un ostacolo , insieme con la convinzione di avere una ragionevole speranza di successo .</t>
  </si>
  <si>
    <t>file://conllu/it/teddy-1124.conllu#s115_0</t>
  </si>
  <si>
    <t>116</t>
  </si>
  <si>
    <t>I giocatori abituali credono sempre che una vittoria epica sia possibile e che valga sempre la pena di provarci provar ci , e provarci provar ci adesso .</t>
  </si>
  <si>
    <t>file://conllu/it/teddy-1124.conllu#s116_0</t>
  </si>
  <si>
    <t>117</t>
  </si>
  <si>
    <t>stare</t>
  </si>
  <si>
    <t>I giocatori abituali non stanno con le mani in mano .</t>
  </si>
  <si>
    <t>file://conllu/it/teddy-1124.conllu#s117_0</t>
  </si>
  <si>
    <t>118</t>
  </si>
  <si>
    <t>essere (essere virtuoso)</t>
  </si>
  <si>
    <t>I giocatori abituali sono dei di i virtuosi nel in il tessere una robusta trama sociale .</t>
  </si>
  <si>
    <t>file://conllu/it/teddy-1124.conllu#s118_0</t>
  </si>
  <si>
    <t>119</t>
  </si>
  <si>
    <t>Ci sono molte ricerche interessanti che mostrano come ci troviamo meglio con altre persone dopo aver giocato con loro , anche se ci hanno battuto sonoramente .</t>
  </si>
  <si>
    <t>file://conllu/it/teddy-1124.conllu#s119_0</t>
  </si>
  <si>
    <t>120</t>
  </si>
  <si>
    <t>E la ragione è che ci vuole molta fiducia per giocare con qualcuno :</t>
  </si>
  <si>
    <t>file://conllu/it/teddy-1124.conllu#s120_0</t>
  </si>
  <si>
    <t>121</t>
  </si>
  <si>
    <t>abbiamo fiducia che passeranno il loro tempo con noi , che giocheranno con le stesse regole e con gli stessi obbiettivi , e che rimarranno fino alla a la conclusione del di il gioco .</t>
  </si>
  <si>
    <t>file://conllu/it/teddy-1124.conllu#s121_0</t>
  </si>
  <si>
    <t>122</t>
  </si>
  <si>
    <t>giocare</t>
  </si>
  <si>
    <t>Quindi , giocare insieme di fatto costruisce i legami della di la fiducia e della di la cooperazione .</t>
  </si>
  <si>
    <t>file://conllu/it/teddy-1124.conllu#s122_0</t>
  </si>
  <si>
    <t>124</t>
  </si>
  <si>
    <t>produttività</t>
  </si>
  <si>
    <t>Produttività gioiosa .</t>
  </si>
  <si>
    <t>file://conllu/it/teddy-1124.conllu#s124_0</t>
  </si>
  <si>
    <t>125</t>
  </si>
  <si>
    <t>adoro</t>
  </si>
  <si>
    <t>La adoro .</t>
  </si>
  <si>
    <t>file://conllu/it/teddy-1124.conllu#s125_0</t>
  </si>
  <si>
    <t>126</t>
  </si>
  <si>
    <t>Sapete , c' è una ragione per la quale il giocatore medio di World of Warcraft gioca 22 ore alla a la settimana , quasi quanto un lavoro part time .</t>
  </si>
  <si>
    <t>file://conllu/it/teddy-1124.conllu#s126_0</t>
  </si>
  <si>
    <t>127</t>
  </si>
  <si>
    <t>sapere</t>
  </si>
  <si>
    <t>E' perché sappiamo , mentre stiamo giocando , che in realtà siamo più felici lavorando sodo , piuttosto che rilassandoci rilassando ci o perdendo tempo .</t>
  </si>
  <si>
    <t>file://conllu/it/teddy-1124.conllu#s127_0</t>
  </si>
  <si>
    <t>128</t>
  </si>
  <si>
    <t>Sappiamo che siamo ottimizzati , come essere umani , per lavorare sodo a qualcosa che ha significato .</t>
  </si>
  <si>
    <t>file://conllu/it/teddy-1124.conllu#s128_0</t>
  </si>
  <si>
    <t>129</t>
  </si>
  <si>
    <t>disporre</t>
  </si>
  <si>
    <t>E i giocatori abituali sono disposti a lavorare sodo costantemente , se gli è assegnato un compito adatto .</t>
  </si>
  <si>
    <t>file://conllu/it/teddy-1124.conllu#s129_0</t>
  </si>
  <si>
    <t>130</t>
  </si>
  <si>
    <t>finire</t>
  </si>
  <si>
    <t>Per finire , un significato epico .</t>
  </si>
  <si>
    <t>file://conllu/it/teddy-1124.conllu#s130_0</t>
  </si>
  <si>
    <t>131</t>
  </si>
  <si>
    <t>associare</t>
  </si>
  <si>
    <t>I giocatori abituali adorano essere associati a missioni meravigliose , a storie umane su scala planetaria .</t>
  </si>
  <si>
    <t>file://conllu/it/teddy-1124.conllu#s131_0</t>
  </si>
  <si>
    <t>132</t>
  </si>
  <si>
    <t>per esempio?</t>
  </si>
  <si>
    <t>informazione</t>
  </si>
  <si>
    <t>Per esempio , una piccola informazione per aiutare a creare un contesto .</t>
  </si>
  <si>
    <t>file://conllu/it/teddy-1124.conllu#s132_0</t>
  </si>
  <si>
    <t>133</t>
  </si>
  <si>
    <t>Conoscere</t>
  </si>
  <si>
    <t>Conoscete tutti Wikipedia , il più grande wiki al a il mondo .</t>
  </si>
  <si>
    <t>file://conllu/it/teddy-1124.conllu#s133_0</t>
  </si>
  <si>
    <t>134</t>
  </si>
  <si>
    <t>essere (essere wiko)</t>
  </si>
  <si>
    <t>Il secondo wiki più grande al a il mondo , con quasi 80.000 articoli è il wiki di World of Warcraft Cinque milioni di persone lo usano ogni mese .</t>
  </si>
  <si>
    <t>file://conllu/it/teddy-1124.conllu#s134_0</t>
  </si>
  <si>
    <t>135</t>
  </si>
  <si>
    <t>raggruppare</t>
  </si>
  <si>
    <t>Hanno raggruppato più informazioni su World of Warcraft in Internet , che su qualsiasi altro argomento in qualunque altro wiki al a il mondo .</t>
  </si>
  <si>
    <t>file://conllu/it/teddy-1124.conllu#s135_0</t>
  </si>
  <si>
    <t>136</t>
  </si>
  <si>
    <t>costruire</t>
  </si>
  <si>
    <t>Stanno costruendo un' opera epica .</t>
  </si>
  <si>
    <t>file://conllu/it/teddy-1124.conllu#s136_0</t>
  </si>
  <si>
    <t>137</t>
  </si>
  <si>
    <t>Stanno costruendo una fonte epica di informazioni riguardanti World of Warcraft .</t>
  </si>
  <si>
    <t>file://conllu/it/teddy-1124.conllu#s137_0</t>
  </si>
  <si>
    <t>138</t>
  </si>
  <si>
    <t>Ok , questi sono i quattro superpoteri che insieme costituiscono una cosa sola .</t>
  </si>
  <si>
    <t>file://conllu/it/teddy-1124.conllu#s138_0</t>
  </si>
  <si>
    <t>139</t>
  </si>
  <si>
    <t>essere (essere individuio)</t>
  </si>
  <si>
    <t>I giocatori abituali sono individui di grande ottimismo dotati di super poteri .</t>
  </si>
  <si>
    <t>file://conllu/it/teddy-1124.conllu#s139_0</t>
  </si>
  <si>
    <t>140</t>
  </si>
  <si>
    <t>essere (essere persona)</t>
  </si>
  <si>
    <t>Queste sono persone che credono di essere individualmente capaci di cambiare il mondo .</t>
  </si>
  <si>
    <t>file://conllu/it/teddy-1124.conllu#s140_0</t>
  </si>
  <si>
    <t>141</t>
  </si>
  <si>
    <t>L' unico problema è che credono di essere capaci di cambiare i mondi virtuali ma non quello reale .</t>
  </si>
  <si>
    <t>file://conllu/it/teddy-1124.conllu#s141_0</t>
  </si>
  <si>
    <t>142</t>
  </si>
  <si>
    <t>Questo è il problema che sto cercando di risolvere .</t>
  </si>
  <si>
    <t>file://conllu/it/teddy-1124.conllu#s142_0</t>
  </si>
  <si>
    <t>143</t>
  </si>
  <si>
    <t>C' è un economo di nome Edward Castronova .</t>
  </si>
  <si>
    <t>file://conllu/it/teddy-1124.conllu#s143_0</t>
  </si>
  <si>
    <t>144</t>
  </si>
  <si>
    <t>essere (essere brillante)</t>
  </si>
  <si>
    <t>I suoi studi sono brillanti .</t>
  </si>
  <si>
    <t>file://conllu/it/teddy-1124.conllu#s144_0</t>
  </si>
  <si>
    <t>145</t>
  </si>
  <si>
    <t>Sta studiando il motivo per cui la gente investe così tanto tempo , energia e denaro , nei in i mondi online .</t>
  </si>
  <si>
    <t>file://conllu/it/teddy-1124.conllu#s145_0</t>
  </si>
  <si>
    <t>146</t>
  </si>
  <si>
    <t>osservare (osservare affermare)</t>
  </si>
  <si>
    <t>Lui afferma , &amp;quot; Stiamo osservando ciò che costituisce niente meno che un esodo di massa verso i mondi virtuali e gli ambienti di gioco online . &amp;quot;</t>
  </si>
  <si>
    <t>file://conllu/it/teddy-1124.conllu#s146_0</t>
  </si>
  <si>
    <t>147</t>
  </si>
  <si>
    <t>essere (essere economo)</t>
  </si>
  <si>
    <t>Ed è un economo , quindi è razionale , e dice...</t>
  </si>
  <si>
    <t>file://conllu/it/teddy-1124.conllu#s147_0</t>
  </si>
  <si>
    <t>148</t>
  </si>
  <si>
    <t>essere (essere esuberante)</t>
  </si>
  <si>
    <t>( Risate ) ...non come me , io sono una progettista di giochi , io sono esuberante..</t>
  </si>
  <si>
    <t>file://conllu/it/teddy-1124.conllu#s148_0</t>
  </si>
  <si>
    <t>149</t>
  </si>
  <si>
    <t>file://conllu/it/teddy-1124.conllu#s149_0</t>
  </si>
  <si>
    <t>150</t>
  </si>
  <si>
    <t>lui</t>
  </si>
  <si>
    <t>Ma lui afferma..</t>
  </si>
  <si>
    <t>file://conllu/it/teddy-1124.conllu#s150_0</t>
  </si>
  <si>
    <t>151</t>
  </si>
  <si>
    <t>file://conllu/it/teddy-1124.conllu#s151_0</t>
  </si>
  <si>
    <t>152</t>
  </si>
  <si>
    <t>affermare</t>
  </si>
  <si>
    <t>lui afferma che questa è una cosa perfettamente sensata , perché i giocatori abituali possono ottenere di più nei in i mondi online che nella in la vita reale .</t>
  </si>
  <si>
    <t>file://conllu/it/teddy-1124.conllu#s152_0</t>
  </si>
  <si>
    <t>153</t>
  </si>
  <si>
    <t>Possono avere relazioni sociali più solide in un gioco che non nella in la vita reale .</t>
  </si>
  <si>
    <t>file://conllu/it/teddy-1124.conllu#s153_0</t>
  </si>
  <si>
    <t>154</t>
  </si>
  <si>
    <t>essere (essere ragionevole)</t>
  </si>
  <si>
    <t>Ricevono un feedback migliore e si sentono più ricompensati Quindi , afferma , per adesso , è perfettamente ragionevole per i giocatori abituali , passare più tempo nei in i mondi virtuali che nel in il mondo reale Anche io sono d' accordo che questo sia ragionevole , per adesso ma non è , in nessun modo , una situazione ideale Dobbiamo cominciare a rendere il mondo reale più simile ad un gioco .</t>
  </si>
  <si>
    <t>file://conllu/it/teddy-1124.conllu#s154_0</t>
  </si>
  <si>
    <t>155</t>
  </si>
  <si>
    <t>traggere</t>
  </si>
  <si>
    <t>Qui traggo ispirazione da qualcosa che accadde 2500 anni fa .</t>
  </si>
  <si>
    <t>file://conllu/it/teddy-1124.conllu#s155_0</t>
  </si>
  <si>
    <t>156</t>
  </si>
  <si>
    <t>essere (essere dadio)</t>
  </si>
  <si>
    <t>Questi sono dadi antichi , fatti di ossa di pecora Prima di avere joysticks e pulsantiere meravigliosi avevamo ossa di pecora E questi rappresentano i primi strumenti da gioco realizzati dall' da l' umanità .</t>
  </si>
  <si>
    <t>file://conllu/it/teddy-1124.conllu#s156_0</t>
  </si>
  <si>
    <t>157</t>
  </si>
  <si>
    <t>conoscere</t>
  </si>
  <si>
    <t>Se conoscete gli scritti dell' di l' antico storico greco , Erodoto , magari conoscete già questa storia .</t>
  </si>
  <si>
    <t>file://conllu/it/teddy-1124.conllu#s157_0</t>
  </si>
  <si>
    <t>158</t>
  </si>
  <si>
    <t>essere (essere storia)</t>
  </si>
  <si>
    <t>E' la storia di chi inventò i giochi e perché .</t>
  </si>
  <si>
    <t>file://conllu/it/teddy-1124.conllu#s158_0</t>
  </si>
  <si>
    <t>159</t>
  </si>
  <si>
    <t>narrare</t>
  </si>
  <si>
    <t>Erodoto narra che i giochi , in particolare i giochi di dadi , furono inventati nel in il regno della di la Lidia , durante un periodo di carestia .</t>
  </si>
  <si>
    <t>file://conllu/it/teddy-1124.conllu#s159_0</t>
  </si>
  <si>
    <t>160</t>
  </si>
  <si>
    <t>parere</t>
  </si>
  <si>
    <t>Pare che la carestia fosse così severa , che il re della di la Lidia decise di fare qualcosa di impensabile .</t>
  </si>
  <si>
    <t>file://conllu/it/teddy-1124.conllu#s160_0</t>
  </si>
  <si>
    <t>161</t>
  </si>
  <si>
    <t>essere (essere situazione)</t>
  </si>
  <si>
    <t>La gente soffriva , la popolazione era in rivolta , era una situazione estrema , avevano bisogno di una soluzione estrema .</t>
  </si>
  <si>
    <t>file://conllu/it/teddy-1124.conllu#s161_0</t>
  </si>
  <si>
    <t>162</t>
  </si>
  <si>
    <t>inventare</t>
  </si>
  <si>
    <t>Quindi , secondo Erodoto , inventarono i giochi di dadi ed emanarono una legge valida per tutto il regno .</t>
  </si>
  <si>
    <t>file://conllu/it/teddy-1124.conllu#s162_0</t>
  </si>
  <si>
    <t>163</t>
  </si>
  <si>
    <t>mangiare</t>
  </si>
  <si>
    <t>Un giorno , tutti avrebbero mangiato .</t>
  </si>
  <si>
    <t>file://conllu/it/teddy-1124.conllu#s163_0</t>
  </si>
  <si>
    <t>164</t>
  </si>
  <si>
    <t>Il giorno successivo , tutti avrebbero giocato .</t>
  </si>
  <si>
    <t>file://conllu/it/teddy-1124.conllu#s164_0</t>
  </si>
  <si>
    <t>165</t>
  </si>
  <si>
    <t>immerdere</t>
  </si>
  <si>
    <t>E si immersero così profondamente nei in i giochi di dadi , dal da il momento che giocare è così coinvolgente , e ci immerge in uno stato di gioiosa produttività , che ignorarono il fatto di non avere niente da mangiare .</t>
  </si>
  <si>
    <t>file://conllu/it/teddy-1124.conllu#s165_0</t>
  </si>
  <si>
    <t>166</t>
  </si>
  <si>
    <t>E così un giorno giocavano , e un giorno mangiavano .</t>
  </si>
  <si>
    <t>file://conllu/it/teddy-1124.conllu#s166_0</t>
  </si>
  <si>
    <t>167</t>
  </si>
  <si>
    <t>passare</t>
  </si>
  <si>
    <t>E secondo Erodoto , passarono così 18 anni , sopravvivendo alla a la carestia mangiando un giorno e giocando quello seguente .</t>
  </si>
  <si>
    <t>file://conllu/it/teddy-1124.conllu#s167_0</t>
  </si>
  <si>
    <t>168</t>
  </si>
  <si>
    <t>Penso che questo sia esattamente il modo in cui usiamo i giochi al a il giorno d' oggi .</t>
  </si>
  <si>
    <t>file://conllu/it/teddy-1124.conllu#s168_0</t>
  </si>
  <si>
    <t>169</t>
  </si>
  <si>
    <t>usare</t>
  </si>
  <si>
    <t>Usiamo i giochi per sfuggire alla a la sofferenza del di il mondo reale .</t>
  </si>
  <si>
    <t>file://conllu/it/teddy-1124.conllu#s169_0</t>
  </si>
  <si>
    <t>170</t>
  </si>
  <si>
    <t>Usiamo i giochi per allontanarci allontanar ci da tutto ciò che non funziona nel in il nostro ambiente reale , da tutto ciò che non ci soddisfa della di la vita reale , e otteniamo ciò di cui abbiamo bisogno dai da i giochi .</t>
  </si>
  <si>
    <t>file://conllu/it/teddy-1124.conllu#s170_0</t>
  </si>
  <si>
    <t>171</t>
  </si>
  <si>
    <t>fermare</t>
  </si>
  <si>
    <t>Ma non dobbiamo necessariamente fermarci fermar ci qui .</t>
  </si>
  <si>
    <t>file://conllu/it/teddy-1124.conllu#s171_0</t>
  </si>
  <si>
    <t>172</t>
  </si>
  <si>
    <t>essere (essere interessante)</t>
  </si>
  <si>
    <t>Questo è decisamente interessante : secondo Erodoto , dopo 18 anni , la carestia non pareva migliorare , quindi il re decise che avrebbero giocato un' ultima partita a dadi .</t>
  </si>
  <si>
    <t>file://conllu/it/teddy-1124.conllu#s172_0</t>
  </si>
  <si>
    <t>173</t>
  </si>
  <si>
    <t>divisero</t>
  </si>
  <si>
    <t>Divisero l' intero regno a metà , giocarono una partita a dadi , e i vincitori di quella partita parteciparono ad un' avventura epica .</t>
  </si>
  <si>
    <t>file://conllu/it/teddy-1124.conllu#s173_0</t>
  </si>
  <si>
    <t>174</t>
  </si>
  <si>
    <t>lasciare</t>
  </si>
  <si>
    <t>Lasciarono la Lidia e andarono in cerca di una nuova terra dove vivere , lasciandosi lasciando si dietro giusto il numero sufficiente di persone per sopravvivere con le risorse disponibili , con la speranza di portare la loro civilizzazione da qualche altra parte , dove avrebbe potuto prosperare .</t>
  </si>
  <si>
    <t>file://conllu/it/teddy-1124.conllu#s174_0</t>
  </si>
  <si>
    <t>175</t>
  </si>
  <si>
    <t>E' un' idea un po' bizzarra , no ?</t>
  </si>
  <si>
    <t>file://conllu/it/teddy-1124.conllu#s175_0</t>
  </si>
  <si>
    <t>176</t>
  </si>
  <si>
    <t>però?</t>
  </si>
  <si>
    <t>rivelare</t>
  </si>
  <si>
    <t>Recentemente però , studi sul su il DNA hanno rivelato che gli Etruschi che avrebbero poi portato all' a l' impero romano , condividono lo stesso DNA degli di gli antichi abitanti della di la Lidia .</t>
  </si>
  <si>
    <t>file://conllu/it/teddy-1124.conllu#s176_0</t>
  </si>
  <si>
    <t>177</t>
  </si>
  <si>
    <t>suggerire</t>
  </si>
  <si>
    <t>Recentemente quindi , scienziati hanno suggerito che la storia narrata da Erodoto è una storia vera .</t>
  </si>
  <si>
    <t>file://conllu/it/teddy-1124.conllu#s177_0</t>
  </si>
  <si>
    <t>178</t>
  </si>
  <si>
    <t>trovare</t>
  </si>
  <si>
    <t>E geologi hanno trovato evidenza di un raffreddamento globale che durò quasi 20 anni e che potrebbe spiegare la carestia .</t>
  </si>
  <si>
    <t>file://conllu/it/teddy-1124.conllu#s178_0</t>
  </si>
  <si>
    <t>179</t>
  </si>
  <si>
    <t>Quindi questa storia incredibile potrebbe essere vera :</t>
  </si>
  <si>
    <t>file://conllu/it/teddy-1124.conllu#s179_0</t>
  </si>
  <si>
    <t>180</t>
  </si>
  <si>
    <t>salvare</t>
  </si>
  <si>
    <t>potrebbero avere effettivamente salvato la loro cultura giocando , rifugiandosi rifugiando si nei in i giochi per 18 anni per poi essere così ispirati , e sapere così bene come venirsi venir si incontro nel in il gioco al a il punto da salvare così l' intera civiltà .</t>
  </si>
  <si>
    <t>file://conllu/it/teddy-1124.conllu#s180_0</t>
  </si>
  <si>
    <t>181</t>
  </si>
  <si>
    <t>fare</t>
  </si>
  <si>
    <t>Ok , possiamo farlo far lo anche noi .</t>
  </si>
  <si>
    <t>file://conllu/it/teddy-1124.conllu#s181_0</t>
  </si>
  <si>
    <t>182</t>
  </si>
  <si>
    <t>Giochare</t>
  </si>
  <si>
    <t>Giochiamo a World of Warcraft dal da il 1994 .</t>
  </si>
  <si>
    <t>file://conllu/it/teddy-1124.conllu#s182_0</t>
  </si>
  <si>
    <t>183</t>
  </si>
  <si>
    <t>essere (essere gioco)</t>
  </si>
  <si>
    <t>Fu il primo gioco di strategia in tempo reale della di la serie di World of Warcraft .</t>
  </si>
  <si>
    <t>file://conllu/it/teddy-1124.conllu#s183_0</t>
  </si>
  <si>
    <t>184</t>
  </si>
  <si>
    <t>anno</t>
  </si>
  <si>
    <t>Questo 16 anni fa .</t>
  </si>
  <si>
    <t>file://conllu/it/teddy-1124.conllu#s184_0</t>
  </si>
  <si>
    <t>185</t>
  </si>
  <si>
    <t>Loro giocarono a dadi per 18 anni , noi abbiamo giocato a Warcraft per 16 anni .</t>
  </si>
  <si>
    <t>file://conllu/it/teddy-1124.conllu#s185_0</t>
  </si>
  <si>
    <t>186</t>
  </si>
  <si>
    <t>essere (essere pronto)</t>
  </si>
  <si>
    <t>Io dico : siamo pronti per il nostro gioco epico .</t>
  </si>
  <si>
    <t>file://conllu/it/teddy-1124.conllu#s186_0</t>
  </si>
  <si>
    <t>187</t>
  </si>
  <si>
    <t>Loro ebbero metà della di la popolazione in viaggio alla a la ricerca di un nuovo mondo .</t>
  </si>
  <si>
    <t>file://conllu/it/teddy-1124.conllu#s187_0</t>
  </si>
  <si>
    <t>188</t>
  </si>
  <si>
    <t>essere (essere qui)</t>
  </si>
  <si>
    <t>E' da qui che traggo l' idea di 21 miliardi di ore di gioco alla a la settimana .</t>
  </si>
  <si>
    <t>file://conllu/it/teddy-1124.conllu#s188_0</t>
  </si>
  <si>
    <t>189</t>
  </si>
  <si>
    <t>Facciamo che la metà di noi si mette d' accordo per passare un' ora al a il giorno a giocare , fino a quando non risolviamo i problemi del di il mondo reale .</t>
  </si>
  <si>
    <t>file://conllu/it/teddy-1124.conllu#s189_0</t>
  </si>
  <si>
    <t>190</t>
  </si>
  <si>
    <t>Immagino</t>
  </si>
  <si>
    <t>Immagino cosa state per chiedere , &amp;quot; Come facciamo a risolvere i problemi del di il mondo reale in un gioco ? &amp;quot;</t>
  </si>
  <si>
    <t>file://conllu/it/teddy-1124.conllu#s190_0</t>
  </si>
  <si>
    <t>191</t>
  </si>
  <si>
    <t>Beh , questo è ciò a cui ho dedicato il mio lavoro durante gli scorsi anni , presso l' Istituto per il Futuro .</t>
  </si>
  <si>
    <t>file://conllu/it/teddy-1124.conllu#s191_0</t>
  </si>
  <si>
    <t>193</t>
  </si>
  <si>
    <t>tentare</t>
  </si>
  <si>
    <t>Non vogliamo tentare di prevedere il futuro .</t>
  </si>
  <si>
    <t>file://conllu/it/teddy-1124.conllu#s193_0</t>
  </si>
  <si>
    <t>194</t>
  </si>
  <si>
    <t>realizzare</t>
  </si>
  <si>
    <t>Ciò che vogliamo fare è realizzare il futuro .</t>
  </si>
  <si>
    <t>file://conllu/it/teddy-1124.conllu#s194_0</t>
  </si>
  <si>
    <t>195</t>
  </si>
  <si>
    <t>volere (volere immaginare)</t>
  </si>
  <si>
    <t>Vogliamo immaginare gli scenari dai da i risultati migliori e poi vogliamo dare la possibilità alle a le persone di trasformarli trasformar li in realtà concrete .</t>
  </si>
  <si>
    <t>file://conllu/it/teddy-1124.conllu#s195_0</t>
  </si>
  <si>
    <t>196</t>
  </si>
  <si>
    <t>Vogliamo immaginare vittorie epiche per poi dare alla a la gente gli strumenti per realizzarle realizzar le .</t>
  </si>
  <si>
    <t>file://conllu/it/teddy-1124.conllu#s196_0</t>
  </si>
  <si>
    <t>197</t>
  </si>
  <si>
    <t>Vi mostrerò brevemente tre giochi che ho realizzato e che sono un tentativo di dare alle a le persone gli strumenti per creare delle di le vittorie epiche nel in il loro futuro .</t>
  </si>
  <si>
    <t>file://conllu/it/teddy-1124.conllu#s197_0</t>
  </si>
  <si>
    <t>198</t>
  </si>
  <si>
    <t>essere (essere Mondo)</t>
  </si>
  <si>
    <t>Questo è &amp;quot; Mondo Senza Petrolio &amp;quot; .</t>
  </si>
  <si>
    <t>file://conllu/it/teddy-1124.conllu#s198_0</t>
  </si>
  <si>
    <t>199</t>
  </si>
  <si>
    <t>Abbiamo realizzato questo gioco nel in il 2007 .</t>
  </si>
  <si>
    <t>file://conllu/it/teddy-1124.conllu#s199_0</t>
  </si>
  <si>
    <t>200</t>
  </si>
  <si>
    <t>E' un gioco online nel in il quale si cerca di sopravvivere a una carenza di petrolio .</t>
  </si>
  <si>
    <t>file://conllu/it/teddy-1124.conllu#s200_0</t>
  </si>
  <si>
    <t>201</t>
  </si>
  <si>
    <t>essere (essere reale)</t>
  </si>
  <si>
    <t>La carenza non è reale , ma abbiamo pubblicato sufficiente materiale online per far credere che lo sia , e per far vivere la vita reale come se fossimo a secco .</t>
  </si>
  <si>
    <t>file://conllu/it/teddy-1124.conllu#s201_0</t>
  </si>
  <si>
    <t>202</t>
  </si>
  <si>
    <t>dire (dire comunicare)</t>
  </si>
  <si>
    <t>Quindi , quando entri nel in il gioco , ti registri , ci comunichi in che area vivi , e dopodichè ti diamo notizie video in tempo reale , dati che mostrano esattamente il costo del di il petrolio , le cose che non sono disponibili , l' impatto sulla su la distribuzione del di il cibo , l' impatto sui su i trasporti , se le scuole sono chiuse , se ci sono delle di le rivolte , e tu devi pensare a come vivresti la tua vita se tutto questo fosse reale .</t>
  </si>
  <si>
    <t>file://conllu/it/teddy-1124.conllu#s202_0</t>
  </si>
  <si>
    <t>203</t>
  </si>
  <si>
    <t>chiedere</t>
  </si>
  <si>
    <t>Dopodichè ti chiediamo di avere un blog a riguardo , di pubblicare video , di pubblicare foto..</t>
  </si>
  <si>
    <t>file://conllu/it/teddy-1124.conllu#s203_0</t>
  </si>
  <si>
    <t>204</t>
  </si>
  <si>
    <t>file://conllu/it/teddy-1124.conllu#s204_0</t>
  </si>
  <si>
    <t>205</t>
  </si>
  <si>
    <t>allora?</t>
  </si>
  <si>
    <t>avviare</t>
  </si>
  <si>
    <t>Abbiamo avviato questo gioco con 1.700 giocatori nel in il 2007 , e li abbiamo osservati osserva ti da allora per i tre anni successivi , e quello che vi posso dire è che è un' esperienza che trasforma .</t>
  </si>
  <si>
    <t>file://conllu/it/teddy-1124.conllu#s205_0</t>
  </si>
  <si>
    <t>206</t>
  </si>
  <si>
    <t>cambiare</t>
  </si>
  <si>
    <t>Nessuno vuole cambiare la maniera in cui vivono solo perché è una cosa buona per il mondo o perché è un dovere farlo far lo .</t>
  </si>
  <si>
    <t>file://conllu/it/teddy-1124.conllu#s206_0</t>
  </si>
  <si>
    <t>207</t>
  </si>
  <si>
    <t>Ma se li immergi in una avventura epica e gli dici , &amp;quot; Non abbiamo più petrolio .</t>
  </si>
  <si>
    <t>file://conllu/it/teddy-1124.conllu#s207_0</t>
  </si>
  <si>
    <t>208</t>
  </si>
  <si>
    <t>Questa è una storia incredibile !</t>
  </si>
  <si>
    <t>file://conllu/it/teddy-1124.conllu#s208_0</t>
  </si>
  <si>
    <t>209</t>
  </si>
  <si>
    <t>avventura</t>
  </si>
  <si>
    <t>Un' avventura a cui puoi partecipare !</t>
  </si>
  <si>
    <t>file://conllu/it/teddy-1124.conllu#s209_0</t>
  </si>
  <si>
    <t>210</t>
  </si>
  <si>
    <t>vedere (vedere sfidare)</t>
  </si>
  <si>
    <t>Sfida te stesso per vedere come sopravviveresti .</t>
  </si>
  <si>
    <t>file://conllu/it/teddy-1124.conllu#s210_0</t>
  </si>
  <si>
    <t>211</t>
  </si>
  <si>
    <t>&amp;quot;</t>
  </si>
  <si>
    <t>file://conllu/it/teddy-1124.conllu#s211_0</t>
  </si>
  <si>
    <t>212</t>
  </si>
  <si>
    <t>mantenere</t>
  </si>
  <si>
    <t>La maggior parte dei di i nostri giocatori ha poi mantenuto le abitudini che ha imparato nel in il gioco .</t>
  </si>
  <si>
    <t>file://conllu/it/teddy-1124.conllu#s212_0</t>
  </si>
  <si>
    <t>213</t>
  </si>
  <si>
    <t>decidere</t>
  </si>
  <si>
    <t>Quindi , per il successivo gioco volto a salvare il mondo , abbiamo deciso di mirare più alto , ad un problema più grande della di la carenza di petrolio .</t>
  </si>
  <si>
    <t>file://conllu/it/teddy-1124.conllu#s213_0</t>
  </si>
  <si>
    <t>214</t>
  </si>
  <si>
    <t>Abbiamo realizzato un gioco chiamato Superstruct , all' a l' Istituto per il Futuro , e la premessa era : un supercomputer ha calcolato che l' umanità ha solo altri 23 anni su questo pianeta .</t>
  </si>
  <si>
    <t>file://conllu/it/teddy-1124.conllu#s214_0</t>
  </si>
  <si>
    <t>215</t>
  </si>
  <si>
    <t>chiamare</t>
  </si>
  <si>
    <t>Il supercomputer si chiamava &amp;quot; Sistema di Allerta di Estinzione Globale &amp;quot; .</t>
  </si>
  <si>
    <t>file://conllu/it/teddy-1124.conllu#s215_0</t>
  </si>
  <si>
    <t>216</t>
  </si>
  <si>
    <t>ovviamente</t>
  </si>
  <si>
    <t>Ovviamente .</t>
  </si>
  <si>
    <t>file://conllu/it/teddy-1124.conllu#s216_0</t>
  </si>
  <si>
    <t>217</t>
  </si>
  <si>
    <t>Abbiamo chiesto alla a la gente di raggiungerci raggiunger ci online quasi come in un film di Jerry Bruckheimer .</t>
  </si>
  <si>
    <t>file://conllu/it/teddy-1124.conllu#s217_0</t>
  </si>
  <si>
    <t>218</t>
  </si>
  <si>
    <t>Li conoscete i film di Jerry Bruckheimer , formi una squadra da sogno :</t>
  </si>
  <si>
    <t>file://conllu/it/teddy-1124.conllu#s218_0</t>
  </si>
  <si>
    <t>219</t>
  </si>
  <si>
    <t>c' è l' astronauta , lo scienziato , il galeotto , e hanno tutti qualcosa da fare per salvare il mondo , ma nel in il nostro gioco , invece di avere solo cinque persone nella in la squadra da sogno , tutti fanno parte della di la squadra da sogno , ed è compito tuo inventare il futuro dell' di l' energia , il futuro delle di le risorse alimentari , il futuro della di la sanità , il futuro della di la sicurezza e il futuro della di la previdenza sociale .</t>
  </si>
  <si>
    <t>file://conllu/it/teddy-1124.conllu#s219_0</t>
  </si>
  <si>
    <t>220</t>
  </si>
  <si>
    <t>8.000 persone hanno giocato per otto settimane , hanno generato 500 soluzioni incredibilmente creative che potete trovare se andate online e cercate su Google &amp;quot; Superstruct &amp;quot; .</t>
  </si>
  <si>
    <t>file://conllu/it/teddy-1124.conllu#s220_0</t>
  </si>
  <si>
    <t>221</t>
  </si>
  <si>
    <t>Per finire , l' ultimo gioco , comincerà il 3 di marzo .</t>
  </si>
  <si>
    <t>file://conllu/it/teddy-1124.conllu#s221_0</t>
  </si>
  <si>
    <t>222</t>
  </si>
  <si>
    <t>Questo è un gioco realizzato con l' Istituto della di la Banca Mondiale .</t>
  </si>
  <si>
    <t>file://conllu/it/teddy-1124.conllu#s222_0</t>
  </si>
  <si>
    <t>223</t>
  </si>
  <si>
    <t>certificare</t>
  </si>
  <si>
    <t>Se completi il gioco sarai certificato dall' da l' Istituto della di la Banca Mondiale , come Innovatore Sociale , classe del di il 2010 .</t>
  </si>
  <si>
    <t>file://conllu/it/teddy-1124.conllu#s223_0</t>
  </si>
  <si>
    <t>224</t>
  </si>
  <si>
    <t>invitare</t>
  </si>
  <si>
    <t>Lavorando con università sparse per l' Africa sub sahariana , li stiamo invitando a imparare le tecniche di innovazione sociale .</t>
  </si>
  <si>
    <t>file://conllu/it/teddy-1124.conllu#s224_0</t>
  </si>
  <si>
    <t>225</t>
  </si>
  <si>
    <t>C' è una storia a fumetti , si aumenta di livello grazie ad abilità come la conoscenza locale , la collaborazione , la sostenibilità , l' immaginazione e l' inventiva .</t>
  </si>
  <si>
    <t>file://conllu/it/teddy-1124.conllu#s225_0</t>
  </si>
  <si>
    <t>226</t>
  </si>
  <si>
    <t>desiderare</t>
  </si>
  <si>
    <t>Desidero invitare tutti voi a condividere questo gioco con i giovani , ovunque nel in il mondo , in particolare nelle in le aree in via di sviluppo , i quali potrebbero trarre beneficio dall' da l' unirsi unir si per cominciare ad immaginare delle di le proprie imprese sociali per salvare il mondo .</t>
  </si>
  <si>
    <t>file://conllu/it/teddy-1124.conllu#s226_0</t>
  </si>
  <si>
    <t>227</t>
  </si>
  <si>
    <t>concludere</t>
  </si>
  <si>
    <t>E' ora di concludere .</t>
  </si>
  <si>
    <t>file://conllu/it/teddy-1124.conllu#s227_0</t>
  </si>
  <si>
    <t>228</t>
  </si>
  <si>
    <t>Voglio fare una domanda .</t>
  </si>
  <si>
    <t>file://conllu/it/teddy-1124.conllu#s228_0</t>
  </si>
  <si>
    <t>229</t>
  </si>
  <si>
    <t>Che cosa pensate che succederà ?</t>
  </si>
  <si>
    <t>file://conllu/it/teddy-1124.conllu#s229_0</t>
  </si>
  <si>
    <t>230</t>
  </si>
  <si>
    <t>Abbiamo tutti questi incredibili giocatori , abbiamo questi giochi che sono dei di i progetti pilota di ciò che potremmo realizzare , ma nessuno di questi ha ancora salvato il mondo reale .</t>
  </si>
  <si>
    <t>file://conllu/it/teddy-1124.conllu#s230_0</t>
  </si>
  <si>
    <t>231</t>
  </si>
  <si>
    <t>sperare</t>
  </si>
  <si>
    <t>Beh , spero che siate d' accordo con me che i giocatori abituali sono una risorsa umana che possiamo utilizzare per fare del di il lavoro nel in il mondo reale , che i giochi sono una potente piattaforma per il cambiamento , che abbiamo questi incredibili superpoteri , una produttività gioiosa , la capacità di tessere una robusta trama sociale , questo ottimismo urgente e il desiderio di un significato epico .</t>
  </si>
  <si>
    <t>file://conllu/it/teddy-1124.conllu#s231_0</t>
  </si>
  <si>
    <t>232</t>
  </si>
  <si>
    <t>Io spero veramente che possiamo venirci venir ci incontro per giocare a giochi che hanno importanza , per sopravvivere su questo pianeta per un altro secolo , e la mia speranza è che vi uniate a me nel in il realizzare e partecipare a giochi come questi .</t>
  </si>
  <si>
    <t>file://conllu/it/teddy-1124.conllu#s232_0</t>
  </si>
  <si>
    <t>233</t>
  </si>
  <si>
    <t>essere (essere certo)</t>
  </si>
  <si>
    <t>Quando guardo avanti al a il prossimo decennio , di due cose sono certa :</t>
  </si>
  <si>
    <t>file://conllu/it/teddy-1124.conllu#s233_0</t>
  </si>
  <si>
    <t>234</t>
  </si>
  <si>
    <t>che possiamo realizzare qualunque futuro riusciamo a immaginare , e che possiamo giocare a qualsiasi gioco vogliamo .</t>
  </si>
  <si>
    <t>file://conllu/it/teddy-1124.conllu#s234_0</t>
  </si>
  <si>
    <t>235</t>
  </si>
  <si>
    <t>dire</t>
  </si>
  <si>
    <t>Quindi , io dico :</t>
  </si>
  <si>
    <t>file://conllu/it/teddy-1124.conllu#s235_0</t>
  </si>
  <si>
    <t>236</t>
  </si>
  <si>
    <t>diamo inizio ai a i giochi che cambieranno il mondo .</t>
  </si>
  <si>
    <t>file://conllu/it/teddy-1124.conllu#s236_0</t>
  </si>
  <si>
    <t>237</t>
  </si>
  <si>
    <t>grazie</t>
  </si>
  <si>
    <t>Grazie .</t>
  </si>
  <si>
    <t>file://conllu/it/teddy-1124.conllu#s237_0</t>
  </si>
  <si>
    <t>238</t>
  </si>
  <si>
    <t>applauso</t>
  </si>
  <si>
    <t>( Applauso )</t>
  </si>
  <si>
    <t>file://conllu/it/teddy-1124.conllu#s238_0</t>
  </si>
  <si>
    <t>WORD</t>
  </si>
  <si>
    <t>GR</t>
  </si>
  <si>
    <t>NP_TYPE</t>
  </si>
  <si>
    <t>REF_AUTO</t>
  </si>
  <si>
    <t>COREF</t>
  </si>
  <si>
    <t>REF</t>
  </si>
  <si>
    <t>IS</t>
  </si>
  <si>
    <t>CB</t>
  </si>
  <si>
    <t>GR_ANTE</t>
  </si>
  <si>
    <t>REF_DIST</t>
  </si>
  <si>
    <t>REF_DIST_ANTE</t>
  </si>
  <si>
    <t># text = Mi chiamo Jane McGonigal.</t>
  </si>
  <si>
    <t>Mi</t>
  </si>
  <si>
    <t>OBJ</t>
  </si>
  <si>
    <t>pron.pper</t>
  </si>
  <si>
    <t>?OLD</t>
  </si>
  <si>
    <t>chiamo</t>
  </si>
  <si>
    <t>Jane</t>
  </si>
  <si>
    <t>SBJ</t>
  </si>
  <si>
    <t>ne</t>
  </si>
  <si>
    <t>McGonigal</t>
  </si>
  <si>
    <t>other_2</t>
  </si>
  <si>
    <t># text = Sono un'autrice di videogiochi.</t>
  </si>
  <si>
    <t>Sono</t>
  </si>
  <si>
    <t>un'</t>
  </si>
  <si>
    <t>autrice</t>
  </si>
  <si>
    <t>other</t>
  </si>
  <si>
    <t>def-np.poss</t>
  </si>
  <si>
    <t>di</t>
  </si>
  <si>
    <t>videogiochi</t>
  </si>
  <si>
    <t>indef-np.bare</t>
  </si>
  <si>
    <t># text = Realizzo giochi online da 10 anni e il mio obbiettivo per i prossimi dieci è di cercare di rendere facile salvare il mondo nella vita reale quanto lo è nel mondo dei giochi online.</t>
  </si>
  <si>
    <t>Realizzo</t>
  </si>
  <si>
    <t>giochi</t>
  </si>
  <si>
    <t>online</t>
  </si>
  <si>
    <t>da</t>
  </si>
  <si>
    <t>anni</t>
  </si>
  <si>
    <t>other_3</t>
  </si>
  <si>
    <t>indef-np.quant</t>
  </si>
  <si>
    <t>e</t>
  </si>
  <si>
    <t>il</t>
  </si>
  <si>
    <t>mio</t>
  </si>
  <si>
    <t>other_4</t>
  </si>
  <si>
    <t>pron.ppos</t>
  </si>
  <si>
    <t>obbiettivo</t>
  </si>
  <si>
    <t>def-np.the</t>
  </si>
  <si>
    <t>per</t>
  </si>
  <si>
    <t>i</t>
  </si>
  <si>
    <t>prossimi</t>
  </si>
  <si>
    <t>dieci</t>
  </si>
  <si>
    <t>è</t>
  </si>
  <si>
    <t>cercare</t>
  </si>
  <si>
    <t>rendere</t>
  </si>
  <si>
    <t>facile</t>
  </si>
  <si>
    <t>mondo</t>
  </si>
  <si>
    <t>OBJ_4</t>
  </si>
  <si>
    <t>in</t>
  </si>
  <si>
    <t>la</t>
  </si>
  <si>
    <t>vita</t>
  </si>
  <si>
    <t>reale</t>
  </si>
  <si>
    <t>quanto</t>
  </si>
  <si>
    <t>SBJ_5</t>
  </si>
  <si>
    <t>lo</t>
  </si>
  <si>
    <t>OBJ_5</t>
  </si>
  <si>
    <t>other_5</t>
  </si>
  <si>
    <t>other_6</t>
  </si>
  <si>
    <t># text = Per farlo ho un piano, e consiste nel convincere più persone, compresi tutti voi, a passare più tempo a giocare giochi più belli e interessanti.</t>
  </si>
  <si>
    <t>Per</t>
  </si>
  <si>
    <t>far</t>
  </si>
  <si>
    <t>OBJ_2</t>
  </si>
  <si>
    <t>ho</t>
  </si>
  <si>
    <t>un</t>
  </si>
  <si>
    <t>piano</t>
  </si>
  <si>
    <t>indef-np.a</t>
  </si>
  <si>
    <t>,</t>
  </si>
  <si>
    <t>consiste</t>
  </si>
  <si>
    <t>convincere</t>
  </si>
  <si>
    <t>più</t>
  </si>
  <si>
    <t>persone</t>
  </si>
  <si>
    <t>OBJ_3</t>
  </si>
  <si>
    <t>compresi</t>
  </si>
  <si>
    <t>tutti</t>
  </si>
  <si>
    <t>pron.pind</t>
  </si>
  <si>
    <t>voi</t>
  </si>
  <si>
    <t>a</t>
  </si>
  <si>
    <t>tempo</t>
  </si>
  <si>
    <t>OBJ_6</t>
  </si>
  <si>
    <t>belli</t>
  </si>
  <si>
    <t>interessanti</t>
  </si>
  <si>
    <t># text = Al momento passiamo tre miliardi di ore alla settimana giocando online.</t>
  </si>
  <si>
    <t>A</t>
  </si>
  <si>
    <t>momento</t>
  </si>
  <si>
    <t>passiamo</t>
  </si>
  <si>
    <t>tre</t>
  </si>
  <si>
    <t>miliardi</t>
  </si>
  <si>
    <t>ore</t>
  </si>
  <si>
    <t>settimana</t>
  </si>
  <si>
    <t>giocando</t>
  </si>
  <si>
    <t>--</t>
  </si>
  <si>
    <t># text = Alcuni di voi potrebbero pensare, "É un bel po' di tempo passato a giocare." magari troppo tempo, considerando quanti problemi urgenti dobbiamo risolvere nel mondo reale.</t>
  </si>
  <si>
    <t>Alcuni</t>
  </si>
  <si>
    <t>potrebbero</t>
  </si>
  <si>
    <t>É</t>
  </si>
  <si>
    <t>bel</t>
  </si>
  <si>
    <t>po'</t>
  </si>
  <si>
    <t>passato</t>
  </si>
  <si>
    <t>magari</t>
  </si>
  <si>
    <t>troppo</t>
  </si>
  <si>
    <t>indef-np</t>
  </si>
  <si>
    <t>considerando</t>
  </si>
  <si>
    <t>quanti</t>
  </si>
  <si>
    <t>other_7</t>
  </si>
  <si>
    <t>pron.pint</t>
  </si>
  <si>
    <t>problemi</t>
  </si>
  <si>
    <t>urgenti</t>
  </si>
  <si>
    <t>dobbiamo</t>
  </si>
  <si>
    <t>risolvere</t>
  </si>
  <si>
    <t># text = In realtà, secondo le mie ricerche, presso l'Istituto per il Futuro, in realtà è vero il contrario.</t>
  </si>
  <si>
    <t>In</t>
  </si>
  <si>
    <t>realtà</t>
  </si>
  <si>
    <t>secondo</t>
  </si>
  <si>
    <t>le</t>
  </si>
  <si>
    <t>mie</t>
  </si>
  <si>
    <t>ricerche</t>
  </si>
  <si>
    <t>presso</t>
  </si>
  <si>
    <t>l'</t>
  </si>
  <si>
    <t>Istituto</t>
  </si>
  <si>
    <t>Futuro</t>
  </si>
  <si>
    <t>vero</t>
  </si>
  <si>
    <t>contrario</t>
  </si>
  <si>
    <t># text = Tre miliardi di ore alla settimana non sono minimamente sufficienti a risolvere i problemi più urgenti del mondo.</t>
  </si>
  <si>
    <t>Tre</t>
  </si>
  <si>
    <t>non</t>
  </si>
  <si>
    <t>sono</t>
  </si>
  <si>
    <t>minimamente</t>
  </si>
  <si>
    <t>sufficienti</t>
  </si>
  <si>
    <t># text = Infatti io credo che se vogliamo sopravvivere il prossimo secolo su questo pianeta dobbiamo aumentare notevolmente quella cifra.</t>
  </si>
  <si>
    <t>Infatti</t>
  </si>
  <si>
    <t>io</t>
  </si>
  <si>
    <t>credo</t>
  </si>
  <si>
    <t>che</t>
  </si>
  <si>
    <t>se</t>
  </si>
  <si>
    <t>vogliamo</t>
  </si>
  <si>
    <t>sopravvivere</t>
  </si>
  <si>
    <t>prossimo</t>
  </si>
  <si>
    <t>secolo</t>
  </si>
  <si>
    <t>su</t>
  </si>
  <si>
    <t>questo</t>
  </si>
  <si>
    <t>pianeta</t>
  </si>
  <si>
    <t>def-np.dem</t>
  </si>
  <si>
    <t>aumentare</t>
  </si>
  <si>
    <t>notevolmente</t>
  </si>
  <si>
    <t>quella</t>
  </si>
  <si>
    <t>cifra</t>
  </si>
  <si>
    <t># text = Ho calcolato che il totale di cui abbiamo bisogno è di 21 miliardi di ore di gioco ogni settimana.</t>
  </si>
  <si>
    <t>Ho</t>
  </si>
  <si>
    <t>calcolato</t>
  </si>
  <si>
    <t>totale</t>
  </si>
  <si>
    <t>SBJ_2</t>
  </si>
  <si>
    <t>cui</t>
  </si>
  <si>
    <t>abbiamo</t>
  </si>
  <si>
    <t>bisogno</t>
  </si>
  <si>
    <t>gioco</t>
  </si>
  <si>
    <t>ogni</t>
  </si>
  <si>
    <t># text = Probabilmente è un'idea un attimino controintuitiva, quindi la ripeto, per rinforzare il concetto.</t>
  </si>
  <si>
    <t>Probabilmente</t>
  </si>
  <si>
    <t>idea</t>
  </si>
  <si>
    <t>attimino</t>
  </si>
  <si>
    <t>controintuitiva</t>
  </si>
  <si>
    <t>quindi</t>
  </si>
  <si>
    <t>ripeto</t>
  </si>
  <si>
    <t>rinforzare</t>
  </si>
  <si>
    <t>concetto</t>
  </si>
  <si>
    <t># text = Se vogliamo risolvere problemi quali la fame, la povertà, i cambiamenti climatici, i conflitti globali, l'obesità, io credo che dobbiamo avere l'ambizione di giocare online, per almeno 21 miliardi di ore alla settima, per la fine del prossimo decennio.</t>
  </si>
  <si>
    <t>Se</t>
  </si>
  <si>
    <t>quali</t>
  </si>
  <si>
    <t>fame</t>
  </si>
  <si>
    <t>povertà</t>
  </si>
  <si>
    <t>cambiamenti</t>
  </si>
  <si>
    <t>climatici</t>
  </si>
  <si>
    <t>conflitti</t>
  </si>
  <si>
    <t>globali</t>
  </si>
  <si>
    <t>obesità</t>
  </si>
  <si>
    <t>ambizione</t>
  </si>
  <si>
    <t>almeno</t>
  </si>
  <si>
    <t>settima</t>
  </si>
  <si>
    <t>fine</t>
  </si>
  <si>
    <t>decennio</t>
  </si>
  <si>
    <t># text = (Risate) No, sono seria, davvero.</t>
  </si>
  <si>
    <t>(</t>
  </si>
  <si>
    <t>Risate</t>
  </si>
  <si>
    <t>No</t>
  </si>
  <si>
    <t>seria</t>
  </si>
  <si>
    <t>davvero</t>
  </si>
  <si>
    <t># text = Ecco il perché.</t>
  </si>
  <si>
    <t>Ecco</t>
  </si>
  <si>
    <t># text = Questa immagine riassume perché penso che giocare sia così importante per la sopravvivenza della specie umana.</t>
  </si>
  <si>
    <t>Questa</t>
  </si>
  <si>
    <t>immagine</t>
  </si>
  <si>
    <t>riassume</t>
  </si>
  <si>
    <t>penso</t>
  </si>
  <si>
    <t>sia</t>
  </si>
  <si>
    <t>così</t>
  </si>
  <si>
    <t>importante</t>
  </si>
  <si>
    <t>sopravvivenza</t>
  </si>
  <si>
    <t>specie</t>
  </si>
  <si>
    <t>umana</t>
  </si>
  <si>
    <t># text = (Risate) Davvero.</t>
  </si>
  <si>
    <t>Davvero</t>
  </si>
  <si>
    <t># text = Questo è un ritratto del fotografo Phil Toldano, voleva catturare l'emozione del gioco.</t>
  </si>
  <si>
    <t>Questo</t>
  </si>
  <si>
    <t>pron.pds</t>
  </si>
  <si>
    <t>ritratto</t>
  </si>
  <si>
    <t>fotografo</t>
  </si>
  <si>
    <t>Phil</t>
  </si>
  <si>
    <t>Toldano</t>
  </si>
  <si>
    <t>voleva</t>
  </si>
  <si>
    <t>emozione</t>
  </si>
  <si>
    <t># text = Quindi ha fotografato dei giocatori mentre giocavano.</t>
  </si>
  <si>
    <t>Quindi</t>
  </si>
  <si>
    <t>ha</t>
  </si>
  <si>
    <t>fotografato</t>
  </si>
  <si>
    <t>giocatori</t>
  </si>
  <si>
    <t>mentre</t>
  </si>
  <si>
    <t>giocavano</t>
  </si>
  <si>
    <t># text = E questa è una classica emozione di gioco.</t>
  </si>
  <si>
    <t>E</t>
  </si>
  <si>
    <t>questa</t>
  </si>
  <si>
    <t>una</t>
  </si>
  <si>
    <t>classica</t>
  </si>
  <si>
    <t># text = Se non siete giocatori abituali è possibile che vi perdiate alcune delle sfumature di questa foto.</t>
  </si>
  <si>
    <t>siete</t>
  </si>
  <si>
    <t>abituali</t>
  </si>
  <si>
    <t>possibile</t>
  </si>
  <si>
    <t>vi</t>
  </si>
  <si>
    <t>perdiate</t>
  </si>
  <si>
    <t>alcune</t>
  </si>
  <si>
    <t>sfumature</t>
  </si>
  <si>
    <t>foto</t>
  </si>
  <si>
    <t># text = Probabilmente potete notare il senso di urgenza, un po' di paura, ma anche un'intensa concentrazione, un'attenzione molto profonda nell'affrontare un problema davvero difficile.</t>
  </si>
  <si>
    <t>potete</t>
  </si>
  <si>
    <t>senso</t>
  </si>
  <si>
    <t>urgenza</t>
  </si>
  <si>
    <t>paura</t>
  </si>
  <si>
    <t>ma</t>
  </si>
  <si>
    <t>anche</t>
  </si>
  <si>
    <t>intensa</t>
  </si>
  <si>
    <t>concentrazione</t>
  </si>
  <si>
    <t>attenzione</t>
  </si>
  <si>
    <t>molto</t>
  </si>
  <si>
    <t>profonda</t>
  </si>
  <si>
    <t>affrontare</t>
  </si>
  <si>
    <t>problema</t>
  </si>
  <si>
    <t>difficile</t>
  </si>
  <si>
    <t># text = Se siete giocatori abituali, noterete alcuni dettagli, le pieghe intorno agli occhi, e intorno alla bocca sono un segno di ottimismo.</t>
  </si>
  <si>
    <t>noterete</t>
  </si>
  <si>
    <t>alcuni</t>
  </si>
  <si>
    <t>dettagli</t>
  </si>
  <si>
    <t>pieghe</t>
  </si>
  <si>
    <t>intorno</t>
  </si>
  <si>
    <t>gli</t>
  </si>
  <si>
    <t>occhi</t>
  </si>
  <si>
    <t>bocca</t>
  </si>
  <si>
    <t>segno</t>
  </si>
  <si>
    <t>ottimismo</t>
  </si>
  <si>
    <t># text = E le sopracciglia inarcate mostrano sorpresa.</t>
  </si>
  <si>
    <t>sopracciglia</t>
  </si>
  <si>
    <t>inarcate</t>
  </si>
  <si>
    <t>mostrano</t>
  </si>
  <si>
    <t>sorpresa</t>
  </si>
  <si>
    <t># text = Questo è un giocatore abituale a un passo da una cosa chiamata una "Vittoria Epica".</t>
  </si>
  <si>
    <t>giocatore</t>
  </si>
  <si>
    <t>abituale</t>
  </si>
  <si>
    <t>passo</t>
  </si>
  <si>
    <t>cosa</t>
  </si>
  <si>
    <t>chiamata</t>
  </si>
  <si>
    <t>Vittoria</t>
  </si>
  <si>
    <t>Epica</t>
  </si>
  <si>
    <t># text = (Risate) Ah, è un termine che avete già sentito.</t>
  </si>
  <si>
    <t>Ah</t>
  </si>
  <si>
    <t>termine</t>
  </si>
  <si>
    <t>avete</t>
  </si>
  <si>
    <t>già</t>
  </si>
  <si>
    <t>sentito</t>
  </si>
  <si>
    <t># text = Ok.</t>
  </si>
  <si>
    <t># text = Bene.</t>
  </si>
  <si>
    <t>Bene</t>
  </si>
  <si>
    <t># text = Abbiamo quindi dei giocatori abituali tra di noi.</t>
  </si>
  <si>
    <t>Abbiamo</t>
  </si>
  <si>
    <t>tra</t>
  </si>
  <si>
    <t>noi</t>
  </si>
  <si>
    <t># text = Una vittoria epica è un risultato così straordinariamente positivo che non ti sembra possibile fino a quando non lo ottieni.</t>
  </si>
  <si>
    <t>Una</t>
  </si>
  <si>
    <t>vittoria</t>
  </si>
  <si>
    <t>epica</t>
  </si>
  <si>
    <t>risultato</t>
  </si>
  <si>
    <t>straordinariamente</t>
  </si>
  <si>
    <t>positivo</t>
  </si>
  <si>
    <t>ti</t>
  </si>
  <si>
    <t>sembra</t>
  </si>
  <si>
    <t>fino</t>
  </si>
  <si>
    <t>quando</t>
  </si>
  <si>
    <t>ottieni</t>
  </si>
  <si>
    <t># text = E' quasi oltre la soglia dell'immaginazione, e quando ci arrivi è uno shock scoprire ciò di cui sei veramente capace.</t>
  </si>
  <si>
    <t>E'</t>
  </si>
  <si>
    <t>quasi</t>
  </si>
  <si>
    <t>oltre</t>
  </si>
  <si>
    <t>soglia</t>
  </si>
  <si>
    <t>immaginazione</t>
  </si>
  <si>
    <t>ci</t>
  </si>
  <si>
    <t>arrivi</t>
  </si>
  <si>
    <t>uno</t>
  </si>
  <si>
    <t>shock</t>
  </si>
  <si>
    <t>scoprire</t>
  </si>
  <si>
    <t>ciò</t>
  </si>
  <si>
    <t>sei</t>
  </si>
  <si>
    <t>veramente</t>
  </si>
  <si>
    <t>capace</t>
  </si>
  <si>
    <t># text = Questa è una vittoria epica.</t>
  </si>
  <si>
    <t># text = Questo giocatore è a un passo da una vittoria epica.</t>
  </si>
  <si>
    <t># text = E questa è l'espressione che abbiamo bisogno di vedere sul viso di milioni di risolutori di problemi nel mondo mentre affrontiamo gli ostacoli dei prossimi cento anni.©</t>
  </si>
  <si>
    <t>viso</t>
  </si>
  <si>
    <t>milioni</t>
  </si>
  <si>
    <t>risolutori</t>
  </si>
  <si>
    <t>affrontiamo</t>
  </si>
  <si>
    <t>ostacoli</t>
  </si>
  <si>
    <t>cento</t>
  </si>
  <si>
    <t>anni.©</t>
  </si>
  <si>
    <t># text = L'espressione di qualcuno che, contro tutte le aspettative, è a un passo da una vittoria epica.</t>
  </si>
  <si>
    <t>L'</t>
  </si>
  <si>
    <t>qualcuno</t>
  </si>
  <si>
    <t>SBJ_3</t>
  </si>
  <si>
    <t>contro</t>
  </si>
  <si>
    <t>tutte</t>
  </si>
  <si>
    <t>aspettative</t>
  </si>
  <si>
    <t># text = Sfortunatamente questa è l'espressione che vediamo nella vita di tutti i giorni mentre tentiamo di affrontare dei problemi urgenti.</t>
  </si>
  <si>
    <t>Sfortunatamente</t>
  </si>
  <si>
    <t>vediamo</t>
  </si>
  <si>
    <t>giorni</t>
  </si>
  <si>
    <t>tentiamo</t>
  </si>
  <si>
    <t># text = Questa è l'espressione che chiamo "Non Sono Brava Nella Realtà" E sono io a farla.</t>
  </si>
  <si>
    <t>Non</t>
  </si>
  <si>
    <t>Brava</t>
  </si>
  <si>
    <t>Realtà</t>
  </si>
  <si>
    <t># text = La vedete?</t>
  </si>
  <si>
    <t>La</t>
  </si>
  <si>
    <t>vedete</t>
  </si>
  <si>
    <t>?</t>
  </si>
  <si>
    <t># text = Si.</t>
  </si>
  <si>
    <t>Si</t>
  </si>
  <si>
    <t># text = Sono io con l'espressione \"Non Sono Brava Nella Realtà\".</t>
  </si>
  <si>
    <t>con</t>
  </si>
  <si>
    <t># text = Questo è un graffito nel mio vecchio quartiere di Berkeley, in California, dove ho fatto il PhD sul perché siamo più bravi nel gioco che nella vita reale.</t>
  </si>
  <si>
    <t>graffito</t>
  </si>
  <si>
    <t>vecchio</t>
  </si>
  <si>
    <t>quartiere</t>
  </si>
  <si>
    <t>Berkeley</t>
  </si>
  <si>
    <t>California</t>
  </si>
  <si>
    <t>dove</t>
  </si>
  <si>
    <t>fatto</t>
  </si>
  <si>
    <t>PhD</t>
  </si>
  <si>
    <t>siamo</t>
  </si>
  <si>
    <t>bravi</t>
  </si>
  <si>
    <t>SBJ_7</t>
  </si>
  <si>
    <t># text = E questo è un problema di molti giocatori abituali:</t>
  </si>
  <si>
    <t>molti</t>
  </si>
  <si>
    <t>:</t>
  </si>
  <si>
    <t># text = sentiamo che nella realtà non siamo bravi quanto nei giochi.</t>
  </si>
  <si>
    <t>sentiamo</t>
  </si>
  <si>
    <t># text = E non intendo \"bravi\" semplicemente come \"di successo\", anche se il successo ne è parte:</t>
  </si>
  <si>
    <t>intendo</t>
  </si>
  <si>
    <t>semplicemente</t>
  </si>
  <si>
    <t>come</t>
  </si>
  <si>
    <t>successo</t>
  </si>
  <si>
    <t>parte</t>
  </si>
  <si>
    <t># text = otteniamo più risultati nei mondi online.</t>
  </si>
  <si>
    <t>otteniamo</t>
  </si>
  <si>
    <t>risultati</t>
  </si>
  <si>
    <t>mondi</t>
  </si>
  <si>
    <t># text = Ma intendo anche "bravi" nel senso di motivati a fare qualcosa di importante, ispirati a collaborare e a cooperare.</t>
  </si>
  <si>
    <t>Ma</t>
  </si>
  <si>
    <t>motivati</t>
  </si>
  <si>
    <t>ispirati</t>
  </si>
  <si>
    <t>collaborare</t>
  </si>
  <si>
    <t>cooperare</t>
  </si>
  <si>
    <t># text = E quando siamo in un mondo online io credo che molti di noi diventano le versioni migliori di se stessi, le versioni più capaci di aiutare senza preavviso, più capaci di concentrarsi su un problema per tutto il tempo necessario, di rialzarsi dopo un fallimento e provare nuovamente.</t>
  </si>
  <si>
    <t>diventano</t>
  </si>
  <si>
    <t>versioni</t>
  </si>
  <si>
    <t>migliori</t>
  </si>
  <si>
    <t>stessi</t>
  </si>
  <si>
    <t>capaci</t>
  </si>
  <si>
    <t>aiutare</t>
  </si>
  <si>
    <t>senza</t>
  </si>
  <si>
    <t>preavviso</t>
  </si>
  <si>
    <t>concentrar</t>
  </si>
  <si>
    <t>tutto</t>
  </si>
  <si>
    <t>necessario</t>
  </si>
  <si>
    <t>rialzar</t>
  </si>
  <si>
    <t>dopo</t>
  </si>
  <si>
    <t>fallimento</t>
  </si>
  <si>
    <t>other_8</t>
  </si>
  <si>
    <t>nuovamente</t>
  </si>
  <si>
    <t># text = E nella vita reale, quando affrontiamo un fallimento, quando affrontiamo un ostacolo, spesso non ci sentiamo così: ci sentiamo..</t>
  </si>
  <si>
    <t>ostacolo</t>
  </si>
  <si>
    <t>spesso</t>
  </si>
  <si>
    <t>sentiamo..</t>
  </si>
  <si>
    <t># text = .</t>
  </si>
  <si>
    <t># text = sconfitti, ci sentiamo sopraffatti, ci sentiamo ansiosi, magari depressi, frustrati o cinici.</t>
  </si>
  <si>
    <t>sconfitti</t>
  </si>
  <si>
    <t>sopraffatti</t>
  </si>
  <si>
    <t>ansiosi</t>
  </si>
  <si>
    <t>depressi</t>
  </si>
  <si>
    <t>frustrati</t>
  </si>
  <si>
    <t>o</t>
  </si>
  <si>
    <t>cinici</t>
  </si>
  <si>
    <t># text = Non proviamo mai questi sentimenti mentre giochiamo, semplicemente non esistono in un gioco.</t>
  </si>
  <si>
    <t>proviamo</t>
  </si>
  <si>
    <t>mai</t>
  </si>
  <si>
    <t>questi</t>
  </si>
  <si>
    <t>sentimenti</t>
  </si>
  <si>
    <t>giochiamo</t>
  </si>
  <si>
    <t>esistono</t>
  </si>
  <si>
    <t># text = Quindi questo è ciò che ho voluto studiare all'università.</t>
  </si>
  <si>
    <t>voluto</t>
  </si>
  <si>
    <t>università</t>
  </si>
  <si>
    <t># text = Cos'è che in un gioco ci impedisce di sentire che non possiamo ottenere qualsiasi risultato?</t>
  </si>
  <si>
    <t>Cos'</t>
  </si>
  <si>
    <t>impedisce</t>
  </si>
  <si>
    <t>possiamo</t>
  </si>
  <si>
    <t>qualsiasi</t>
  </si>
  <si>
    <t># text = Come possiamo trasportare quei sentimenti dai giochi e applicarli al mondo reale?</t>
  </si>
  <si>
    <t>Come</t>
  </si>
  <si>
    <t>quei</t>
  </si>
  <si>
    <t>applicar</t>
  </si>
  <si>
    <t>li</t>
  </si>
  <si>
    <t># text = Ho studiato quindi dei giochi come World of Warcraft, che è veramente l'ambiente ideale per risolvere problemi in maniera collaborativa.</t>
  </si>
  <si>
    <t>studiato</t>
  </si>
  <si>
    <t>World</t>
  </si>
  <si>
    <t>of</t>
  </si>
  <si>
    <t>Warcraft</t>
  </si>
  <si>
    <t>ambiente</t>
  </si>
  <si>
    <t>ideale</t>
  </si>
  <si>
    <t>maniera</t>
  </si>
  <si>
    <t>collaborativa</t>
  </si>
  <si>
    <t># text = E ho cominciato a notare alcune cose che rendono le vittorie epiche così possibili nei mondi online.</t>
  </si>
  <si>
    <t>cominciato</t>
  </si>
  <si>
    <t>cose</t>
  </si>
  <si>
    <t>SBJ_4</t>
  </si>
  <si>
    <t>rendono</t>
  </si>
  <si>
    <t>vittorie</t>
  </si>
  <si>
    <t>epiche</t>
  </si>
  <si>
    <t>possibili</t>
  </si>
  <si>
    <t># text = La prima è che, quando appari in uno di questi giochi online, specialmente in World of Warcraft, ci sono tantissimi personaggi diversi che si fidano al punto tale da affidarti una missione per salvare il mondo.</t>
  </si>
  <si>
    <t>prima</t>
  </si>
  <si>
    <t>appari</t>
  </si>
  <si>
    <t>specialmente</t>
  </si>
  <si>
    <t>tantissimi</t>
  </si>
  <si>
    <t>personaggi</t>
  </si>
  <si>
    <t>diversi</t>
  </si>
  <si>
    <t>fidano</t>
  </si>
  <si>
    <t>punto</t>
  </si>
  <si>
    <t>tale</t>
  </si>
  <si>
    <t>affidarti</t>
  </si>
  <si>
    <t>OBJ_7</t>
  </si>
  <si>
    <t># text = Fin da subito.</t>
  </si>
  <si>
    <t>Fin</t>
  </si>
  <si>
    <t># text = Ma non una missione qualsiasi:</t>
  </si>
  <si>
    <t># text = una missione perfettamente adeguata al tuo attuale livello nel gioco.</t>
  </si>
  <si>
    <t>perfettamente</t>
  </si>
  <si>
    <t>adeguata</t>
  </si>
  <si>
    <t>tuo</t>
  </si>
  <si>
    <t>attuale</t>
  </si>
  <si>
    <t>livello</t>
  </si>
  <si>
    <t># text = Giusto?</t>
  </si>
  <si>
    <t>Giusto</t>
  </si>
  <si>
    <t># text = Così la puoi completare.</t>
  </si>
  <si>
    <t>Così</t>
  </si>
  <si>
    <t>puoi</t>
  </si>
  <si>
    <t># text = Non ti danno mai un sfida impossibile.</t>
  </si>
  <si>
    <t>danno</t>
  </si>
  <si>
    <t>sfida</t>
  </si>
  <si>
    <t>impossibile</t>
  </si>
  <si>
    <t># text = Ma è al limite delle tue capacità.</t>
  </si>
  <si>
    <t>limite</t>
  </si>
  <si>
    <t>tue</t>
  </si>
  <si>
    <t>capacità</t>
  </si>
  <si>
    <t># text = Quindi devi provarci seriamente.</t>
  </si>
  <si>
    <t>devi</t>
  </si>
  <si>
    <t>provar</t>
  </si>
  <si>
    <t>seriamente</t>
  </si>
  <si>
    <t># text = Ma non c'è disoccupazione in World of Warcraft, non si passa il tempo a girarsi i pollici, c'è sempre qualcosa di specifico e importante da fare.</t>
  </si>
  <si>
    <t>c'</t>
  </si>
  <si>
    <t>disoccupazione</t>
  </si>
  <si>
    <t>passa</t>
  </si>
  <si>
    <t>girar</t>
  </si>
  <si>
    <t>pollici</t>
  </si>
  <si>
    <t>sempre</t>
  </si>
  <si>
    <t>specifico</t>
  </si>
  <si>
    <t># text = E ci sono anche moltissimi collaboratori.</t>
  </si>
  <si>
    <t>moltissimi</t>
  </si>
  <si>
    <t>collaboratori</t>
  </si>
  <si>
    <t># text = Ovunque vai, centinaia di migliaia di persone, pronte a unirsi a te per completare la tua missione epica.</t>
  </si>
  <si>
    <t>Ovunque</t>
  </si>
  <si>
    <t>vai</t>
  </si>
  <si>
    <t>centinaia</t>
  </si>
  <si>
    <t>migliaia</t>
  </si>
  <si>
    <t>pronte</t>
  </si>
  <si>
    <t>unir</t>
  </si>
  <si>
    <t>te</t>
  </si>
  <si>
    <t>tua</t>
  </si>
  <si>
    <t># text = Non è una cosa così comune nella vita reale, questa sensazione che a nostra disposizione ci sono tantissimi collaboratori.</t>
  </si>
  <si>
    <t>comune</t>
  </si>
  <si>
    <t>sensazione</t>
  </si>
  <si>
    <t>nostra</t>
  </si>
  <si>
    <t>disposizione</t>
  </si>
  <si>
    <t># text = E c'è anche questa narrativa epica, questa narrativa che ispira, sul perché siamo lì, e cosa stiamo facendo.</t>
  </si>
  <si>
    <t>narrativa</t>
  </si>
  <si>
    <t>ispira</t>
  </si>
  <si>
    <t>lì</t>
  </si>
  <si>
    <t>stiamo</t>
  </si>
  <si>
    <t>facendo</t>
  </si>
  <si>
    <t># text = E poi riceviamo tutto questo feedback positivo..</t>
  </si>
  <si>
    <t>poi</t>
  </si>
  <si>
    <t>riceviamo</t>
  </si>
  <si>
    <t>feedback</t>
  </si>
  <si>
    <t>positivo..</t>
  </si>
  <si>
    <t># text = avete sentito parlare di aumentare di livello e +1 di forza, e +1 in intelligenza.</t>
  </si>
  <si>
    <t>parlare</t>
  </si>
  <si>
    <t>+1</t>
  </si>
  <si>
    <t>forza</t>
  </si>
  <si>
    <t>intelligenza</t>
  </si>
  <si>
    <t># text = Non riceviamo quel tipo di feedback costante nella vita reale.</t>
  </si>
  <si>
    <t>quel</t>
  </si>
  <si>
    <t>tipo</t>
  </si>
  <si>
    <t>costante</t>
  </si>
  <si>
    <t># text = Quando lascio questo palco non avrò +1 in parlare di fronte a un pubblico, e +1 in idee bizzarre (+20 in idee bizzarre).</t>
  </si>
  <si>
    <t>Quando</t>
  </si>
  <si>
    <t>lascio</t>
  </si>
  <si>
    <t>palco</t>
  </si>
  <si>
    <t>avrò</t>
  </si>
  <si>
    <t>+</t>
  </si>
  <si>
    <t>fronte</t>
  </si>
  <si>
    <t>pubblico</t>
  </si>
  <si>
    <t>idee</t>
  </si>
  <si>
    <t>bizzarre</t>
  </si>
  <si>
    <t>+20</t>
  </si>
  <si>
    <t># text = Non ricevo quel tipo di feedback nella vita reale.</t>
  </si>
  <si>
    <t>ricevo</t>
  </si>
  <si>
    <t># text = Ora, il problema degli ambienti collaborativi online come World of Warcraft è che dà così tanta soddisfazione essere ad un passo da una vittoria epica tutti i momenti, che decidiamo di passare tutto il nostro tempo in questi mondi di gioco.</t>
  </si>
  <si>
    <t>Ora</t>
  </si>
  <si>
    <t>ambienti</t>
  </si>
  <si>
    <t>collaborativi</t>
  </si>
  <si>
    <t>dà</t>
  </si>
  <si>
    <t>tanta</t>
  </si>
  <si>
    <t>soddisfazione</t>
  </si>
  <si>
    <t>ad</t>
  </si>
  <si>
    <t>momenti</t>
  </si>
  <si>
    <t>decidiamo</t>
  </si>
  <si>
    <t>nostro</t>
  </si>
  <si>
    <t># text = Semplicemente è meglio della realtà.</t>
  </si>
  <si>
    <t>Semplicemente</t>
  </si>
  <si>
    <t>meglio</t>
  </si>
  <si>
    <t># text = E' per questo che, finora, collettivamente tutti i giocatori di World of Warcraft hanno passato 5.93 milioni di anni a risolvere i problemi virtuali di Azeroth.</t>
  </si>
  <si>
    <t>finora</t>
  </si>
  <si>
    <t>collettivamente</t>
  </si>
  <si>
    <t>hanno</t>
  </si>
  <si>
    <t>5.93</t>
  </si>
  <si>
    <t>virtuali</t>
  </si>
  <si>
    <t>Azeroth</t>
  </si>
  <si>
    <t># text = Questa non è necessariamente una cosa negativa.</t>
  </si>
  <si>
    <t>necessariamente</t>
  </si>
  <si>
    <t>negativa</t>
  </si>
  <si>
    <t># text = (Può sembrare una cosa negativa.</t>
  </si>
  <si>
    <t>Può</t>
  </si>
  <si>
    <t># text = )</t>
  </si>
  <si>
    <t># text = Ma mettiamola in prospettiva:</t>
  </si>
  <si>
    <t>mettiamo</t>
  </si>
  <si>
    <t>prospettiva</t>
  </si>
  <si>
    <t># text = 5.93 milioni di anni fa fu il periodo in cui uno dei nostri antenati si alzò in piedi.</t>
  </si>
  <si>
    <t>fa</t>
  </si>
  <si>
    <t>fu</t>
  </si>
  <si>
    <t>periodo</t>
  </si>
  <si>
    <t>nostri</t>
  </si>
  <si>
    <t>antenati</t>
  </si>
  <si>
    <t>alzò</t>
  </si>
  <si>
    <t>piedi</t>
  </si>
  <si>
    <t># text = Quello era il primo primate a camminare eretto.</t>
  </si>
  <si>
    <t>Quello</t>
  </si>
  <si>
    <t>era</t>
  </si>
  <si>
    <t>primo</t>
  </si>
  <si>
    <t>primate</t>
  </si>
  <si>
    <t>camminare</t>
  </si>
  <si>
    <t>eretto</t>
  </si>
  <si>
    <t># text = Ok, quindi quando parliamo di quanto tempo stiamo investendo nel giocare, l'unica maniera sensata anche solo di pensarci, è di parlare di tempi pari all'evoluzione umana, che di per sè è una cosa straordinaria, ma anche utile, perché abbiamo scoperto che passando tutto questo tempo a giocare, stiamo cambiando ciò di cui siamo capaci come essere umani, ci stiamo evolvendo a collaborare di più e ad avere più cuore.</t>
  </si>
  <si>
    <t>parliamo</t>
  </si>
  <si>
    <t>investendo</t>
  </si>
  <si>
    <t>unica</t>
  </si>
  <si>
    <t>sensata</t>
  </si>
  <si>
    <t>solo</t>
  </si>
  <si>
    <t>pensar</t>
  </si>
  <si>
    <t>tempi</t>
  </si>
  <si>
    <t>pari</t>
  </si>
  <si>
    <t>evoluzione</t>
  </si>
  <si>
    <t>sè</t>
  </si>
  <si>
    <t>straordinaria</t>
  </si>
  <si>
    <t>utile</t>
  </si>
  <si>
    <t>scoperto</t>
  </si>
  <si>
    <t>passando</t>
  </si>
  <si>
    <t>OBJ_12</t>
  </si>
  <si>
    <t>cambiando</t>
  </si>
  <si>
    <t>OBJ_10</t>
  </si>
  <si>
    <t>umani</t>
  </si>
  <si>
    <t>evolvendo</t>
  </si>
  <si>
    <t>cuore</t>
  </si>
  <si>
    <t>OBJ_11</t>
  </si>
  <si>
    <t># text = Questo è vero, io ci credo.</t>
  </si>
  <si>
    <t># text = Considerate dunque questa interessante statistica.</t>
  </si>
  <si>
    <t>Considerate</t>
  </si>
  <si>
    <t>dunque</t>
  </si>
  <si>
    <t>interessante</t>
  </si>
  <si>
    <t>statistica</t>
  </si>
  <si>
    <t># text = E' stata pubblicata recentemente da un ricercatore all'università Carnagie Mellon.</t>
  </si>
  <si>
    <t>stata</t>
  </si>
  <si>
    <t>pubblicata</t>
  </si>
  <si>
    <t>recentemente</t>
  </si>
  <si>
    <t>ricercatore</t>
  </si>
  <si>
    <t>Carnagie</t>
  </si>
  <si>
    <t>Mellon</t>
  </si>
  <si>
    <t># text = Il tipico giovane medio oggi giorno in un paese con una forte cultura di giocatori abituali, avrà passato 10.000 ore giocando online, all'età di 21 anni.</t>
  </si>
  <si>
    <t>Il</t>
  </si>
  <si>
    <t>tipico</t>
  </si>
  <si>
    <t>giovane</t>
  </si>
  <si>
    <t>medio</t>
  </si>
  <si>
    <t>oggi</t>
  </si>
  <si>
    <t>giorno</t>
  </si>
  <si>
    <t>paese</t>
  </si>
  <si>
    <t>forte</t>
  </si>
  <si>
    <t>cultura</t>
  </si>
  <si>
    <t>avrà</t>
  </si>
  <si>
    <t>10.000</t>
  </si>
  <si>
    <t>età</t>
  </si>
  <si>
    <t># text = 10.000 ore è un numero decisamente interessante per due ragioni.</t>
  </si>
  <si>
    <t>numero</t>
  </si>
  <si>
    <t>decisamente</t>
  </si>
  <si>
    <t>due</t>
  </si>
  <si>
    <t>ragioni</t>
  </si>
  <si>
    <t># text = Prima di tutto, per i bambini negli Stati Uniti 10.080 ore è l'esatto numero di ore che passi a scuola dalla quinta elementare fino alla maturità se sei presente tutti i giorni.</t>
  </si>
  <si>
    <t>Prima</t>
  </si>
  <si>
    <t>bambini</t>
  </si>
  <si>
    <t>Stati</t>
  </si>
  <si>
    <t>Uniti</t>
  </si>
  <si>
    <t>10.080</t>
  </si>
  <si>
    <t>esatto</t>
  </si>
  <si>
    <t>passi</t>
  </si>
  <si>
    <t>scuola</t>
  </si>
  <si>
    <t>quinta</t>
  </si>
  <si>
    <t>elementare</t>
  </si>
  <si>
    <t>maturità</t>
  </si>
  <si>
    <t>presente</t>
  </si>
  <si>
    <t># text = Abbiamo dunque un'intero percorso di educazione parallelo nel quale i giovani imparano come essere dei bravi giocatori♪ pari al tempo a scuola nel quale imparano tutto il resto.</t>
  </si>
  <si>
    <t>intero</t>
  </si>
  <si>
    <t>percorso</t>
  </si>
  <si>
    <t>educazione</t>
  </si>
  <si>
    <t>parallelo</t>
  </si>
  <si>
    <t>quale</t>
  </si>
  <si>
    <t>giovani</t>
  </si>
  <si>
    <t>imparano</t>
  </si>
  <si>
    <t>giocatori♪</t>
  </si>
  <si>
    <t>resto</t>
  </si>
  <si>
    <t>SBJ_8</t>
  </si>
  <si>
    <t># text = E alcuni di voi avranno probabilmente letto il nuovo di libro di Malcolm Gladwell, "Fuoriclasse".</t>
  </si>
  <si>
    <t>avranno</t>
  </si>
  <si>
    <t>probabilmente</t>
  </si>
  <si>
    <t>nuovo</t>
  </si>
  <si>
    <t>libro</t>
  </si>
  <si>
    <t>Malcolm</t>
  </si>
  <si>
    <t>Gladwell</t>
  </si>
  <si>
    <t>Fuoriclasse</t>
  </si>
  <si>
    <t># text = Se lo avete fatto avrete letto della sua teoria del successo, la teoria delle 10.000 ore per il successo.</t>
  </si>
  <si>
    <t>avrete</t>
  </si>
  <si>
    <t>sua</t>
  </si>
  <si>
    <t>teoria</t>
  </si>
  <si>
    <t># text = E' fondata su un'ottima ricerca nel campo della cognizione, che afferma che se dedichiamo 10.000 ore di studio fruttuoso a una qualsiasi cosa all'età di 21 anni saremo dei geni in quel campo.</t>
  </si>
  <si>
    <t>fondata</t>
  </si>
  <si>
    <t>ottima</t>
  </si>
  <si>
    <t>ricerca</t>
  </si>
  <si>
    <t>campo</t>
  </si>
  <si>
    <t>cognizione</t>
  </si>
  <si>
    <t>afferma</t>
  </si>
  <si>
    <t>dedichiamo</t>
  </si>
  <si>
    <t>studio</t>
  </si>
  <si>
    <t>fruttuoso</t>
  </si>
  <si>
    <t>saremo</t>
  </si>
  <si>
    <t>geni</t>
  </si>
  <si>
    <t># text = Saremo bravi in quel qualcosa tanto quanto le migliori persone al mondo.</t>
  </si>
  <si>
    <t>Saremo</t>
  </si>
  <si>
    <t>tanto</t>
  </si>
  <si>
    <t># text = Quindi, ciò che abbiamo adesso a disposizione è un'intera generazione di giovani che sono dei geni del gioco.</t>
  </si>
  <si>
    <t>adesso</t>
  </si>
  <si>
    <t>intera</t>
  </si>
  <si>
    <t>generazione</t>
  </si>
  <si>
    <t># text = Dunque, la domanda è: "Esattamente, in cosa diventano bravi questi giocatori?" perché se potessimo capire di cosa si tratta avremmo a disposizione una quantità di risorse umane senza precedenti.</t>
  </si>
  <si>
    <t>Dunque</t>
  </si>
  <si>
    <t>domanda</t>
  </si>
  <si>
    <t>Esattamente</t>
  </si>
  <si>
    <t>potessimo</t>
  </si>
  <si>
    <t>capire</t>
  </si>
  <si>
    <t>tratta</t>
  </si>
  <si>
    <t>avremmo</t>
  </si>
  <si>
    <t>quantità</t>
  </si>
  <si>
    <t>risorse</t>
  </si>
  <si>
    <t>umane</t>
  </si>
  <si>
    <t>precedenti</t>
  </si>
  <si>
    <t># text = Questo è il numero di persone nel mondo che passano almeno un'ora al giorno a giocare online.</t>
  </si>
  <si>
    <t>passano</t>
  </si>
  <si>
    <t>ora</t>
  </si>
  <si>
    <t># text = Questi sono i nostri geni del gioco.</t>
  </si>
  <si>
    <t>Questi</t>
  </si>
  <si>
    <t># text = 500 milioni di persone che sono straordinariamente brave..</t>
  </si>
  <si>
    <t>500</t>
  </si>
  <si>
    <t>brave..</t>
  </si>
  <si>
    <t># text = in qualcosa.</t>
  </si>
  <si>
    <t># text = E nel prossimo decennio avremo un altro miliardo di giocatori abituali che sono straordinariamente bravi in quel qualcosa.</t>
  </si>
  <si>
    <t>avremo</t>
  </si>
  <si>
    <t>altro</t>
  </si>
  <si>
    <t>miliardo</t>
  </si>
  <si>
    <t># text = Se già non lo sapevate, questo è ciò che ci aspetta:</t>
  </si>
  <si>
    <t>sapevate</t>
  </si>
  <si>
    <t>aspetta</t>
  </si>
  <si>
    <t># text = l'industria dei videogiochi sta sviluppando piattaforme che consumano poca energia e che funzionano con la rete cellulare invece dell'Internet a banda larga cosicchè giocatori di tutto il mondo, in particolare in India, Cina, Brasile, potranno connettersi online.</t>
  </si>
  <si>
    <t>industria</t>
  </si>
  <si>
    <t>sta</t>
  </si>
  <si>
    <t>sviluppando</t>
  </si>
  <si>
    <t>piattaforme</t>
  </si>
  <si>
    <t>consumano</t>
  </si>
  <si>
    <t>poca</t>
  </si>
  <si>
    <t>energia</t>
  </si>
  <si>
    <t>funzionano</t>
  </si>
  <si>
    <t>rete</t>
  </si>
  <si>
    <t>cellulare</t>
  </si>
  <si>
    <t>invece</t>
  </si>
  <si>
    <t>Internet</t>
  </si>
  <si>
    <t>banda</t>
  </si>
  <si>
    <t>larga</t>
  </si>
  <si>
    <t>cosicchè</t>
  </si>
  <si>
    <t>particolare</t>
  </si>
  <si>
    <t>India</t>
  </si>
  <si>
    <t>Cina</t>
  </si>
  <si>
    <t>Brasile</t>
  </si>
  <si>
    <t>potranno</t>
  </si>
  <si>
    <t>connetter</t>
  </si>
  <si>
    <t># text = La stima è un miliardo di giocatori in più nel prossimo decennio.</t>
  </si>
  <si>
    <t>stima</t>
  </si>
  <si>
    <t># text = Questo ci porterà a 1.5 miliardi di giocatori abituali.</t>
  </si>
  <si>
    <t>porterà</t>
  </si>
  <si>
    <t>1.5</t>
  </si>
  <si>
    <t># text = Quindi ho cominciato a pensare sotto quali aspetti questi giochi ci stanno trasformando in geni.</t>
  </si>
  <si>
    <t>sotto</t>
  </si>
  <si>
    <t>aspetti</t>
  </si>
  <si>
    <t>stanno</t>
  </si>
  <si>
    <t>trasformando</t>
  </si>
  <si>
    <t># text = Questi sono quattro aspetti che ho individuato.</t>
  </si>
  <si>
    <t>quattro</t>
  </si>
  <si>
    <t>individuato</t>
  </si>
  <si>
    <t># text = Il primo è un ottimismo urgente.</t>
  </si>
  <si>
    <t>urgente</t>
  </si>
  <si>
    <t># text = Pensatelo come una forma estrema di auto-motivazione.</t>
  </si>
  <si>
    <t>Pensatelo</t>
  </si>
  <si>
    <t>forma</t>
  </si>
  <si>
    <t>estrema</t>
  </si>
  <si>
    <t>auto</t>
  </si>
  <si>
    <t>motivazione</t>
  </si>
  <si>
    <t># text = Un ottimismo urgente è il desiderio di agire immediatamente per affrontare un ostacolo, insieme con la convinzione di avere una ragionevole speranza di successo.</t>
  </si>
  <si>
    <t>Un</t>
  </si>
  <si>
    <t>desiderio</t>
  </si>
  <si>
    <t>agire</t>
  </si>
  <si>
    <t>immediatamente</t>
  </si>
  <si>
    <t>insieme</t>
  </si>
  <si>
    <t>convinzione</t>
  </si>
  <si>
    <t>ragionevole</t>
  </si>
  <si>
    <t>speranza</t>
  </si>
  <si>
    <t># text = I giocatori abituali credono sempre che una vittoria epica sia possibile e che valga sempre la pena di provarci, e provarci adesso.</t>
  </si>
  <si>
    <t>I</t>
  </si>
  <si>
    <t>credono</t>
  </si>
  <si>
    <t>valga</t>
  </si>
  <si>
    <t>pena</t>
  </si>
  <si>
    <t># text = I giocatori abituali non stanno con le mani in mano.</t>
  </si>
  <si>
    <t>mani</t>
  </si>
  <si>
    <t>mano</t>
  </si>
  <si>
    <t># text = I giocatori abituali sono dei virtuosi nel tessere una robusta trama sociale.</t>
  </si>
  <si>
    <t>virtuosi</t>
  </si>
  <si>
    <t>tessere</t>
  </si>
  <si>
    <t>robusta</t>
  </si>
  <si>
    <t>trama</t>
  </si>
  <si>
    <t>sociale</t>
  </si>
  <si>
    <t># text = Ci sono molte ricerche interessanti che mostrano come ci troviamo meglio con altre persone dopo aver giocato con loro, anche se ci hanno battuto sonoramente.</t>
  </si>
  <si>
    <t>Ci</t>
  </si>
  <si>
    <t>molte</t>
  </si>
  <si>
    <t>troviamo</t>
  </si>
  <si>
    <t>altre</t>
  </si>
  <si>
    <t>aver</t>
  </si>
  <si>
    <t>giocato</t>
  </si>
  <si>
    <t>loro</t>
  </si>
  <si>
    <t>battuto</t>
  </si>
  <si>
    <t>sonoramente</t>
  </si>
  <si>
    <t># text = E la ragione è che ci vuole molta fiducia per giocare con qualcuno:</t>
  </si>
  <si>
    <t>ragione</t>
  </si>
  <si>
    <t>vuole</t>
  </si>
  <si>
    <t>molta</t>
  </si>
  <si>
    <t>fiducia</t>
  </si>
  <si>
    <t># text = abbiamo fiducia che passeranno il loro tempo con noi, che giocheranno con le stesse regole e con gli stessi obbiettivi, e che rimarranno fino alla conclusione del gioco.</t>
  </si>
  <si>
    <t>passeranno</t>
  </si>
  <si>
    <t>giocheranno</t>
  </si>
  <si>
    <t>stesse</t>
  </si>
  <si>
    <t>regole</t>
  </si>
  <si>
    <t>obbiettivi</t>
  </si>
  <si>
    <t>SBJ_6</t>
  </si>
  <si>
    <t>rimarranno</t>
  </si>
  <si>
    <t>conclusione</t>
  </si>
  <si>
    <t># text = Quindi, giocare insieme di fatto costruisce i legami della fiducia e della cooperazione.</t>
  </si>
  <si>
    <t>costruisce</t>
  </si>
  <si>
    <t>legami</t>
  </si>
  <si>
    <t>cooperazione</t>
  </si>
  <si>
    <t># text = Col risultato che abbiamo davvero relazioni sociali più robuste.</t>
  </si>
  <si>
    <t>Con</t>
  </si>
  <si>
    <t>relazioni</t>
  </si>
  <si>
    <t>sociali</t>
  </si>
  <si>
    <t>robuste</t>
  </si>
  <si>
    <t># text = Produttività gioiosa.</t>
  </si>
  <si>
    <t>Produttività</t>
  </si>
  <si>
    <t>gioiosa</t>
  </si>
  <si>
    <t># text = La adoro.</t>
  </si>
  <si>
    <t># text = Sapete, c'è una ragione per la quale il giocatore medio di World of Warcraft gioca 22 ore alla settimana, quasi quanto un lavoro part-time.</t>
  </si>
  <si>
    <t>Sapete</t>
  </si>
  <si>
    <t>gioca</t>
  </si>
  <si>
    <t>lavoro</t>
  </si>
  <si>
    <t>part</t>
  </si>
  <si>
    <t>time</t>
  </si>
  <si>
    <t># text = E' perché sappiamo, mentre stiamo giocando, che in realtà siamo più felici lavorando sodo, piuttosto che rilassandoci o perdendo tempo.</t>
  </si>
  <si>
    <t>sappiamo</t>
  </si>
  <si>
    <t>felici</t>
  </si>
  <si>
    <t>lavorando</t>
  </si>
  <si>
    <t>sodo</t>
  </si>
  <si>
    <t>piuttosto</t>
  </si>
  <si>
    <t>rilassando</t>
  </si>
  <si>
    <t>perdendo</t>
  </si>
  <si>
    <t># text = Sappiamo che siamo ottimizzati, come essere umani, per lavorare sodo a qualcosa che ha significato.</t>
  </si>
  <si>
    <t>Sappiamo</t>
  </si>
  <si>
    <t>ottimizzati</t>
  </si>
  <si>
    <t>lavorare</t>
  </si>
  <si>
    <t>significato</t>
  </si>
  <si>
    <t># text = E i giocatori abituali sono disposti a lavorare sodo costantemente, se gli è assegnato un compito adatto.</t>
  </si>
  <si>
    <t>disposti</t>
  </si>
  <si>
    <t>costantemente</t>
  </si>
  <si>
    <t>assegnato</t>
  </si>
  <si>
    <t>compito</t>
  </si>
  <si>
    <t>adatto</t>
  </si>
  <si>
    <t># text = Per finire, un significato epico.</t>
  </si>
  <si>
    <t>epico</t>
  </si>
  <si>
    <t># text = I giocatori abituali adorano essere associati a missioni meravigliose, a storie umane su scala planetaria.</t>
  </si>
  <si>
    <t>adorano</t>
  </si>
  <si>
    <t>associati</t>
  </si>
  <si>
    <t>missioni</t>
  </si>
  <si>
    <t>meravigliose</t>
  </si>
  <si>
    <t>storie</t>
  </si>
  <si>
    <t>scala</t>
  </si>
  <si>
    <t>planetaria</t>
  </si>
  <si>
    <t># text = Per esempio, una piccola informazione per aiutare a creare un contesto.</t>
  </si>
  <si>
    <t>esempio</t>
  </si>
  <si>
    <t>piccola</t>
  </si>
  <si>
    <t>creare</t>
  </si>
  <si>
    <t>contesto</t>
  </si>
  <si>
    <t># text = Conoscete tutti Wikipedia, il più grande wiki al mondo.</t>
  </si>
  <si>
    <t>Conoscete</t>
  </si>
  <si>
    <t>Wikipedia</t>
  </si>
  <si>
    <t>grande</t>
  </si>
  <si>
    <t>wiki</t>
  </si>
  <si>
    <t># text = Il secondo wiki più grande al mondo, con quasi 80.000 articoli è il wiki di World of Warcraft Cinque milioni di persone lo usano ogni mese.</t>
  </si>
  <si>
    <t>80.000</t>
  </si>
  <si>
    <t>articoli</t>
  </si>
  <si>
    <t>Cinque</t>
  </si>
  <si>
    <t>usano</t>
  </si>
  <si>
    <t>mese</t>
  </si>
  <si>
    <t># text = Hanno raggruppato più informazioni su World of Warcraft in Internet, che su qualsiasi altro argomento in qualunque altro wiki al mondo.</t>
  </si>
  <si>
    <t>Hanno</t>
  </si>
  <si>
    <t>raggruppato</t>
  </si>
  <si>
    <t>informazioni</t>
  </si>
  <si>
    <t>argomento</t>
  </si>
  <si>
    <t>qualunque</t>
  </si>
  <si>
    <t># text = Stanno costruendo un'opera epica.</t>
  </si>
  <si>
    <t>Stanno</t>
  </si>
  <si>
    <t>costruendo</t>
  </si>
  <si>
    <t>opera</t>
  </si>
  <si>
    <t># text = Stanno costruendo una fonte epica di informazioni riguardanti World of Warcraft.</t>
  </si>
  <si>
    <t>fonte</t>
  </si>
  <si>
    <t>riguardanti</t>
  </si>
  <si>
    <t># text = Ok, questi sono i quattro superpoteri che insieme costituiscono una cosa sola.</t>
  </si>
  <si>
    <t>superpoteri</t>
  </si>
  <si>
    <t>costituiscono</t>
  </si>
  <si>
    <t>sola</t>
  </si>
  <si>
    <t># text = I giocatori abituali sono individui di grande ottimismo dotati di super-poteri.</t>
  </si>
  <si>
    <t>individui</t>
  </si>
  <si>
    <t>dotati</t>
  </si>
  <si>
    <t>super</t>
  </si>
  <si>
    <t>poteri</t>
  </si>
  <si>
    <t># text = Queste sono persone che credono di essere individualmente capaci di cambiare il mondo.</t>
  </si>
  <si>
    <t>Queste</t>
  </si>
  <si>
    <t>individualmente</t>
  </si>
  <si>
    <t># text = L'unico problema è che credono di essere capaci di cambiare i mondi virtuali ma non quello reale.</t>
  </si>
  <si>
    <t>unico</t>
  </si>
  <si>
    <t>quello</t>
  </si>
  <si>
    <t># text = Questo è il problema che sto cercando di risolvere.</t>
  </si>
  <si>
    <t>sto</t>
  </si>
  <si>
    <t>cercando</t>
  </si>
  <si>
    <t># text = C'è un economo di nome Edward Castronova.</t>
  </si>
  <si>
    <t>C'</t>
  </si>
  <si>
    <t>economo</t>
  </si>
  <si>
    <t>nome</t>
  </si>
  <si>
    <t>Edward</t>
  </si>
  <si>
    <t>Castronova</t>
  </si>
  <si>
    <t># text = I suoi studi sono brillanti.</t>
  </si>
  <si>
    <t>suoi</t>
  </si>
  <si>
    <t>studi</t>
  </si>
  <si>
    <t>brillanti</t>
  </si>
  <si>
    <t># text = Sta studiando il motivo per cui la gente investe così tanto tempo, energia e denaro, nei mondi online.</t>
  </si>
  <si>
    <t>Sta</t>
  </si>
  <si>
    <t>studiando</t>
  </si>
  <si>
    <t>motivo</t>
  </si>
  <si>
    <t>gente</t>
  </si>
  <si>
    <t>investe</t>
  </si>
  <si>
    <t>denaro</t>
  </si>
  <si>
    <t># text = Lui afferma, \"Stiamo osservando ciò che costituisce niente meno che un esodo di massa verso i mondi virtuali e gli ambienti di gioco online.\"</t>
  </si>
  <si>
    <t>Lui</t>
  </si>
  <si>
    <t>Stiamo</t>
  </si>
  <si>
    <t>osservando</t>
  </si>
  <si>
    <t>costituisce</t>
  </si>
  <si>
    <t>niente</t>
  </si>
  <si>
    <t>meno</t>
  </si>
  <si>
    <t>esodo</t>
  </si>
  <si>
    <t>massa</t>
  </si>
  <si>
    <t>verso</t>
  </si>
  <si>
    <t># text = Ed è un economo, quindi è razionale, e dice...</t>
  </si>
  <si>
    <t>Ed</t>
  </si>
  <si>
    <t>razionale</t>
  </si>
  <si>
    <t>dice...</t>
  </si>
  <si>
    <t># text = (Risate) ...non come me, io sono una progettista di giochi, io sono esuberante..</t>
  </si>
  <si>
    <t>...non</t>
  </si>
  <si>
    <t>me</t>
  </si>
  <si>
    <t>progettista</t>
  </si>
  <si>
    <t>esuberante..</t>
  </si>
  <si>
    <t># text = Ma lui afferma..</t>
  </si>
  <si>
    <t>afferma..</t>
  </si>
  <si>
    <t># text = lui afferma che questa è una cosa perfettamente sensata, perché i giocatori abituali possono ottenere di più nei mondi online che nella vita reale.</t>
  </si>
  <si>
    <t>possono</t>
  </si>
  <si>
    <t># text = Possono avere relazioni sociali più solide in un gioco che non nella vita reale.</t>
  </si>
  <si>
    <t>Possono</t>
  </si>
  <si>
    <t>solide</t>
  </si>
  <si>
    <t># text = Ricevono un feedback migliore e si sentono più ricompensati Quindi, afferma, per adesso, è perfettamente ragionevole per i giocatori abituali, passare più tempo nei mondi virtuali che nel mondo reale Anche io sono d'accordo che questo sia ragionevole, per adesso ma non è, in nessun modo, una situazione ideale Dobbiamo cominciare a rendere il mondo reale più simile ad un gioco.</t>
  </si>
  <si>
    <t>Ricevono</t>
  </si>
  <si>
    <t>migliore</t>
  </si>
  <si>
    <t>sentono</t>
  </si>
  <si>
    <t>ricompensati</t>
  </si>
  <si>
    <t>Anche</t>
  </si>
  <si>
    <t>d'</t>
  </si>
  <si>
    <t>accordo</t>
  </si>
  <si>
    <t>nessun</t>
  </si>
  <si>
    <t>modo</t>
  </si>
  <si>
    <t>situazione</t>
  </si>
  <si>
    <t>Dobbiamo</t>
  </si>
  <si>
    <t>simile</t>
  </si>
  <si>
    <t># text = Qui traggo ispirazione da qualcosa che accadde 2500 anni fa.</t>
  </si>
  <si>
    <t>Qui</t>
  </si>
  <si>
    <t>traggo</t>
  </si>
  <si>
    <t>ispirazione</t>
  </si>
  <si>
    <t>accadde</t>
  </si>
  <si>
    <t>2500</t>
  </si>
  <si>
    <t># text = Questi sono dadi antichi, fatti di ossa di pecora Prima di avere joysticks e pulsantiere meravigliosi avevamo ossa di pecora E questi rappresentano i primi strumenti da gioco realizzati dall'umanità.</t>
  </si>
  <si>
    <t>dadi</t>
  </si>
  <si>
    <t>antichi</t>
  </si>
  <si>
    <t>fatti</t>
  </si>
  <si>
    <t>ossa</t>
  </si>
  <si>
    <t>pecora</t>
  </si>
  <si>
    <t>joysticks</t>
  </si>
  <si>
    <t>pulsantiere</t>
  </si>
  <si>
    <t>meravigliosi</t>
  </si>
  <si>
    <t>avevamo</t>
  </si>
  <si>
    <t>rappresentano</t>
  </si>
  <si>
    <t>primi</t>
  </si>
  <si>
    <t>strumenti</t>
  </si>
  <si>
    <t>realizzati</t>
  </si>
  <si>
    <t>umanità</t>
  </si>
  <si>
    <t># text = Se conoscete gli scritti dell'antico storico greco, Erodoto, magari conoscete già questa storia.</t>
  </si>
  <si>
    <t>conoscete</t>
  </si>
  <si>
    <t>scritti</t>
  </si>
  <si>
    <t>antico</t>
  </si>
  <si>
    <t>storico</t>
  </si>
  <si>
    <t>greco</t>
  </si>
  <si>
    <t>Erodoto</t>
  </si>
  <si>
    <t>storia</t>
  </si>
  <si>
    <t># text = E' la storia di chi inventò i giochi e perché.</t>
  </si>
  <si>
    <t>chi</t>
  </si>
  <si>
    <t>inventò</t>
  </si>
  <si>
    <t># text = Erodoto narra che i giochi, in particolare i giochi di dadi, furono inventati nel regno della Lidia, durante un periodo di carestia.</t>
  </si>
  <si>
    <t>narra</t>
  </si>
  <si>
    <t>furono</t>
  </si>
  <si>
    <t>inventati</t>
  </si>
  <si>
    <t>regno</t>
  </si>
  <si>
    <t>Lidia</t>
  </si>
  <si>
    <t>durante</t>
  </si>
  <si>
    <t>carestia</t>
  </si>
  <si>
    <t># text = Pare che la carestia fosse così severa, che il re della Lidia decise di fare qualcosa di impensabile.</t>
  </si>
  <si>
    <t>Pare</t>
  </si>
  <si>
    <t>fosse</t>
  </si>
  <si>
    <t>severa</t>
  </si>
  <si>
    <t>re</t>
  </si>
  <si>
    <t>decise</t>
  </si>
  <si>
    <t>impensabile</t>
  </si>
  <si>
    <t># text = La gente soffriva, la popolazione era in rivolta, era una situazione estrema, avevano bisogno di una soluzione estrema.</t>
  </si>
  <si>
    <t>soffriva</t>
  </si>
  <si>
    <t>popolazione</t>
  </si>
  <si>
    <t>rivolta</t>
  </si>
  <si>
    <t>avevano</t>
  </si>
  <si>
    <t>soluzione</t>
  </si>
  <si>
    <t># text = Quindi, secondo Erodoto, inventarono i giochi di dadi ed emanarono una legge valida per tutto il regno.</t>
  </si>
  <si>
    <t>inventarono</t>
  </si>
  <si>
    <t>ed</t>
  </si>
  <si>
    <t>emanarono</t>
  </si>
  <si>
    <t>legge</t>
  </si>
  <si>
    <t>valida</t>
  </si>
  <si>
    <t># text = Un giorno, tutti avrebbero mangiato.</t>
  </si>
  <si>
    <t>avrebbero</t>
  </si>
  <si>
    <t>mangiato</t>
  </si>
  <si>
    <t># text = Il giorno successivo, tutti avrebbero giocato.</t>
  </si>
  <si>
    <t>successivo</t>
  </si>
  <si>
    <t># text = E si immersero così profondamente nei giochi di dadi, dal momento che giocare è così coinvolgente, e ci immerge in uno stato di gioiosa produttività, che ignorarono il fatto di non avere niente da mangiare.</t>
  </si>
  <si>
    <t>immersero</t>
  </si>
  <si>
    <t>profondamente</t>
  </si>
  <si>
    <t>coinvolgente</t>
  </si>
  <si>
    <t>immerge</t>
  </si>
  <si>
    <t>stato</t>
  </si>
  <si>
    <t>ignorarono</t>
  </si>
  <si>
    <t># text = E così un giorno giocavano, e un giorno mangiavano.</t>
  </si>
  <si>
    <t>mangiavano</t>
  </si>
  <si>
    <t># text = E secondo Erodoto, passarono così 18 anni, sopravvivendo alla carestia mangiando un giorno e giocando quello seguente.</t>
  </si>
  <si>
    <t>passarono</t>
  </si>
  <si>
    <t>sopravvivendo</t>
  </si>
  <si>
    <t>mangiando</t>
  </si>
  <si>
    <t>seguente</t>
  </si>
  <si>
    <t># text = Penso che questo sia esattamente il modo in cui usiamo i giochi al giorno d'oggi.</t>
  </si>
  <si>
    <t>Penso</t>
  </si>
  <si>
    <t>esattamente</t>
  </si>
  <si>
    <t>usiamo</t>
  </si>
  <si>
    <t># text = Usiamo i giochi per sfuggire alla sofferenza del mondo reale.</t>
  </si>
  <si>
    <t>Usiamo</t>
  </si>
  <si>
    <t>sfuggire</t>
  </si>
  <si>
    <t>sofferenza</t>
  </si>
  <si>
    <t># text = Usiamo i giochi per allontanarci da tutto ciò che non funziona nel nostro ambiente reale, da tutto ciò che non ci soddisfa della vita reale, e otteniamo ciò di cui abbiamo bisogno dai giochi.</t>
  </si>
  <si>
    <t>allontanar</t>
  </si>
  <si>
    <t>funziona</t>
  </si>
  <si>
    <t>soddisfa</t>
  </si>
  <si>
    <t># text = Ma non dobbiamo necessariamente fermarci qui.</t>
  </si>
  <si>
    <t>fermar</t>
  </si>
  <si>
    <t>qui</t>
  </si>
  <si>
    <t># text = Questo è decisamente interessante: secondo Erodoto, dopo 18 anni, la carestia non pareva migliorare, quindi il re decise che avrebbero giocato un'ultima partita a dadi.</t>
  </si>
  <si>
    <t>pareva</t>
  </si>
  <si>
    <t>migliorare</t>
  </si>
  <si>
    <t>ultima</t>
  </si>
  <si>
    <t>partita</t>
  </si>
  <si>
    <t># text = Divisero l'intero regno a metà, giocarono una partita a dadi, e i vincitori di quella partita parteciparono ad un'avventura epica.</t>
  </si>
  <si>
    <t>Divisero</t>
  </si>
  <si>
    <t>metà</t>
  </si>
  <si>
    <t>giocarono</t>
  </si>
  <si>
    <t>vincitori</t>
  </si>
  <si>
    <t>parteciparono</t>
  </si>
  <si>
    <t># text = Lasciarono la Lidia e andarono in cerca di una nuova terra dove vivere, lasciandosi dietro giusto il numero sufficiente di persone per sopravvivere con le risorse disponibili, con la speranza di portare la loro civilizzazione da qualche altra parte, dove avrebbe potuto prosperare.</t>
  </si>
  <si>
    <t>Lasciarono</t>
  </si>
  <si>
    <t>andarono</t>
  </si>
  <si>
    <t>cerca</t>
  </si>
  <si>
    <t>nuova</t>
  </si>
  <si>
    <t>terra</t>
  </si>
  <si>
    <t>vivere</t>
  </si>
  <si>
    <t>lasciando</t>
  </si>
  <si>
    <t>dietro</t>
  </si>
  <si>
    <t>sufficiente</t>
  </si>
  <si>
    <t>disponibili</t>
  </si>
  <si>
    <t>civilizzazione</t>
  </si>
  <si>
    <t>qualche</t>
  </si>
  <si>
    <t>altra</t>
  </si>
  <si>
    <t>avrebbe</t>
  </si>
  <si>
    <t>potuto</t>
  </si>
  <si>
    <t>prosperare</t>
  </si>
  <si>
    <t># text = E' un'idea un po' bizzarra, no?</t>
  </si>
  <si>
    <t>bizzarra</t>
  </si>
  <si>
    <t>no</t>
  </si>
  <si>
    <t># text = Recentemente però, studi sul DNA hanno rivelato che gli Etruschi che avrebbero poi portato all'impero romano, condividono lo stesso DNA degli antichi abitanti della Lidia.</t>
  </si>
  <si>
    <t>Recentemente</t>
  </si>
  <si>
    <t>però</t>
  </si>
  <si>
    <t>DNA</t>
  </si>
  <si>
    <t>rivelato</t>
  </si>
  <si>
    <t>Etruschi</t>
  </si>
  <si>
    <t>portato</t>
  </si>
  <si>
    <t>impero</t>
  </si>
  <si>
    <t>romano</t>
  </si>
  <si>
    <t>condividono</t>
  </si>
  <si>
    <t>stesso</t>
  </si>
  <si>
    <t>abitanti</t>
  </si>
  <si>
    <t># text = Recentemente quindi, scienziati hanno suggerito che la storia narrata da Erodoto è una storia vera.</t>
  </si>
  <si>
    <t>scienziati</t>
  </si>
  <si>
    <t>suggerito</t>
  </si>
  <si>
    <t>narrata</t>
  </si>
  <si>
    <t>vera</t>
  </si>
  <si>
    <t># text = E geologi hanno trovato evidenza di un raffreddamento globale che durò quasi 20 anni e che potrebbe spiegare la carestia.</t>
  </si>
  <si>
    <t>geologi</t>
  </si>
  <si>
    <t>trovato</t>
  </si>
  <si>
    <t>evidenza</t>
  </si>
  <si>
    <t>raffreddamento</t>
  </si>
  <si>
    <t>globale</t>
  </si>
  <si>
    <t>durò</t>
  </si>
  <si>
    <t>potrebbe</t>
  </si>
  <si>
    <t>spiegare</t>
  </si>
  <si>
    <t># text = Quindi questa storia incredibile potrebbe essere vera:</t>
  </si>
  <si>
    <t>incredibile</t>
  </si>
  <si>
    <t># text = potrebbero avere effettivamente salvato la loro cultura giocando, rifugiandosi nei giochi per 18 anni per poi essere così ispirati, e sapere così bene come venirsi incontro nel gioco al punto da salvare così l'intera civiltà.</t>
  </si>
  <si>
    <t>effettivamente</t>
  </si>
  <si>
    <t>salvato</t>
  </si>
  <si>
    <t>rifugiando</t>
  </si>
  <si>
    <t>venir</t>
  </si>
  <si>
    <t>incontro</t>
  </si>
  <si>
    <t>civiltà</t>
  </si>
  <si>
    <t># text = Ok, possiamo farlo anche noi.</t>
  </si>
  <si>
    <t># text = Giochiamo a World of Warcraft dal 1994.</t>
  </si>
  <si>
    <t>Giochiamo</t>
  </si>
  <si>
    <t>1994</t>
  </si>
  <si>
    <t># text = Fu il primo gioco di strategia in tempo reale della serie di World of Warcraft.</t>
  </si>
  <si>
    <t>Fu</t>
  </si>
  <si>
    <t>strategia</t>
  </si>
  <si>
    <t>serie</t>
  </si>
  <si>
    <t># text = Questo 16 anni fa.</t>
  </si>
  <si>
    <t># text = Loro giocarono a dadi per 18 anni, noi abbiamo giocato a Warcraft per 16 anni.</t>
  </si>
  <si>
    <t>Loro</t>
  </si>
  <si>
    <t># text = Io dico: siamo pronti per il nostro gioco epico.</t>
  </si>
  <si>
    <t>Io</t>
  </si>
  <si>
    <t>dico</t>
  </si>
  <si>
    <t>pronti</t>
  </si>
  <si>
    <t># text = Loro ebbero metà della popolazione in viaggio alla ricerca di un nuovo mondo.</t>
  </si>
  <si>
    <t>ebbero</t>
  </si>
  <si>
    <t>viaggio</t>
  </si>
  <si>
    <t># text = E' da qui che traggo l'idea di 21 miliardi di ore di gioco alla settimana.</t>
  </si>
  <si>
    <t># text = Facciamo che la metà di noi si mette d'accordo per passare un'ora al giorno a giocare, fino a quando non risolviamo i problemi del mondo reale.</t>
  </si>
  <si>
    <t>Facciamo</t>
  </si>
  <si>
    <t>mette</t>
  </si>
  <si>
    <t>risolviamo</t>
  </si>
  <si>
    <t># text = Immagino cosa state per chiedere, \"Come facciamo a risolvere i problemi del mondo reale in un gioco?\"</t>
  </si>
  <si>
    <t>state</t>
  </si>
  <si>
    <t>facciamo</t>
  </si>
  <si>
    <t># text = Beh, questo è ciò a cui ho dedicato il mio lavoro durante gli scorsi anni, presso l'Istituto per il Futuro.</t>
  </si>
  <si>
    <t>Beh</t>
  </si>
  <si>
    <t>dedicato</t>
  </si>
  <si>
    <t>scorsi</t>
  </si>
  <si>
    <t># text = Nei nostri uffici di Palo Alto abbiamo questo stendardo che esprime la nostra idea di come ci dovremmo relazionare con il futuro.</t>
  </si>
  <si>
    <t>uffici</t>
  </si>
  <si>
    <t>Palo</t>
  </si>
  <si>
    <t>Alto</t>
  </si>
  <si>
    <t>stendardo</t>
  </si>
  <si>
    <t>esprime</t>
  </si>
  <si>
    <t>dovremmo</t>
  </si>
  <si>
    <t>relazionare</t>
  </si>
  <si>
    <t>futuro</t>
  </si>
  <si>
    <t># text = Non vogliamo tentare di prevedere il futuro.</t>
  </si>
  <si>
    <t>prevedere</t>
  </si>
  <si>
    <t># text = Ciò che vogliamo fare è -realizzare- il futuro.</t>
  </si>
  <si>
    <t>Ciò</t>
  </si>
  <si>
    <t># text = Vogliamo immaginare gli scenari dai risultati migliori e poi vogliamo dare la possibilità alle persone di trasformarli in realtà concrete.</t>
  </si>
  <si>
    <t>Vogliamo</t>
  </si>
  <si>
    <t>immaginare</t>
  </si>
  <si>
    <t>scenari</t>
  </si>
  <si>
    <t>possibilità</t>
  </si>
  <si>
    <t>trasformar</t>
  </si>
  <si>
    <t>concrete</t>
  </si>
  <si>
    <t># text = Vogliamo immaginare vittorie epiche per poi dare alla gente gli strumenti per realizzarle.</t>
  </si>
  <si>
    <t>realizzar</t>
  </si>
  <si>
    <t># text = Vi mostrerò brevemente tre giochi che ho realizzato e che sono un tentativo di dare alle persone gli strumenti per creare delle vittorie epiche nel loro futuro.</t>
  </si>
  <si>
    <t>Vi</t>
  </si>
  <si>
    <t>mostrerò</t>
  </si>
  <si>
    <t>brevemente</t>
  </si>
  <si>
    <t>realizzato</t>
  </si>
  <si>
    <t>tentativo</t>
  </si>
  <si>
    <t># text = Questo è "Mondo Senza Petrolio".</t>
  </si>
  <si>
    <t>Mondo</t>
  </si>
  <si>
    <t>Senza</t>
  </si>
  <si>
    <t>Petrolio</t>
  </si>
  <si>
    <t># text = Abbiamo realizzato questo gioco nel 2007.</t>
  </si>
  <si>
    <t>2007</t>
  </si>
  <si>
    <t># text = E' un gioco online nel quale si cerca di sopravvivere a una carenza di petrolio.</t>
  </si>
  <si>
    <t>carenza</t>
  </si>
  <si>
    <t>petrolio</t>
  </si>
  <si>
    <t># text = La carenza non è reale, ma abbiamo pubblicato sufficiente materiale online per far credere che lo sia, e per far vivere la vita reale come se fossimo a secco.</t>
  </si>
  <si>
    <t>pubblicato</t>
  </si>
  <si>
    <t>materiale</t>
  </si>
  <si>
    <t>fossimo</t>
  </si>
  <si>
    <t>secco</t>
  </si>
  <si>
    <t># text = Quindi, quando entri nel gioco, ti registri, ci comunichi in che area vivi, e dopodichè ti diamo notizie video in tempo reale, dati che mostrano esattamente il costo del petrolio, le cose che non sono disponibili, l'impatto sulla distribuzione del cibo, l'impatto sui trasporti, se le scuole sono chiuse, se ci sono delle rivolte, e tu devi pensare a come vivresti la tua vita se tutto questo fosse reale.</t>
  </si>
  <si>
    <t>entri</t>
  </si>
  <si>
    <t>registri</t>
  </si>
  <si>
    <t>comunichi</t>
  </si>
  <si>
    <t>area</t>
  </si>
  <si>
    <t>vivi</t>
  </si>
  <si>
    <t>dopodichè</t>
  </si>
  <si>
    <t>diamo</t>
  </si>
  <si>
    <t>notizie</t>
  </si>
  <si>
    <t>video</t>
  </si>
  <si>
    <t>dati</t>
  </si>
  <si>
    <t>costo</t>
  </si>
  <si>
    <t>impatto</t>
  </si>
  <si>
    <t>distribuzione</t>
  </si>
  <si>
    <t>cibo</t>
  </si>
  <si>
    <t>trasporti</t>
  </si>
  <si>
    <t>scuole</t>
  </si>
  <si>
    <t>chiuse</t>
  </si>
  <si>
    <t>rivolte</t>
  </si>
  <si>
    <t>tu</t>
  </si>
  <si>
    <t>vivresti</t>
  </si>
  <si>
    <t># text = Dopodichè ti chiediamo di avere un blog a riguardo, di pubblicare video, di pubblicare foto..</t>
  </si>
  <si>
    <t>Dopodichè</t>
  </si>
  <si>
    <t>chiediamo</t>
  </si>
  <si>
    <t>blog</t>
  </si>
  <si>
    <t>riguardo</t>
  </si>
  <si>
    <t>foto..</t>
  </si>
  <si>
    <t># text = Abbiamo avviato questo gioco con 1.700 giocatori nel 2007, e li abbiamo osservati da allora per i tre anni successivi, e quello che vi posso dire è che è un'esperienza che trasforma.</t>
  </si>
  <si>
    <t>avviato</t>
  </si>
  <si>
    <t>1.700</t>
  </si>
  <si>
    <t>osserva</t>
  </si>
  <si>
    <t>allora</t>
  </si>
  <si>
    <t>successivi</t>
  </si>
  <si>
    <t>posso</t>
  </si>
  <si>
    <t>esperienza</t>
  </si>
  <si>
    <t>trasforma</t>
  </si>
  <si>
    <t># text = Nessuno vuole cambiare la maniera in cui vivono solo perché è una cosa buona per il mondo o perché è un dovere farlo.</t>
  </si>
  <si>
    <t>Nessuno</t>
  </si>
  <si>
    <t>vivono</t>
  </si>
  <si>
    <t>buona</t>
  </si>
  <si>
    <t>dovere</t>
  </si>
  <si>
    <t># text = Ma se li immergi in una avventura epica e gli dici, "Non abbiamo più petrolio.</t>
  </si>
  <si>
    <t>immergi</t>
  </si>
  <si>
    <t>dici</t>
  </si>
  <si>
    <t># text = Questa è una storia incredibile!</t>
  </si>
  <si>
    <t>!</t>
  </si>
  <si>
    <t># text = Un'avventura a cui puoi partecipare!</t>
  </si>
  <si>
    <t>Un'</t>
  </si>
  <si>
    <t>partecipare</t>
  </si>
  <si>
    <t># text = Sfida te stesso per vedere come sopravviveresti.</t>
  </si>
  <si>
    <t>Sfida</t>
  </si>
  <si>
    <t>sopravviveresti</t>
  </si>
  <si>
    <t># text = "</t>
  </si>
  <si>
    <t># text = La maggior parte dei nostri giocatori ha poi mantenuto le abitudini che ha imparato nel gioco.</t>
  </si>
  <si>
    <t>maggior</t>
  </si>
  <si>
    <t>mantenuto</t>
  </si>
  <si>
    <t>abitudini</t>
  </si>
  <si>
    <t>imparato</t>
  </si>
  <si>
    <t># text = Quindi, per il successivo gioco volto a salvare il mondo, abbiamo deciso di mirare più alto, ad un problema più grande della carenza di petrolio.</t>
  </si>
  <si>
    <t>volto</t>
  </si>
  <si>
    <t>deciso</t>
  </si>
  <si>
    <t>mirare</t>
  </si>
  <si>
    <t>alto</t>
  </si>
  <si>
    <t># text = Abbiamo realizzato un gioco chiamato Superstruct, all'Istituto per il Futuro, e la premessa era: un supercomputer ha calcolato che l'umanità ha solo altri 23 anni su questo pianeta.</t>
  </si>
  <si>
    <t>chiamato</t>
  </si>
  <si>
    <t>Superstruct</t>
  </si>
  <si>
    <t>premessa</t>
  </si>
  <si>
    <t>supercomputer</t>
  </si>
  <si>
    <t>altri</t>
  </si>
  <si>
    <t># text = Il supercomputer si chiamava "Sistema di Allerta di Estinzione Globale".</t>
  </si>
  <si>
    <t>chiamava</t>
  </si>
  <si>
    <t>Sistema</t>
  </si>
  <si>
    <t>Allerta</t>
  </si>
  <si>
    <t>Estinzione</t>
  </si>
  <si>
    <t>Globale</t>
  </si>
  <si>
    <t># text = Ovviamente.</t>
  </si>
  <si>
    <t>Ovviamente</t>
  </si>
  <si>
    <t># text = Abbiamo chiesto alla gente di raggiungerci online quasi come in un film di Jerry Bruckheimer.</t>
  </si>
  <si>
    <t>chiesto</t>
  </si>
  <si>
    <t>raggiunger</t>
  </si>
  <si>
    <t>film</t>
  </si>
  <si>
    <t>Jerry</t>
  </si>
  <si>
    <t>Bruckheimer</t>
  </si>
  <si>
    <t># text = Li conoscete i film di Jerry Bruckheimer, formi una squadra da sogno:</t>
  </si>
  <si>
    <t>Li</t>
  </si>
  <si>
    <t>formi</t>
  </si>
  <si>
    <t>squadra</t>
  </si>
  <si>
    <t>sogno</t>
  </si>
  <si>
    <t># text = c'è l'astronauta, lo scienziato, il galeotto, e hanno tutti qualcosa da fare per salvare il mondo, ma nel nostro gioco, invece di avere solo cinque persone nella squadra da sogno, tutti fanno parte della squadra da sogno, ed è compito tuo inventare il futuro dell'energia, il futuro delle risorse alimentari, il futuro della sanità, il futuro della sicurezza e il futuro della previdenza sociale.</t>
  </si>
  <si>
    <t>astronauta</t>
  </si>
  <si>
    <t>scienziato</t>
  </si>
  <si>
    <t>galeotto</t>
  </si>
  <si>
    <t>cinque</t>
  </si>
  <si>
    <t>fanno</t>
  </si>
  <si>
    <t>alimentari</t>
  </si>
  <si>
    <t>sanità</t>
  </si>
  <si>
    <t>sicurezza</t>
  </si>
  <si>
    <t>previdenza</t>
  </si>
  <si>
    <t># text = 8.000 persone hanno giocato per otto settimane, hanno generato 500 soluzioni incredibilmente creative che potete trovare se andate online e cercate su Google \"Superstruct\".</t>
  </si>
  <si>
    <t>8.000</t>
  </si>
  <si>
    <t>otto</t>
  </si>
  <si>
    <t>settimane</t>
  </si>
  <si>
    <t>generato</t>
  </si>
  <si>
    <t>soluzioni</t>
  </si>
  <si>
    <t>incredibilmente</t>
  </si>
  <si>
    <t>creative</t>
  </si>
  <si>
    <t>andate</t>
  </si>
  <si>
    <t>cercate</t>
  </si>
  <si>
    <t>Google</t>
  </si>
  <si>
    <t># text = Per finire, l'ultimo gioco, comincerà il 3 di marzo.</t>
  </si>
  <si>
    <t>ultimo</t>
  </si>
  <si>
    <t>comincerà</t>
  </si>
  <si>
    <t>marzo</t>
  </si>
  <si>
    <t># text = Questo è un gioco realizzato con l'Istituto della Banca Mondiale.</t>
  </si>
  <si>
    <t>Banca</t>
  </si>
  <si>
    <t>Mondiale</t>
  </si>
  <si>
    <t># text = Se completi il gioco sarai certificato dall'Istituto della Banca Mondiale, come Innovatore Sociale, classe del 2010.</t>
  </si>
  <si>
    <t>completi</t>
  </si>
  <si>
    <t>sarai</t>
  </si>
  <si>
    <t>certificato</t>
  </si>
  <si>
    <t>Innovatore</t>
  </si>
  <si>
    <t>Sociale</t>
  </si>
  <si>
    <t>classe</t>
  </si>
  <si>
    <t>2010</t>
  </si>
  <si>
    <t># text = Lavorando con università sparse per l'Africa sub-sahariana, li stiamo invitando a imparare le tecniche di innovazione sociale.</t>
  </si>
  <si>
    <t>Lavorando</t>
  </si>
  <si>
    <t>sparse</t>
  </si>
  <si>
    <t>Africa</t>
  </si>
  <si>
    <t>sub</t>
  </si>
  <si>
    <t>sahariana</t>
  </si>
  <si>
    <t>invitando</t>
  </si>
  <si>
    <t>imparare</t>
  </si>
  <si>
    <t>tecniche</t>
  </si>
  <si>
    <t>innovazione</t>
  </si>
  <si>
    <t># text = C'è una storia a fumetti, si aumenta di livello grazie ad abilità come la conoscenza locale, la collaborazione, la sostenibilità, l'immaginazione e l'inventiva.</t>
  </si>
  <si>
    <t>fumetti</t>
  </si>
  <si>
    <t>aumenta</t>
  </si>
  <si>
    <t>abilità</t>
  </si>
  <si>
    <t>conoscenza</t>
  </si>
  <si>
    <t>locale</t>
  </si>
  <si>
    <t>collaborazione</t>
  </si>
  <si>
    <t>sostenibilità</t>
  </si>
  <si>
    <t>inventiva</t>
  </si>
  <si>
    <t># text = Desidero invitare tutti voi a condividere questo gioco con i giovani, ovunque nel mondo, in particolare nelle aree in via di sviluppo, i quali potrebbero trarre beneficio dall'unirsi per cominciare ad immaginare delle proprie imprese sociali per salvare il mondo.</t>
  </si>
  <si>
    <t>Desidero</t>
  </si>
  <si>
    <t>condividere</t>
  </si>
  <si>
    <t>ovunque</t>
  </si>
  <si>
    <t>aree</t>
  </si>
  <si>
    <t>via</t>
  </si>
  <si>
    <t>sviluppo</t>
  </si>
  <si>
    <t>trarre</t>
  </si>
  <si>
    <t>beneficio</t>
  </si>
  <si>
    <t>proprie</t>
  </si>
  <si>
    <t>other_10</t>
  </si>
  <si>
    <t>imprese</t>
  </si>
  <si>
    <t>other_9</t>
  </si>
  <si>
    <t># text = E' ora di concludere.</t>
  </si>
  <si>
    <t># text = Voglio fare una domanda.</t>
  </si>
  <si>
    <t>Voglio</t>
  </si>
  <si>
    <t># text = Che cosa pensate che succederà?</t>
  </si>
  <si>
    <t>Che</t>
  </si>
  <si>
    <t>pensate</t>
  </si>
  <si>
    <t>succederà</t>
  </si>
  <si>
    <t># text = Abbiamo tutti questi incredibili giocatori, abbiamo questi giochi che sono dei progetti pilota di ciò che potremmo realizzare, ma nessuno di questi ha ancora salvato il mondo reale.</t>
  </si>
  <si>
    <t>incredibili</t>
  </si>
  <si>
    <t>progetti</t>
  </si>
  <si>
    <t>pilota</t>
  </si>
  <si>
    <t>potremmo</t>
  </si>
  <si>
    <t>nessuno</t>
  </si>
  <si>
    <t>ancora</t>
  </si>
  <si>
    <t># text = Beh, spero che siate d'accordo con me che i giocatori abituali sono una risorsa umana che possiamo utilizzare per fare del lavoro nel mondo reale, che i giochi sono una potente piattaforma per il cambiamento, che abbiamo questi incredibili superpoteri, una produttività gioiosa, la capacità di tessere una robusta trama sociale, questo ottimismo urgente e il desiderio di un significato epico.</t>
  </si>
  <si>
    <t>spero</t>
  </si>
  <si>
    <t>siate</t>
  </si>
  <si>
    <t>risorsa</t>
  </si>
  <si>
    <t>utilizzare</t>
  </si>
  <si>
    <t>potente</t>
  </si>
  <si>
    <t>piattaforma</t>
  </si>
  <si>
    <t>cambiamento</t>
  </si>
  <si>
    <t>OBJ_8</t>
  </si>
  <si>
    <t>other_12</t>
  </si>
  <si>
    <t>other_13</t>
  </si>
  <si>
    <t>other_14</t>
  </si>
  <si>
    <t># text = Io spero veramente che possiamo venirci incontro per giocare a giochi che hanno importanza, per sopravvivere su questo pianeta per un altro secolo, e la mia speranza è che vi uniate a me nel realizzare e partecipare a giochi come questi.</t>
  </si>
  <si>
    <t>importanza</t>
  </si>
  <si>
    <t>mia</t>
  </si>
  <si>
    <t>uniate</t>
  </si>
  <si>
    <t># text = Quando guardo avanti al prossimo decennio, di due cose sono certa:</t>
  </si>
  <si>
    <t>guardo</t>
  </si>
  <si>
    <t>avanti</t>
  </si>
  <si>
    <t>certa</t>
  </si>
  <si>
    <t># text = che possiamo realizzare qualunque futuro riusciamo a immaginare, e che possiamo giocare a qualsiasi gioco vogliamo.</t>
  </si>
  <si>
    <t>riusciamo</t>
  </si>
  <si>
    <t># text = Quindi, io dico:</t>
  </si>
  <si>
    <t># text = diamo inizio ai giochi che cambieranno il mondo.</t>
  </si>
  <si>
    <t>inizio</t>
  </si>
  <si>
    <t>cambieranno</t>
  </si>
  <si>
    <t># text = Grazie.</t>
  </si>
  <si>
    <t>Grazie</t>
  </si>
  <si>
    <t># text = (Applauso)</t>
  </si>
  <si>
    <t>Applauso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</si>
</sst>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3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10</v>
      </c>
      <c r="C3" s="6" t="s">
        <v>12</v>
      </c>
      <c r="D3" s="7" t="s">
        <v>16</v>
      </c>
      <c r="E3" s="8" t="s">
        <v>17</v>
      </c>
      <c r="F3" s="6" t="s">
        <v>18</v>
      </c>
      <c r="G3" s="9">
        <f>IF(A3=1,"_",IF(C3="_","???",C3))</f>
        <v/>
      </c>
      <c r="H3" s="10" t="s">
        <v>12</v>
      </c>
      <c r="I3" s="11" t="s">
        <v>12</v>
      </c>
      <c r="J3" s="12"/>
    </row>
    <row r="4" spans="1:10" ht="60" customHeight="1">
      <c r="A4" s="6" t="s">
        <v>19</v>
      </c>
      <c r="B4" s="6" t="s">
        <v>20</v>
      </c>
      <c r="C4" s="6" t="s">
        <v>12</v>
      </c>
      <c r="D4" s="7" t="s">
        <v>21</v>
      </c>
      <c r="E4" s="8" t="s">
        <v>22</v>
      </c>
      <c r="F4" s="6" t="s">
        <v>23</v>
      </c>
      <c r="G4" s="9">
        <f>IF(A4=1,"_",IF(C4="_","???",C4))</f>
        <v/>
      </c>
      <c r="H4" s="10" t="s">
        <v>12</v>
      </c>
      <c r="I4" s="11" t="s">
        <v>12</v>
      </c>
      <c r="J4" s="12"/>
    </row>
    <row r="5" spans="1:10" ht="60" customHeight="1">
      <c r="A5" s="6" t="s">
        <v>24</v>
      </c>
      <c r="B5" s="6" t="s">
        <v>24</v>
      </c>
      <c r="C5" s="6" t="s">
        <v>25</v>
      </c>
      <c r="D5" s="7" t="s">
        <v>26</v>
      </c>
      <c r="E5" s="8" t="s">
        <v>27</v>
      </c>
      <c r="F5" s="6" t="s">
        <v>28</v>
      </c>
      <c r="G5" s="9">
        <f>IF(A5=1,"_",IF(C5="_","???",C5))</f>
        <v/>
      </c>
      <c r="H5" s="10" t="s">
        <v>12</v>
      </c>
      <c r="I5" s="11" t="s">
        <v>12</v>
      </c>
      <c r="J5" s="12"/>
    </row>
    <row r="6" spans="1:10" ht="60" customHeight="1">
      <c r="A6" s="6" t="s">
        <v>29</v>
      </c>
      <c r="B6" s="6" t="s">
        <v>30</v>
      </c>
      <c r="C6" s="6" t="s">
        <v>12</v>
      </c>
      <c r="D6" s="7" t="s">
        <v>31</v>
      </c>
      <c r="E6" s="8" t="s">
        <v>32</v>
      </c>
      <c r="F6" s="6" t="s">
        <v>33</v>
      </c>
      <c r="G6" s="9">
        <f>IF(A6=1,"_",IF(C6="_","???",C6))</f>
        <v/>
      </c>
      <c r="H6" s="10" t="s">
        <v>12</v>
      </c>
      <c r="I6" s="11" t="s">
        <v>12</v>
      </c>
      <c r="J6" s="12"/>
    </row>
    <row r="7" spans="1:10" ht="60" customHeight="1">
      <c r="A7" s="6" t="s">
        <v>34</v>
      </c>
      <c r="B7" s="6" t="s">
        <v>35</v>
      </c>
      <c r="C7" s="6" t="s">
        <v>36</v>
      </c>
      <c r="D7" s="7" t="s">
        <v>37</v>
      </c>
      <c r="E7" s="8" t="s">
        <v>38</v>
      </c>
      <c r="F7" s="6" t="s">
        <v>39</v>
      </c>
      <c r="G7" s="9">
        <f>IF(A7=1,"_",IF(C7="_","???",C7))</f>
        <v/>
      </c>
      <c r="H7" s="10" t="s">
        <v>12</v>
      </c>
      <c r="I7" s="11" t="s">
        <v>12</v>
      </c>
      <c r="J7" s="12"/>
    </row>
    <row r="8" spans="1:10" ht="60" customHeight="1">
      <c r="A8" s="6" t="s">
        <v>40</v>
      </c>
      <c r="B8" s="6" t="s">
        <v>41</v>
      </c>
      <c r="C8" s="6" t="s">
        <v>12</v>
      </c>
      <c r="D8" s="7" t="s">
        <v>42</v>
      </c>
      <c r="E8" s="8" t="s">
        <v>43</v>
      </c>
      <c r="F8" s="6" t="s">
        <v>44</v>
      </c>
      <c r="G8" s="9">
        <f>IF(A8=1,"_",IF(C8="_","???",C8))</f>
        <v/>
      </c>
      <c r="H8" s="10" t="s">
        <v>12</v>
      </c>
      <c r="I8" s="11" t="s">
        <v>12</v>
      </c>
      <c r="J8" s="12"/>
    </row>
    <row r="9" spans="1:10" ht="60" customHeight="1">
      <c r="A9" s="6" t="s">
        <v>41</v>
      </c>
      <c r="B9" s="6" t="s">
        <v>19</v>
      </c>
      <c r="C9" s="6" t="s">
        <v>45</v>
      </c>
      <c r="D9" s="7" t="s">
        <v>46</v>
      </c>
      <c r="E9" s="8" t="s">
        <v>47</v>
      </c>
      <c r="F9" s="6" t="s">
        <v>48</v>
      </c>
      <c r="G9" s="9">
        <f>IF(A9=1,"_",IF(C9="_","???",C9))</f>
        <v/>
      </c>
      <c r="H9" s="10" t="s">
        <v>12</v>
      </c>
      <c r="I9" s="11" t="s">
        <v>12</v>
      </c>
      <c r="J9" s="12"/>
    </row>
    <row r="10" spans="1:10" ht="60" customHeight="1">
      <c r="A10" s="6" t="s">
        <v>49</v>
      </c>
      <c r="B10" s="6" t="s">
        <v>11</v>
      </c>
      <c r="C10" s="6" t="s">
        <v>12</v>
      </c>
      <c r="D10" s="7" t="s">
        <v>50</v>
      </c>
      <c r="E10" s="8" t="s">
        <v>51</v>
      </c>
      <c r="F10" s="6" t="s">
        <v>52</v>
      </c>
      <c r="G10" s="9">
        <f>IF(A10=1,"_",IF(C10="_","???",C10))</f>
        <v/>
      </c>
      <c r="H10" s="10" t="s">
        <v>12</v>
      </c>
      <c r="I10" s="11" t="s">
        <v>12</v>
      </c>
      <c r="J10" s="12"/>
    </row>
    <row r="11" spans="1:10" ht="60" customHeight="1">
      <c r="A11" s="6" t="s">
        <v>53</v>
      </c>
      <c r="B11" s="6" t="s">
        <v>11</v>
      </c>
      <c r="C11" s="6" t="s">
        <v>54</v>
      </c>
      <c r="D11" s="7" t="s">
        <v>55</v>
      </c>
      <c r="E11" s="8" t="s">
        <v>56</v>
      </c>
      <c r="F11" s="6" t="s">
        <v>57</v>
      </c>
      <c r="G11" s="9">
        <f>IF(A11=1,"_",IF(C11="_","???",C11))</f>
        <v/>
      </c>
      <c r="H11" s="10" t="s">
        <v>12</v>
      </c>
      <c r="I11" s="11" t="s">
        <v>12</v>
      </c>
      <c r="J11" s="12"/>
    </row>
    <row r="12" spans="1:10" ht="60" customHeight="1">
      <c r="A12" s="6" t="s">
        <v>58</v>
      </c>
      <c r="B12" s="6" t="s">
        <v>59</v>
      </c>
      <c r="C12" s="6" t="s">
        <v>60</v>
      </c>
      <c r="D12" s="7" t="s">
        <v>46</v>
      </c>
      <c r="E12" s="8" t="s">
        <v>61</v>
      </c>
      <c r="F12" s="6" t="s">
        <v>62</v>
      </c>
      <c r="G12" s="9">
        <f>IF(A12=1,"_",IF(C12="_","???",C12))</f>
        <v/>
      </c>
      <c r="H12" s="10" t="s">
        <v>12</v>
      </c>
      <c r="I12" s="11" t="s">
        <v>12</v>
      </c>
      <c r="J12" s="12"/>
    </row>
    <row r="13" spans="1:10" ht="60" customHeight="1">
      <c r="A13" s="6" t="s">
        <v>63</v>
      </c>
      <c r="B13" s="6" t="s">
        <v>29</v>
      </c>
      <c r="C13" s="6" t="s">
        <v>12</v>
      </c>
      <c r="D13" s="7" t="s">
        <v>64</v>
      </c>
      <c r="E13" s="8" t="s">
        <v>65</v>
      </c>
      <c r="F13" s="6" t="s">
        <v>66</v>
      </c>
      <c r="G13" s="9">
        <f>IF(A13=1,"_",IF(C13="_","???",C13))</f>
        <v/>
      </c>
      <c r="H13" s="10" t="s">
        <v>12</v>
      </c>
      <c r="I13" s="11" t="s">
        <v>12</v>
      </c>
      <c r="J13" s="12"/>
    </row>
    <row r="14" spans="1:10" ht="60" customHeight="1">
      <c r="A14" s="6" t="s">
        <v>67</v>
      </c>
      <c r="B14" s="6" t="s">
        <v>19</v>
      </c>
      <c r="C14" s="6" t="s">
        <v>68</v>
      </c>
      <c r="D14" s="7" t="s">
        <v>69</v>
      </c>
      <c r="E14" s="8" t="s">
        <v>70</v>
      </c>
      <c r="F14" s="6" t="s">
        <v>71</v>
      </c>
      <c r="G14" s="9">
        <f>IF(A14=1,"_",IF(C14="_","???",C14))</f>
        <v/>
      </c>
      <c r="H14" s="10" t="s">
        <v>12</v>
      </c>
      <c r="I14" s="11" t="s">
        <v>12</v>
      </c>
      <c r="J14" s="12"/>
    </row>
    <row r="15" spans="1:10" ht="60" customHeight="1">
      <c r="A15" s="6" t="s">
        <v>20</v>
      </c>
      <c r="B15" s="6" t="s">
        <v>19</v>
      </c>
      <c r="C15" s="6" t="s">
        <v>68</v>
      </c>
      <c r="D15" s="7" t="s">
        <v>72</v>
      </c>
      <c r="E15" s="8" t="s">
        <v>73</v>
      </c>
      <c r="F15" s="6" t="s">
        <v>74</v>
      </c>
      <c r="G15" s="9">
        <f>IF(A15=1,"_",IF(C15="_","???",C15))</f>
        <v/>
      </c>
      <c r="H15" s="10" t="s">
        <v>12</v>
      </c>
      <c r="I15" s="11" t="s">
        <v>12</v>
      </c>
      <c r="J15" s="12"/>
    </row>
    <row r="16" spans="1:10" ht="60" customHeight="1">
      <c r="A16" s="6" t="s">
        <v>75</v>
      </c>
      <c r="B16" s="6" t="s">
        <v>11</v>
      </c>
      <c r="C16" s="6" t="s">
        <v>12</v>
      </c>
      <c r="D16" s="7" t="s">
        <v>76</v>
      </c>
      <c r="E16" s="8" t="s">
        <v>77</v>
      </c>
      <c r="F16" s="6" t="s">
        <v>78</v>
      </c>
      <c r="G16" s="9">
        <f>IF(A16=1,"_",IF(C16="_","???",C16))</f>
        <v/>
      </c>
      <c r="H16" s="10" t="s">
        <v>12</v>
      </c>
      <c r="I16" s="11" t="s">
        <v>12</v>
      </c>
      <c r="J16" s="12"/>
    </row>
    <row r="17" spans="1:10" ht="60" customHeight="1">
      <c r="A17" s="6" t="s">
        <v>79</v>
      </c>
      <c r="B17" s="6" t="s">
        <v>58</v>
      </c>
      <c r="C17" s="6" t="s">
        <v>12</v>
      </c>
      <c r="D17" s="7" t="s">
        <v>80</v>
      </c>
      <c r="E17" s="8" t="s">
        <v>81</v>
      </c>
      <c r="F17" s="6" t="s">
        <v>82</v>
      </c>
      <c r="G17" s="9">
        <f>IF(A17=1,"_",IF(C17="_","???",C17))</f>
        <v/>
      </c>
      <c r="H17" s="10" t="s">
        <v>12</v>
      </c>
      <c r="I17" s="11" t="s">
        <v>12</v>
      </c>
      <c r="J17" s="12"/>
    </row>
    <row r="18" spans="1:10" ht="60" customHeight="1">
      <c r="A18" s="6" t="s">
        <v>35</v>
      </c>
      <c r="B18" s="6" t="s">
        <v>19</v>
      </c>
      <c r="C18" s="6" t="s">
        <v>54</v>
      </c>
      <c r="D18" s="7" t="s">
        <v>83</v>
      </c>
      <c r="E18" s="8" t="s">
        <v>84</v>
      </c>
      <c r="F18" s="6" t="s">
        <v>85</v>
      </c>
      <c r="G18" s="9">
        <f>IF(A18=1,"_",IF(C18="_","???",C18))</f>
        <v/>
      </c>
      <c r="H18" s="10" t="s">
        <v>12</v>
      </c>
      <c r="I18" s="11" t="s">
        <v>12</v>
      </c>
      <c r="J18" s="12"/>
    </row>
    <row r="19" spans="1:10" ht="60" customHeight="1">
      <c r="A19" s="6" t="s">
        <v>86</v>
      </c>
      <c r="B19" s="6" t="s">
        <v>19</v>
      </c>
      <c r="C19" s="6" t="s">
        <v>87</v>
      </c>
      <c r="D19" s="7" t="s">
        <v>88</v>
      </c>
      <c r="E19" s="8" t="s">
        <v>89</v>
      </c>
      <c r="F19" s="6" t="s">
        <v>90</v>
      </c>
      <c r="G19" s="9">
        <f>IF(A19=1,"_",IF(C19="_","???",C19))</f>
        <v/>
      </c>
      <c r="H19" s="10" t="s">
        <v>12</v>
      </c>
      <c r="I19" s="11" t="s">
        <v>12</v>
      </c>
      <c r="J19" s="12"/>
    </row>
    <row r="20" spans="1:10" ht="60" customHeight="1">
      <c r="A20" s="6" t="s">
        <v>91</v>
      </c>
      <c r="B20" s="6" t="s">
        <v>29</v>
      </c>
      <c r="C20" s="6" t="s">
        <v>60</v>
      </c>
      <c r="D20" s="7" t="s">
        <v>92</v>
      </c>
      <c r="E20" s="8" t="s">
        <v>93</v>
      </c>
      <c r="F20" s="6" t="s">
        <v>94</v>
      </c>
      <c r="G20" s="9">
        <f>IF(A20=1,"_",IF(C20="_","???",C20))</f>
        <v/>
      </c>
      <c r="H20" s="10" t="s">
        <v>12</v>
      </c>
      <c r="I20" s="11" t="s">
        <v>12</v>
      </c>
      <c r="J20" s="12"/>
    </row>
    <row r="21" spans="1:10" ht="60" customHeight="1">
      <c r="A21" s="6" t="s">
        <v>95</v>
      </c>
      <c r="B21" s="6" t="s">
        <v>19</v>
      </c>
      <c r="C21" s="6" t="s">
        <v>12</v>
      </c>
      <c r="D21" s="7" t="s">
        <v>96</v>
      </c>
      <c r="E21" s="8" t="s">
        <v>97</v>
      </c>
      <c r="F21" s="6" t="s">
        <v>98</v>
      </c>
      <c r="G21" s="9">
        <f>IF(A21=1,"_",IF(C21="_","???",C21))</f>
        <v/>
      </c>
      <c r="H21" s="10" t="s">
        <v>12</v>
      </c>
      <c r="I21" s="11" t="s">
        <v>12</v>
      </c>
      <c r="J21" s="12"/>
    </row>
    <row r="22" spans="1:10" ht="60" customHeight="1">
      <c r="A22" s="6" t="s">
        <v>99</v>
      </c>
      <c r="B22" s="6" t="s">
        <v>29</v>
      </c>
      <c r="C22" s="6" t="s">
        <v>60</v>
      </c>
      <c r="D22" s="7" t="s">
        <v>100</v>
      </c>
      <c r="E22" s="8" t="s">
        <v>101</v>
      </c>
      <c r="F22" s="6" t="s">
        <v>102</v>
      </c>
      <c r="G22" s="9">
        <f>IF(A22=1,"_",IF(C22="_","???",C22))</f>
        <v/>
      </c>
      <c r="H22" s="10" t="s">
        <v>12</v>
      </c>
      <c r="I22" s="11" t="s">
        <v>12</v>
      </c>
      <c r="J22" s="12"/>
    </row>
    <row r="23" spans="1:10" ht="60" customHeight="1">
      <c r="A23" s="6" t="s">
        <v>103</v>
      </c>
      <c r="B23" s="6" t="s">
        <v>30</v>
      </c>
      <c r="C23" s="6" t="s">
        <v>87</v>
      </c>
      <c r="D23" s="7" t="s">
        <v>104</v>
      </c>
      <c r="E23" s="8" t="s">
        <v>105</v>
      </c>
      <c r="F23" s="6" t="s">
        <v>106</v>
      </c>
      <c r="G23" s="9">
        <f>IF(A23=1,"_",IF(C23="_","???",C23))</f>
        <v/>
      </c>
      <c r="H23" s="10" t="s">
        <v>12</v>
      </c>
      <c r="I23" s="11" t="s">
        <v>12</v>
      </c>
      <c r="J23" s="12"/>
    </row>
    <row r="24" spans="1:10" ht="60" customHeight="1">
      <c r="A24" s="6" t="s">
        <v>59</v>
      </c>
      <c r="B24" s="6" t="s">
        <v>11</v>
      </c>
      <c r="C24" s="6" t="s">
        <v>12</v>
      </c>
      <c r="D24" s="7" t="s">
        <v>107</v>
      </c>
      <c r="E24" s="8" t="s">
        <v>108</v>
      </c>
      <c r="F24" s="6" t="s">
        <v>109</v>
      </c>
      <c r="G24" s="9">
        <f>IF(A24=1,"_",IF(C24="_","???",C24))</f>
        <v/>
      </c>
      <c r="H24" s="10" t="s">
        <v>12</v>
      </c>
      <c r="I24" s="11" t="s">
        <v>12</v>
      </c>
      <c r="J24" s="12"/>
    </row>
    <row r="25" spans="1:10" ht="60" customHeight="1">
      <c r="A25" s="6" t="s">
        <v>110</v>
      </c>
      <c r="B25" s="6" t="s">
        <v>29</v>
      </c>
      <c r="C25" s="6" t="s">
        <v>12</v>
      </c>
      <c r="D25" s="7" t="s">
        <v>111</v>
      </c>
      <c r="E25" s="8" t="s">
        <v>112</v>
      </c>
      <c r="F25" s="6" t="s">
        <v>113</v>
      </c>
      <c r="G25" s="9">
        <f>IF(A25=1,"_",IF(C25="_","???",C25))</f>
        <v/>
      </c>
      <c r="H25" s="10" t="s">
        <v>12</v>
      </c>
      <c r="I25" s="11" t="s">
        <v>12</v>
      </c>
      <c r="J25" s="12"/>
    </row>
    <row r="26" spans="1:10" ht="60" customHeight="1">
      <c r="A26" s="6" t="s">
        <v>114</v>
      </c>
      <c r="B26" s="6" t="s">
        <v>10</v>
      </c>
      <c r="C26" s="6" t="s">
        <v>12</v>
      </c>
      <c r="D26" s="7" t="s">
        <v>115</v>
      </c>
      <c r="E26" s="8" t="s">
        <v>116</v>
      </c>
      <c r="F26" s="6" t="s">
        <v>117</v>
      </c>
      <c r="G26" s="9">
        <f>IF(A26=1,"_",IF(C26="_","???",C26))</f>
        <v/>
      </c>
      <c r="H26" s="10" t="s">
        <v>12</v>
      </c>
      <c r="I26" s="11" t="s">
        <v>12</v>
      </c>
      <c r="J26" s="12"/>
    </row>
    <row r="27" spans="1:10" ht="60" customHeight="1">
      <c r="A27" s="6" t="s">
        <v>118</v>
      </c>
      <c r="B27" s="6" t="s">
        <v>10</v>
      </c>
      <c r="C27" s="6" t="s">
        <v>12</v>
      </c>
      <c r="D27" s="7" t="s">
        <v>119</v>
      </c>
      <c r="E27" s="8" t="s">
        <v>120</v>
      </c>
      <c r="F27" s="6" t="s">
        <v>121</v>
      </c>
      <c r="G27" s="9">
        <f>IF(A27=1,"_",IF(C27="_","???",C27))</f>
        <v/>
      </c>
      <c r="H27" s="10" t="s">
        <v>12</v>
      </c>
      <c r="I27" s="11" t="s">
        <v>12</v>
      </c>
      <c r="J27" s="12"/>
    </row>
    <row r="28" spans="1:10" ht="60" customHeight="1">
      <c r="A28" s="6" t="s">
        <v>122</v>
      </c>
      <c r="B28" s="6" t="s">
        <v>10</v>
      </c>
      <c r="C28" s="6" t="s">
        <v>54</v>
      </c>
      <c r="D28" s="7" t="s">
        <v>26</v>
      </c>
      <c r="E28" s="8" t="s">
        <v>123</v>
      </c>
      <c r="F28" s="6" t="s">
        <v>124</v>
      </c>
      <c r="G28" s="9">
        <f>IF(A28=1,"_",IF(C28="_","???",C28))</f>
        <v/>
      </c>
      <c r="H28" s="10" t="s">
        <v>12</v>
      </c>
      <c r="I28" s="11" t="s">
        <v>12</v>
      </c>
      <c r="J28" s="12"/>
    </row>
    <row r="29" spans="1:10" ht="60" customHeight="1">
      <c r="A29" s="6" t="s">
        <v>125</v>
      </c>
      <c r="B29" s="6" t="s">
        <v>24</v>
      </c>
      <c r="C29" s="6" t="s">
        <v>12</v>
      </c>
      <c r="D29" s="7" t="s">
        <v>126</v>
      </c>
      <c r="E29" s="8" t="s">
        <v>127</v>
      </c>
      <c r="F29" s="6" t="s">
        <v>128</v>
      </c>
      <c r="G29" s="9">
        <f>IF(A29=1,"_",IF(C29="_","???",C29))</f>
        <v/>
      </c>
      <c r="H29" s="10" t="s">
        <v>12</v>
      </c>
      <c r="I29" s="11" t="s">
        <v>12</v>
      </c>
      <c r="J29" s="12"/>
    </row>
    <row r="30" spans="1:10" ht="60" customHeight="1">
      <c r="A30" s="6" t="s">
        <v>129</v>
      </c>
      <c r="B30" s="6" t="s">
        <v>10</v>
      </c>
      <c r="C30" s="6" t="s">
        <v>87</v>
      </c>
      <c r="D30" s="7" t="s">
        <v>130</v>
      </c>
      <c r="E30" s="8" t="s">
        <v>131</v>
      </c>
      <c r="F30" s="6" t="s">
        <v>132</v>
      </c>
      <c r="G30" s="9">
        <f>IF(A30=1,"_",IF(C30="_","???",C30))</f>
        <v/>
      </c>
      <c r="H30" s="10" t="s">
        <v>12</v>
      </c>
      <c r="I30" s="11" t="s">
        <v>12</v>
      </c>
      <c r="J30" s="12"/>
    </row>
    <row r="31" spans="1:10" ht="60" customHeight="1">
      <c r="A31" s="6" t="s">
        <v>133</v>
      </c>
      <c r="B31" s="6" t="s">
        <v>11</v>
      </c>
      <c r="C31" s="6" t="s">
        <v>12</v>
      </c>
      <c r="D31" s="7" t="s">
        <v>134</v>
      </c>
      <c r="E31" s="8" t="s">
        <v>135</v>
      </c>
      <c r="F31" s="6" t="s">
        <v>136</v>
      </c>
      <c r="G31" s="9">
        <f>IF(A31=1,"_",IF(C31="_","???",C31))</f>
        <v/>
      </c>
      <c r="H31" s="10" t="s">
        <v>12</v>
      </c>
      <c r="I31" s="11" t="s">
        <v>12</v>
      </c>
      <c r="J31" s="12"/>
    </row>
    <row r="32" spans="1:10" ht="60" customHeight="1">
      <c r="A32" s="6" t="s">
        <v>137</v>
      </c>
      <c r="B32" s="6" t="s">
        <v>19</v>
      </c>
      <c r="C32" s="6" t="s">
        <v>12</v>
      </c>
      <c r="D32" s="7" t="s">
        <v>138</v>
      </c>
      <c r="E32" s="8" t="s">
        <v>139</v>
      </c>
      <c r="F32" s="6" t="s">
        <v>140</v>
      </c>
      <c r="G32" s="9">
        <f>IF(A32=1,"_",IF(C32="_","???",C32))</f>
        <v/>
      </c>
      <c r="H32" s="10" t="s">
        <v>12</v>
      </c>
      <c r="I32" s="11" t="s">
        <v>12</v>
      </c>
      <c r="J32" s="12"/>
    </row>
    <row r="33" spans="1:10" ht="60" customHeight="1">
      <c r="A33" s="6" t="s">
        <v>141</v>
      </c>
      <c r="B33" s="6" t="s">
        <v>19</v>
      </c>
      <c r="C33" s="6" t="s">
        <v>87</v>
      </c>
      <c r="D33" s="7" t="s">
        <v>142</v>
      </c>
      <c r="E33" s="8" t="s">
        <v>143</v>
      </c>
      <c r="F33" s="6" t="s">
        <v>144</v>
      </c>
      <c r="G33" s="9">
        <f>IF(A33=1,"_",IF(C33="_","???",C33))</f>
        <v/>
      </c>
      <c r="H33" s="10" t="s">
        <v>12</v>
      </c>
      <c r="I33" s="11" t="s">
        <v>12</v>
      </c>
      <c r="J33" s="12"/>
    </row>
    <row r="34" spans="1:10" ht="60" customHeight="1">
      <c r="A34" s="6" t="s">
        <v>145</v>
      </c>
      <c r="B34" s="6" t="s">
        <v>11</v>
      </c>
      <c r="C34" s="6" t="s">
        <v>12</v>
      </c>
      <c r="D34" s="7" t="s">
        <v>146</v>
      </c>
      <c r="E34" s="8" t="s">
        <v>147</v>
      </c>
      <c r="F34" s="6" t="s">
        <v>148</v>
      </c>
      <c r="G34" s="9">
        <f>IF(A34=1,"_",IF(C34="_","???",C34))</f>
        <v/>
      </c>
      <c r="H34" s="10" t="s">
        <v>12</v>
      </c>
      <c r="I34" s="11" t="s">
        <v>12</v>
      </c>
      <c r="J34" s="12"/>
    </row>
    <row r="35" spans="1:10" ht="60" customHeight="1">
      <c r="A35" s="6" t="s">
        <v>149</v>
      </c>
      <c r="B35" s="6" t="s">
        <v>19</v>
      </c>
      <c r="C35" s="6" t="s">
        <v>12</v>
      </c>
      <c r="D35" s="7" t="s">
        <v>142</v>
      </c>
      <c r="E35" s="8" t="s">
        <v>150</v>
      </c>
      <c r="F35" s="6" t="s">
        <v>151</v>
      </c>
      <c r="G35" s="9">
        <f>IF(A35=1,"_",IF(C35="_","???",C35))</f>
        <v/>
      </c>
      <c r="H35" s="10" t="s">
        <v>12</v>
      </c>
      <c r="I35" s="11" t="s">
        <v>12</v>
      </c>
      <c r="J35" s="12"/>
    </row>
    <row r="36" spans="1:10" ht="60" customHeight="1">
      <c r="A36" s="6" t="s">
        <v>152</v>
      </c>
      <c r="B36" s="6" t="s">
        <v>49</v>
      </c>
      <c r="C36" s="6" t="s">
        <v>87</v>
      </c>
      <c r="D36" s="7" t="s">
        <v>153</v>
      </c>
      <c r="E36" s="8" t="s">
        <v>154</v>
      </c>
      <c r="F36" s="6" t="s">
        <v>155</v>
      </c>
      <c r="G36" s="9">
        <f>IF(A36=1,"_",IF(C36="_","???",C36))</f>
        <v/>
      </c>
      <c r="H36" s="10" t="s">
        <v>12</v>
      </c>
      <c r="I36" s="11" t="s">
        <v>12</v>
      </c>
      <c r="J36" s="12"/>
    </row>
    <row r="37" spans="1:10" ht="60" customHeight="1">
      <c r="A37" s="6" t="s">
        <v>156</v>
      </c>
      <c r="B37" s="6" t="s">
        <v>11</v>
      </c>
      <c r="C37" s="6" t="s">
        <v>12</v>
      </c>
      <c r="D37" s="7" t="s">
        <v>157</v>
      </c>
      <c r="E37" s="8" t="s">
        <v>158</v>
      </c>
      <c r="F37" s="6" t="s">
        <v>159</v>
      </c>
      <c r="G37" s="9">
        <f>IF(A37=1,"_",IF(C37="_","???",C37))</f>
        <v/>
      </c>
      <c r="H37" s="10" t="s">
        <v>12</v>
      </c>
      <c r="I37" s="11" t="s">
        <v>12</v>
      </c>
      <c r="J37" s="12"/>
    </row>
    <row r="38" spans="1:10" ht="60" customHeight="1">
      <c r="A38" s="6" t="s">
        <v>160</v>
      </c>
      <c r="B38" s="6" t="s">
        <v>10</v>
      </c>
      <c r="C38" s="6" t="s">
        <v>12</v>
      </c>
      <c r="D38" s="7" t="s">
        <v>161</v>
      </c>
      <c r="E38" s="8" t="s">
        <v>162</v>
      </c>
      <c r="F38" s="6" t="s">
        <v>163</v>
      </c>
      <c r="G38" s="9">
        <f>IF(A38=1,"_",IF(C38="_","???",C38))</f>
        <v/>
      </c>
      <c r="H38" s="10" t="s">
        <v>12</v>
      </c>
      <c r="I38" s="11" t="s">
        <v>12</v>
      </c>
      <c r="J38" s="12"/>
    </row>
    <row r="39" spans="1:10" ht="60" customHeight="1">
      <c r="A39" s="6" t="s">
        <v>164</v>
      </c>
      <c r="B39" s="6" t="s">
        <v>10</v>
      </c>
      <c r="C39" s="6" t="s">
        <v>12</v>
      </c>
      <c r="D39" s="7" t="s">
        <v>119</v>
      </c>
      <c r="E39" s="8" t="s">
        <v>120</v>
      </c>
      <c r="F39" s="6" t="s">
        <v>165</v>
      </c>
      <c r="G39" s="9">
        <f>IF(A39=1,"_",IF(C39="_","???",C39))</f>
        <v/>
      </c>
      <c r="H39" s="10" t="s">
        <v>12</v>
      </c>
      <c r="I39" s="11" t="s">
        <v>12</v>
      </c>
      <c r="J39" s="12"/>
    </row>
    <row r="40" spans="1:10" ht="60" customHeight="1">
      <c r="A40" s="6" t="s">
        <v>166</v>
      </c>
      <c r="B40" s="6" t="s">
        <v>41</v>
      </c>
      <c r="C40" s="6" t="s">
        <v>12</v>
      </c>
      <c r="D40" s="7" t="s">
        <v>167</v>
      </c>
      <c r="E40" s="8" t="s">
        <v>168</v>
      </c>
      <c r="F40" s="6" t="s">
        <v>169</v>
      </c>
      <c r="G40" s="9">
        <f>IF(A40=1,"_",IF(C40="_","???",C40))</f>
        <v/>
      </c>
      <c r="H40" s="10" t="s">
        <v>12</v>
      </c>
      <c r="I40" s="11" t="s">
        <v>12</v>
      </c>
      <c r="J40" s="12"/>
    </row>
    <row r="41" spans="1:10" ht="60" customHeight="1">
      <c r="A41" s="6" t="s">
        <v>170</v>
      </c>
      <c r="B41" s="6" t="s">
        <v>11</v>
      </c>
      <c r="C41" s="6" t="s">
        <v>12</v>
      </c>
      <c r="D41" s="7" t="s">
        <v>171</v>
      </c>
      <c r="E41" s="8" t="s">
        <v>172</v>
      </c>
      <c r="F41" s="6" t="s">
        <v>173</v>
      </c>
      <c r="G41" s="9">
        <f>IF(A41=1,"_",IF(C41="_","???",C41))</f>
        <v/>
      </c>
      <c r="H41" s="10" t="s">
        <v>12</v>
      </c>
      <c r="I41" s="11" t="s">
        <v>12</v>
      </c>
      <c r="J41" s="12"/>
    </row>
    <row r="42" spans="1:10" ht="60" customHeight="1">
      <c r="A42" s="6" t="s">
        <v>174</v>
      </c>
      <c r="B42" s="6" t="s">
        <v>19</v>
      </c>
      <c r="C42" s="6" t="s">
        <v>87</v>
      </c>
      <c r="D42" s="7" t="s">
        <v>175</v>
      </c>
      <c r="E42" s="8" t="s">
        <v>176</v>
      </c>
      <c r="F42" s="6" t="s">
        <v>177</v>
      </c>
      <c r="G42" s="9">
        <f>IF(A42=1,"_",IF(C42="_","???",C42))</f>
        <v/>
      </c>
      <c r="H42" s="10" t="s">
        <v>12</v>
      </c>
      <c r="I42" s="11" t="s">
        <v>12</v>
      </c>
      <c r="J42" s="12"/>
    </row>
    <row r="43" spans="1:10" ht="60" customHeight="1">
      <c r="A43" s="6" t="s">
        <v>178</v>
      </c>
      <c r="B43" s="6" t="s">
        <v>10</v>
      </c>
      <c r="C43" s="6" t="s">
        <v>12</v>
      </c>
      <c r="D43" s="7" t="s">
        <v>179</v>
      </c>
      <c r="E43" s="8" t="s">
        <v>180</v>
      </c>
      <c r="F43" s="6" t="s">
        <v>181</v>
      </c>
      <c r="G43" s="9">
        <f>IF(A43=1,"_",IF(C43="_","???",C43))</f>
        <v/>
      </c>
      <c r="H43" s="10" t="s">
        <v>12</v>
      </c>
      <c r="I43" s="11" t="s">
        <v>12</v>
      </c>
      <c r="J43" s="12"/>
    </row>
    <row r="44" spans="1:10" ht="60" customHeight="1">
      <c r="A44" s="6" t="s">
        <v>182</v>
      </c>
      <c r="B44" s="6" t="s">
        <v>19</v>
      </c>
      <c r="C44" s="6" t="s">
        <v>183</v>
      </c>
      <c r="D44" s="7" t="s">
        <v>184</v>
      </c>
      <c r="E44" s="8" t="s">
        <v>185</v>
      </c>
      <c r="F44" s="6" t="s">
        <v>186</v>
      </c>
      <c r="G44" s="9">
        <f>IF(A44=1,"_",IF(C44="_","???",C44))</f>
        <v/>
      </c>
      <c r="H44" s="10" t="s">
        <v>12</v>
      </c>
      <c r="I44" s="11" t="s">
        <v>12</v>
      </c>
      <c r="J44" s="12"/>
    </row>
    <row r="45" spans="1:10" ht="60" customHeight="1">
      <c r="A45" s="6" t="s">
        <v>187</v>
      </c>
      <c r="B45" s="6" t="s">
        <v>10</v>
      </c>
      <c r="C45" s="6" t="s">
        <v>12</v>
      </c>
      <c r="D45" s="7" t="s">
        <v>188</v>
      </c>
      <c r="E45" s="8" t="s">
        <v>189</v>
      </c>
      <c r="F45" s="6" t="s">
        <v>190</v>
      </c>
      <c r="G45" s="9">
        <f>IF(A45=1,"_",IF(C45="_","???",C45))</f>
        <v/>
      </c>
      <c r="H45" s="10" t="s">
        <v>12</v>
      </c>
      <c r="I45" s="11" t="s">
        <v>12</v>
      </c>
      <c r="J45" s="12"/>
    </row>
    <row r="46" spans="1:10" ht="60" customHeight="1">
      <c r="A46" s="6" t="s">
        <v>191</v>
      </c>
      <c r="B46" s="6" t="s">
        <v>11</v>
      </c>
      <c r="C46" s="6" t="s">
        <v>183</v>
      </c>
      <c r="D46" s="7" t="s">
        <v>184</v>
      </c>
      <c r="E46" s="8" t="s">
        <v>192</v>
      </c>
      <c r="F46" s="6" t="s">
        <v>193</v>
      </c>
      <c r="G46" s="9">
        <f>IF(A46=1,"_",IF(C46="_","???",C46))</f>
        <v/>
      </c>
      <c r="H46" s="10" t="s">
        <v>12</v>
      </c>
      <c r="I46" s="11" t="s">
        <v>12</v>
      </c>
      <c r="J46" s="12"/>
    </row>
    <row r="47" spans="1:10" ht="60" customHeight="1">
      <c r="A47" s="6" t="s">
        <v>194</v>
      </c>
      <c r="B47" s="6" t="s">
        <v>41</v>
      </c>
      <c r="C47" s="6" t="s">
        <v>195</v>
      </c>
      <c r="D47" s="7" t="s">
        <v>46</v>
      </c>
      <c r="E47" s="8" t="s">
        <v>196</v>
      </c>
      <c r="F47" s="6" t="s">
        <v>197</v>
      </c>
      <c r="G47" s="9">
        <f>IF(A47=1,"_",IF(C47="_","???",C47))</f>
        <v/>
      </c>
      <c r="H47" s="10" t="s">
        <v>12</v>
      </c>
      <c r="I47" s="11" t="s">
        <v>12</v>
      </c>
      <c r="J47" s="12"/>
    </row>
    <row r="48" spans="1:10" ht="60" customHeight="1">
      <c r="A48" s="6" t="s">
        <v>198</v>
      </c>
      <c r="B48" s="6" t="s">
        <v>91</v>
      </c>
      <c r="C48" s="6" t="s">
        <v>195</v>
      </c>
      <c r="D48" s="7" t="s">
        <v>179</v>
      </c>
      <c r="E48" s="8" t="s">
        <v>199</v>
      </c>
      <c r="F48" s="6" t="s">
        <v>200</v>
      </c>
      <c r="G48" s="9">
        <f>IF(A48=1,"_",IF(C48="_","???",C48))</f>
        <v/>
      </c>
      <c r="H48" s="10" t="s">
        <v>12</v>
      </c>
      <c r="I48" s="11" t="s">
        <v>12</v>
      </c>
      <c r="J48" s="12"/>
    </row>
    <row r="49" spans="1:10" ht="60" customHeight="1">
      <c r="A49" s="6" t="s">
        <v>201</v>
      </c>
      <c r="B49" s="6" t="s">
        <v>10</v>
      </c>
      <c r="C49" s="6" t="s">
        <v>12</v>
      </c>
      <c r="D49" s="7" t="s">
        <v>202</v>
      </c>
      <c r="E49" s="8" t="s">
        <v>202</v>
      </c>
      <c r="F49" s="6" t="s">
        <v>203</v>
      </c>
      <c r="G49" s="9">
        <f>IF(A49=1,"_",IF(C49="_","???",C49))</f>
        <v/>
      </c>
      <c r="H49" s="10" t="s">
        <v>12</v>
      </c>
      <c r="I49" s="11" t="s">
        <v>12</v>
      </c>
      <c r="J49" s="12"/>
    </row>
    <row r="50" spans="1:10" ht="60" customHeight="1">
      <c r="A50" s="6" t="s">
        <v>204</v>
      </c>
      <c r="B50" s="6" t="s">
        <v>40</v>
      </c>
      <c r="C50" s="6" t="s">
        <v>12</v>
      </c>
      <c r="D50" s="7" t="s">
        <v>205</v>
      </c>
      <c r="E50" s="8" t="s">
        <v>206</v>
      </c>
      <c r="F50" s="6" t="s">
        <v>207</v>
      </c>
      <c r="G50" s="9">
        <f>IF(A50=1,"_",IF(C50="_","???",C50))</f>
        <v/>
      </c>
      <c r="H50" s="10" t="s">
        <v>12</v>
      </c>
      <c r="I50" s="11" t="s">
        <v>12</v>
      </c>
      <c r="J50" s="12"/>
    </row>
    <row r="51" spans="1:10" ht="60" customHeight="1">
      <c r="A51" s="6" t="s">
        <v>208</v>
      </c>
      <c r="B51" s="6" t="s">
        <v>11</v>
      </c>
      <c r="C51" s="6" t="s">
        <v>209</v>
      </c>
      <c r="D51" s="7" t="s">
        <v>210</v>
      </c>
      <c r="E51" s="8" t="s">
        <v>211</v>
      </c>
      <c r="F51" s="6" t="s">
        <v>212</v>
      </c>
      <c r="G51" s="9">
        <f>IF(A51=1,"_",IF(C51="_","???",C51))</f>
        <v/>
      </c>
      <c r="H51" s="10" t="s">
        <v>12</v>
      </c>
      <c r="I51" s="11" t="s">
        <v>12</v>
      </c>
      <c r="J51" s="12"/>
    </row>
    <row r="52" spans="1:10" ht="60" customHeight="1">
      <c r="A52" s="6" t="s">
        <v>213</v>
      </c>
      <c r="B52" s="6" t="s">
        <v>19</v>
      </c>
      <c r="C52" s="6" t="s">
        <v>54</v>
      </c>
      <c r="D52" s="7" t="s">
        <v>214</v>
      </c>
      <c r="E52" s="8" t="s">
        <v>215</v>
      </c>
      <c r="F52" s="6" t="s">
        <v>216</v>
      </c>
      <c r="G52" s="9">
        <f>IF(A52=1,"_",IF(C52="_","???",C52))</f>
        <v/>
      </c>
      <c r="H52" s="10" t="s">
        <v>12</v>
      </c>
      <c r="I52" s="11" t="s">
        <v>12</v>
      </c>
      <c r="J52" s="12"/>
    </row>
    <row r="53" spans="1:10" ht="60" customHeight="1">
      <c r="A53" s="6" t="s">
        <v>217</v>
      </c>
      <c r="B53" s="6" t="s">
        <v>11</v>
      </c>
      <c r="C53" s="6" t="s">
        <v>12</v>
      </c>
      <c r="D53" s="7" t="s">
        <v>21</v>
      </c>
      <c r="E53" s="8" t="s">
        <v>218</v>
      </c>
      <c r="F53" s="6" t="s">
        <v>219</v>
      </c>
      <c r="G53" s="9">
        <f>IF(A53=1,"_",IF(C53="_","???",C53))</f>
        <v/>
      </c>
      <c r="H53" s="10" t="s">
        <v>12</v>
      </c>
      <c r="I53" s="11" t="s">
        <v>12</v>
      </c>
      <c r="J53" s="12"/>
    </row>
    <row r="54" spans="1:10" ht="60" customHeight="1">
      <c r="A54" s="6" t="s">
        <v>220</v>
      </c>
      <c r="B54" s="6" t="s">
        <v>19</v>
      </c>
      <c r="C54" s="6" t="s">
        <v>221</v>
      </c>
      <c r="D54" s="7" t="s">
        <v>222</v>
      </c>
      <c r="E54" s="8" t="s">
        <v>223</v>
      </c>
      <c r="F54" s="6" t="s">
        <v>224</v>
      </c>
      <c r="G54" s="9">
        <f>IF(A54=1,"_",IF(C54="_","???",C54))</f>
        <v/>
      </c>
      <c r="H54" s="10" t="s">
        <v>12</v>
      </c>
      <c r="I54" s="11" t="s">
        <v>12</v>
      </c>
      <c r="J54" s="12"/>
    </row>
    <row r="55" spans="1:10" ht="60" customHeight="1">
      <c r="A55" s="6" t="s">
        <v>225</v>
      </c>
      <c r="B55" s="6" t="s">
        <v>11</v>
      </c>
      <c r="C55" s="6" t="s">
        <v>54</v>
      </c>
      <c r="D55" s="7" t="s">
        <v>226</v>
      </c>
      <c r="E55" s="8" t="s">
        <v>227</v>
      </c>
      <c r="F55" s="6" t="s">
        <v>228</v>
      </c>
      <c r="G55" s="9">
        <f>IF(A55=1,"_",IF(C55="_","???",C55))</f>
        <v/>
      </c>
      <c r="H55" s="10" t="s">
        <v>12</v>
      </c>
      <c r="I55" s="11" t="s">
        <v>12</v>
      </c>
      <c r="J55" s="12"/>
    </row>
    <row r="56" spans="1:10" ht="60" customHeight="1">
      <c r="A56" s="6" t="s">
        <v>229</v>
      </c>
      <c r="B56" s="6" t="s">
        <v>19</v>
      </c>
      <c r="C56" s="6" t="s">
        <v>87</v>
      </c>
      <c r="D56" s="7" t="s">
        <v>230</v>
      </c>
      <c r="E56" s="8" t="s">
        <v>231</v>
      </c>
      <c r="F56" s="6" t="s">
        <v>232</v>
      </c>
      <c r="G56" s="9">
        <f>IF(A56=1,"_",IF(C56="_","???",C56))</f>
        <v/>
      </c>
      <c r="H56" s="10" t="s">
        <v>12</v>
      </c>
      <c r="I56" s="11" t="s">
        <v>12</v>
      </c>
      <c r="J56" s="12"/>
    </row>
    <row r="57" spans="1:10" ht="60" customHeight="1">
      <c r="A57" s="6" t="s">
        <v>233</v>
      </c>
      <c r="B57" s="6" t="s">
        <v>19</v>
      </c>
      <c r="C57" s="6" t="s">
        <v>234</v>
      </c>
      <c r="D57" s="7" t="s">
        <v>21</v>
      </c>
      <c r="E57" s="8" t="s">
        <v>235</v>
      </c>
      <c r="F57" s="6" t="s">
        <v>236</v>
      </c>
      <c r="G57" s="9">
        <f>IF(A57=1,"_",IF(C57="_","???",C57))</f>
        <v/>
      </c>
      <c r="H57" s="10" t="s">
        <v>12</v>
      </c>
      <c r="I57" s="11" t="s">
        <v>12</v>
      </c>
      <c r="J57" s="12"/>
    </row>
    <row r="58" spans="1:10" ht="60" customHeight="1">
      <c r="A58" s="6" t="s">
        <v>237</v>
      </c>
      <c r="B58" s="6" t="s">
        <v>19</v>
      </c>
      <c r="C58" s="6" t="s">
        <v>12</v>
      </c>
      <c r="D58" s="7" t="s">
        <v>238</v>
      </c>
      <c r="E58" s="8" t="s">
        <v>239</v>
      </c>
      <c r="F58" s="6" t="s">
        <v>240</v>
      </c>
      <c r="G58" s="9">
        <f>IF(A58=1,"_",IF(C58="_","???",C58))</f>
        <v/>
      </c>
      <c r="H58" s="10" t="s">
        <v>12</v>
      </c>
      <c r="I58" s="11" t="s">
        <v>12</v>
      </c>
      <c r="J58" s="12"/>
    </row>
    <row r="59" spans="1:10" ht="60" customHeight="1">
      <c r="A59" s="6" t="s">
        <v>241</v>
      </c>
      <c r="B59" s="6" t="s">
        <v>24</v>
      </c>
      <c r="C59" s="6" t="s">
        <v>242</v>
      </c>
      <c r="D59" s="7" t="s">
        <v>243</v>
      </c>
      <c r="E59" s="8" t="s">
        <v>244</v>
      </c>
      <c r="F59" s="6" t="s">
        <v>245</v>
      </c>
      <c r="G59" s="9">
        <f>IF(A59=1,"_",IF(C59="_","???",C59))</f>
        <v/>
      </c>
      <c r="H59" s="10" t="s">
        <v>12</v>
      </c>
      <c r="I59" s="11" t="s">
        <v>12</v>
      </c>
      <c r="J59" s="12"/>
    </row>
    <row r="60" spans="1:10" ht="60" customHeight="1">
      <c r="A60" s="6" t="s">
        <v>246</v>
      </c>
      <c r="B60" s="6" t="s">
        <v>11</v>
      </c>
      <c r="C60" s="6" t="s">
        <v>12</v>
      </c>
      <c r="D60" s="7" t="s">
        <v>243</v>
      </c>
      <c r="E60" s="8" t="s">
        <v>247</v>
      </c>
      <c r="F60" s="6" t="s">
        <v>248</v>
      </c>
      <c r="G60" s="9">
        <f>IF(A60=1,"_",IF(C60="_","???",C60))</f>
        <v/>
      </c>
      <c r="H60" s="10" t="s">
        <v>12</v>
      </c>
      <c r="I60" s="11" t="s">
        <v>12</v>
      </c>
      <c r="J60" s="12"/>
    </row>
    <row r="61" spans="1:10" ht="60" customHeight="1">
      <c r="A61" s="6" t="s">
        <v>249</v>
      </c>
      <c r="B61" s="6" t="s">
        <v>10</v>
      </c>
      <c r="C61" s="6" t="s">
        <v>12</v>
      </c>
      <c r="D61" s="7" t="s">
        <v>250</v>
      </c>
      <c r="E61" s="8" t="s">
        <v>251</v>
      </c>
      <c r="F61" s="6" t="s">
        <v>252</v>
      </c>
      <c r="G61" s="9">
        <f>IF(A61=1,"_",IF(C61="_","???",C61))</f>
        <v/>
      </c>
      <c r="H61" s="10" t="s">
        <v>12</v>
      </c>
      <c r="I61" s="11" t="s">
        <v>12</v>
      </c>
      <c r="J61" s="12"/>
    </row>
    <row r="62" spans="1:10" ht="60" customHeight="1">
      <c r="A62" s="6" t="s">
        <v>253</v>
      </c>
      <c r="B62" s="6" t="s">
        <v>24</v>
      </c>
      <c r="C62" s="6" t="s">
        <v>254</v>
      </c>
      <c r="D62" s="7" t="s">
        <v>255</v>
      </c>
      <c r="E62" s="8" t="s">
        <v>256</v>
      </c>
      <c r="F62" s="6" t="s">
        <v>257</v>
      </c>
      <c r="G62" s="9">
        <f>IF(A62=1,"_",IF(C62="_","???",C62))</f>
        <v/>
      </c>
      <c r="H62" s="10" t="s">
        <v>12</v>
      </c>
      <c r="I62" s="11" t="s">
        <v>12</v>
      </c>
      <c r="J62" s="12"/>
    </row>
    <row r="63" spans="1:10" ht="60" customHeight="1">
      <c r="A63" s="6" t="s">
        <v>258</v>
      </c>
      <c r="B63" s="6" t="s">
        <v>19</v>
      </c>
      <c r="C63" s="6" t="s">
        <v>12</v>
      </c>
      <c r="D63" s="7" t="s">
        <v>259</v>
      </c>
      <c r="E63" s="8" t="s">
        <v>260</v>
      </c>
      <c r="F63" s="6" t="s">
        <v>261</v>
      </c>
      <c r="G63" s="9">
        <f>IF(A63=1,"_",IF(C63="_","???",C63))</f>
        <v/>
      </c>
      <c r="H63" s="10" t="s">
        <v>12</v>
      </c>
      <c r="I63" s="11" t="s">
        <v>12</v>
      </c>
      <c r="J63" s="12"/>
    </row>
    <row r="64" spans="1:10" ht="60" customHeight="1">
      <c r="A64" s="6" t="s">
        <v>262</v>
      </c>
      <c r="B64" s="6" t="s">
        <v>11</v>
      </c>
      <c r="C64" s="6" t="s">
        <v>242</v>
      </c>
      <c r="D64" s="7" t="s">
        <v>263</v>
      </c>
      <c r="E64" s="8" t="s">
        <v>264</v>
      </c>
      <c r="F64" s="6" t="s">
        <v>265</v>
      </c>
      <c r="G64" s="9">
        <f>IF(A64=1,"_",IF(C64="_","???",C64))</f>
        <v/>
      </c>
      <c r="H64" s="10" t="s">
        <v>12</v>
      </c>
      <c r="I64" s="11" t="s">
        <v>12</v>
      </c>
      <c r="J64" s="12"/>
    </row>
    <row r="65" spans="1:10" ht="60" customHeight="1">
      <c r="A65" s="6" t="s">
        <v>266</v>
      </c>
      <c r="B65" s="6" t="s">
        <v>19</v>
      </c>
      <c r="C65" s="6" t="s">
        <v>54</v>
      </c>
      <c r="D65" s="7" t="s">
        <v>267</v>
      </c>
      <c r="E65" s="8" t="s">
        <v>268</v>
      </c>
      <c r="F65" s="6" t="s">
        <v>269</v>
      </c>
      <c r="G65" s="9">
        <f>IF(A65=1,"_",IF(C65="_","???",C65))</f>
        <v/>
      </c>
      <c r="H65" s="10" t="s">
        <v>12</v>
      </c>
      <c r="I65" s="11" t="s">
        <v>12</v>
      </c>
      <c r="J65" s="12"/>
    </row>
    <row r="66" spans="1:10" ht="60" customHeight="1">
      <c r="A66" s="6" t="s">
        <v>270</v>
      </c>
      <c r="B66" s="6" t="s">
        <v>103</v>
      </c>
      <c r="C66" s="6" t="s">
        <v>242</v>
      </c>
      <c r="D66" s="7" t="s">
        <v>21</v>
      </c>
      <c r="E66" s="8" t="s">
        <v>271</v>
      </c>
      <c r="F66" s="6" t="s">
        <v>272</v>
      </c>
      <c r="G66" s="9">
        <f>IF(A66=1,"_",IF(C66="_","???",C66))</f>
        <v/>
      </c>
      <c r="H66" s="10" t="s">
        <v>12</v>
      </c>
      <c r="I66" s="11" t="s">
        <v>12</v>
      </c>
      <c r="J66" s="12"/>
    </row>
    <row r="67" spans="1:10" ht="60" customHeight="1">
      <c r="A67" s="6" t="s">
        <v>273</v>
      </c>
      <c r="B67" s="6" t="s">
        <v>19</v>
      </c>
      <c r="C67" s="6" t="s">
        <v>183</v>
      </c>
      <c r="D67" s="7" t="s">
        <v>21</v>
      </c>
      <c r="E67" s="8" t="s">
        <v>274</v>
      </c>
      <c r="F67" s="6" t="s">
        <v>275</v>
      </c>
      <c r="G67" s="9">
        <f>IF(A67=1,"_",IF(C67="_","???",C67))</f>
        <v/>
      </c>
      <c r="H67" s="10" t="s">
        <v>12</v>
      </c>
      <c r="I67" s="11" t="s">
        <v>12</v>
      </c>
      <c r="J67" s="12"/>
    </row>
    <row r="68" spans="1:10" ht="60" customHeight="1">
      <c r="A68" s="6" t="s">
        <v>276</v>
      </c>
      <c r="B68" s="6" t="s">
        <v>11</v>
      </c>
      <c r="C68" s="6" t="s">
        <v>12</v>
      </c>
      <c r="D68" s="7" t="s">
        <v>277</v>
      </c>
      <c r="E68" s="8" t="s">
        <v>278</v>
      </c>
      <c r="F68" s="6" t="s">
        <v>279</v>
      </c>
      <c r="G68" s="9">
        <f>IF(A68=1,"_",IF(C68="_","???",C68))</f>
        <v/>
      </c>
      <c r="H68" s="10" t="s">
        <v>12</v>
      </c>
      <c r="I68" s="11" t="s">
        <v>12</v>
      </c>
      <c r="J68" s="12"/>
    </row>
    <row r="69" spans="1:10" ht="60" customHeight="1">
      <c r="A69" s="6" t="s">
        <v>280</v>
      </c>
      <c r="B69" s="6" t="s">
        <v>11</v>
      </c>
      <c r="C69" s="6" t="s">
        <v>254</v>
      </c>
      <c r="D69" s="7" t="s">
        <v>281</v>
      </c>
      <c r="E69" s="8" t="s">
        <v>282</v>
      </c>
      <c r="F69" s="6" t="s">
        <v>283</v>
      </c>
      <c r="G69" s="9">
        <f>IF(A69=1,"_",IF(C69="_","???",C69))</f>
        <v/>
      </c>
      <c r="H69" s="10" t="s">
        <v>12</v>
      </c>
      <c r="I69" s="11" t="s">
        <v>12</v>
      </c>
      <c r="J69" s="12"/>
    </row>
    <row r="70" spans="1:10" ht="60" customHeight="1">
      <c r="A70" s="6" t="s">
        <v>284</v>
      </c>
      <c r="B70" s="6" t="s">
        <v>19</v>
      </c>
      <c r="C70" s="6" t="s">
        <v>183</v>
      </c>
      <c r="D70" s="7" t="s">
        <v>21</v>
      </c>
      <c r="E70" s="8" t="s">
        <v>285</v>
      </c>
      <c r="F70" s="6" t="s">
        <v>286</v>
      </c>
      <c r="G70" s="9">
        <f>IF(A70=1,"_",IF(C70="_","???",C70))</f>
        <v/>
      </c>
      <c r="H70" s="10" t="s">
        <v>12</v>
      </c>
      <c r="I70" s="11" t="s">
        <v>12</v>
      </c>
      <c r="J70" s="12"/>
    </row>
    <row r="71" spans="1:10" ht="60" customHeight="1">
      <c r="A71" s="6" t="s">
        <v>287</v>
      </c>
      <c r="B71" s="6" t="s">
        <v>19</v>
      </c>
      <c r="C71" s="6" t="s">
        <v>288</v>
      </c>
      <c r="D71" s="7" t="s">
        <v>289</v>
      </c>
      <c r="E71" s="8" t="s">
        <v>290</v>
      </c>
      <c r="F71" s="6" t="s">
        <v>291</v>
      </c>
      <c r="G71" s="9">
        <f>IF(A71=1,"_",IF(C71="_","???",C71))</f>
        <v/>
      </c>
      <c r="H71" s="10" t="s">
        <v>12</v>
      </c>
      <c r="I71" s="11" t="s">
        <v>12</v>
      </c>
      <c r="J71" s="12"/>
    </row>
    <row r="72" spans="1:10" ht="60" customHeight="1">
      <c r="A72" s="6" t="s">
        <v>292</v>
      </c>
      <c r="B72" s="6" t="s">
        <v>10</v>
      </c>
      <c r="C72" s="6" t="s">
        <v>12</v>
      </c>
      <c r="D72" s="7" t="s">
        <v>202</v>
      </c>
      <c r="E72" s="8" t="s">
        <v>202</v>
      </c>
      <c r="F72" s="6" t="s">
        <v>293</v>
      </c>
      <c r="G72" s="9">
        <f>IF(A72=1,"_",IF(C72="_","???",C72))</f>
        <v/>
      </c>
      <c r="H72" s="10" t="s">
        <v>12</v>
      </c>
      <c r="I72" s="11" t="s">
        <v>12</v>
      </c>
      <c r="J72" s="12"/>
    </row>
    <row r="73" spans="1:10" ht="60" customHeight="1">
      <c r="A73" s="6" t="s">
        <v>294</v>
      </c>
      <c r="B73" s="6" t="s">
        <v>19</v>
      </c>
      <c r="C73" s="6" t="s">
        <v>87</v>
      </c>
      <c r="D73" s="7" t="s">
        <v>295</v>
      </c>
      <c r="E73" s="8" t="s">
        <v>296</v>
      </c>
      <c r="F73" s="6" t="s">
        <v>297</v>
      </c>
      <c r="G73" s="9">
        <f>IF(A73=1,"_",IF(C73="_","???",C73))</f>
        <v/>
      </c>
      <c r="H73" s="10" t="s">
        <v>12</v>
      </c>
      <c r="I73" s="11" t="s">
        <v>12</v>
      </c>
      <c r="J73" s="12"/>
    </row>
    <row r="74" spans="1:10" ht="60" customHeight="1">
      <c r="A74" s="6" t="s">
        <v>298</v>
      </c>
      <c r="B74" s="6" t="s">
        <v>11</v>
      </c>
      <c r="C74" s="6" t="s">
        <v>12</v>
      </c>
      <c r="D74" s="7" t="s">
        <v>289</v>
      </c>
      <c r="E74" s="8" t="s">
        <v>299</v>
      </c>
      <c r="F74" s="6" t="s">
        <v>300</v>
      </c>
      <c r="G74" s="9">
        <f>IF(A74=1,"_",IF(C74="_","???",C74))</f>
        <v/>
      </c>
      <c r="H74" s="10" t="s">
        <v>12</v>
      </c>
      <c r="I74" s="11" t="s">
        <v>12</v>
      </c>
      <c r="J74" s="12"/>
    </row>
    <row r="75" spans="1:10" ht="60" customHeight="1">
      <c r="A75" s="6" t="s">
        <v>301</v>
      </c>
      <c r="B75" s="6" t="s">
        <v>29</v>
      </c>
      <c r="C75" s="6" t="s">
        <v>195</v>
      </c>
      <c r="D75" s="7" t="s">
        <v>26</v>
      </c>
      <c r="E75" s="8" t="s">
        <v>302</v>
      </c>
      <c r="F75" s="6" t="s">
        <v>303</v>
      </c>
      <c r="G75" s="9">
        <f>IF(A75=1,"_",IF(C75="_","???",C75))</f>
        <v/>
      </c>
      <c r="H75" s="10" t="s">
        <v>12</v>
      </c>
      <c r="I75" s="11" t="s">
        <v>12</v>
      </c>
      <c r="J75" s="12"/>
    </row>
    <row r="76" spans="1:10" ht="60" customHeight="1">
      <c r="A76" s="6" t="s">
        <v>304</v>
      </c>
      <c r="B76" s="6" t="s">
        <v>11</v>
      </c>
      <c r="C76" s="6" t="s">
        <v>12</v>
      </c>
      <c r="D76" s="7" t="s">
        <v>289</v>
      </c>
      <c r="E76" s="8" t="s">
        <v>305</v>
      </c>
      <c r="F76" s="6" t="s">
        <v>306</v>
      </c>
      <c r="G76" s="9">
        <f>IF(A76=1,"_",IF(C76="_","???",C76))</f>
        <v/>
      </c>
      <c r="H76" s="10" t="s">
        <v>12</v>
      </c>
      <c r="I76" s="11" t="s">
        <v>12</v>
      </c>
      <c r="J76" s="12"/>
    </row>
    <row r="77" spans="1:10" ht="60" customHeight="1">
      <c r="A77" s="6" t="s">
        <v>307</v>
      </c>
      <c r="B77" s="6" t="s">
        <v>67</v>
      </c>
      <c r="C77" s="6" t="s">
        <v>254</v>
      </c>
      <c r="D77" s="7" t="s">
        <v>21</v>
      </c>
      <c r="E77" s="8" t="s">
        <v>308</v>
      </c>
      <c r="F77" s="6" t="s">
        <v>309</v>
      </c>
      <c r="G77" s="9">
        <f>IF(A77=1,"_",IF(C77="_","???",C77))</f>
        <v/>
      </c>
      <c r="H77" s="10" t="s">
        <v>12</v>
      </c>
      <c r="I77" s="11" t="s">
        <v>12</v>
      </c>
      <c r="J77" s="12"/>
    </row>
    <row r="78" spans="1:10" ht="60" customHeight="1">
      <c r="A78" s="6" t="s">
        <v>310</v>
      </c>
      <c r="B78" s="6" t="s">
        <v>11</v>
      </c>
      <c r="C78" s="6" t="s">
        <v>12</v>
      </c>
      <c r="D78" s="7" t="s">
        <v>311</v>
      </c>
      <c r="E78" s="8" t="s">
        <v>312</v>
      </c>
      <c r="F78" s="6" t="s">
        <v>313</v>
      </c>
      <c r="G78" s="9">
        <f>IF(A78=1,"_",IF(C78="_","???",C78))</f>
        <v/>
      </c>
      <c r="H78" s="10" t="s">
        <v>12</v>
      </c>
      <c r="I78" s="11" t="s">
        <v>12</v>
      </c>
      <c r="J78" s="12"/>
    </row>
    <row r="79" spans="1:10" ht="60" customHeight="1">
      <c r="A79" s="6" t="s">
        <v>314</v>
      </c>
      <c r="B79" s="6" t="s">
        <v>10</v>
      </c>
      <c r="C79" s="6" t="s">
        <v>315</v>
      </c>
      <c r="D79" s="7" t="s">
        <v>316</v>
      </c>
      <c r="E79" s="8" t="s">
        <v>317</v>
      </c>
      <c r="F79" s="6" t="s">
        <v>318</v>
      </c>
      <c r="G79" s="9">
        <f>IF(A79=1,"_",IF(C79="_","???",C79))</f>
        <v/>
      </c>
      <c r="H79" s="10" t="s">
        <v>12</v>
      </c>
      <c r="I79" s="11" t="s">
        <v>12</v>
      </c>
      <c r="J79" s="12"/>
    </row>
    <row r="80" spans="1:10" ht="60" customHeight="1">
      <c r="A80" s="6" t="s">
        <v>319</v>
      </c>
      <c r="B80" s="6" t="s">
        <v>19</v>
      </c>
      <c r="C80" s="6" t="s">
        <v>12</v>
      </c>
      <c r="D80" s="7" t="s">
        <v>281</v>
      </c>
      <c r="E80" s="8" t="s">
        <v>320</v>
      </c>
      <c r="F80" s="6" t="s">
        <v>321</v>
      </c>
      <c r="G80" s="9">
        <f>IF(A80=1,"_",IF(C80="_","???",C80))</f>
        <v/>
      </c>
      <c r="H80" s="10" t="s">
        <v>12</v>
      </c>
      <c r="I80" s="11" t="s">
        <v>12</v>
      </c>
      <c r="J80" s="12"/>
    </row>
    <row r="81" spans="1:10" ht="60" customHeight="1">
      <c r="A81" s="6" t="s">
        <v>322</v>
      </c>
      <c r="B81" s="6" t="s">
        <v>19</v>
      </c>
      <c r="C81" s="6" t="s">
        <v>12</v>
      </c>
      <c r="D81" s="7" t="s">
        <v>323</v>
      </c>
      <c r="E81" s="8" t="s">
        <v>324</v>
      </c>
      <c r="F81" s="6" t="s">
        <v>325</v>
      </c>
      <c r="G81" s="9">
        <f>IF(A81=1,"_",IF(C81="_","???",C81))</f>
        <v/>
      </c>
      <c r="H81" s="10" t="s">
        <v>12</v>
      </c>
      <c r="I81" s="11" t="s">
        <v>12</v>
      </c>
      <c r="J81" s="12"/>
    </row>
    <row r="82" spans="1:10" ht="60" customHeight="1">
      <c r="A82" s="6" t="s">
        <v>326</v>
      </c>
      <c r="B82" s="6" t="s">
        <v>10</v>
      </c>
      <c r="C82" s="6" t="s">
        <v>12</v>
      </c>
      <c r="D82" s="7" t="s">
        <v>327</v>
      </c>
      <c r="E82" s="8" t="s">
        <v>327</v>
      </c>
      <c r="F82" s="6" t="s">
        <v>328</v>
      </c>
      <c r="G82" s="9">
        <f>IF(A82=1,"_",IF(C82="_","???",C82))</f>
        <v/>
      </c>
      <c r="H82" s="10" t="s">
        <v>12</v>
      </c>
      <c r="I82" s="11" t="s">
        <v>12</v>
      </c>
      <c r="J82" s="12"/>
    </row>
    <row r="83" spans="1:10" ht="60" customHeight="1">
      <c r="A83" s="6" t="s">
        <v>329</v>
      </c>
      <c r="B83" s="6" t="s">
        <v>11</v>
      </c>
      <c r="C83" s="6" t="s">
        <v>242</v>
      </c>
      <c r="D83" s="7" t="s">
        <v>330</v>
      </c>
      <c r="E83" s="8" t="s">
        <v>331</v>
      </c>
      <c r="F83" s="6" t="s">
        <v>332</v>
      </c>
      <c r="G83" s="9">
        <f>IF(A83=1,"_",IF(C83="_","???",C83))</f>
        <v/>
      </c>
      <c r="H83" s="10" t="s">
        <v>12</v>
      </c>
      <c r="I83" s="11" t="s">
        <v>12</v>
      </c>
      <c r="J83" s="12"/>
    </row>
    <row r="84" spans="1:10" ht="60" customHeight="1">
      <c r="A84" s="6" t="s">
        <v>333</v>
      </c>
      <c r="B84" s="6" t="s">
        <v>29</v>
      </c>
      <c r="C84" s="6" t="s">
        <v>12</v>
      </c>
      <c r="D84" s="7" t="s">
        <v>334</v>
      </c>
      <c r="E84" s="8" t="s">
        <v>335</v>
      </c>
      <c r="F84" s="6" t="s">
        <v>336</v>
      </c>
      <c r="G84" s="9">
        <f>IF(A84=1,"_",IF(C84="_","???",C84))</f>
        <v/>
      </c>
      <c r="H84" s="10" t="s">
        <v>12</v>
      </c>
      <c r="I84" s="11" t="s">
        <v>12</v>
      </c>
      <c r="J84" s="12"/>
    </row>
    <row r="85" spans="1:10" ht="60" customHeight="1">
      <c r="A85" s="6" t="s">
        <v>337</v>
      </c>
      <c r="B85" s="6" t="s">
        <v>11</v>
      </c>
      <c r="C85" s="6" t="s">
        <v>12</v>
      </c>
      <c r="D85" s="7" t="s">
        <v>338</v>
      </c>
      <c r="E85" s="8" t="s">
        <v>339</v>
      </c>
      <c r="F85" s="6" t="s">
        <v>340</v>
      </c>
      <c r="G85" s="9">
        <f>IF(A85=1,"_",IF(C85="_","???",C85))</f>
        <v/>
      </c>
      <c r="H85" s="10" t="s">
        <v>12</v>
      </c>
      <c r="I85" s="11" t="s">
        <v>12</v>
      </c>
      <c r="J85" s="12"/>
    </row>
    <row r="86" spans="1:10" ht="60" customHeight="1">
      <c r="A86" s="6" t="s">
        <v>341</v>
      </c>
      <c r="B86" s="6" t="s">
        <v>10</v>
      </c>
      <c r="C86" s="6" t="s">
        <v>54</v>
      </c>
      <c r="D86" s="7" t="s">
        <v>115</v>
      </c>
      <c r="E86" s="8" t="s">
        <v>342</v>
      </c>
      <c r="F86" s="6" t="s">
        <v>343</v>
      </c>
      <c r="G86" s="9">
        <f>IF(A86=1,"_",IF(C86="_","???",C86))</f>
        <v/>
      </c>
      <c r="H86" s="10" t="s">
        <v>12</v>
      </c>
      <c r="I86" s="11" t="s">
        <v>12</v>
      </c>
      <c r="J86" s="12"/>
    </row>
    <row r="87" spans="1:10" ht="60" customHeight="1">
      <c r="A87" s="6" t="s">
        <v>344</v>
      </c>
      <c r="B87" s="6" t="s">
        <v>11</v>
      </c>
      <c r="C87" s="6" t="s">
        <v>12</v>
      </c>
      <c r="D87" s="7" t="s">
        <v>37</v>
      </c>
      <c r="E87" s="8" t="s">
        <v>345</v>
      </c>
      <c r="F87" s="6" t="s">
        <v>346</v>
      </c>
      <c r="G87" s="9">
        <f>IF(A87=1,"_",IF(C87="_","???",C87))</f>
        <v/>
      </c>
      <c r="H87" s="10" t="s">
        <v>12</v>
      </c>
      <c r="I87" s="11" t="s">
        <v>12</v>
      </c>
      <c r="J87" s="12"/>
    </row>
    <row r="88" spans="1:10" ht="60" customHeight="1">
      <c r="A88" s="6" t="s">
        <v>347</v>
      </c>
      <c r="B88" s="6" t="s">
        <v>10</v>
      </c>
      <c r="C88" s="6" t="s">
        <v>348</v>
      </c>
      <c r="D88" s="7" t="s">
        <v>349</v>
      </c>
      <c r="E88" s="8" t="s">
        <v>350</v>
      </c>
      <c r="F88" s="6" t="s">
        <v>351</v>
      </c>
      <c r="G88" s="9">
        <f>IF(A88=1,"_",IF(C88="_","???",C88))</f>
        <v/>
      </c>
      <c r="H88" s="10" t="s">
        <v>12</v>
      </c>
      <c r="I88" s="11" t="s">
        <v>12</v>
      </c>
      <c r="J88" s="12"/>
    </row>
    <row r="89" spans="1:10" ht="60" customHeight="1">
      <c r="A89" s="6" t="s">
        <v>352</v>
      </c>
      <c r="B89" s="6" t="s">
        <v>19</v>
      </c>
      <c r="C89" s="6" t="s">
        <v>12</v>
      </c>
      <c r="D89" s="7" t="s">
        <v>353</v>
      </c>
      <c r="E89" s="8" t="s">
        <v>354</v>
      </c>
      <c r="F89" s="6" t="s">
        <v>355</v>
      </c>
      <c r="G89" s="9">
        <f>IF(A89=1,"_",IF(C89="_","???",C89))</f>
        <v/>
      </c>
      <c r="H89" s="10" t="s">
        <v>12</v>
      </c>
      <c r="I89" s="11" t="s">
        <v>12</v>
      </c>
      <c r="J89" s="12"/>
    </row>
    <row r="90" spans="1:10" ht="60" customHeight="1">
      <c r="A90" s="6" t="s">
        <v>356</v>
      </c>
      <c r="B90" s="6" t="s">
        <v>35</v>
      </c>
      <c r="C90" s="6" t="s">
        <v>12</v>
      </c>
      <c r="D90" s="7" t="s">
        <v>26</v>
      </c>
      <c r="E90" s="8" t="s">
        <v>357</v>
      </c>
      <c r="F90" s="6" t="s">
        <v>358</v>
      </c>
      <c r="G90" s="9">
        <f>IF(A90=1,"_",IF(C90="_","???",C90))</f>
        <v/>
      </c>
      <c r="H90" s="10" t="s">
        <v>12</v>
      </c>
      <c r="I90" s="11" t="s">
        <v>12</v>
      </c>
      <c r="J90" s="12"/>
    </row>
    <row r="91" spans="1:10" ht="60" customHeight="1">
      <c r="A91" s="6" t="s">
        <v>359</v>
      </c>
      <c r="B91" s="6" t="s">
        <v>19</v>
      </c>
      <c r="C91" s="6" t="s">
        <v>12</v>
      </c>
      <c r="D91" s="7" t="s">
        <v>360</v>
      </c>
      <c r="E91" s="8" t="s">
        <v>361</v>
      </c>
      <c r="F91" s="6" t="s">
        <v>362</v>
      </c>
      <c r="G91" s="9">
        <f>IF(A91=1,"_",IF(C91="_","???",C91))</f>
        <v/>
      </c>
      <c r="H91" s="10" t="s">
        <v>12</v>
      </c>
      <c r="I91" s="11" t="s">
        <v>12</v>
      </c>
      <c r="J91" s="12"/>
    </row>
    <row r="92" spans="1:10" ht="60" customHeight="1">
      <c r="A92" s="6" t="s">
        <v>363</v>
      </c>
      <c r="B92" s="6" t="s">
        <v>67</v>
      </c>
      <c r="C92" s="6" t="s">
        <v>234</v>
      </c>
      <c r="D92" s="7" t="s">
        <v>360</v>
      </c>
      <c r="E92" s="8" t="s">
        <v>364</v>
      </c>
      <c r="F92" s="6" t="s">
        <v>365</v>
      </c>
      <c r="G92" s="9">
        <f>IF(A92=1,"_",IF(C92="_","???",C92))</f>
        <v/>
      </c>
      <c r="H92" s="10" t="s">
        <v>12</v>
      </c>
      <c r="I92" s="11" t="s">
        <v>12</v>
      </c>
      <c r="J92" s="12"/>
    </row>
    <row r="93" spans="1:10" ht="60" customHeight="1">
      <c r="A93" s="6" t="s">
        <v>366</v>
      </c>
      <c r="B93" s="6" t="s">
        <v>10</v>
      </c>
      <c r="C93" s="6" t="s">
        <v>348</v>
      </c>
      <c r="D93" s="7" t="s">
        <v>26</v>
      </c>
      <c r="E93" s="8" t="s">
        <v>367</v>
      </c>
      <c r="F93" s="6" t="s">
        <v>368</v>
      </c>
      <c r="G93" s="9">
        <f>IF(A93=1,"_",IF(C93="_","???",C93))</f>
        <v/>
      </c>
      <c r="H93" s="10" t="s">
        <v>12</v>
      </c>
      <c r="I93" s="11" t="s">
        <v>12</v>
      </c>
      <c r="J93" s="12"/>
    </row>
    <row r="94" spans="1:10" ht="60" customHeight="1">
      <c r="A94" s="6" t="s">
        <v>369</v>
      </c>
      <c r="B94" s="6" t="s">
        <v>34</v>
      </c>
      <c r="C94" s="6" t="s">
        <v>87</v>
      </c>
      <c r="D94" s="7" t="s">
        <v>370</v>
      </c>
      <c r="E94" s="8" t="s">
        <v>371</v>
      </c>
      <c r="F94" s="6" t="s">
        <v>372</v>
      </c>
      <c r="G94" s="9">
        <f>IF(A94=1,"_",IF(C94="_","???",C94))</f>
        <v/>
      </c>
      <c r="H94" s="10" t="s">
        <v>12</v>
      </c>
      <c r="I94" s="11" t="s">
        <v>12</v>
      </c>
      <c r="J94" s="12"/>
    </row>
    <row r="95" spans="1:10" ht="60" customHeight="1">
      <c r="A95" s="6" t="s">
        <v>373</v>
      </c>
      <c r="B95" s="6" t="s">
        <v>29</v>
      </c>
      <c r="C95" s="6" t="s">
        <v>60</v>
      </c>
      <c r="D95" s="7" t="s">
        <v>374</v>
      </c>
      <c r="E95" s="8" t="s">
        <v>375</v>
      </c>
      <c r="F95" s="6" t="s">
        <v>376</v>
      </c>
      <c r="G95" s="9">
        <f>IF(A95=1,"_",IF(C95="_","???",C95))</f>
        <v/>
      </c>
      <c r="H95" s="10" t="s">
        <v>12</v>
      </c>
      <c r="I95" s="11" t="s">
        <v>12</v>
      </c>
      <c r="J95" s="12"/>
    </row>
    <row r="96" spans="1:10" ht="60" customHeight="1">
      <c r="A96" s="6" t="s">
        <v>377</v>
      </c>
      <c r="B96" s="6" t="s">
        <v>11</v>
      </c>
      <c r="C96" s="6" t="s">
        <v>12</v>
      </c>
      <c r="D96" s="7" t="s">
        <v>378</v>
      </c>
      <c r="E96" s="8" t="s">
        <v>379</v>
      </c>
      <c r="F96" s="6" t="s">
        <v>380</v>
      </c>
      <c r="G96" s="9">
        <f>IF(A96=1,"_",IF(C96="_","???",C96))</f>
        <v/>
      </c>
      <c r="H96" s="10" t="s">
        <v>12</v>
      </c>
      <c r="I96" s="11" t="s">
        <v>12</v>
      </c>
      <c r="J96" s="12"/>
    </row>
    <row r="97" spans="1:10" ht="60" customHeight="1">
      <c r="A97" s="6" t="s">
        <v>381</v>
      </c>
      <c r="B97" s="6" t="s">
        <v>10</v>
      </c>
      <c r="C97" s="6" t="s">
        <v>12</v>
      </c>
      <c r="D97" s="7" t="s">
        <v>382</v>
      </c>
      <c r="E97" s="8" t="s">
        <v>383</v>
      </c>
      <c r="F97" s="6" t="s">
        <v>384</v>
      </c>
      <c r="G97" s="9">
        <f>IF(A97=1,"_",IF(C97="_","???",C97))</f>
        <v/>
      </c>
      <c r="H97" s="10" t="s">
        <v>12</v>
      </c>
      <c r="I97" s="11" t="s">
        <v>12</v>
      </c>
      <c r="J97" s="12"/>
    </row>
    <row r="98" spans="1:10" ht="60" customHeight="1">
      <c r="A98" s="6" t="s">
        <v>385</v>
      </c>
      <c r="B98" s="6" t="s">
        <v>41</v>
      </c>
      <c r="C98" s="6" t="s">
        <v>54</v>
      </c>
      <c r="D98" s="7" t="s">
        <v>386</v>
      </c>
      <c r="E98" s="8" t="s">
        <v>387</v>
      </c>
      <c r="F98" s="6" t="s">
        <v>388</v>
      </c>
      <c r="G98" s="9">
        <f>IF(A98=1,"_",IF(C98="_","???",C98))</f>
        <v/>
      </c>
      <c r="H98" s="10" t="s">
        <v>12</v>
      </c>
      <c r="I98" s="11" t="s">
        <v>12</v>
      </c>
      <c r="J98" s="12"/>
    </row>
    <row r="99" spans="1:10" ht="60" customHeight="1">
      <c r="A99" s="6" t="s">
        <v>389</v>
      </c>
      <c r="B99" s="6" t="s">
        <v>30</v>
      </c>
      <c r="C99" s="6" t="s">
        <v>68</v>
      </c>
      <c r="D99" s="7" t="s">
        <v>390</v>
      </c>
      <c r="E99" s="8" t="s">
        <v>391</v>
      </c>
      <c r="F99" s="6" t="s">
        <v>392</v>
      </c>
      <c r="G99" s="9">
        <f>IF(A99=1,"_",IF(C99="_","???",C99))</f>
        <v/>
      </c>
      <c r="H99" s="10" t="s">
        <v>12</v>
      </c>
      <c r="I99" s="11" t="s">
        <v>12</v>
      </c>
      <c r="J99" s="12"/>
    </row>
    <row r="100" spans="1:10" ht="60" customHeight="1">
      <c r="A100" s="6" t="s">
        <v>393</v>
      </c>
      <c r="B100" s="6" t="s">
        <v>11</v>
      </c>
      <c r="C100" s="6" t="s">
        <v>12</v>
      </c>
      <c r="D100" s="7" t="s">
        <v>360</v>
      </c>
      <c r="E100" s="8" t="s">
        <v>394</v>
      </c>
      <c r="F100" s="6" t="s">
        <v>395</v>
      </c>
      <c r="G100" s="9">
        <f>IF(A100=1,"_",IF(C100="_","???",C100))</f>
        <v/>
      </c>
      <c r="H100" s="10" t="s">
        <v>12</v>
      </c>
      <c r="I100" s="11" t="s">
        <v>12</v>
      </c>
      <c r="J100" s="12"/>
    </row>
    <row r="101" spans="1:10" ht="60" customHeight="1">
      <c r="A101" s="6" t="s">
        <v>396</v>
      </c>
      <c r="B101" s="6" t="s">
        <v>11</v>
      </c>
      <c r="C101" s="6" t="s">
        <v>12</v>
      </c>
      <c r="D101" s="7" t="s">
        <v>397</v>
      </c>
      <c r="E101" s="8" t="s">
        <v>398</v>
      </c>
      <c r="F101" s="6" t="s">
        <v>399</v>
      </c>
      <c r="G101" s="9">
        <f>IF(A101=1,"_",IF(C101="_","???",C101))</f>
        <v/>
      </c>
      <c r="H101" s="10" t="s">
        <v>12</v>
      </c>
      <c r="I101" s="11" t="s">
        <v>12</v>
      </c>
      <c r="J101" s="12"/>
    </row>
    <row r="102" spans="1:10" ht="60" customHeight="1">
      <c r="A102" s="6" t="s">
        <v>400</v>
      </c>
      <c r="B102" s="6" t="s">
        <v>11</v>
      </c>
      <c r="C102" s="6" t="s">
        <v>12</v>
      </c>
      <c r="D102" s="7" t="s">
        <v>401</v>
      </c>
      <c r="E102" s="8" t="s">
        <v>402</v>
      </c>
      <c r="F102" s="6" t="s">
        <v>403</v>
      </c>
      <c r="G102" s="9">
        <f>IF(A102=1,"_",IF(C102="_","???",C102))</f>
        <v/>
      </c>
      <c r="H102" s="10" t="s">
        <v>12</v>
      </c>
      <c r="I102" s="11" t="s">
        <v>12</v>
      </c>
      <c r="J102" s="12"/>
    </row>
    <row r="103" spans="1:10" ht="60" customHeight="1">
      <c r="A103" s="6" t="s">
        <v>404</v>
      </c>
      <c r="B103" s="6" t="s">
        <v>10</v>
      </c>
      <c r="C103" s="6" t="s">
        <v>12</v>
      </c>
      <c r="D103" s="7" t="s">
        <v>202</v>
      </c>
      <c r="E103" s="8" t="s">
        <v>202</v>
      </c>
      <c r="F103" s="6" t="s">
        <v>405</v>
      </c>
      <c r="G103" s="9">
        <f>IF(A103=1,"_",IF(C103="_","???",C103))</f>
        <v/>
      </c>
      <c r="H103" s="10" t="s">
        <v>12</v>
      </c>
      <c r="I103" s="11" t="s">
        <v>12</v>
      </c>
      <c r="J103" s="12"/>
    </row>
    <row r="104" spans="1:10" ht="60" customHeight="1">
      <c r="A104" s="6" t="s">
        <v>406</v>
      </c>
      <c r="B104" s="6" t="s">
        <v>11</v>
      </c>
      <c r="C104" s="6" t="s">
        <v>12</v>
      </c>
      <c r="D104" s="7" t="s">
        <v>407</v>
      </c>
      <c r="E104" s="8" t="s">
        <v>408</v>
      </c>
      <c r="F104" s="6" t="s">
        <v>409</v>
      </c>
      <c r="G104" s="9">
        <f>IF(A104=1,"_",IF(C104="_","???",C104))</f>
        <v/>
      </c>
      <c r="H104" s="10" t="s">
        <v>12</v>
      </c>
      <c r="I104" s="11" t="s">
        <v>12</v>
      </c>
      <c r="J104" s="12"/>
    </row>
    <row r="105" spans="1:10" ht="60" customHeight="1">
      <c r="A105" s="6" t="s">
        <v>410</v>
      </c>
      <c r="B105" s="6" t="s">
        <v>29</v>
      </c>
      <c r="C105" s="6" t="s">
        <v>87</v>
      </c>
      <c r="D105" s="7" t="s">
        <v>26</v>
      </c>
      <c r="E105" s="8" t="s">
        <v>411</v>
      </c>
      <c r="F105" s="6" t="s">
        <v>412</v>
      </c>
      <c r="G105" s="9">
        <f>IF(A105=1,"_",IF(C105="_","???",C105))</f>
        <v/>
      </c>
      <c r="H105" s="10" t="s">
        <v>12</v>
      </c>
      <c r="I105" s="11" t="s">
        <v>12</v>
      </c>
      <c r="J105" s="12"/>
    </row>
    <row r="106" spans="1:10" ht="60" customHeight="1">
      <c r="A106" s="6" t="s">
        <v>413</v>
      </c>
      <c r="B106" s="6" t="s">
        <v>40</v>
      </c>
      <c r="C106" s="6" t="s">
        <v>60</v>
      </c>
      <c r="D106" s="7" t="s">
        <v>214</v>
      </c>
      <c r="E106" s="8" t="s">
        <v>414</v>
      </c>
      <c r="F106" s="6" t="s">
        <v>415</v>
      </c>
      <c r="G106" s="9">
        <f>IF(A106=1,"_",IF(C106="_","???",C106))</f>
        <v/>
      </c>
      <c r="H106" s="10" t="s">
        <v>12</v>
      </c>
      <c r="I106" s="11" t="s">
        <v>12</v>
      </c>
      <c r="J106" s="12"/>
    </row>
    <row r="107" spans="1:10" ht="60" customHeight="1">
      <c r="A107" s="6" t="s">
        <v>416</v>
      </c>
      <c r="B107" s="6" t="s">
        <v>34</v>
      </c>
      <c r="C107" s="6" t="s">
        <v>12</v>
      </c>
      <c r="D107" s="7" t="s">
        <v>417</v>
      </c>
      <c r="E107" s="8" t="s">
        <v>418</v>
      </c>
      <c r="F107" s="6" t="s">
        <v>419</v>
      </c>
      <c r="G107" s="9">
        <f>IF(A107=1,"_",IF(C107="_","???",C107))</f>
        <v/>
      </c>
      <c r="H107" s="10" t="s">
        <v>12</v>
      </c>
      <c r="I107" s="11" t="s">
        <v>12</v>
      </c>
      <c r="J107" s="12"/>
    </row>
    <row r="108" spans="1:10" ht="60" customHeight="1">
      <c r="A108" s="6" t="s">
        <v>420</v>
      </c>
      <c r="B108" s="6" t="s">
        <v>19</v>
      </c>
      <c r="C108" s="6" t="s">
        <v>421</v>
      </c>
      <c r="D108" s="7" t="s">
        <v>422</v>
      </c>
      <c r="E108" s="8" t="s">
        <v>423</v>
      </c>
      <c r="F108" s="6" t="s">
        <v>424</v>
      </c>
      <c r="G108" s="9">
        <f>IF(A108=1,"_",IF(C108="_","???",C108))</f>
        <v/>
      </c>
      <c r="H108" s="10" t="s">
        <v>12</v>
      </c>
      <c r="I108" s="11" t="s">
        <v>12</v>
      </c>
      <c r="J108" s="12"/>
    </row>
    <row r="109" spans="1:10" ht="60" customHeight="1">
      <c r="A109" s="6" t="s">
        <v>425</v>
      </c>
      <c r="B109" s="6" t="s">
        <v>19</v>
      </c>
      <c r="C109" s="6" t="s">
        <v>12</v>
      </c>
      <c r="D109" s="7" t="s">
        <v>426</v>
      </c>
      <c r="E109" s="8" t="s">
        <v>427</v>
      </c>
      <c r="F109" s="6" t="s">
        <v>428</v>
      </c>
      <c r="G109" s="9">
        <f>IF(A109=1,"_",IF(C109="_","???",C109))</f>
        <v/>
      </c>
      <c r="H109" s="10" t="s">
        <v>12</v>
      </c>
      <c r="I109" s="11" t="s">
        <v>12</v>
      </c>
      <c r="J109" s="12"/>
    </row>
    <row r="110" spans="1:10" ht="60" customHeight="1">
      <c r="A110" s="6" t="s">
        <v>429</v>
      </c>
      <c r="B110" s="6" t="s">
        <v>19</v>
      </c>
      <c r="C110" s="6" t="s">
        <v>54</v>
      </c>
      <c r="D110" s="7" t="s">
        <v>230</v>
      </c>
      <c r="E110" s="8" t="s">
        <v>430</v>
      </c>
      <c r="F110" s="6" t="s">
        <v>431</v>
      </c>
      <c r="G110" s="9">
        <f>IF(A110=1,"_",IF(C110="_","???",C110))</f>
        <v/>
      </c>
      <c r="H110" s="10" t="s">
        <v>12</v>
      </c>
      <c r="I110" s="11" t="s">
        <v>12</v>
      </c>
      <c r="J110" s="12"/>
    </row>
    <row r="111" spans="1:10" ht="60" customHeight="1">
      <c r="A111" s="6" t="s">
        <v>432</v>
      </c>
      <c r="B111" s="6" t="s">
        <v>11</v>
      </c>
      <c r="C111" s="6" t="s">
        <v>12</v>
      </c>
      <c r="D111" s="7" t="s">
        <v>21</v>
      </c>
      <c r="E111" s="8" t="s">
        <v>433</v>
      </c>
      <c r="F111" s="6" t="s">
        <v>434</v>
      </c>
      <c r="G111" s="9">
        <f>IF(A111=1,"_",IF(C111="_","???",C111))</f>
        <v/>
      </c>
      <c r="H111" s="10" t="s">
        <v>12</v>
      </c>
      <c r="I111" s="11" t="s">
        <v>12</v>
      </c>
      <c r="J111" s="12"/>
    </row>
    <row r="112" spans="1:10" ht="60" customHeight="1">
      <c r="A112" s="6" t="s">
        <v>435</v>
      </c>
      <c r="B112" s="6" t="s">
        <v>19</v>
      </c>
      <c r="C112" s="6" t="s">
        <v>12</v>
      </c>
      <c r="D112" s="7" t="s">
        <v>436</v>
      </c>
      <c r="E112" s="8" t="s">
        <v>437</v>
      </c>
      <c r="F112" s="6" t="s">
        <v>438</v>
      </c>
      <c r="G112" s="9">
        <f>IF(A112=1,"_",IF(C112="_","???",C112))</f>
        <v/>
      </c>
      <c r="H112" s="10" t="s">
        <v>12</v>
      </c>
      <c r="I112" s="11" t="s">
        <v>12</v>
      </c>
      <c r="J112" s="12"/>
    </row>
    <row r="113" spans="1:10" ht="60" customHeight="1">
      <c r="A113" s="6" t="s">
        <v>439</v>
      </c>
      <c r="B113" s="6" t="s">
        <v>10</v>
      </c>
      <c r="C113" s="6" t="s">
        <v>12</v>
      </c>
      <c r="D113" s="7" t="s">
        <v>115</v>
      </c>
      <c r="E113" s="8" t="s">
        <v>116</v>
      </c>
      <c r="F113" s="6" t="s">
        <v>440</v>
      </c>
      <c r="G113" s="9">
        <f>IF(A113=1,"_",IF(C113="_","???",C113))</f>
        <v/>
      </c>
      <c r="H113" s="10" t="s">
        <v>12</v>
      </c>
      <c r="I113" s="11" t="s">
        <v>12</v>
      </c>
      <c r="J113" s="12"/>
    </row>
    <row r="114" spans="1:10" ht="60" customHeight="1">
      <c r="A114" s="6" t="s">
        <v>441</v>
      </c>
      <c r="B114" s="6" t="s">
        <v>10</v>
      </c>
      <c r="C114" s="6" t="s">
        <v>221</v>
      </c>
      <c r="D114" s="7" t="s">
        <v>442</v>
      </c>
      <c r="E114" s="8" t="s">
        <v>443</v>
      </c>
      <c r="F114" s="6" t="s">
        <v>444</v>
      </c>
      <c r="G114" s="9">
        <f>IF(A114=1,"_",IF(C114="_","???",C114))</f>
        <v/>
      </c>
      <c r="H114" s="10" t="s">
        <v>12</v>
      </c>
      <c r="I114" s="11" t="s">
        <v>12</v>
      </c>
      <c r="J114" s="12"/>
    </row>
    <row r="115" spans="1:10" ht="60" customHeight="1">
      <c r="A115" s="6" t="s">
        <v>445</v>
      </c>
      <c r="B115" s="6" t="s">
        <v>24</v>
      </c>
      <c r="C115" s="6" t="s">
        <v>12</v>
      </c>
      <c r="D115" s="7" t="s">
        <v>446</v>
      </c>
      <c r="E115" s="8" t="s">
        <v>447</v>
      </c>
      <c r="F115" s="6" t="s">
        <v>448</v>
      </c>
      <c r="G115" s="9">
        <f>IF(A115=1,"_",IF(C115="_","???",C115))</f>
        <v/>
      </c>
      <c r="H115" s="10" t="s">
        <v>12</v>
      </c>
      <c r="I115" s="11" t="s">
        <v>12</v>
      </c>
      <c r="J115" s="12"/>
    </row>
    <row r="116" spans="1:10" ht="60" customHeight="1">
      <c r="A116" s="6" t="s">
        <v>449</v>
      </c>
      <c r="B116" s="6" t="s">
        <v>24</v>
      </c>
      <c r="C116" s="6" t="s">
        <v>12</v>
      </c>
      <c r="D116" s="7" t="s">
        <v>46</v>
      </c>
      <c r="E116" s="8" t="s">
        <v>450</v>
      </c>
      <c r="F116" s="6" t="s">
        <v>451</v>
      </c>
      <c r="G116" s="9">
        <f>IF(A116=1,"_",IF(C116="_","???",C116))</f>
        <v/>
      </c>
      <c r="H116" s="10" t="s">
        <v>12</v>
      </c>
      <c r="I116" s="11" t="s">
        <v>12</v>
      </c>
      <c r="J116" s="12"/>
    </row>
    <row r="117" spans="1:10" ht="60" customHeight="1">
      <c r="A117" s="6" t="s">
        <v>452</v>
      </c>
      <c r="B117" s="6" t="s">
        <v>30</v>
      </c>
      <c r="C117" s="6" t="s">
        <v>12</v>
      </c>
      <c r="D117" s="7" t="s">
        <v>453</v>
      </c>
      <c r="E117" s="8" t="s">
        <v>454</v>
      </c>
      <c r="F117" s="6" t="s">
        <v>455</v>
      </c>
      <c r="G117" s="9">
        <f>IF(A117=1,"_",IF(C117="_","???",C117))</f>
        <v/>
      </c>
      <c r="H117" s="10" t="s">
        <v>12</v>
      </c>
      <c r="I117" s="11" t="s">
        <v>12</v>
      </c>
      <c r="J117" s="12"/>
    </row>
    <row r="118" spans="1:10" ht="60" customHeight="1">
      <c r="A118" s="6" t="s">
        <v>456</v>
      </c>
      <c r="B118" s="6" t="s">
        <v>24</v>
      </c>
      <c r="C118" s="6" t="s">
        <v>12</v>
      </c>
      <c r="D118" s="7" t="s">
        <v>457</v>
      </c>
      <c r="E118" s="8" t="s">
        <v>458</v>
      </c>
      <c r="F118" s="6" t="s">
        <v>459</v>
      </c>
      <c r="G118" s="9">
        <f>IF(A118=1,"_",IF(C118="_","???",C118))</f>
        <v/>
      </c>
      <c r="H118" s="10" t="s">
        <v>12</v>
      </c>
      <c r="I118" s="11" t="s">
        <v>12</v>
      </c>
      <c r="J118" s="12"/>
    </row>
    <row r="119" spans="1:10" ht="60" customHeight="1">
      <c r="A119" s="6" t="s">
        <v>460</v>
      </c>
      <c r="B119" s="6" t="s">
        <v>11</v>
      </c>
      <c r="C119" s="6" t="s">
        <v>12</v>
      </c>
      <c r="D119" s="7" t="s">
        <v>21</v>
      </c>
      <c r="E119" s="8" t="s">
        <v>461</v>
      </c>
      <c r="F119" s="6" t="s">
        <v>462</v>
      </c>
      <c r="G119" s="9">
        <f>IF(A119=1,"_",IF(C119="_","???",C119))</f>
        <v/>
      </c>
      <c r="H119" s="10" t="s">
        <v>12</v>
      </c>
      <c r="I119" s="11" t="s">
        <v>12</v>
      </c>
      <c r="J119" s="12"/>
    </row>
    <row r="120" spans="1:10" ht="60" customHeight="1">
      <c r="A120" s="6" t="s">
        <v>463</v>
      </c>
      <c r="B120" s="6" t="s">
        <v>24</v>
      </c>
      <c r="C120" s="6" t="s">
        <v>87</v>
      </c>
      <c r="D120" s="7" t="s">
        <v>21</v>
      </c>
      <c r="E120" s="8" t="s">
        <v>464</v>
      </c>
      <c r="F120" s="6" t="s">
        <v>465</v>
      </c>
      <c r="G120" s="9">
        <f>IF(A120=1,"_",IF(C120="_","???",C120))</f>
        <v/>
      </c>
      <c r="H120" s="10" t="s">
        <v>12</v>
      </c>
      <c r="I120" s="11" t="s">
        <v>12</v>
      </c>
      <c r="J120" s="12"/>
    </row>
    <row r="121" spans="1:10" ht="60" customHeight="1">
      <c r="A121" s="6" t="s">
        <v>466</v>
      </c>
      <c r="B121" s="6" t="s">
        <v>10</v>
      </c>
      <c r="C121" s="6" t="s">
        <v>12</v>
      </c>
      <c r="D121" s="7" t="s">
        <v>26</v>
      </c>
      <c r="E121" s="8" t="s">
        <v>467</v>
      </c>
      <c r="F121" s="6" t="s">
        <v>468</v>
      </c>
      <c r="G121" s="9">
        <f>IF(A121=1,"_",IF(C121="_","???",C121))</f>
        <v/>
      </c>
      <c r="H121" s="10" t="s">
        <v>12</v>
      </c>
      <c r="I121" s="11" t="s">
        <v>12</v>
      </c>
      <c r="J121" s="12"/>
    </row>
    <row r="122" spans="1:10" ht="60" customHeight="1">
      <c r="A122" s="6" t="s">
        <v>469</v>
      </c>
      <c r="B122" s="6" t="s">
        <v>19</v>
      </c>
      <c r="C122" s="6" t="s">
        <v>54</v>
      </c>
      <c r="D122" s="7" t="s">
        <v>470</v>
      </c>
      <c r="E122" s="8" t="s">
        <v>471</v>
      </c>
      <c r="F122" s="6" t="s">
        <v>472</v>
      </c>
      <c r="G122" s="9">
        <f>IF(A122=1,"_",IF(C122="_","???",C122))</f>
        <v/>
      </c>
      <c r="H122" s="10" t="s">
        <v>12</v>
      </c>
      <c r="I122" s="11" t="s">
        <v>12</v>
      </c>
      <c r="J122" s="12"/>
    </row>
    <row r="123" spans="1:10" ht="60" customHeight="1">
      <c r="A123" s="6" t="s">
        <v>473</v>
      </c>
      <c r="B123" s="6" t="s">
        <v>10</v>
      </c>
      <c r="C123" s="6" t="s">
        <v>12</v>
      </c>
      <c r="D123" s="7" t="s">
        <v>474</v>
      </c>
      <c r="E123" s="8" t="s">
        <v>475</v>
      </c>
      <c r="F123" s="6" t="s">
        <v>476</v>
      </c>
      <c r="G123" s="9">
        <f>IF(A123=1,"_",IF(C123="_","???",C123))</f>
        <v/>
      </c>
      <c r="H123" s="10" t="s">
        <v>12</v>
      </c>
      <c r="I123" s="11" t="s">
        <v>12</v>
      </c>
      <c r="J123" s="12"/>
    </row>
    <row r="124" spans="1:10" ht="60" customHeight="1">
      <c r="A124" s="6" t="s">
        <v>477</v>
      </c>
      <c r="B124" s="6" t="s">
        <v>11</v>
      </c>
      <c r="C124" s="6" t="s">
        <v>12</v>
      </c>
      <c r="D124" s="7" t="s">
        <v>478</v>
      </c>
      <c r="E124" s="8" t="s">
        <v>479</v>
      </c>
      <c r="F124" s="6" t="s">
        <v>480</v>
      </c>
      <c r="G124" s="9">
        <f>IF(A124=1,"_",IF(C124="_","???",C124))</f>
        <v/>
      </c>
      <c r="H124" s="10" t="s">
        <v>12</v>
      </c>
      <c r="I124" s="11" t="s">
        <v>12</v>
      </c>
      <c r="J124" s="12"/>
    </row>
    <row r="125" spans="1:10" ht="60" customHeight="1">
      <c r="A125" s="6" t="s">
        <v>481</v>
      </c>
      <c r="B125" s="6" t="s">
        <v>24</v>
      </c>
      <c r="C125" s="6" t="s">
        <v>12</v>
      </c>
      <c r="D125" s="7" t="s">
        <v>21</v>
      </c>
      <c r="E125" s="8" t="s">
        <v>482</v>
      </c>
      <c r="F125" s="6" t="s">
        <v>483</v>
      </c>
      <c r="G125" s="9">
        <f>IF(A125=1,"_",IF(C125="_","???",C125))</f>
        <v/>
      </c>
      <c r="H125" s="10" t="s">
        <v>12</v>
      </c>
      <c r="I125" s="11" t="s">
        <v>12</v>
      </c>
      <c r="J125" s="12"/>
    </row>
    <row r="126" spans="1:10" ht="60" customHeight="1">
      <c r="A126" s="6" t="s">
        <v>484</v>
      </c>
      <c r="B126" s="6" t="s">
        <v>19</v>
      </c>
      <c r="C126" s="6" t="s">
        <v>68</v>
      </c>
      <c r="D126" s="7" t="s">
        <v>485</v>
      </c>
      <c r="E126" s="8" t="s">
        <v>486</v>
      </c>
      <c r="F126" s="6" t="s">
        <v>487</v>
      </c>
      <c r="G126" s="9">
        <f>IF(A126=1,"_",IF(C126="_","???",C126))</f>
        <v/>
      </c>
      <c r="H126" s="10" t="s">
        <v>12</v>
      </c>
      <c r="I126" s="11" t="s">
        <v>12</v>
      </c>
      <c r="J126" s="12"/>
    </row>
    <row r="127" spans="1:10" ht="60" customHeight="1">
      <c r="A127" s="6" t="s">
        <v>488</v>
      </c>
      <c r="B127" s="6" t="s">
        <v>10</v>
      </c>
      <c r="C127" s="6" t="s">
        <v>12</v>
      </c>
      <c r="D127" s="7" t="s">
        <v>485</v>
      </c>
      <c r="E127" s="8" t="s">
        <v>489</v>
      </c>
      <c r="F127" s="6" t="s">
        <v>490</v>
      </c>
      <c r="G127" s="9">
        <f>IF(A127=1,"_",IF(C127="_","???",C127))</f>
        <v/>
      </c>
      <c r="H127" s="10" t="s">
        <v>12</v>
      </c>
      <c r="I127" s="11" t="s">
        <v>12</v>
      </c>
      <c r="J127" s="12"/>
    </row>
    <row r="128" spans="1:10" ht="60" customHeight="1">
      <c r="A128" s="6" t="s">
        <v>491</v>
      </c>
      <c r="B128" s="6" t="s">
        <v>29</v>
      </c>
      <c r="C128" s="6" t="s">
        <v>60</v>
      </c>
      <c r="D128" s="7" t="s">
        <v>492</v>
      </c>
      <c r="E128" s="8" t="s">
        <v>493</v>
      </c>
      <c r="F128" s="6" t="s">
        <v>494</v>
      </c>
      <c r="G128" s="9">
        <f>IF(A128=1,"_",IF(C128="_","???",C128))</f>
        <v/>
      </c>
      <c r="H128" s="10" t="s">
        <v>12</v>
      </c>
      <c r="I128" s="11" t="s">
        <v>12</v>
      </c>
      <c r="J128" s="12"/>
    </row>
    <row r="129" spans="1:10" ht="60" customHeight="1">
      <c r="A129" s="6" t="s">
        <v>495</v>
      </c>
      <c r="B129" s="6" t="s">
        <v>11</v>
      </c>
      <c r="C129" s="6" t="s">
        <v>25</v>
      </c>
      <c r="D129" s="7" t="s">
        <v>496</v>
      </c>
      <c r="E129" s="8" t="s">
        <v>497</v>
      </c>
      <c r="F129" s="6" t="s">
        <v>498</v>
      </c>
      <c r="G129" s="9">
        <f>IF(A129=1,"_",IF(C129="_","???",C129))</f>
        <v/>
      </c>
      <c r="H129" s="10" t="s">
        <v>12</v>
      </c>
      <c r="I129" s="11" t="s">
        <v>12</v>
      </c>
      <c r="J129" s="12"/>
    </row>
    <row r="130" spans="1:10" ht="60" customHeight="1">
      <c r="A130" s="6" t="s">
        <v>499</v>
      </c>
      <c r="B130" s="6" t="s">
        <v>29</v>
      </c>
      <c r="C130" s="6" t="s">
        <v>12</v>
      </c>
      <c r="D130" s="7" t="s">
        <v>500</v>
      </c>
      <c r="E130" s="8" t="s">
        <v>501</v>
      </c>
      <c r="F130" s="6" t="s">
        <v>502</v>
      </c>
      <c r="G130" s="9">
        <f>IF(A130=1,"_",IF(C130="_","???",C130))</f>
        <v/>
      </c>
      <c r="H130" s="10" t="s">
        <v>12</v>
      </c>
      <c r="I130" s="11" t="s">
        <v>12</v>
      </c>
      <c r="J130" s="12"/>
    </row>
    <row r="131" spans="1:10" ht="60" customHeight="1">
      <c r="A131" s="6" t="s">
        <v>503</v>
      </c>
      <c r="B131" s="6" t="s">
        <v>29</v>
      </c>
      <c r="C131" s="6" t="s">
        <v>504</v>
      </c>
      <c r="D131" s="7" t="s">
        <v>505</v>
      </c>
      <c r="E131" s="8" t="s">
        <v>506</v>
      </c>
      <c r="F131" s="6" t="s">
        <v>507</v>
      </c>
      <c r="G131" s="9">
        <f>IF(A131=1,"_",IF(C131="_","???",C131))</f>
        <v/>
      </c>
      <c r="H131" s="10" t="s">
        <v>12</v>
      </c>
      <c r="I131" s="11" t="s">
        <v>12</v>
      </c>
      <c r="J131" s="12"/>
    </row>
    <row r="132" spans="1:10" ht="60" customHeight="1">
      <c r="A132" s="6" t="s">
        <v>508</v>
      </c>
      <c r="B132" s="6" t="s">
        <v>10</v>
      </c>
      <c r="C132" s="6" t="s">
        <v>12</v>
      </c>
      <c r="D132" s="7" t="s">
        <v>509</v>
      </c>
      <c r="E132" s="8" t="s">
        <v>510</v>
      </c>
      <c r="F132" s="6" t="s">
        <v>511</v>
      </c>
      <c r="G132" s="9">
        <f>IF(A132=1,"_",IF(C132="_","???",C132))</f>
        <v/>
      </c>
      <c r="H132" s="10" t="s">
        <v>12</v>
      </c>
      <c r="I132" s="11" t="s">
        <v>12</v>
      </c>
      <c r="J132" s="12"/>
    </row>
    <row r="133" spans="1:10" ht="60" customHeight="1">
      <c r="A133" s="6" t="s">
        <v>512</v>
      </c>
      <c r="B133" s="6" t="s">
        <v>67</v>
      </c>
      <c r="C133" s="6" t="s">
        <v>12</v>
      </c>
      <c r="D133" s="7" t="s">
        <v>513</v>
      </c>
      <c r="E133" s="8" t="s">
        <v>514</v>
      </c>
      <c r="F133" s="6" t="s">
        <v>515</v>
      </c>
      <c r="G133" s="9">
        <f>IF(A133=1,"_",IF(C133="_","???",C133))</f>
        <v/>
      </c>
      <c r="H133" s="10" t="s">
        <v>12</v>
      </c>
      <c r="I133" s="11" t="s">
        <v>12</v>
      </c>
      <c r="J133" s="12"/>
    </row>
    <row r="134" spans="1:10" ht="60" customHeight="1">
      <c r="A134" s="6" t="s">
        <v>516</v>
      </c>
      <c r="B134" s="6" t="s">
        <v>11</v>
      </c>
      <c r="C134" s="6" t="s">
        <v>12</v>
      </c>
      <c r="D134" s="7" t="s">
        <v>517</v>
      </c>
      <c r="E134" s="8" t="s">
        <v>518</v>
      </c>
      <c r="F134" s="6" t="s">
        <v>519</v>
      </c>
      <c r="G134" s="9">
        <f>IF(A134=1,"_",IF(C134="_","???",C134))</f>
        <v/>
      </c>
      <c r="H134" s="10" t="s">
        <v>12</v>
      </c>
      <c r="I134" s="11" t="s">
        <v>12</v>
      </c>
      <c r="J134" s="12"/>
    </row>
    <row r="135" spans="1:10" ht="60" customHeight="1">
      <c r="A135" s="6" t="s">
        <v>520</v>
      </c>
      <c r="B135" s="6" t="s">
        <v>11</v>
      </c>
      <c r="C135" s="6" t="s">
        <v>12</v>
      </c>
      <c r="D135" s="7" t="s">
        <v>521</v>
      </c>
      <c r="E135" s="8" t="s">
        <v>522</v>
      </c>
      <c r="F135" s="6" t="s">
        <v>523</v>
      </c>
      <c r="G135" s="9">
        <f>IF(A135=1,"_",IF(C135="_","???",C135))</f>
        <v/>
      </c>
      <c r="H135" s="10" t="s">
        <v>12</v>
      </c>
      <c r="I135" s="11" t="s">
        <v>12</v>
      </c>
      <c r="J135" s="12"/>
    </row>
    <row r="136" spans="1:10" ht="60" customHeight="1">
      <c r="A136" s="6" t="s">
        <v>524</v>
      </c>
      <c r="B136" s="6" t="s">
        <v>11</v>
      </c>
      <c r="C136" s="6" t="s">
        <v>12</v>
      </c>
      <c r="D136" s="7" t="s">
        <v>521</v>
      </c>
      <c r="E136" s="8" t="s">
        <v>525</v>
      </c>
      <c r="F136" s="6" t="s">
        <v>526</v>
      </c>
      <c r="G136" s="9">
        <f>IF(A136=1,"_",IF(C136="_","???",C136))</f>
        <v/>
      </c>
      <c r="H136" s="10" t="s">
        <v>12</v>
      </c>
      <c r="I136" s="11" t="s">
        <v>12</v>
      </c>
      <c r="J136" s="12"/>
    </row>
    <row r="137" spans="1:10" ht="60" customHeight="1">
      <c r="A137" s="6" t="s">
        <v>527</v>
      </c>
      <c r="B137" s="6" t="s">
        <v>10</v>
      </c>
      <c r="C137" s="6" t="s">
        <v>12</v>
      </c>
      <c r="D137" s="7" t="s">
        <v>115</v>
      </c>
      <c r="E137" s="8" t="s">
        <v>528</v>
      </c>
      <c r="F137" s="6" t="s">
        <v>529</v>
      </c>
      <c r="G137" s="9">
        <f>IF(A137=1,"_",IF(C137="_","???",C137))</f>
        <v/>
      </c>
      <c r="H137" s="10" t="s">
        <v>12</v>
      </c>
      <c r="I137" s="11" t="s">
        <v>12</v>
      </c>
      <c r="J137" s="12"/>
    </row>
    <row r="138" spans="1:10" ht="60" customHeight="1">
      <c r="A138" s="6" t="s">
        <v>530</v>
      </c>
      <c r="B138" s="6" t="s">
        <v>24</v>
      </c>
      <c r="C138" s="6" t="s">
        <v>12</v>
      </c>
      <c r="D138" s="7" t="s">
        <v>531</v>
      </c>
      <c r="E138" s="8" t="s">
        <v>532</v>
      </c>
      <c r="F138" s="6" t="s">
        <v>533</v>
      </c>
      <c r="G138" s="9">
        <f>IF(A138=1,"_",IF(C138="_","???",C138))</f>
        <v/>
      </c>
      <c r="H138" s="10" t="s">
        <v>12</v>
      </c>
      <c r="I138" s="11" t="s">
        <v>12</v>
      </c>
      <c r="J138" s="12"/>
    </row>
    <row r="139" spans="1:10" ht="60" customHeight="1">
      <c r="A139" s="6" t="s">
        <v>534</v>
      </c>
      <c r="B139" s="6" t="s">
        <v>11</v>
      </c>
      <c r="C139" s="6" t="s">
        <v>12</v>
      </c>
      <c r="D139" s="7" t="s">
        <v>535</v>
      </c>
      <c r="E139" s="8" t="s">
        <v>536</v>
      </c>
      <c r="F139" s="6" t="s">
        <v>537</v>
      </c>
      <c r="G139" s="9">
        <f>IF(A139=1,"_",IF(C139="_","???",C139))</f>
        <v/>
      </c>
      <c r="H139" s="10" t="s">
        <v>12</v>
      </c>
      <c r="I139" s="11" t="s">
        <v>12</v>
      </c>
      <c r="J139" s="12"/>
    </row>
    <row r="140" spans="1:10" ht="60" customHeight="1">
      <c r="A140" s="6" t="s">
        <v>538</v>
      </c>
      <c r="B140" s="6" t="s">
        <v>24</v>
      </c>
      <c r="C140" s="6" t="s">
        <v>12</v>
      </c>
      <c r="D140" s="7" t="s">
        <v>21</v>
      </c>
      <c r="E140" s="8" t="s">
        <v>539</v>
      </c>
      <c r="F140" s="6" t="s">
        <v>540</v>
      </c>
      <c r="G140" s="9">
        <f>IF(A140=1,"_",IF(C140="_","???",C140))</f>
        <v/>
      </c>
      <c r="H140" s="10" t="s">
        <v>12</v>
      </c>
      <c r="I140" s="11" t="s">
        <v>12</v>
      </c>
      <c r="J140" s="12"/>
    </row>
    <row r="141" spans="1:10" ht="60" customHeight="1">
      <c r="A141" s="6" t="s">
        <v>541</v>
      </c>
      <c r="B141" s="6" t="s">
        <v>11</v>
      </c>
      <c r="C141" s="6" t="s">
        <v>12</v>
      </c>
      <c r="D141" s="7" t="s">
        <v>175</v>
      </c>
      <c r="E141" s="8" t="s">
        <v>542</v>
      </c>
      <c r="F141" s="6" t="s">
        <v>543</v>
      </c>
      <c r="G141" s="9">
        <f>IF(A141=1,"_",IF(C141="_","???",C141))</f>
        <v/>
      </c>
      <c r="H141" s="10" t="s">
        <v>12</v>
      </c>
      <c r="I141" s="11" t="s">
        <v>12</v>
      </c>
      <c r="J141" s="12"/>
    </row>
    <row r="142" spans="1:10" ht="60" customHeight="1">
      <c r="A142" s="6" t="s">
        <v>544</v>
      </c>
      <c r="B142" s="6" t="s">
        <v>11</v>
      </c>
      <c r="C142" s="6" t="s">
        <v>12</v>
      </c>
      <c r="D142" s="7" t="s">
        <v>21</v>
      </c>
      <c r="E142" s="8" t="s">
        <v>545</v>
      </c>
      <c r="F142" s="6" t="s">
        <v>546</v>
      </c>
      <c r="G142" s="9">
        <f>IF(A142=1,"_",IF(C142="_","???",C142))</f>
        <v/>
      </c>
      <c r="H142" s="10" t="s">
        <v>12</v>
      </c>
      <c r="I142" s="11" t="s">
        <v>12</v>
      </c>
      <c r="J142" s="12"/>
    </row>
    <row r="143" spans="1:10" ht="60" customHeight="1">
      <c r="A143" s="6" t="s">
        <v>547</v>
      </c>
      <c r="B143" s="6" t="s">
        <v>24</v>
      </c>
      <c r="C143" s="6" t="s">
        <v>12</v>
      </c>
      <c r="D143" s="7" t="s">
        <v>548</v>
      </c>
      <c r="E143" s="8" t="s">
        <v>549</v>
      </c>
      <c r="F143" s="6" t="s">
        <v>550</v>
      </c>
      <c r="G143" s="9">
        <f>IF(A143=1,"_",IF(C143="_","???",C143))</f>
        <v/>
      </c>
      <c r="H143" s="10" t="s">
        <v>12</v>
      </c>
      <c r="I143" s="11" t="s">
        <v>12</v>
      </c>
      <c r="J143" s="12"/>
    </row>
    <row r="144" spans="1:10" ht="60" customHeight="1">
      <c r="A144" s="6" t="s">
        <v>551</v>
      </c>
      <c r="B144" s="6" t="s">
        <v>10</v>
      </c>
      <c r="C144" s="6" t="s">
        <v>12</v>
      </c>
      <c r="D144" s="7" t="s">
        <v>453</v>
      </c>
      <c r="E144" s="8" t="s">
        <v>552</v>
      </c>
      <c r="F144" s="6" t="s">
        <v>553</v>
      </c>
      <c r="G144" s="9">
        <f>IF(A144=1,"_",IF(C144="_","???",C144))</f>
        <v/>
      </c>
      <c r="H144" s="10" t="s">
        <v>12</v>
      </c>
      <c r="I144" s="11" t="s">
        <v>12</v>
      </c>
      <c r="J144" s="12"/>
    </row>
    <row r="145" spans="1:10" ht="60" customHeight="1">
      <c r="A145" s="6" t="s">
        <v>554</v>
      </c>
      <c r="B145" s="6" t="s">
        <v>29</v>
      </c>
      <c r="C145" s="6" t="s">
        <v>12</v>
      </c>
      <c r="D145" s="7" t="s">
        <v>555</v>
      </c>
      <c r="E145" s="8" t="s">
        <v>556</v>
      </c>
      <c r="F145" s="6" t="s">
        <v>557</v>
      </c>
      <c r="G145" s="9">
        <f>IF(A145=1,"_",IF(C145="_","???",C145))</f>
        <v/>
      </c>
      <c r="H145" s="10" t="s">
        <v>12</v>
      </c>
      <c r="I145" s="11" t="s">
        <v>12</v>
      </c>
      <c r="J145" s="12"/>
    </row>
    <row r="146" spans="1:10" ht="60" customHeight="1">
      <c r="A146" s="6" t="s">
        <v>558</v>
      </c>
      <c r="B146" s="6" t="s">
        <v>11</v>
      </c>
      <c r="C146" s="6" t="s">
        <v>54</v>
      </c>
      <c r="D146" s="7" t="s">
        <v>559</v>
      </c>
      <c r="E146" s="8" t="s">
        <v>560</v>
      </c>
      <c r="F146" s="6" t="s">
        <v>561</v>
      </c>
      <c r="G146" s="9">
        <f>IF(A146=1,"_",IF(C146="_","???",C146))</f>
        <v/>
      </c>
      <c r="H146" s="10" t="s">
        <v>12</v>
      </c>
      <c r="I146" s="11" t="s">
        <v>12</v>
      </c>
      <c r="J146" s="12"/>
    </row>
    <row r="147" spans="1:10" ht="60" customHeight="1">
      <c r="A147" s="6" t="s">
        <v>562</v>
      </c>
      <c r="B147" s="6" t="s">
        <v>75</v>
      </c>
      <c r="C147" s="6" t="s">
        <v>12</v>
      </c>
      <c r="D147" s="7" t="s">
        <v>563</v>
      </c>
      <c r="E147" s="8" t="s">
        <v>564</v>
      </c>
      <c r="F147" s="6" t="s">
        <v>565</v>
      </c>
      <c r="G147" s="9">
        <f>IF(A147=1,"_",IF(C147="_","???",C147))</f>
        <v/>
      </c>
      <c r="H147" s="10" t="s">
        <v>12</v>
      </c>
      <c r="I147" s="11" t="s">
        <v>12</v>
      </c>
      <c r="J147" s="12"/>
    </row>
    <row r="148" spans="1:10" ht="60" customHeight="1">
      <c r="A148" s="6" t="s">
        <v>566</v>
      </c>
      <c r="B148" s="6" t="s">
        <v>10</v>
      </c>
      <c r="C148" s="6" t="s">
        <v>12</v>
      </c>
      <c r="D148" s="7" t="s">
        <v>202</v>
      </c>
      <c r="E148" s="8" t="s">
        <v>202</v>
      </c>
      <c r="F148" s="6" t="s">
        <v>567</v>
      </c>
      <c r="G148" s="9">
        <f>IF(A148=1,"_",IF(C148="_","???",C148))</f>
        <v/>
      </c>
      <c r="H148" s="10" t="s">
        <v>12</v>
      </c>
      <c r="I148" s="11" t="s">
        <v>12</v>
      </c>
      <c r="J148" s="12"/>
    </row>
    <row r="149" spans="1:10" ht="60" customHeight="1">
      <c r="A149" s="6" t="s">
        <v>568</v>
      </c>
      <c r="B149" s="6" t="s">
        <v>11</v>
      </c>
      <c r="C149" s="6" t="s">
        <v>242</v>
      </c>
      <c r="D149" s="7" t="s">
        <v>569</v>
      </c>
      <c r="E149" s="8" t="s">
        <v>570</v>
      </c>
      <c r="F149" s="6" t="s">
        <v>571</v>
      </c>
      <c r="G149" s="9">
        <f>IF(A149=1,"_",IF(C149="_","???",C149))</f>
        <v/>
      </c>
      <c r="H149" s="10" t="s">
        <v>12</v>
      </c>
      <c r="I149" s="11" t="s">
        <v>12</v>
      </c>
      <c r="J149" s="12"/>
    </row>
    <row r="150" spans="1:10" ht="60" customHeight="1">
      <c r="A150" s="6" t="s">
        <v>572</v>
      </c>
      <c r="B150" s="6" t="s">
        <v>10</v>
      </c>
      <c r="C150" s="6" t="s">
        <v>12</v>
      </c>
      <c r="D150" s="7" t="s">
        <v>202</v>
      </c>
      <c r="E150" s="8" t="s">
        <v>202</v>
      </c>
      <c r="F150" s="6" t="s">
        <v>573</v>
      </c>
      <c r="G150" s="9">
        <f>IF(A150=1,"_",IF(C150="_","???",C150))</f>
        <v/>
      </c>
      <c r="H150" s="10" t="s">
        <v>12</v>
      </c>
      <c r="I150" s="11" t="s">
        <v>12</v>
      </c>
      <c r="J150" s="12"/>
    </row>
    <row r="151" spans="1:10" ht="60" customHeight="1">
      <c r="A151" s="6" t="s">
        <v>574</v>
      </c>
      <c r="B151" s="6" t="s">
        <v>11</v>
      </c>
      <c r="C151" s="6" t="s">
        <v>12</v>
      </c>
      <c r="D151" s="7" t="s">
        <v>575</v>
      </c>
      <c r="E151" s="8" t="s">
        <v>576</v>
      </c>
      <c r="F151" s="6" t="s">
        <v>577</v>
      </c>
      <c r="G151" s="9">
        <f>IF(A151=1,"_",IF(C151="_","???",C151))</f>
        <v/>
      </c>
      <c r="H151" s="10" t="s">
        <v>12</v>
      </c>
      <c r="I151" s="11" t="s">
        <v>12</v>
      </c>
      <c r="J151" s="12"/>
    </row>
    <row r="152" spans="1:10" ht="60" customHeight="1">
      <c r="A152" s="6" t="s">
        <v>578</v>
      </c>
      <c r="B152" s="6" t="s">
        <v>11</v>
      </c>
      <c r="C152" s="6" t="s">
        <v>12</v>
      </c>
      <c r="D152" s="7" t="s">
        <v>26</v>
      </c>
      <c r="E152" s="8" t="s">
        <v>579</v>
      </c>
      <c r="F152" s="6" t="s">
        <v>580</v>
      </c>
      <c r="G152" s="9">
        <f>IF(A152=1,"_",IF(C152="_","???",C152))</f>
        <v/>
      </c>
      <c r="H152" s="10" t="s">
        <v>12</v>
      </c>
      <c r="I152" s="11" t="s">
        <v>12</v>
      </c>
      <c r="J152" s="12"/>
    </row>
    <row r="153" spans="1:10" ht="60" customHeight="1">
      <c r="A153" s="6" t="s">
        <v>581</v>
      </c>
      <c r="B153" s="6" t="s">
        <v>79</v>
      </c>
      <c r="C153" s="6" t="s">
        <v>25</v>
      </c>
      <c r="D153" s="7" t="s">
        <v>582</v>
      </c>
      <c r="E153" s="8" t="s">
        <v>583</v>
      </c>
      <c r="F153" s="6" t="s">
        <v>584</v>
      </c>
      <c r="G153" s="9">
        <f>IF(A153=1,"_",IF(C153="_","???",C153))</f>
        <v/>
      </c>
      <c r="H153" s="10" t="s">
        <v>12</v>
      </c>
      <c r="I153" s="11" t="s">
        <v>12</v>
      </c>
      <c r="J153" s="12"/>
    </row>
    <row r="154" spans="1:10" ht="60" customHeight="1">
      <c r="A154" s="6" t="s">
        <v>585</v>
      </c>
      <c r="B154" s="6" t="s">
        <v>11</v>
      </c>
      <c r="C154" s="6" t="s">
        <v>12</v>
      </c>
      <c r="D154" s="7" t="s">
        <v>586</v>
      </c>
      <c r="E154" s="8" t="s">
        <v>587</v>
      </c>
      <c r="F154" s="6" t="s">
        <v>588</v>
      </c>
      <c r="G154" s="9">
        <f>IF(A154=1,"_",IF(C154="_","???",C154))</f>
        <v/>
      </c>
      <c r="H154" s="10" t="s">
        <v>12</v>
      </c>
      <c r="I154" s="11" t="s">
        <v>12</v>
      </c>
      <c r="J154" s="12"/>
    </row>
    <row r="155" spans="1:10" ht="60" customHeight="1">
      <c r="A155" s="6" t="s">
        <v>589</v>
      </c>
      <c r="B155" s="6" t="s">
        <v>11</v>
      </c>
      <c r="C155" s="6" t="s">
        <v>12</v>
      </c>
      <c r="D155" s="7" t="s">
        <v>590</v>
      </c>
      <c r="E155" s="8" t="s">
        <v>591</v>
      </c>
      <c r="F155" s="6" t="s">
        <v>592</v>
      </c>
      <c r="G155" s="9">
        <f>IF(A155=1,"_",IF(C155="_","???",C155))</f>
        <v/>
      </c>
      <c r="H155" s="10" t="s">
        <v>12</v>
      </c>
      <c r="I155" s="11" t="s">
        <v>12</v>
      </c>
      <c r="J155" s="12"/>
    </row>
    <row r="156" spans="1:10" ht="60" customHeight="1">
      <c r="A156" s="6" t="s">
        <v>593</v>
      </c>
      <c r="B156" s="6" t="s">
        <v>67</v>
      </c>
      <c r="C156" s="6" t="s">
        <v>60</v>
      </c>
      <c r="D156" s="7" t="s">
        <v>594</v>
      </c>
      <c r="E156" s="8" t="s">
        <v>595</v>
      </c>
      <c r="F156" s="6" t="s">
        <v>596</v>
      </c>
      <c r="G156" s="9">
        <f>IF(A156=1,"_",IF(C156="_","???",C156))</f>
        <v/>
      </c>
      <c r="H156" s="10" t="s">
        <v>12</v>
      </c>
      <c r="I156" s="11" t="s">
        <v>12</v>
      </c>
      <c r="J156" s="12"/>
    </row>
    <row r="157" spans="1:10" ht="60" customHeight="1">
      <c r="A157" s="6" t="s">
        <v>597</v>
      </c>
      <c r="B157" s="6" t="s">
        <v>10</v>
      </c>
      <c r="C157" s="6" t="s">
        <v>12</v>
      </c>
      <c r="D157" s="7" t="s">
        <v>598</v>
      </c>
      <c r="E157" s="8" t="s">
        <v>599</v>
      </c>
      <c r="F157" s="6" t="s">
        <v>600</v>
      </c>
      <c r="G157" s="9">
        <f>IF(A157=1,"_",IF(C157="_","???",C157))</f>
        <v/>
      </c>
      <c r="H157" s="10" t="s">
        <v>12</v>
      </c>
      <c r="I157" s="11" t="s">
        <v>12</v>
      </c>
      <c r="J157" s="12"/>
    </row>
    <row r="158" spans="1:10" ht="60" customHeight="1">
      <c r="A158" s="6" t="s">
        <v>601</v>
      </c>
      <c r="B158" s="6" t="s">
        <v>11</v>
      </c>
      <c r="C158" s="6" t="s">
        <v>12</v>
      </c>
      <c r="D158" s="7" t="s">
        <v>602</v>
      </c>
      <c r="E158" s="8" t="s">
        <v>603</v>
      </c>
      <c r="F158" s="6" t="s">
        <v>604</v>
      </c>
      <c r="G158" s="9">
        <f>IF(A158=1,"_",IF(C158="_","???",C158))</f>
        <v/>
      </c>
      <c r="H158" s="10" t="s">
        <v>12</v>
      </c>
      <c r="I158" s="11" t="s">
        <v>12</v>
      </c>
      <c r="J158" s="12"/>
    </row>
    <row r="159" spans="1:10" ht="60" customHeight="1">
      <c r="A159" s="6" t="s">
        <v>605</v>
      </c>
      <c r="B159" s="6" t="s">
        <v>10</v>
      </c>
      <c r="C159" s="6" t="s">
        <v>254</v>
      </c>
      <c r="D159" s="7" t="s">
        <v>606</v>
      </c>
      <c r="E159" s="8" t="s">
        <v>607</v>
      </c>
      <c r="F159" s="6" t="s">
        <v>608</v>
      </c>
      <c r="G159" s="9">
        <f>IF(A159=1,"_",IF(C159="_","???",C159))</f>
        <v/>
      </c>
      <c r="H159" s="10" t="s">
        <v>12</v>
      </c>
      <c r="I159" s="11" t="s">
        <v>12</v>
      </c>
      <c r="J159" s="12"/>
    </row>
    <row r="160" spans="1:10" ht="60" customHeight="1">
      <c r="A160" s="6" t="s">
        <v>609</v>
      </c>
      <c r="B160" s="6" t="s">
        <v>53</v>
      </c>
      <c r="C160" s="6" t="s">
        <v>12</v>
      </c>
      <c r="D160" s="7" t="s">
        <v>610</v>
      </c>
      <c r="E160" s="8" t="s">
        <v>611</v>
      </c>
      <c r="F160" s="6" t="s">
        <v>612</v>
      </c>
      <c r="G160" s="9">
        <f>IF(A160=1,"_",IF(C160="_","???",C160))</f>
        <v/>
      </c>
      <c r="H160" s="10" t="s">
        <v>12</v>
      </c>
      <c r="I160" s="11" t="s">
        <v>12</v>
      </c>
      <c r="J160" s="12"/>
    </row>
    <row r="161" spans="1:10" ht="60" customHeight="1">
      <c r="A161" s="6" t="s">
        <v>613</v>
      </c>
      <c r="B161" s="6" t="s">
        <v>29</v>
      </c>
      <c r="C161" s="6" t="s">
        <v>54</v>
      </c>
      <c r="D161" s="7" t="s">
        <v>614</v>
      </c>
      <c r="E161" s="8" t="s">
        <v>615</v>
      </c>
      <c r="F161" s="6" t="s">
        <v>616</v>
      </c>
      <c r="G161" s="9">
        <f>IF(A161=1,"_",IF(C161="_","???",C161))</f>
        <v/>
      </c>
      <c r="H161" s="10" t="s">
        <v>12</v>
      </c>
      <c r="I161" s="11" t="s">
        <v>12</v>
      </c>
      <c r="J161" s="12"/>
    </row>
    <row r="162" spans="1:10" ht="60" customHeight="1">
      <c r="A162" s="6" t="s">
        <v>617</v>
      </c>
      <c r="B162" s="6" t="s">
        <v>29</v>
      </c>
      <c r="C162" s="6" t="s">
        <v>12</v>
      </c>
      <c r="D162" s="7" t="s">
        <v>618</v>
      </c>
      <c r="E162" s="8" t="s">
        <v>619</v>
      </c>
      <c r="F162" s="6" t="s">
        <v>620</v>
      </c>
      <c r="G162" s="9">
        <f>IF(A162=1,"_",IF(C162="_","???",C162))</f>
        <v/>
      </c>
      <c r="H162" s="10" t="s">
        <v>12</v>
      </c>
      <c r="I162" s="11" t="s">
        <v>12</v>
      </c>
      <c r="J162" s="12"/>
    </row>
    <row r="163" spans="1:10" ht="60" customHeight="1">
      <c r="A163" s="6" t="s">
        <v>621</v>
      </c>
      <c r="B163" s="6" t="s">
        <v>34</v>
      </c>
      <c r="C163" s="6" t="s">
        <v>12</v>
      </c>
      <c r="D163" s="7" t="s">
        <v>470</v>
      </c>
      <c r="E163" s="8" t="s">
        <v>622</v>
      </c>
      <c r="F163" s="6" t="s">
        <v>623</v>
      </c>
      <c r="G163" s="9">
        <f>IF(A163=1,"_",IF(C163="_","???",C163))</f>
        <v/>
      </c>
      <c r="H163" s="10" t="s">
        <v>12</v>
      </c>
      <c r="I163" s="11" t="s">
        <v>12</v>
      </c>
      <c r="J163" s="12"/>
    </row>
    <row r="164" spans="1:10" ht="60" customHeight="1">
      <c r="A164" s="6" t="s">
        <v>624</v>
      </c>
      <c r="B164" s="6" t="s">
        <v>19</v>
      </c>
      <c r="C164" s="6" t="s">
        <v>254</v>
      </c>
      <c r="D164" s="7" t="s">
        <v>625</v>
      </c>
      <c r="E164" s="8" t="s">
        <v>626</v>
      </c>
      <c r="F164" s="6" t="s">
        <v>627</v>
      </c>
      <c r="G164" s="9">
        <f>IF(A164=1,"_",IF(C164="_","???",C164))</f>
        <v/>
      </c>
      <c r="H164" s="10" t="s">
        <v>12</v>
      </c>
      <c r="I164" s="11" t="s">
        <v>12</v>
      </c>
      <c r="J164" s="12"/>
    </row>
    <row r="165" spans="1:10" ht="60" customHeight="1">
      <c r="A165" s="6" t="s">
        <v>628</v>
      </c>
      <c r="B165" s="6" t="s">
        <v>30</v>
      </c>
      <c r="C165" s="6" t="s">
        <v>254</v>
      </c>
      <c r="D165" s="7" t="s">
        <v>470</v>
      </c>
      <c r="E165" s="8" t="s">
        <v>629</v>
      </c>
      <c r="F165" s="6" t="s">
        <v>630</v>
      </c>
      <c r="G165" s="9">
        <f>IF(A165=1,"_",IF(C165="_","???",C165))</f>
        <v/>
      </c>
      <c r="H165" s="10" t="s">
        <v>12</v>
      </c>
      <c r="I165" s="11" t="s">
        <v>12</v>
      </c>
      <c r="J165" s="12"/>
    </row>
    <row r="166" spans="1:10" ht="60" customHeight="1">
      <c r="A166" s="6" t="s">
        <v>631</v>
      </c>
      <c r="B166" s="6" t="s">
        <v>30</v>
      </c>
      <c r="C166" s="6" t="s">
        <v>254</v>
      </c>
      <c r="D166" s="7" t="s">
        <v>632</v>
      </c>
      <c r="E166" s="8" t="s">
        <v>633</v>
      </c>
      <c r="F166" s="6" t="s">
        <v>634</v>
      </c>
      <c r="G166" s="9">
        <f>IF(A166=1,"_",IF(C166="_","???",C166))</f>
        <v/>
      </c>
      <c r="H166" s="10" t="s">
        <v>12</v>
      </c>
      <c r="I166" s="11" t="s">
        <v>12</v>
      </c>
      <c r="J166" s="12"/>
    </row>
    <row r="167" spans="1:10" ht="60" customHeight="1">
      <c r="A167" s="6" t="s">
        <v>635</v>
      </c>
      <c r="B167" s="6" t="s">
        <v>10</v>
      </c>
      <c r="C167" s="6" t="s">
        <v>12</v>
      </c>
      <c r="D167" s="7" t="s">
        <v>31</v>
      </c>
      <c r="E167" s="8" t="s">
        <v>636</v>
      </c>
      <c r="F167" s="6" t="s">
        <v>637</v>
      </c>
      <c r="G167" s="9">
        <f>IF(A167=1,"_",IF(C167="_","???",C167))</f>
        <v/>
      </c>
      <c r="H167" s="10" t="s">
        <v>12</v>
      </c>
      <c r="I167" s="11" t="s">
        <v>12</v>
      </c>
      <c r="J167" s="12"/>
    </row>
    <row r="168" spans="1:10" ht="60" customHeight="1">
      <c r="A168" s="6" t="s">
        <v>638</v>
      </c>
      <c r="B168" s="6" t="s">
        <v>10</v>
      </c>
      <c r="C168" s="6" t="s">
        <v>25</v>
      </c>
      <c r="D168" s="7" t="s">
        <v>639</v>
      </c>
      <c r="E168" s="8" t="s">
        <v>640</v>
      </c>
      <c r="F168" s="6" t="s">
        <v>641</v>
      </c>
      <c r="G168" s="9">
        <f>IF(A168=1,"_",IF(C168="_","???",C168))</f>
        <v/>
      </c>
      <c r="H168" s="10" t="s">
        <v>12</v>
      </c>
      <c r="I168" s="11" t="s">
        <v>12</v>
      </c>
      <c r="J168" s="12"/>
    </row>
    <row r="169" spans="1:10" ht="60" customHeight="1">
      <c r="A169" s="6" t="s">
        <v>642</v>
      </c>
      <c r="B169" s="6" t="s">
        <v>10</v>
      </c>
      <c r="C169" s="6" t="s">
        <v>25</v>
      </c>
      <c r="D169" s="7" t="s">
        <v>639</v>
      </c>
      <c r="E169" s="8" t="s">
        <v>643</v>
      </c>
      <c r="F169" s="6" t="s">
        <v>644</v>
      </c>
      <c r="G169" s="9">
        <f>IF(A169=1,"_",IF(C169="_","???",C169))</f>
        <v/>
      </c>
      <c r="H169" s="10" t="s">
        <v>12</v>
      </c>
      <c r="I169" s="11" t="s">
        <v>12</v>
      </c>
      <c r="J169" s="12"/>
    </row>
    <row r="170" spans="1:10" ht="60" customHeight="1">
      <c r="A170" s="6" t="s">
        <v>645</v>
      </c>
      <c r="B170" s="6" t="s">
        <v>30</v>
      </c>
      <c r="C170" s="6" t="s">
        <v>242</v>
      </c>
      <c r="D170" s="7" t="s">
        <v>646</v>
      </c>
      <c r="E170" s="8" t="s">
        <v>647</v>
      </c>
      <c r="F170" s="6" t="s">
        <v>648</v>
      </c>
      <c r="G170" s="9">
        <f>IF(A170=1,"_",IF(C170="_","???",C170))</f>
        <v/>
      </c>
      <c r="H170" s="10" t="s">
        <v>12</v>
      </c>
      <c r="I170" s="11" t="s">
        <v>12</v>
      </c>
      <c r="J170" s="12"/>
    </row>
    <row r="171" spans="1:10" ht="60" customHeight="1">
      <c r="A171" s="6" t="s">
        <v>649</v>
      </c>
      <c r="B171" s="6" t="s">
        <v>11</v>
      </c>
      <c r="C171" s="6" t="s">
        <v>12</v>
      </c>
      <c r="D171" s="7" t="s">
        <v>650</v>
      </c>
      <c r="E171" s="8" t="s">
        <v>651</v>
      </c>
      <c r="F171" s="6" t="s">
        <v>652</v>
      </c>
      <c r="G171" s="9">
        <f>IF(A171=1,"_",IF(C171="_","???",C171))</f>
        <v/>
      </c>
      <c r="H171" s="10" t="s">
        <v>12</v>
      </c>
      <c r="I171" s="11" t="s">
        <v>12</v>
      </c>
      <c r="J171" s="12"/>
    </row>
    <row r="172" spans="1:10" ht="60" customHeight="1">
      <c r="A172" s="6" t="s">
        <v>653</v>
      </c>
      <c r="B172" s="6" t="s">
        <v>10</v>
      </c>
      <c r="C172" s="6" t="s">
        <v>12</v>
      </c>
      <c r="D172" s="7" t="s">
        <v>654</v>
      </c>
      <c r="E172" s="8" t="s">
        <v>655</v>
      </c>
      <c r="F172" s="6" t="s">
        <v>656</v>
      </c>
      <c r="G172" s="9">
        <f>IF(A172=1,"_",IF(C172="_","???",C172))</f>
        <v/>
      </c>
      <c r="H172" s="10" t="s">
        <v>12</v>
      </c>
      <c r="I172" s="11" t="s">
        <v>12</v>
      </c>
      <c r="J172" s="12"/>
    </row>
    <row r="173" spans="1:10" ht="60" customHeight="1">
      <c r="A173" s="6" t="s">
        <v>657</v>
      </c>
      <c r="B173" s="6" t="s">
        <v>10</v>
      </c>
      <c r="C173" s="6" t="s">
        <v>87</v>
      </c>
      <c r="D173" s="7" t="s">
        <v>658</v>
      </c>
      <c r="E173" s="8" t="s">
        <v>659</v>
      </c>
      <c r="F173" s="6" t="s">
        <v>660</v>
      </c>
      <c r="G173" s="9">
        <f>IF(A173=1,"_",IF(C173="_","???",C173))</f>
        <v/>
      </c>
      <c r="H173" s="10" t="s">
        <v>12</v>
      </c>
      <c r="I173" s="11" t="s">
        <v>12</v>
      </c>
      <c r="J173" s="12"/>
    </row>
    <row r="174" spans="1:10" ht="60" customHeight="1">
      <c r="A174" s="6" t="s">
        <v>661</v>
      </c>
      <c r="B174" s="6" t="s">
        <v>10</v>
      </c>
      <c r="C174" s="6" t="s">
        <v>12</v>
      </c>
      <c r="D174" s="7" t="s">
        <v>55</v>
      </c>
      <c r="E174" s="8" t="s">
        <v>662</v>
      </c>
      <c r="F174" s="6" t="s">
        <v>663</v>
      </c>
      <c r="G174" s="9">
        <f>IF(A174=1,"_",IF(C174="_","???",C174))</f>
        <v/>
      </c>
      <c r="H174" s="10" t="s">
        <v>12</v>
      </c>
      <c r="I174" s="11" t="s">
        <v>12</v>
      </c>
      <c r="J174" s="12"/>
    </row>
    <row r="175" spans="1:10" ht="60" customHeight="1">
      <c r="A175" s="6" t="s">
        <v>664</v>
      </c>
      <c r="B175" s="6" t="s">
        <v>41</v>
      </c>
      <c r="C175" s="6" t="s">
        <v>665</v>
      </c>
      <c r="D175" s="7" t="s">
        <v>666</v>
      </c>
      <c r="E175" s="8" t="s">
        <v>667</v>
      </c>
      <c r="F175" s="6" t="s">
        <v>668</v>
      </c>
      <c r="G175" s="9">
        <f>IF(A175=1,"_",IF(C175="_","???",C175))</f>
        <v/>
      </c>
      <c r="H175" s="10" t="s">
        <v>12</v>
      </c>
      <c r="I175" s="11" t="s">
        <v>12</v>
      </c>
      <c r="J175" s="12"/>
    </row>
    <row r="176" spans="1:10" ht="60" customHeight="1">
      <c r="A176" s="6" t="s">
        <v>669</v>
      </c>
      <c r="B176" s="6" t="s">
        <v>29</v>
      </c>
      <c r="C176" s="6" t="s">
        <v>54</v>
      </c>
      <c r="D176" s="7" t="s">
        <v>670</v>
      </c>
      <c r="E176" s="8" t="s">
        <v>671</v>
      </c>
      <c r="F176" s="6" t="s">
        <v>672</v>
      </c>
      <c r="G176" s="9">
        <f>IF(A176=1,"_",IF(C176="_","???",C176))</f>
        <v/>
      </c>
      <c r="H176" s="10" t="s">
        <v>12</v>
      </c>
      <c r="I176" s="11" t="s">
        <v>12</v>
      </c>
      <c r="J176" s="12"/>
    </row>
    <row r="177" spans="1:10" ht="60" customHeight="1">
      <c r="A177" s="6" t="s">
        <v>673</v>
      </c>
      <c r="B177" s="6" t="s">
        <v>24</v>
      </c>
      <c r="C177" s="6" t="s">
        <v>87</v>
      </c>
      <c r="D177" s="7" t="s">
        <v>674</v>
      </c>
      <c r="E177" s="8" t="s">
        <v>675</v>
      </c>
      <c r="F177" s="6" t="s">
        <v>676</v>
      </c>
      <c r="G177" s="9">
        <f>IF(A177=1,"_",IF(C177="_","???",C177))</f>
        <v/>
      </c>
      <c r="H177" s="10" t="s">
        <v>12</v>
      </c>
      <c r="I177" s="11" t="s">
        <v>12</v>
      </c>
      <c r="J177" s="12"/>
    </row>
    <row r="178" spans="1:10" ht="60" customHeight="1">
      <c r="A178" s="6" t="s">
        <v>677</v>
      </c>
      <c r="B178" s="6" t="s">
        <v>29</v>
      </c>
      <c r="C178" s="6" t="s">
        <v>54</v>
      </c>
      <c r="D178" s="7" t="s">
        <v>37</v>
      </c>
      <c r="E178" s="8" t="s">
        <v>678</v>
      </c>
      <c r="F178" s="6" t="s">
        <v>679</v>
      </c>
      <c r="G178" s="9">
        <f>IF(A178=1,"_",IF(C178="_","???",C178))</f>
        <v/>
      </c>
      <c r="H178" s="10" t="s">
        <v>12</v>
      </c>
      <c r="I178" s="11" t="s">
        <v>12</v>
      </c>
      <c r="J178" s="12"/>
    </row>
    <row r="179" spans="1:10" ht="60" customHeight="1">
      <c r="A179" s="6" t="s">
        <v>680</v>
      </c>
      <c r="B179" s="6" t="s">
        <v>24</v>
      </c>
      <c r="C179" s="6" t="s">
        <v>12</v>
      </c>
      <c r="D179" s="7" t="s">
        <v>681</v>
      </c>
      <c r="E179" s="8" t="s">
        <v>682</v>
      </c>
      <c r="F179" s="6" t="s">
        <v>683</v>
      </c>
      <c r="G179" s="9">
        <f>IF(A179=1,"_",IF(C179="_","???",C179))</f>
        <v/>
      </c>
      <c r="H179" s="10" t="s">
        <v>12</v>
      </c>
      <c r="I179" s="11" t="s">
        <v>12</v>
      </c>
      <c r="J179" s="12"/>
    </row>
    <row r="180" spans="1:10" ht="60" customHeight="1">
      <c r="A180" s="6" t="s">
        <v>684</v>
      </c>
      <c r="B180" s="6" t="s">
        <v>24</v>
      </c>
      <c r="C180" s="6" t="s">
        <v>183</v>
      </c>
      <c r="D180" s="7" t="s">
        <v>685</v>
      </c>
      <c r="E180" s="8" t="s">
        <v>686</v>
      </c>
      <c r="F180" s="6" t="s">
        <v>687</v>
      </c>
      <c r="G180" s="9">
        <f>IF(A180=1,"_",IF(C180="_","???",C180))</f>
        <v/>
      </c>
      <c r="H180" s="10" t="s">
        <v>12</v>
      </c>
      <c r="I180" s="11" t="s">
        <v>12</v>
      </c>
      <c r="J180" s="12"/>
    </row>
    <row r="181" spans="1:10" ht="60" customHeight="1">
      <c r="A181" s="6" t="s">
        <v>688</v>
      </c>
      <c r="B181" s="6" t="s">
        <v>10</v>
      </c>
      <c r="C181" s="6" t="s">
        <v>12</v>
      </c>
      <c r="D181" s="7" t="s">
        <v>689</v>
      </c>
      <c r="E181" s="8" t="s">
        <v>690</v>
      </c>
      <c r="F181" s="6" t="s">
        <v>691</v>
      </c>
      <c r="G181" s="9">
        <f>IF(A181=1,"_",IF(C181="_","???",C181))</f>
        <v/>
      </c>
      <c r="H181" s="10" t="s">
        <v>12</v>
      </c>
      <c r="I181" s="11" t="s">
        <v>12</v>
      </c>
      <c r="J181" s="12"/>
    </row>
    <row r="182" spans="1:10" ht="60" customHeight="1">
      <c r="A182" s="6" t="s">
        <v>692</v>
      </c>
      <c r="B182" s="6" t="s">
        <v>10</v>
      </c>
      <c r="C182" s="6" t="s">
        <v>12</v>
      </c>
      <c r="D182" s="7" t="s">
        <v>693</v>
      </c>
      <c r="E182" s="8" t="s">
        <v>694</v>
      </c>
      <c r="F182" s="6" t="s">
        <v>695</v>
      </c>
      <c r="G182" s="9">
        <f>IF(A182=1,"_",IF(C182="_","???",C182))</f>
        <v/>
      </c>
      <c r="H182" s="10" t="s">
        <v>12</v>
      </c>
      <c r="I182" s="11" t="s">
        <v>12</v>
      </c>
      <c r="J182" s="12"/>
    </row>
    <row r="183" spans="1:10" ht="60" customHeight="1">
      <c r="A183" s="6" t="s">
        <v>696</v>
      </c>
      <c r="B183" s="6" t="s">
        <v>19</v>
      </c>
      <c r="C183" s="6" t="s">
        <v>12</v>
      </c>
      <c r="D183" s="7" t="s">
        <v>697</v>
      </c>
      <c r="E183" s="8" t="s">
        <v>698</v>
      </c>
      <c r="F183" s="6" t="s">
        <v>699</v>
      </c>
      <c r="G183" s="9">
        <f>IF(A183=1,"_",IF(C183="_","???",C183))</f>
        <v/>
      </c>
      <c r="H183" s="10" t="s">
        <v>12</v>
      </c>
      <c r="I183" s="11" t="s">
        <v>12</v>
      </c>
      <c r="J183" s="12"/>
    </row>
    <row r="184" spans="1:10" ht="60" customHeight="1">
      <c r="A184" s="6" t="s">
        <v>700</v>
      </c>
      <c r="B184" s="6" t="s">
        <v>11</v>
      </c>
      <c r="C184" s="6" t="s">
        <v>12</v>
      </c>
      <c r="D184" s="7" t="s">
        <v>470</v>
      </c>
      <c r="E184" s="8" t="s">
        <v>701</v>
      </c>
      <c r="F184" s="6" t="s">
        <v>702</v>
      </c>
      <c r="G184" s="9">
        <f>IF(A184=1,"_",IF(C184="_","???",C184))</f>
        <v/>
      </c>
      <c r="H184" s="10" t="s">
        <v>12</v>
      </c>
      <c r="I184" s="11" t="s">
        <v>12</v>
      </c>
      <c r="J184" s="12"/>
    </row>
    <row r="185" spans="1:10" ht="60" customHeight="1">
      <c r="A185" s="6" t="s">
        <v>703</v>
      </c>
      <c r="B185" s="6" t="s">
        <v>24</v>
      </c>
      <c r="C185" s="6" t="s">
        <v>25</v>
      </c>
      <c r="D185" s="7" t="s">
        <v>704</v>
      </c>
      <c r="E185" s="8" t="s">
        <v>705</v>
      </c>
      <c r="F185" s="6" t="s">
        <v>706</v>
      </c>
      <c r="G185" s="9">
        <f>IF(A185=1,"_",IF(C185="_","???",C185))</f>
        <v/>
      </c>
      <c r="H185" s="10" t="s">
        <v>12</v>
      </c>
      <c r="I185" s="11" t="s">
        <v>12</v>
      </c>
      <c r="J185" s="12"/>
    </row>
    <row r="186" spans="1:10" ht="60" customHeight="1">
      <c r="A186" s="6" t="s">
        <v>707</v>
      </c>
      <c r="B186" s="6" t="s">
        <v>11</v>
      </c>
      <c r="C186" s="6" t="s">
        <v>12</v>
      </c>
      <c r="D186" s="7" t="s">
        <v>26</v>
      </c>
      <c r="E186" s="8" t="s">
        <v>708</v>
      </c>
      <c r="F186" s="6" t="s">
        <v>709</v>
      </c>
      <c r="G186" s="9">
        <f>IF(A186=1,"_",IF(C186="_","???",C186))</f>
        <v/>
      </c>
      <c r="H186" s="10" t="s">
        <v>12</v>
      </c>
      <c r="I186" s="11" t="s">
        <v>12</v>
      </c>
      <c r="J186" s="12"/>
    </row>
    <row r="187" spans="1:10" ht="60" customHeight="1">
      <c r="A187" s="6" t="s">
        <v>710</v>
      </c>
      <c r="B187" s="6" t="s">
        <v>10</v>
      </c>
      <c r="C187" s="6" t="s">
        <v>12</v>
      </c>
      <c r="D187" s="7" t="s">
        <v>711</v>
      </c>
      <c r="E187" s="8" t="s">
        <v>712</v>
      </c>
      <c r="F187" s="6" t="s">
        <v>713</v>
      </c>
      <c r="G187" s="9">
        <f>IF(A187=1,"_",IF(C187="_","???",C187))</f>
        <v/>
      </c>
      <c r="H187" s="10" t="s">
        <v>12</v>
      </c>
      <c r="I187" s="11" t="s">
        <v>12</v>
      </c>
      <c r="J187" s="12"/>
    </row>
    <row r="188" spans="1:10" ht="60" customHeight="1">
      <c r="A188" s="6" t="s">
        <v>714</v>
      </c>
      <c r="B188" s="6" t="s">
        <v>10</v>
      </c>
      <c r="C188" s="6" t="s">
        <v>12</v>
      </c>
      <c r="D188" s="7" t="s">
        <v>685</v>
      </c>
      <c r="E188" s="8" t="s">
        <v>715</v>
      </c>
      <c r="F188" s="6" t="s">
        <v>716</v>
      </c>
      <c r="G188" s="9">
        <f>IF(A188=1,"_",IF(C188="_","???",C188))</f>
        <v/>
      </c>
      <c r="H188" s="10" t="s">
        <v>12</v>
      </c>
      <c r="I188" s="11" t="s">
        <v>12</v>
      </c>
      <c r="J188" s="12"/>
    </row>
    <row r="189" spans="1:10" ht="60" customHeight="1">
      <c r="A189" s="6" t="s">
        <v>717</v>
      </c>
      <c r="B189" s="6" t="s">
        <v>10</v>
      </c>
      <c r="C189" s="6" t="s">
        <v>221</v>
      </c>
      <c r="D189" s="7" t="s">
        <v>718</v>
      </c>
      <c r="E189" s="8" t="s">
        <v>719</v>
      </c>
      <c r="F189" s="6" t="s">
        <v>720</v>
      </c>
      <c r="G189" s="9">
        <f>IF(A189=1,"_",IF(C189="_","???",C189))</f>
        <v/>
      </c>
      <c r="H189" s="10" t="s">
        <v>12</v>
      </c>
      <c r="I189" s="11" t="s">
        <v>12</v>
      </c>
      <c r="J189" s="12"/>
    </row>
    <row r="190" spans="1:10" ht="60" customHeight="1">
      <c r="A190" s="6" t="s">
        <v>721</v>
      </c>
      <c r="B190" s="6" t="s">
        <v>24</v>
      </c>
      <c r="C190" s="6" t="s">
        <v>12</v>
      </c>
      <c r="D190" s="7" t="s">
        <v>214</v>
      </c>
      <c r="E190" s="8" t="s">
        <v>722</v>
      </c>
      <c r="F190" s="6" t="s">
        <v>723</v>
      </c>
      <c r="G190" s="9">
        <f>IF(A190=1,"_",IF(C190="_","???",C190))</f>
        <v/>
      </c>
      <c r="H190" s="10" t="s">
        <v>12</v>
      </c>
      <c r="I190" s="11" t="s">
        <v>12</v>
      </c>
      <c r="J190" s="12"/>
    </row>
    <row r="191" spans="1:10" ht="60" customHeight="1">
      <c r="A191" s="6" t="s">
        <v>724</v>
      </c>
      <c r="B191" s="6" t="s">
        <v>19</v>
      </c>
      <c r="C191" s="6" t="s">
        <v>12</v>
      </c>
      <c r="D191" s="7" t="s">
        <v>725</v>
      </c>
      <c r="E191" s="8" t="s">
        <v>726</v>
      </c>
      <c r="F191" s="6" t="s">
        <v>727</v>
      </c>
      <c r="G191" s="9">
        <f>IF(A191=1,"_",IF(C191="_","???",C191))</f>
        <v/>
      </c>
      <c r="H191" s="10" t="s">
        <v>12</v>
      </c>
      <c r="I191" s="11" t="s">
        <v>12</v>
      </c>
      <c r="J191" s="12"/>
    </row>
    <row r="192" spans="1:10" ht="60" customHeight="1">
      <c r="A192" s="6" t="s">
        <v>728</v>
      </c>
      <c r="B192" s="6" t="s">
        <v>34</v>
      </c>
      <c r="C192" s="6" t="s">
        <v>12</v>
      </c>
      <c r="D192" s="7" t="s">
        <v>729</v>
      </c>
      <c r="E192" s="8" t="s">
        <v>730</v>
      </c>
      <c r="F192" s="6" t="s">
        <v>731</v>
      </c>
      <c r="G192" s="9">
        <f>IF(A192=1,"_",IF(C192="_","???",C192))</f>
        <v/>
      </c>
      <c r="H192" s="10" t="s">
        <v>12</v>
      </c>
      <c r="I192" s="11" t="s">
        <v>12</v>
      </c>
      <c r="J192" s="12"/>
    </row>
    <row r="193" spans="1:10" ht="60" customHeight="1">
      <c r="A193" s="6" t="s">
        <v>732</v>
      </c>
      <c r="B193" s="6" t="s">
        <v>10</v>
      </c>
      <c r="C193" s="6" t="s">
        <v>288</v>
      </c>
      <c r="D193" s="7" t="s">
        <v>733</v>
      </c>
      <c r="E193" s="8" t="s">
        <v>734</v>
      </c>
      <c r="F193" s="6" t="s">
        <v>735</v>
      </c>
      <c r="G193" s="9">
        <f>IF(A193=1,"_",IF(C193="_","???",C193))</f>
        <v/>
      </c>
      <c r="H193" s="10" t="s">
        <v>12</v>
      </c>
      <c r="I193" s="11" t="s">
        <v>12</v>
      </c>
      <c r="J193" s="12"/>
    </row>
    <row r="194" spans="1:10" ht="60" customHeight="1">
      <c r="A194" s="6" t="s">
        <v>736</v>
      </c>
      <c r="B194" s="6" t="s">
        <v>10</v>
      </c>
      <c r="C194" s="6" t="s">
        <v>12</v>
      </c>
      <c r="D194" s="7" t="s">
        <v>733</v>
      </c>
      <c r="E194" s="8" t="s">
        <v>737</v>
      </c>
      <c r="F194" s="6" t="s">
        <v>738</v>
      </c>
      <c r="G194" s="9">
        <f>IF(A194=1,"_",IF(C194="_","???",C194))</f>
        <v/>
      </c>
      <c r="H194" s="10" t="s">
        <v>12</v>
      </c>
      <c r="I194" s="11" t="s">
        <v>12</v>
      </c>
      <c r="J194" s="12"/>
    </row>
    <row r="195" spans="1:10" ht="60" customHeight="1">
      <c r="A195" s="6" t="s">
        <v>739</v>
      </c>
      <c r="B195" s="6" t="s">
        <v>11</v>
      </c>
      <c r="C195" s="6" t="s">
        <v>12</v>
      </c>
      <c r="D195" s="7" t="s">
        <v>104</v>
      </c>
      <c r="E195" s="8" t="s">
        <v>740</v>
      </c>
      <c r="F195" s="6" t="s">
        <v>741</v>
      </c>
      <c r="G195" s="9">
        <f>IF(A195=1,"_",IF(C195="_","???",C195))</f>
        <v/>
      </c>
      <c r="H195" s="10" t="s">
        <v>12</v>
      </c>
      <c r="I195" s="11" t="s">
        <v>12</v>
      </c>
      <c r="J195" s="12"/>
    </row>
    <row r="196" spans="1:10" ht="60" customHeight="1">
      <c r="A196" s="6" t="s">
        <v>742</v>
      </c>
      <c r="B196" s="6" t="s">
        <v>11</v>
      </c>
      <c r="C196" s="6" t="s">
        <v>12</v>
      </c>
      <c r="D196" s="7" t="s">
        <v>743</v>
      </c>
      <c r="E196" s="8" t="s">
        <v>744</v>
      </c>
      <c r="F196" s="6" t="s">
        <v>745</v>
      </c>
      <c r="G196" s="9">
        <f>IF(A196=1,"_",IF(C196="_","???",C196))</f>
        <v/>
      </c>
      <c r="H196" s="10" t="s">
        <v>12</v>
      </c>
      <c r="I196" s="11" t="s">
        <v>12</v>
      </c>
      <c r="J196" s="12"/>
    </row>
    <row r="197" spans="1:10" ht="60" customHeight="1">
      <c r="A197" s="6" t="s">
        <v>746</v>
      </c>
      <c r="B197" s="6" t="s">
        <v>11</v>
      </c>
      <c r="C197" s="6" t="s">
        <v>12</v>
      </c>
      <c r="D197" s="7" t="s">
        <v>729</v>
      </c>
      <c r="E197" s="8" t="s">
        <v>747</v>
      </c>
      <c r="F197" s="6" t="s">
        <v>748</v>
      </c>
      <c r="G197" s="9">
        <f>IF(A197=1,"_",IF(C197="_","???",C197))</f>
        <v/>
      </c>
      <c r="H197" s="10" t="s">
        <v>12</v>
      </c>
      <c r="I197" s="11" t="s">
        <v>12</v>
      </c>
      <c r="J197" s="12"/>
    </row>
    <row r="198" spans="1:10" ht="60" customHeight="1">
      <c r="A198" s="6" t="s">
        <v>749</v>
      </c>
      <c r="B198" s="6" t="s">
        <v>10</v>
      </c>
      <c r="C198" s="6" t="s">
        <v>12</v>
      </c>
      <c r="D198" s="7" t="s">
        <v>693</v>
      </c>
      <c r="E198" s="8" t="s">
        <v>750</v>
      </c>
      <c r="F198" s="6" t="s">
        <v>751</v>
      </c>
      <c r="G198" s="9">
        <f>IF(A198=1,"_",IF(C198="_","???",C198))</f>
        <v/>
      </c>
      <c r="H198" s="10" t="s">
        <v>12</v>
      </c>
      <c r="I198" s="11" t="s">
        <v>12</v>
      </c>
      <c r="J198" s="12"/>
    </row>
    <row r="199" spans="1:10" ht="60" customHeight="1">
      <c r="A199" s="6" t="s">
        <v>752</v>
      </c>
      <c r="B199" s="6" t="s">
        <v>24</v>
      </c>
      <c r="C199" s="6" t="s">
        <v>25</v>
      </c>
      <c r="D199" s="7" t="s">
        <v>753</v>
      </c>
      <c r="E199" s="8" t="s">
        <v>754</v>
      </c>
      <c r="F199" s="6" t="s">
        <v>755</v>
      </c>
      <c r="G199" s="9">
        <f>IF(A199=1,"_",IF(C199="_","???",C199))</f>
        <v/>
      </c>
      <c r="H199" s="10" t="s">
        <v>12</v>
      </c>
      <c r="I199" s="11" t="s">
        <v>12</v>
      </c>
      <c r="J199" s="12"/>
    </row>
    <row r="200" spans="1:10" ht="60" customHeight="1">
      <c r="A200" s="6" t="s">
        <v>756</v>
      </c>
      <c r="B200" s="6" t="s">
        <v>99</v>
      </c>
      <c r="C200" s="6" t="s">
        <v>54</v>
      </c>
      <c r="D200" s="7" t="s">
        <v>757</v>
      </c>
      <c r="E200" s="8" t="s">
        <v>758</v>
      </c>
      <c r="F200" s="6" t="s">
        <v>759</v>
      </c>
      <c r="G200" s="9">
        <f>IF(A200=1,"_",IF(C200="_","???",C200))</f>
        <v/>
      </c>
      <c r="H200" s="10" t="s">
        <v>12</v>
      </c>
      <c r="I200" s="11" t="s">
        <v>12</v>
      </c>
      <c r="J200" s="12"/>
    </row>
    <row r="201" spans="1:10" ht="60" customHeight="1">
      <c r="A201" s="6" t="s">
        <v>760</v>
      </c>
      <c r="B201" s="6" t="s">
        <v>19</v>
      </c>
      <c r="C201" s="6" t="s">
        <v>12</v>
      </c>
      <c r="D201" s="7" t="s">
        <v>761</v>
      </c>
      <c r="E201" s="8" t="s">
        <v>762</v>
      </c>
      <c r="F201" s="6" t="s">
        <v>763</v>
      </c>
      <c r="G201" s="9">
        <f>IF(A201=1,"_",IF(C201="_","???",C201))</f>
        <v/>
      </c>
      <c r="H201" s="10" t="s">
        <v>12</v>
      </c>
      <c r="I201" s="11" t="s">
        <v>12</v>
      </c>
      <c r="J201" s="12"/>
    </row>
    <row r="202" spans="1:10" ht="60" customHeight="1">
      <c r="A202" s="6" t="s">
        <v>764</v>
      </c>
      <c r="B202" s="6" t="s">
        <v>10</v>
      </c>
      <c r="C202" s="6" t="s">
        <v>12</v>
      </c>
      <c r="D202" s="7" t="s">
        <v>202</v>
      </c>
      <c r="E202" s="8" t="s">
        <v>202</v>
      </c>
      <c r="F202" s="6" t="s">
        <v>765</v>
      </c>
      <c r="G202" s="9">
        <f>IF(A202=1,"_",IF(C202="_","???",C202))</f>
        <v/>
      </c>
      <c r="H202" s="10" t="s">
        <v>12</v>
      </c>
      <c r="I202" s="11" t="s">
        <v>12</v>
      </c>
      <c r="J202" s="12"/>
    </row>
    <row r="203" spans="1:10" ht="60" customHeight="1">
      <c r="A203" s="6" t="s">
        <v>766</v>
      </c>
      <c r="B203" s="6" t="s">
        <v>11</v>
      </c>
      <c r="C203" s="6" t="s">
        <v>767</v>
      </c>
      <c r="D203" s="7" t="s">
        <v>768</v>
      </c>
      <c r="E203" s="8" t="s">
        <v>769</v>
      </c>
      <c r="F203" s="6" t="s">
        <v>770</v>
      </c>
      <c r="G203" s="9">
        <f>IF(A203=1,"_",IF(C203="_","???",C203))</f>
        <v/>
      </c>
      <c r="H203" s="10" t="s">
        <v>12</v>
      </c>
      <c r="I203" s="11" t="s">
        <v>12</v>
      </c>
      <c r="J203" s="12"/>
    </row>
    <row r="204" spans="1:10" ht="60" customHeight="1">
      <c r="A204" s="6" t="s">
        <v>771</v>
      </c>
      <c r="B204" s="6" t="s">
        <v>19</v>
      </c>
      <c r="C204" s="6" t="s">
        <v>12</v>
      </c>
      <c r="D204" s="7" t="s">
        <v>772</v>
      </c>
      <c r="E204" s="8" t="s">
        <v>773</v>
      </c>
      <c r="F204" s="6" t="s">
        <v>774</v>
      </c>
      <c r="G204" s="9">
        <f>IF(A204=1,"_",IF(C204="_","???",C204))</f>
        <v/>
      </c>
      <c r="H204" s="10" t="s">
        <v>12</v>
      </c>
      <c r="I204" s="11" t="s">
        <v>12</v>
      </c>
      <c r="J204" s="12"/>
    </row>
    <row r="205" spans="1:10" ht="60" customHeight="1">
      <c r="A205" s="6" t="s">
        <v>775</v>
      </c>
      <c r="B205" s="6" t="s">
        <v>20</v>
      </c>
      <c r="C205" s="6" t="s">
        <v>60</v>
      </c>
      <c r="D205" s="7" t="s">
        <v>26</v>
      </c>
      <c r="E205" s="8" t="s">
        <v>776</v>
      </c>
      <c r="F205" s="6" t="s">
        <v>777</v>
      </c>
      <c r="G205" s="9">
        <f>IF(A205=1,"_",IF(C205="_","???",C205))</f>
        <v/>
      </c>
      <c r="H205" s="10" t="s">
        <v>12</v>
      </c>
      <c r="I205" s="11" t="s">
        <v>12</v>
      </c>
      <c r="J205" s="12"/>
    </row>
    <row r="206" spans="1:10" ht="60" customHeight="1">
      <c r="A206" s="6" t="s">
        <v>778</v>
      </c>
      <c r="B206" s="6" t="s">
        <v>11</v>
      </c>
      <c r="C206" s="6" t="s">
        <v>12</v>
      </c>
      <c r="D206" s="7" t="s">
        <v>598</v>
      </c>
      <c r="E206" s="8" t="s">
        <v>779</v>
      </c>
      <c r="F206" s="6" t="s">
        <v>780</v>
      </c>
      <c r="G206" s="9">
        <f>IF(A206=1,"_",IF(C206="_","???",C206))</f>
        <v/>
      </c>
      <c r="H206" s="10" t="s">
        <v>12</v>
      </c>
      <c r="I206" s="11" t="s">
        <v>12</v>
      </c>
      <c r="J206" s="12"/>
    </row>
    <row r="207" spans="1:10" ht="60" customHeight="1">
      <c r="A207" s="6" t="s">
        <v>781</v>
      </c>
      <c r="B207" s="6" t="s">
        <v>11</v>
      </c>
      <c r="C207" s="6" t="s">
        <v>12</v>
      </c>
      <c r="D207" s="7" t="s">
        <v>782</v>
      </c>
      <c r="E207" s="8" t="s">
        <v>783</v>
      </c>
      <c r="F207" s="6" t="s">
        <v>784</v>
      </c>
      <c r="G207" s="9">
        <f>IF(A207=1,"_",IF(C207="_","???",C207))</f>
        <v/>
      </c>
      <c r="H207" s="10" t="s">
        <v>12</v>
      </c>
      <c r="I207" s="11" t="s">
        <v>12</v>
      </c>
      <c r="J207" s="12"/>
    </row>
    <row r="208" spans="1:10" ht="60" customHeight="1">
      <c r="A208" s="6" t="s">
        <v>785</v>
      </c>
      <c r="B208" s="6" t="s">
        <v>30</v>
      </c>
      <c r="C208" s="6" t="s">
        <v>25</v>
      </c>
      <c r="D208" s="7" t="s">
        <v>786</v>
      </c>
      <c r="E208" s="8" t="s">
        <v>787</v>
      </c>
      <c r="F208" s="6" t="s">
        <v>788</v>
      </c>
      <c r="G208" s="9">
        <f>IF(A208=1,"_",IF(C208="_","???",C208))</f>
        <v/>
      </c>
      <c r="H208" s="10" t="s">
        <v>12</v>
      </c>
      <c r="I208" s="11" t="s">
        <v>12</v>
      </c>
      <c r="J208" s="12"/>
    </row>
    <row r="209" spans="1:10" ht="60" customHeight="1">
      <c r="A209" s="6" t="s">
        <v>789</v>
      </c>
      <c r="B209" s="6" t="s">
        <v>10</v>
      </c>
      <c r="C209" s="6" t="s">
        <v>12</v>
      </c>
      <c r="D209" s="7" t="s">
        <v>790</v>
      </c>
      <c r="E209" s="8" t="s">
        <v>790</v>
      </c>
      <c r="F209" s="6" t="s">
        <v>791</v>
      </c>
      <c r="G209" s="9">
        <f>IF(A209=1,"_",IF(C209="_","???",C209))</f>
        <v/>
      </c>
      <c r="H209" s="10" t="s">
        <v>12</v>
      </c>
      <c r="I209" s="11" t="s">
        <v>12</v>
      </c>
      <c r="J209" s="12"/>
    </row>
    <row r="210" spans="1:10" ht="60" customHeight="1">
      <c r="A210" s="6" t="s">
        <v>792</v>
      </c>
      <c r="B210" s="6" t="s">
        <v>49</v>
      </c>
      <c r="C210" s="6" t="s">
        <v>288</v>
      </c>
      <c r="D210" s="7" t="s">
        <v>793</v>
      </c>
      <c r="E210" s="8" t="s">
        <v>794</v>
      </c>
      <c r="F210" s="6" t="s">
        <v>795</v>
      </c>
      <c r="G210" s="9">
        <f>IF(A210=1,"_",IF(C210="_","???",C210))</f>
        <v/>
      </c>
      <c r="H210" s="10" t="s">
        <v>12</v>
      </c>
      <c r="I210" s="11" t="s">
        <v>12</v>
      </c>
      <c r="J210" s="12"/>
    </row>
    <row r="211" spans="1:10" ht="60" customHeight="1">
      <c r="A211" s="6" t="s">
        <v>796</v>
      </c>
      <c r="B211" s="6" t="s">
        <v>67</v>
      </c>
      <c r="C211" s="6" t="s">
        <v>54</v>
      </c>
      <c r="D211" s="7" t="s">
        <v>797</v>
      </c>
      <c r="E211" s="8" t="s">
        <v>798</v>
      </c>
      <c r="F211" s="6" t="s">
        <v>799</v>
      </c>
      <c r="G211" s="9">
        <f>IF(A211=1,"_",IF(C211="_","???",C211))</f>
        <v/>
      </c>
      <c r="H211" s="10" t="s">
        <v>12</v>
      </c>
      <c r="I211" s="11" t="s">
        <v>12</v>
      </c>
      <c r="J211" s="12"/>
    </row>
    <row r="212" spans="1:10" ht="60" customHeight="1">
      <c r="A212" s="6" t="s">
        <v>800</v>
      </c>
      <c r="B212" s="6" t="s">
        <v>11</v>
      </c>
      <c r="C212" s="6" t="s">
        <v>87</v>
      </c>
      <c r="D212" s="7" t="s">
        <v>729</v>
      </c>
      <c r="E212" s="8" t="s">
        <v>801</v>
      </c>
      <c r="F212" s="6" t="s">
        <v>802</v>
      </c>
      <c r="G212" s="9">
        <f>IF(A212=1,"_",IF(C212="_","???",C212))</f>
        <v/>
      </c>
      <c r="H212" s="10" t="s">
        <v>12</v>
      </c>
      <c r="I212" s="11" t="s">
        <v>12</v>
      </c>
      <c r="J212" s="12"/>
    </row>
    <row r="213" spans="1:10" ht="60" customHeight="1">
      <c r="A213" s="6" t="s">
        <v>803</v>
      </c>
      <c r="B213" s="6" t="s">
        <v>24</v>
      </c>
      <c r="C213" s="6" t="s">
        <v>12</v>
      </c>
      <c r="D213" s="7" t="s">
        <v>804</v>
      </c>
      <c r="E213" s="8" t="s">
        <v>805</v>
      </c>
      <c r="F213" s="6" t="s">
        <v>806</v>
      </c>
      <c r="G213" s="9">
        <f>IF(A213=1,"_",IF(C213="_","???",C213))</f>
        <v/>
      </c>
      <c r="H213" s="10" t="s">
        <v>12</v>
      </c>
      <c r="I213" s="11" t="s">
        <v>12</v>
      </c>
      <c r="J213" s="12"/>
    </row>
    <row r="214" spans="1:10" ht="60" customHeight="1">
      <c r="A214" s="6" t="s">
        <v>807</v>
      </c>
      <c r="B214" s="6" t="s">
        <v>10</v>
      </c>
      <c r="C214" s="6" t="s">
        <v>12</v>
      </c>
      <c r="D214" s="7" t="s">
        <v>808</v>
      </c>
      <c r="E214" s="8" t="s">
        <v>809</v>
      </c>
      <c r="F214" s="6" t="s">
        <v>810</v>
      </c>
      <c r="G214" s="9">
        <f>IF(A214=1,"_",IF(C214="_","???",C214))</f>
        <v/>
      </c>
      <c r="H214" s="10" t="s">
        <v>12</v>
      </c>
      <c r="I214" s="11" t="s">
        <v>12</v>
      </c>
      <c r="J214" s="12"/>
    </row>
    <row r="215" spans="1:10" ht="60" customHeight="1">
      <c r="A215" s="6" t="s">
        <v>811</v>
      </c>
      <c r="B215" s="6" t="s">
        <v>11</v>
      </c>
      <c r="C215" s="6" t="s">
        <v>12</v>
      </c>
      <c r="D215" s="7" t="s">
        <v>761</v>
      </c>
      <c r="E215" s="8" t="s">
        <v>812</v>
      </c>
      <c r="F215" s="6" t="s">
        <v>813</v>
      </c>
      <c r="G215" s="9">
        <f>IF(A215=1,"_",IF(C215="_","???",C215))</f>
        <v/>
      </c>
      <c r="H215" s="10" t="s">
        <v>12</v>
      </c>
      <c r="I215" s="11" t="s">
        <v>12</v>
      </c>
      <c r="J215" s="12"/>
    </row>
    <row r="216" spans="1:10" ht="60" customHeight="1">
      <c r="A216" s="6" t="s">
        <v>814</v>
      </c>
      <c r="B216" s="6" t="s">
        <v>11</v>
      </c>
      <c r="C216" s="6" t="s">
        <v>12</v>
      </c>
      <c r="D216" s="7" t="s">
        <v>594</v>
      </c>
      <c r="E216" s="8" t="s">
        <v>815</v>
      </c>
      <c r="F216" s="6" t="s">
        <v>816</v>
      </c>
      <c r="G216" s="9">
        <f>IF(A216=1,"_",IF(C216="_","???",C216))</f>
        <v/>
      </c>
      <c r="H216" s="10" t="s">
        <v>12</v>
      </c>
      <c r="I216" s="11" t="s">
        <v>12</v>
      </c>
      <c r="J216" s="12"/>
    </row>
    <row r="217" spans="1:10" ht="60" customHeight="1">
      <c r="A217" s="6" t="s">
        <v>817</v>
      </c>
      <c r="B217" s="6" t="s">
        <v>11</v>
      </c>
      <c r="C217" s="6" t="s">
        <v>87</v>
      </c>
      <c r="D217" s="7" t="s">
        <v>21</v>
      </c>
      <c r="E217" s="8" t="s">
        <v>818</v>
      </c>
      <c r="F217" s="6" t="s">
        <v>819</v>
      </c>
      <c r="G217" s="9">
        <f>IF(A217=1,"_",IF(C217="_","???",C217))</f>
        <v/>
      </c>
      <c r="H217" s="10" t="s">
        <v>12</v>
      </c>
      <c r="I217" s="11" t="s">
        <v>12</v>
      </c>
      <c r="J217" s="12"/>
    </row>
    <row r="218" spans="1:10" ht="60" customHeight="1">
      <c r="A218" s="6" t="s">
        <v>820</v>
      </c>
      <c r="B218" s="6" t="s">
        <v>24</v>
      </c>
      <c r="C218" s="6" t="s">
        <v>25</v>
      </c>
      <c r="D218" s="7" t="s">
        <v>470</v>
      </c>
      <c r="E218" s="8" t="s">
        <v>821</v>
      </c>
      <c r="F218" s="6" t="s">
        <v>822</v>
      </c>
      <c r="G218" s="9">
        <f>IF(A218=1,"_",IF(C218="_","???",C218))</f>
        <v/>
      </c>
      <c r="H218" s="10" t="s">
        <v>12</v>
      </c>
      <c r="I218" s="11" t="s">
        <v>12</v>
      </c>
      <c r="J218" s="12"/>
    </row>
    <row r="219" spans="1:10" ht="60" customHeight="1">
      <c r="A219" s="6" t="s">
        <v>823</v>
      </c>
      <c r="B219" s="6" t="s">
        <v>40</v>
      </c>
      <c r="C219" s="6" t="s">
        <v>25</v>
      </c>
      <c r="D219" s="7" t="s">
        <v>230</v>
      </c>
      <c r="E219" s="8" t="s">
        <v>824</v>
      </c>
      <c r="F219" s="6" t="s">
        <v>825</v>
      </c>
      <c r="G219" s="9">
        <f>IF(A219=1,"_",IF(C219="_","???",C219))</f>
        <v/>
      </c>
      <c r="H219" s="10" t="s">
        <v>12</v>
      </c>
      <c r="I219" s="11" t="s">
        <v>12</v>
      </c>
      <c r="J219" s="12"/>
    </row>
    <row r="220" spans="1:10" ht="60" customHeight="1">
      <c r="A220" s="6" t="s">
        <v>826</v>
      </c>
      <c r="B220" s="6" t="s">
        <v>11</v>
      </c>
      <c r="C220" s="6" t="s">
        <v>12</v>
      </c>
      <c r="D220" s="7" t="s">
        <v>693</v>
      </c>
      <c r="E220" s="8" t="s">
        <v>827</v>
      </c>
      <c r="F220" s="6" t="s">
        <v>828</v>
      </c>
      <c r="G220" s="9">
        <f>IF(A220=1,"_",IF(C220="_","???",C220))</f>
        <v/>
      </c>
      <c r="H220" s="10" t="s">
        <v>12</v>
      </c>
      <c r="I220" s="11" t="s">
        <v>12</v>
      </c>
      <c r="J220" s="12"/>
    </row>
    <row r="221" spans="1:10" ht="60" customHeight="1">
      <c r="A221" s="6" t="s">
        <v>829</v>
      </c>
      <c r="B221" s="6" t="s">
        <v>29</v>
      </c>
      <c r="C221" s="6" t="s">
        <v>221</v>
      </c>
      <c r="D221" s="7" t="s">
        <v>830</v>
      </c>
      <c r="E221" s="8" t="s">
        <v>831</v>
      </c>
      <c r="F221" s="6" t="s">
        <v>832</v>
      </c>
      <c r="G221" s="9">
        <f>IF(A221=1,"_",IF(C221="_","???",C221))</f>
        <v/>
      </c>
      <c r="H221" s="10" t="s">
        <v>12</v>
      </c>
      <c r="I221" s="11" t="s">
        <v>12</v>
      </c>
      <c r="J221" s="12"/>
    </row>
    <row r="222" spans="1:10" ht="60" customHeight="1">
      <c r="A222" s="6" t="s">
        <v>833</v>
      </c>
      <c r="B222" s="6" t="s">
        <v>67</v>
      </c>
      <c r="C222" s="6" t="s">
        <v>12</v>
      </c>
      <c r="D222" s="7" t="s">
        <v>834</v>
      </c>
      <c r="E222" s="8" t="s">
        <v>835</v>
      </c>
      <c r="F222" s="6" t="s">
        <v>836</v>
      </c>
      <c r="G222" s="9">
        <f>IF(A222=1,"_",IF(C222="_","???",C222))</f>
        <v/>
      </c>
      <c r="H222" s="10" t="s">
        <v>12</v>
      </c>
      <c r="I222" s="11" t="s">
        <v>12</v>
      </c>
      <c r="J222" s="12"/>
    </row>
    <row r="223" spans="1:10" ht="60" customHeight="1">
      <c r="A223" s="6" t="s">
        <v>837</v>
      </c>
      <c r="B223" s="6" t="s">
        <v>11</v>
      </c>
      <c r="C223" s="6" t="s">
        <v>12</v>
      </c>
      <c r="D223" s="7" t="s">
        <v>21</v>
      </c>
      <c r="E223" s="8" t="s">
        <v>838</v>
      </c>
      <c r="F223" s="6" t="s">
        <v>839</v>
      </c>
      <c r="G223" s="9">
        <f>IF(A223=1,"_",IF(C223="_","???",C223))</f>
        <v/>
      </c>
      <c r="H223" s="10" t="s">
        <v>12</v>
      </c>
      <c r="I223" s="11" t="s">
        <v>12</v>
      </c>
      <c r="J223" s="12"/>
    </row>
    <row r="224" spans="1:10" ht="60" customHeight="1">
      <c r="A224" s="6" t="s">
        <v>840</v>
      </c>
      <c r="B224" s="6" t="s">
        <v>10</v>
      </c>
      <c r="C224" s="6" t="s">
        <v>12</v>
      </c>
      <c r="D224" s="7" t="s">
        <v>841</v>
      </c>
      <c r="E224" s="8" t="s">
        <v>842</v>
      </c>
      <c r="F224" s="6" t="s">
        <v>843</v>
      </c>
      <c r="G224" s="9">
        <f>IF(A224=1,"_",IF(C224="_","???",C224))</f>
        <v/>
      </c>
      <c r="H224" s="10" t="s">
        <v>12</v>
      </c>
      <c r="I224" s="11" t="s">
        <v>12</v>
      </c>
      <c r="J224" s="12"/>
    </row>
    <row r="225" spans="1:10" ht="60" customHeight="1">
      <c r="A225" s="6" t="s">
        <v>844</v>
      </c>
      <c r="B225" s="6" t="s">
        <v>24</v>
      </c>
      <c r="C225" s="6" t="s">
        <v>12</v>
      </c>
      <c r="D225" s="7" t="s">
        <v>845</v>
      </c>
      <c r="E225" s="8" t="s">
        <v>846</v>
      </c>
      <c r="F225" s="6" t="s">
        <v>847</v>
      </c>
      <c r="G225" s="9">
        <f>IF(A225=1,"_",IF(C225="_","???",C225))</f>
        <v/>
      </c>
      <c r="H225" s="10" t="s">
        <v>12</v>
      </c>
      <c r="I225" s="11" t="s">
        <v>12</v>
      </c>
      <c r="J225" s="12"/>
    </row>
    <row r="226" spans="1:10" ht="60" customHeight="1">
      <c r="A226" s="6" t="s">
        <v>848</v>
      </c>
      <c r="B226" s="6" t="s">
        <v>11</v>
      </c>
      <c r="C226" s="6" t="s">
        <v>12</v>
      </c>
      <c r="D226" s="7" t="s">
        <v>685</v>
      </c>
      <c r="E226" s="8" t="s">
        <v>849</v>
      </c>
      <c r="F226" s="6" t="s">
        <v>850</v>
      </c>
      <c r="G226" s="9">
        <f>IF(A226=1,"_",IF(C226="_","???",C226))</f>
        <v/>
      </c>
      <c r="H226" s="10" t="s">
        <v>12</v>
      </c>
      <c r="I226" s="11" t="s">
        <v>12</v>
      </c>
      <c r="J226" s="12"/>
    </row>
    <row r="227" spans="1:10" ht="60" customHeight="1">
      <c r="A227" s="6" t="s">
        <v>851</v>
      </c>
      <c r="B227" s="6" t="s">
        <v>19</v>
      </c>
      <c r="C227" s="6" t="s">
        <v>12</v>
      </c>
      <c r="D227" s="7" t="s">
        <v>31</v>
      </c>
      <c r="E227" s="8" t="s">
        <v>852</v>
      </c>
      <c r="F227" s="6" t="s">
        <v>853</v>
      </c>
      <c r="G227" s="9">
        <f>IF(A227=1,"_",IF(C227="_","???",C227))</f>
        <v/>
      </c>
      <c r="H227" s="10" t="s">
        <v>12</v>
      </c>
      <c r="I227" s="11" t="s">
        <v>12</v>
      </c>
      <c r="J227" s="12"/>
    </row>
    <row r="228" spans="1:10" ht="60" customHeight="1">
      <c r="A228" s="6" t="s">
        <v>854</v>
      </c>
      <c r="B228" s="6" t="s">
        <v>10</v>
      </c>
      <c r="C228" s="6" t="s">
        <v>12</v>
      </c>
      <c r="D228" s="7" t="s">
        <v>26</v>
      </c>
      <c r="E228" s="8" t="s">
        <v>855</v>
      </c>
      <c r="F228" s="6" t="s">
        <v>856</v>
      </c>
      <c r="G228" s="9">
        <f>IF(A228=1,"_",IF(C228="_","???",C228))</f>
        <v/>
      </c>
      <c r="H228" s="10" t="s">
        <v>12</v>
      </c>
      <c r="I228" s="11" t="s">
        <v>12</v>
      </c>
      <c r="J228" s="12"/>
    </row>
    <row r="229" spans="1:10" ht="60" customHeight="1">
      <c r="A229" s="6" t="s">
        <v>857</v>
      </c>
      <c r="B229" s="6" t="s">
        <v>19</v>
      </c>
      <c r="C229" s="6" t="s">
        <v>12</v>
      </c>
      <c r="D229" s="7" t="s">
        <v>858</v>
      </c>
      <c r="E229" s="8" t="s">
        <v>859</v>
      </c>
      <c r="F229" s="6" t="s">
        <v>860</v>
      </c>
      <c r="G229" s="9">
        <f>IF(A229=1,"_",IF(C229="_","???",C229))</f>
        <v/>
      </c>
      <c r="H229" s="10" t="s">
        <v>12</v>
      </c>
      <c r="I229" s="11" t="s">
        <v>12</v>
      </c>
      <c r="J229" s="12"/>
    </row>
    <row r="230" spans="1:10" ht="60" customHeight="1">
      <c r="A230" s="6" t="s">
        <v>861</v>
      </c>
      <c r="B230" s="6" t="s">
        <v>11</v>
      </c>
      <c r="C230" s="6" t="s">
        <v>12</v>
      </c>
      <c r="D230" s="7" t="s">
        <v>858</v>
      </c>
      <c r="E230" s="8" t="s">
        <v>862</v>
      </c>
      <c r="F230" s="6" t="s">
        <v>863</v>
      </c>
      <c r="G230" s="9">
        <f>IF(A230=1,"_",IF(C230="_","???",C230))</f>
        <v/>
      </c>
      <c r="H230" s="10" t="s">
        <v>12</v>
      </c>
      <c r="I230" s="11" t="s">
        <v>12</v>
      </c>
      <c r="J230" s="12"/>
    </row>
    <row r="231" spans="1:10" ht="60" customHeight="1">
      <c r="A231" s="6" t="s">
        <v>864</v>
      </c>
      <c r="B231" s="6" t="s">
        <v>58</v>
      </c>
      <c r="C231" s="6" t="s">
        <v>195</v>
      </c>
      <c r="D231" s="7" t="s">
        <v>865</v>
      </c>
      <c r="E231" s="8" t="s">
        <v>866</v>
      </c>
      <c r="F231" s="6" t="s">
        <v>867</v>
      </c>
      <c r="G231" s="9">
        <f>IF(A231=1,"_",IF(C231="_","???",C231))</f>
        <v/>
      </c>
      <c r="H231" s="10" t="s">
        <v>12</v>
      </c>
      <c r="I231" s="11" t="s">
        <v>12</v>
      </c>
      <c r="J231" s="12"/>
    </row>
    <row r="232" spans="1:10" ht="60" customHeight="1">
      <c r="A232" s="6" t="s">
        <v>868</v>
      </c>
      <c r="B232" s="6" t="s">
        <v>19</v>
      </c>
      <c r="C232" s="6" t="s">
        <v>12</v>
      </c>
      <c r="D232" s="7" t="s">
        <v>729</v>
      </c>
      <c r="E232" s="8" t="s">
        <v>869</v>
      </c>
      <c r="F232" s="6" t="s">
        <v>870</v>
      </c>
      <c r="G232" s="9">
        <f>IF(A232=1,"_",IF(C232="_","???",C232))</f>
        <v/>
      </c>
      <c r="H232" s="10" t="s">
        <v>12</v>
      </c>
      <c r="I232" s="11" t="s">
        <v>12</v>
      </c>
      <c r="J232" s="12"/>
    </row>
    <row r="233" spans="1:10" ht="60" customHeight="1">
      <c r="A233" s="6" t="s">
        <v>871</v>
      </c>
      <c r="B233" s="6" t="s">
        <v>24</v>
      </c>
      <c r="C233" s="6" t="s">
        <v>54</v>
      </c>
      <c r="D233" s="7" t="s">
        <v>872</v>
      </c>
      <c r="E233" s="8" t="s">
        <v>873</v>
      </c>
      <c r="F233" s="6" t="s">
        <v>874</v>
      </c>
      <c r="G233" s="9">
        <f>IF(A233=1,"_",IF(C233="_","???",C233))</f>
        <v/>
      </c>
      <c r="H233" s="10" t="s">
        <v>12</v>
      </c>
      <c r="I233" s="11" t="s">
        <v>12</v>
      </c>
      <c r="J233" s="12"/>
    </row>
    <row r="234" spans="1:10" ht="60" customHeight="1">
      <c r="A234" s="6" t="s">
        <v>875</v>
      </c>
      <c r="B234" s="6" t="s">
        <v>10</v>
      </c>
      <c r="C234" s="6" t="s">
        <v>12</v>
      </c>
      <c r="D234" s="7" t="s">
        <v>872</v>
      </c>
      <c r="E234" s="8" t="s">
        <v>876</v>
      </c>
      <c r="F234" s="6" t="s">
        <v>877</v>
      </c>
      <c r="G234" s="9">
        <f>IF(A234=1,"_",IF(C234="_","???",C234))</f>
        <v/>
      </c>
      <c r="H234" s="10" t="s">
        <v>12</v>
      </c>
      <c r="I234" s="11" t="s">
        <v>12</v>
      </c>
      <c r="J234" s="12"/>
    </row>
    <row r="235" spans="1:10" ht="60" customHeight="1">
      <c r="A235" s="6" t="s">
        <v>878</v>
      </c>
      <c r="B235" s="6" t="s">
        <v>10</v>
      </c>
      <c r="C235" s="6" t="s">
        <v>12</v>
      </c>
      <c r="D235" s="7" t="s">
        <v>879</v>
      </c>
      <c r="E235" s="8" t="s">
        <v>880</v>
      </c>
      <c r="F235" s="6" t="s">
        <v>881</v>
      </c>
      <c r="G235" s="9">
        <f>IF(A235=1,"_",IF(C235="_","???",C235))</f>
        <v/>
      </c>
      <c r="H235" s="10" t="s">
        <v>12</v>
      </c>
      <c r="I235" s="11" t="s">
        <v>12</v>
      </c>
      <c r="J235" s="12"/>
    </row>
    <row r="236" spans="1:10" ht="60" customHeight="1">
      <c r="A236" s="6" t="s">
        <v>882</v>
      </c>
      <c r="B236" s="6" t="s">
        <v>11</v>
      </c>
      <c r="C236" s="6" t="s">
        <v>12</v>
      </c>
      <c r="D236" s="7" t="s">
        <v>883</v>
      </c>
      <c r="E236" s="8" t="s">
        <v>884</v>
      </c>
      <c r="F236" s="6" t="s">
        <v>885</v>
      </c>
      <c r="G236" s="9">
        <f>IF(A236=1,"_",IF(C236="_","???",C236))</f>
        <v/>
      </c>
      <c r="H236" s="10" t="s">
        <v>12</v>
      </c>
      <c r="I236" s="11" t="s">
        <v>12</v>
      </c>
      <c r="J23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87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886</v>
      </c>
      <c r="B1" s="13" t="s">
        <v>887</v>
      </c>
      <c r="C1" s="13" t="s">
        <v>888</v>
      </c>
      <c r="D1" s="13" t="s">
        <v>889</v>
      </c>
      <c r="E1" s="14" t="s">
        <v>890</v>
      </c>
      <c r="F1" s="15" t="s">
        <v>891</v>
      </c>
      <c r="G1" s="16" t="s">
        <v>892</v>
      </c>
      <c r="H1" s="17" t="s">
        <v>893</v>
      </c>
      <c r="I1" s="18" t="s">
        <v>894</v>
      </c>
      <c r="J1" s="18" t="s">
        <v>895</v>
      </c>
      <c r="K1" s="18" t="s">
        <v>896</v>
      </c>
      <c r="L1" s="19" t="s">
        <v>9</v>
      </c>
    </row>
    <row r="2" spans="1:12">
      <c r="A2" s="20" t="s">
        <v>897</v>
      </c>
    </row>
    <row r="3" spans="1:12">
      <c r="A3" s="20" t="s">
        <v>898</v>
      </c>
      <c r="B3" s="21" t="s">
        <v>899</v>
      </c>
      <c r="C3" s="21" t="s">
        <v>900</v>
      </c>
      <c r="D3" s="21" t="s">
        <v>901</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902</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903</v>
      </c>
      <c r="B5" s="21" t="s">
        <v>904</v>
      </c>
      <c r="C5" s="21" t="s">
        <v>905</v>
      </c>
      <c r="D5" s="21" t="s">
        <v>901</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906</v>
      </c>
      <c r="B6" s="21" t="s">
        <v>907</v>
      </c>
      <c r="C6" s="21" t="s">
        <v>905</v>
      </c>
      <c r="D6" s="21" t="s">
        <v>901</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202</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row>
    <row r="9" spans="1:12">
      <c r="A9" s="20" t="s">
        <v>908</v>
      </c>
    </row>
    <row r="10" spans="1:12">
      <c r="A10" s="20" t="s">
        <v>909</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910</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911</v>
      </c>
      <c r="B12" s="21" t="s">
        <v>912</v>
      </c>
      <c r="C12" s="21" t="s">
        <v>913</v>
      </c>
      <c r="D12" s="21" t="s">
        <v>901</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914</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915</v>
      </c>
      <c r="B14" s="21" t="s">
        <v>912</v>
      </c>
      <c r="C14" s="21" t="s">
        <v>916</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202</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row>
    <row r="17" spans="1:12">
      <c r="A17" s="20" t="s">
        <v>917</v>
      </c>
    </row>
    <row r="18" spans="1:12">
      <c r="A18" s="20" t="s">
        <v>918</v>
      </c>
      <c r="B18" s="21" t="s">
        <v>904</v>
      </c>
      <c r="C18" s="21" t="s">
        <v>913</v>
      </c>
      <c r="D18" s="21" t="s">
        <v>901</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919</v>
      </c>
      <c r="B19" s="21" t="s">
        <v>907</v>
      </c>
      <c r="C19" s="21" t="s">
        <v>913</v>
      </c>
      <c r="D19" s="21" t="s">
        <v>901</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920</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921</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49</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922</v>
      </c>
      <c r="B23" s="21" t="s">
        <v>923</v>
      </c>
      <c r="C23" s="21" t="s">
        <v>924</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925</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926</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927</v>
      </c>
      <c r="B26" s="21" t="s">
        <v>928</v>
      </c>
      <c r="C26" s="21" t="s">
        <v>929</v>
      </c>
      <c r="D26" s="21" t="s">
        <v>901</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930</v>
      </c>
      <c r="B27" s="21" t="s">
        <v>923</v>
      </c>
      <c r="C27" s="21" t="s">
        <v>931</v>
      </c>
      <c r="D27" s="21" t="s">
        <v>901</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932</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933</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934</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935</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936</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914</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937</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914</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938</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939</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681</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926</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940</v>
      </c>
      <c r="B40" s="21" t="s">
        <v>941</v>
      </c>
      <c r="C40" s="21" t="s">
        <v>931</v>
      </c>
      <c r="D40" s="21" t="s">
        <v>901</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942</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943</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944</v>
      </c>
      <c r="B43" s="21" t="s">
        <v>928</v>
      </c>
      <c r="C43" s="21" t="s">
        <v>931</v>
      </c>
      <c r="D43" s="21" t="s">
        <v>901</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945</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946</v>
      </c>
      <c r="B45" s="21" t="s">
        <v>947</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948</v>
      </c>
      <c r="B46" s="21" t="s">
        <v>949</v>
      </c>
      <c r="C46" s="21" t="s">
        <v>900</v>
      </c>
      <c r="D46" s="21" t="s">
        <v>901</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936</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942</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926</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940</v>
      </c>
      <c r="B50" s="21" t="s">
        <v>950</v>
      </c>
      <c r="C50" s="21" t="s">
        <v>913</v>
      </c>
      <c r="D50" s="21" t="s">
        <v>901</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914</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933</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919</v>
      </c>
      <c r="B53" s="21" t="s">
        <v>951</v>
      </c>
      <c r="C53" s="21" t="s">
        <v>931</v>
      </c>
      <c r="D53" s="21" t="s">
        <v>901</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920</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202</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row>
    <row r="57" spans="1:12">
      <c r="A57" s="20" t="s">
        <v>952</v>
      </c>
    </row>
    <row r="58" spans="1:12">
      <c r="A58" s="20" t="s">
        <v>953</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954</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948</v>
      </c>
      <c r="B60" s="21" t="s">
        <v>955</v>
      </c>
      <c r="C60" s="21" t="s">
        <v>900</v>
      </c>
      <c r="D60" s="21" t="s">
        <v>901</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956</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957</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958</v>
      </c>
      <c r="B63" s="21" t="s">
        <v>899</v>
      </c>
      <c r="C63" s="21" t="s">
        <v>959</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960</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925</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961</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942</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926</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962</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963</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964</v>
      </c>
      <c r="B71" s="21" t="s">
        <v>965</v>
      </c>
      <c r="C71" s="21" t="s">
        <v>916</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960</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966</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967</v>
      </c>
      <c r="B74" s="21" t="s">
        <v>950</v>
      </c>
      <c r="C74" s="21" t="s">
        <v>968</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969</v>
      </c>
      <c r="B75" s="21" t="s">
        <v>941</v>
      </c>
      <c r="C75" s="21" t="s">
        <v>900</v>
      </c>
      <c r="D75" s="21" t="s">
        <v>901</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960</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970</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632</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963</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971</v>
      </c>
      <c r="B80" s="21" t="s">
        <v>949</v>
      </c>
      <c r="C80" s="21" t="s">
        <v>916</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970</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470</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919</v>
      </c>
      <c r="B83" s="21" t="s">
        <v>972</v>
      </c>
      <c r="C83" s="21" t="s">
        <v>916</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963</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973</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925</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974</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202</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row>
    <row r="90" spans="1:12">
      <c r="A90" s="20" t="s">
        <v>975</v>
      </c>
    </row>
    <row r="91" spans="1:12">
      <c r="A91" s="20" t="s">
        <v>976</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926</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977</v>
      </c>
      <c r="B93" s="21" t="s">
        <v>912</v>
      </c>
      <c r="C93" s="21" t="s">
        <v>931</v>
      </c>
      <c r="D93" s="21" t="s">
        <v>901</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978</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979</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980</v>
      </c>
      <c r="B96" s="21" t="s">
        <v>899</v>
      </c>
      <c r="C96" s="21" t="s">
        <v>913</v>
      </c>
      <c r="D96" s="21" t="s">
        <v>901</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914</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981</v>
      </c>
      <c r="B98" s="21" t="s">
        <v>907</v>
      </c>
      <c r="C98" s="21" t="s">
        <v>916</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970</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943</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982</v>
      </c>
      <c r="B101" s="21" t="s">
        <v>912</v>
      </c>
      <c r="C101" s="21" t="s">
        <v>931</v>
      </c>
      <c r="D101" s="21" t="s">
        <v>901</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983</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920</v>
      </c>
      <c r="B103" s="21" t="s">
        <v>955</v>
      </c>
      <c r="C103" s="21" t="s">
        <v>916</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202</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row>
    <row r="106" spans="1:12">
      <c r="A106" s="20" t="s">
        <v>984</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985</v>
      </c>
    </row>
    <row r="108" spans="1:12">
      <c r="A108" s="20" t="s">
        <v>986</v>
      </c>
      <c r="B108" s="21" t="s">
        <v>904</v>
      </c>
      <c r="C108" s="21" t="s">
        <v>968</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914</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969</v>
      </c>
      <c r="B110" s="21" t="s">
        <v>907</v>
      </c>
      <c r="C110" s="21" t="s">
        <v>900</v>
      </c>
      <c r="D110" s="21" t="s">
        <v>901</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987</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31</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960</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790</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988</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957</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989</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990</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914</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971</v>
      </c>
      <c r="B120" s="21" t="s">
        <v>907</v>
      </c>
      <c r="C120" s="21" t="s">
        <v>916</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991</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970</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470</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202</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790</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992</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993</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971</v>
      </c>
      <c r="B128" s="21" t="s">
        <v>949</v>
      </c>
      <c r="C128" s="21" t="s">
        <v>994</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960</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995</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996</v>
      </c>
      <c r="B131" s="21" t="s">
        <v>997</v>
      </c>
      <c r="C131" s="21" t="s">
        <v>998</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999</v>
      </c>
      <c r="B132" s="21" t="s">
        <v>972</v>
      </c>
      <c r="C132" s="21" t="s">
        <v>994</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1000</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1001</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1002</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942</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926</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940</v>
      </c>
      <c r="B138" s="21" t="s">
        <v>997</v>
      </c>
      <c r="C138" s="21" t="s">
        <v>931</v>
      </c>
      <c r="D138" s="21" t="s">
        <v>901</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945</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202</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row>
    <row r="142" spans="1:12">
      <c r="A142" s="20" t="s">
        <v>1003</v>
      </c>
    </row>
    <row r="143" spans="1:12">
      <c r="A143" s="20" t="s">
        <v>1004</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1005</v>
      </c>
      <c r="B144" s="21" t="s">
        <v>912</v>
      </c>
      <c r="C144" s="21" t="s">
        <v>916</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960</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1006</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1007</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1008</v>
      </c>
      <c r="B148" s="21" t="s">
        <v>907</v>
      </c>
      <c r="C148" s="21" t="s">
        <v>929</v>
      </c>
      <c r="D148" s="21" t="s">
        <v>901</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1009</v>
      </c>
      <c r="B149" s="21" t="s">
        <v>912</v>
      </c>
      <c r="C149" s="21" t="s">
        <v>931</v>
      </c>
      <c r="D149" s="21" t="s">
        <v>901</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960</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1010</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1011</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1012</v>
      </c>
      <c r="B153" s="21" t="s">
        <v>907</v>
      </c>
      <c r="C153" s="21" t="s">
        <v>913</v>
      </c>
      <c r="D153" s="21" t="s">
        <v>901</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932</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926</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1013</v>
      </c>
      <c r="B156" s="21" t="s">
        <v>923</v>
      </c>
      <c r="C156" s="21" t="s">
        <v>905</v>
      </c>
      <c r="D156" s="21" t="s">
        <v>901</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960</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942</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1005</v>
      </c>
      <c r="B159" s="21" t="s">
        <v>912</v>
      </c>
      <c r="C159" s="21" t="s">
        <v>916</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936</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1014</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926</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1015</v>
      </c>
      <c r="B163" s="21" t="s">
        <v>904</v>
      </c>
      <c r="C163" s="21" t="s">
        <v>931</v>
      </c>
      <c r="D163" s="21" t="s">
        <v>901</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202</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row>
    <row r="166" spans="1:12">
      <c r="A166" s="20" t="s">
        <v>1016</v>
      </c>
    </row>
    <row r="167" spans="1:12">
      <c r="A167" s="20" t="s">
        <v>1017</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980</v>
      </c>
      <c r="B168" s="21" t="s">
        <v>904</v>
      </c>
      <c r="C168" s="21" t="s">
        <v>913</v>
      </c>
      <c r="D168" s="21" t="s">
        <v>901</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914</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981</v>
      </c>
      <c r="B170" s="21" t="s">
        <v>907</v>
      </c>
      <c r="C170" s="21" t="s">
        <v>916</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970</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943</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982</v>
      </c>
      <c r="B173" s="21" t="s">
        <v>907</v>
      </c>
      <c r="C173" s="21" t="s">
        <v>931</v>
      </c>
      <c r="D173" s="21" t="s">
        <v>901</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1018</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1019</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1020</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1021</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970</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1002</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933</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999</v>
      </c>
      <c r="B181" s="21" t="s">
        <v>955</v>
      </c>
      <c r="C181" s="21" t="s">
        <v>913</v>
      </c>
      <c r="D181" s="21" t="s">
        <v>901</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963</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1000</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914</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926</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940</v>
      </c>
      <c r="B186" s="21" t="s">
        <v>923</v>
      </c>
      <c r="C186" s="21" t="s">
        <v>931</v>
      </c>
      <c r="D186" s="21" t="s">
        <v>901</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202</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row>
    <row r="189" spans="1:12">
      <c r="A189" s="20" t="s">
        <v>1022</v>
      </c>
    </row>
    <row r="190" spans="1:12">
      <c r="A190" s="20" t="s">
        <v>1023</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1024</v>
      </c>
      <c r="B191" s="21" t="s">
        <v>904</v>
      </c>
      <c r="C191" s="21" t="s">
        <v>900</v>
      </c>
      <c r="D191" s="21" t="s">
        <v>901</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1025</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1026</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1027</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1028</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1029</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926</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1030</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1031</v>
      </c>
      <c r="B199" s="21" t="s">
        <v>965</v>
      </c>
      <c r="C199" s="21" t="s">
        <v>931</v>
      </c>
      <c r="D199" s="21" t="s">
        <v>901</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1032</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1033</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1034</v>
      </c>
      <c r="B202" s="21" t="s">
        <v>923</v>
      </c>
      <c r="C202" s="21" t="s">
        <v>1035</v>
      </c>
      <c r="D202" s="21" t="s">
        <v>901</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1001</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1036</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1037</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1038</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1039</v>
      </c>
      <c r="B207" s="21" t="s">
        <v>955</v>
      </c>
      <c r="C207" s="21" t="s">
        <v>1035</v>
      </c>
      <c r="D207" s="21" t="s">
        <v>901</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202</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row>
    <row r="210" spans="1:12">
      <c r="A210" s="20" t="s">
        <v>1040</v>
      </c>
    </row>
    <row r="211" spans="1:12">
      <c r="A211" s="20" t="s">
        <v>1041</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1042</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1026</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926</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1043</v>
      </c>
      <c r="B215" s="21" t="s">
        <v>1044</v>
      </c>
      <c r="C215" s="21" t="s">
        <v>913</v>
      </c>
      <c r="D215" s="21" t="s">
        <v>901</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914</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1045</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1046</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1047</v>
      </c>
      <c r="B219" s="21" t="s">
        <v>1044</v>
      </c>
      <c r="C219" s="21" t="s">
        <v>916</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936</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914</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95</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980</v>
      </c>
      <c r="B223" s="21" t="s">
        <v>907</v>
      </c>
      <c r="C223" s="21" t="s">
        <v>913</v>
      </c>
      <c r="D223" s="21" t="s">
        <v>901</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914</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981</v>
      </c>
      <c r="B225" s="21" t="s">
        <v>923</v>
      </c>
      <c r="C225" s="21" t="s">
        <v>913</v>
      </c>
      <c r="D225" s="21" t="s">
        <v>901</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914</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1048</v>
      </c>
      <c r="B227" s="21" t="s">
        <v>928</v>
      </c>
      <c r="C227" s="21" t="s">
        <v>916</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1049</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982</v>
      </c>
      <c r="B229" s="21" t="s">
        <v>907</v>
      </c>
      <c r="C229" s="21" t="s">
        <v>994</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202</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row>
    <row r="232" spans="1:12">
      <c r="A232" s="20" t="s">
        <v>1050</v>
      </c>
    </row>
    <row r="233" spans="1:12">
      <c r="A233" s="20" t="s">
        <v>1051</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936</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910</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1052</v>
      </c>
      <c r="B236" s="21" t="s">
        <v>912</v>
      </c>
      <c r="C236" s="21" t="s">
        <v>959</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957</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1053</v>
      </c>
      <c r="B238" s="21" t="s">
        <v>904</v>
      </c>
      <c r="C238" s="21" t="s">
        <v>959</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1054</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960</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1055</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943</v>
      </c>
      <c r="B242" s="21" t="s">
        <v>955</v>
      </c>
      <c r="C242" s="21" t="s">
        <v>900</v>
      </c>
      <c r="D242" s="21" t="s">
        <v>901</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1056</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960</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932</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1057</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926</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1058</v>
      </c>
      <c r="B248" s="21" t="s">
        <v>965</v>
      </c>
      <c r="C248" s="21" t="s">
        <v>931</v>
      </c>
      <c r="D248" s="21" t="s">
        <v>901</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202</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row>
    <row r="251" spans="1:12">
      <c r="A251" s="20" t="s">
        <v>1059</v>
      </c>
    </row>
    <row r="252" spans="1:12">
      <c r="A252" s="20" t="s">
        <v>1060</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1028</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1002</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999</v>
      </c>
      <c r="B255" s="21" t="s">
        <v>955</v>
      </c>
      <c r="C255" s="21" t="s">
        <v>916</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1061</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943</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1062</v>
      </c>
      <c r="B258" s="21" t="s">
        <v>907</v>
      </c>
      <c r="C258" s="21" t="s">
        <v>931</v>
      </c>
      <c r="D258" s="21" t="s">
        <v>901</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960</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943</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1063</v>
      </c>
      <c r="B261" s="21" t="s">
        <v>955</v>
      </c>
      <c r="C261" s="21" t="s">
        <v>931</v>
      </c>
      <c r="D261" s="21" t="s">
        <v>901</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960</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933</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1064</v>
      </c>
      <c r="B264" s="21" t="s">
        <v>904</v>
      </c>
      <c r="C264" s="21" t="s">
        <v>931</v>
      </c>
      <c r="D264" s="21" t="s">
        <v>901</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1065</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960</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933</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1066</v>
      </c>
      <c r="B268" s="21" t="s">
        <v>907</v>
      </c>
      <c r="C268" s="21" t="s">
        <v>931</v>
      </c>
      <c r="D268" s="21" t="s">
        <v>901</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1067</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960</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1011</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1068</v>
      </c>
      <c r="B272" s="21" t="s">
        <v>923</v>
      </c>
      <c r="C272" s="21" t="s">
        <v>931</v>
      </c>
      <c r="D272" s="21" t="s">
        <v>901</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960</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1024</v>
      </c>
      <c r="B274" s="21" t="s">
        <v>904</v>
      </c>
      <c r="C274" s="21" t="s">
        <v>900</v>
      </c>
      <c r="D274" s="21" t="s">
        <v>901</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1025</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1026</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1001</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26</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1011</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1069</v>
      </c>
      <c r="B280" s="21" t="s">
        <v>955</v>
      </c>
      <c r="C280" s="21" t="s">
        <v>931</v>
      </c>
      <c r="D280" s="21" t="s">
        <v>901</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914</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470</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920</v>
      </c>
      <c r="B283" s="21" t="s">
        <v>941</v>
      </c>
      <c r="C283" s="21" t="s">
        <v>913</v>
      </c>
      <c r="D283" s="21" t="s">
        <v>901</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960</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932</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1070</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95</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980</v>
      </c>
      <c r="B288" s="21" t="s">
        <v>950</v>
      </c>
      <c r="C288" s="21" t="s">
        <v>924</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914</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981</v>
      </c>
      <c r="B290" s="21" t="s">
        <v>950</v>
      </c>
      <c r="C290" s="21" t="s">
        <v>916</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970</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943</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1071</v>
      </c>
      <c r="B293" s="21" t="s">
        <v>950</v>
      </c>
      <c r="C293" s="21" t="s">
        <v>931</v>
      </c>
      <c r="D293" s="21" t="s">
        <v>901</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960</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932</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943</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1072</v>
      </c>
      <c r="B297" s="21" t="s">
        <v>950</v>
      </c>
      <c r="C297" s="21" t="s">
        <v>913</v>
      </c>
      <c r="D297" s="21" t="s">
        <v>901</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914</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926</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1030</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1073</v>
      </c>
      <c r="B301" s="21" t="s">
        <v>951</v>
      </c>
      <c r="C301" s="21" t="s">
        <v>931</v>
      </c>
      <c r="D301" s="21" t="s">
        <v>901</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202</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row>
    <row r="304" spans="1:12">
      <c r="A304" s="20" t="s">
        <v>1074</v>
      </c>
    </row>
    <row r="305" spans="1:12">
      <c r="A305" s="20" t="s">
        <v>1075</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1076</v>
      </c>
      <c r="B306" s="21" t="s">
        <v>904</v>
      </c>
      <c r="C306" s="21" t="s">
        <v>905</v>
      </c>
      <c r="D306" s="21" t="s">
        <v>901</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327</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1077</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960</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1019</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1078</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960</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1079</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202</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row>
    <row r="316" spans="1:12">
      <c r="A316" s="20" t="s">
        <v>1080</v>
      </c>
    </row>
    <row r="317" spans="1:12">
      <c r="A317" s="20" t="s">
        <v>1081</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926</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69</v>
      </c>
      <c r="B319" s="21" t="s">
        <v>912</v>
      </c>
      <c r="C319" s="21" t="s">
        <v>931</v>
      </c>
      <c r="D319" s="21" t="s">
        <v>901</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202</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row>
    <row r="322" spans="1:12">
      <c r="A322" s="20" t="s">
        <v>1082</v>
      </c>
    </row>
    <row r="323" spans="1:12">
      <c r="A323" s="20" t="s">
        <v>1083</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1084</v>
      </c>
      <c r="B324" s="21" t="s">
        <v>904</v>
      </c>
      <c r="C324" s="21" t="s">
        <v>1035</v>
      </c>
      <c r="D324" s="21" t="s">
        <v>901</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1085</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69</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1086</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1026</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470</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1087</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1088</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1089</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932</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943</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1090</v>
      </c>
      <c r="B335" s="21" t="s">
        <v>928</v>
      </c>
      <c r="C335" s="21" t="s">
        <v>913</v>
      </c>
      <c r="D335" s="21" t="s">
        <v>901</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914</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943</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1091</v>
      </c>
      <c r="B338" s="21" t="s">
        <v>950</v>
      </c>
      <c r="C338" s="21" t="s">
        <v>931</v>
      </c>
      <c r="D338" s="21" t="s">
        <v>901</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1092</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202</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row>
    <row r="342" spans="1:12">
      <c r="A342" s="20" t="s">
        <v>1093</v>
      </c>
    </row>
    <row r="343" spans="1:12">
      <c r="A343" s="20" t="s">
        <v>1075</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1076</v>
      </c>
      <c r="B344" s="21" t="s">
        <v>912</v>
      </c>
      <c r="C344" s="21" t="s">
        <v>905</v>
      </c>
      <c r="D344" s="21" t="s">
        <v>901</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327</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1094</v>
      </c>
      <c r="B346" s="21" t="s">
        <v>912</v>
      </c>
      <c r="C346" s="21" t="s">
        <v>905</v>
      </c>
      <c r="D346" s="21" t="s">
        <v>901</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202</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row>
    <row r="349" spans="1:12">
      <c r="A349" s="20" t="s">
        <v>1095</v>
      </c>
    </row>
    <row r="350" spans="1:12">
      <c r="A350" s="20" t="s">
        <v>1096</v>
      </c>
      <c r="B350" s="21" t="s">
        <v>1044</v>
      </c>
      <c r="C350" s="21" t="s">
        <v>1097</v>
      </c>
      <c r="D350" s="21" t="s">
        <v>901</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936</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957</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1098</v>
      </c>
      <c r="B353" s="21" t="s">
        <v>904</v>
      </c>
      <c r="C353" s="21" t="s">
        <v>913</v>
      </c>
      <c r="D353" s="21" t="s">
        <v>901</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914</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926</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1099</v>
      </c>
      <c r="B356" s="21" t="s">
        <v>907</v>
      </c>
      <c r="C356" s="21" t="s">
        <v>913</v>
      </c>
      <c r="D356" s="21" t="s">
        <v>901</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1100</v>
      </c>
      <c r="B357" s="21" t="s">
        <v>923</v>
      </c>
      <c r="C357" s="21" t="s">
        <v>905</v>
      </c>
      <c r="D357" s="21" t="s">
        <v>901</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1101</v>
      </c>
      <c r="B358" s="21" t="s">
        <v>928</v>
      </c>
      <c r="C358" s="21" t="s">
        <v>905</v>
      </c>
      <c r="D358" s="21" t="s">
        <v>901</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960</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1102</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80</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1011</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1103</v>
      </c>
      <c r="B363" s="21" t="s">
        <v>899</v>
      </c>
      <c r="C363" s="21" t="s">
        <v>913</v>
      </c>
      <c r="D363" s="21" t="s">
        <v>901</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914</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926</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1048</v>
      </c>
      <c r="B366" s="21" t="s">
        <v>907</v>
      </c>
      <c r="C366" s="21" t="s">
        <v>931</v>
      </c>
      <c r="D366" s="21" t="s">
        <v>901</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202</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row>
    <row r="369" spans="1:12">
      <c r="A369" s="20" t="s">
        <v>1104</v>
      </c>
    </row>
    <row r="370" spans="1:12">
      <c r="A370" s="20" t="s">
        <v>1105</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1106</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1107</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914</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933</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1108</v>
      </c>
      <c r="B375" s="21" t="s">
        <v>912</v>
      </c>
      <c r="C375" s="21" t="s">
        <v>931</v>
      </c>
      <c r="D375" s="21" t="s">
        <v>901</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1109</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1110</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202</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row>
    <row r="380" spans="1:12">
      <c r="A380" s="20" t="s">
        <v>1111</v>
      </c>
    </row>
    <row r="381" spans="1:12">
      <c r="A381" s="20" t="s">
        <v>1112</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1113</v>
      </c>
      <c r="B382" s="21" t="s">
        <v>904</v>
      </c>
      <c r="C382" s="21" t="s">
        <v>1097</v>
      </c>
      <c r="D382" s="21" t="s">
        <v>901</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936</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1114</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1115</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1103</v>
      </c>
      <c r="B386" s="21" t="s">
        <v>912</v>
      </c>
      <c r="C386" s="21" t="s">
        <v>913</v>
      </c>
      <c r="D386" s="21" t="s">
        <v>901</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914</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1048</v>
      </c>
      <c r="B388" s="21" t="s">
        <v>912</v>
      </c>
      <c r="C388" s="21" t="s">
        <v>916</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202</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row>
    <row r="391" spans="1:12">
      <c r="A391" s="20" t="s">
        <v>1116</v>
      </c>
    </row>
    <row r="392" spans="1:12">
      <c r="A392" s="20" t="s">
        <v>1060</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1018</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1117</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1108</v>
      </c>
      <c r="B395" s="21" t="s">
        <v>912</v>
      </c>
      <c r="C395" s="21" t="s">
        <v>924</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1118</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936</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1119</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1026</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1120</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1121</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1122</v>
      </c>
      <c r="B402" s="21" t="s">
        <v>955</v>
      </c>
      <c r="C402" s="21" t="s">
        <v>968</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914</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1007</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1123</v>
      </c>
      <c r="B405" s="21" t="s">
        <v>923</v>
      </c>
      <c r="C405" s="21" t="s">
        <v>913</v>
      </c>
      <c r="D405" s="21" t="s">
        <v>901</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914</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1113</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1124</v>
      </c>
      <c r="B408" s="21" t="s">
        <v>928</v>
      </c>
      <c r="C408" s="21" t="s">
        <v>1035</v>
      </c>
      <c r="D408" s="21" t="s">
        <v>901</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202</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row>
    <row r="411" spans="1:12">
      <c r="A411" s="20" t="s">
        <v>1125</v>
      </c>
    </row>
    <row r="412" spans="1:12">
      <c r="A412" s="20" t="s">
        <v>1051</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1126</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96</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926</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1127</v>
      </c>
      <c r="B416" s="21" t="s">
        <v>899</v>
      </c>
      <c r="C416" s="21" t="s">
        <v>913</v>
      </c>
      <c r="D416" s="21" t="s">
        <v>901</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914</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1128</v>
      </c>
      <c r="B418" s="21" t="s">
        <v>907</v>
      </c>
      <c r="C418" s="21" t="s">
        <v>916</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960</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957</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990</v>
      </c>
      <c r="B421" s="21" t="s">
        <v>907</v>
      </c>
      <c r="C421" s="21" t="s">
        <v>913</v>
      </c>
      <c r="D421" s="21" t="s">
        <v>901</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914</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1129</v>
      </c>
      <c r="B423" s="21" t="s">
        <v>923</v>
      </c>
      <c r="C423" s="21" t="s">
        <v>916</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960</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1130</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1131</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910</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1132</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1133</v>
      </c>
      <c r="B429" s="21" t="s">
        <v>928</v>
      </c>
      <c r="C429" s="21" t="s">
        <v>959</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960</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910</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1134</v>
      </c>
      <c r="B432" s="21" t="s">
        <v>907</v>
      </c>
      <c r="C432" s="21" t="s">
        <v>959</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1135</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1136</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942</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1011</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1137</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957</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1138</v>
      </c>
      <c r="B439" s="21" t="s">
        <v>941</v>
      </c>
      <c r="C439" s="21" t="s">
        <v>959</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1079</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1139</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202</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row>
    <row r="444" spans="1:12">
      <c r="A444" s="20" t="s">
        <v>1140</v>
      </c>
    </row>
    <row r="445" spans="1:12">
      <c r="A445" s="20" t="s">
        <v>1060</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1117</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1108</v>
      </c>
      <c r="B447" s="21" t="s">
        <v>912</v>
      </c>
      <c r="C447" s="21" t="s">
        <v>916</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1118</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960</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1141</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1142</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1143</v>
      </c>
      <c r="B452" s="21" t="s">
        <v>899</v>
      </c>
      <c r="C452" s="21" t="s">
        <v>994</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960</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1007</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1144</v>
      </c>
      <c r="B455" s="21" t="s">
        <v>904</v>
      </c>
      <c r="C455" s="21" t="s">
        <v>913</v>
      </c>
      <c r="D455" s="21" t="s">
        <v>901</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1145</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970</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1146</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1147</v>
      </c>
      <c r="B459" s="21" t="s">
        <v>907</v>
      </c>
      <c r="C459" s="21" t="s">
        <v>931</v>
      </c>
      <c r="D459" s="21" t="s">
        <v>901</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960</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925</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1145</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970</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943</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1148</v>
      </c>
      <c r="B465" s="21" t="s">
        <v>923</v>
      </c>
      <c r="C465" s="21" t="s">
        <v>931</v>
      </c>
      <c r="D465" s="21" t="s">
        <v>901</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1019</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957</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1149</v>
      </c>
      <c r="B468" s="21" t="s">
        <v>907</v>
      </c>
      <c r="C468" s="21" t="s">
        <v>913</v>
      </c>
      <c r="D468" s="21" t="s">
        <v>901</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914</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1150</v>
      </c>
      <c r="B470" s="21" t="s">
        <v>923</v>
      </c>
      <c r="C470" s="21" t="s">
        <v>916</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202</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row>
    <row r="473" spans="1:12">
      <c r="A473" s="20" t="s">
        <v>1151</v>
      </c>
    </row>
    <row r="474" spans="1:12">
      <c r="A474" s="20" t="s">
        <v>1112</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1007</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1152</v>
      </c>
      <c r="B476" s="21" t="s">
        <v>904</v>
      </c>
      <c r="C476" s="21" t="s">
        <v>931</v>
      </c>
      <c r="D476" s="21" t="s">
        <v>901</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1153</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1154</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1155</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202</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row>
    <row r="482" spans="1:12">
      <c r="A482" s="20" t="s">
        <v>984</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1156</v>
      </c>
    </row>
    <row r="484" spans="1:12">
      <c r="A484" s="20" t="s">
        <v>1096</v>
      </c>
      <c r="B484" s="21" t="s">
        <v>904</v>
      </c>
      <c r="C484" s="21" t="s">
        <v>1097</v>
      </c>
      <c r="D484" s="21" t="s">
        <v>901</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936</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957</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1157</v>
      </c>
      <c r="B487" s="21" t="s">
        <v>912</v>
      </c>
      <c r="C487" s="21" t="s">
        <v>913</v>
      </c>
      <c r="D487" s="21" t="s">
        <v>901</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1158</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970</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957</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1159</v>
      </c>
      <c r="B491" s="21" t="s">
        <v>912</v>
      </c>
      <c r="C491" s="21" t="s">
        <v>913</v>
      </c>
      <c r="D491" s="21" t="s">
        <v>901</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921</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1114</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1160</v>
      </c>
      <c r="B494" s="21" t="s">
        <v>907</v>
      </c>
      <c r="C494" s="21" t="s">
        <v>959</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1161</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1114</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790</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1162</v>
      </c>
      <c r="B498" s="21" t="s">
        <v>928</v>
      </c>
      <c r="C498" s="21" t="s">
        <v>959</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1163</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790</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202</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row>
    <row r="503" spans="1:12">
      <c r="A503" s="20" t="s">
        <v>1164</v>
      </c>
    </row>
    <row r="504" spans="1:12">
      <c r="A504" s="20" t="s">
        <v>1075</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1076</v>
      </c>
      <c r="B505" s="21" t="s">
        <v>904</v>
      </c>
      <c r="C505" s="21" t="s">
        <v>905</v>
      </c>
      <c r="D505" s="21" t="s">
        <v>901</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327</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1165</v>
      </c>
      <c r="B507" s="21" t="s">
        <v>907</v>
      </c>
      <c r="C507" s="21" t="s">
        <v>905</v>
      </c>
      <c r="D507" s="21" t="s">
        <v>901</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960</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936</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957</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1166</v>
      </c>
      <c r="B511" s="21" t="s">
        <v>912</v>
      </c>
      <c r="C511" s="21" t="s">
        <v>959</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1026</v>
      </c>
      <c r="B512" s="21" t="s">
        <v>1044</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1167</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1168</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1169</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202</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row>
    <row r="518" spans="1:12">
      <c r="A518" s="20" t="s">
        <v>1170</v>
      </c>
    </row>
    <row r="519" spans="1:12">
      <c r="A519" s="20" t="s">
        <v>115</v>
      </c>
      <c r="B519" s="21" t="s">
        <v>912</v>
      </c>
      <c r="C519" s="21" t="s">
        <v>905</v>
      </c>
      <c r="D519" s="21" t="s">
        <v>901</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202</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row>
    <row r="522" spans="1:12">
      <c r="A522" s="20" t="s">
        <v>1171</v>
      </c>
    </row>
    <row r="523" spans="1:12">
      <c r="A523" s="20" t="s">
        <v>1172</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202</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row>
    <row r="526" spans="1:12">
      <c r="A526" s="20" t="s">
        <v>1173</v>
      </c>
    </row>
    <row r="527" spans="1:12">
      <c r="A527" s="20" t="s">
        <v>1174</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1055</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914</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933</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1108</v>
      </c>
      <c r="B531" s="21" t="s">
        <v>912</v>
      </c>
      <c r="C531" s="21" t="s">
        <v>913</v>
      </c>
      <c r="D531" s="21" t="s">
        <v>901</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1118</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1175</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914</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1176</v>
      </c>
      <c r="B535" s="21" t="s">
        <v>907</v>
      </c>
      <c r="C535" s="21" t="s">
        <v>900</v>
      </c>
      <c r="D535" s="21" t="s">
        <v>901</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202</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row>
    <row r="538" spans="1:12">
      <c r="A538" s="20" t="s">
        <v>1177</v>
      </c>
    </row>
    <row r="539" spans="1:12">
      <c r="A539" s="20" t="s">
        <v>1178</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1179</v>
      </c>
      <c r="B540" s="21" t="s">
        <v>904</v>
      </c>
      <c r="C540" s="21" t="s">
        <v>959</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1180</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936</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957</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1181</v>
      </c>
      <c r="B544" s="21" t="s">
        <v>912</v>
      </c>
      <c r="C544" s="21" t="s">
        <v>959</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1088</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1182</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1183</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1026</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1018</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1184</v>
      </c>
      <c r="B550" s="21" t="s">
        <v>955</v>
      </c>
      <c r="C550" s="21" t="s">
        <v>900</v>
      </c>
      <c r="D550" s="21" t="s">
        <v>901</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1185</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1119</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1186</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970</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1187</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1018</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948</v>
      </c>
      <c r="B557" s="21" t="s">
        <v>965</v>
      </c>
      <c r="C557" s="21" t="s">
        <v>900</v>
      </c>
      <c r="D557" s="21" t="s">
        <v>901</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1188</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202</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row>
    <row r="561" spans="1:12">
      <c r="A561" s="20" t="s">
        <v>1189</v>
      </c>
    </row>
    <row r="562" spans="1:12">
      <c r="A562" s="20" t="s">
        <v>1190</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1191</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1192</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943</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1193</v>
      </c>
      <c r="B566" s="21" t="s">
        <v>912</v>
      </c>
      <c r="C566" s="21" t="s">
        <v>913</v>
      </c>
      <c r="D566" s="21" t="s">
        <v>901</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914</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1011</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1194</v>
      </c>
      <c r="B569" s="21" t="s">
        <v>912</v>
      </c>
      <c r="C569" s="21" t="s">
        <v>931</v>
      </c>
      <c r="D569" s="21" t="s">
        <v>901</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960</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925</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1187</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1195</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1196</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936</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1197</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1198</v>
      </c>
      <c r="B577" s="21" t="s">
        <v>912</v>
      </c>
      <c r="C577" s="21" t="s">
        <v>959</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1199</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1200</v>
      </c>
      <c r="B579" s="21" t="s">
        <v>965</v>
      </c>
      <c r="C579" s="21" t="s">
        <v>1097</v>
      </c>
      <c r="D579" s="21" t="s">
        <v>901</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914</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1045</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1201</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1202</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1203</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202</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row>
    <row r="587" spans="1:12">
      <c r="A587" s="20" t="s">
        <v>1204</v>
      </c>
    </row>
    <row r="588" spans="1:12">
      <c r="A588" s="20" t="s">
        <v>1083</v>
      </c>
      <c r="B588" s="21" t="s">
        <v>904</v>
      </c>
      <c r="C588" s="21" t="s">
        <v>1097</v>
      </c>
      <c r="D588" s="21" t="s">
        <v>901</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936</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1114</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1179</v>
      </c>
      <c r="B591" s="21" t="s">
        <v>912</v>
      </c>
      <c r="C591" s="21" t="s">
        <v>959</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1180</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202</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row>
    <row r="595" spans="1:12">
      <c r="A595" s="20" t="s">
        <v>1205</v>
      </c>
    </row>
    <row r="596" spans="1:12">
      <c r="A596" s="20" t="s">
        <v>1096</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1157</v>
      </c>
      <c r="B597" s="21" t="s">
        <v>904</v>
      </c>
      <c r="C597" s="21" t="s">
        <v>1035</v>
      </c>
      <c r="D597" s="21" t="s">
        <v>901</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936</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970</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957</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1159</v>
      </c>
      <c r="B601" s="21" t="s">
        <v>912</v>
      </c>
      <c r="C601" s="21" t="s">
        <v>913</v>
      </c>
      <c r="D601" s="21" t="s">
        <v>901</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921</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1114</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1179</v>
      </c>
      <c r="B604" s="21" t="s">
        <v>912</v>
      </c>
      <c r="C604" s="21" t="s">
        <v>959</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1180</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202</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row>
    <row r="608" spans="1:12">
      <c r="A608" s="20" t="s">
        <v>1206</v>
      </c>
    </row>
    <row r="609" spans="1:12">
      <c r="A609" s="20" t="s">
        <v>1112</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1113</v>
      </c>
      <c r="B610" s="21" t="s">
        <v>904</v>
      </c>
      <c r="C610" s="21" t="s">
        <v>1097</v>
      </c>
      <c r="D610" s="21" t="s">
        <v>901</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936</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1011</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146</v>
      </c>
      <c r="B613" s="21" t="s">
        <v>912</v>
      </c>
      <c r="C613" s="21" t="s">
        <v>913</v>
      </c>
      <c r="D613" s="21" t="s">
        <v>901</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1026</v>
      </c>
      <c r="B614" s="21" t="s">
        <v>1044</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1046</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1047</v>
      </c>
      <c r="B616" s="21" t="s">
        <v>955</v>
      </c>
      <c r="C616" s="21" t="s">
        <v>916</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914</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157</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1032</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926</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1207</v>
      </c>
      <c r="B621" s="21" t="s">
        <v>928</v>
      </c>
      <c r="C621" s="21" t="s">
        <v>913</v>
      </c>
      <c r="D621" s="21" t="s">
        <v>901</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914</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1208</v>
      </c>
      <c r="B623" s="21" t="s">
        <v>950</v>
      </c>
      <c r="C623" s="21" t="s">
        <v>913</v>
      </c>
      <c r="D623" s="21" t="s">
        <v>901</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914</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1209</v>
      </c>
      <c r="B625" s="21" t="s">
        <v>951</v>
      </c>
      <c r="C625" s="21" t="s">
        <v>913</v>
      </c>
      <c r="D625" s="21" t="s">
        <v>901</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914</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999</v>
      </c>
      <c r="B627" s="21" t="s">
        <v>997</v>
      </c>
      <c r="C627" s="21" t="s">
        <v>916</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942</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926</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940</v>
      </c>
      <c r="B630" s="21" t="s">
        <v>928</v>
      </c>
      <c r="C630" s="21" t="s">
        <v>931</v>
      </c>
      <c r="D630" s="21" t="s">
        <v>901</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1109</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1210</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1146</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1211</v>
      </c>
      <c r="B634" s="21" t="s">
        <v>949</v>
      </c>
      <c r="C634" s="21" t="s">
        <v>913</v>
      </c>
      <c r="D634" s="21" t="s">
        <v>901</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914</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933</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934</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1212</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1213</v>
      </c>
      <c r="B639" s="21" t="s">
        <v>912</v>
      </c>
      <c r="C639" s="21" t="s">
        <v>905</v>
      </c>
      <c r="D639" s="21" t="s">
        <v>901</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row>
    <row r="641" spans="1:12">
      <c r="A641" s="20" t="s">
        <v>1214</v>
      </c>
    </row>
    <row r="642" spans="1:12">
      <c r="A642" s="20" t="s">
        <v>1215</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146</v>
      </c>
      <c r="B643" s="21" t="s">
        <v>912</v>
      </c>
      <c r="C643" s="21" t="s">
        <v>913</v>
      </c>
      <c r="D643" s="21" t="s">
        <v>901</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914</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1216</v>
      </c>
      <c r="B645" s="21" t="s">
        <v>912</v>
      </c>
      <c r="C645" s="21" t="s">
        <v>968</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1026</v>
      </c>
      <c r="B646" s="21" t="s">
        <v>1217</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960</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1218</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1219</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1007</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1220</v>
      </c>
      <c r="B651" s="21" t="s">
        <v>923</v>
      </c>
      <c r="C651" s="21" t="s">
        <v>931</v>
      </c>
      <c r="D651" s="21" t="s">
        <v>901</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960</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936</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970</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957</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1159</v>
      </c>
      <c r="B656" s="21" t="s">
        <v>907</v>
      </c>
      <c r="C656" s="21" t="s">
        <v>913</v>
      </c>
      <c r="D656" s="21" t="s">
        <v>901</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921</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1114</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1179</v>
      </c>
      <c r="B659" s="21" t="s">
        <v>923</v>
      </c>
      <c r="C659" s="21" t="s">
        <v>959</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1180</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202</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row>
    <row r="663" spans="1:12">
      <c r="A663" s="20" t="s">
        <v>1221</v>
      </c>
    </row>
    <row r="664" spans="1:12">
      <c r="A664" s="20" t="s">
        <v>1222</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1113</v>
      </c>
      <c r="B665" s="21" t="s">
        <v>904</v>
      </c>
      <c r="C665" s="21" t="s">
        <v>1097</v>
      </c>
      <c r="D665" s="21" t="s">
        <v>901</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936</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1011</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146</v>
      </c>
      <c r="B668" s="21" t="s">
        <v>912</v>
      </c>
      <c r="C668" s="21" t="s">
        <v>931</v>
      </c>
      <c r="D668" s="21" t="s">
        <v>901</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1026</v>
      </c>
      <c r="B669" s="21" t="s">
        <v>1044</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1223</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942</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943</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944</v>
      </c>
      <c r="B673" s="21" t="s">
        <v>907</v>
      </c>
      <c r="C673" s="21" t="s">
        <v>913</v>
      </c>
      <c r="D673" s="21" t="s">
        <v>901</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914</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967</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933</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1224</v>
      </c>
      <c r="B677" s="21" t="s">
        <v>923</v>
      </c>
      <c r="C677" s="21" t="s">
        <v>931</v>
      </c>
      <c r="D677" s="21" t="s">
        <v>901</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1109</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1225</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914</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1137</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914</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933</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999</v>
      </c>
      <c r="B684" s="21" t="s">
        <v>928</v>
      </c>
      <c r="C684" s="21" t="s">
        <v>931</v>
      </c>
      <c r="D684" s="21" t="s">
        <v>901</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1000</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202</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row>
    <row r="688" spans="1:12">
      <c r="A688" s="20" t="s">
        <v>984</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1226</v>
      </c>
    </row>
    <row r="690" spans="1:12">
      <c r="A690" s="20" t="s">
        <v>1083</v>
      </c>
      <c r="B690" s="21" t="s">
        <v>1044</v>
      </c>
      <c r="C690" s="21" t="s">
        <v>1097</v>
      </c>
      <c r="D690" s="21" t="s">
        <v>901</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936</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1011</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146</v>
      </c>
      <c r="B693" s="21" t="s">
        <v>904</v>
      </c>
      <c r="C693" s="21" t="s">
        <v>931</v>
      </c>
      <c r="D693" s="21" t="s">
        <v>901</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1026</v>
      </c>
      <c r="B694" s="21" t="s">
        <v>1217</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902</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790</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1227</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909</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1228</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1004</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943</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1229</v>
      </c>
      <c r="B702" s="21" t="s">
        <v>912</v>
      </c>
      <c r="C702" s="21" t="s">
        <v>905</v>
      </c>
      <c r="D702" s="21" t="s">
        <v>901</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790</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1112</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1019</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1024</v>
      </c>
      <c r="B706" s="21" t="s">
        <v>912</v>
      </c>
      <c r="C706" s="21" t="s">
        <v>900</v>
      </c>
      <c r="D706" s="21" t="s">
        <v>901</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970</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954</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943</v>
      </c>
      <c r="B709" s="21" t="s">
        <v>965</v>
      </c>
      <c r="C709" s="21" t="s">
        <v>900</v>
      </c>
      <c r="D709" s="21" t="s">
        <v>901</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202</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row>
    <row r="712" spans="1:12">
      <c r="A712" s="20" t="s">
        <v>1230</v>
      </c>
    </row>
    <row r="713" spans="1:12">
      <c r="A713" s="20" t="s">
        <v>1231</v>
      </c>
      <c r="B713" s="21" t="s">
        <v>899</v>
      </c>
      <c r="C713" s="21" t="s">
        <v>900</v>
      </c>
      <c r="D713" s="21" t="s">
        <v>901</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1232</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1233</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row>
    <row r="717" spans="1:12">
      <c r="A717" s="20" t="s">
        <v>1234</v>
      </c>
    </row>
    <row r="718" spans="1:12">
      <c r="A718" s="20" t="s">
        <v>1235</v>
      </c>
      <c r="B718" s="21" t="s">
        <v>912</v>
      </c>
      <c r="C718" s="21" t="s">
        <v>900</v>
      </c>
      <c r="D718" s="21" t="s">
        <v>901</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202</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row>
    <row r="721" spans="1:12">
      <c r="A721" s="20" t="s">
        <v>1171</v>
      </c>
    </row>
    <row r="722" spans="1:12">
      <c r="A722" s="20" t="s">
        <v>1172</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202</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row>
    <row r="725" spans="1:12">
      <c r="A725" s="20" t="s">
        <v>984</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1236</v>
      </c>
    </row>
    <row r="727" spans="1:12">
      <c r="A727" s="20" t="s">
        <v>909</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1024</v>
      </c>
      <c r="B728" s="21" t="s">
        <v>904</v>
      </c>
      <c r="C728" s="21" t="s">
        <v>900</v>
      </c>
      <c r="D728" s="21" t="s">
        <v>901</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1237</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1011</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146</v>
      </c>
      <c r="B731" s="21" t="s">
        <v>912</v>
      </c>
      <c r="C731" s="21" t="s">
        <v>931</v>
      </c>
      <c r="D731" s="21" t="s">
        <v>901</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790</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1227</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909</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1228</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1004</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943</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1229</v>
      </c>
      <c r="B738" s="21" t="s">
        <v>912</v>
      </c>
      <c r="C738" s="21" t="s">
        <v>905</v>
      </c>
      <c r="D738" s="21" t="s">
        <v>901</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790</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202</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row>
    <row r="742" spans="1:12">
      <c r="A742" s="20" t="s">
        <v>1238</v>
      </c>
    </row>
    <row r="743" spans="1:12">
      <c r="A743" s="20" t="s">
        <v>1096</v>
      </c>
      <c r="B743" s="21" t="s">
        <v>904</v>
      </c>
      <c r="C743" s="21" t="s">
        <v>1097</v>
      </c>
      <c r="D743" s="21" t="s">
        <v>901</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936</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957</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1239</v>
      </c>
      <c r="B746" s="21" t="s">
        <v>912</v>
      </c>
      <c r="C746" s="21" t="s">
        <v>913</v>
      </c>
      <c r="D746" s="21" t="s">
        <v>901</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942</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926</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927</v>
      </c>
      <c r="B749" s="21" t="s">
        <v>907</v>
      </c>
      <c r="C749" s="21" t="s">
        <v>929</v>
      </c>
      <c r="D749" s="21" t="s">
        <v>901</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1240</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1241</v>
      </c>
      <c r="B751" s="21" t="s">
        <v>912</v>
      </c>
      <c r="C751" s="21" t="s">
        <v>913</v>
      </c>
      <c r="D751" s="21" t="s">
        <v>901</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914</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1242</v>
      </c>
      <c r="B753" s="21" t="s">
        <v>907</v>
      </c>
      <c r="C753" s="21" t="s">
        <v>905</v>
      </c>
      <c r="D753" s="21" t="s">
        <v>901</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960</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942</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1243</v>
      </c>
      <c r="B756" s="21" t="s">
        <v>907</v>
      </c>
      <c r="C756" s="21" t="s">
        <v>905</v>
      </c>
      <c r="D756" s="21" t="s">
        <v>901</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960</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1244</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956</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1245</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926</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1246</v>
      </c>
      <c r="B762" s="21" t="s">
        <v>941</v>
      </c>
      <c r="C762" s="21" t="s">
        <v>905</v>
      </c>
      <c r="D762" s="21" t="s">
        <v>901</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1032</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926</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69</v>
      </c>
      <c r="B765" s="21" t="s">
        <v>950</v>
      </c>
      <c r="C765" s="21" t="s">
        <v>931</v>
      </c>
      <c r="D765" s="21" t="s">
        <v>901</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1247</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963</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1248</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942</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926</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1048</v>
      </c>
      <c r="B771" s="21" t="s">
        <v>950</v>
      </c>
      <c r="C771" s="21" t="s">
        <v>913</v>
      </c>
      <c r="D771" s="21" t="s">
        <v>901</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1026</v>
      </c>
      <c r="B772" s="21" t="s">
        <v>1249</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942</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943</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944</v>
      </c>
      <c r="B775" s="21" t="s">
        <v>951</v>
      </c>
      <c r="C775" s="21" t="s">
        <v>931</v>
      </c>
      <c r="D775" s="21" t="s">
        <v>901</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945</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202</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row>
    <row r="779" spans="1:12">
      <c r="A779" s="20" t="s">
        <v>1250</v>
      </c>
    </row>
    <row r="780" spans="1:12">
      <c r="A780" s="20" t="s">
        <v>1112</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1033</v>
      </c>
      <c r="B781" s="21" t="s">
        <v>904</v>
      </c>
      <c r="C781" s="21" t="s">
        <v>1097</v>
      </c>
      <c r="D781" s="21" t="s">
        <v>901</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936</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957</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1138</v>
      </c>
      <c r="B784" s="21" t="s">
        <v>912</v>
      </c>
      <c r="C784" s="21" t="s">
        <v>913</v>
      </c>
      <c r="D784" s="21" t="s">
        <v>901</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914</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1251</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1108</v>
      </c>
      <c r="B787" s="21" t="s">
        <v>912</v>
      </c>
      <c r="C787" s="21" t="s">
        <v>994</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1118</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1252</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row>
    <row r="791" spans="1:12">
      <c r="A791" s="20" t="s">
        <v>1253</v>
      </c>
    </row>
    <row r="792" spans="1:12">
      <c r="A792" s="20" t="s">
        <v>1254</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1026</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942</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943</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1005</v>
      </c>
      <c r="B796" s="21" t="s">
        <v>907</v>
      </c>
      <c r="C796" s="21" t="s">
        <v>931</v>
      </c>
      <c r="D796" s="21" t="s">
        <v>901</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1018</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1247</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1248</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946</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942</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933</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919</v>
      </c>
      <c r="B803" s="21" t="s">
        <v>907</v>
      </c>
      <c r="C803" s="21" t="s">
        <v>931</v>
      </c>
      <c r="D803" s="21" t="s">
        <v>901</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202</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row>
    <row r="806" spans="1:12">
      <c r="A806" s="20" t="s">
        <v>984</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1255</v>
      </c>
    </row>
    <row r="808" spans="1:12">
      <c r="A808" s="20" t="s">
        <v>1112</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1018</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1256</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790</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1248</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790</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1257</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1258</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790</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914</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1259</v>
      </c>
      <c r="B818" s="21" t="s">
        <v>907</v>
      </c>
      <c r="C818" s="21" t="s">
        <v>916</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790</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960</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1131</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1027</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926</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1259</v>
      </c>
      <c r="B824" s="21" t="s">
        <v>1044</v>
      </c>
      <c r="C824" s="21" t="s">
        <v>931</v>
      </c>
      <c r="D824" s="21" t="s">
        <v>901</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905</v>
      </c>
      <c r="B825" s="21" t="s">
        <v>955</v>
      </c>
      <c r="C825" s="21" t="s">
        <v>900</v>
      </c>
      <c r="D825" s="21" t="s">
        <v>901</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936</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1260</v>
      </c>
      <c r="B827" s="21" t="s">
        <v>955</v>
      </c>
      <c r="C827" s="21" t="s">
        <v>916</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1252</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row>
    <row r="830" spans="1:12">
      <c r="A830" s="20" t="s">
        <v>1261</v>
      </c>
    </row>
    <row r="831" spans="1:12">
      <c r="A831" s="20" t="s">
        <v>1262</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963</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1263</v>
      </c>
      <c r="B833" s="21" t="s">
        <v>899</v>
      </c>
      <c r="C833" s="21" t="s">
        <v>916</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942</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933</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1264</v>
      </c>
      <c r="B836" s="21" t="s">
        <v>912</v>
      </c>
      <c r="C836" s="21" t="s">
        <v>931</v>
      </c>
      <c r="D836" s="21" t="s">
        <v>901</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920</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202</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row>
    <row r="840" spans="1:12">
      <c r="A840" s="20" t="s">
        <v>984</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1265</v>
      </c>
    </row>
    <row r="842" spans="1:12">
      <c r="A842" s="20" t="s">
        <v>1266</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1256</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1131</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790</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1248</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790</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942</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926</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1127</v>
      </c>
      <c r="B850" s="21" t="s">
        <v>912</v>
      </c>
      <c r="C850" s="21" t="s">
        <v>913</v>
      </c>
      <c r="D850" s="21" t="s">
        <v>901</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914</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1267</v>
      </c>
      <c r="B852" s="21" t="s">
        <v>907</v>
      </c>
      <c r="C852" s="21" t="s">
        <v>916</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970</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685</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407</v>
      </c>
      <c r="B855" s="21" t="s">
        <v>955</v>
      </c>
      <c r="C855" s="21" t="s">
        <v>968</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914</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1089</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960</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1268</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970</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1269</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925</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970</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1270</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202</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row>
    <row r="867" spans="1:12">
      <c r="A867" s="20" t="s">
        <v>1271</v>
      </c>
    </row>
    <row r="868" spans="1:12">
      <c r="A868" s="20" t="s">
        <v>1112</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1187</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1247</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942</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957</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940</v>
      </c>
      <c r="B873" s="21" t="s">
        <v>912</v>
      </c>
      <c r="C873" s="21" t="s">
        <v>959</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920</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1024</v>
      </c>
      <c r="B875" s="21" t="s">
        <v>904</v>
      </c>
      <c r="C875" s="21" t="s">
        <v>900</v>
      </c>
      <c r="D875" s="21" t="s">
        <v>901</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1025</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1026</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1251</v>
      </c>
      <c r="B878" s="21" t="s">
        <v>1044</v>
      </c>
      <c r="C878" s="21" t="s">
        <v>968</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914</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1176</v>
      </c>
      <c r="B880" s="21" t="s">
        <v>923</v>
      </c>
      <c r="C880" s="21" t="s">
        <v>900</v>
      </c>
      <c r="D880" s="21" t="s">
        <v>901</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1272</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1007</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1273</v>
      </c>
      <c r="B883" s="21" t="s">
        <v>955</v>
      </c>
      <c r="C883" s="21" t="s">
        <v>913</v>
      </c>
      <c r="D883" s="21" t="s">
        <v>901</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1274</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914</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1027</v>
      </c>
      <c r="B886" s="21" t="s">
        <v>923</v>
      </c>
      <c r="C886" s="21" t="s">
        <v>900</v>
      </c>
      <c r="D886" s="21" t="s">
        <v>901</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1275</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960</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1007</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1273</v>
      </c>
      <c r="B890" s="21" t="s">
        <v>1044</v>
      </c>
      <c r="C890" s="21" t="s">
        <v>931</v>
      </c>
      <c r="D890" s="21" t="s">
        <v>901</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963</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1276</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914</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1277</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1278</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1279</v>
      </c>
      <c r="B896" s="21" t="s">
        <v>950</v>
      </c>
      <c r="C896" s="21" t="s">
        <v>916</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960</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963</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1276</v>
      </c>
      <c r="B899" s="21" t="s">
        <v>949</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914</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1280</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161</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1032</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957</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1138</v>
      </c>
      <c r="B905" s="21" t="s">
        <v>997</v>
      </c>
      <c r="C905" s="21" t="s">
        <v>959</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932</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1281</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926</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971</v>
      </c>
      <c r="B909" s="21" t="s">
        <v>997</v>
      </c>
      <c r="C909" s="21" t="s">
        <v>931</v>
      </c>
      <c r="D909" s="21" t="s">
        <v>901</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1282</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960</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914</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1283</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161</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1284</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957</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1285</v>
      </c>
      <c r="B917" s="21" t="s">
        <v>1286</v>
      </c>
      <c r="C917" s="21" t="s">
        <v>959</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925</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210</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1287</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202</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row>
    <row r="923" spans="1:12">
      <c r="A923" s="20" t="s">
        <v>1288</v>
      </c>
    </row>
    <row r="924" spans="1:12">
      <c r="A924" s="20" t="s">
        <v>1112</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942</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943</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944</v>
      </c>
      <c r="B927" s="21" t="s">
        <v>912</v>
      </c>
      <c r="C927" s="21" t="s">
        <v>931</v>
      </c>
      <c r="D927" s="21" t="s">
        <v>901</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945</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960</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1187</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1210</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957</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1285</v>
      </c>
      <c r="B933" s="21" t="s">
        <v>965</v>
      </c>
      <c r="C933" s="21" t="s">
        <v>959</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960</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1187</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1210</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957</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1289</v>
      </c>
      <c r="B938" s="21" t="s">
        <v>955</v>
      </c>
      <c r="C938" s="21" t="s">
        <v>959</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960</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1290</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1018</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1195</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1254</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1088</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1252</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1195</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1291</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row>
    <row r="949" spans="1:12">
      <c r="A949" s="20" t="s">
        <v>1292</v>
      </c>
    </row>
    <row r="950" spans="1:12">
      <c r="A950" s="20" t="s">
        <v>202</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row>
    <row r="952" spans="1:12">
      <c r="A952" s="20" t="s">
        <v>1293</v>
      </c>
    </row>
    <row r="953" spans="1:12">
      <c r="A953" s="20" t="s">
        <v>1294</v>
      </c>
      <c r="B953" s="21" t="s">
        <v>912</v>
      </c>
      <c r="C953" s="21" t="s">
        <v>916</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960</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1195</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1254</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1295</v>
      </c>
      <c r="B957" s="21" t="s">
        <v>899</v>
      </c>
      <c r="C957" s="21" t="s">
        <v>916</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960</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1195</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1254</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1296</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960</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992</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1297</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960</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1298</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1299</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1300</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202</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row>
    <row r="971" spans="1:12">
      <c r="A971" s="20" t="s">
        <v>1301</v>
      </c>
    </row>
    <row r="972" spans="1:12">
      <c r="A972" s="20" t="s">
        <v>1227</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1302</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1303</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1304</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1305</v>
      </c>
      <c r="B976" s="21" t="s">
        <v>899</v>
      </c>
      <c r="C976" s="21" t="s">
        <v>1035</v>
      </c>
      <c r="D976" s="21" t="s">
        <v>901</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1109</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1306</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960</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1257</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1018</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1307</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942</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957</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1048</v>
      </c>
      <c r="B985" s="21" t="s">
        <v>907</v>
      </c>
      <c r="C985" s="21" t="s">
        <v>959</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202</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row>
    <row r="988" spans="1:12">
      <c r="A988" s="20" t="s">
        <v>1308</v>
      </c>
    </row>
    <row r="989" spans="1:12">
      <c r="A989" s="20" t="s">
        <v>1105</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1033</v>
      </c>
      <c r="B990" s="21" t="s">
        <v>904</v>
      </c>
      <c r="C990" s="21" t="s">
        <v>1097</v>
      </c>
      <c r="D990" s="21" t="s">
        <v>901</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936</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1200</v>
      </c>
      <c r="B992" s="21" t="s">
        <v>912</v>
      </c>
      <c r="C992" s="21" t="s">
        <v>1097</v>
      </c>
      <c r="D992" s="21" t="s">
        <v>901</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1026</v>
      </c>
      <c r="B993" s="21" t="s">
        <v>955</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956</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1309</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226</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970</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1011</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1310</v>
      </c>
      <c r="B999" s="21" t="s">
        <v>907</v>
      </c>
      <c r="C999" s="21" t="s">
        <v>931</v>
      </c>
      <c r="D999" s="21" t="s">
        <v>901</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202</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row>
    <row r="1002" spans="1:12">
      <c r="A1002" s="20" t="s">
        <v>1311</v>
      </c>
    </row>
    <row r="1003" spans="1:12">
      <c r="A1003" s="20" t="s">
        <v>1312</v>
      </c>
      <c r="B1003" s="21" t="s">
        <v>912</v>
      </c>
      <c r="C1003" s="21" t="s">
        <v>900</v>
      </c>
      <c r="D1003" s="21" t="s">
        <v>901</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936</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1026</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942</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957</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1048</v>
      </c>
      <c r="B1008" s="21" t="s">
        <v>907</v>
      </c>
      <c r="C1008" s="21" t="s">
        <v>959</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1195</v>
      </c>
      <c r="B1009" s="21" t="s">
        <v>955</v>
      </c>
      <c r="C1009" s="21" t="s">
        <v>900</v>
      </c>
      <c r="D1009" s="21" t="s">
        <v>901</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1313</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914</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179</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1026</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1018</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1314</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188</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1315</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1181</v>
      </c>
      <c r="B1018" s="21" t="s">
        <v>941</v>
      </c>
      <c r="C1018" s="21" t="s">
        <v>994</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1233</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row>
    <row r="1021" spans="1:12">
      <c r="A1021" s="20" t="s">
        <v>1316</v>
      </c>
    </row>
    <row r="1022" spans="1:12">
      <c r="A1022" s="20" t="s">
        <v>1317</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1314</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222</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1318</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1305</v>
      </c>
      <c r="B1026" s="21" t="s">
        <v>899</v>
      </c>
      <c r="C1026" s="21" t="s">
        <v>1035</v>
      </c>
      <c r="D1026" s="21" t="s">
        <v>901</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921</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933</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919</v>
      </c>
      <c r="B1029" s="21" t="s">
        <v>912</v>
      </c>
      <c r="C1029" s="21" t="s">
        <v>931</v>
      </c>
      <c r="D1029" s="21" t="s">
        <v>901</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925</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1319</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1320</v>
      </c>
      <c r="B1032" s="21" t="s">
        <v>955</v>
      </c>
      <c r="C1032" s="21" t="s">
        <v>900</v>
      </c>
      <c r="D1032" s="21" t="s">
        <v>901</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970</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926</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940</v>
      </c>
      <c r="B1035" s="21" t="s">
        <v>907</v>
      </c>
      <c r="C1035" s="21" t="s">
        <v>931</v>
      </c>
      <c r="D1035" s="21" t="s">
        <v>901</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945</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1233</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row>
    <row r="1039" spans="1:12">
      <c r="A1039" s="20" t="s">
        <v>1321</v>
      </c>
    </row>
    <row r="1040" spans="1:12">
      <c r="A1040" s="20" t="s">
        <v>1041</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1322</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1055</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914</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933</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919</v>
      </c>
      <c r="B1045" s="21" t="s">
        <v>912</v>
      </c>
      <c r="C1045" s="21" t="s">
        <v>931</v>
      </c>
      <c r="D1045" s="21" t="s">
        <v>901</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1258</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1323</v>
      </c>
      <c r="B1047" s="21" t="s">
        <v>912</v>
      </c>
      <c r="C1047" s="21" t="s">
        <v>905</v>
      </c>
      <c r="D1047" s="21" t="s">
        <v>901</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1324</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1325</v>
      </c>
      <c r="B1049" s="21" t="s">
        <v>907</v>
      </c>
      <c r="C1049" s="21" t="s">
        <v>905</v>
      </c>
      <c r="D1049" s="21" t="s">
        <v>901</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960</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1026</v>
      </c>
      <c r="B1051" s="21" t="s">
        <v>1044</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936</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1202</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1011</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1326</v>
      </c>
      <c r="B1055" s="21" t="s">
        <v>912</v>
      </c>
      <c r="C1055" s="21" t="s">
        <v>931</v>
      </c>
      <c r="D1055" s="21" t="s">
        <v>901</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1327</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932</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1002</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999</v>
      </c>
      <c r="B1059" s="21" t="s">
        <v>941</v>
      </c>
      <c r="C1059" s="21" t="s">
        <v>916</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942</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1328</v>
      </c>
      <c r="B1061" s="21" t="s">
        <v>928</v>
      </c>
      <c r="C1061" s="21" t="s">
        <v>916</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1329</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202</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row>
    <row r="1065" spans="1:12">
      <c r="A1065" s="20" t="s">
        <v>1330</v>
      </c>
    </row>
    <row r="1066" spans="1:12">
      <c r="A1066" s="20" t="s">
        <v>1112</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956</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1331</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970</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96</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1122</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1332</v>
      </c>
      <c r="B1072" s="21" t="s">
        <v>955</v>
      </c>
      <c r="C1072" s="21" t="s">
        <v>994</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1026</v>
      </c>
      <c r="B1073" s="21" t="s">
        <v>1333</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1334</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1007</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1335</v>
      </c>
      <c r="B1076" s="21" t="s">
        <v>941</v>
      </c>
      <c r="C1076" s="21" t="s">
        <v>931</v>
      </c>
      <c r="D1076" s="21" t="s">
        <v>901</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1336</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1088</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1337</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942</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933</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1264</v>
      </c>
      <c r="B1082" s="21" t="s">
        <v>950</v>
      </c>
      <c r="C1082" s="21" t="s">
        <v>931</v>
      </c>
      <c r="D1082" s="21" t="s">
        <v>901</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920</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202</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row>
    <row r="1086" spans="1:12">
      <c r="A1086" s="20" t="s">
        <v>1338</v>
      </c>
    </row>
    <row r="1087" spans="1:12">
      <c r="A1087" s="20" t="s">
        <v>1231</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1339</v>
      </c>
      <c r="B1088" s="21" t="s">
        <v>904</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936</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1026</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960</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1187</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1340</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942</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1197</v>
      </c>
      <c r="B1095" s="21" t="s">
        <v>923</v>
      </c>
      <c r="C1095" s="21" t="s">
        <v>968</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914</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1304</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919</v>
      </c>
      <c r="B1098" s="21" t="s">
        <v>928</v>
      </c>
      <c r="C1098" s="21" t="s">
        <v>1035</v>
      </c>
      <c r="D1098" s="21" t="s">
        <v>901</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920</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960</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1341</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942</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1323</v>
      </c>
      <c r="B1103" s="21" t="s">
        <v>928</v>
      </c>
      <c r="C1103" s="21" t="s">
        <v>913</v>
      </c>
      <c r="D1103" s="21" t="s">
        <v>901</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1324</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1325</v>
      </c>
      <c r="B1105" s="21" t="s">
        <v>950</v>
      </c>
      <c r="C1105" s="21" t="s">
        <v>905</v>
      </c>
      <c r="D1105" s="21" t="s">
        <v>901</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960</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1195</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1019</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1342</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1343</v>
      </c>
      <c r="B1110" s="21" t="s">
        <v>1044</v>
      </c>
      <c r="C1110" s="21" t="s">
        <v>994</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1344</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1026</v>
      </c>
      <c r="B1112" s="21" t="s">
        <v>1333</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161</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1345</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970</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926</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1346</v>
      </c>
      <c r="B1117" s="21" t="s">
        <v>928</v>
      </c>
      <c r="C1117" s="21" t="s">
        <v>931</v>
      </c>
      <c r="D1117" s="21" t="s">
        <v>901</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1347</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921</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1348</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1114</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243</v>
      </c>
      <c r="B1122" s="21" t="s">
        <v>972</v>
      </c>
      <c r="C1122" s="21" t="s">
        <v>959</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932</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681</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926</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940</v>
      </c>
      <c r="B1126" s="21" t="s">
        <v>1349</v>
      </c>
      <c r="C1126" s="21" t="s">
        <v>931</v>
      </c>
      <c r="D1126" s="21" t="s">
        <v>901</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202</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row>
    <row r="1129" spans="1:12">
      <c r="A1129" s="20" t="s">
        <v>1350</v>
      </c>
    </row>
    <row r="1130" spans="1:12">
      <c r="A1130" s="20" t="s">
        <v>1351</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921</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238</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202</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row>
    <row r="1135" spans="1:12">
      <c r="A1135" s="20" t="s">
        <v>1352</v>
      </c>
    </row>
    <row r="1136" spans="1:12">
      <c r="A1136" s="20" t="s">
        <v>1266</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1018</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1114</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243</v>
      </c>
      <c r="B1139" s="21" t="s">
        <v>912</v>
      </c>
      <c r="C1139" s="21" t="s">
        <v>959</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1315</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1252</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row>
    <row r="1143" spans="1:12">
      <c r="A1143" s="20" t="s">
        <v>1353</v>
      </c>
    </row>
    <row r="1144" spans="1:12">
      <c r="A1144" s="20" t="s">
        <v>1114</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243</v>
      </c>
      <c r="B1145" s="21" t="s">
        <v>912</v>
      </c>
      <c r="C1145" s="21" t="s">
        <v>959</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1354</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1355</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970</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926</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1356</v>
      </c>
      <c r="B1150" s="21" t="s">
        <v>923</v>
      </c>
      <c r="C1150" s="21" t="s">
        <v>929</v>
      </c>
      <c r="D1150" s="21" t="s">
        <v>901</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1357</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1358</v>
      </c>
      <c r="B1152" s="21" t="s">
        <v>907</v>
      </c>
      <c r="C1152" s="21" t="s">
        <v>931</v>
      </c>
      <c r="D1152" s="21" t="s">
        <v>901</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942</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926</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1048</v>
      </c>
      <c r="B1155" s="21" t="s">
        <v>907</v>
      </c>
      <c r="C1155" s="21" t="s">
        <v>931</v>
      </c>
      <c r="D1155" s="21" t="s">
        <v>901</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202</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row>
    <row r="1158" spans="1:12">
      <c r="A1158" s="20" t="s">
        <v>1359</v>
      </c>
    </row>
    <row r="1159" spans="1:12">
      <c r="A1159" s="20" t="s">
        <v>1360</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1233</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row>
    <row r="1162" spans="1:12">
      <c r="A1162" s="20" t="s">
        <v>1361</v>
      </c>
    </row>
    <row r="1163" spans="1:12">
      <c r="A1163" s="20" t="s">
        <v>1362</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943</v>
      </c>
      <c r="B1164" s="21" t="s">
        <v>899</v>
      </c>
      <c r="C1164" s="21" t="s">
        <v>900</v>
      </c>
      <c r="D1164" s="21" t="s">
        <v>901</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1363</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255</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202</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row>
    <row r="1169" spans="1:12">
      <c r="A1169" s="20" t="s">
        <v>1364</v>
      </c>
    </row>
    <row r="1170" spans="1:12">
      <c r="A1170" s="20" t="s">
        <v>1227</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1184</v>
      </c>
      <c r="B1171" s="21" t="s">
        <v>899</v>
      </c>
      <c r="C1171" s="21" t="s">
        <v>900</v>
      </c>
      <c r="D1171" s="21" t="s">
        <v>901</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1365</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1303</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957</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1366</v>
      </c>
      <c r="B1175" s="21" t="s">
        <v>899</v>
      </c>
      <c r="C1175" s="21" t="s">
        <v>959</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1367</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202</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row>
    <row r="1179" spans="1:12">
      <c r="A1179" s="20" t="s">
        <v>1368</v>
      </c>
    </row>
    <row r="1180" spans="1:12">
      <c r="A1180" s="20" t="s">
        <v>1266</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936</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970</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926</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1369</v>
      </c>
      <c r="B1184" s="21" t="s">
        <v>912</v>
      </c>
      <c r="C1184" s="21" t="s">
        <v>913</v>
      </c>
      <c r="D1184" s="21" t="s">
        <v>901</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914</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1007</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1370</v>
      </c>
      <c r="B1187" s="21" t="s">
        <v>907</v>
      </c>
      <c r="C1187" s="21" t="s">
        <v>929</v>
      </c>
      <c r="D1187" s="21" t="s">
        <v>901</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1371</v>
      </c>
      <c r="B1188" s="21" t="s">
        <v>912</v>
      </c>
      <c r="C1188" s="21" t="s">
        <v>931</v>
      </c>
      <c r="D1188" s="21" t="s">
        <v>901</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202</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row>
    <row r="1191" spans="1:12">
      <c r="A1191" s="20" t="s">
        <v>1372</v>
      </c>
    </row>
    <row r="1192" spans="1:12">
      <c r="A1192" s="20" t="s">
        <v>1105</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1373</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1374</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1195</v>
      </c>
      <c r="B1195" s="21" t="s">
        <v>899</v>
      </c>
      <c r="C1195" s="21" t="s">
        <v>900</v>
      </c>
      <c r="D1195" s="21" t="s">
        <v>901</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1375</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202</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row>
    <row r="1199" spans="1:12">
      <c r="A1199" s="20" t="s">
        <v>1376</v>
      </c>
    </row>
    <row r="1200" spans="1:12">
      <c r="A1200" s="20" t="s">
        <v>1266</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1018</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1377</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936</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1378</v>
      </c>
      <c r="B1204" s="21" t="s">
        <v>1044</v>
      </c>
      <c r="C1204" s="21" t="s">
        <v>916</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942</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1323</v>
      </c>
      <c r="B1206" s="21" t="s">
        <v>907</v>
      </c>
      <c r="C1206" s="21" t="s">
        <v>905</v>
      </c>
      <c r="D1206" s="21" t="s">
        <v>901</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1324</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1325</v>
      </c>
      <c r="B1208" s="21" t="s">
        <v>923</v>
      </c>
      <c r="C1208" s="21" t="s">
        <v>905</v>
      </c>
      <c r="D1208" s="21" t="s">
        <v>901</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960</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1018</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161</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1379</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926</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971</v>
      </c>
      <c r="B1214" s="21" t="s">
        <v>1217</v>
      </c>
      <c r="C1214" s="21" t="s">
        <v>931</v>
      </c>
      <c r="D1214" s="21" t="s">
        <v>901</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970</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1380</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161</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933</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1381</v>
      </c>
      <c r="B1219" s="21" t="s">
        <v>941</v>
      </c>
      <c r="C1219" s="21" t="s">
        <v>931</v>
      </c>
      <c r="D1219" s="21" t="s">
        <v>901</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960</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1377</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936</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1382</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407</v>
      </c>
      <c r="B1224" s="21" t="s">
        <v>904</v>
      </c>
      <c r="C1224" s="21" t="s">
        <v>968</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914</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1383</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925</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1089</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921</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685</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202</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row>
    <row r="1233" spans="1:12">
      <c r="A1233" s="20" t="s">
        <v>1384</v>
      </c>
    </row>
    <row r="1234" spans="1:12">
      <c r="A1234" s="20" t="s">
        <v>1112</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1195</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1019</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1131</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1385</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1386</v>
      </c>
      <c r="B1239" s="21" t="s">
        <v>904</v>
      </c>
      <c r="C1239" s="21" t="s">
        <v>994</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202</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row>
    <row r="1242" spans="1:12">
      <c r="A1242" s="20" t="s">
        <v>1387</v>
      </c>
    </row>
    <row r="1243" spans="1:12">
      <c r="A1243" s="20" t="s">
        <v>1388</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1389</v>
      </c>
      <c r="B1244" s="21" t="s">
        <v>912</v>
      </c>
      <c r="C1244" s="21" t="s">
        <v>924</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960</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1390</v>
      </c>
      <c r="B1246" s="21" t="s">
        <v>912</v>
      </c>
      <c r="C1246" s="21" t="s">
        <v>913</v>
      </c>
      <c r="D1246" s="21" t="s">
        <v>901</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914</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1391</v>
      </c>
      <c r="B1248" s="21" t="s">
        <v>907</v>
      </c>
      <c r="C1248" s="21" t="s">
        <v>913</v>
      </c>
      <c r="D1248" s="21" t="s">
        <v>901</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914</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964</v>
      </c>
      <c r="B1250" s="21" t="s">
        <v>923</v>
      </c>
      <c r="C1250" s="21" t="s">
        <v>916</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960</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1392</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970</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1393</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161</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970</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1394</v>
      </c>
      <c r="B1257" s="21" t="s">
        <v>928</v>
      </c>
      <c r="C1257" s="21" t="s">
        <v>900</v>
      </c>
      <c r="D1257" s="21" t="s">
        <v>901</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932</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255</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943</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1395</v>
      </c>
      <c r="B1261" s="21" t="s">
        <v>951</v>
      </c>
      <c r="C1261" s="21" t="s">
        <v>929</v>
      </c>
      <c r="D1261" s="21" t="s">
        <v>901</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243</v>
      </c>
      <c r="B1262" s="21" t="s">
        <v>949</v>
      </c>
      <c r="C1262" s="21" t="s">
        <v>931</v>
      </c>
      <c r="D1262" s="21" t="s">
        <v>901</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1180</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202</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row>
    <row r="1266" spans="1:12">
      <c r="A1266" s="20" t="s">
        <v>1396</v>
      </c>
    </row>
    <row r="1267" spans="1:12">
      <c r="A1267" s="20" t="s">
        <v>1227</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936</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1114</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1160</v>
      </c>
      <c r="B1270" s="21" t="s">
        <v>912</v>
      </c>
      <c r="C1270" s="21" t="s">
        <v>913</v>
      </c>
      <c r="D1270" s="21" t="s">
        <v>901</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1088</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1397</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942</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943</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944</v>
      </c>
      <c r="B1275" s="21" t="s">
        <v>912</v>
      </c>
      <c r="C1275" s="21" t="s">
        <v>931</v>
      </c>
      <c r="D1275" s="21" t="s">
        <v>901</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945</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960</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1113</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1398</v>
      </c>
      <c r="B1279" s="21" t="s">
        <v>912</v>
      </c>
      <c r="C1279" s="21" t="s">
        <v>1035</v>
      </c>
      <c r="D1279" s="21" t="s">
        <v>901</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1026</v>
      </c>
      <c r="B1280" s="21" t="s">
        <v>1217</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970</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1399</v>
      </c>
      <c r="B1282" s="21" t="s">
        <v>928</v>
      </c>
      <c r="C1282" s="21" t="s">
        <v>929</v>
      </c>
      <c r="D1282" s="21" t="s">
        <v>901</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1400</v>
      </c>
      <c r="B1283" s="21" t="s">
        <v>923</v>
      </c>
      <c r="C1283" s="21" t="s">
        <v>994</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1195</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1019</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1342</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1386</v>
      </c>
      <c r="B1287" s="21" t="s">
        <v>1217</v>
      </c>
      <c r="C1287" s="21" t="s">
        <v>994</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202</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row>
    <row r="1290" spans="1:12">
      <c r="A1290" s="20" t="s">
        <v>1401</v>
      </c>
    </row>
    <row r="1291" spans="1:12">
      <c r="A1291" s="20" t="s">
        <v>1112</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1377</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936</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1131</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1113</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1402</v>
      </c>
      <c r="B1296" s="21" t="s">
        <v>904</v>
      </c>
      <c r="C1296" s="21" t="s">
        <v>1035</v>
      </c>
      <c r="D1296" s="21" t="s">
        <v>901</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1180</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960</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1113</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1402</v>
      </c>
      <c r="B1300" s="21" t="s">
        <v>904</v>
      </c>
      <c r="C1300" s="21" t="s">
        <v>1035</v>
      </c>
      <c r="D1300" s="21" t="s">
        <v>901</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1026</v>
      </c>
      <c r="B1301" s="21" t="s">
        <v>1217</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1403</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960</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1032</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926</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69</v>
      </c>
      <c r="B1306" s="21" t="s">
        <v>923</v>
      </c>
      <c r="C1306" s="21" t="s">
        <v>931</v>
      </c>
      <c r="D1306" s="21" t="s">
        <v>901</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1247</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1404</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960</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925</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1160</v>
      </c>
      <c r="B1311" s="21" t="s">
        <v>949</v>
      </c>
      <c r="C1311" s="21" t="s">
        <v>998</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1405</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1406</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202</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row>
    <row r="1316" spans="1:12">
      <c r="A1316" s="20" t="s">
        <v>1407</v>
      </c>
    </row>
    <row r="1317" spans="1:12">
      <c r="A1317" s="20" t="s">
        <v>1112</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1408</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1409</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1281</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1033</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1410</v>
      </c>
      <c r="B1322" s="21" t="s">
        <v>899</v>
      </c>
      <c r="C1322" s="21" t="s">
        <v>1035</v>
      </c>
      <c r="D1322" s="21" t="s">
        <v>901</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1411</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row>
    <row r="1325" spans="1:12">
      <c r="A1325" s="20" t="s">
        <v>1292</v>
      </c>
    </row>
    <row r="1326" spans="1:12">
      <c r="A1326" s="20" t="s">
        <v>202</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row>
    <row r="1328" spans="1:12">
      <c r="A1328" s="20" t="s">
        <v>1412</v>
      </c>
    </row>
    <row r="1329" spans="1:12">
      <c r="A1329" s="20" t="s">
        <v>1167</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1169</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1413</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914</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1036</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914</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1358</v>
      </c>
      <c r="B1335" s="21" t="s">
        <v>923</v>
      </c>
      <c r="C1335" s="21" t="s">
        <v>924</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925</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1414</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914</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1415</v>
      </c>
      <c r="B1339" s="21" t="s">
        <v>950</v>
      </c>
      <c r="C1339" s="21" t="s">
        <v>916</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960</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925</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1414</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942</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1416</v>
      </c>
      <c r="B1344" s="21" t="s">
        <v>907</v>
      </c>
      <c r="C1344" s="21" t="s">
        <v>916</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202</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row>
    <row r="1347" spans="1:12">
      <c r="A1347" s="20" t="s">
        <v>1417</v>
      </c>
    </row>
    <row r="1348" spans="1:12">
      <c r="A1348" s="20" t="s">
        <v>1227</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1409</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1418</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1419</v>
      </c>
      <c r="B1351" s="21" t="s">
        <v>899</v>
      </c>
      <c r="C1351" s="21" t="s">
        <v>1035</v>
      </c>
      <c r="D1351" s="21" t="s">
        <v>901</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914</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1410</v>
      </c>
      <c r="B1353" s="21" t="s">
        <v>907</v>
      </c>
      <c r="C1353" s="21" t="s">
        <v>916</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1420</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942</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943</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944</v>
      </c>
      <c r="B1357" s="21" t="s">
        <v>923</v>
      </c>
      <c r="C1357" s="21" t="s">
        <v>931</v>
      </c>
      <c r="D1357" s="21" t="s">
        <v>901</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945</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202</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row>
    <row r="1361" spans="1:12">
      <c r="A1361" s="20" t="s">
        <v>1421</v>
      </c>
    </row>
    <row r="1362" spans="1:12">
      <c r="A1362" s="20" t="s">
        <v>1422</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1423</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1033</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1424</v>
      </c>
      <c r="B1365" s="21" t="s">
        <v>955</v>
      </c>
      <c r="C1365" s="21" t="s">
        <v>1035</v>
      </c>
      <c r="D1365" s="21" t="s">
        <v>901</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1018</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1425</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1426</v>
      </c>
      <c r="B1368" s="21" t="s">
        <v>899</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10</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942</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1413</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914</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1427</v>
      </c>
      <c r="B1373" s="21" t="s">
        <v>907</v>
      </c>
      <c r="C1373" s="21" t="s">
        <v>913</v>
      </c>
      <c r="D1373" s="21" t="s">
        <v>901</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970</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957</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1428</v>
      </c>
      <c r="B1376" s="21" t="s">
        <v>923</v>
      </c>
      <c r="C1376" s="21" t="s">
        <v>959</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960</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925</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1414</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942</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1429</v>
      </c>
      <c r="B1381" s="21" t="s">
        <v>907</v>
      </c>
      <c r="C1381" s="21" t="s">
        <v>924</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1430</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1075</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1431</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942</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1429</v>
      </c>
      <c r="B1386" s="21" t="s">
        <v>928</v>
      </c>
      <c r="C1386" s="21" t="s">
        <v>916</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1430</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327</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202</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row>
    <row r="1391" spans="1:12">
      <c r="A1391" s="20" t="s">
        <v>1432</v>
      </c>
    </row>
    <row r="1392" spans="1:12">
      <c r="A1392" s="20" t="s">
        <v>1227</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1433</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1418</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1419</v>
      </c>
      <c r="B1395" s="21" t="s">
        <v>899</v>
      </c>
      <c r="C1395" s="21" t="s">
        <v>1035</v>
      </c>
      <c r="D1395" s="21" t="s">
        <v>901</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914</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1410</v>
      </c>
      <c r="B1397" s="21" t="s">
        <v>907</v>
      </c>
      <c r="C1397" s="21" t="s">
        <v>916</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942</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943</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944</v>
      </c>
      <c r="B1400" s="21" t="s">
        <v>912</v>
      </c>
      <c r="C1400" s="21" t="s">
        <v>931</v>
      </c>
      <c r="D1400" s="21" t="s">
        <v>901</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945</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202</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row>
    <row r="1404" spans="1:12">
      <c r="A1404" s="20" t="s">
        <v>1434</v>
      </c>
    </row>
    <row r="1405" spans="1:12">
      <c r="A1405" s="20" t="s">
        <v>1435</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960</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926</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1138</v>
      </c>
      <c r="B1408" s="21" t="s">
        <v>904</v>
      </c>
      <c r="C1408" s="21" t="s">
        <v>913</v>
      </c>
      <c r="D1408" s="21" t="s">
        <v>901</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914</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1146</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1436</v>
      </c>
      <c r="B1411" s="21" t="s">
        <v>907</v>
      </c>
      <c r="C1411" s="21" t="s">
        <v>913</v>
      </c>
      <c r="D1411" s="21" t="s">
        <v>901</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1437</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920</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1258</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1323</v>
      </c>
      <c r="B1415" s="21" t="s">
        <v>923</v>
      </c>
      <c r="C1415" s="21" t="s">
        <v>905</v>
      </c>
      <c r="D1415" s="21" t="s">
        <v>901</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1324</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1325</v>
      </c>
      <c r="B1417" s="21" t="s">
        <v>928</v>
      </c>
      <c r="C1417" s="21" t="s">
        <v>905</v>
      </c>
      <c r="D1417" s="21" t="s">
        <v>901</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936</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1026</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1438</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1088</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1439</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1440</v>
      </c>
      <c r="B1423" s="21" t="s">
        <v>955</v>
      </c>
      <c r="C1423" s="21" t="s">
        <v>994</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21</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1441</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957</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1159</v>
      </c>
      <c r="B1427" s="21" t="s">
        <v>1044</v>
      </c>
      <c r="C1427" s="21" t="s">
        <v>913</v>
      </c>
      <c r="D1427" s="21" t="s">
        <v>901</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921</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1114</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1179</v>
      </c>
      <c r="B1430" s="21" t="s">
        <v>923</v>
      </c>
      <c r="C1430" s="21" t="s">
        <v>959</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1180</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967</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933</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1442</v>
      </c>
      <c r="B1434" s="21" t="s">
        <v>1217</v>
      </c>
      <c r="C1434" s="21" t="s">
        <v>931</v>
      </c>
      <c r="D1434" s="21" t="s">
        <v>901</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960</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1026</v>
      </c>
      <c r="B1436" s="21" t="s">
        <v>947</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1443</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914</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632</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1281</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926</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1444</v>
      </c>
      <c r="B1442" s="21" t="s">
        <v>997</v>
      </c>
      <c r="C1442" s="21" t="s">
        <v>929</v>
      </c>
      <c r="D1442" s="21" t="s">
        <v>901</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971</v>
      </c>
      <c r="B1443" s="21" t="s">
        <v>972</v>
      </c>
      <c r="C1443" s="21" t="s">
        <v>931</v>
      </c>
      <c r="D1443" s="21" t="s">
        <v>901</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942</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1304</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1264</v>
      </c>
      <c r="B1446" s="21" t="s">
        <v>951</v>
      </c>
      <c r="C1446" s="21" t="s">
        <v>1035</v>
      </c>
      <c r="D1446" s="21" t="s">
        <v>901</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914</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1048</v>
      </c>
      <c r="B1448" s="21" t="s">
        <v>997</v>
      </c>
      <c r="C1448" s="21" t="s">
        <v>916</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202</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row>
    <row r="1451" spans="1:12">
      <c r="A1451" s="20" t="s">
        <v>1445</v>
      </c>
    </row>
    <row r="1452" spans="1:12">
      <c r="A1452" s="20" t="s">
        <v>1446</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936</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1447</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914</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943</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1005</v>
      </c>
      <c r="B1457" s="21" t="s">
        <v>912</v>
      </c>
      <c r="C1457" s="21" t="s">
        <v>931</v>
      </c>
      <c r="D1457" s="21" t="s">
        <v>901</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202</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row>
    <row r="1460" spans="1:12">
      <c r="A1460" s="20" t="s">
        <v>1448</v>
      </c>
    </row>
    <row r="1461" spans="1:12">
      <c r="A1461" s="20" t="s">
        <v>1190</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932</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1033</v>
      </c>
      <c r="B1463" s="21" t="s">
        <v>912</v>
      </c>
      <c r="C1463" s="21" t="s">
        <v>1097</v>
      </c>
      <c r="D1463" s="21" t="s">
        <v>901</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1026</v>
      </c>
      <c r="B1464" s="21" t="s">
        <v>1044</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960</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1449</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960</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1450</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967</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933</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1108</v>
      </c>
      <c r="B1471" s="21" t="s">
        <v>1044</v>
      </c>
      <c r="C1471" s="21" t="s">
        <v>913</v>
      </c>
      <c r="D1471" s="21" t="s">
        <v>901</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914</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1323</v>
      </c>
      <c r="B1473" s="21" t="s">
        <v>923</v>
      </c>
      <c r="C1473" s="21" t="s">
        <v>905</v>
      </c>
      <c r="D1473" s="21" t="s">
        <v>901</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1324</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1325</v>
      </c>
      <c r="B1475" s="21" t="s">
        <v>923</v>
      </c>
      <c r="C1475" s="21" t="s">
        <v>905</v>
      </c>
      <c r="D1475" s="21" t="s">
        <v>901</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1451</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991</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1452</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1208</v>
      </c>
      <c r="B1479" s="21" t="s">
        <v>955</v>
      </c>
      <c r="C1479" s="21" t="s">
        <v>913</v>
      </c>
      <c r="D1479" s="21" t="s">
        <v>901</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914</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922</v>
      </c>
      <c r="B1481" s="21" t="s">
        <v>923</v>
      </c>
      <c r="C1481" s="21" t="s">
        <v>916</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970</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1002</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933</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999</v>
      </c>
      <c r="B1485" s="21" t="s">
        <v>965</v>
      </c>
      <c r="C1485" s="21" t="s">
        <v>913</v>
      </c>
      <c r="D1485" s="21" t="s">
        <v>901</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1453</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914</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1454</v>
      </c>
      <c r="B1488" s="21" t="s">
        <v>928</v>
      </c>
      <c r="C1488" s="21" t="s">
        <v>905</v>
      </c>
      <c r="D1488" s="21" t="s">
        <v>901</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202</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row>
    <row r="1491" spans="1:12">
      <c r="A1491" s="20" t="s">
        <v>1455</v>
      </c>
    </row>
    <row r="1492" spans="1:12">
      <c r="A1492" s="20" t="s">
        <v>1083</v>
      </c>
      <c r="B1492" s="21" t="s">
        <v>904</v>
      </c>
      <c r="C1492" s="21" t="s">
        <v>1097</v>
      </c>
      <c r="D1492" s="21" t="s">
        <v>901</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1018</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936</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1456</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1114</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1160</v>
      </c>
      <c r="B1497" s="21" t="s">
        <v>912</v>
      </c>
      <c r="C1497" s="21" t="s">
        <v>959</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1457</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202</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row>
    <row r="1501" spans="1:12">
      <c r="A1501" s="20" t="s">
        <v>1458</v>
      </c>
    </row>
    <row r="1502" spans="1:12">
      <c r="A1502" s="20" t="s">
        <v>1075</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1459</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323</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1114</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1160</v>
      </c>
      <c r="B1506" s="21" t="s">
        <v>899</v>
      </c>
      <c r="C1506" s="21" t="s">
        <v>959</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1457</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202</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row>
    <row r="1510" spans="1:12">
      <c r="A1510" s="20" t="s">
        <v>1460</v>
      </c>
    </row>
    <row r="1511" spans="1:12">
      <c r="A1511" s="20" t="s">
        <v>327</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row>
    <row r="1513" spans="1:12">
      <c r="A1513" s="20" t="s">
        <v>1461</v>
      </c>
    </row>
    <row r="1514" spans="1:12">
      <c r="A1514" s="20" t="s">
        <v>1266</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1462</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943</v>
      </c>
      <c r="B1516" s="21" t="s">
        <v>899</v>
      </c>
      <c r="C1516" s="21" t="s">
        <v>900</v>
      </c>
      <c r="D1516" s="21" t="s">
        <v>901</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942</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1463</v>
      </c>
      <c r="B1518" s="21" t="s">
        <v>912</v>
      </c>
      <c r="C1518" s="21" t="s">
        <v>916</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1252</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row>
    <row r="1521" spans="1:12">
      <c r="A1521" s="20" t="s">
        <v>1464</v>
      </c>
    </row>
    <row r="1522" spans="1:12">
      <c r="A1522" s="20" t="s">
        <v>1452</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1208</v>
      </c>
      <c r="B1523" s="21" t="s">
        <v>904</v>
      </c>
      <c r="C1523" s="21" t="s">
        <v>913</v>
      </c>
      <c r="D1523" s="21" t="s">
        <v>901</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914</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922</v>
      </c>
      <c r="B1525" s="21" t="s">
        <v>907</v>
      </c>
      <c r="C1525" s="21" t="s">
        <v>916</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1465</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1466</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926</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1467</v>
      </c>
      <c r="B1529" s="21" t="s">
        <v>912</v>
      </c>
      <c r="C1529" s="21" t="s">
        <v>931</v>
      </c>
      <c r="D1529" s="21" t="s">
        <v>901</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942</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1045</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1197</v>
      </c>
      <c r="B1532" s="21" t="s">
        <v>1044</v>
      </c>
      <c r="C1532" s="21" t="s">
        <v>968</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914</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933</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1468</v>
      </c>
      <c r="B1535" s="21" t="s">
        <v>928</v>
      </c>
      <c r="C1535" s="21" t="s">
        <v>929</v>
      </c>
      <c r="D1535" s="21" t="s">
        <v>901</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1469</v>
      </c>
      <c r="B1536" s="21" t="s">
        <v>923</v>
      </c>
      <c r="C1536" s="21" t="s">
        <v>931</v>
      </c>
      <c r="D1536" s="21" t="s">
        <v>901</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161</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1470</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942</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1471</v>
      </c>
      <c r="B1540" s="21" t="s">
        <v>907</v>
      </c>
      <c r="C1540" s="21" t="s">
        <v>916</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202</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row>
    <row r="1543" spans="1:12">
      <c r="A1543" s="20" t="s">
        <v>1472</v>
      </c>
    </row>
    <row r="1544" spans="1:12">
      <c r="A1544" s="20" t="s">
        <v>1473</v>
      </c>
      <c r="B1544" s="21" t="s">
        <v>904</v>
      </c>
      <c r="C1544" s="21" t="s">
        <v>1097</v>
      </c>
      <c r="D1544" s="21" t="s">
        <v>901</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1474</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926</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1475</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1476</v>
      </c>
      <c r="B1548" s="21" t="s">
        <v>912</v>
      </c>
      <c r="C1548" s="21" t="s">
        <v>931</v>
      </c>
      <c r="D1548" s="21" t="s">
        <v>901</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970</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1477</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1478</v>
      </c>
      <c r="B1551" s="21" t="s">
        <v>955</v>
      </c>
      <c r="C1551" s="21" t="s">
        <v>916</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202</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row>
    <row r="1554" spans="1:12">
      <c r="A1554" s="20" t="s">
        <v>1479</v>
      </c>
    </row>
    <row r="1555" spans="1:12">
      <c r="A1555" s="20" t="s">
        <v>115</v>
      </c>
      <c r="B1555" s="21" t="s">
        <v>912</v>
      </c>
      <c r="C1555" s="21" t="s">
        <v>905</v>
      </c>
      <c r="D1555" s="21" t="s">
        <v>901</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960</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1055</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1187</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1480</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914</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946</v>
      </c>
      <c r="B1561" s="21" t="s">
        <v>923</v>
      </c>
      <c r="C1561" s="21" t="s">
        <v>998</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971</v>
      </c>
      <c r="B1562" s="21" t="s">
        <v>907</v>
      </c>
      <c r="C1562" s="21" t="s">
        <v>994</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1405</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1481</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942</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926</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470</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960</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1011</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1482</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1328</v>
      </c>
      <c r="B1571" s="21" t="s">
        <v>965</v>
      </c>
      <c r="C1571" s="21" t="s">
        <v>931</v>
      </c>
      <c r="D1571" s="21" t="s">
        <v>901</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1483</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1131</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1484</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914</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1485</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1195</v>
      </c>
      <c r="B1577" s="21" t="s">
        <v>949</v>
      </c>
      <c r="C1577" s="21" t="s">
        <v>900</v>
      </c>
      <c r="D1577" s="21" t="s">
        <v>901</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960</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936</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914</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1413</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914</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1486</v>
      </c>
      <c r="B1583" s="21" t="s">
        <v>950</v>
      </c>
      <c r="C1583" s="21" t="s">
        <v>916</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1487</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970</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1011</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1488</v>
      </c>
      <c r="B1587" s="21" t="s">
        <v>997</v>
      </c>
      <c r="C1587" s="21" t="s">
        <v>931</v>
      </c>
      <c r="D1587" s="21" t="s">
        <v>901</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1092</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960</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1026</v>
      </c>
      <c r="B1590" s="21" t="s">
        <v>1249</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914</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932</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1489</v>
      </c>
      <c r="B1593" s="21" t="s">
        <v>997</v>
      </c>
      <c r="C1593" s="21" t="s">
        <v>900</v>
      </c>
      <c r="D1593" s="21" t="s">
        <v>901</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936</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1114</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1160</v>
      </c>
      <c r="B1596" s="21" t="s">
        <v>951</v>
      </c>
      <c r="C1596" s="21" t="s">
        <v>959</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1490</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960</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1130</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1131</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1491</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960</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69</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1046</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1492</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1026</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1493</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1281</v>
      </c>
      <c r="B1608" s="21" t="s">
        <v>1494</v>
      </c>
      <c r="C1608" s="21" t="s">
        <v>968</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1033</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971</v>
      </c>
      <c r="B1610" s="21" t="s">
        <v>1494</v>
      </c>
      <c r="C1610" s="21" t="s">
        <v>1035</v>
      </c>
      <c r="D1610" s="21" t="s">
        <v>901</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970</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470</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960</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1405</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1495</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1200</v>
      </c>
      <c r="B1616" s="21" t="s">
        <v>1496</v>
      </c>
      <c r="C1616" s="21" t="s">
        <v>1097</v>
      </c>
      <c r="D1616" s="21" t="s">
        <v>901</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914</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1045</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1247</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1276</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1258</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21</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1497</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960</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1195</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1405</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1498</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970</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1269</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914</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963</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925</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1441</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26</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963</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1499</v>
      </c>
      <c r="B1636" s="21" t="s">
        <v>1500</v>
      </c>
      <c r="C1636" s="21" t="s">
        <v>916</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202</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row>
    <row r="1639" spans="1:12">
      <c r="A1639" s="20" t="s">
        <v>1501</v>
      </c>
    </row>
    <row r="1640" spans="1:12">
      <c r="A1640" s="20" t="s">
        <v>1096</v>
      </c>
      <c r="B1640" s="21" t="s">
        <v>904</v>
      </c>
      <c r="C1640" s="21" t="s">
        <v>1097</v>
      </c>
      <c r="D1640" s="21" t="s">
        <v>901</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936</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1014</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960</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1024</v>
      </c>
      <c r="B1644" s="21" t="s">
        <v>1044</v>
      </c>
      <c r="C1644" s="21" t="s">
        <v>900</v>
      </c>
      <c r="D1644" s="21" t="s">
        <v>901</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1195</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1025</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202</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row>
    <row r="1649" spans="1:12">
      <c r="A1649" s="20" t="s">
        <v>1502</v>
      </c>
    </row>
    <row r="1650" spans="1:12">
      <c r="A1650" s="20" t="s">
        <v>1503</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1504</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1113</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1505</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1506</v>
      </c>
      <c r="B1654" s="21" t="s">
        <v>904</v>
      </c>
      <c r="C1654" s="21" t="s">
        <v>1035</v>
      </c>
      <c r="D1654" s="21" t="s">
        <v>901</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202</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row>
    <row r="1657" spans="1:12">
      <c r="A1657" s="20" t="s">
        <v>1507</v>
      </c>
    </row>
    <row r="1658" spans="1:12">
      <c r="A1658" s="20" t="s">
        <v>1190</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1508</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1509</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1510</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921</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957</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1511</v>
      </c>
      <c r="B1664" s="21" t="s">
        <v>912</v>
      </c>
      <c r="C1664" s="21" t="s">
        <v>959</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970</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1011</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1310</v>
      </c>
      <c r="B1667" s="21" t="s">
        <v>912</v>
      </c>
      <c r="C1667" s="21" t="s">
        <v>913</v>
      </c>
      <c r="D1667" s="21" t="s">
        <v>901</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1512</v>
      </c>
      <c r="B1668" s="21" t="s">
        <v>907</v>
      </c>
      <c r="C1668" s="21" t="s">
        <v>905</v>
      </c>
      <c r="D1668" s="21" t="s">
        <v>901</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1513</v>
      </c>
      <c r="B1669" s="21" t="s">
        <v>923</v>
      </c>
      <c r="C1669" s="21" t="s">
        <v>905</v>
      </c>
      <c r="D1669" s="21" t="s">
        <v>901</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202</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row>
    <row r="1672" spans="1:12">
      <c r="A1672" s="20" t="s">
        <v>1514</v>
      </c>
    </row>
    <row r="1673" spans="1:12">
      <c r="A1673" s="20" t="s">
        <v>1515</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1516</v>
      </c>
      <c r="B1674" s="21" t="s">
        <v>904</v>
      </c>
      <c r="C1674" s="21" t="s">
        <v>931</v>
      </c>
      <c r="D1674" s="21" t="s">
        <v>901</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1517</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1518</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1519</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1520</v>
      </c>
      <c r="B1678" s="21" t="s">
        <v>912</v>
      </c>
      <c r="C1678" s="21" t="s">
        <v>916</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942</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957</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1521</v>
      </c>
      <c r="B1681" s="21" t="s">
        <v>912</v>
      </c>
      <c r="C1681" s="21" t="s">
        <v>913</v>
      </c>
      <c r="D1681" s="21" t="s">
        <v>901</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1237</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1114</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1522</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1523</v>
      </c>
      <c r="B1685" s="21" t="s">
        <v>907</v>
      </c>
      <c r="C1685" s="21" t="s">
        <v>913</v>
      </c>
      <c r="D1685" s="21" t="s">
        <v>901</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914</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1108</v>
      </c>
      <c r="B1687" s="21" t="s">
        <v>923</v>
      </c>
      <c r="C1687" s="21" t="s">
        <v>916</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1118</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960</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1524</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991</v>
      </c>
      <c r="B1691" s="21" t="s">
        <v>899</v>
      </c>
      <c r="C1691" s="21" t="s">
        <v>913</v>
      </c>
      <c r="D1691" s="21" t="s">
        <v>901</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1525</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981</v>
      </c>
      <c r="B1693" s="21" t="s">
        <v>907</v>
      </c>
      <c r="C1693" s="21" t="s">
        <v>924</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983</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920</v>
      </c>
      <c r="B1695" s="21" t="s">
        <v>955</v>
      </c>
      <c r="C1695" s="21" t="s">
        <v>916</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960</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970</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1011</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1526</v>
      </c>
      <c r="B1699" s="21" t="s">
        <v>907</v>
      </c>
      <c r="C1699" s="21" t="s">
        <v>913</v>
      </c>
      <c r="D1699" s="21" t="s">
        <v>901</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914</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95</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922</v>
      </c>
      <c r="B1702" s="21" t="s">
        <v>923</v>
      </c>
      <c r="C1702" s="21" t="s">
        <v>924</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202</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row>
    <row r="1705" spans="1:12">
      <c r="A1705" s="20" t="s">
        <v>1527</v>
      </c>
    </row>
    <row r="1706" spans="1:12">
      <c r="A1706" s="20" t="s">
        <v>1525</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981</v>
      </c>
      <c r="B1707" s="21" t="s">
        <v>904</v>
      </c>
      <c r="C1707" s="21" t="s">
        <v>924</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936</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957</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1528</v>
      </c>
      <c r="B1710" s="21" t="s">
        <v>912</v>
      </c>
      <c r="C1710" s="21" t="s">
        <v>959</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1529</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1505</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932</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1530</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1531</v>
      </c>
      <c r="B1715" s="21" t="s">
        <v>907</v>
      </c>
      <c r="C1715" s="21" t="s">
        <v>924</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202</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row>
    <row r="1718" spans="1:12">
      <c r="A1718" s="20" t="s">
        <v>1532</v>
      </c>
    </row>
    <row r="1719" spans="1:12">
      <c r="A1719" s="20" t="s">
        <v>1533</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914</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1281</v>
      </c>
      <c r="B1721" s="21" t="s">
        <v>912</v>
      </c>
      <c r="C1721" s="21" t="s">
        <v>968</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960</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932</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933</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1534</v>
      </c>
      <c r="B1725" s="21" t="s">
        <v>912</v>
      </c>
      <c r="C1725" s="21" t="s">
        <v>913</v>
      </c>
      <c r="D1725" s="21" t="s">
        <v>901</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942</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1146</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1535</v>
      </c>
      <c r="B1728" s="21" t="s">
        <v>907</v>
      </c>
      <c r="C1728" s="21" t="s">
        <v>905</v>
      </c>
      <c r="D1728" s="21" t="s">
        <v>901</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1536</v>
      </c>
      <c r="B1729" s="21" t="s">
        <v>923</v>
      </c>
      <c r="C1729" s="21" t="s">
        <v>905</v>
      </c>
      <c r="D1729" s="21" t="s">
        <v>901</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1537</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981</v>
      </c>
      <c r="B1731" s="21" t="s">
        <v>907</v>
      </c>
      <c r="C1731" s="21" t="s">
        <v>924</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936</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1011</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1538</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1528</v>
      </c>
      <c r="B1735" s="21" t="s">
        <v>912</v>
      </c>
      <c r="C1735" s="21" t="s">
        <v>913</v>
      </c>
      <c r="D1735" s="21" t="s">
        <v>901</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914</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981</v>
      </c>
      <c r="B1737" s="21" t="s">
        <v>912</v>
      </c>
      <c r="C1737" s="21" t="s">
        <v>916</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1026</v>
      </c>
      <c r="B1738" s="21" t="s">
        <v>1044</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1539</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970</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1540</v>
      </c>
      <c r="B1741" s="21" t="s">
        <v>907</v>
      </c>
      <c r="C1741" s="21" t="s">
        <v>916</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921</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943</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1541</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1542</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1186</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970</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943</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1543</v>
      </c>
      <c r="B1749" s="21" t="s">
        <v>923</v>
      </c>
      <c r="C1749" s="21" t="s">
        <v>931</v>
      </c>
      <c r="D1749" s="21" t="s">
        <v>901</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1027</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1201</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1544</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967</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933</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1224</v>
      </c>
      <c r="B1755" s="21" t="s">
        <v>928</v>
      </c>
      <c r="C1755" s="21" t="s">
        <v>931</v>
      </c>
      <c r="D1755" s="21" t="s">
        <v>901</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202</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row>
    <row r="1758" spans="1:12">
      <c r="A1758" s="20" t="s">
        <v>1545</v>
      </c>
    </row>
    <row r="1759" spans="1:12">
      <c r="A1759" s="20" t="s">
        <v>1174</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1504</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910</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1546</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1547</v>
      </c>
      <c r="B1763" s="21" t="s">
        <v>899</v>
      </c>
      <c r="C1763" s="21" t="s">
        <v>913</v>
      </c>
      <c r="D1763" s="21" t="s">
        <v>901</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914</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1548</v>
      </c>
      <c r="B1765" s="21" t="s">
        <v>907</v>
      </c>
      <c r="C1765" s="21" t="s">
        <v>916</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1549</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942</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926</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1550</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933</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1551</v>
      </c>
      <c r="B1771" s="21" t="s">
        <v>1217</v>
      </c>
      <c r="C1771" s="21" t="s">
        <v>931</v>
      </c>
      <c r="D1771" s="21" t="s">
        <v>901</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1552</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1258</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21</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914</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933</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1248</v>
      </c>
      <c r="B1777" s="21" t="s">
        <v>923</v>
      </c>
      <c r="C1777" s="21" t="s">
        <v>931</v>
      </c>
      <c r="D1777" s="21" t="s">
        <v>901</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1553</v>
      </c>
      <c r="B1778" s="21" t="s">
        <v>1333</v>
      </c>
      <c r="C1778" s="21" t="s">
        <v>905</v>
      </c>
      <c r="D1778" s="21" t="s">
        <v>901</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1487</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970</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926</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971</v>
      </c>
      <c r="B1782" s="21" t="s">
        <v>951</v>
      </c>
      <c r="C1782" s="21" t="s">
        <v>931</v>
      </c>
      <c r="D1782" s="21" t="s">
        <v>901</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970</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1540</v>
      </c>
      <c r="B1784" s="21" t="s">
        <v>951</v>
      </c>
      <c r="C1784" s="21" t="s">
        <v>916</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942</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926</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1550</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1552</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1281</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926</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1554</v>
      </c>
      <c r="B1791" s="21" t="s">
        <v>1555</v>
      </c>
      <c r="C1791" s="21" t="s">
        <v>931</v>
      </c>
      <c r="D1791" s="21" t="s">
        <v>901</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202</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row>
    <row r="1794" spans="1:12">
      <c r="A1794" s="20" t="s">
        <v>984</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1556</v>
      </c>
    </row>
    <row r="1796" spans="1:12">
      <c r="A1796" s="20" t="s">
        <v>1112</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1142</v>
      </c>
      <c r="B1797" s="21" t="s">
        <v>904</v>
      </c>
      <c r="C1797" s="21" t="s">
        <v>968</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914</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969</v>
      </c>
      <c r="B1799" s="21" t="s">
        <v>907</v>
      </c>
      <c r="C1799" s="21" t="s">
        <v>900</v>
      </c>
      <c r="D1799" s="21" t="s">
        <v>901</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1557</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1558</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374</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926</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1559</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914</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1560</v>
      </c>
      <c r="B1806" s="21" t="s">
        <v>907</v>
      </c>
      <c r="C1806" s="21" t="s">
        <v>913</v>
      </c>
      <c r="D1806" s="21" t="s">
        <v>901</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914</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1561</v>
      </c>
      <c r="B1808" s="21" t="s">
        <v>923</v>
      </c>
      <c r="C1808" s="21" t="s">
        <v>905</v>
      </c>
      <c r="D1808" s="21" t="s">
        <v>901</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1562</v>
      </c>
      <c r="B1809" s="21" t="s">
        <v>928</v>
      </c>
      <c r="C1809" s="21" t="s">
        <v>905</v>
      </c>
      <c r="D1809" s="21" t="s">
        <v>901</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960</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790</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1563</v>
      </c>
      <c r="B1812" s="21" t="s">
        <v>928</v>
      </c>
      <c r="C1812" s="21" t="s">
        <v>905</v>
      </c>
      <c r="D1812" s="21" t="s">
        <v>901</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790</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202</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row>
    <row r="1816" spans="1:12">
      <c r="A1816" s="20" t="s">
        <v>1564</v>
      </c>
    </row>
    <row r="1817" spans="1:12">
      <c r="A1817" s="20" t="s">
        <v>1060</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948</v>
      </c>
      <c r="B1818" s="21" t="s">
        <v>955</v>
      </c>
      <c r="C1818" s="21" t="s">
        <v>900</v>
      </c>
      <c r="D1818" s="21" t="s">
        <v>901</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1167</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1245</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1565</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374</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914</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943</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1566</v>
      </c>
      <c r="B1825" s="21" t="s">
        <v>907</v>
      </c>
      <c r="C1825" s="21" t="s">
        <v>929</v>
      </c>
      <c r="D1825" s="21" t="s">
        <v>901</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1567</v>
      </c>
      <c r="B1826" s="21" t="s">
        <v>912</v>
      </c>
      <c r="C1826" s="21" t="s">
        <v>913</v>
      </c>
      <c r="D1826" s="21" t="s">
        <v>901</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914</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926</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1259</v>
      </c>
      <c r="B1829" s="21" t="s">
        <v>907</v>
      </c>
      <c r="C1829" s="21" t="s">
        <v>931</v>
      </c>
      <c r="D1829" s="21" t="s">
        <v>901</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960</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943</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1567</v>
      </c>
      <c r="B1832" s="21" t="s">
        <v>899</v>
      </c>
      <c r="C1832" s="21" t="s">
        <v>913</v>
      </c>
      <c r="D1832" s="21" t="s">
        <v>901</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914</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1007</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1525</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981</v>
      </c>
      <c r="B1836" s="21" t="s">
        <v>907</v>
      </c>
      <c r="C1836" s="21" t="s">
        <v>931</v>
      </c>
      <c r="D1836" s="21" t="s">
        <v>901</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932</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926</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1259</v>
      </c>
      <c r="B1839" s="21" t="s">
        <v>907</v>
      </c>
      <c r="C1839" s="21" t="s">
        <v>931</v>
      </c>
      <c r="D1839" s="21" t="s">
        <v>901</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202</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row>
    <row r="1842" spans="1:12">
      <c r="A1842" s="20" t="s">
        <v>1568</v>
      </c>
    </row>
    <row r="1843" spans="1:12">
      <c r="A1843" s="20" t="s">
        <v>1190</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1569</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1032</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910</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1570</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1571</v>
      </c>
      <c r="B1848" s="21" t="s">
        <v>912</v>
      </c>
      <c r="C1848" s="21" t="s">
        <v>959</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942</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926</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1572</v>
      </c>
      <c r="B1851" s="21" t="s">
        <v>912</v>
      </c>
      <c r="C1851" s="21" t="s">
        <v>913</v>
      </c>
      <c r="D1851" s="21" t="s">
        <v>901</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914</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943</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1573</v>
      </c>
      <c r="B1854" s="21" t="s">
        <v>907</v>
      </c>
      <c r="C1854" s="21" t="s">
        <v>931</v>
      </c>
      <c r="D1854" s="21" t="s">
        <v>901</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960</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1026</v>
      </c>
      <c r="B1856" s="21" t="s">
        <v>1333</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1574</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1026</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1027</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1575</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1525</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981</v>
      </c>
      <c r="B1862" s="21" t="s">
        <v>949</v>
      </c>
      <c r="C1862" s="21" t="s">
        <v>913</v>
      </c>
      <c r="D1862" s="21" t="s">
        <v>901</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914</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1576</v>
      </c>
      <c r="B1864" s="21" t="s">
        <v>951</v>
      </c>
      <c r="C1864" s="21" t="s">
        <v>916</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1577</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970</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1114</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1315</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1160</v>
      </c>
      <c r="B1869" s="21" t="s">
        <v>1286</v>
      </c>
      <c r="C1869" s="21" t="s">
        <v>959</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970</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1011</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1526</v>
      </c>
      <c r="B1872" s="21" t="s">
        <v>950</v>
      </c>
      <c r="C1872" s="21" t="s">
        <v>913</v>
      </c>
      <c r="D1872" s="21" t="s">
        <v>901</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914</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95</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922</v>
      </c>
      <c r="B1875" s="21" t="s">
        <v>951</v>
      </c>
      <c r="C1875" s="21" t="s">
        <v>924</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1578</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914</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933</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1579</v>
      </c>
      <c r="B1879" s="21" t="s">
        <v>997</v>
      </c>
      <c r="C1879" s="21" t="s">
        <v>913</v>
      </c>
      <c r="D1879" s="21" t="s">
        <v>901</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942</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1418</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1572</v>
      </c>
      <c r="B1882" s="21" t="s">
        <v>1286</v>
      </c>
      <c r="C1882" s="21" t="s">
        <v>1035</v>
      </c>
      <c r="D1882" s="21" t="s">
        <v>901</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202</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row>
    <row r="1885" spans="1:12">
      <c r="A1885" s="20" t="s">
        <v>1580</v>
      </c>
    </row>
    <row r="1886" spans="1:12">
      <c r="A1886" s="20" t="s">
        <v>1581</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1248</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942</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1418</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407</v>
      </c>
      <c r="B1890" s="21" t="s">
        <v>912</v>
      </c>
      <c r="C1890" s="21" t="s">
        <v>968</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1582</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946</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1007</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1274</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964</v>
      </c>
      <c r="B1895" s="21" t="s">
        <v>1044</v>
      </c>
      <c r="C1895" s="21" t="s">
        <v>913</v>
      </c>
      <c r="D1895" s="21" t="s">
        <v>901</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970</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926</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940</v>
      </c>
      <c r="B1898" s="21" t="s">
        <v>923</v>
      </c>
      <c r="C1898" s="21" t="s">
        <v>931</v>
      </c>
      <c r="D1898" s="21" t="s">
        <v>901</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202</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row>
    <row r="1901" spans="1:12">
      <c r="A1901" s="20" t="s">
        <v>1583</v>
      </c>
    </row>
    <row r="1902" spans="1:12">
      <c r="A1902" s="20" t="s">
        <v>1105</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960</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1200</v>
      </c>
      <c r="B1904" s="21" t="s">
        <v>904</v>
      </c>
      <c r="C1904" s="21" t="s">
        <v>1097</v>
      </c>
      <c r="D1904" s="21" t="s">
        <v>901</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1026</v>
      </c>
      <c r="B1905" s="21" t="s">
        <v>965</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1046</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1584</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970</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1400</v>
      </c>
      <c r="B1909" s="21" t="s">
        <v>923</v>
      </c>
      <c r="C1909" s="21" t="s">
        <v>916</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936</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910</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1585</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1586</v>
      </c>
      <c r="B1913" s="21" t="s">
        <v>912</v>
      </c>
      <c r="C1913" s="21" t="s">
        <v>913</v>
      </c>
      <c r="D1913" s="21" t="s">
        <v>901</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914</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1551</v>
      </c>
      <c r="B1915" s="21" t="s">
        <v>912</v>
      </c>
      <c r="C1915" s="21" t="s">
        <v>916</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1026</v>
      </c>
      <c r="B1916" s="21" t="s">
        <v>1217</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1019</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914</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933</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1579</v>
      </c>
      <c r="B1920" s="21" t="s">
        <v>907</v>
      </c>
      <c r="C1920" s="21" t="s">
        <v>913</v>
      </c>
      <c r="D1920" s="21" t="s">
        <v>901</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914</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926</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1048</v>
      </c>
      <c r="B1923" s="21" t="s">
        <v>923</v>
      </c>
      <c r="C1923" s="21" t="s">
        <v>931</v>
      </c>
      <c r="D1923" s="21" t="s">
        <v>901</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202</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row>
    <row r="1926" spans="1:12">
      <c r="A1926" s="20" t="s">
        <v>984</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1587</v>
      </c>
    </row>
    <row r="1928" spans="1:12">
      <c r="A1928" s="20" t="s">
        <v>1588</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960</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943</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1589</v>
      </c>
      <c r="B1931" s="21" t="s">
        <v>904</v>
      </c>
      <c r="C1931" s="21" t="s">
        <v>931</v>
      </c>
      <c r="D1931" s="21" t="s">
        <v>901</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936</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1252</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790</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1590</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960</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942</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1160</v>
      </c>
      <c r="B1938" s="21" t="s">
        <v>912</v>
      </c>
      <c r="C1938" s="21" t="s">
        <v>916</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1272</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1248</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1304</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1108</v>
      </c>
      <c r="B1942" s="21" t="s">
        <v>904</v>
      </c>
      <c r="C1942" s="21" t="s">
        <v>1035</v>
      </c>
      <c r="D1942" s="21" t="s">
        <v>901</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1233</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790</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69</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1027</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1591</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1592</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914</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1160</v>
      </c>
      <c r="B1950" s="21" t="s">
        <v>907</v>
      </c>
      <c r="C1950" s="21" t="s">
        <v>998</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161</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1593</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1594</v>
      </c>
      <c r="B1953" s="21" t="s">
        <v>1217</v>
      </c>
      <c r="C1953" s="21" t="s">
        <v>916</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970</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1400</v>
      </c>
      <c r="B1955" s="21" t="s">
        <v>923</v>
      </c>
      <c r="C1955" s="21" t="s">
        <v>916</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1114</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1595</v>
      </c>
      <c r="B1957" s="21" t="s">
        <v>965</v>
      </c>
      <c r="C1957" s="21" t="s">
        <v>913</v>
      </c>
      <c r="D1957" s="21" t="s">
        <v>901</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914</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1596</v>
      </c>
      <c r="B1959" s="21" t="s">
        <v>928</v>
      </c>
      <c r="C1959" s="21" t="s">
        <v>916</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1597</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1278</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1598</v>
      </c>
      <c r="B1962" s="21" t="s">
        <v>923</v>
      </c>
      <c r="C1962" s="21" t="s">
        <v>916</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202</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row>
    <row r="1965" spans="1:12">
      <c r="A1965" s="20" t="s">
        <v>1599</v>
      </c>
    </row>
    <row r="1966" spans="1:12">
      <c r="A1966" s="20" t="s">
        <v>1096</v>
      </c>
      <c r="B1966" s="21" t="s">
        <v>904</v>
      </c>
      <c r="C1966" s="21" t="s">
        <v>1097</v>
      </c>
      <c r="D1966" s="21" t="s">
        <v>901</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936</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926</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1528</v>
      </c>
      <c r="B1969" s="21" t="s">
        <v>912</v>
      </c>
      <c r="C1969" s="21" t="s">
        <v>913</v>
      </c>
      <c r="D1969" s="21" t="s">
        <v>901</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914</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964</v>
      </c>
      <c r="B1971" s="21" t="s">
        <v>912</v>
      </c>
      <c r="C1971" s="21" t="s">
        <v>913</v>
      </c>
      <c r="D1971" s="21" t="s">
        <v>901</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942</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926</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940</v>
      </c>
      <c r="B1974" s="21" t="s">
        <v>907</v>
      </c>
      <c r="C1974" s="21" t="s">
        <v>931</v>
      </c>
      <c r="D1974" s="21" t="s">
        <v>901</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1026</v>
      </c>
      <c r="B1975" s="21" t="s">
        <v>1044</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1600</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1070</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910</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1601</v>
      </c>
      <c r="B1979" s="21" t="s">
        <v>955</v>
      </c>
      <c r="C1979" s="21" t="s">
        <v>913</v>
      </c>
      <c r="D1979" s="21" t="s">
        <v>901</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970</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926</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1520</v>
      </c>
      <c r="B1982" s="21" t="s">
        <v>923</v>
      </c>
      <c r="C1982" s="21" t="s">
        <v>931</v>
      </c>
      <c r="D1982" s="21" t="s">
        <v>901</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970</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470</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920</v>
      </c>
      <c r="B1985" s="21" t="s">
        <v>965</v>
      </c>
      <c r="C1985" s="21" t="s">
        <v>916</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202</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row>
    <row r="1988" spans="1:12">
      <c r="A1988" s="20" t="s">
        <v>1602</v>
      </c>
    </row>
    <row r="1989" spans="1:12">
      <c r="A1989" s="20" t="s">
        <v>1603</v>
      </c>
      <c r="B1989" s="21" t="s">
        <v>904</v>
      </c>
      <c r="C1989" s="21" t="s">
        <v>1097</v>
      </c>
      <c r="D1989" s="21" t="s">
        <v>901</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1019</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933</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1468</v>
      </c>
      <c r="B1992" s="21" t="s">
        <v>912</v>
      </c>
      <c r="C1992" s="21" t="s">
        <v>929</v>
      </c>
      <c r="D1992" s="21" t="s">
        <v>901</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1579</v>
      </c>
      <c r="B1993" s="21" t="s">
        <v>912</v>
      </c>
      <c r="C1993" s="21" t="s">
        <v>913</v>
      </c>
      <c r="D1993" s="21" t="s">
        <v>901</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914</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926</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1048</v>
      </c>
      <c r="B1996" s="21" t="s">
        <v>912</v>
      </c>
      <c r="C1996" s="21" t="s">
        <v>931</v>
      </c>
      <c r="D1996" s="21" t="s">
        <v>901</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202</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row>
    <row r="1999" spans="1:12">
      <c r="A1999" s="20" t="s">
        <v>1604</v>
      </c>
    </row>
    <row r="2000" spans="1:12">
      <c r="A2000" s="20" t="s">
        <v>1605</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1208</v>
      </c>
      <c r="B2001" s="21" t="s">
        <v>912</v>
      </c>
      <c r="C2001" s="21" t="s">
        <v>913</v>
      </c>
      <c r="D2001" s="21" t="s">
        <v>901</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914</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964</v>
      </c>
      <c r="B2003" s="21" t="s">
        <v>912</v>
      </c>
      <c r="C2003" s="21" t="s">
        <v>916</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1026</v>
      </c>
      <c r="B2004" s="21" t="s">
        <v>1217</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1019</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1182</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1606</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row>
    <row r="2009" spans="1:12">
      <c r="A2009" s="20" t="s">
        <v>1292</v>
      </c>
    </row>
    <row r="2010" spans="1:12">
      <c r="A2010" s="20" t="s">
        <v>202</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row>
    <row r="2012" spans="1:12">
      <c r="A2012" s="20" t="s">
        <v>1607</v>
      </c>
    </row>
    <row r="2013" spans="1:12">
      <c r="A2013" s="20" t="s">
        <v>942</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407</v>
      </c>
      <c r="B2014" s="21" t="s">
        <v>912</v>
      </c>
      <c r="C2014" s="21" t="s">
        <v>968</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202</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row>
    <row r="2017" spans="1:12">
      <c r="A2017" s="20" t="s">
        <v>1608</v>
      </c>
    </row>
    <row r="2018" spans="1:12">
      <c r="A2018" s="20" t="s">
        <v>1112</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942</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926</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1030</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1073</v>
      </c>
      <c r="B2022" s="21" t="s">
        <v>912</v>
      </c>
      <c r="C2022" s="21" t="s">
        <v>931</v>
      </c>
      <c r="D2022" s="21" t="s">
        <v>901</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1609</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957</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1610</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1611</v>
      </c>
      <c r="B2026" s="21" t="s">
        <v>899</v>
      </c>
      <c r="C2026" s="21" t="s">
        <v>913</v>
      </c>
      <c r="D2026" s="21" t="s">
        <v>901</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914</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1108</v>
      </c>
      <c r="B2028" s="21" t="s">
        <v>907</v>
      </c>
      <c r="C2028" s="21" t="s">
        <v>916</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1118</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1026</v>
      </c>
      <c r="B2030" s="21" t="s">
        <v>1217</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1019</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1182</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1248</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942</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1418</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407</v>
      </c>
      <c r="B2036" s="21" t="s">
        <v>923</v>
      </c>
      <c r="C2036" s="21" t="s">
        <v>968</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202</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row>
    <row r="2039" spans="1:12">
      <c r="A2039" s="20" t="s">
        <v>1612</v>
      </c>
    </row>
    <row r="2040" spans="1:12">
      <c r="A2040" s="20" t="s">
        <v>1060</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1168</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1018</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948</v>
      </c>
      <c r="B2043" s="21" t="s">
        <v>955</v>
      </c>
      <c r="C2043" s="21" t="s">
        <v>900</v>
      </c>
      <c r="D2043" s="21" t="s">
        <v>901</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1613</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960</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1033</v>
      </c>
      <c r="B2046" s="21" t="s">
        <v>904</v>
      </c>
      <c r="C2046" s="21" t="s">
        <v>1097</v>
      </c>
      <c r="D2046" s="21" t="s">
        <v>901</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936</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1200</v>
      </c>
      <c r="B2048" s="21" t="s">
        <v>912</v>
      </c>
      <c r="C2048" s="21" t="s">
        <v>1097</v>
      </c>
      <c r="D2048" s="21" t="s">
        <v>901</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1026</v>
      </c>
      <c r="B2049" s="21" t="s">
        <v>1044</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1195</v>
      </c>
      <c r="B2050" s="21" t="s">
        <v>955</v>
      </c>
      <c r="C2050" s="21" t="s">
        <v>900</v>
      </c>
      <c r="D2050" s="21" t="s">
        <v>901</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1614</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1252</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row>
    <row r="2054" spans="1:12">
      <c r="A2054" s="20" t="s">
        <v>1615</v>
      </c>
    </row>
    <row r="2055" spans="1:12">
      <c r="A2055" s="20" t="s">
        <v>1011</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1616</v>
      </c>
      <c r="B2056" s="21" t="s">
        <v>904</v>
      </c>
      <c r="C2056" s="21" t="s">
        <v>913</v>
      </c>
      <c r="D2056" s="21" t="s">
        <v>901</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914</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933</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915</v>
      </c>
      <c r="B2059" s="21" t="s">
        <v>907</v>
      </c>
      <c r="C2059" s="21" t="s">
        <v>931</v>
      </c>
      <c r="D2059" s="21" t="s">
        <v>901</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1617</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1618</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1619</v>
      </c>
      <c r="B2062" s="21" t="s">
        <v>899</v>
      </c>
      <c r="C2062" s="21" t="s">
        <v>916</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1026</v>
      </c>
      <c r="B2063" s="21" t="s">
        <v>1217</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1620</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1621</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1622</v>
      </c>
      <c r="B2066" s="21" t="s">
        <v>965</v>
      </c>
      <c r="C2066" s="21" t="s">
        <v>994</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925</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1026</v>
      </c>
      <c r="B2068" s="21" t="s">
        <v>1333</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1623</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1237</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943</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1624</v>
      </c>
      <c r="B2072" s="21" t="s">
        <v>928</v>
      </c>
      <c r="C2072" s="21" t="s">
        <v>931</v>
      </c>
      <c r="D2072" s="21" t="s">
        <v>901</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1625</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1626</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914</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1011</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1627</v>
      </c>
      <c r="B2077" s="21" t="s">
        <v>928</v>
      </c>
      <c r="C2077" s="21" t="s">
        <v>905</v>
      </c>
      <c r="D2077" s="21" t="s">
        <v>901</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970</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1628</v>
      </c>
      <c r="B2079" s="21" t="s">
        <v>928</v>
      </c>
      <c r="C2079" s="21" t="s">
        <v>916</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1629</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1630</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1108</v>
      </c>
      <c r="B2082" s="21" t="s">
        <v>949</v>
      </c>
      <c r="C2082" s="21" t="s">
        <v>913</v>
      </c>
      <c r="D2082" s="21" t="s">
        <v>901</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914</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1281</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926</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940</v>
      </c>
      <c r="B2086" s="21" t="s">
        <v>951</v>
      </c>
      <c r="C2086" s="21" t="s">
        <v>931</v>
      </c>
      <c r="D2086" s="21" t="s">
        <v>901</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960</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942</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1631</v>
      </c>
      <c r="B2089" s="21" t="s">
        <v>951</v>
      </c>
      <c r="C2089" s="21" t="s">
        <v>916</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942</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1632</v>
      </c>
      <c r="B2091" s="21" t="s">
        <v>951</v>
      </c>
      <c r="C2091" s="21" t="s">
        <v>905</v>
      </c>
      <c r="D2091" s="21" t="s">
        <v>901</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960</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1633</v>
      </c>
      <c r="B2093" s="21" t="s">
        <v>997</v>
      </c>
      <c r="C2093" s="21" t="s">
        <v>905</v>
      </c>
      <c r="D2093" s="21" t="s">
        <v>901</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960</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1634</v>
      </c>
      <c r="B2095" s="21" t="s">
        <v>997</v>
      </c>
      <c r="C2095" s="21" t="s">
        <v>905</v>
      </c>
      <c r="D2095" s="21" t="s">
        <v>901</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960</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1635</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1636</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161</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920</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202</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row>
    <row r="2103" spans="1:12">
      <c r="A2103" s="20" t="s">
        <v>1637</v>
      </c>
    </row>
    <row r="2104" spans="1:12">
      <c r="A2104" s="20" t="s">
        <v>1231</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1638</v>
      </c>
      <c r="B2105" s="21" t="s">
        <v>904</v>
      </c>
      <c r="C2105" s="21" t="s">
        <v>931</v>
      </c>
      <c r="D2105" s="21" t="s">
        <v>901</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936</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957</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1611</v>
      </c>
      <c r="B2108" s="21" t="s">
        <v>912</v>
      </c>
      <c r="C2108" s="21" t="s">
        <v>913</v>
      </c>
      <c r="D2108" s="21" t="s">
        <v>901</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914</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1108</v>
      </c>
      <c r="B2110" s="21" t="s">
        <v>912</v>
      </c>
      <c r="C2110" s="21" t="s">
        <v>916</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942</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963</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942</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926</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1030</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1073</v>
      </c>
      <c r="B2116" s="21" t="s">
        <v>912</v>
      </c>
      <c r="C2116" s="21" t="s">
        <v>931</v>
      </c>
      <c r="D2116" s="21" t="s">
        <v>901</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202</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row>
    <row r="2119" spans="1:12">
      <c r="A2119" s="20" t="s">
        <v>1639</v>
      </c>
    </row>
    <row r="2120" spans="1:12">
      <c r="A2120" s="20" t="s">
        <v>1096</v>
      </c>
      <c r="B2120" s="21" t="s">
        <v>904</v>
      </c>
      <c r="C2120" s="21" t="s">
        <v>1097</v>
      </c>
      <c r="D2120" s="21" t="s">
        <v>901</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1195</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1640</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970</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1641</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980</v>
      </c>
      <c r="B2125" s="21" t="s">
        <v>912</v>
      </c>
      <c r="C2125" s="21" t="s">
        <v>913</v>
      </c>
      <c r="D2125" s="21" t="s">
        <v>901</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914</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1108</v>
      </c>
      <c r="B2127" s="21" t="s">
        <v>907</v>
      </c>
      <c r="C2127" s="21" t="s">
        <v>916</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1118</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202</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row>
    <row r="2131" spans="1:12">
      <c r="A2131" s="20" t="s">
        <v>1642</v>
      </c>
    </row>
    <row r="2132" spans="1:12">
      <c r="A2132" s="20" t="s">
        <v>1105</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956</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1331</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970</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31</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1643</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1061</v>
      </c>
      <c r="B2138" s="21" t="s">
        <v>923</v>
      </c>
      <c r="C2138" s="21" t="s">
        <v>998</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1644</v>
      </c>
      <c r="B2139" s="21" t="s">
        <v>907</v>
      </c>
      <c r="C2139" s="21" t="s">
        <v>994</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1304</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919</v>
      </c>
      <c r="B2141" s="21" t="s">
        <v>955</v>
      </c>
      <c r="C2141" s="21" t="s">
        <v>1035</v>
      </c>
      <c r="D2141" s="21" t="s">
        <v>901</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1195</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1645</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1646</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942</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1579</v>
      </c>
      <c r="B2146" s="21" t="s">
        <v>923</v>
      </c>
      <c r="C2146" s="21" t="s">
        <v>916</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202</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row>
    <row r="2149" spans="1:12">
      <c r="A2149" s="20" t="s">
        <v>1647</v>
      </c>
    </row>
    <row r="2150" spans="1:12">
      <c r="A2150" s="20" t="s">
        <v>1603</v>
      </c>
      <c r="B2150" s="21" t="s">
        <v>904</v>
      </c>
      <c r="C2150" s="21" t="s">
        <v>1097</v>
      </c>
      <c r="D2150" s="21" t="s">
        <v>901</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1019</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1648</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1644</v>
      </c>
      <c r="B2153" s="21" t="s">
        <v>899</v>
      </c>
      <c r="C2153" s="21" t="s">
        <v>924</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1026</v>
      </c>
      <c r="B2154" s="21" t="s">
        <v>965</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956</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1649</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202</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row>
    <row r="2159" spans="1:12">
      <c r="A2159" s="20" t="s">
        <v>1650</v>
      </c>
    </row>
    <row r="2160" spans="1:12">
      <c r="A2160" s="20" t="s">
        <v>1515</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1475</v>
      </c>
      <c r="B2161" s="21" t="s">
        <v>904</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936</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957</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1150</v>
      </c>
      <c r="B2164" s="21" t="s">
        <v>912</v>
      </c>
      <c r="C2164" s="21" t="s">
        <v>959</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1651</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202</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row>
    <row r="2168" spans="1:12">
      <c r="A2168" s="20" t="s">
        <v>1170</v>
      </c>
    </row>
    <row r="2169" spans="1:12">
      <c r="A2169" s="20" t="s">
        <v>115</v>
      </c>
      <c r="B2169" s="21" t="s">
        <v>912</v>
      </c>
      <c r="C2169" s="21" t="s">
        <v>905</v>
      </c>
      <c r="D2169" s="21" t="s">
        <v>901</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202</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row>
    <row r="2172" spans="1:12">
      <c r="A2172" s="20" t="s">
        <v>1652</v>
      </c>
    </row>
    <row r="2173" spans="1:12">
      <c r="A2173" s="20" t="s">
        <v>1653</v>
      </c>
      <c r="B2173" s="21" t="s">
        <v>912</v>
      </c>
      <c r="C2173" s="21" t="s">
        <v>913</v>
      </c>
      <c r="D2173" s="21" t="s">
        <v>901</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1258</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1114</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1654</v>
      </c>
      <c r="B2176" s="21" t="s">
        <v>912</v>
      </c>
      <c r="C2176" s="21" t="s">
        <v>913</v>
      </c>
      <c r="D2176" s="21" t="s">
        <v>901</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1655</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914</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1656</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12</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1657</v>
      </c>
      <c r="B2181" s="21" t="s">
        <v>907</v>
      </c>
      <c r="C2181" s="21" t="s">
        <v>916</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202</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row>
    <row r="2184" spans="1:12">
      <c r="A2184" s="20" t="s">
        <v>1658</v>
      </c>
    </row>
    <row r="2185" spans="1:12">
      <c r="A2185" s="20" t="s">
        <v>1659</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1150</v>
      </c>
      <c r="B2186" s="21" t="s">
        <v>904</v>
      </c>
      <c r="C2186" s="21" t="s">
        <v>959</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1651</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936</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926</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1660</v>
      </c>
      <c r="B2190" s="21" t="s">
        <v>912</v>
      </c>
      <c r="C2190" s="21" t="s">
        <v>931</v>
      </c>
      <c r="D2190" s="21" t="s">
        <v>901</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914</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1661</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1662</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932</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1137</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957</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1289</v>
      </c>
      <c r="B2197" s="21" t="s">
        <v>965</v>
      </c>
      <c r="C2197" s="21" t="s">
        <v>959</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960</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1663</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1237</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943</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1664</v>
      </c>
      <c r="B2202" s="21" t="s">
        <v>907</v>
      </c>
      <c r="C2202" s="21" t="s">
        <v>931</v>
      </c>
      <c r="D2202" s="21" t="s">
        <v>901</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914</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26</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1114</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1665</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1666</v>
      </c>
      <c r="B2207" s="21" t="s">
        <v>941</v>
      </c>
      <c r="C2207" s="21" t="s">
        <v>913</v>
      </c>
      <c r="D2207" s="21" t="s">
        <v>901</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914</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1259</v>
      </c>
      <c r="B2209" s="21" t="s">
        <v>950</v>
      </c>
      <c r="C2209" s="21" t="s">
        <v>916</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202</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row>
    <row r="2212" spans="1:12">
      <c r="A2212" s="20" t="s">
        <v>1667</v>
      </c>
    </row>
    <row r="2213" spans="1:12">
      <c r="A2213" s="20" t="s">
        <v>1668</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1108</v>
      </c>
      <c r="B2214" s="21" t="s">
        <v>904</v>
      </c>
      <c r="C2214" s="21" t="s">
        <v>931</v>
      </c>
      <c r="D2214" s="21" t="s">
        <v>901</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1118</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1669</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1382</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1026</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1114</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1179</v>
      </c>
      <c r="B2220" s="21" t="s">
        <v>1044</v>
      </c>
      <c r="C2220" s="21" t="s">
        <v>959</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1180</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1087</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1119</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925</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1026</v>
      </c>
      <c r="B2225" s="21" t="s">
        <v>1217</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1670</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1382</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943</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1671</v>
      </c>
      <c r="B2229" s="21" t="s">
        <v>965</v>
      </c>
      <c r="C2229" s="21" t="s">
        <v>931</v>
      </c>
      <c r="D2229" s="21" t="s">
        <v>901</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914</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1374</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1195</v>
      </c>
      <c r="B2232" s="21" t="s">
        <v>949</v>
      </c>
      <c r="C2232" s="21" t="s">
        <v>900</v>
      </c>
      <c r="D2232" s="21" t="s">
        <v>901</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960</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925</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1374</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1195</v>
      </c>
      <c r="B2236" s="21" t="s">
        <v>965</v>
      </c>
      <c r="C2236" s="21" t="s">
        <v>900</v>
      </c>
      <c r="D2236" s="21" t="s">
        <v>901</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1584</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202</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row>
    <row r="2240" spans="1:12">
      <c r="A2240" s="20" t="s">
        <v>1672</v>
      </c>
    </row>
    <row r="2241" spans="1:12">
      <c r="A2241" s="20" t="s">
        <v>1668</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1108</v>
      </c>
      <c r="B2242" s="21" t="s">
        <v>904</v>
      </c>
      <c r="C2242" s="21" t="s">
        <v>931</v>
      </c>
      <c r="D2242" s="21" t="s">
        <v>901</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1118</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1018</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1645</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1237</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1007</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1673</v>
      </c>
      <c r="B2248" s="21" t="s">
        <v>912</v>
      </c>
      <c r="C2248" s="21" t="s">
        <v>913</v>
      </c>
      <c r="D2248" s="21" t="s">
        <v>901</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942</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1674</v>
      </c>
      <c r="B2250" s="21" t="s">
        <v>907</v>
      </c>
      <c r="C2250" s="21" t="s">
        <v>916</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202</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row>
    <row r="2253" spans="1:12">
      <c r="A2253" s="20" t="s">
        <v>1675</v>
      </c>
    </row>
    <row r="2254" spans="1:12">
      <c r="A2254" s="20" t="s">
        <v>1668</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1108</v>
      </c>
      <c r="B2255" s="21" t="s">
        <v>904</v>
      </c>
      <c r="C2255" s="21" t="s">
        <v>931</v>
      </c>
      <c r="D2255" s="21" t="s">
        <v>901</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1118</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1019</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914</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933</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1676</v>
      </c>
      <c r="B2260" s="21" t="s">
        <v>912</v>
      </c>
      <c r="C2260" s="21" t="s">
        <v>913</v>
      </c>
      <c r="D2260" s="21" t="s">
        <v>901</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942</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926</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1677</v>
      </c>
      <c r="B2263" s="21" t="s">
        <v>912</v>
      </c>
      <c r="C2263" s="21" t="s">
        <v>913</v>
      </c>
      <c r="D2263" s="21" t="s">
        <v>901</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1114</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1678</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1679</v>
      </c>
      <c r="B2266" s="21" t="s">
        <v>907</v>
      </c>
      <c r="C2266" s="21" t="s">
        <v>959</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1680</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202</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row>
    <row r="2270" spans="1:12">
      <c r="A2270" s="20" t="s">
        <v>1681</v>
      </c>
    </row>
    <row r="2271" spans="1:12">
      <c r="A2271" s="20" t="s">
        <v>1682</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1019</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1683</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1009</v>
      </c>
      <c r="B2274" s="21" t="s">
        <v>904</v>
      </c>
      <c r="C2274" s="21" t="s">
        <v>994</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974</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1026</v>
      </c>
      <c r="B2276" s="21" t="s">
        <v>1217</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1154</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1258</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1195</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1684</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1447</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1237</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1685</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964</v>
      </c>
      <c r="B2284" s="21" t="s">
        <v>928</v>
      </c>
      <c r="C2284" s="21" t="s">
        <v>916</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1284</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1686</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1687</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1237</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1688</v>
      </c>
      <c r="B2289" s="21" t="s">
        <v>950</v>
      </c>
      <c r="C2289" s="21" t="s">
        <v>900</v>
      </c>
      <c r="D2289" s="21" t="s">
        <v>901</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960</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1131</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1027</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1195</v>
      </c>
      <c r="B2293" s="21" t="s">
        <v>972</v>
      </c>
      <c r="C2293" s="21" t="s">
        <v>900</v>
      </c>
      <c r="D2293" s="21" t="s">
        <v>901</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1451</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1689</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1690</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202</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row>
    <row r="2299" spans="1:12">
      <c r="A2299" s="20" t="s">
        <v>1691</v>
      </c>
    </row>
    <row r="2300" spans="1:12">
      <c r="A2300" s="20" t="s">
        <v>1112</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943</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1692</v>
      </c>
      <c r="B2302" s="21" t="s">
        <v>904</v>
      </c>
      <c r="C2302" s="21" t="s">
        <v>931</v>
      </c>
      <c r="D2302" s="21" t="s">
        <v>901</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936</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1026</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1195</v>
      </c>
      <c r="B2305" s="21" t="s">
        <v>955</v>
      </c>
      <c r="C2305" s="21" t="s">
        <v>900</v>
      </c>
      <c r="D2305" s="21" t="s">
        <v>901</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1693</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1694</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1695</v>
      </c>
      <c r="B2308" s="21" t="s">
        <v>955</v>
      </c>
      <c r="C2308" s="21" t="s">
        <v>994</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932</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470</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1237</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1216</v>
      </c>
      <c r="B2312" s="21" t="s">
        <v>923</v>
      </c>
      <c r="C2312" s="21" t="s">
        <v>968</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1252</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row>
    <row r="2315" spans="1:12">
      <c r="A2315" s="20" t="s">
        <v>1696</v>
      </c>
    </row>
    <row r="2316" spans="1:12">
      <c r="A2316" s="20" t="s">
        <v>1046</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1695</v>
      </c>
      <c r="B2317" s="21" t="s">
        <v>899</v>
      </c>
      <c r="C2317" s="21" t="s">
        <v>916</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1026</v>
      </c>
      <c r="B2318" s="21" t="s">
        <v>1217</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1697</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926</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1688</v>
      </c>
      <c r="B2321" s="21" t="s">
        <v>928</v>
      </c>
      <c r="C2321" s="21" t="s">
        <v>929</v>
      </c>
      <c r="D2321" s="21" t="s">
        <v>901</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971</v>
      </c>
      <c r="B2322" s="21" t="s">
        <v>965</v>
      </c>
      <c r="C2322" s="21" t="s">
        <v>931</v>
      </c>
      <c r="D2322" s="21" t="s">
        <v>901</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1237</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1176</v>
      </c>
      <c r="B2324" s="21" t="s">
        <v>923</v>
      </c>
      <c r="C2324" s="21" t="s">
        <v>900</v>
      </c>
      <c r="D2324" s="21" t="s">
        <v>901</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960</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1026</v>
      </c>
      <c r="B2326" s="21" t="s">
        <v>947</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1698</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1237</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1007</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1699</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1700</v>
      </c>
      <c r="B2331" s="21" t="s">
        <v>950</v>
      </c>
      <c r="C2331" s="21" t="s">
        <v>931</v>
      </c>
      <c r="D2331" s="21" t="s">
        <v>901</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925</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1237</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1146</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1275</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1701</v>
      </c>
      <c r="B2336" s="21" t="s">
        <v>951</v>
      </c>
      <c r="C2336" s="21" t="s">
        <v>931</v>
      </c>
      <c r="D2336" s="21" t="s">
        <v>901</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960</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925</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1026</v>
      </c>
      <c r="B2339" s="21" t="s">
        <v>1702</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1703</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1186</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970</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943</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1704</v>
      </c>
      <c r="B2344" s="21" t="s">
        <v>951</v>
      </c>
      <c r="C2344" s="21" t="s">
        <v>913</v>
      </c>
      <c r="D2344" s="21" t="s">
        <v>901</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914</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926</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1048</v>
      </c>
      <c r="B2347" s="21" t="s">
        <v>997</v>
      </c>
      <c r="C2347" s="21" t="s">
        <v>931</v>
      </c>
      <c r="D2347" s="21" t="s">
        <v>901</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202</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row>
    <row r="2350" spans="1:12">
      <c r="A2350" s="20" t="s">
        <v>1705</v>
      </c>
    </row>
    <row r="2351" spans="1:12">
      <c r="A2351" s="20" t="s">
        <v>1105</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960</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470</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1663</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914</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1245</v>
      </c>
      <c r="B2356" s="21" t="s">
        <v>912</v>
      </c>
      <c r="C2356" s="21" t="s">
        <v>916</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1706</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933</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1707</v>
      </c>
      <c r="B2359" s="21" t="s">
        <v>955</v>
      </c>
      <c r="C2359" s="21" t="s">
        <v>913</v>
      </c>
      <c r="D2359" s="21" t="s">
        <v>901</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914</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943</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1695</v>
      </c>
      <c r="B2362" s="21" t="s">
        <v>923</v>
      </c>
      <c r="C2362" s="21" t="s">
        <v>931</v>
      </c>
      <c r="D2362" s="21" t="s">
        <v>901</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925</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914</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943</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1708</v>
      </c>
      <c r="B2366" s="21" t="s">
        <v>928</v>
      </c>
      <c r="C2366" s="21" t="s">
        <v>931</v>
      </c>
      <c r="D2366" s="21" t="s">
        <v>901</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202</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row>
    <row r="2369" spans="1:12">
      <c r="A2369" s="20" t="s">
        <v>1709</v>
      </c>
    </row>
    <row r="2370" spans="1:12">
      <c r="A2370" s="20" t="s">
        <v>1710</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926</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1181</v>
      </c>
      <c r="B2372" s="21" t="s">
        <v>912</v>
      </c>
      <c r="C2372" s="21" t="s">
        <v>931</v>
      </c>
      <c r="D2372" s="21" t="s">
        <v>901</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1026</v>
      </c>
      <c r="B2373" s="21" t="s">
        <v>1044</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1046</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1079</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1711</v>
      </c>
      <c r="B2376" s="21" t="s">
        <v>955</v>
      </c>
      <c r="C2376" s="21" t="s">
        <v>916</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1712</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963</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1713</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202</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row>
    <row r="2382" spans="1:12">
      <c r="A2382" s="20" t="s">
        <v>1714</v>
      </c>
    </row>
    <row r="2383" spans="1:12">
      <c r="A2383" s="20" t="s">
        <v>1715</v>
      </c>
      <c r="B2383" s="21" t="s">
        <v>912</v>
      </c>
      <c r="C2383" s="21" t="s">
        <v>916</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1716</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202</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row>
    <row r="2387" spans="1:12">
      <c r="A2387" s="20" t="s">
        <v>1717</v>
      </c>
    </row>
    <row r="2388" spans="1:12">
      <c r="A2388" s="20" t="s">
        <v>1231</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478</v>
      </c>
      <c r="B2389" s="21" t="s">
        <v>912</v>
      </c>
      <c r="C2389" s="21" t="s">
        <v>931</v>
      </c>
      <c r="D2389" s="21" t="s">
        <v>901</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202</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row>
    <row r="2392" spans="1:12">
      <c r="A2392" s="20" t="s">
        <v>1718</v>
      </c>
    </row>
    <row r="2393" spans="1:12">
      <c r="A2393" s="20" t="s">
        <v>1719</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960</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1377</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936</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1114</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1692</v>
      </c>
      <c r="B2398" s="21" t="s">
        <v>904</v>
      </c>
      <c r="C2398" s="21" t="s">
        <v>959</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932</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943</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1550</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926</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1157</v>
      </c>
      <c r="B2403" s="21" t="s">
        <v>1217</v>
      </c>
      <c r="C2403" s="21" t="s">
        <v>913</v>
      </c>
      <c r="D2403" s="21" t="s">
        <v>901</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1518</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914</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1323</v>
      </c>
      <c r="B2406" s="21" t="s">
        <v>928</v>
      </c>
      <c r="C2406" s="21" t="s">
        <v>905</v>
      </c>
      <c r="D2406" s="21" t="s">
        <v>901</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1324</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1325</v>
      </c>
      <c r="B2408" s="21" t="s">
        <v>950</v>
      </c>
      <c r="C2408" s="21" t="s">
        <v>905</v>
      </c>
      <c r="D2408" s="21" t="s">
        <v>901</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1720</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99</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981</v>
      </c>
      <c r="B2411" s="21" t="s">
        <v>965</v>
      </c>
      <c r="C2411" s="21" t="s">
        <v>924</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970</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943</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982</v>
      </c>
      <c r="B2414" s="21" t="s">
        <v>923</v>
      </c>
      <c r="C2414" s="21" t="s">
        <v>931</v>
      </c>
      <c r="D2414" s="21" t="s">
        <v>901</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960</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1191</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946</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957</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1721</v>
      </c>
      <c r="B2419" s="21" t="s">
        <v>912</v>
      </c>
      <c r="C2419" s="21" t="s">
        <v>959</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1722</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12</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1723</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202</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row>
    <row r="2425" spans="1:12">
      <c r="A2425" s="20" t="s">
        <v>1724</v>
      </c>
    </row>
    <row r="2426" spans="1:12">
      <c r="A2426" s="20" t="s">
        <v>1190</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69</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1725</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960</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1109</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1405</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983</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960</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1026</v>
      </c>
      <c r="B2434" s="21" t="s">
        <v>1217</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942</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1005</v>
      </c>
      <c r="B2436" s="21" t="s">
        <v>923</v>
      </c>
      <c r="C2436" s="21" t="s">
        <v>916</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1247</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963</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1726</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1727</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1728</v>
      </c>
      <c r="B2441" s="21" t="s">
        <v>941</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960</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1729</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1026</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1730</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1195</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1299</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1731</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971</v>
      </c>
      <c r="B2449" s="21" t="s">
        <v>1349</v>
      </c>
      <c r="C2449" s="21" t="s">
        <v>916</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202</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row>
    <row r="2452" spans="1:12">
      <c r="A2452" s="20" t="s">
        <v>1732</v>
      </c>
    </row>
    <row r="2453" spans="1:12">
      <c r="A2453" s="20" t="s">
        <v>1733</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1026</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1247</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1734</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960</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1258</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21</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1497</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960</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932</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1735</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1728</v>
      </c>
      <c r="B2464" s="21" t="s">
        <v>965</v>
      </c>
      <c r="C2464" s="21" t="s">
        <v>916</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970</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407</v>
      </c>
      <c r="B2466" s="21" t="s">
        <v>923</v>
      </c>
      <c r="C2466" s="21" t="s">
        <v>968</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1026</v>
      </c>
      <c r="B2467" s="21" t="s">
        <v>947</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1106</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1736</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202</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row>
    <row r="2472" spans="1:12">
      <c r="A2472" s="20" t="s">
        <v>1737</v>
      </c>
    </row>
    <row r="2473" spans="1:12">
      <c r="A2473" s="20" t="s">
        <v>1112</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933</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1108</v>
      </c>
      <c r="B2475" s="21" t="s">
        <v>904</v>
      </c>
      <c r="C2475" s="21" t="s">
        <v>931</v>
      </c>
      <c r="D2475" s="21" t="s">
        <v>901</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1118</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1019</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1738</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970</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1735</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1728</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1739</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960</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1027</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1146</v>
      </c>
      <c r="B2485" s="21" t="s">
        <v>955</v>
      </c>
      <c r="C2485" s="21" t="s">
        <v>900</v>
      </c>
      <c r="D2485" s="21" t="s">
        <v>901</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936</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1740</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957</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1741</v>
      </c>
      <c r="B2489" s="21" t="s">
        <v>1044</v>
      </c>
      <c r="C2489" s="21" t="s">
        <v>959</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1742</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202</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row>
    <row r="2493" spans="1:12">
      <c r="A2493" s="20" t="s">
        <v>1743</v>
      </c>
    </row>
    <row r="2494" spans="1:12">
      <c r="A2494" s="20" t="s">
        <v>953</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496</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960</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957</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1736</v>
      </c>
      <c r="B2498" s="21" t="s">
        <v>899</v>
      </c>
      <c r="C2498" s="21" t="s">
        <v>959</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1744</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202</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row>
    <row r="2502" spans="1:12">
      <c r="A2502" s="20" t="s">
        <v>1745</v>
      </c>
    </row>
    <row r="2503" spans="1:12">
      <c r="A2503" s="20" t="s">
        <v>1668</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1108</v>
      </c>
      <c r="B2504" s="21" t="s">
        <v>904</v>
      </c>
      <c r="C2504" s="21" t="s">
        <v>931</v>
      </c>
      <c r="D2504" s="21" t="s">
        <v>901</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1118</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1746</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21</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1747</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970</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1748</v>
      </c>
      <c r="B2510" s="21" t="s">
        <v>912</v>
      </c>
      <c r="C2510" s="21" t="s">
        <v>916</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1749</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960</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970</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1750</v>
      </c>
      <c r="B2514" s="21" t="s">
        <v>912</v>
      </c>
      <c r="C2514" s="21" t="s">
        <v>913</v>
      </c>
      <c r="D2514" s="21" t="s">
        <v>901</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1597</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1032</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1751</v>
      </c>
      <c r="B2517" s="21" t="s">
        <v>907</v>
      </c>
      <c r="C2517" s="21" t="s">
        <v>916</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1752</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202</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row>
    <row r="2521" spans="1:12">
      <c r="A2521" s="20" t="s">
        <v>1753</v>
      </c>
    </row>
    <row r="2522" spans="1:12">
      <c r="A2522" s="20" t="s">
        <v>953</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1754</v>
      </c>
      <c r="B2523" s="21" t="s">
        <v>912</v>
      </c>
      <c r="C2523" s="21" t="s">
        <v>916</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960</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1114</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1755</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505</v>
      </c>
      <c r="B2527" s="21" t="s">
        <v>912</v>
      </c>
      <c r="C2527" s="21" t="s">
        <v>913</v>
      </c>
      <c r="D2527" s="21" t="s">
        <v>901</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932</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1277</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970</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1756</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957</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1757</v>
      </c>
      <c r="B2533" s="21" t="s">
        <v>965</v>
      </c>
      <c r="C2533" s="21" t="s">
        <v>959</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202</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row>
    <row r="2536" spans="1:12">
      <c r="A2536" s="20" t="s">
        <v>1758</v>
      </c>
    </row>
    <row r="2537" spans="1:12">
      <c r="A2537" s="20" t="s">
        <v>1759</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967</v>
      </c>
      <c r="B2538" s="21" t="s">
        <v>904</v>
      </c>
      <c r="C2538" s="21" t="s">
        <v>968</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1760</v>
      </c>
      <c r="B2539" s="21" t="s">
        <v>907</v>
      </c>
      <c r="C2539" s="21" t="s">
        <v>905</v>
      </c>
      <c r="D2539" s="21" t="s">
        <v>901</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960</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926</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963</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1761</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1762</v>
      </c>
      <c r="B2544" s="21" t="s">
        <v>907</v>
      </c>
      <c r="C2544" s="21" t="s">
        <v>913</v>
      </c>
      <c r="D2544" s="21" t="s">
        <v>901</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970</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926</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940</v>
      </c>
      <c r="B2547" s="21" t="s">
        <v>923</v>
      </c>
      <c r="C2547" s="21" t="s">
        <v>931</v>
      </c>
      <c r="D2547" s="21" t="s">
        <v>901</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202</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row>
    <row r="2550" spans="1:12">
      <c r="A2550" s="20" t="s">
        <v>1763</v>
      </c>
    </row>
    <row r="2551" spans="1:12">
      <c r="A2551" s="20" t="s">
        <v>1515</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1006</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1762</v>
      </c>
      <c r="B2553" s="21" t="s">
        <v>904</v>
      </c>
      <c r="C2553" s="21" t="s">
        <v>931</v>
      </c>
      <c r="D2553" s="21" t="s">
        <v>901</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963</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1761</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970</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926</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940</v>
      </c>
      <c r="B2558" s="21" t="s">
        <v>923</v>
      </c>
      <c r="C2558" s="21" t="s">
        <v>931</v>
      </c>
      <c r="D2558" s="21" t="s">
        <v>901</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960</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1237</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1191</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1764</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1765</v>
      </c>
      <c r="B2563" s="21" t="s">
        <v>912</v>
      </c>
      <c r="C2563" s="21" t="s">
        <v>924</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936</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926</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1762</v>
      </c>
      <c r="B2566" s="21" t="s">
        <v>912</v>
      </c>
      <c r="C2566" s="21" t="s">
        <v>913</v>
      </c>
      <c r="D2566" s="21" t="s">
        <v>901</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914</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1323</v>
      </c>
      <c r="B2568" s="21" t="s">
        <v>912</v>
      </c>
      <c r="C2568" s="21" t="s">
        <v>905</v>
      </c>
      <c r="D2568" s="21" t="s">
        <v>901</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1324</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1325</v>
      </c>
      <c r="B2570" s="21" t="s">
        <v>907</v>
      </c>
      <c r="C2570" s="21" t="s">
        <v>905</v>
      </c>
      <c r="D2570" s="21" t="s">
        <v>901</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1766</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1208</v>
      </c>
      <c r="B2572" s="21" t="s">
        <v>912</v>
      </c>
      <c r="C2572" s="21" t="s">
        <v>913</v>
      </c>
      <c r="D2572" s="21" t="s">
        <v>901</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914</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964</v>
      </c>
      <c r="B2574" s="21" t="s">
        <v>907</v>
      </c>
      <c r="C2574" s="21" t="s">
        <v>916</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948</v>
      </c>
      <c r="B2575" s="21" t="s">
        <v>941</v>
      </c>
      <c r="C2575" s="21" t="s">
        <v>900</v>
      </c>
      <c r="D2575" s="21" t="s">
        <v>901</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1767</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1049</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1768</v>
      </c>
      <c r="B2578" s="21" t="s">
        <v>928</v>
      </c>
      <c r="C2578" s="21" t="s">
        <v>994</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202</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row>
    <row r="2581" spans="1:12">
      <c r="A2581" s="20" t="s">
        <v>1769</v>
      </c>
    </row>
    <row r="2582" spans="1:12">
      <c r="A2582" s="20" t="s">
        <v>1770</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1771</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963</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1772</v>
      </c>
      <c r="B2585" s="21" t="s">
        <v>899</v>
      </c>
      <c r="C2585" s="21" t="s">
        <v>916</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1032</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1323</v>
      </c>
      <c r="B2587" s="21" t="s">
        <v>912</v>
      </c>
      <c r="C2587" s="21" t="s">
        <v>905</v>
      </c>
      <c r="D2587" s="21" t="s">
        <v>901</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1324</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1325</v>
      </c>
      <c r="B2589" s="21" t="s">
        <v>907</v>
      </c>
      <c r="C2589" s="21" t="s">
        <v>905</v>
      </c>
      <c r="D2589" s="21" t="s">
        <v>901</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942</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1627</v>
      </c>
      <c r="B2591" s="21" t="s">
        <v>912</v>
      </c>
      <c r="C2591" s="21" t="s">
        <v>905</v>
      </c>
      <c r="D2591" s="21" t="s">
        <v>901</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960</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1026</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1032</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1315</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1610</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1773</v>
      </c>
      <c r="B2597" s="21" t="s">
        <v>907</v>
      </c>
      <c r="C2597" s="21" t="s">
        <v>913</v>
      </c>
      <c r="D2597" s="21" t="s">
        <v>901</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942</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1774</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1610</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1762</v>
      </c>
      <c r="B2601" s="21" t="s">
        <v>923</v>
      </c>
      <c r="C2601" s="21" t="s">
        <v>913</v>
      </c>
      <c r="D2601" s="21" t="s">
        <v>901</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970</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926</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940</v>
      </c>
      <c r="B2604" s="21" t="s">
        <v>928</v>
      </c>
      <c r="C2604" s="21" t="s">
        <v>931</v>
      </c>
      <c r="D2604" s="21" t="s">
        <v>901</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202</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row>
    <row r="2607" spans="1:12">
      <c r="A2607" s="20" t="s">
        <v>1775</v>
      </c>
    </row>
    <row r="2608" spans="1:12">
      <c r="A2608" s="20" t="s">
        <v>1776</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1777</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910</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1778</v>
      </c>
      <c r="B2611" s="21" t="s">
        <v>899</v>
      </c>
      <c r="C2611" s="21" t="s">
        <v>959</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1180</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202</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row>
    <row r="2615" spans="1:12">
      <c r="A2615" s="20" t="s">
        <v>1779</v>
      </c>
    </row>
    <row r="2616" spans="1:12">
      <c r="A2616" s="20" t="s">
        <v>1776</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1777</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1114</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1780</v>
      </c>
      <c r="B2619" s="21" t="s">
        <v>899</v>
      </c>
      <c r="C2619" s="21" t="s">
        <v>913</v>
      </c>
      <c r="D2619" s="21" t="s">
        <v>901</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1180</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914</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1772</v>
      </c>
      <c r="B2622" s="21" t="s">
        <v>907</v>
      </c>
      <c r="C2622" s="21" t="s">
        <v>916</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1781</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1323</v>
      </c>
      <c r="B2624" s="21" t="s">
        <v>941</v>
      </c>
      <c r="C2624" s="21" t="s">
        <v>905</v>
      </c>
      <c r="D2624" s="21" t="s">
        <v>901</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1324</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1325</v>
      </c>
      <c r="B2626" s="21" t="s">
        <v>950</v>
      </c>
      <c r="C2626" s="21" t="s">
        <v>905</v>
      </c>
      <c r="D2626" s="21" t="s">
        <v>901</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202</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row>
    <row r="2629" spans="1:12">
      <c r="A2629" s="20" t="s">
        <v>1782</v>
      </c>
    </row>
    <row r="2630" spans="1:12">
      <c r="A2630" s="20" t="s">
        <v>115</v>
      </c>
      <c r="B2630" s="21" t="s">
        <v>912</v>
      </c>
      <c r="C2630" s="21" t="s">
        <v>905</v>
      </c>
      <c r="D2630" s="21" t="s">
        <v>901</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960</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1304</v>
      </c>
      <c r="B2632" s="21" t="s">
        <v>1044</v>
      </c>
      <c r="C2632" s="21" t="s">
        <v>1097</v>
      </c>
      <c r="D2632" s="21" t="s">
        <v>901</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1019</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933</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1648</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1783</v>
      </c>
      <c r="B2636" s="21" t="s">
        <v>912</v>
      </c>
      <c r="C2636" s="21" t="s">
        <v>931</v>
      </c>
      <c r="D2636" s="21" t="s">
        <v>901</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1026</v>
      </c>
      <c r="B2637" s="21" t="s">
        <v>1217</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1663</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1784</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1114</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1160</v>
      </c>
      <c r="B2641" s="21" t="s">
        <v>965</v>
      </c>
      <c r="C2641" s="21" t="s">
        <v>959</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1785</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202</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row>
    <row r="2645" spans="1:12">
      <c r="A2645" s="20" t="s">
        <v>1786</v>
      </c>
    </row>
    <row r="2646" spans="1:12">
      <c r="A2646" s="20" t="s">
        <v>1668</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1108</v>
      </c>
      <c r="B2647" s="21" t="s">
        <v>904</v>
      </c>
      <c r="C2647" s="21" t="s">
        <v>931</v>
      </c>
      <c r="D2647" s="21" t="s">
        <v>901</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1118</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1019</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1787</v>
      </c>
      <c r="B2650" s="21" t="s">
        <v>912</v>
      </c>
      <c r="C2650" s="21" t="s">
        <v>913</v>
      </c>
      <c r="D2650" s="21" t="s">
        <v>901</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914</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1761</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1150</v>
      </c>
      <c r="B2653" s="21" t="s">
        <v>912</v>
      </c>
      <c r="C2653" s="21" t="s">
        <v>916</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1788</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914</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1789</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12</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1790</v>
      </c>
      <c r="B2658" s="21" t="s">
        <v>923</v>
      </c>
      <c r="C2658" s="21" t="s">
        <v>916</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202</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row>
    <row r="2661" spans="1:12">
      <c r="A2661" s="20" t="s">
        <v>1791</v>
      </c>
    </row>
    <row r="2662" spans="1:12">
      <c r="A2662" s="20" t="s">
        <v>1792</v>
      </c>
      <c r="B2662" s="21" t="s">
        <v>904</v>
      </c>
      <c r="C2662" s="21" t="s">
        <v>1097</v>
      </c>
      <c r="D2662" s="21" t="s">
        <v>901</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1019</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964</v>
      </c>
      <c r="B2664" s="21" t="s">
        <v>912</v>
      </c>
      <c r="C2664" s="21" t="s">
        <v>916</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1026</v>
      </c>
      <c r="B2665" s="21" t="s">
        <v>1044</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1669</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914</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21</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1793</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1276</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914</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772</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926</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940</v>
      </c>
      <c r="B2674" s="21" t="s">
        <v>941</v>
      </c>
      <c r="C2674" s="21" t="s">
        <v>931</v>
      </c>
      <c r="D2674" s="21" t="s">
        <v>901</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202</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row>
    <row r="2677" spans="1:12">
      <c r="A2677" s="20" t="s">
        <v>1794</v>
      </c>
    </row>
    <row r="2678" spans="1:12">
      <c r="A2678" s="20" t="s">
        <v>1215</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1795</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1138</v>
      </c>
      <c r="B2680" s="21" t="s">
        <v>904</v>
      </c>
      <c r="C2680" s="21" t="s">
        <v>931</v>
      </c>
      <c r="D2680" s="21" t="s">
        <v>901</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936</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1026</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1669</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914</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21</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1276</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914</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772</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933</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1264</v>
      </c>
      <c r="B2690" s="21" t="s">
        <v>941</v>
      </c>
      <c r="C2690" s="21" t="s">
        <v>931</v>
      </c>
      <c r="D2690" s="21" t="s">
        <v>901</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1453</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1130</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1018</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1796</v>
      </c>
      <c r="B2694" s="21" t="s">
        <v>928</v>
      </c>
      <c r="C2694" s="21" t="s">
        <v>1097</v>
      </c>
      <c r="D2694" s="21" t="s">
        <v>901</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945</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202</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row>
    <row r="2698" spans="1:12">
      <c r="A2698" s="20" t="s">
        <v>1797</v>
      </c>
    </row>
    <row r="2699" spans="1:12">
      <c r="A2699" s="20" t="s">
        <v>1096</v>
      </c>
      <c r="B2699" s="21" t="s">
        <v>904</v>
      </c>
      <c r="C2699" s="21" t="s">
        <v>1097</v>
      </c>
      <c r="D2699" s="21" t="s">
        <v>901</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936</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926</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1138</v>
      </c>
      <c r="B2702" s="21" t="s">
        <v>912</v>
      </c>
      <c r="C2702" s="21" t="s">
        <v>931</v>
      </c>
      <c r="D2702" s="21" t="s">
        <v>901</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1026</v>
      </c>
      <c r="B2703" s="21" t="s">
        <v>1044</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1798</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1799</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914</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1002</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202</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row>
    <row r="2710" spans="1:12">
      <c r="A2710" s="20" t="s">
        <v>1800</v>
      </c>
    </row>
    <row r="2711" spans="1:12">
      <c r="A2711" s="20" t="s">
        <v>1801</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936</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957</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1802</v>
      </c>
      <c r="B2714" s="21" t="s">
        <v>904</v>
      </c>
      <c r="C2714" s="21" t="s">
        <v>913</v>
      </c>
      <c r="D2714" s="21" t="s">
        <v>901</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914</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1803</v>
      </c>
      <c r="B2716" s="21" t="s">
        <v>907</v>
      </c>
      <c r="C2716" s="21" t="s">
        <v>913</v>
      </c>
      <c r="D2716" s="21" t="s">
        <v>901</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1804</v>
      </c>
      <c r="B2717" s="21" t="s">
        <v>923</v>
      </c>
      <c r="C2717" s="21" t="s">
        <v>905</v>
      </c>
      <c r="D2717" s="21" t="s">
        <v>901</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1805</v>
      </c>
      <c r="B2718" s="21" t="s">
        <v>928</v>
      </c>
      <c r="C2718" s="21" t="s">
        <v>905</v>
      </c>
      <c r="D2718" s="21" t="s">
        <v>901</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202</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row>
    <row r="2721" spans="1:12">
      <c r="A2721" s="20" t="s">
        <v>1806</v>
      </c>
    </row>
    <row r="2722" spans="1:12">
      <c r="A2722" s="20" t="s">
        <v>1668</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1807</v>
      </c>
      <c r="B2723" s="21" t="s">
        <v>907</v>
      </c>
      <c r="C2723" s="21" t="s">
        <v>929</v>
      </c>
      <c r="D2723" s="21" t="s">
        <v>901</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1808</v>
      </c>
      <c r="B2724" s="21" t="s">
        <v>904</v>
      </c>
      <c r="C2724" s="21" t="s">
        <v>931</v>
      </c>
      <c r="D2724" s="21" t="s">
        <v>901</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1019</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1809</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202</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row>
    <row r="2729" spans="1:12">
      <c r="A2729" s="20" t="s">
        <v>1810</v>
      </c>
    </row>
    <row r="2730" spans="1:12">
      <c r="A2730" s="20" t="s">
        <v>1811</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1812</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926</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1813</v>
      </c>
      <c r="B2733" s="21" t="s">
        <v>955</v>
      </c>
      <c r="C2733" s="21" t="s">
        <v>913</v>
      </c>
      <c r="D2733" s="21" t="s">
        <v>901</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932</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1045</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943</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1814</v>
      </c>
      <c r="B2737" s="21" t="s">
        <v>941</v>
      </c>
      <c r="C2737" s="21" t="s">
        <v>931</v>
      </c>
      <c r="D2737" s="21" t="s">
        <v>901</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1815</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1088</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1582</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971</v>
      </c>
      <c r="B2741" s="21" t="s">
        <v>1702</v>
      </c>
      <c r="C2741" s="21" t="s">
        <v>994</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960</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1622</v>
      </c>
      <c r="B2743" s="21" t="s">
        <v>997</v>
      </c>
      <c r="C2743" s="21" t="s">
        <v>916</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925</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1816</v>
      </c>
      <c r="B2745" s="21" t="s">
        <v>997</v>
      </c>
      <c r="C2745" s="21" t="s">
        <v>916</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960</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942</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933</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1264</v>
      </c>
      <c r="B2749" s="21" t="s">
        <v>951</v>
      </c>
      <c r="C2749" s="21" t="s">
        <v>931</v>
      </c>
      <c r="D2749" s="21" t="s">
        <v>901</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920</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202</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row>
    <row r="2753" spans="1:12">
      <c r="A2753" s="20" t="s">
        <v>984</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1817</v>
      </c>
    </row>
    <row r="2755" spans="1:12">
      <c r="A2755" s="20" t="s">
        <v>1818</v>
      </c>
      <c r="B2755" s="21" t="s">
        <v>904</v>
      </c>
      <c r="C2755" s="21" t="s">
        <v>900</v>
      </c>
      <c r="D2755" s="21" t="s">
        <v>901</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1574</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960</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790</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1819</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1820</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1200</v>
      </c>
      <c r="B2761" s="21" t="s">
        <v>955</v>
      </c>
      <c r="C2761" s="21" t="s">
        <v>1097</v>
      </c>
      <c r="D2761" s="21" t="s">
        <v>901</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1026</v>
      </c>
      <c r="B2762" s="21" t="s">
        <v>1333</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1821</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1822</v>
      </c>
      <c r="B2764" s="21" t="s">
        <v>941</v>
      </c>
      <c r="C2764" s="21" t="s">
        <v>968</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1823</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1026</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957</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1824</v>
      </c>
      <c r="B2768" s="21" t="s">
        <v>928</v>
      </c>
      <c r="C2768" s="21" t="s">
        <v>913</v>
      </c>
      <c r="D2768" s="21" t="s">
        <v>901</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914</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1825</v>
      </c>
      <c r="B2770" s="21" t="s">
        <v>950</v>
      </c>
      <c r="C2770" s="21" t="s">
        <v>916</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1826</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933</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1264</v>
      </c>
      <c r="B2773" s="21" t="s">
        <v>950</v>
      </c>
      <c r="C2773" s="21" t="s">
        <v>931</v>
      </c>
      <c r="D2773" s="21" t="s">
        <v>901</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1453</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925</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1146</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1436</v>
      </c>
      <c r="B2777" s="21" t="s">
        <v>950</v>
      </c>
      <c r="C2777" s="21" t="s">
        <v>913</v>
      </c>
      <c r="D2777" s="21" t="s">
        <v>901</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914</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1048</v>
      </c>
      <c r="B2779" s="21" t="s">
        <v>951</v>
      </c>
      <c r="C2779" s="21" t="s">
        <v>916</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920</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202</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790</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row>
    <row r="2784" spans="1:12">
      <c r="A2784" s="20" t="s">
        <v>1827</v>
      </c>
    </row>
    <row r="2785" spans="1:12">
      <c r="A2785" s="20" t="s">
        <v>1828</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936</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957</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1802</v>
      </c>
      <c r="B2788" s="21" t="s">
        <v>912</v>
      </c>
      <c r="C2788" s="21" t="s">
        <v>959</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960</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1055</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936</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1829</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960</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925</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1830</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row>
    <row r="2797" spans="1:12">
      <c r="A2797" s="20" t="s">
        <v>1831</v>
      </c>
    </row>
    <row r="2798" spans="1:12">
      <c r="A2798" s="20" t="s">
        <v>1075</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1076</v>
      </c>
      <c r="B2799" s="21" t="s">
        <v>912</v>
      </c>
      <c r="C2799" s="21" t="s">
        <v>905</v>
      </c>
      <c r="D2799" s="21" t="s">
        <v>901</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327</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1832</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1258</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1833</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960</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1024</v>
      </c>
      <c r="B2805" s="21" t="s">
        <v>1044</v>
      </c>
      <c r="C2805" s="21" t="s">
        <v>900</v>
      </c>
      <c r="D2805" s="21" t="s">
        <v>901</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1019</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1114</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1834</v>
      </c>
      <c r="B2808" s="21" t="s">
        <v>912</v>
      </c>
      <c r="C2808" s="21" t="s">
        <v>913</v>
      </c>
      <c r="D2808" s="21" t="s">
        <v>901</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914</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919</v>
      </c>
      <c r="B2810" s="21" t="s">
        <v>907</v>
      </c>
      <c r="C2810" s="21" t="s">
        <v>916</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960</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1024</v>
      </c>
      <c r="B2812" s="21" t="s">
        <v>904</v>
      </c>
      <c r="C2812" s="21" t="s">
        <v>900</v>
      </c>
      <c r="D2812" s="21" t="s">
        <v>901</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1019</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1835</v>
      </c>
      <c r="B2814" s="21" t="s">
        <v>912</v>
      </c>
      <c r="C2814" s="21" t="s">
        <v>913</v>
      </c>
      <c r="D2814" s="21" t="s">
        <v>901</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row>
    <row r="2816" spans="1:12">
      <c r="A2816" s="20" t="s">
        <v>1292</v>
      </c>
    </row>
    <row r="2817" spans="1:12">
      <c r="A2817" s="20" t="s">
        <v>202</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row>
    <row r="2819" spans="1:12">
      <c r="A2819" s="20" t="s">
        <v>1836</v>
      </c>
    </row>
    <row r="2820" spans="1:12">
      <c r="A2820" s="20" t="s">
        <v>1266</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569</v>
      </c>
      <c r="B2821" s="21" t="s">
        <v>912</v>
      </c>
      <c r="C2821" s="21" t="s">
        <v>900</v>
      </c>
      <c r="D2821" s="21" t="s">
        <v>901</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1837</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row>
    <row r="2824" spans="1:12">
      <c r="A2824" s="20" t="s">
        <v>1292</v>
      </c>
    </row>
    <row r="2825" spans="1:12">
      <c r="A2825" s="20" t="s">
        <v>202</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row>
    <row r="2827" spans="1:12">
      <c r="A2827" s="20" t="s">
        <v>1838</v>
      </c>
    </row>
    <row r="2828" spans="1:12">
      <c r="A2828" s="20" t="s">
        <v>569</v>
      </c>
      <c r="B2828" s="21" t="s">
        <v>904</v>
      </c>
      <c r="C2828" s="21" t="s">
        <v>900</v>
      </c>
      <c r="D2828" s="21" t="s">
        <v>901</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1574</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1026</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1113</v>
      </c>
      <c r="B2831" s="21" t="s">
        <v>1044</v>
      </c>
      <c r="C2831" s="21" t="s">
        <v>1097</v>
      </c>
      <c r="D2831" s="21" t="s">
        <v>901</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936</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1114</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1160</v>
      </c>
      <c r="B2834" s="21" t="s">
        <v>912</v>
      </c>
      <c r="C2834" s="21" t="s">
        <v>959</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1354</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1483</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960</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69</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933</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1108</v>
      </c>
      <c r="B2840" s="21" t="s">
        <v>1217</v>
      </c>
      <c r="C2840" s="21" t="s">
        <v>931</v>
      </c>
      <c r="D2840" s="21" t="s">
        <v>901</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1118</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1839</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188</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914</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963</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942</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933</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1264</v>
      </c>
      <c r="B2848" s="21" t="s">
        <v>923</v>
      </c>
      <c r="C2848" s="21" t="s">
        <v>931</v>
      </c>
      <c r="D2848" s="21" t="s">
        <v>901</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920</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1026</v>
      </c>
      <c r="B2850" s="21" t="s">
        <v>965</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942</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943</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944</v>
      </c>
      <c r="B2853" s="21" t="s">
        <v>923</v>
      </c>
      <c r="C2853" s="21" t="s">
        <v>931</v>
      </c>
      <c r="D2853" s="21" t="s">
        <v>901</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945</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202</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row>
    <row r="2857" spans="1:12">
      <c r="A2857" s="20" t="s">
        <v>1840</v>
      </c>
    </row>
    <row r="2858" spans="1:12">
      <c r="A2858" s="20" t="s">
        <v>1841</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26</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1711</v>
      </c>
      <c r="B2860" s="21" t="s">
        <v>899</v>
      </c>
      <c r="C2860" s="21" t="s">
        <v>916</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1712</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963</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1842</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942</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957</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1048</v>
      </c>
      <c r="B2866" s="21" t="s">
        <v>912</v>
      </c>
      <c r="C2866" s="21" t="s">
        <v>959</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1026</v>
      </c>
      <c r="B2867" s="21" t="s">
        <v>1217</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1018</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942</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943</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944</v>
      </c>
      <c r="B2871" s="21" t="s">
        <v>907</v>
      </c>
      <c r="C2871" s="21" t="s">
        <v>931</v>
      </c>
      <c r="D2871" s="21" t="s">
        <v>901</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945</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202</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row>
    <row r="2875" spans="1:12">
      <c r="A2875" s="20" t="s">
        <v>1843</v>
      </c>
    </row>
    <row r="2876" spans="1:12">
      <c r="A2876" s="20" t="s">
        <v>1844</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957</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1410</v>
      </c>
      <c r="B2878" s="21" t="s">
        <v>955</v>
      </c>
      <c r="C2878" s="21" t="s">
        <v>959</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1845</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925</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161</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1846</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963</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1847</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1105</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960</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1574</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960</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932</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1584</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960</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936</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1354</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1665</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932</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933</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1108</v>
      </c>
      <c r="B2897" s="21" t="s">
        <v>912</v>
      </c>
      <c r="C2897" s="21" t="s">
        <v>931</v>
      </c>
      <c r="D2897" s="21" t="s">
        <v>901</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1118</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960</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632</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963</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971</v>
      </c>
      <c r="B2902" s="21" t="s">
        <v>907</v>
      </c>
      <c r="C2902" s="21" t="s">
        <v>916</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942</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933</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1264</v>
      </c>
      <c r="B2905" s="21" t="s">
        <v>907</v>
      </c>
      <c r="C2905" s="21" t="s">
        <v>931</v>
      </c>
      <c r="D2905" s="21" t="s">
        <v>901</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1453</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1026</v>
      </c>
      <c r="B2907" s="21" t="s">
        <v>1333</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942</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926</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940</v>
      </c>
      <c r="B2910" s="21" t="s">
        <v>928</v>
      </c>
      <c r="C2910" s="21" t="s">
        <v>931</v>
      </c>
      <c r="D2910" s="21" t="s">
        <v>901</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945</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1848</v>
      </c>
      <c r="B2912" s="21" t="s">
        <v>1333</v>
      </c>
      <c r="C2912" s="21" t="s">
        <v>905</v>
      </c>
      <c r="D2912" s="21" t="s">
        <v>901</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1024</v>
      </c>
      <c r="B2913" s="21" t="s">
        <v>950</v>
      </c>
      <c r="C2913" s="21" t="s">
        <v>900</v>
      </c>
      <c r="D2913" s="21" t="s">
        <v>901</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1019</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1849</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1850</v>
      </c>
      <c r="B2916" s="21" t="s">
        <v>923</v>
      </c>
      <c r="C2916" s="21" t="s">
        <v>916</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1026</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1033</v>
      </c>
      <c r="B2918" s="21" t="s">
        <v>947</v>
      </c>
      <c r="C2918" s="21" t="s">
        <v>1097</v>
      </c>
      <c r="D2918" s="21" t="s">
        <v>901</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1087</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1665</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960</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932</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1584</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1130</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1018</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936</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960</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942</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1851</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1852</v>
      </c>
      <c r="B2930" s="21" t="s">
        <v>951</v>
      </c>
      <c r="C2930" s="21" t="s">
        <v>994</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960</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1114</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1853</v>
      </c>
      <c r="B2933" s="21" t="s">
        <v>1702</v>
      </c>
      <c r="C2933" s="21" t="s">
        <v>959</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1327</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1854</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230</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970</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938</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926</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940</v>
      </c>
      <c r="B2940" s="21" t="s">
        <v>1349</v>
      </c>
      <c r="C2940" s="21" t="s">
        <v>931</v>
      </c>
      <c r="D2940" s="21" t="s">
        <v>901</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945</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963</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1855</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1441</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957</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1048</v>
      </c>
      <c r="B2946" s="21" t="s">
        <v>1286</v>
      </c>
      <c r="C2946" s="21" t="s">
        <v>959</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202</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row>
    <row r="2949" spans="1:12">
      <c r="A2949" s="20" t="s">
        <v>1856</v>
      </c>
    </row>
    <row r="2950" spans="1:12">
      <c r="A2950" s="20" t="s">
        <v>1857</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1858</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1859</v>
      </c>
      <c r="B2952" s="21" t="s">
        <v>899</v>
      </c>
      <c r="C2952" s="21" t="s">
        <v>916</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921</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407</v>
      </c>
      <c r="B2954" s="21" t="s">
        <v>912</v>
      </c>
      <c r="C2954" s="21" t="s">
        <v>968</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1026</v>
      </c>
      <c r="B2955" s="21" t="s">
        <v>1217</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1860</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1861</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922</v>
      </c>
      <c r="B2958" s="21" t="s">
        <v>923</v>
      </c>
      <c r="C2958" s="21" t="s">
        <v>924</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1465</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202</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row>
    <row r="2962" spans="1:12">
      <c r="A2962" s="20" t="s">
        <v>1862</v>
      </c>
    </row>
    <row r="2963" spans="1:12">
      <c r="A2963" s="20" t="s">
        <v>1603</v>
      </c>
      <c r="B2963" s="21" t="s">
        <v>904</v>
      </c>
      <c r="C2963" s="21" t="s">
        <v>1097</v>
      </c>
      <c r="D2963" s="21" t="s">
        <v>901</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1019</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1863</v>
      </c>
      <c r="B2965" s="21" t="s">
        <v>912</v>
      </c>
      <c r="C2965" s="21" t="s">
        <v>916</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1864</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960</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1865</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914</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1866</v>
      </c>
      <c r="B2970" s="21" t="s">
        <v>907</v>
      </c>
      <c r="C2970" s="21" t="s">
        <v>913</v>
      </c>
      <c r="D2970" s="21" t="s">
        <v>901</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914</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1867</v>
      </c>
      <c r="B2972" s="21" t="s">
        <v>923</v>
      </c>
      <c r="C2972" s="21" t="s">
        <v>916</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1533</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914</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26</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1868</v>
      </c>
      <c r="B2976" s="21" t="s">
        <v>949</v>
      </c>
      <c r="C2976" s="21" t="s">
        <v>916</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925</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1869</v>
      </c>
      <c r="B2978" s="21" t="s">
        <v>951</v>
      </c>
      <c r="C2978" s="21" t="s">
        <v>916</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1870</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1871</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1866</v>
      </c>
      <c r="B2981" s="21" t="s">
        <v>941</v>
      </c>
      <c r="C2981" s="21" t="s">
        <v>913</v>
      </c>
      <c r="D2981" s="21" t="s">
        <v>901</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914</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1867</v>
      </c>
      <c r="B2983" s="21" t="s">
        <v>950</v>
      </c>
      <c r="C2983" s="21" t="s">
        <v>916</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1112</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1304</v>
      </c>
      <c r="B2985" s="21" t="s">
        <v>947</v>
      </c>
      <c r="C2985" s="21" t="s">
        <v>1097</v>
      </c>
      <c r="D2985" s="21" t="s">
        <v>901</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1872</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933</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1873</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1874</v>
      </c>
      <c r="B2989" s="21" t="s">
        <v>949</v>
      </c>
      <c r="C2989" s="21" t="s">
        <v>913</v>
      </c>
      <c r="D2989" s="21" t="s">
        <v>901</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921</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1048</v>
      </c>
      <c r="B2991" s="21" t="s">
        <v>951</v>
      </c>
      <c r="C2991" s="21" t="s">
        <v>916</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1875</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921</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1011</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1876</v>
      </c>
      <c r="B2995" s="21" t="s">
        <v>997</v>
      </c>
      <c r="C2995" s="21" t="s">
        <v>931</v>
      </c>
      <c r="D2995" s="21" t="s">
        <v>901</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202</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row>
    <row r="2998" spans="1:12">
      <c r="A2998" s="20" t="s">
        <v>1877</v>
      </c>
    </row>
    <row r="2999" spans="1:12">
      <c r="A2999" s="20" t="s">
        <v>1060</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1878</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1146</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1879</v>
      </c>
      <c r="B3002" s="21" t="s">
        <v>955</v>
      </c>
      <c r="C3002" s="21" t="s">
        <v>913</v>
      </c>
      <c r="D3002" s="21" t="s">
        <v>901</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914</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1011</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1880</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1881</v>
      </c>
      <c r="B3006" s="21" t="s">
        <v>923</v>
      </c>
      <c r="C3006" s="21" t="s">
        <v>931</v>
      </c>
      <c r="D3006" s="21" t="s">
        <v>901</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1882</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960</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1883</v>
      </c>
      <c r="B3009" s="21" t="s">
        <v>928</v>
      </c>
      <c r="C3009" s="21" t="s">
        <v>905</v>
      </c>
      <c r="D3009" s="21" t="s">
        <v>901</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960</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992</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1878</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1168</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1113</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1884</v>
      </c>
      <c r="B3015" s="21" t="s">
        <v>899</v>
      </c>
      <c r="C3015" s="21" t="s">
        <v>1035</v>
      </c>
      <c r="D3015" s="21" t="s">
        <v>901</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202</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row>
    <row r="3018" spans="1:12">
      <c r="A3018" s="20" t="s">
        <v>1885</v>
      </c>
    </row>
    <row r="3019" spans="1:12">
      <c r="A3019" s="20" t="s">
        <v>1190</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943</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1884</v>
      </c>
      <c r="B3021" s="21" t="s">
        <v>912</v>
      </c>
      <c r="C3021" s="21" t="s">
        <v>913</v>
      </c>
      <c r="D3021" s="21" t="s">
        <v>901</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914</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1886</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1887</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933</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919</v>
      </c>
      <c r="B3026" s="21" t="s">
        <v>965</v>
      </c>
      <c r="C3026" s="21" t="s">
        <v>931</v>
      </c>
      <c r="D3026" s="21" t="s">
        <v>901</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925</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69</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202</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row>
    <row r="3031" spans="1:12">
      <c r="A3031" s="20" t="s">
        <v>1888</v>
      </c>
    </row>
    <row r="3032" spans="1:12">
      <c r="A3032" s="20" t="s">
        <v>1883</v>
      </c>
      <c r="B3032" s="21" t="s">
        <v>904</v>
      </c>
      <c r="C3032" s="21" t="s">
        <v>916</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1889</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1026</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933</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919</v>
      </c>
      <c r="B3036" s="21" t="s">
        <v>1044</v>
      </c>
      <c r="C3036" s="21" t="s">
        <v>913</v>
      </c>
      <c r="D3036" s="21" t="s">
        <v>901</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960</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942</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1631</v>
      </c>
      <c r="B3039" s="21" t="s">
        <v>928</v>
      </c>
      <c r="C3039" s="21" t="s">
        <v>916</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933</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919</v>
      </c>
      <c r="B3041" s="21" t="s">
        <v>923</v>
      </c>
      <c r="C3041" s="21" t="s">
        <v>913</v>
      </c>
      <c r="D3041" s="21" t="s">
        <v>901</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914</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1863</v>
      </c>
      <c r="B3043" s="21" t="s">
        <v>928</v>
      </c>
      <c r="C3043" s="21" t="s">
        <v>916</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960</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1890</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1891</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942</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926</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1892</v>
      </c>
      <c r="B3049" s="21" t="s">
        <v>907</v>
      </c>
      <c r="C3049" s="21" t="s">
        <v>913</v>
      </c>
      <c r="D3049" s="21" t="s">
        <v>901</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914</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943</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1893</v>
      </c>
      <c r="B3052" s="21" t="s">
        <v>923</v>
      </c>
      <c r="C3052" s="21" t="s">
        <v>905</v>
      </c>
      <c r="D3052" s="21" t="s">
        <v>901</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960</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1894</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957</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1467</v>
      </c>
      <c r="B3056" s="21" t="s">
        <v>907</v>
      </c>
      <c r="C3056" s="21" t="s">
        <v>913</v>
      </c>
      <c r="D3056" s="21" t="s">
        <v>901</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914</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1895</v>
      </c>
      <c r="B3058" s="21" t="s">
        <v>923</v>
      </c>
      <c r="C3058" s="21" t="s">
        <v>916</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202</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row>
    <row r="3061" spans="1:12">
      <c r="A3061" s="20" t="s">
        <v>1896</v>
      </c>
    </row>
    <row r="3062" spans="1:12">
      <c r="A3062" s="20" t="s">
        <v>1897</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1026</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943</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1895</v>
      </c>
      <c r="B3065" s="21" t="s">
        <v>1044</v>
      </c>
      <c r="C3065" s="21" t="s">
        <v>931</v>
      </c>
      <c r="D3065" s="21" t="s">
        <v>901</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1898</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1088</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1899</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960</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1026</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926</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1900</v>
      </c>
      <c r="B3072" s="21" t="s">
        <v>1217</v>
      </c>
      <c r="C3072" s="21" t="s">
        <v>913</v>
      </c>
      <c r="D3072" s="21" t="s">
        <v>901</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914</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943</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1893</v>
      </c>
      <c r="B3075" s="21" t="s">
        <v>928</v>
      </c>
      <c r="C3075" s="21" t="s">
        <v>905</v>
      </c>
      <c r="D3075" s="21" t="s">
        <v>901</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1901</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914</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685</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407</v>
      </c>
      <c r="B3079" s="21" t="s">
        <v>941</v>
      </c>
      <c r="C3079" s="21" t="s">
        <v>968</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914</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1902</v>
      </c>
      <c r="B3081" s="21" t="s">
        <v>950</v>
      </c>
      <c r="C3081" s="21" t="s">
        <v>916</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202</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row>
    <row r="3084" spans="1:12">
      <c r="A3084" s="20" t="s">
        <v>1903</v>
      </c>
    </row>
    <row r="3085" spans="1:12">
      <c r="A3085" s="20" t="s">
        <v>1231</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1814</v>
      </c>
      <c r="B3086" s="21" t="s">
        <v>904</v>
      </c>
      <c r="C3086" s="21" t="s">
        <v>931</v>
      </c>
      <c r="D3086" s="21" t="s">
        <v>901</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1904</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960</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943</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1905</v>
      </c>
      <c r="B3090" s="21" t="s">
        <v>1217</v>
      </c>
      <c r="C3090" s="21" t="s">
        <v>931</v>
      </c>
      <c r="D3090" s="21" t="s">
        <v>901</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1474</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942</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1906</v>
      </c>
      <c r="B3093" s="21" t="s">
        <v>907</v>
      </c>
      <c r="C3093" s="21" t="s">
        <v>916</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960</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1474</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1114</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1853</v>
      </c>
      <c r="B3097" s="21" t="s">
        <v>912</v>
      </c>
      <c r="C3097" s="21" t="s">
        <v>959</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1655</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960</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1907</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1047</v>
      </c>
      <c r="B3101" s="21" t="s">
        <v>955</v>
      </c>
      <c r="C3101" s="21" t="s">
        <v>913</v>
      </c>
      <c r="D3101" s="21" t="s">
        <v>901</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914</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1114</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1908</v>
      </c>
      <c r="B3104" s="21" t="s">
        <v>923</v>
      </c>
      <c r="C3104" s="21" t="s">
        <v>959</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1655</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202</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row>
    <row r="3108" spans="1:12">
      <c r="A3108" s="20" t="s">
        <v>1909</v>
      </c>
    </row>
    <row r="3109" spans="1:12">
      <c r="A3109" s="20" t="s">
        <v>1105</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960</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1006</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1883</v>
      </c>
      <c r="B3112" s="21" t="s">
        <v>912</v>
      </c>
      <c r="C3112" s="21" t="s">
        <v>905</v>
      </c>
      <c r="D3112" s="21" t="s">
        <v>901</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960</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1910</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933</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919</v>
      </c>
      <c r="B3116" s="21" t="s">
        <v>899</v>
      </c>
      <c r="C3116" s="21" t="s">
        <v>913</v>
      </c>
      <c r="D3116" s="21" t="s">
        <v>901</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914</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1863</v>
      </c>
      <c r="B3118" s="21" t="s">
        <v>907</v>
      </c>
      <c r="C3118" s="21" t="s">
        <v>916</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1911</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1912</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1114</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1913</v>
      </c>
      <c r="B3122" s="21" t="s">
        <v>955</v>
      </c>
      <c r="C3122" s="21" t="s">
        <v>959</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1914</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932</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1281</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926</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1892</v>
      </c>
      <c r="B3127" s="21" t="s">
        <v>907</v>
      </c>
      <c r="C3127" s="21" t="s">
        <v>931</v>
      </c>
      <c r="D3127" s="21" t="s">
        <v>901</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202</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row>
    <row r="3130" spans="1:12">
      <c r="A3130" s="20" t="s">
        <v>1915</v>
      </c>
    </row>
    <row r="3131" spans="1:12">
      <c r="A3131" s="20" t="s">
        <v>1659</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1520</v>
      </c>
      <c r="B3132" s="21" t="s">
        <v>912</v>
      </c>
      <c r="C3132" s="21" t="s">
        <v>959</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960</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967</v>
      </c>
      <c r="B3134" s="21" t="s">
        <v>904</v>
      </c>
      <c r="C3134" s="21" t="s">
        <v>968</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1916</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1917</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202</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row>
    <row r="3139" spans="1:12">
      <c r="A3139" s="20" t="s">
        <v>1918</v>
      </c>
    </row>
    <row r="3140" spans="1:12">
      <c r="A3140" s="20" t="s">
        <v>1515</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1520</v>
      </c>
      <c r="B3141" s="21" t="s">
        <v>912</v>
      </c>
      <c r="C3141" s="21" t="s">
        <v>931</v>
      </c>
      <c r="D3141" s="21" t="s">
        <v>901</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1919</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960</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967</v>
      </c>
      <c r="B3144" s="21" t="s">
        <v>904</v>
      </c>
      <c r="C3144" s="21" t="s">
        <v>968</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1916</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1687</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202</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row>
    <row r="3149" spans="1:12">
      <c r="A3149" s="20" t="s">
        <v>1920</v>
      </c>
    </row>
    <row r="3150" spans="1:12">
      <c r="A3150" s="20" t="s">
        <v>1112</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161</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1921</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1088</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1922</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942</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933</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919</v>
      </c>
      <c r="B3157" s="21" t="s">
        <v>912</v>
      </c>
      <c r="C3157" s="21" t="s">
        <v>913</v>
      </c>
      <c r="D3157" s="21" t="s">
        <v>901</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914</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1863</v>
      </c>
      <c r="B3159" s="21" t="s">
        <v>907</v>
      </c>
      <c r="C3159" s="21" t="s">
        <v>916</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960</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921</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926</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977</v>
      </c>
      <c r="B3163" s="21" t="s">
        <v>912</v>
      </c>
      <c r="C3163" s="21" t="s">
        <v>931</v>
      </c>
      <c r="D3163" s="21" t="s">
        <v>901</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1026</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470</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936</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1088</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1923</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960</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925</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1195</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1924</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942</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1197</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1925</v>
      </c>
      <c r="B3175" s="21" t="s">
        <v>907</v>
      </c>
      <c r="C3175" s="21" t="s">
        <v>913</v>
      </c>
      <c r="D3175" s="21" t="s">
        <v>901</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914</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1716</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474</v>
      </c>
      <c r="B3178" s="21" t="s">
        <v>923</v>
      </c>
      <c r="C3178" s="21" t="s">
        <v>916</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960</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1026</v>
      </c>
      <c r="B3180" s="21" t="s">
        <v>1333</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1926</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926</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1245</v>
      </c>
      <c r="B3183" s="21" t="s">
        <v>941</v>
      </c>
      <c r="C3183" s="21" t="s">
        <v>931</v>
      </c>
      <c r="D3183" s="21" t="s">
        <v>901</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914</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1018</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26</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1822</v>
      </c>
      <c r="B3187" s="21" t="s">
        <v>972</v>
      </c>
      <c r="C3187" s="21" t="s">
        <v>968</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921</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618</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202</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row>
    <row r="3192" spans="1:12">
      <c r="A3192" s="20" t="s">
        <v>1927</v>
      </c>
    </row>
    <row r="3193" spans="1:12">
      <c r="A3193" s="20" t="s">
        <v>1112</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1088</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957</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1520</v>
      </c>
      <c r="B3196" s="21" t="s">
        <v>912</v>
      </c>
      <c r="C3196" s="21" t="s">
        <v>959</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1110</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960</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925</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957</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1520</v>
      </c>
      <c r="B3201" s="21" t="s">
        <v>907</v>
      </c>
      <c r="C3201" s="21" t="s">
        <v>959</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1928</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202</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row>
    <row r="3205" spans="1:12">
      <c r="A3205" s="20" t="s">
        <v>1929</v>
      </c>
    </row>
    <row r="3206" spans="1:12">
      <c r="A3206" s="20" t="s">
        <v>1112</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1006</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1883</v>
      </c>
      <c r="B3208" s="21" t="s">
        <v>904</v>
      </c>
      <c r="C3208" s="21" t="s">
        <v>905</v>
      </c>
      <c r="D3208" s="21" t="s">
        <v>901</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960</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1930</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1088</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35</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922</v>
      </c>
      <c r="B3213" s="21" t="s">
        <v>899</v>
      </c>
      <c r="C3213" s="21" t="s">
        <v>924</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960</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1931</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970</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943</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1895</v>
      </c>
      <c r="B3218" s="21" t="s">
        <v>907</v>
      </c>
      <c r="C3218" s="21" t="s">
        <v>931</v>
      </c>
      <c r="D3218" s="21" t="s">
        <v>901</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1932</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957</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1520</v>
      </c>
      <c r="B3221" s="21" t="s">
        <v>965</v>
      </c>
      <c r="C3221" s="21" t="s">
        <v>959</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925</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983</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1796</v>
      </c>
      <c r="B3224" s="21" t="s">
        <v>941</v>
      </c>
      <c r="C3224" s="21" t="s">
        <v>1097</v>
      </c>
      <c r="D3224" s="21" t="s">
        <v>901</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1933</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202</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row>
    <row r="3228" spans="1:12">
      <c r="A3228" s="20" t="s">
        <v>1934</v>
      </c>
    </row>
    <row r="3229" spans="1:12">
      <c r="A3229" s="20" t="s">
        <v>1935</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1026</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1033</v>
      </c>
      <c r="B3231" s="21" t="s">
        <v>1044</v>
      </c>
      <c r="C3231" s="21" t="s">
        <v>1097</v>
      </c>
      <c r="D3231" s="21" t="s">
        <v>901</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1087</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1936</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926</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1852</v>
      </c>
      <c r="B3235" s="21" t="s">
        <v>955</v>
      </c>
      <c r="C3235" s="21" t="s">
        <v>931</v>
      </c>
      <c r="D3235" s="21" t="s">
        <v>901</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942</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1045</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1937</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933</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919</v>
      </c>
      <c r="B3240" s="21" t="s">
        <v>941</v>
      </c>
      <c r="C3240" s="21" t="s">
        <v>931</v>
      </c>
      <c r="D3240" s="21" t="s">
        <v>901</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970</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926</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1520</v>
      </c>
      <c r="B3243" s="21" t="s">
        <v>928</v>
      </c>
      <c r="C3243" s="21" t="s">
        <v>931</v>
      </c>
      <c r="D3243" s="21" t="s">
        <v>901</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1849</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1519</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202</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row>
    <row r="3248" spans="1:12">
      <c r="A3248" s="20" t="s">
        <v>1938</v>
      </c>
    </row>
    <row r="3249" spans="1:12">
      <c r="A3249" s="20" t="s">
        <v>1939</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933</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919</v>
      </c>
      <c r="B3251" s="21" t="s">
        <v>899</v>
      </c>
      <c r="C3251" s="21" t="s">
        <v>931</v>
      </c>
      <c r="D3251" s="21" t="s">
        <v>901</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932</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1940</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970</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943</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1941</v>
      </c>
      <c r="B3256" s="21" t="s">
        <v>907</v>
      </c>
      <c r="C3256" s="21" t="s">
        <v>913</v>
      </c>
      <c r="D3256" s="21" t="s">
        <v>901</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914</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926</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940</v>
      </c>
      <c r="B3259" s="21" t="s">
        <v>923</v>
      </c>
      <c r="C3259" s="21" t="s">
        <v>931</v>
      </c>
      <c r="D3259" s="21" t="s">
        <v>901</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945</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202</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row>
    <row r="3263" spans="1:12">
      <c r="A3263" s="20" t="s">
        <v>1942</v>
      </c>
    </row>
    <row r="3264" spans="1:12">
      <c r="A3264" s="20" t="s">
        <v>1939</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933</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919</v>
      </c>
      <c r="B3266" s="21" t="s">
        <v>899</v>
      </c>
      <c r="C3266" s="21" t="s">
        <v>931</v>
      </c>
      <c r="D3266" s="21" t="s">
        <v>901</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932</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1943</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1195</v>
      </c>
      <c r="B3269" s="21" t="s">
        <v>955</v>
      </c>
      <c r="C3269" s="21" t="s">
        <v>900</v>
      </c>
      <c r="D3269" s="21" t="s">
        <v>901</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921</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1281</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1200</v>
      </c>
      <c r="B3272" s="21" t="s">
        <v>907</v>
      </c>
      <c r="C3272" s="21" t="s">
        <v>1097</v>
      </c>
      <c r="D3272" s="21" t="s">
        <v>901</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1026</v>
      </c>
      <c r="B3273" s="21" t="s">
        <v>1333</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1018</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1944</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942</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926</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1444</v>
      </c>
      <c r="B3278" s="21" t="s">
        <v>950</v>
      </c>
      <c r="C3278" s="21" t="s">
        <v>929</v>
      </c>
      <c r="D3278" s="21" t="s">
        <v>901</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1326</v>
      </c>
      <c r="B3279" s="21" t="s">
        <v>928</v>
      </c>
      <c r="C3279" s="21" t="s">
        <v>931</v>
      </c>
      <c r="D3279" s="21" t="s">
        <v>901</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945</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960</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921</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1281</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1200</v>
      </c>
      <c r="B3284" s="21" t="s">
        <v>912</v>
      </c>
      <c r="C3284" s="21" t="s">
        <v>1097</v>
      </c>
      <c r="D3284" s="21" t="s">
        <v>901</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1026</v>
      </c>
      <c r="B3285" s="21" t="s">
        <v>1217</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1018</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1195</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1945</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914</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943</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944</v>
      </c>
      <c r="B3291" s="21" t="s">
        <v>923</v>
      </c>
      <c r="C3291" s="21" t="s">
        <v>931</v>
      </c>
      <c r="D3291" s="21" t="s">
        <v>901</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945</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960</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925</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1262</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1200</v>
      </c>
      <c r="B3296" s="21" t="s">
        <v>955</v>
      </c>
      <c r="C3296" s="21" t="s">
        <v>1097</v>
      </c>
      <c r="D3296" s="21" t="s">
        <v>901</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914</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1045</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1046</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1047</v>
      </c>
      <c r="B3300" s="21" t="s">
        <v>941</v>
      </c>
      <c r="C3300" s="21" t="s">
        <v>913</v>
      </c>
      <c r="D3300" s="21" t="s">
        <v>901</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921</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933</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919</v>
      </c>
      <c r="B3303" s="21" t="s">
        <v>950</v>
      </c>
      <c r="C3303" s="21" t="s">
        <v>931</v>
      </c>
      <c r="D3303" s="21" t="s">
        <v>901</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202</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row>
    <row r="3306" spans="1:12">
      <c r="A3306" s="20" t="s">
        <v>1946</v>
      </c>
    </row>
    <row r="3307" spans="1:12">
      <c r="A3307" s="20" t="s">
        <v>1266</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1018</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1001</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1456</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1947</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1195</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1948</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202</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row>
    <row r="3316" spans="1:12">
      <c r="A3316" s="20" t="s">
        <v>1949</v>
      </c>
    </row>
    <row r="3317" spans="1:12">
      <c r="A3317" s="20" t="s">
        <v>1096</v>
      </c>
      <c r="B3317" s="21" t="s">
        <v>904</v>
      </c>
      <c r="C3317" s="21" t="s">
        <v>1097</v>
      </c>
      <c r="D3317" s="21" t="s">
        <v>901</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936</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1529</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1505</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1252</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1006</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1883</v>
      </c>
      <c r="B3323" s="21" t="s">
        <v>907</v>
      </c>
      <c r="C3323" s="21" t="s">
        <v>905</v>
      </c>
      <c r="D3323" s="21" t="s">
        <v>901</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960</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1284</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35</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922</v>
      </c>
      <c r="B3327" s="21" t="s">
        <v>923</v>
      </c>
      <c r="C3327" s="21" t="s">
        <v>924</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960</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943</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1895</v>
      </c>
      <c r="B3330" s="21" t="s">
        <v>1044</v>
      </c>
      <c r="C3330" s="21" t="s">
        <v>931</v>
      </c>
      <c r="D3330" s="21" t="s">
        <v>901</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1018</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1950</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1951</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960</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1055</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926</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1900</v>
      </c>
      <c r="B3337" s="21" t="s">
        <v>965</v>
      </c>
      <c r="C3337" s="21" t="s">
        <v>931</v>
      </c>
      <c r="D3337" s="21" t="s">
        <v>901</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1901</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1026</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1916</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1687</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910</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1952</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1953</v>
      </c>
      <c r="B3344" s="21" t="s">
        <v>949</v>
      </c>
      <c r="C3344" s="21" t="s">
        <v>959</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970</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1863</v>
      </c>
      <c r="B3346" s="21" t="s">
        <v>950</v>
      </c>
      <c r="C3346" s="21" t="s">
        <v>916</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202</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row>
    <row r="3349" spans="1:12">
      <c r="A3349" s="20" t="s">
        <v>1954</v>
      </c>
    </row>
    <row r="3350" spans="1:12">
      <c r="A3350" s="20" t="s">
        <v>1955</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1011</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1546</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1892</v>
      </c>
      <c r="B3353" s="21" t="s">
        <v>899</v>
      </c>
      <c r="C3353" s="21" t="s">
        <v>931</v>
      </c>
      <c r="D3353" s="21" t="s">
        <v>901</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970</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1956</v>
      </c>
      <c r="B3355" s="21" t="s">
        <v>912</v>
      </c>
      <c r="C3355" s="21" t="s">
        <v>916</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960</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1957</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1114</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1953</v>
      </c>
      <c r="B3359" s="21" t="s">
        <v>955</v>
      </c>
      <c r="C3359" s="21" t="s">
        <v>913</v>
      </c>
      <c r="D3359" s="21" t="s">
        <v>901</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970</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1863</v>
      </c>
      <c r="B3361" s="21" t="s">
        <v>923</v>
      </c>
      <c r="C3361" s="21" t="s">
        <v>916</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960</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925</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933</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1958</v>
      </c>
      <c r="B3365" s="21" t="s">
        <v>1217</v>
      </c>
      <c r="C3365" s="21" t="s">
        <v>913</v>
      </c>
      <c r="D3365" s="21" t="s">
        <v>901</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914</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1038</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1953</v>
      </c>
      <c r="B3368" s="21" t="s">
        <v>928</v>
      </c>
      <c r="C3368" s="21" t="s">
        <v>1035</v>
      </c>
      <c r="D3368" s="21" t="s">
        <v>901</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1959</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1441</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910</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782</v>
      </c>
      <c r="B3372" s="21" t="s">
        <v>923</v>
      </c>
      <c r="C3372" s="21" t="s">
        <v>959</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1180</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202</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row>
    <row r="3376" spans="1:12">
      <c r="A3376" s="20" t="s">
        <v>1960</v>
      </c>
    </row>
    <row r="3377" spans="1:12">
      <c r="A3377" s="20" t="s">
        <v>1961</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943</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1893</v>
      </c>
      <c r="B3379" s="21" t="s">
        <v>899</v>
      </c>
      <c r="C3379" s="21" t="s">
        <v>905</v>
      </c>
      <c r="D3379" s="21" t="s">
        <v>901</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925</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1962</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942</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1963</v>
      </c>
      <c r="B3383" s="21" t="s">
        <v>907</v>
      </c>
      <c r="C3383" s="21" t="s">
        <v>913</v>
      </c>
      <c r="D3383" s="21" t="s">
        <v>901</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914</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1114</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1964</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1965</v>
      </c>
      <c r="B3387" s="21" t="s">
        <v>923</v>
      </c>
      <c r="C3387" s="21" t="s">
        <v>959</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1244</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1966</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960</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1967</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161</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1968</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250</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926</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1528</v>
      </c>
      <c r="B3396" s="21" t="s">
        <v>972</v>
      </c>
      <c r="C3396" s="21" t="s">
        <v>913</v>
      </c>
      <c r="D3396" s="21" t="s">
        <v>901</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1969</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914</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964</v>
      </c>
      <c r="B3399" s="21" t="s">
        <v>997</v>
      </c>
      <c r="C3399" s="21" t="s">
        <v>916</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932</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1029</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1237</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1007</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1596</v>
      </c>
      <c r="B3404" s="21" t="s">
        <v>997</v>
      </c>
      <c r="C3404" s="21" t="s">
        <v>931</v>
      </c>
      <c r="D3404" s="21" t="s">
        <v>901</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1970</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960</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1237</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943</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1666</v>
      </c>
      <c r="B3409" s="21" t="s">
        <v>950</v>
      </c>
      <c r="C3409" s="21" t="s">
        <v>931</v>
      </c>
      <c r="D3409" s="21" t="s">
        <v>901</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914</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426</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943</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1688</v>
      </c>
      <c r="B3413" s="21" t="s">
        <v>1286</v>
      </c>
      <c r="C3413" s="21" t="s">
        <v>929</v>
      </c>
      <c r="D3413" s="21" t="s">
        <v>901</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1971</v>
      </c>
      <c r="B3414" s="21" t="s">
        <v>1349</v>
      </c>
      <c r="C3414" s="21" t="s">
        <v>931</v>
      </c>
      <c r="D3414" s="21" t="s">
        <v>901</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921</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1972</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1973</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1260</v>
      </c>
      <c r="B3418" s="21" t="s">
        <v>997</v>
      </c>
      <c r="C3418" s="21" t="s">
        <v>994</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960</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1244</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1974</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1975</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1976</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202</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row>
    <row r="3426" spans="1:12">
      <c r="A3426" s="20" t="s">
        <v>1977</v>
      </c>
    </row>
    <row r="3427" spans="1:12">
      <c r="A3427" s="20" t="s">
        <v>1190</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910</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1052</v>
      </c>
      <c r="B3429" s="21" t="s">
        <v>912</v>
      </c>
      <c r="C3429" s="21" t="s">
        <v>959</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957</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990</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1978</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960</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1979</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1233</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row>
    <row r="3437" spans="1:12">
      <c r="A3437" s="20" t="s">
        <v>1980</v>
      </c>
    </row>
    <row r="3438" spans="1:12">
      <c r="A3438" s="20" t="s">
        <v>1981</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1982</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960</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1808</v>
      </c>
      <c r="B3441" s="21" t="s">
        <v>904</v>
      </c>
      <c r="C3441" s="21" t="s">
        <v>913</v>
      </c>
      <c r="D3441" s="21" t="s">
        <v>901</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1032</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926</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1983</v>
      </c>
      <c r="B3444" s="21" t="s">
        <v>907</v>
      </c>
      <c r="C3444" s="21" t="s">
        <v>905</v>
      </c>
      <c r="D3444" s="21" t="s">
        <v>901</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1451</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1984</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1026</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1146</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1985</v>
      </c>
      <c r="B3449" s="21" t="s">
        <v>1044</v>
      </c>
      <c r="C3449" s="21" t="s">
        <v>931</v>
      </c>
      <c r="D3449" s="21" t="s">
        <v>901</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1026</v>
      </c>
      <c r="B3450" s="21" t="s">
        <v>1333</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1916</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1408</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1986</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970</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1011</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1987</v>
      </c>
      <c r="B3456" s="21" t="s">
        <v>928</v>
      </c>
      <c r="C3456" s="21" t="s">
        <v>931</v>
      </c>
      <c r="D3456" s="21" t="s">
        <v>901</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1988</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960</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1989</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948</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1990</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1983</v>
      </c>
      <c r="B3462" s="21" t="s">
        <v>955</v>
      </c>
      <c r="C3462" s="21" t="s">
        <v>905</v>
      </c>
      <c r="D3462" s="21" t="s">
        <v>901</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914</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1146</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1864</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1991</v>
      </c>
      <c r="B3466" s="21" t="s">
        <v>923</v>
      </c>
      <c r="C3466" s="21" t="s">
        <v>913</v>
      </c>
      <c r="D3466" s="21" t="s">
        <v>901</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914</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943</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1893</v>
      </c>
      <c r="B3469" s="21" t="s">
        <v>928</v>
      </c>
      <c r="C3469" s="21" t="s">
        <v>905</v>
      </c>
      <c r="D3469" s="21" t="s">
        <v>901</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202</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row>
    <row r="3472" spans="1:12">
      <c r="A3472" s="20" t="s">
        <v>1992</v>
      </c>
    </row>
    <row r="3473" spans="1:12">
      <c r="A3473" s="20" t="s">
        <v>1981</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1055</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960</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1993</v>
      </c>
      <c r="B3476" s="21" t="s">
        <v>904</v>
      </c>
      <c r="C3476" s="21" t="s">
        <v>916</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1451</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1994</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1026</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943</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1884</v>
      </c>
      <c r="B3481" s="21" t="s">
        <v>1044</v>
      </c>
      <c r="C3481" s="21" t="s">
        <v>931</v>
      </c>
      <c r="D3481" s="21" t="s">
        <v>901</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1995</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921</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1883</v>
      </c>
      <c r="B3484" s="21" t="s">
        <v>928</v>
      </c>
      <c r="C3484" s="21" t="s">
        <v>905</v>
      </c>
      <c r="D3484" s="21" t="s">
        <v>901</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936</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1114</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1884</v>
      </c>
      <c r="B3487" s="21" t="s">
        <v>912</v>
      </c>
      <c r="C3487" s="21" t="s">
        <v>959</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1996</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202</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row>
    <row r="3491" spans="1:12">
      <c r="A3491" s="20" t="s">
        <v>1997</v>
      </c>
    </row>
    <row r="3492" spans="1:12">
      <c r="A3492" s="20" t="s">
        <v>1112</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1998</v>
      </c>
      <c r="B3493" s="21" t="s">
        <v>904</v>
      </c>
      <c r="C3493" s="21" t="s">
        <v>916</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1451</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1999</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2000</v>
      </c>
      <c r="B3496" s="21" t="s">
        <v>899</v>
      </c>
      <c r="C3496" s="21" t="s">
        <v>913</v>
      </c>
      <c r="D3496" s="21" t="s">
        <v>901</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914</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957</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2001</v>
      </c>
      <c r="B3499" s="21" t="s">
        <v>907</v>
      </c>
      <c r="C3499" s="21" t="s">
        <v>959</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2002</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1026</v>
      </c>
      <c r="B3501" s="21" t="s">
        <v>1333</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2003</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1191</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91</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922</v>
      </c>
      <c r="B3505" s="21" t="s">
        <v>941</v>
      </c>
      <c r="C3505" s="21" t="s">
        <v>924</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925</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1026</v>
      </c>
      <c r="B3507" s="21" t="s">
        <v>947</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2004</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2005</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943</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1895</v>
      </c>
      <c r="B3511" s="21" t="s">
        <v>949</v>
      </c>
      <c r="C3511" s="21" t="s">
        <v>931</v>
      </c>
      <c r="D3511" s="21" t="s">
        <v>901</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202</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row>
    <row r="3514" spans="1:12">
      <c r="A3514" s="20" t="s">
        <v>2006</v>
      </c>
    </row>
    <row r="3515" spans="1:12">
      <c r="A3515" s="20" t="s">
        <v>1105</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1113</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1884</v>
      </c>
      <c r="B3517" s="21" t="s">
        <v>904</v>
      </c>
      <c r="C3517" s="21" t="s">
        <v>1035</v>
      </c>
      <c r="D3517" s="21" t="s">
        <v>901</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2007</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2004</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21</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1996</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1252</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row>
    <row r="3524" spans="1:12">
      <c r="A3524" s="20" t="s">
        <v>2008</v>
      </c>
    </row>
    <row r="3525" spans="1:12">
      <c r="A3525" s="20" t="s">
        <v>987</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26</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2009</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2010</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943</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1688</v>
      </c>
      <c r="B3530" s="21" t="s">
        <v>907</v>
      </c>
      <c r="C3530" s="21" t="s">
        <v>929</v>
      </c>
      <c r="D3530" s="21" t="s">
        <v>901</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1523</v>
      </c>
      <c r="B3531" s="21" t="s">
        <v>899</v>
      </c>
      <c r="C3531" s="21" t="s">
        <v>931</v>
      </c>
      <c r="D3531" s="21" t="s">
        <v>901</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983</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960</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2011</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161</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942</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933</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919</v>
      </c>
      <c r="B3538" s="21" t="s">
        <v>923</v>
      </c>
      <c r="C3538" s="21" t="s">
        <v>931</v>
      </c>
      <c r="D3538" s="21" t="s">
        <v>901</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932</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35</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922</v>
      </c>
      <c r="B3541" s="21" t="s">
        <v>923</v>
      </c>
      <c r="C3541" s="21" t="s">
        <v>924</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932</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1408</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21</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1088</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1268</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960</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925</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485</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1088</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119</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1258</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2012</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161</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2013</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942</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926</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1048</v>
      </c>
      <c r="B3558" s="21" t="s">
        <v>951</v>
      </c>
      <c r="C3558" s="21" t="s">
        <v>931</v>
      </c>
      <c r="D3558" s="21" t="s">
        <v>901</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970</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926</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1346</v>
      </c>
      <c r="B3561" s="21" t="s">
        <v>951</v>
      </c>
      <c r="C3561" s="21" t="s">
        <v>931</v>
      </c>
      <c r="D3561" s="21" t="s">
        <v>901</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921</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681</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1088</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1011</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1585</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2014</v>
      </c>
      <c r="B3567" s="21" t="s">
        <v>1349</v>
      </c>
      <c r="C3567" s="21" t="s">
        <v>931</v>
      </c>
      <c r="D3567" s="21" t="s">
        <v>901</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202</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row>
    <row r="3570" spans="1:12">
      <c r="A3570" s="20" t="s">
        <v>2015</v>
      </c>
    </row>
    <row r="3571" spans="1:12">
      <c r="A3571" s="20" t="s">
        <v>115</v>
      </c>
      <c r="B3571" s="21" t="s">
        <v>912</v>
      </c>
      <c r="C3571" s="21" t="s">
        <v>905</v>
      </c>
      <c r="D3571" s="21" t="s">
        <v>901</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960</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1314</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954</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948</v>
      </c>
      <c r="B3575" s="21" t="s">
        <v>899</v>
      </c>
      <c r="C3575" s="21" t="s">
        <v>900</v>
      </c>
      <c r="D3575" s="21" t="s">
        <v>901</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1131</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1176</v>
      </c>
      <c r="B3577" s="21" t="s">
        <v>904</v>
      </c>
      <c r="C3577" s="21" t="s">
        <v>900</v>
      </c>
      <c r="D3577" s="21" t="s">
        <v>901</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202</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row>
    <row r="3580" spans="1:12">
      <c r="A3580" s="20" t="s">
        <v>2016</v>
      </c>
    </row>
    <row r="3581" spans="1:12">
      <c r="A3581" s="20" t="s">
        <v>2017</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970</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1323</v>
      </c>
      <c r="B3583" s="21" t="s">
        <v>912</v>
      </c>
      <c r="C3583" s="21" t="s">
        <v>905</v>
      </c>
      <c r="D3583" s="21" t="s">
        <v>901</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1324</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1325</v>
      </c>
      <c r="B3585" s="21" t="s">
        <v>907</v>
      </c>
      <c r="C3585" s="21" t="s">
        <v>905</v>
      </c>
      <c r="D3585" s="21" t="s">
        <v>901</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921</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926</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2018</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202</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row>
    <row r="3591" spans="1:12">
      <c r="A3591" s="20" t="s">
        <v>2019</v>
      </c>
    </row>
    <row r="3592" spans="1:12">
      <c r="A3592" s="20" t="s">
        <v>2020</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926</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1475</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1048</v>
      </c>
      <c r="B3595" s="21" t="s">
        <v>912</v>
      </c>
      <c r="C3595" s="21" t="s">
        <v>913</v>
      </c>
      <c r="D3595" s="21" t="s">
        <v>901</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914</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2021</v>
      </c>
      <c r="B3597" s="21" t="s">
        <v>912</v>
      </c>
      <c r="C3597" s="21" t="s">
        <v>913</v>
      </c>
      <c r="D3597" s="21" t="s">
        <v>901</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942</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971</v>
      </c>
      <c r="B3599" s="21" t="s">
        <v>907</v>
      </c>
      <c r="C3599" s="21" t="s">
        <v>916</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945</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914</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943</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2022</v>
      </c>
      <c r="B3603" s="21" t="s">
        <v>907</v>
      </c>
      <c r="C3603" s="21" t="s">
        <v>913</v>
      </c>
      <c r="D3603" s="21" t="s">
        <v>901</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914</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1323</v>
      </c>
      <c r="B3605" s="21" t="s">
        <v>923</v>
      </c>
      <c r="C3605" s="21" t="s">
        <v>905</v>
      </c>
      <c r="D3605" s="21" t="s">
        <v>901</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1324</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1325</v>
      </c>
      <c r="B3607" s="21" t="s">
        <v>928</v>
      </c>
      <c r="C3607" s="21" t="s">
        <v>905</v>
      </c>
      <c r="D3607" s="21" t="s">
        <v>901</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202</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row>
    <row r="3610" spans="1:12">
      <c r="A3610" s="20" t="s">
        <v>2023</v>
      </c>
    </row>
    <row r="3611" spans="1:12">
      <c r="A3611" s="20" t="s">
        <v>1096</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75</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922</v>
      </c>
      <c r="B3613" s="21" t="s">
        <v>912</v>
      </c>
      <c r="C3613" s="21" t="s">
        <v>1035</v>
      </c>
      <c r="D3613" s="21" t="s">
        <v>901</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1465</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202</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row>
    <row r="3617" spans="1:12">
      <c r="A3617" s="20" t="s">
        <v>2024</v>
      </c>
    </row>
    <row r="3618" spans="1:12">
      <c r="A3618" s="20" t="s">
        <v>2025</v>
      </c>
      <c r="B3618" s="21" t="s">
        <v>904</v>
      </c>
      <c r="C3618" s="21" t="s">
        <v>900</v>
      </c>
      <c r="D3618" s="21" t="s">
        <v>901</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1957</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970</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1863</v>
      </c>
      <c r="B3621" s="21" t="s">
        <v>912</v>
      </c>
      <c r="C3621" s="21" t="s">
        <v>913</v>
      </c>
      <c r="D3621" s="21" t="s">
        <v>901</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932</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35</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922</v>
      </c>
      <c r="B3624" s="21" t="s">
        <v>907</v>
      </c>
      <c r="C3624" s="21" t="s">
        <v>924</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960</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1176</v>
      </c>
      <c r="B3626" s="21" t="s">
        <v>1044</v>
      </c>
      <c r="C3626" s="21" t="s">
        <v>900</v>
      </c>
      <c r="D3626" s="21" t="s">
        <v>901</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1046</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1687</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970</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1325</v>
      </c>
      <c r="B3630" s="21" t="s">
        <v>907</v>
      </c>
      <c r="C3630" s="21" t="s">
        <v>905</v>
      </c>
      <c r="D3630" s="21" t="s">
        <v>901</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932</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75</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922</v>
      </c>
      <c r="B3633" s="21" t="s">
        <v>907</v>
      </c>
      <c r="C3633" s="21" t="s">
        <v>924</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202</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row>
    <row r="3636" spans="1:12">
      <c r="A3636" s="20" t="s">
        <v>2026</v>
      </c>
    </row>
    <row r="3637" spans="1:12">
      <c r="A3637" s="20" t="s">
        <v>2027</v>
      </c>
      <c r="B3637" s="21" t="s">
        <v>1044</v>
      </c>
      <c r="C3637" s="21" t="s">
        <v>900</v>
      </c>
      <c r="D3637" s="21" t="s">
        <v>901</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2028</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1252</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1247</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2029</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932</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926</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1444</v>
      </c>
      <c r="B3644" s="21" t="s">
        <v>907</v>
      </c>
      <c r="C3644" s="21" t="s">
        <v>929</v>
      </c>
      <c r="D3644" s="21" t="s">
        <v>901</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1048</v>
      </c>
      <c r="B3645" s="21" t="s">
        <v>912</v>
      </c>
      <c r="C3645" s="21" t="s">
        <v>931</v>
      </c>
      <c r="D3645" s="21" t="s">
        <v>901</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1744</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202</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row>
    <row r="3649" spans="1:12">
      <c r="A3649" s="20" t="s">
        <v>2030</v>
      </c>
    </row>
    <row r="3650" spans="1:12">
      <c r="A3650" s="20" t="s">
        <v>2025</v>
      </c>
      <c r="B3650" s="21" t="s">
        <v>904</v>
      </c>
      <c r="C3650" s="21" t="s">
        <v>900</v>
      </c>
      <c r="D3650" s="21" t="s">
        <v>901</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2031</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1956</v>
      </c>
      <c r="B3652" s="21" t="s">
        <v>899</v>
      </c>
      <c r="C3652" s="21" t="s">
        <v>913</v>
      </c>
      <c r="D3652" s="21" t="s">
        <v>901</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914</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943</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1905</v>
      </c>
      <c r="B3655" s="21" t="s">
        <v>907</v>
      </c>
      <c r="C3655" s="21" t="s">
        <v>931</v>
      </c>
      <c r="D3655" s="21" t="s">
        <v>901</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942</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2032</v>
      </c>
      <c r="B3657" s="21" t="s">
        <v>912</v>
      </c>
      <c r="C3657" s="21" t="s">
        <v>913</v>
      </c>
      <c r="D3657" s="21" t="s">
        <v>901</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970</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943</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1571</v>
      </c>
      <c r="B3660" s="21" t="s">
        <v>907</v>
      </c>
      <c r="C3660" s="21" t="s">
        <v>913</v>
      </c>
      <c r="D3660" s="21" t="s">
        <v>901</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914</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957</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1559</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940</v>
      </c>
      <c r="B3664" s="21" t="s">
        <v>923</v>
      </c>
      <c r="C3664" s="21" t="s">
        <v>959</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202</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row>
    <row r="3667" spans="1:12">
      <c r="A3667" s="20" t="s">
        <v>2033</v>
      </c>
    </row>
    <row r="3668" spans="1:12">
      <c r="A3668" s="20" t="s">
        <v>1190</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921</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1948</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1026</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1858</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1011</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1052</v>
      </c>
      <c r="B3674" s="21" t="s">
        <v>955</v>
      </c>
      <c r="C3674" s="21" t="s">
        <v>913</v>
      </c>
      <c r="D3674" s="21" t="s">
        <v>901</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914</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95</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980</v>
      </c>
      <c r="B3677" s="21" t="s">
        <v>923</v>
      </c>
      <c r="C3677" s="21" t="s">
        <v>913</v>
      </c>
      <c r="D3677" s="21" t="s">
        <v>901</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914</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981</v>
      </c>
      <c r="B3679" s="21" t="s">
        <v>928</v>
      </c>
      <c r="C3679" s="21" t="s">
        <v>913</v>
      </c>
      <c r="D3679" s="21" t="s">
        <v>901</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914</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1048</v>
      </c>
      <c r="B3681" s="21" t="s">
        <v>950</v>
      </c>
      <c r="C3681" s="21" t="s">
        <v>916</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970</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943</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982</v>
      </c>
      <c r="B3684" s="21" t="s">
        <v>907</v>
      </c>
      <c r="C3684" s="21" t="s">
        <v>931</v>
      </c>
      <c r="D3684" s="21" t="s">
        <v>901</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202</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row>
    <row r="3687" spans="1:12">
      <c r="A3687" s="20" t="s">
        <v>2034</v>
      </c>
    </row>
    <row r="3688" spans="1:12">
      <c r="A3688" s="20" t="s">
        <v>2035</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1026</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943</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1956</v>
      </c>
      <c r="B3691" s="21" t="s">
        <v>1044</v>
      </c>
      <c r="C3691" s="21" t="s">
        <v>913</v>
      </c>
      <c r="D3691" s="21" t="s">
        <v>901</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914</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1176</v>
      </c>
      <c r="B3693" s="21" t="s">
        <v>923</v>
      </c>
      <c r="C3693" s="21" t="s">
        <v>900</v>
      </c>
      <c r="D3693" s="21" t="s">
        <v>901</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161</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2036</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1849</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1850</v>
      </c>
      <c r="B3697" s="21" t="s">
        <v>907</v>
      </c>
      <c r="C3697" s="21" t="s">
        <v>916</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932</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632</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910</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1601</v>
      </c>
      <c r="B3701" s="21" t="s">
        <v>965</v>
      </c>
      <c r="C3701" s="21" t="s">
        <v>959</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970</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926</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1520</v>
      </c>
      <c r="B3704" s="21" t="s">
        <v>923</v>
      </c>
      <c r="C3704" s="21" t="s">
        <v>931</v>
      </c>
      <c r="D3704" s="21" t="s">
        <v>901</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970</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470</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960</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1186</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970</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1187</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1018</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2037</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933</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999</v>
      </c>
      <c r="B3714" s="21" t="s">
        <v>949</v>
      </c>
      <c r="C3714" s="21" t="s">
        <v>913</v>
      </c>
      <c r="D3714" s="21" t="s">
        <v>901</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914</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926</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940</v>
      </c>
      <c r="B3717" s="21" t="s">
        <v>951</v>
      </c>
      <c r="C3717" s="21" t="s">
        <v>931</v>
      </c>
      <c r="D3717" s="21" t="s">
        <v>901</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945</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202</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row>
    <row r="3721" spans="1:12">
      <c r="A3721" s="20" t="s">
        <v>984</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2038</v>
      </c>
    </row>
    <row r="3723" spans="1:12">
      <c r="A3723" s="20" t="s">
        <v>718</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1160</v>
      </c>
      <c r="B3724" s="21" t="s">
        <v>955</v>
      </c>
      <c r="C3724" s="21" t="s">
        <v>998</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2039</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932</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761</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960</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790</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1317</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2040</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970</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1002</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933</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999</v>
      </c>
      <c r="B3735" s="21" t="s">
        <v>965</v>
      </c>
      <c r="C3735" s="21" t="s">
        <v>913</v>
      </c>
      <c r="D3735" s="21" t="s">
        <v>901</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914</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926</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940</v>
      </c>
      <c r="B3738" s="21" t="s">
        <v>928</v>
      </c>
      <c r="C3738" s="21" t="s">
        <v>931</v>
      </c>
      <c r="D3738" s="21" t="s">
        <v>901</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945</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942</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957</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1048</v>
      </c>
      <c r="B3742" s="21" t="s">
        <v>923</v>
      </c>
      <c r="C3742" s="21" t="s">
        <v>959</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1233</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790</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row>
    <row r="3746" spans="1:12">
      <c r="A3746" s="20" t="s">
        <v>2041</v>
      </c>
    </row>
    <row r="3747" spans="1:12">
      <c r="A3747" s="20" t="s">
        <v>2042</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960</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1033</v>
      </c>
      <c r="B3749" s="21" t="s">
        <v>904</v>
      </c>
      <c r="C3749" s="21" t="s">
        <v>1097</v>
      </c>
      <c r="D3749" s="21" t="s">
        <v>901</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936</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1200</v>
      </c>
      <c r="B3751" s="21" t="s">
        <v>912</v>
      </c>
      <c r="C3751" s="21" t="s">
        <v>1097</v>
      </c>
      <c r="D3751" s="21" t="s">
        <v>901</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970</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1045</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956</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2043</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926</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927</v>
      </c>
      <c r="B3757" s="21" t="s">
        <v>923</v>
      </c>
      <c r="C3757" s="21" t="s">
        <v>929</v>
      </c>
      <c r="D3757" s="21" t="s">
        <v>901</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1721</v>
      </c>
      <c r="B3758" s="21" t="s">
        <v>955</v>
      </c>
      <c r="C3758" s="21" t="s">
        <v>931</v>
      </c>
      <c r="D3758" s="21" t="s">
        <v>901</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1894</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1146</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2044</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922</v>
      </c>
      <c r="B3762" s="21" t="s">
        <v>907</v>
      </c>
      <c r="C3762" s="21" t="s">
        <v>931</v>
      </c>
      <c r="D3762" s="21" t="s">
        <v>901</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960</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1010</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1011</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1012</v>
      </c>
      <c r="B3766" s="21" t="s">
        <v>912</v>
      </c>
      <c r="C3766" s="21" t="s">
        <v>913</v>
      </c>
      <c r="D3766" s="21" t="s">
        <v>901</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932</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926</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1013</v>
      </c>
      <c r="B3769" s="21" t="s">
        <v>907</v>
      </c>
      <c r="C3769" s="21" t="s">
        <v>905</v>
      </c>
      <c r="D3769" s="21" t="s">
        <v>901</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202</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row>
    <row r="3772" spans="1:12">
      <c r="A3772" s="20" t="s">
        <v>2045</v>
      </c>
    </row>
    <row r="3773" spans="1:12">
      <c r="A3773" s="20" t="s">
        <v>1004</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933</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1468</v>
      </c>
      <c r="B3775" s="21" t="s">
        <v>907</v>
      </c>
      <c r="C3775" s="21" t="s">
        <v>929</v>
      </c>
      <c r="D3775" s="21" t="s">
        <v>901</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2046</v>
      </c>
      <c r="B3776" s="21" t="s">
        <v>912</v>
      </c>
      <c r="C3776" s="21" t="s">
        <v>913</v>
      </c>
      <c r="D3776" s="21" t="s">
        <v>901</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914</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2047</v>
      </c>
      <c r="B3778" s="21" t="s">
        <v>907</v>
      </c>
      <c r="C3778" s="21" t="s">
        <v>905</v>
      </c>
      <c r="D3778" s="21" t="s">
        <v>901</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2048</v>
      </c>
      <c r="B3779" s="21" t="s">
        <v>923</v>
      </c>
      <c r="C3779" s="21" t="s">
        <v>905</v>
      </c>
      <c r="D3779" s="21" t="s">
        <v>901</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1046</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1033</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2049</v>
      </c>
      <c r="B3782" s="21" t="s">
        <v>899</v>
      </c>
      <c r="C3782" s="21" t="s">
        <v>1035</v>
      </c>
      <c r="D3782" s="21" t="s">
        <v>901</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1026</v>
      </c>
      <c r="B3783" s="21" t="s">
        <v>1217</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2050</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943</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1399</v>
      </c>
      <c r="B3786" s="21" t="s">
        <v>928</v>
      </c>
      <c r="C3786" s="21" t="s">
        <v>929</v>
      </c>
      <c r="D3786" s="21" t="s">
        <v>901</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1052</v>
      </c>
      <c r="B3787" s="21" t="s">
        <v>965</v>
      </c>
      <c r="C3787" s="21" t="s">
        <v>931</v>
      </c>
      <c r="D3787" s="21" t="s">
        <v>901</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914</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1258</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1195</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2051</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2052</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1237</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926</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2053</v>
      </c>
      <c r="B3795" s="21" t="s">
        <v>950</v>
      </c>
      <c r="C3795" s="21" t="s">
        <v>931</v>
      </c>
      <c r="D3795" s="21" t="s">
        <v>901</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202</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row>
    <row r="3798" spans="1:12">
      <c r="A3798" s="20" t="s">
        <v>2054</v>
      </c>
    </row>
    <row r="3799" spans="1:12">
      <c r="A3799" s="20" t="s">
        <v>1227</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1028</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725</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914</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2055</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926</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2053</v>
      </c>
      <c r="B3805" s="21" t="s">
        <v>955</v>
      </c>
      <c r="C3805" s="21" t="s">
        <v>931</v>
      </c>
      <c r="D3805" s="21" t="s">
        <v>901</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202</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row>
    <row r="3808" spans="1:12">
      <c r="A3808" s="20" t="s">
        <v>2056</v>
      </c>
    </row>
    <row r="3809" spans="1:12">
      <c r="A3809" s="20" t="s">
        <v>2057</v>
      </c>
      <c r="B3809" s="21" t="s">
        <v>904</v>
      </c>
      <c r="C3809" s="21" t="s">
        <v>1097</v>
      </c>
      <c r="D3809" s="21" t="s">
        <v>901</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1026</v>
      </c>
      <c r="B3810" s="21" t="s">
        <v>965</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1028</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685</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936</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12</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729</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12</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926</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2053</v>
      </c>
      <c r="B3818" s="21" t="s">
        <v>899</v>
      </c>
      <c r="C3818" s="21" t="s">
        <v>931</v>
      </c>
      <c r="D3818" s="21" t="s">
        <v>901</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202</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row>
    <row r="3821" spans="1:12">
      <c r="A3821" s="20" t="s">
        <v>2058</v>
      </c>
    </row>
    <row r="3822" spans="1:12">
      <c r="A3822" s="20" t="s">
        <v>2059</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2060</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1146</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2061</v>
      </c>
      <c r="B3825" s="21" t="s">
        <v>899</v>
      </c>
      <c r="C3825" s="21" t="s">
        <v>931</v>
      </c>
      <c r="D3825" s="21" t="s">
        <v>901</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921</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933</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1263</v>
      </c>
      <c r="B3828" s="21" t="s">
        <v>912</v>
      </c>
      <c r="C3828" s="21" t="s">
        <v>931</v>
      </c>
      <c r="D3828" s="21" t="s">
        <v>901</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1274</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925</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1408</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1028</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259</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943</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2062</v>
      </c>
      <c r="B3835" s="21" t="s">
        <v>955</v>
      </c>
      <c r="C3835" s="21" t="s">
        <v>931</v>
      </c>
      <c r="D3835" s="21" t="s">
        <v>901</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970</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1007</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964</v>
      </c>
      <c r="B3838" s="21" t="s">
        <v>907</v>
      </c>
      <c r="C3838" s="21" t="s">
        <v>931</v>
      </c>
      <c r="D3838" s="21" t="s">
        <v>901</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914</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2063</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1320</v>
      </c>
      <c r="B3841" s="21" t="s">
        <v>965</v>
      </c>
      <c r="C3841" s="21" t="s">
        <v>900</v>
      </c>
      <c r="D3841" s="21" t="s">
        <v>901</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942</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1005</v>
      </c>
      <c r="B3843" s="21" t="s">
        <v>923</v>
      </c>
      <c r="C3843" s="21" t="s">
        <v>916</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2064</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202</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row>
    <row r="3847" spans="1:12">
      <c r="A3847" s="20" t="s">
        <v>2065</v>
      </c>
    </row>
    <row r="3848" spans="1:12">
      <c r="A3848" s="20" t="s">
        <v>2059</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2060</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1335</v>
      </c>
      <c r="B3850" s="21" t="s">
        <v>899</v>
      </c>
      <c r="C3850" s="21" t="s">
        <v>916</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1336</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932</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1408</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259</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970</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943</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1814</v>
      </c>
      <c r="B3857" s="21" t="s">
        <v>923</v>
      </c>
      <c r="C3857" s="21" t="s">
        <v>931</v>
      </c>
      <c r="D3857" s="21" t="s">
        <v>901</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1146</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1874</v>
      </c>
      <c r="B3859" s="21" t="s">
        <v>965</v>
      </c>
      <c r="C3859" s="21" t="s">
        <v>931</v>
      </c>
      <c r="D3859" s="21" t="s">
        <v>901</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932</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2066</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1007</v>
      </c>
      <c r="B3862" s="21" t="s">
        <v>941</v>
      </c>
      <c r="C3862" s="21" t="s">
        <v>900</v>
      </c>
      <c r="D3862" s="21" t="s">
        <v>901</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202</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row>
    <row r="3865" spans="1:12">
      <c r="A3865" s="20" t="s">
        <v>2067</v>
      </c>
    </row>
    <row r="3866" spans="1:12">
      <c r="A3866" s="20" t="s">
        <v>2068</v>
      </c>
      <c r="B3866" s="21" t="s">
        <v>899</v>
      </c>
      <c r="C3866" s="21" t="s">
        <v>900</v>
      </c>
      <c r="D3866" s="21" t="s">
        <v>901</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t="s">
        <v>2069</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2070</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979</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919</v>
      </c>
      <c r="B3870" s="21" t="s">
        <v>899</v>
      </c>
      <c r="C3870" s="21" t="s">
        <v>924</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1026</v>
      </c>
      <c r="B3871" s="21" t="s">
        <v>1217</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956</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2071</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925</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1026</v>
      </c>
      <c r="B3875" s="21" t="s">
        <v>1333</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1019</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957</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2072</v>
      </c>
      <c r="B3878" s="21" t="s">
        <v>923</v>
      </c>
      <c r="C3878" s="21" t="s">
        <v>959</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914</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259</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970</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1007</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964</v>
      </c>
      <c r="B3883" s="21" t="s">
        <v>950</v>
      </c>
      <c r="C3883" s="21" t="s">
        <v>931</v>
      </c>
      <c r="D3883" s="21" t="s">
        <v>901</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1146</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1874</v>
      </c>
      <c r="B3885" s="21" t="s">
        <v>949</v>
      </c>
      <c r="C3885" s="21" t="s">
        <v>931</v>
      </c>
      <c r="D3885" s="21" t="s">
        <v>901</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932</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1756</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914</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1007</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1335</v>
      </c>
      <c r="B3890" s="21" t="s">
        <v>951</v>
      </c>
      <c r="C3890" s="21" t="s">
        <v>913</v>
      </c>
      <c r="D3890" s="21" t="s">
        <v>901</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1336</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942</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926</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1688</v>
      </c>
      <c r="B3894" s="21" t="s">
        <v>1286</v>
      </c>
      <c r="C3894" s="21" t="s">
        <v>929</v>
      </c>
      <c r="D3894" s="21" t="s">
        <v>901</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2053</v>
      </c>
      <c r="B3895" s="21" t="s">
        <v>997</v>
      </c>
      <c r="C3895" s="21" t="s">
        <v>931</v>
      </c>
      <c r="D3895" s="21" t="s">
        <v>901</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202</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row>
    <row r="3898" spans="1:12">
      <c r="A3898" s="20" t="s">
        <v>984</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2073</v>
      </c>
    </row>
    <row r="3900" spans="1:12">
      <c r="A3900" s="20" t="s">
        <v>1096</v>
      </c>
      <c r="B3900" s="21" t="s">
        <v>904</v>
      </c>
      <c r="C3900" s="21" t="s">
        <v>1097</v>
      </c>
      <c r="D3900" s="21" t="s">
        <v>901</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936</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790</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2074</v>
      </c>
      <c r="B3903" s="21" t="s">
        <v>912</v>
      </c>
      <c r="C3903" s="21" t="s">
        <v>916</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2075</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2076</v>
      </c>
      <c r="B3905" s="21" t="s">
        <v>912</v>
      </c>
      <c r="C3905" s="21" t="s">
        <v>905</v>
      </c>
      <c r="D3905" s="21" t="s">
        <v>901</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790</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202</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row>
    <row r="3909" spans="1:12">
      <c r="A3909" s="20" t="s">
        <v>2077</v>
      </c>
    </row>
    <row r="3910" spans="1:12">
      <c r="A3910" s="20" t="s">
        <v>1174</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2071</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1033</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1048</v>
      </c>
      <c r="B3913" s="21" t="s">
        <v>899</v>
      </c>
      <c r="C3913" s="21" t="s">
        <v>1035</v>
      </c>
      <c r="D3913" s="21" t="s">
        <v>901</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942</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926</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2078</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202</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row>
    <row r="3919" spans="1:12">
      <c r="A3919" s="20" t="s">
        <v>2079</v>
      </c>
    </row>
    <row r="3920" spans="1:12">
      <c r="A3920" s="20" t="s">
        <v>1190</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957</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1048</v>
      </c>
      <c r="B3922" s="21" t="s">
        <v>912</v>
      </c>
      <c r="C3922" s="21" t="s">
        <v>959</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920</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942</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926</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1550</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161</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1963</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914</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1029</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970</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1114</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2080</v>
      </c>
      <c r="B3933" s="21" t="s">
        <v>923</v>
      </c>
      <c r="C3933" s="21" t="s">
        <v>913</v>
      </c>
      <c r="D3933" s="21" t="s">
        <v>901</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914</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2081</v>
      </c>
      <c r="B3935" s="21" t="s">
        <v>928</v>
      </c>
      <c r="C3935" s="21" t="s">
        <v>916</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202</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row>
    <row r="3938" spans="1:12">
      <c r="A3938" s="20" t="s">
        <v>2082</v>
      </c>
    </row>
    <row r="3939" spans="1:12">
      <c r="A3939" s="20" t="s">
        <v>1231</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2080</v>
      </c>
      <c r="B3940" s="21" t="s">
        <v>904</v>
      </c>
      <c r="C3940" s="21" t="s">
        <v>931</v>
      </c>
      <c r="D3940" s="21" t="s">
        <v>901</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1018</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936</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945</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960</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1130</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1046</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2083</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1969</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2084</v>
      </c>
      <c r="B3949" s="21" t="s">
        <v>955</v>
      </c>
      <c r="C3949" s="21" t="s">
        <v>916</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920</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932</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954</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46</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1026</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948</v>
      </c>
      <c r="B3955" s="21" t="s">
        <v>949</v>
      </c>
      <c r="C3955" s="21" t="s">
        <v>900</v>
      </c>
      <c r="D3955" s="21" t="s">
        <v>901</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1087</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960</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925</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932</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954</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1966</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943</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944</v>
      </c>
      <c r="B3963" s="21" t="s">
        <v>965</v>
      </c>
      <c r="C3963" s="21" t="s">
        <v>931</v>
      </c>
      <c r="D3963" s="21" t="s">
        <v>901</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945</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1258</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1027</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2085</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970</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2086</v>
      </c>
      <c r="B3969" s="21" t="s">
        <v>907</v>
      </c>
      <c r="C3969" s="21" t="s">
        <v>916</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202</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row>
    <row r="3972" spans="1:12">
      <c r="A3972" s="20" t="s">
        <v>2087</v>
      </c>
    </row>
    <row r="3973" spans="1:12">
      <c r="A3973" s="20" t="s">
        <v>1105</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960</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1187</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2088</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942</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926</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1048</v>
      </c>
      <c r="B3979" s="21" t="s">
        <v>923</v>
      </c>
      <c r="C3979" s="21" t="s">
        <v>931</v>
      </c>
      <c r="D3979" s="21" t="s">
        <v>901</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960</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1184</v>
      </c>
      <c r="B3981" s="21" t="s">
        <v>955</v>
      </c>
      <c r="C3981" s="21" t="s">
        <v>900</v>
      </c>
      <c r="D3981" s="21" t="s">
        <v>901</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2089</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960</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1195</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2090</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942</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1026</v>
      </c>
      <c r="B3987" s="21" t="s">
        <v>907</v>
      </c>
      <c r="C3987" s="21" t="s">
        <v>998</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2091</v>
      </c>
      <c r="B3988" s="21" t="s">
        <v>912</v>
      </c>
      <c r="C3988" s="21" t="s">
        <v>994</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2092</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960</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925</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2093</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1184</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2094</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2095</v>
      </c>
      <c r="B3995" s="21" t="s">
        <v>907</v>
      </c>
      <c r="C3995" s="21" t="s">
        <v>913</v>
      </c>
      <c r="D3995" s="21" t="s">
        <v>901</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2096</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942</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971</v>
      </c>
      <c r="B3998" s="21" t="s">
        <v>923</v>
      </c>
      <c r="C3998" s="21" t="s">
        <v>916</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945</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960</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2097</v>
      </c>
      <c r="B4001" s="21" t="s">
        <v>955</v>
      </c>
      <c r="C4001" s="21" t="s">
        <v>916</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1026</v>
      </c>
      <c r="B4002" s="21" t="s">
        <v>1333</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1154</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1936</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926</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2098</v>
      </c>
      <c r="B4006" s="21" t="s">
        <v>941</v>
      </c>
      <c r="C4006" s="21" t="s">
        <v>913</v>
      </c>
      <c r="D4006" s="21" t="s">
        <v>901</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914</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926</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2081</v>
      </c>
      <c r="B4009" s="21" t="s">
        <v>950</v>
      </c>
      <c r="C4009" s="21" t="s">
        <v>931</v>
      </c>
      <c r="D4009" s="21" t="s">
        <v>901</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960</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1007</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1332</v>
      </c>
      <c r="B4012" s="21" t="s">
        <v>950</v>
      </c>
      <c r="C4012" s="21" t="s">
        <v>931</v>
      </c>
      <c r="D4012" s="21" t="s">
        <v>901</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1026</v>
      </c>
      <c r="B4013" s="21" t="s">
        <v>1249</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1018</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1019</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1970</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960</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1011</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2099</v>
      </c>
      <c r="B4019" s="21" t="s">
        <v>950</v>
      </c>
      <c r="C4019" s="21" t="s">
        <v>913</v>
      </c>
      <c r="D4019" s="21" t="s">
        <v>901</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1032</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943</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2100</v>
      </c>
      <c r="B4022" s="21" t="s">
        <v>951</v>
      </c>
      <c r="C4022" s="21" t="s">
        <v>913</v>
      </c>
      <c r="D4022" s="21" t="s">
        <v>901</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914</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926</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2101</v>
      </c>
      <c r="B4025" s="21" t="s">
        <v>997</v>
      </c>
      <c r="C4025" s="21" t="s">
        <v>931</v>
      </c>
      <c r="D4025" s="21" t="s">
        <v>901</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960</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1011</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2099</v>
      </c>
      <c r="B4028" s="21" t="s">
        <v>923</v>
      </c>
      <c r="C4028" s="21" t="s">
        <v>913</v>
      </c>
      <c r="D4028" s="21" t="s">
        <v>901</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1032</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933</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2102</v>
      </c>
      <c r="B4031" s="21" t="s">
        <v>928</v>
      </c>
      <c r="C4031" s="21" t="s">
        <v>931</v>
      </c>
      <c r="D4031" s="21" t="s">
        <v>901</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960</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1027</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1007</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2103</v>
      </c>
      <c r="B4035" s="21" t="s">
        <v>1217</v>
      </c>
      <c r="C4035" s="21" t="s">
        <v>931</v>
      </c>
      <c r="D4035" s="21" t="s">
        <v>901</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1019</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2104</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960</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1027</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1195</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1019</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914</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1007</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2105</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960</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925</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2106</v>
      </c>
      <c r="B4047" s="21" t="s">
        <v>1333</v>
      </c>
      <c r="C4047" s="21" t="s">
        <v>900</v>
      </c>
      <c r="D4047" s="21" t="s">
        <v>901</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1373</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31</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970</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1258</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2107</v>
      </c>
      <c r="B4052" s="21" t="s">
        <v>928</v>
      </c>
      <c r="C4052" s="21" t="s">
        <v>916</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943</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1395</v>
      </c>
      <c r="B4054" s="21" t="s">
        <v>950</v>
      </c>
      <c r="C4054" s="21" t="s">
        <v>929</v>
      </c>
      <c r="D4054" s="21" t="s">
        <v>901</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944</v>
      </c>
      <c r="B4055" s="21" t="s">
        <v>941</v>
      </c>
      <c r="C4055" s="21" t="s">
        <v>931</v>
      </c>
      <c r="D4055" s="21" t="s">
        <v>901</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1027</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1281</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1033</v>
      </c>
      <c r="B4058" s="21" t="s">
        <v>947</v>
      </c>
      <c r="C4058" s="21" t="s">
        <v>1097</v>
      </c>
      <c r="D4058" s="21" t="s">
        <v>901</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1898</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945</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202</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row>
    <row r="4063" spans="1:12">
      <c r="A4063" s="20" t="s">
        <v>2108</v>
      </c>
    </row>
    <row r="4064" spans="1:12">
      <c r="A4064" s="20" t="s">
        <v>2109</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1184</v>
      </c>
      <c r="B4065" s="21" t="s">
        <v>899</v>
      </c>
      <c r="C4065" s="21" t="s">
        <v>900</v>
      </c>
      <c r="D4065" s="21" t="s">
        <v>901</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2110</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914</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26</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957</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t="s">
        <v>2111</v>
      </c>
      <c r="B4070" s="21" t="s">
        <v>955</v>
      </c>
      <c r="C4070" s="21" t="s">
        <v>959</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970</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2112</v>
      </c>
      <c r="B4072" s="21" t="s">
        <v>907</v>
      </c>
      <c r="C4072" s="21" t="s">
        <v>916</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960</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914</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353</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2096</v>
      </c>
      <c r="B4076" s="21" t="s">
        <v>941</v>
      </c>
      <c r="C4076" s="21" t="s">
        <v>916</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960</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914</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353</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2113</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row>
    <row r="4082" spans="1:12">
      <c r="A4082" s="20" t="s">
        <v>1292</v>
      </c>
    </row>
    <row r="4083" spans="1:12">
      <c r="A4083" s="20" t="s">
        <v>202</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row>
    <row r="4085" spans="1:12">
      <c r="A4085" s="20" t="s">
        <v>2114</v>
      </c>
    </row>
    <row r="4086" spans="1:12">
      <c r="A4086" s="20" t="s">
        <v>1174</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2115</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t="s">
        <v>1033</v>
      </c>
      <c r="E4088" s="22">
        <f>IF(D4088="?OLD","!!!","")</f>
        <v/>
      </c>
      <c r="F4088" s="23" t="str">
        <f>IF(OR(E4088="",E4088="!!!"),"",IF(NOT(ISNA(VLOOKUP(E4088,E$1:E4087,1,FALSE()))),"OLD",IF(AND(E4088&lt;&gt;"",E4088&lt;&gt;"!!!"),"NEW","")))</f>
        <v> </v>
      </c>
      <c r="G4088" s="24" t="str">
        <f>IF(OR(E4088="",E4088="!!!"),"",IF(OR(J4088=0,AND(J4088=1,K4088=1),AND(J4088=1,I4088="SBJ"),AND(J4088=1,I4088=0)),"?IN_FOCUS",IF(J4088&lt;=2,"?ACTIVATED",IF(J4088&lt;&gt;"","?FAMILIAR",IF(F4088="NEW",IF(ISNA(VLOOKUP(E4088,#REF!,1,FALSE())),"?TYPE_IDENTIFIABLE","?REFERENTIAL"),"_")))))</f>
        <v> </v>
      </c>
      <c r="H4088" s="25" t="str">
        <f>IF(J4088&lt;&gt;1,"",IF(I4088="SBJ","CB","?"))</f>
        <v> </v>
      </c>
      <c r="I4088" s="26" t="str">
        <f>IF(OR(E4088="",E4088="!!!",F4088="NEW"),"",INDEX(B4087:B$2,-1+SUMPRODUCT(MAX(ROW(E4087:E$2)*(E4088=E4087:E$2)))))</f>
        <v> </v>
      </c>
      <c r="J4088" s="26" t="str">
        <f>IF(OR(E4088="",E4088="!!!",F4088="NEW"),"",COUNTBLANK(OFFSET(A$1,,,SUMPRODUCT(MAX(ROW(E$2:E4088)*(E4088=E$2:E4088)))))-COUNTBLANK(OFFSET(A$1,,,SUMPRODUCT(MAX(ROW(E$1:E4087)*(E2=E$1:E4087))))))</f>
        <v> </v>
      </c>
      <c r="K4088" s="26" t="str">
        <f>IF(OR(E4088="",E4088="!!!",F4088="NEW"),"",INDEX(J$1:J4087,SUMPRODUCT(MAX(ROW(E$1:E4087)*(E4088=E$1:E4087)))))</f>
        <v> </v>
      </c>
      <c r="L4088" s="27"/>
    </row>
    <row r="4089" spans="1:12">
      <c r="A4089" s="20" t="s">
        <v>1048</v>
      </c>
      <c r="B4089" s="21" t="s">
        <v>899</v>
      </c>
      <c r="C4089" s="21" t="s">
        <v>1035</v>
      </c>
      <c r="D4089" s="21" t="s">
        <v>901</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1237</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2116</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1108</v>
      </c>
      <c r="B4092" s="21" t="s">
        <v>912</v>
      </c>
      <c r="C4092" s="21" t="s">
        <v>924</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942</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926</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2078</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960</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925</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1320</v>
      </c>
      <c r="B4098" s="21" t="s">
        <v>955</v>
      </c>
      <c r="C4098" s="21" t="s">
        <v>900</v>
      </c>
      <c r="D4098" s="21" t="s">
        <v>901</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1046</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2117</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1184</v>
      </c>
      <c r="B4101" s="21" t="s">
        <v>955</v>
      </c>
      <c r="C4101" s="21" t="s">
        <v>900</v>
      </c>
      <c r="D4101" s="21" t="s">
        <v>901</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921</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2118</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932</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933</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979</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922</v>
      </c>
      <c r="B4107" s="21" t="s">
        <v>907</v>
      </c>
      <c r="C4107" s="21" t="s">
        <v>931</v>
      </c>
      <c r="D4107" s="21" t="s">
        <v>901</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2119</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960</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925</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1796</v>
      </c>
      <c r="B4111" s="21" t="s">
        <v>907</v>
      </c>
      <c r="C4111" s="21" t="s">
        <v>1097</v>
      </c>
      <c r="D4111" s="21" t="s">
        <v>901</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1026</v>
      </c>
      <c r="B4112" s="21" t="s">
        <v>941</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1120</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2120</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872</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936</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1026</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936</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910</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2121</v>
      </c>
      <c r="B4120" s="21" t="s">
        <v>907</v>
      </c>
      <c r="C4120" s="21" t="s">
        <v>959</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1026</v>
      </c>
      <c r="B4121" s="21" t="s">
        <v>1333</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t="s">
        <v>2122</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t="s">
        <v>202</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row>
    <row r="4125" spans="1:12">
      <c r="A4125" s="20" t="s">
        <v>2123</v>
      </c>
    </row>
    <row r="4126" spans="1:12">
      <c r="A4126" s="20" t="s">
        <v>2124</v>
      </c>
      <c r="B4126" s="21" t="s">
        <v>904</v>
      </c>
      <c r="C4126" s="21" t="s">
        <v>968</v>
      </c>
      <c r="E4126" s="22">
        <f>IF(D4126="?OLD","!!!","")</f>
        <v/>
      </c>
      <c r="F4126" s="23" t="str">
        <f>IF(OR(E4126="",E4126="!!!"),"",IF(NOT(ISNA(VLOOKUP(E4126,E$1:E4125,1,FALSE()))),"OLD",IF(AND(E4126&lt;&gt;"",E4126&lt;&gt;"!!!"),"NEW","")))</f>
        <v> </v>
      </c>
      <c r="G4126" s="24" t="str">
        <f>IF(OR(E4126="",E4126="!!!"),"",IF(OR(J4126=0,AND(J4126=1,K4126=1),AND(J4126=1,I4126="SBJ"),AND(J4126=1,I4126=0)),"?IN_FOCUS",IF(J4126&lt;=2,"?ACTIVATED",IF(J4126&lt;&gt;"","?FAMILIAR",IF(F4126="NEW",IF(ISNA(VLOOKUP(E4126,#REF!,1,FALSE())),"?TYPE_IDENTIFIABLE","?REFERENTIAL"),"_")))))</f>
        <v> </v>
      </c>
      <c r="H4126" s="25" t="str">
        <f>IF(J4126&lt;&gt;1,"",IF(I4126="SBJ","CB","?"))</f>
        <v> </v>
      </c>
      <c r="I4126" s="26" t="str">
        <f>IF(OR(E4126="",E4126="!!!",F4126="NEW"),"",INDEX(B4125:B$2,-1+SUMPRODUCT(MAX(ROW(E4125:E$2)*(E4126=E4125:E$2)))))</f>
        <v> </v>
      </c>
      <c r="J4126" s="26" t="str">
        <f>IF(OR(E4126="",E4126="!!!",F4126="NEW"),"",COUNTBLANK(OFFSET(A$1,,,SUMPRODUCT(MAX(ROW(E$2:E4126)*(E4126=E$2:E4126)))))-COUNTBLANK(OFFSET(A$1,,,SUMPRODUCT(MAX(ROW(E$1:E4125)*(E2=E$1:E4125))))))</f>
        <v> </v>
      </c>
      <c r="K4126" s="26" t="str">
        <f>IF(OR(E4126="",E4126="!!!",F4126="NEW"),"",INDEX(J$1:J4125,SUMPRODUCT(MAX(ROW(E$1:E4125)*(E4126=E$1:E4125)))))</f>
        <v> </v>
      </c>
      <c r="L4126" s="27"/>
    </row>
    <row r="4127" spans="1:12">
      <c r="A4127" s="20" t="s">
        <v>1693</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772</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943</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1328</v>
      </c>
      <c r="B4130" s="21" t="s">
        <v>899</v>
      </c>
      <c r="C4130" s="21" t="s">
        <v>931</v>
      </c>
      <c r="D4130" s="21" t="s">
        <v>901</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942</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1045</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2125</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1484</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69</v>
      </c>
      <c r="E4135" s="22">
        <f>IF(D4135="?OLD","!!!","")</f>
        <v/>
      </c>
      <c r="F4135" s="23" t="str">
        <f>IF(OR(E4135="",E4135="!!!"),"",IF(NOT(ISNA(VLOOKUP(E4135,E$1:E4134,1,FALSE()))),"OLD",IF(AND(E4135&lt;&gt;"",E4135&lt;&gt;"!!!"),"NEW","")))</f>
        <v> </v>
      </c>
      <c r="G4135" s="24" t="str">
        <f>IF(OR(E4135="",E4135="!!!"),"",IF(OR(J4135=0,AND(J4135=1,K4135=1),AND(J4135=1,I4135="SBJ"),AND(J4135=1,I4135=0)),"?IN_FOCUS",IF(J4135&lt;=2,"?ACTIVATED",IF(J4135&lt;&gt;"","?FAMILIAR",IF(F4135="NEW",IF(ISNA(VLOOKUP(E4135,#REF!,1,FALSE())),"?TYPE_IDENTIFIABLE","?REFERENTIAL"),"_")))))</f>
        <v> </v>
      </c>
      <c r="H4135" s="25" t="str">
        <f>IF(J4135&lt;&gt;1,"",IF(I4135="SBJ","CB","?"))</f>
        <v> </v>
      </c>
      <c r="I4135" s="26" t="str">
        <f>IF(OR(E4135="",E4135="!!!",F4135="NEW"),"",INDEX(B4134:B$2,-1+SUMPRODUCT(MAX(ROW(E4134:E$2)*(E4135=E4134:E$2)))))</f>
        <v> </v>
      </c>
      <c r="J4135" s="26" t="str">
        <f>IF(OR(E4135="",E4135="!!!",F4135="NEW"),"",COUNTBLANK(OFFSET(A$1,,,SUMPRODUCT(MAX(ROW(E$2:E4135)*(E4135=E$2:E4135)))))-COUNTBLANK(OFFSET(A$1,,,SUMPRODUCT(MAX(ROW(E$1:E4134)*(E2=E$1:E4134))))))</f>
        <v> </v>
      </c>
      <c r="K4135" s="26" t="str">
        <f>IF(OR(E4135="",E4135="!!!",F4135="NEW"),"",INDEX(J$1:J4134,SUMPRODUCT(MAX(ROW(E$1:E4134)*(E4135=E$1:E4134)))))</f>
        <v> </v>
      </c>
      <c r="L4135" s="27"/>
    </row>
    <row r="4136" spans="1:12">
      <c r="A4136" s="20" t="s">
        <v>936</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1114</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1160</v>
      </c>
      <c r="B4138" s="21" t="s">
        <v>1217</v>
      </c>
      <c r="C4138" s="21" t="s">
        <v>959</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2126</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932</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926</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940</v>
      </c>
      <c r="B4142" s="21" t="s">
        <v>950</v>
      </c>
      <c r="C4142" s="21" t="s">
        <v>931</v>
      </c>
      <c r="D4142" s="21" t="s">
        <v>901</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1299</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69</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936</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957</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2127</v>
      </c>
      <c r="B4147" s="21" t="s">
        <v>923</v>
      </c>
      <c r="C4147" s="21" t="s">
        <v>959</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954</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948</v>
      </c>
      <c r="B4149" s="21" t="s">
        <v>949</v>
      </c>
      <c r="C4149" s="21" t="s">
        <v>900</v>
      </c>
      <c r="D4149" s="21" t="s">
        <v>901</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202</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row>
    <row r="4152" spans="1:12">
      <c r="A4152" s="20" t="s">
        <v>984</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t="s">
        <v>2128</v>
      </c>
    </row>
    <row r="4154" spans="1:12">
      <c r="A4154" s="20" t="s">
        <v>1266</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1027</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1320</v>
      </c>
      <c r="B4156" s="21" t="s">
        <v>955</v>
      </c>
      <c r="C4156" s="21" t="s">
        <v>900</v>
      </c>
      <c r="D4156" s="21" t="s">
        <v>901</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t="s">
        <v>2129</v>
      </c>
      <c r="E4157" s="22">
        <f>IF(D4157="?OLD","!!!","")</f>
        <v/>
      </c>
      <c r="F4157" s="23" t="str">
        <f>IF(OR(E4157="",E4157="!!!"),"",IF(NOT(ISNA(VLOOKUP(E4157,E$1:E4156,1,FALSE()))),"OLD",IF(AND(E4157&lt;&gt;"",E4157&lt;&gt;"!!!"),"NEW","")))</f>
        <v> </v>
      </c>
      <c r="G4157" s="24" t="str">
        <f>IF(OR(E4157="",E4157="!!!"),"",IF(OR(J4157=0,AND(J4157=1,K4157=1),AND(J4157=1,I4157="SBJ"),AND(J4157=1,I4157=0)),"?IN_FOCUS",IF(J4157&lt;=2,"?ACTIVATED",IF(J4157&lt;&gt;"","?FAMILIAR",IF(F4157="NEW",IF(ISNA(VLOOKUP(E4157,#REF!,1,FALSE())),"?TYPE_IDENTIFIABLE","?REFERENTIAL"),"_")))))</f>
        <v> </v>
      </c>
      <c r="H4157" s="25" t="str">
        <f>IF(J4157&lt;&gt;1,"",IF(I4157="SBJ","CB","?"))</f>
        <v> </v>
      </c>
      <c r="I4157" s="26" t="str">
        <f>IF(OR(E4157="",E4157="!!!",F4157="NEW"),"",INDEX(B4156:B$2,-1+SUMPRODUCT(MAX(ROW(E4156:E$2)*(E4157=E4156:E$2)))))</f>
        <v> </v>
      </c>
      <c r="J4157" s="26" t="str">
        <f>IF(OR(E4157="",E4157="!!!",F4157="NEW"),"",COUNTBLANK(OFFSET(A$1,,,SUMPRODUCT(MAX(ROW(E$2:E4157)*(E4157=E$2:E4157)))))-COUNTBLANK(OFFSET(A$1,,,SUMPRODUCT(MAX(ROW(E$1:E4156)*(E2=E$1:E4156))))))</f>
        <v> </v>
      </c>
      <c r="K4157" s="26" t="str">
        <f>IF(OR(E4157="",E4157="!!!",F4157="NEW"),"",INDEX(J$1:J4156,SUMPRODUCT(MAX(ROW(E$1:E4156)*(E4157=E$1:E4156)))))</f>
        <v> </v>
      </c>
      <c r="L4157" s="27"/>
    </row>
    <row r="4158" spans="1:12">
      <c r="A4158" s="20" t="s">
        <v>942</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t="s">
        <v>1114</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782</v>
      </c>
      <c r="B4160" s="21" t="s">
        <v>907</v>
      </c>
      <c r="C4160" s="21" t="s">
        <v>959</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1180</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925</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1146</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2130</v>
      </c>
      <c r="B4164" s="21" t="s">
        <v>928</v>
      </c>
      <c r="C4164" s="21" t="s">
        <v>931</v>
      </c>
      <c r="D4164" s="21" t="s">
        <v>901</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960</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790</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1227</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1046</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963</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2081</v>
      </c>
      <c r="B4170" s="21" t="s">
        <v>899</v>
      </c>
      <c r="C4170" s="21" t="s">
        <v>916</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202</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row>
    <row r="4173" spans="1:12">
      <c r="A4173" s="20" t="s">
        <v>2131</v>
      </c>
    </row>
    <row r="4174" spans="1:12">
      <c r="A4174" s="20" t="s">
        <v>1083</v>
      </c>
      <c r="B4174" s="21" t="s">
        <v>904</v>
      </c>
      <c r="C4174" s="21" t="s">
        <v>1097</v>
      </c>
      <c r="D4174" s="21" t="s">
        <v>901</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t="s">
        <v>936</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1114</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t="s">
        <v>1884</v>
      </c>
      <c r="B4177" s="21" t="s">
        <v>912</v>
      </c>
      <c r="C4177" s="21" t="s">
        <v>959</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2007</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t="s">
        <v>2132</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row>
    <row r="4181" spans="1:12">
      <c r="A4181" s="20" t="s">
        <v>2133</v>
      </c>
    </row>
    <row r="4182" spans="1:12">
      <c r="A4182" s="20" t="s">
        <v>2134</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782</v>
      </c>
      <c r="B4183" s="21" t="s">
        <v>912</v>
      </c>
      <c r="C4183" s="21" t="s">
        <v>959</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970</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1045</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1363</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2135</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2132</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row>
    <row r="4190" spans="1:12">
      <c r="A4190" s="20" t="s">
        <v>2136</v>
      </c>
    </row>
    <row r="4191" spans="1:12">
      <c r="A4191" s="20" t="s">
        <v>2137</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1394</v>
      </c>
      <c r="B4192" s="21" t="s">
        <v>904</v>
      </c>
      <c r="C4192" s="21" t="s">
        <v>900</v>
      </c>
      <c r="D4192" s="21" t="s">
        <v>901</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1990</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932</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t="s">
        <v>157</v>
      </c>
      <c r="E4195" s="22">
        <f>IF(D4195="?OLD","!!!","")</f>
        <v/>
      </c>
      <c r="F4195" s="23" t="str">
        <f>IF(OR(E4195="",E4195="!!!"),"",IF(NOT(ISNA(VLOOKUP(E4195,E$1:E4194,1,FALSE()))),"OLD",IF(AND(E4195&lt;&gt;"",E4195&lt;&gt;"!!!"),"NEW","")))</f>
        <v> </v>
      </c>
      <c r="G4195" s="24" t="str">
        <f>IF(OR(E4195="",E4195="!!!"),"",IF(OR(J4195=0,AND(J4195=1,K4195=1),AND(J4195=1,I4195="SBJ"),AND(J4195=1,I4195=0)),"?IN_FOCUS",IF(J4195&lt;=2,"?ACTIVATED",IF(J4195&lt;&gt;"","?FAMILIAR",IF(F4195="NEW",IF(ISNA(VLOOKUP(E4195,#REF!,1,FALSE())),"?TYPE_IDENTIFIABLE","?REFERENTIAL"),"_")))))</f>
        <v> </v>
      </c>
      <c r="H4195" s="25" t="str">
        <f>IF(J4195&lt;&gt;1,"",IF(I4195="SBJ","CB","?"))</f>
        <v> </v>
      </c>
      <c r="I4195" s="26" t="str">
        <f>IF(OR(E4195="",E4195="!!!",F4195="NEW"),"",INDEX(B4194:B$2,-1+SUMPRODUCT(MAX(ROW(E4194:E$2)*(E4195=E4194:E$2)))))</f>
        <v> </v>
      </c>
      <c r="J4195" s="26" t="str">
        <f>IF(OR(E4195="",E4195="!!!",F4195="NEW"),"",COUNTBLANK(OFFSET(A$1,,,SUMPRODUCT(MAX(ROW(E$2:E4195)*(E4195=E$2:E4195)))))-COUNTBLANK(OFFSET(A$1,,,SUMPRODUCT(MAX(ROW(E$1:E4194)*(E2=E$1:E4194))))))</f>
        <v> </v>
      </c>
      <c r="K4195" s="26" t="str">
        <f>IF(OR(E4195="",E4195="!!!",F4195="NEW"),"",INDEX(J$1:J4194,SUMPRODUCT(MAX(ROW(E$1:E4194)*(E4195=E$1:E4194)))))</f>
        <v> </v>
      </c>
      <c r="L4195" s="27"/>
    </row>
    <row r="4196" spans="1:12">
      <c r="A4196" s="20" t="s">
        <v>1258</v>
      </c>
      <c r="E4196" s="22">
        <f>IF(D4196="?OLD","!!!","")</f>
        <v/>
      </c>
      <c r="F4196" s="23" t="str">
        <f>IF(OR(E4196="",E4196="!!!"),"",IF(NOT(ISNA(VLOOKUP(E4196,E$1:E4195,1,FALSE()))),"OLD",IF(AND(E4196&lt;&gt;"",E4196&lt;&gt;"!!!"),"NEW","")))</f>
        <v> </v>
      </c>
      <c r="G4196" s="24" t="str">
        <f>IF(OR(E4196="",E4196="!!!"),"",IF(OR(J4196=0,AND(J4196=1,K4196=1),AND(J4196=1,I4196="SBJ"),AND(J4196=1,I4196=0)),"?IN_FOCUS",IF(J4196&lt;=2,"?ACTIVATED",IF(J4196&lt;&gt;"","?FAMILIAR",IF(F4196="NEW",IF(ISNA(VLOOKUP(E4196,#REF!,1,FALSE())),"?TYPE_IDENTIFIABLE","?REFERENTIAL"),"_")))))</f>
        <v> </v>
      </c>
      <c r="H4196" s="25" t="str">
        <f>IF(J4196&lt;&gt;1,"",IF(I4196="SBJ","CB","?"))</f>
        <v> </v>
      </c>
      <c r="I4196" s="26" t="str">
        <f>IF(OR(E4196="",E4196="!!!",F4196="NEW"),"",INDEX(B4195:B$2,-1+SUMPRODUCT(MAX(ROW(E4195:E$2)*(E4196=E4195:E$2)))))</f>
        <v> </v>
      </c>
      <c r="J4196" s="26" t="str">
        <f>IF(OR(E4196="",E4196="!!!",F4196="NEW"),"",COUNTBLANK(OFFSET(A$1,,,SUMPRODUCT(MAX(ROW(E$2:E4196)*(E4196=E$2:E4196)))))-COUNTBLANK(OFFSET(A$1,,,SUMPRODUCT(MAX(ROW(E$1:E4195)*(E2=E$1:E4195))))))</f>
        <v> </v>
      </c>
      <c r="K4196" s="26" t="str">
        <f>IF(OR(E4196="",E4196="!!!",F4196="NEW"),"",INDEX(J$1:J4195,SUMPRODUCT(MAX(ROW(E$1:E4195)*(E4196=E$1:E4195)))))</f>
        <v> </v>
      </c>
      <c r="L4196" s="27"/>
    </row>
    <row r="4197" spans="1:12">
      <c r="A4197" s="20" t="s">
        <v>2138</v>
      </c>
      <c r="B4197" s="21" t="s">
        <v>907</v>
      </c>
      <c r="C4197" s="21" t="s">
        <v>916</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202</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row>
    <row r="4200" spans="1:12">
      <c r="A4200" s="20" t="s">
        <v>984</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2139</v>
      </c>
    </row>
    <row r="4202" spans="1:12">
      <c r="A4202" s="20" t="s">
        <v>790</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row>
    <row r="4204" spans="1:12">
      <c r="A4204" s="20" t="s">
        <v>2140</v>
      </c>
    </row>
    <row r="4205" spans="1:12">
      <c r="A4205" s="20" t="s">
        <v>1231</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2141</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1260</v>
      </c>
      <c r="B4207" s="21" t="s">
        <v>904</v>
      </c>
      <c r="C4207" s="21" t="s">
        <v>913</v>
      </c>
      <c r="D4207" s="21" t="s">
        <v>901</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914</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933</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1468</v>
      </c>
      <c r="B4210" s="21" t="s">
        <v>923</v>
      </c>
      <c r="C4210" s="21" t="s">
        <v>929</v>
      </c>
      <c r="D4210" s="21" t="s">
        <v>901</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1108</v>
      </c>
      <c r="B4211" s="21" t="s">
        <v>907</v>
      </c>
      <c r="C4211" s="21" t="s">
        <v>931</v>
      </c>
      <c r="D4211" s="21" t="s">
        <v>901</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1106</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t="s">
        <v>1408</v>
      </c>
      <c r="E4213" s="22">
        <f>IF(D4213="?OLD","!!!","")</f>
        <v/>
      </c>
      <c r="F4213" s="23" t="str">
        <f>IF(OR(E4213="",E4213="!!!"),"",IF(NOT(ISNA(VLOOKUP(E4213,E$1:E4212,1,FALSE()))),"OLD",IF(AND(E4213&lt;&gt;"",E4213&lt;&gt;"!!!"),"NEW","")))</f>
        <v> </v>
      </c>
      <c r="G4213" s="24" t="str">
        <f>IF(OR(E4213="",E4213="!!!"),"",IF(OR(J4213=0,AND(J4213=1,K4213=1),AND(J4213=1,I4213="SBJ"),AND(J4213=1,I4213=0)),"?IN_FOCUS",IF(J4213&lt;=2,"?ACTIVATED",IF(J4213&lt;&gt;"","?FAMILIAR",IF(F4213="NEW",IF(ISNA(VLOOKUP(E4213,#REF!,1,FALSE())),"?TYPE_IDENTIFIABLE","?REFERENTIAL"),"_")))))</f>
        <v> </v>
      </c>
      <c r="H4213" s="25" t="str">
        <f>IF(J4213&lt;&gt;1,"",IF(I4213="SBJ","CB","?"))</f>
        <v> </v>
      </c>
      <c r="I4213" s="26" t="str">
        <f>IF(OR(E4213="",E4213="!!!",F4213="NEW"),"",INDEX(B4212:B$2,-1+SUMPRODUCT(MAX(ROW(E4212:E$2)*(E4213=E4212:E$2)))))</f>
        <v> </v>
      </c>
      <c r="J4213" s="26" t="str">
        <f>IF(OR(E4213="",E4213="!!!",F4213="NEW"),"",COUNTBLANK(OFFSET(A$1,,,SUMPRODUCT(MAX(ROW(E$2:E4213)*(E4213=E$2:E4213)))))-COUNTBLANK(OFFSET(A$1,,,SUMPRODUCT(MAX(ROW(E$1:E4212)*(E2=E$1:E4212))))))</f>
        <v> </v>
      </c>
      <c r="K4213" s="26" t="str">
        <f>IF(OR(E4213="",E4213="!!!",F4213="NEW"),"",INDEX(J$1:J4212,SUMPRODUCT(MAX(ROW(E$1:E4212)*(E4213=E$1:E4212)))))</f>
        <v> </v>
      </c>
      <c r="L4213" s="27"/>
    </row>
    <row r="4214" spans="1:12">
      <c r="A4214" s="20" t="s">
        <v>2142</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1007</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2143</v>
      </c>
      <c r="B4216" s="21" t="s">
        <v>899</v>
      </c>
      <c r="C4216" s="21" t="s">
        <v>931</v>
      </c>
      <c r="D4216" s="21" t="s">
        <v>901</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1026</v>
      </c>
      <c r="B4217" s="21" t="s">
        <v>1217</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1106</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t="s">
        <v>2144</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t="s">
        <v>942</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t="s">
        <v>926</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1048</v>
      </c>
      <c r="B4222" s="21" t="s">
        <v>923</v>
      </c>
      <c r="C4222" s="21" t="s">
        <v>931</v>
      </c>
      <c r="D4222" s="21" t="s">
        <v>901</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202</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row>
    <row r="4225" spans="1:12">
      <c r="A4225" s="20" t="s">
        <v>2145</v>
      </c>
    </row>
    <row r="4226" spans="1:12">
      <c r="A4226" s="20" t="s">
        <v>1105</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960</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932</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926</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1919</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1048</v>
      </c>
      <c r="B4231" s="21" t="s">
        <v>912</v>
      </c>
      <c r="C4231" s="21" t="s">
        <v>931</v>
      </c>
      <c r="D4231" s="21" t="s">
        <v>901</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2146</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970</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t="s">
        <v>681</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926</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t="s">
        <v>940</v>
      </c>
      <c r="B4236" s="21" t="s">
        <v>941</v>
      </c>
      <c r="C4236" s="21" t="s">
        <v>931</v>
      </c>
      <c r="D4236" s="21" t="s">
        <v>901</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t="s">
        <v>960</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t="s">
        <v>1046</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2147</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914</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2148</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963</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2149</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960</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1441</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957</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t="s">
        <v>1138</v>
      </c>
      <c r="B4247" s="21" t="s">
        <v>907</v>
      </c>
      <c r="C4247" s="21" t="s">
        <v>913</v>
      </c>
      <c r="D4247" s="21" t="s">
        <v>901</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t="s">
        <v>963</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1761</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914</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943</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2080</v>
      </c>
      <c r="B4252" s="21" t="s">
        <v>923</v>
      </c>
      <c r="C4252" s="21" t="s">
        <v>913</v>
      </c>
      <c r="D4252" s="21" t="s">
        <v>901</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914</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2081</v>
      </c>
      <c r="B4254" s="21" t="s">
        <v>928</v>
      </c>
      <c r="C4254" s="21" t="s">
        <v>916</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t="s">
        <v>202</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row>
    <row r="4257" spans="1:12">
      <c r="A4257" s="20" t="s">
        <v>2150</v>
      </c>
    </row>
    <row r="4258" spans="1:12">
      <c r="A4258" s="20" t="s">
        <v>1174</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2071</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957</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1048</v>
      </c>
      <c r="B4261" s="21" t="s">
        <v>899</v>
      </c>
      <c r="C4261" s="21" t="s">
        <v>913</v>
      </c>
      <c r="D4261" s="21" t="s">
        <v>901</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2151</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2152</v>
      </c>
      <c r="B4263" s="21" t="s">
        <v>907</v>
      </c>
      <c r="C4263" s="21" t="s">
        <v>905</v>
      </c>
      <c r="D4263" s="21" t="s">
        <v>901</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960</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970</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1011</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1012</v>
      </c>
      <c r="B4267" s="21" t="s">
        <v>907</v>
      </c>
      <c r="C4267" s="21" t="s">
        <v>913</v>
      </c>
      <c r="D4267" s="21" t="s">
        <v>901</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932</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t="s">
        <v>926</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1013</v>
      </c>
      <c r="B4270" s="21" t="s">
        <v>923</v>
      </c>
      <c r="C4270" s="21" t="s">
        <v>905</v>
      </c>
      <c r="D4270" s="21" t="s">
        <v>901</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t="s">
        <v>960</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t="s">
        <v>925</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t="s">
        <v>943</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2153</v>
      </c>
      <c r="B4274" s="21" t="s">
        <v>1044</v>
      </c>
      <c r="C4274" s="21" t="s">
        <v>931</v>
      </c>
      <c r="D4274" s="21" t="s">
        <v>901</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1474</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1252</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t="s">
        <v>957</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t="s">
        <v>2154</v>
      </c>
      <c r="B4278" s="21" t="s">
        <v>912</v>
      </c>
      <c r="C4278" s="21" t="s">
        <v>959</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1106</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1042</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1026</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1011</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1876</v>
      </c>
      <c r="B4283" s="21" t="s">
        <v>1333</v>
      </c>
      <c r="C4283" s="21" t="s">
        <v>931</v>
      </c>
      <c r="D4283" s="21" t="s">
        <v>901</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t="s">
        <v>1106</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1484</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t="s">
        <v>2155</v>
      </c>
      <c r="E4286" s="22">
        <f>IF(D4286="?OLD","!!!","")</f>
        <v/>
      </c>
      <c r="F4286" s="23" t="str">
        <f>IF(OR(E4286="",E4286="!!!"),"",IF(NOT(ISNA(VLOOKUP(E4286,E$1:E4285,1,FALSE()))),"OLD",IF(AND(E4286&lt;&gt;"",E4286&lt;&gt;"!!!"),"NEW","")))</f>
        <v> </v>
      </c>
      <c r="G4286" s="24" t="str">
        <f>IF(OR(E4286="",E4286="!!!"),"",IF(OR(J4286=0,AND(J4286=1,K4286=1),AND(J4286=1,I4286="SBJ"),AND(J4286=1,I4286=0)),"?IN_FOCUS",IF(J4286&lt;=2,"?ACTIVATED",IF(J4286&lt;&gt;"","?FAMILIAR",IF(F4286="NEW",IF(ISNA(VLOOKUP(E4286,#REF!,1,FALSE())),"?TYPE_IDENTIFIABLE","?REFERENTIAL"),"_")))))</f>
        <v> </v>
      </c>
      <c r="H4286" s="25" t="str">
        <f>IF(J4286&lt;&gt;1,"",IF(I4286="SBJ","CB","?"))</f>
        <v> </v>
      </c>
      <c r="I4286" s="26" t="str">
        <f>IF(OR(E4286="",E4286="!!!",F4286="NEW"),"",INDEX(B4285:B$2,-1+SUMPRODUCT(MAX(ROW(E4285:E$2)*(E4286=E4285:E$2)))))</f>
        <v> </v>
      </c>
      <c r="J4286" s="26" t="str">
        <f>IF(OR(E4286="",E4286="!!!",F4286="NEW"),"",COUNTBLANK(OFFSET(A$1,,,SUMPRODUCT(MAX(ROW(E$2:E4286)*(E4286=E$2:E4286)))))-COUNTBLANK(OFFSET(A$1,,,SUMPRODUCT(MAX(ROW(E$1:E4285)*(E2=E$1:E4285))))))</f>
        <v> </v>
      </c>
      <c r="K4286" s="26" t="str">
        <f>IF(OR(E4286="",E4286="!!!",F4286="NEW"),"",INDEX(J$1:J4285,SUMPRODUCT(MAX(ROW(E$1:E4285)*(E4286=E$1:E4285)))))</f>
        <v> </v>
      </c>
      <c r="L4286" s="27"/>
    </row>
    <row r="4287" spans="1:12">
      <c r="A4287" s="20" t="s">
        <v>103</v>
      </c>
      <c r="E4287" s="22">
        <f>IF(D4287="?OLD","!!!","")</f>
        <v/>
      </c>
      <c r="F4287" s="23" t="str">
        <f>IF(OR(E4287="",E4287="!!!"),"",IF(NOT(ISNA(VLOOKUP(E4287,E$1:E4286,1,FALSE()))),"OLD",IF(AND(E4287&lt;&gt;"",E4287&lt;&gt;"!!!"),"NEW","")))</f>
        <v> </v>
      </c>
      <c r="G4287" s="24" t="str">
        <f>IF(OR(E4287="",E4287="!!!"),"",IF(OR(J4287=0,AND(J4287=1,K4287=1),AND(J4287=1,I4287="SBJ"),AND(J4287=1,I4287=0)),"?IN_FOCUS",IF(J4287&lt;=2,"?ACTIVATED",IF(J4287&lt;&gt;"","?FAMILIAR",IF(F4287="NEW",IF(ISNA(VLOOKUP(E4287,#REF!,1,FALSE())),"?TYPE_IDENTIFIABLE","?REFERENTIAL"),"_")))))</f>
        <v> </v>
      </c>
      <c r="H4287" s="25" t="str">
        <f>IF(J4287&lt;&gt;1,"",IF(I4287="SBJ","CB","?"))</f>
        <v> </v>
      </c>
      <c r="I4287" s="26" t="str">
        <f>IF(OR(E4287="",E4287="!!!",F4287="NEW"),"",INDEX(B4286:B$2,-1+SUMPRODUCT(MAX(ROW(E4286:E$2)*(E4287=E4286:E$2)))))</f>
        <v> </v>
      </c>
      <c r="J4287" s="26" t="str">
        <f>IF(OR(E4287="",E4287="!!!",F4287="NEW"),"",COUNTBLANK(OFFSET(A$1,,,SUMPRODUCT(MAX(ROW(E$2:E4287)*(E4287=E$2:E4287)))))-COUNTBLANK(OFFSET(A$1,,,SUMPRODUCT(MAX(ROW(E$1:E4286)*(E2=E$1:E4286))))))</f>
        <v> </v>
      </c>
      <c r="K4287" s="26" t="str">
        <f>IF(OR(E4287="",E4287="!!!",F4287="NEW"),"",INDEX(J$1:J4286,SUMPRODUCT(MAX(ROW(E$1:E4286)*(E4287=E$1:E4286)))))</f>
        <v> </v>
      </c>
      <c r="L4287" s="27"/>
    </row>
    <row r="4288" spans="1:12">
      <c r="A4288" s="20" t="s">
        <v>922</v>
      </c>
      <c r="B4288" s="21" t="s">
        <v>941</v>
      </c>
      <c r="C4288" s="21" t="s">
        <v>913</v>
      </c>
      <c r="D4288" s="21" t="s">
        <v>901</v>
      </c>
      <c r="E4288" s="22">
        <f>IF(D4288="?OLD","!!!","")</f>
        <v/>
      </c>
      <c r="F4288" s="23" t="str">
        <f>IF(OR(E4288="",E4288="!!!"),"",IF(NOT(ISNA(VLOOKUP(E4288,E$1:E4287,1,FALSE()))),"OLD",IF(AND(E4288&lt;&gt;"",E4288&lt;&gt;"!!!"),"NEW","")))</f>
        <v> </v>
      </c>
      <c r="G4288" s="24" t="str">
        <f>IF(OR(E4288="",E4288="!!!"),"",IF(OR(J4288=0,AND(J4288=1,K4288=1),AND(J4288=1,I4288="SBJ"),AND(J4288=1,I4288=0)),"?IN_FOCUS",IF(J4288&lt;=2,"?ACTIVATED",IF(J4288&lt;&gt;"","?FAMILIAR",IF(F4288="NEW",IF(ISNA(VLOOKUP(E4288,#REF!,1,FALSE())),"?TYPE_IDENTIFIABLE","?REFERENTIAL"),"_")))))</f>
        <v> </v>
      </c>
      <c r="H4288" s="25" t="str">
        <f>IF(J4288&lt;&gt;1,"",IF(I4288="SBJ","CB","?"))</f>
        <v> </v>
      </c>
      <c r="I4288" s="26" t="str">
        <f>IF(OR(E4288="",E4288="!!!",F4288="NEW"),"",INDEX(B4287:B$2,-1+SUMPRODUCT(MAX(ROW(E4287:E$2)*(E4288=E4287:E$2)))))</f>
        <v> </v>
      </c>
      <c r="J4288" s="26" t="str">
        <f>IF(OR(E4288="",E4288="!!!",F4288="NEW"),"",COUNTBLANK(OFFSET(A$1,,,SUMPRODUCT(MAX(ROW(E$2:E4288)*(E4288=E$2:E4288)))))-COUNTBLANK(OFFSET(A$1,,,SUMPRODUCT(MAX(ROW(E$1:E4287)*(E2=E$1:E4287))))))</f>
        <v> </v>
      </c>
      <c r="K4288" s="26" t="str">
        <f>IF(OR(E4288="",E4288="!!!",F4288="NEW"),"",INDEX(J$1:J4287,SUMPRODUCT(MAX(ROW(E$1:E4287)*(E4288=E$1:E4287)))))</f>
        <v> </v>
      </c>
      <c r="L4288" s="27"/>
    </row>
    <row r="4289" spans="1:12">
      <c r="A4289" s="20" t="s">
        <v>1032</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1033</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1034</v>
      </c>
      <c r="B4291" s="21" t="s">
        <v>950</v>
      </c>
      <c r="C4291" s="21" t="s">
        <v>1035</v>
      </c>
      <c r="D4291" s="21" t="s">
        <v>901</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202</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row>
    <row r="4294" spans="1:12">
      <c r="A4294" s="20" t="s">
        <v>984</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2156</v>
      </c>
    </row>
    <row r="4296" spans="1:12">
      <c r="A4296" s="20" t="s">
        <v>1515</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2154</v>
      </c>
      <c r="B4297" s="21" t="s">
        <v>904</v>
      </c>
      <c r="C4297" s="21" t="s">
        <v>931</v>
      </c>
      <c r="D4297" s="21" t="s">
        <v>901</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t="s">
        <v>161</v>
      </c>
      <c r="E4298" s="22">
        <f>IF(D4298="?OLD","!!!","")</f>
        <v/>
      </c>
      <c r="F4298" s="23" t="str">
        <f>IF(OR(E4298="",E4298="!!!"),"",IF(NOT(ISNA(VLOOKUP(E4298,E$1:E4297,1,FALSE()))),"OLD",IF(AND(E4298&lt;&gt;"",E4298&lt;&gt;"!!!"),"NEW","")))</f>
        <v> </v>
      </c>
      <c r="G4298" s="24" t="str">
        <f>IF(OR(E4298="",E4298="!!!"),"",IF(OR(J4298=0,AND(J4298=1,K4298=1),AND(J4298=1,I4298="SBJ"),AND(J4298=1,I4298=0)),"?IN_FOCUS",IF(J4298&lt;=2,"?ACTIVATED",IF(J4298&lt;&gt;"","?FAMILIAR",IF(F4298="NEW",IF(ISNA(VLOOKUP(E4298,#REF!,1,FALSE())),"?TYPE_IDENTIFIABLE","?REFERENTIAL"),"_")))))</f>
        <v> </v>
      </c>
      <c r="H4298" s="25" t="str">
        <f>IF(J4298&lt;&gt;1,"",IF(I4298="SBJ","CB","?"))</f>
        <v> </v>
      </c>
      <c r="I4298" s="26" t="str">
        <f>IF(OR(E4298="",E4298="!!!",F4298="NEW"),"",INDEX(B4297:B$2,-1+SUMPRODUCT(MAX(ROW(E4297:E$2)*(E4298=E4297:E$2)))))</f>
        <v> </v>
      </c>
      <c r="J4298" s="26" t="str">
        <f>IF(OR(E4298="",E4298="!!!",F4298="NEW"),"",COUNTBLANK(OFFSET(A$1,,,SUMPRODUCT(MAX(ROW(E$2:E4298)*(E4298=E$2:E4298)))))-COUNTBLANK(OFFSET(A$1,,,SUMPRODUCT(MAX(ROW(E$1:E4297)*(E2=E$1:E4297))))))</f>
        <v> </v>
      </c>
      <c r="K4298" s="26" t="str">
        <f>IF(OR(E4298="",E4298="!!!",F4298="NEW"),"",INDEX(J$1:J4297,SUMPRODUCT(MAX(ROW(E$1:E4297)*(E4298=E$1:E4297)))))</f>
        <v> </v>
      </c>
      <c r="L4298" s="27"/>
    </row>
    <row r="4299" spans="1:12">
      <c r="A4299" s="20" t="s">
        <v>2157</v>
      </c>
      <c r="E4299" s="22">
        <f>IF(D4299="?OLD","!!!","")</f>
        <v/>
      </c>
      <c r="F4299" s="23" t="str">
        <f>IF(OR(E4299="",E4299="!!!"),"",IF(NOT(ISNA(VLOOKUP(E4299,E$1:E4298,1,FALSE()))),"OLD",IF(AND(E4299&lt;&gt;"",E4299&lt;&gt;"!!!"),"NEW","")))</f>
        <v> </v>
      </c>
      <c r="G4299" s="24" t="str">
        <f>IF(OR(E4299="",E4299="!!!"),"",IF(OR(J4299=0,AND(J4299=1,K4299=1),AND(J4299=1,I4299="SBJ"),AND(J4299=1,I4299=0)),"?IN_FOCUS",IF(J4299&lt;=2,"?ACTIVATED",IF(J4299&lt;&gt;"","?FAMILIAR",IF(F4299="NEW",IF(ISNA(VLOOKUP(E4299,#REF!,1,FALSE())),"?TYPE_IDENTIFIABLE","?REFERENTIAL"),"_")))))</f>
        <v> </v>
      </c>
      <c r="H4299" s="25" t="str">
        <f>IF(J4299&lt;&gt;1,"",IF(I4299="SBJ","CB","?"))</f>
        <v> </v>
      </c>
      <c r="I4299" s="26" t="str">
        <f>IF(OR(E4299="",E4299="!!!",F4299="NEW"),"",INDEX(B4298:B$2,-1+SUMPRODUCT(MAX(ROW(E4298:E$2)*(E4299=E4298:E$2)))))</f>
        <v> </v>
      </c>
      <c r="J4299" s="26" t="str">
        <f>IF(OR(E4299="",E4299="!!!",F4299="NEW"),"",COUNTBLANK(OFFSET(A$1,,,SUMPRODUCT(MAX(ROW(E$2:E4299)*(E4299=E$2:E4299)))))-COUNTBLANK(OFFSET(A$1,,,SUMPRODUCT(MAX(ROW(E$1:E4298)*(E2=E$1:E4298))))))</f>
        <v> </v>
      </c>
      <c r="K4299" s="26" t="str">
        <f>IF(OR(E4299="",E4299="!!!",F4299="NEW"),"",INDEX(J$1:J4298,SUMPRODUCT(MAX(ROW(E$1:E4298)*(E4299=E$1:E4298)))))</f>
        <v> </v>
      </c>
      <c r="L4299" s="27"/>
    </row>
    <row r="4300" spans="1:12">
      <c r="A4300" s="20" t="s">
        <v>790</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2158</v>
      </c>
      <c r="B4301" s="21" t="s">
        <v>912</v>
      </c>
      <c r="C4301" s="21" t="s">
        <v>913</v>
      </c>
      <c r="D4301" s="21" t="s">
        <v>901</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914</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t="s">
        <v>2159</v>
      </c>
      <c r="B4303" s="21" t="s">
        <v>907</v>
      </c>
      <c r="C4303" s="21" t="s">
        <v>905</v>
      </c>
      <c r="D4303" s="21" t="s">
        <v>901</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914</v>
      </c>
      <c r="E4304" s="22">
        <f>IF(D4304="?OLD","!!!","")</f>
        <v/>
      </c>
      <c r="F4304" s="23" t="str">
        <f>IF(OR(E4304="",E4304="!!!"),"",IF(NOT(ISNA(VLOOKUP(E4304,E$1:E4303,1,FALSE()))),"OLD",IF(AND(E4304&lt;&gt;"",E4304&lt;&gt;"!!!"),"NEW","")))</f>
        <v> </v>
      </c>
      <c r="G4304" s="24" t="str">
        <f>IF(OR(E4304="",E4304="!!!"),"",IF(OR(J4304=0,AND(J4304=1,K4304=1),AND(J4304=1,I4304="SBJ"),AND(J4304=1,I4304=0)),"?IN_FOCUS",IF(J4304&lt;=2,"?ACTIVATED",IF(J4304&lt;&gt;"","?FAMILIAR",IF(F4304="NEW",IF(ISNA(VLOOKUP(E4304,#REF!,1,FALSE())),"?TYPE_IDENTIFIABLE","?REFERENTIAL"),"_")))))</f>
        <v> </v>
      </c>
      <c r="H4304" s="25" t="str">
        <f>IF(J4304&lt;&gt;1,"",IF(I4304="SBJ","CB","?"))</f>
        <v> </v>
      </c>
      <c r="I4304" s="26" t="str">
        <f>IF(OR(E4304="",E4304="!!!",F4304="NEW"),"",INDEX(B4303:B$2,-1+SUMPRODUCT(MAX(ROW(E4303:E$2)*(E4304=E4303:E$2)))))</f>
        <v> </v>
      </c>
      <c r="J4304" s="26" t="str">
        <f>IF(OR(E4304="",E4304="!!!",F4304="NEW"),"",COUNTBLANK(OFFSET(A$1,,,SUMPRODUCT(MAX(ROW(E$2:E4304)*(E4304=E$2:E4304)))))-COUNTBLANK(OFFSET(A$1,,,SUMPRODUCT(MAX(ROW(E$1:E4303)*(E2=E$1:E4303))))))</f>
        <v> </v>
      </c>
      <c r="K4304" s="26" t="str">
        <f>IF(OR(E4304="",E4304="!!!",F4304="NEW"),"",INDEX(J$1:J4303,SUMPRODUCT(MAX(ROW(E$1:E4303)*(E4304=E$1:E4303)))))</f>
        <v> </v>
      </c>
      <c r="L4304" s="27"/>
    </row>
    <row r="4305" spans="1:12">
      <c r="A4305" s="20" t="s">
        <v>2160</v>
      </c>
      <c r="B4305" s="21" t="s">
        <v>923</v>
      </c>
      <c r="C4305" s="21" t="s">
        <v>905</v>
      </c>
      <c r="D4305" s="21" t="s">
        <v>901</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2161</v>
      </c>
      <c r="B4306" s="21" t="s">
        <v>928</v>
      </c>
      <c r="C4306" s="21" t="s">
        <v>905</v>
      </c>
      <c r="D4306" s="21" t="s">
        <v>901</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t="s">
        <v>790</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t="s">
        <v>202</v>
      </c>
      <c r="E4308" s="22">
        <f>IF(D4308="?OLD","!!!","")</f>
        <v/>
      </c>
      <c r="F4308" s="23" t="str">
        <f>IF(OR(E4308="",E4308="!!!"),"",IF(NOT(ISNA(VLOOKUP(E4308,E$1:E4307,1,FALSE()))),"OLD",IF(AND(E4308&lt;&gt;"",E4308&lt;&gt;"!!!"),"NEW","")))</f>
        <v> </v>
      </c>
      <c r="G4308" s="24" t="str">
        <f>IF(OR(E4308="",E4308="!!!"),"",IF(OR(J4308=0,AND(J4308=1,K4308=1),AND(J4308=1,I4308="SBJ"),AND(J4308=1,I4308=0)),"?IN_FOCUS",IF(J4308&lt;=2,"?ACTIVATED",IF(J4308&lt;&gt;"","?FAMILIAR",IF(F4308="NEW",IF(ISNA(VLOOKUP(E4308,#REF!,1,FALSE())),"?TYPE_IDENTIFIABLE","?REFERENTIAL"),"_")))))</f>
        <v> </v>
      </c>
      <c r="H4308" s="25" t="str">
        <f>IF(J4308&lt;&gt;1,"",IF(I4308="SBJ","CB","?"))</f>
        <v> </v>
      </c>
      <c r="I4308" s="26" t="str">
        <f>IF(OR(E4308="",E4308="!!!",F4308="NEW"),"",INDEX(B4307:B$2,-1+SUMPRODUCT(MAX(ROW(E4307:E$2)*(E4308=E4307:E$2)))))</f>
        <v> </v>
      </c>
      <c r="J4308" s="26" t="str">
        <f>IF(OR(E4308="",E4308="!!!",F4308="NEW"),"",COUNTBLANK(OFFSET(A$1,,,SUMPRODUCT(MAX(ROW(E$2:E4308)*(E4308=E$2:E4308)))))-COUNTBLANK(OFFSET(A$1,,,SUMPRODUCT(MAX(ROW(E$1:E4307)*(E2=E$1:E4307))))))</f>
        <v> </v>
      </c>
      <c r="K4308" s="26" t="str">
        <f>IF(OR(E4308="",E4308="!!!",F4308="NEW"),"",INDEX(J$1:J4307,SUMPRODUCT(MAX(ROW(E$1:E4307)*(E4308=E$1:E4307)))))</f>
        <v> </v>
      </c>
      <c r="L4308" s="27"/>
    </row>
    <row r="4309" spans="1:12">
      <c r="A4309" s="20"/>
    </row>
    <row r="4310" spans="1:12">
      <c r="A4310" s="20" t="s">
        <v>2162</v>
      </c>
    </row>
    <row r="4311" spans="1:12">
      <c r="A4311" s="20" t="s">
        <v>2163</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202</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row>
    <row r="4314" spans="1:12">
      <c r="A4314" s="20" t="s">
        <v>2164</v>
      </c>
    </row>
    <row r="4315" spans="1:12">
      <c r="A4315" s="20" t="s">
        <v>1174</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2165</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970</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943</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1814</v>
      </c>
      <c r="B4319" s="21" t="s">
        <v>912</v>
      </c>
      <c r="C4319" s="21" t="s">
        <v>931</v>
      </c>
      <c r="D4319" s="21" t="s">
        <v>901</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914</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2166</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1195</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920</v>
      </c>
      <c r="B4323" s="21" t="s">
        <v>955</v>
      </c>
      <c r="C4323" s="21" t="s">
        <v>913</v>
      </c>
      <c r="D4323" s="21" t="s">
        <v>901</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1191</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1258</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942</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957</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2167</v>
      </c>
      <c r="B4328" s="21" t="s">
        <v>923</v>
      </c>
      <c r="C4328" s="21" t="s">
        <v>913</v>
      </c>
      <c r="D4328" s="21" t="s">
        <v>901</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914</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2168</v>
      </c>
      <c r="B4330" s="21" t="s">
        <v>928</v>
      </c>
      <c r="C4330" s="21" t="s">
        <v>905</v>
      </c>
      <c r="D4330" s="21" t="s">
        <v>901</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2169</v>
      </c>
      <c r="B4331" s="21" t="s">
        <v>950</v>
      </c>
      <c r="C4331" s="21" t="s">
        <v>905</v>
      </c>
      <c r="D4331" s="21" t="s">
        <v>901</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202</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row>
    <row r="4334" spans="1:12">
      <c r="A4334" s="20" t="s">
        <v>2170</v>
      </c>
    </row>
    <row r="4335" spans="1:12">
      <c r="A4335" s="20" t="s">
        <v>2171</v>
      </c>
      <c r="B4335" s="21" t="s">
        <v>899</v>
      </c>
      <c r="C4335" s="21" t="s">
        <v>900</v>
      </c>
      <c r="D4335" s="21" t="s">
        <v>901</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1878</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933</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2167</v>
      </c>
      <c r="B4338" s="21" t="s">
        <v>904</v>
      </c>
      <c r="C4338" s="21" t="s">
        <v>913</v>
      </c>
      <c r="D4338" s="21" t="s">
        <v>901</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914</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2168</v>
      </c>
      <c r="B4340" s="21" t="s">
        <v>907</v>
      </c>
      <c r="C4340" s="21" t="s">
        <v>905</v>
      </c>
      <c r="D4340" s="21" t="s">
        <v>901</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2169</v>
      </c>
      <c r="B4341" s="21" t="s">
        <v>923</v>
      </c>
      <c r="C4341" s="21" t="s">
        <v>905</v>
      </c>
      <c r="D4341" s="21" t="s">
        <v>901</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960</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2172</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1114</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2173</v>
      </c>
      <c r="B4345" s="21" t="s">
        <v>955</v>
      </c>
      <c r="C4345" s="21" t="s">
        <v>913</v>
      </c>
      <c r="D4345" s="21" t="s">
        <v>901</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921</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2174</v>
      </c>
      <c r="B4347" s="21" t="s">
        <v>923</v>
      </c>
      <c r="C4347" s="21" t="s">
        <v>916</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1252</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row>
    <row r="4350" spans="1:12">
      <c r="A4350" s="20" t="s">
        <v>2175</v>
      </c>
    </row>
    <row r="4351" spans="1:12">
      <c r="A4351" s="20" t="s">
        <v>1377</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936</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1011</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2176</v>
      </c>
      <c r="B4354" s="21" t="s">
        <v>904</v>
      </c>
      <c r="C4354" s="21" t="s">
        <v>931</v>
      </c>
      <c r="D4354" s="21" t="s">
        <v>901</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960</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948</v>
      </c>
      <c r="B4356" s="21" t="s">
        <v>965</v>
      </c>
      <c r="C4356" s="21" t="s">
        <v>900</v>
      </c>
      <c r="D4356" s="21" t="s">
        <v>901</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2177</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960</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926</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2178</v>
      </c>
      <c r="B4360" s="21" t="s">
        <v>907</v>
      </c>
      <c r="C4360" s="21" t="s">
        <v>931</v>
      </c>
      <c r="D4360" s="21" t="s">
        <v>901</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960</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925</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1451</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967</v>
      </c>
      <c r="B4364" s="21" t="s">
        <v>1044</v>
      </c>
      <c r="C4364" s="21" t="s">
        <v>968</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407</v>
      </c>
      <c r="B4365" s="21" t="s">
        <v>955</v>
      </c>
      <c r="C4365" s="21" t="s">
        <v>968</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921</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685</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t="s">
        <v>932</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t="s">
        <v>681</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926</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940</v>
      </c>
      <c r="B4371" s="21" t="s">
        <v>949</v>
      </c>
      <c r="C4371" s="21" t="s">
        <v>931</v>
      </c>
      <c r="D4371" s="21" t="s">
        <v>901</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960</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1130</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942</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926</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1444</v>
      </c>
      <c r="B4376" s="21" t="s">
        <v>923</v>
      </c>
      <c r="C4376" s="21" t="s">
        <v>929</v>
      </c>
      <c r="D4376" s="21" t="s">
        <v>901</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1048</v>
      </c>
      <c r="B4377" s="21" t="s">
        <v>907</v>
      </c>
      <c r="C4377" s="21" t="s">
        <v>931</v>
      </c>
      <c r="D4377" s="21" t="s">
        <v>901</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960</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1626</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914</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26</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1484</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2179</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964</v>
      </c>
      <c r="B4384" s="21" t="s">
        <v>965</v>
      </c>
      <c r="C4384" s="21" t="s">
        <v>924</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942</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t="s">
        <v>943</v>
      </c>
      <c r="E4386" s="22">
        <f>IF(D4386="?OLD","!!!","")</f>
        <v/>
      </c>
      <c r="F4386" s="23" t="str">
        <f>IF(OR(E4386="",E4386="!!!"),"",IF(NOT(ISNA(VLOOKUP(E4386,E$1:E4385,1,FALSE()))),"OLD",IF(AND(E4386&lt;&gt;"",E4386&lt;&gt;"!!!"),"NEW","")))</f>
        <v> </v>
      </c>
      <c r="G4386" s="24" t="str">
        <f>IF(OR(E4386="",E4386="!!!"),"",IF(OR(J4386=0,AND(J4386=1,K4386=1),AND(J4386=1,I4386="SBJ"),AND(J4386=1,I4386=0)),"?IN_FOCUS",IF(J4386&lt;=2,"?ACTIVATED",IF(J4386&lt;&gt;"","?FAMILIAR",IF(F4386="NEW",IF(ISNA(VLOOKUP(E4386,#REF!,1,FALSE())),"?TYPE_IDENTIFIABLE","?REFERENTIAL"),"_")))))</f>
        <v> </v>
      </c>
      <c r="H4386" s="25" t="str">
        <f>IF(J4386&lt;&gt;1,"",IF(I4386="SBJ","CB","?"))</f>
        <v> </v>
      </c>
      <c r="I4386" s="26" t="str">
        <f>IF(OR(E4386="",E4386="!!!",F4386="NEW"),"",INDEX(B4385:B$2,-1+SUMPRODUCT(MAX(ROW(E4385:E$2)*(E4386=E4385:E$2)))))</f>
        <v> </v>
      </c>
      <c r="J4386" s="26" t="str">
        <f>IF(OR(E4386="",E4386="!!!",F4386="NEW"),"",COUNTBLANK(OFFSET(A$1,,,SUMPRODUCT(MAX(ROW(E$2:E4386)*(E4386=E$2:E4386)))))-COUNTBLANK(OFFSET(A$1,,,SUMPRODUCT(MAX(ROW(E$1:E4385)*(E2=E$1:E4385))))))</f>
        <v> </v>
      </c>
      <c r="K4386" s="26" t="str">
        <f>IF(OR(E4386="",E4386="!!!",F4386="NEW"),"",INDEX(J$1:J4385,SUMPRODUCT(MAX(ROW(E$1:E4385)*(E4386=E$1:E4385)))))</f>
        <v> </v>
      </c>
      <c r="L4386" s="27"/>
    </row>
    <row r="4387" spans="1:12">
      <c r="A4387" s="20" t="s">
        <v>2173</v>
      </c>
      <c r="B4387" s="21" t="s">
        <v>923</v>
      </c>
      <c r="C4387" s="21" t="s">
        <v>913</v>
      </c>
      <c r="D4387" s="21" t="s">
        <v>901</v>
      </c>
      <c r="E4387" s="22">
        <f>IF(D4387="?OLD","!!!","")</f>
        <v/>
      </c>
      <c r="F4387" s="23" t="str">
        <f>IF(OR(E4387="",E4387="!!!"),"",IF(NOT(ISNA(VLOOKUP(E4387,E$1:E4386,1,FALSE()))),"OLD",IF(AND(E4387&lt;&gt;"",E4387&lt;&gt;"!!!"),"NEW","")))</f>
        <v> </v>
      </c>
      <c r="G4387" s="24" t="str">
        <f>IF(OR(E4387="",E4387="!!!"),"",IF(OR(J4387=0,AND(J4387=1,K4387=1),AND(J4387=1,I4387="SBJ"),AND(J4387=1,I4387=0)),"?IN_FOCUS",IF(J4387&lt;=2,"?ACTIVATED",IF(J4387&lt;&gt;"","?FAMILIAR",IF(F4387="NEW",IF(ISNA(VLOOKUP(E4387,#REF!,1,FALSE())),"?TYPE_IDENTIFIABLE","?REFERENTIAL"),"_")))))</f>
        <v> </v>
      </c>
      <c r="H4387" s="25" t="str">
        <f>IF(J4387&lt;&gt;1,"",IF(I4387="SBJ","CB","?"))</f>
        <v> </v>
      </c>
      <c r="I4387" s="26" t="str">
        <f>IF(OR(E4387="",E4387="!!!",F4387="NEW"),"",INDEX(B4386:B$2,-1+SUMPRODUCT(MAX(ROW(E4386:E$2)*(E4387=E4386:E$2)))))</f>
        <v> </v>
      </c>
      <c r="J4387" s="26" t="str">
        <f>IF(OR(E4387="",E4387="!!!",F4387="NEW"),"",COUNTBLANK(OFFSET(A$1,,,SUMPRODUCT(MAX(ROW(E$2:E4387)*(E4387=E$2:E4387)))))-COUNTBLANK(OFFSET(A$1,,,SUMPRODUCT(MAX(ROW(E$1:E4386)*(E2=E$1:E4386))))))</f>
        <v> </v>
      </c>
      <c r="K4387" s="26" t="str">
        <f>IF(OR(E4387="",E4387="!!!",F4387="NEW"),"",INDEX(J$1:J4386,SUMPRODUCT(MAX(ROW(E$1:E4386)*(E4387=E$1:E4386)))))</f>
        <v> </v>
      </c>
      <c r="L4387" s="27"/>
    </row>
    <row r="4388" spans="1:12">
      <c r="A4388" s="20" t="s">
        <v>921</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2174</v>
      </c>
      <c r="B4389" s="21" t="s">
        <v>928</v>
      </c>
      <c r="C4389" s="21" t="s">
        <v>916</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t="s">
        <v>960</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967</v>
      </c>
      <c r="B4391" s="21" t="s">
        <v>1044</v>
      </c>
      <c r="C4391" s="21" t="s">
        <v>968</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2180</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1260</v>
      </c>
      <c r="B4393" s="21" t="s">
        <v>955</v>
      </c>
      <c r="C4393" s="21" t="s">
        <v>913</v>
      </c>
      <c r="D4393" s="21" t="s">
        <v>901</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914</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943</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2173</v>
      </c>
      <c r="B4396" s="21" t="s">
        <v>923</v>
      </c>
      <c r="C4396" s="21" t="s">
        <v>913</v>
      </c>
      <c r="D4396" s="21" t="s">
        <v>901</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921</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2174</v>
      </c>
      <c r="B4398" s="21" t="s">
        <v>928</v>
      </c>
      <c r="C4398" s="21" t="s">
        <v>916</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960</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1911</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936</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1741</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t="s">
        <v>1356</v>
      </c>
      <c r="B4403" s="21" t="s">
        <v>955</v>
      </c>
      <c r="C4403" s="21" t="s">
        <v>900</v>
      </c>
      <c r="D4403" s="21" t="s">
        <v>901</v>
      </c>
      <c r="E4403" s="22">
        <f>IF(D4403="?OLD","!!!","")</f>
        <v/>
      </c>
      <c r="F4403" s="23" t="str">
        <f>IF(OR(E4403="",E4403="!!!"),"",IF(NOT(ISNA(VLOOKUP(E4403,E$1:E4402,1,FALSE()))),"OLD",IF(AND(E4403&lt;&gt;"",E4403&lt;&gt;"!!!"),"NEW","")))</f>
        <v> </v>
      </c>
      <c r="G4403" s="24" t="str">
        <f>IF(OR(E4403="",E4403="!!!"),"",IF(OR(J4403=0,AND(J4403=1,K4403=1),AND(J4403=1,I4403="SBJ"),AND(J4403=1,I4403=0)),"?IN_FOCUS",IF(J4403&lt;=2,"?ACTIVATED",IF(J4403&lt;&gt;"","?FAMILIAR",IF(F4403="NEW",IF(ISNA(VLOOKUP(E4403,#REF!,1,FALSE())),"?TYPE_IDENTIFIABLE","?REFERENTIAL"),"_")))))</f>
        <v> </v>
      </c>
      <c r="H4403" s="25" t="str">
        <f>IF(J4403&lt;&gt;1,"",IF(I4403="SBJ","CB","?"))</f>
        <v> </v>
      </c>
      <c r="I4403" s="26" t="str">
        <f>IF(OR(E4403="",E4403="!!!",F4403="NEW"),"",INDEX(B4402:B$2,-1+SUMPRODUCT(MAX(ROW(E4402:E$2)*(E4403=E4402:E$2)))))</f>
        <v> </v>
      </c>
      <c r="J4403" s="26" t="str">
        <f>IF(OR(E4403="",E4403="!!!",F4403="NEW"),"",COUNTBLANK(OFFSET(A$1,,,SUMPRODUCT(MAX(ROW(E$2:E4403)*(E4403=E$2:E4403)))))-COUNTBLANK(OFFSET(A$1,,,SUMPRODUCT(MAX(ROW(E$1:E4402)*(E2=E$1:E4402))))))</f>
        <v> </v>
      </c>
      <c r="K4403" s="26" t="str">
        <f>IF(OR(E4403="",E4403="!!!",F4403="NEW"),"",INDEX(J$1:J4402,SUMPRODUCT(MAX(ROW(E$1:E4402)*(E4403=E$1:E4402)))))</f>
        <v> </v>
      </c>
      <c r="L4403" s="27"/>
    </row>
    <row r="4404" spans="1:12">
      <c r="A4404" s="20" t="s">
        <v>614</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926</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t="s">
        <v>2053</v>
      </c>
      <c r="B4406" s="21" t="s">
        <v>965</v>
      </c>
      <c r="C4406" s="21" t="s">
        <v>913</v>
      </c>
      <c r="D4406" s="21" t="s">
        <v>901</v>
      </c>
      <c r="E4406" s="22">
        <f>IF(D4406="?OLD","!!!","")</f>
        <v/>
      </c>
      <c r="F4406" s="23" t="str">
        <f>IF(OR(E4406="",E4406="!!!"),"",IF(NOT(ISNA(VLOOKUP(E4406,E$1:E4405,1,FALSE()))),"OLD",IF(AND(E4406&lt;&gt;"",E4406&lt;&gt;"!!!"),"NEW","")))</f>
        <v> </v>
      </c>
      <c r="G4406" s="24" t="str">
        <f>IF(OR(E4406="",E4406="!!!"),"",IF(OR(J4406=0,AND(J4406=1,K4406=1),AND(J4406=1,I4406="SBJ"),AND(J4406=1,I4406=0)),"?IN_FOCUS",IF(J4406&lt;=2,"?ACTIVATED",IF(J4406&lt;&gt;"","?FAMILIAR",IF(F4406="NEW",IF(ISNA(VLOOKUP(E4406,#REF!,1,FALSE())),"?TYPE_IDENTIFIABLE","?REFERENTIAL"),"_")))))</f>
        <v> </v>
      </c>
      <c r="H4406" s="25" t="str">
        <f>IF(J4406&lt;&gt;1,"",IF(I4406="SBJ","CB","?"))</f>
        <v> </v>
      </c>
      <c r="I4406" s="26" t="str">
        <f>IF(OR(E4406="",E4406="!!!",F4406="NEW"),"",INDEX(B4405:B$2,-1+SUMPRODUCT(MAX(ROW(E4405:E$2)*(E4406=E4405:E$2)))))</f>
        <v> </v>
      </c>
      <c r="J4406" s="26" t="str">
        <f>IF(OR(E4406="",E4406="!!!",F4406="NEW"),"",COUNTBLANK(OFFSET(A$1,,,SUMPRODUCT(MAX(ROW(E$2:E4406)*(E4406=E$2:E4406)))))-COUNTBLANK(OFFSET(A$1,,,SUMPRODUCT(MAX(ROW(E$1:E4405)*(E2=E$1:E4405))))))</f>
        <v> </v>
      </c>
      <c r="K4406" s="26" t="str">
        <f>IF(OR(E4406="",E4406="!!!",F4406="NEW"),"",INDEX(J$1:J4405,SUMPRODUCT(MAX(ROW(E$1:E4405)*(E4406=E$1:E4405)))))</f>
        <v> </v>
      </c>
      <c r="L4406" s="27"/>
    </row>
    <row r="4407" spans="1:12">
      <c r="A4407" s="20" t="s">
        <v>914</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t="s">
        <v>1011</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1622</v>
      </c>
      <c r="B4409" s="21" t="s">
        <v>928</v>
      </c>
      <c r="C4409" s="21" t="s">
        <v>931</v>
      </c>
      <c r="D4409" s="21" t="s">
        <v>901</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960</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926</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2053</v>
      </c>
      <c r="B4412" s="21" t="s">
        <v>928</v>
      </c>
      <c r="C4412" s="21" t="s">
        <v>913</v>
      </c>
      <c r="D4412" s="21" t="s">
        <v>901</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914</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1007</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1596</v>
      </c>
      <c r="B4415" s="21" t="s">
        <v>950</v>
      </c>
      <c r="C4415" s="21" t="s">
        <v>931</v>
      </c>
      <c r="D4415" s="21" t="s">
        <v>901</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t="s">
        <v>2181</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t="s">
        <v>960</v>
      </c>
      <c r="E4417" s="22">
        <f>IF(D4417="?OLD","!!!","")</f>
        <v/>
      </c>
      <c r="F4417" s="23" t="str">
        <f>IF(OR(E4417="",E4417="!!!"),"",IF(NOT(ISNA(VLOOKUP(E4417,E$1:E4416,1,FALSE()))),"OLD",IF(AND(E4417&lt;&gt;"",E4417&lt;&gt;"!!!"),"NEW","")))</f>
        <v> </v>
      </c>
      <c r="G4417" s="24" t="str">
        <f>IF(OR(E4417="",E4417="!!!"),"",IF(OR(J4417=0,AND(J4417=1,K4417=1),AND(J4417=1,I4417="SBJ"),AND(J4417=1,I4417=0)),"?IN_FOCUS",IF(J4417&lt;=2,"?ACTIVATED",IF(J4417&lt;&gt;"","?FAMILIAR",IF(F4417="NEW",IF(ISNA(VLOOKUP(E4417,#REF!,1,FALSE())),"?TYPE_IDENTIFIABLE","?REFERENTIAL"),"_")))))</f>
        <v> </v>
      </c>
      <c r="H4417" s="25" t="str">
        <f>IF(J4417&lt;&gt;1,"",IF(I4417="SBJ","CB","?"))</f>
        <v> </v>
      </c>
      <c r="I4417" s="26" t="str">
        <f>IF(OR(E4417="",E4417="!!!",F4417="NEW"),"",INDEX(B4416:B$2,-1+SUMPRODUCT(MAX(ROW(E4416:E$2)*(E4417=E4416:E$2)))))</f>
        <v> </v>
      </c>
      <c r="J4417" s="26" t="str">
        <f>IF(OR(E4417="",E4417="!!!",F4417="NEW"),"",COUNTBLANK(OFFSET(A$1,,,SUMPRODUCT(MAX(ROW(E$2:E4417)*(E4417=E$2:E4417)))))-COUNTBLANK(OFFSET(A$1,,,SUMPRODUCT(MAX(ROW(E$1:E4416)*(E2=E$1:E4416))))))</f>
        <v> </v>
      </c>
      <c r="K4417" s="26" t="str">
        <f>IF(OR(E4417="",E4417="!!!",F4417="NEW"),"",INDEX(J$1:J4416,SUMPRODUCT(MAX(ROW(E$1:E4416)*(E4417=E$1:E4416)))))</f>
        <v> </v>
      </c>
      <c r="L4417" s="27"/>
    </row>
    <row r="4418" spans="1:12">
      <c r="A4418" s="20" t="s">
        <v>926</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2053</v>
      </c>
      <c r="B4419" s="21" t="s">
        <v>928</v>
      </c>
      <c r="C4419" s="21" t="s">
        <v>913</v>
      </c>
      <c r="D4419" s="21" t="s">
        <v>901</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914</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943</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2182</v>
      </c>
      <c r="B4422" s="21" t="s">
        <v>950</v>
      </c>
      <c r="C4422" s="21" t="s">
        <v>931</v>
      </c>
      <c r="D4422" s="21" t="s">
        <v>901</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960</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926</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2053</v>
      </c>
      <c r="B4425" s="21" t="s">
        <v>928</v>
      </c>
      <c r="C4425" s="21" t="s">
        <v>913</v>
      </c>
      <c r="D4425" s="21" t="s">
        <v>901</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914</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943</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t="s">
        <v>2183</v>
      </c>
      <c r="B4428" s="21" t="s">
        <v>950</v>
      </c>
      <c r="C4428" s="21" t="s">
        <v>931</v>
      </c>
      <c r="D4428" s="21" t="s">
        <v>901</v>
      </c>
      <c r="E4428" s="22">
        <f>IF(D4428="?OLD","!!!","")</f>
        <v/>
      </c>
      <c r="F4428" s="23" t="str">
        <f>IF(OR(E4428="",E4428="!!!"),"",IF(NOT(ISNA(VLOOKUP(E4428,E$1:E4427,1,FALSE()))),"OLD",IF(AND(E4428&lt;&gt;"",E4428&lt;&gt;"!!!"),"NEW","")))</f>
        <v> </v>
      </c>
      <c r="G4428" s="24" t="str">
        <f>IF(OR(E4428="",E4428="!!!"),"",IF(OR(J4428=0,AND(J4428=1,K4428=1),AND(J4428=1,I4428="SBJ"),AND(J4428=1,I4428=0)),"?IN_FOCUS",IF(J4428&lt;=2,"?ACTIVATED",IF(J4428&lt;&gt;"","?FAMILIAR",IF(F4428="NEW",IF(ISNA(VLOOKUP(E4428,#REF!,1,FALSE())),"?TYPE_IDENTIFIABLE","?REFERENTIAL"),"_")))))</f>
        <v> </v>
      </c>
      <c r="H4428" s="25" t="str">
        <f>IF(J4428&lt;&gt;1,"",IF(I4428="SBJ","CB","?"))</f>
        <v> </v>
      </c>
      <c r="I4428" s="26" t="str">
        <f>IF(OR(E4428="",E4428="!!!",F4428="NEW"),"",INDEX(B4427:B$2,-1+SUMPRODUCT(MAX(ROW(E4427:E$2)*(E4428=E4427:E$2)))))</f>
        <v> </v>
      </c>
      <c r="J4428" s="26" t="str">
        <f>IF(OR(E4428="",E4428="!!!",F4428="NEW"),"",COUNTBLANK(OFFSET(A$1,,,SUMPRODUCT(MAX(ROW(E$2:E4428)*(E4428=E$2:E4428)))))-COUNTBLANK(OFFSET(A$1,,,SUMPRODUCT(MAX(ROW(E$1:E4427)*(E2=E$1:E4427))))))</f>
        <v> </v>
      </c>
      <c r="K4428" s="26" t="str">
        <f>IF(OR(E4428="",E4428="!!!",F4428="NEW"),"",INDEX(J$1:J4427,SUMPRODUCT(MAX(ROW(E$1:E4427)*(E4428=E$1:E4427)))))</f>
        <v> </v>
      </c>
      <c r="L4428" s="27"/>
    </row>
    <row r="4429" spans="1:12">
      <c r="A4429" s="20" t="s">
        <v>925</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926</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2053</v>
      </c>
      <c r="B4431" s="21" t="s">
        <v>928</v>
      </c>
      <c r="C4431" s="21" t="s">
        <v>913</v>
      </c>
      <c r="D4431" s="21" t="s">
        <v>901</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914</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t="s">
        <v>943</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2184</v>
      </c>
      <c r="B4434" s="21" t="s">
        <v>950</v>
      </c>
      <c r="C4434" s="21" t="s">
        <v>931</v>
      </c>
      <c r="D4434" s="21" t="s">
        <v>901</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1680</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202</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row>
    <row r="4438" spans="1:12">
      <c r="A4438" s="20" t="s">
        <v>984</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t="s">
        <v>2185</v>
      </c>
    </row>
    <row r="4440" spans="1:12">
      <c r="A4440" s="20" t="s">
        <v>2186</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964</v>
      </c>
      <c r="B4441" s="21" t="s">
        <v>904</v>
      </c>
      <c r="C4441" s="21" t="s">
        <v>924</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1451</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1687</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932</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2187</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2188</v>
      </c>
      <c r="B4446" s="21" t="s">
        <v>912</v>
      </c>
      <c r="C4446" s="21" t="s">
        <v>924</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960</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1451</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2189</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1605</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2190</v>
      </c>
      <c r="B4451" s="21" t="s">
        <v>955</v>
      </c>
      <c r="C4451" s="21" t="s">
        <v>924</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t="s">
        <v>2191</v>
      </c>
      <c r="E4452" s="22">
        <f>IF(D4452="?OLD","!!!","")</f>
        <v/>
      </c>
      <c r="F4452" s="23" t="str">
        <f>IF(OR(E4452="",E4452="!!!"),"",IF(NOT(ISNA(VLOOKUP(E4452,E$1:E4451,1,FALSE()))),"OLD",IF(AND(E4452&lt;&gt;"",E4452&lt;&gt;"!!!"),"NEW","")))</f>
        <v> </v>
      </c>
      <c r="G4452" s="24" t="str">
        <f>IF(OR(E4452="",E4452="!!!"),"",IF(OR(J4452=0,AND(J4452=1,K4452=1),AND(J4452=1,I4452="SBJ"),AND(J4452=1,I4452=0)),"?IN_FOCUS",IF(J4452&lt;=2,"?ACTIVATED",IF(J4452&lt;&gt;"","?FAMILIAR",IF(F4452="NEW",IF(ISNA(VLOOKUP(E4452,#REF!,1,FALSE())),"?TYPE_IDENTIFIABLE","?REFERENTIAL"),"_")))))</f>
        <v> </v>
      </c>
      <c r="H4452" s="25" t="str">
        <f>IF(J4452&lt;&gt;1,"",IF(I4452="SBJ","CB","?"))</f>
        <v> </v>
      </c>
      <c r="I4452" s="26" t="str">
        <f>IF(OR(E4452="",E4452="!!!",F4452="NEW"),"",INDEX(B4451:B$2,-1+SUMPRODUCT(MAX(ROW(E4451:E$2)*(E4452=E4451:E$2)))))</f>
        <v> </v>
      </c>
      <c r="J4452" s="26" t="str">
        <f>IF(OR(E4452="",E4452="!!!",F4452="NEW"),"",COUNTBLANK(OFFSET(A$1,,,SUMPRODUCT(MAX(ROW(E$2:E4452)*(E4452=E$2:E4452)))))-COUNTBLANK(OFFSET(A$1,,,SUMPRODUCT(MAX(ROW(E$1:E4451)*(E2=E$1:E4451))))))</f>
        <v> </v>
      </c>
      <c r="K4452" s="26" t="str">
        <f>IF(OR(E4452="",E4452="!!!",F4452="NEW"),"",INDEX(J$1:J4451,SUMPRODUCT(MAX(ROW(E$1:E4451)*(E4452=E$1:E4451)))))</f>
        <v> </v>
      </c>
      <c r="L4452" s="27"/>
    </row>
    <row r="4453" spans="1:12">
      <c r="A4453" s="20" t="s">
        <v>2192</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1026</v>
      </c>
      <c r="B4454" s="21" t="s">
        <v>1333</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1126</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674</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1027</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t="s">
        <v>2193</v>
      </c>
      <c r="E4458" s="22">
        <f>IF(D4458="?OLD","!!!","")</f>
        <v/>
      </c>
      <c r="F4458" s="23" t="str">
        <f>IF(OR(E4458="",E4458="!!!"),"",IF(NOT(ISNA(VLOOKUP(E4458,E$1:E4457,1,FALSE()))),"OLD",IF(AND(E4458&lt;&gt;"",E4458&lt;&gt;"!!!"),"NEW","")))</f>
        <v> </v>
      </c>
      <c r="G4458" s="24" t="str">
        <f>IF(OR(E4458="",E4458="!!!"),"",IF(OR(J4458=0,AND(J4458=1,K4458=1),AND(J4458=1,I4458="SBJ"),AND(J4458=1,I4458=0)),"?IN_FOCUS",IF(J4458&lt;=2,"?ACTIVATED",IF(J4458&lt;&gt;"","?FAMILIAR",IF(F4458="NEW",IF(ISNA(VLOOKUP(E4458,#REF!,1,FALSE())),"?TYPE_IDENTIFIABLE","?REFERENTIAL"),"_")))))</f>
        <v> </v>
      </c>
      <c r="H4458" s="25" t="str">
        <f>IF(J4458&lt;&gt;1,"",IF(I4458="SBJ","CB","?"))</f>
        <v> </v>
      </c>
      <c r="I4458" s="26" t="str">
        <f>IF(OR(E4458="",E4458="!!!",F4458="NEW"),"",INDEX(B4457:B$2,-1+SUMPRODUCT(MAX(ROW(E4457:E$2)*(E4458=E4457:E$2)))))</f>
        <v> </v>
      </c>
      <c r="J4458" s="26" t="str">
        <f>IF(OR(E4458="",E4458="!!!",F4458="NEW"),"",COUNTBLANK(OFFSET(A$1,,,SUMPRODUCT(MAX(ROW(E$2:E4458)*(E4458=E$2:E4458)))))-COUNTBLANK(OFFSET(A$1,,,SUMPRODUCT(MAX(ROW(E$1:E4457)*(E2=E$1:E4457))))))</f>
        <v> </v>
      </c>
      <c r="K4458" s="26" t="str">
        <f>IF(OR(E4458="",E4458="!!!",F4458="NEW"),"",INDEX(J$1:J4457,SUMPRODUCT(MAX(ROW(E$1:E4457)*(E4458=E$1:E4457)))))</f>
        <v> </v>
      </c>
      <c r="L4458" s="27"/>
    </row>
    <row r="4459" spans="1:12">
      <c r="A4459" s="20" t="s">
        <v>920</v>
      </c>
      <c r="B4459" s="21" t="s">
        <v>949</v>
      </c>
      <c r="C4459" s="21" t="s">
        <v>916</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925</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2194</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1032</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2195</v>
      </c>
      <c r="B4463" s="21" t="s">
        <v>997</v>
      </c>
      <c r="C4463" s="21" t="s">
        <v>905</v>
      </c>
      <c r="D4463" s="21" t="s">
        <v>901</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790</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2152</v>
      </c>
      <c r="B4465" s="21" t="s">
        <v>1286</v>
      </c>
      <c r="C4465" s="21" t="s">
        <v>905</v>
      </c>
      <c r="D4465" s="21" t="s">
        <v>901</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790</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202</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row>
    <row r="4469" spans="1:12">
      <c r="A4469" s="20" t="s">
        <v>2196</v>
      </c>
    </row>
    <row r="4470" spans="1:12">
      <c r="A4470" s="20" t="s">
        <v>953</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496</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960</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1011</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2197</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1048</v>
      </c>
      <c r="B4475" s="21" t="s">
        <v>955</v>
      </c>
      <c r="C4475" s="21" t="s">
        <v>931</v>
      </c>
      <c r="D4475" s="21" t="s">
        <v>901</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960</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2198</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926</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19</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t="s">
        <v>914</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t="s">
        <v>2199</v>
      </c>
      <c r="E4481" s="22">
        <f>IF(D4481="?OLD","!!!","")</f>
        <v/>
      </c>
      <c r="F4481" s="23" t="str">
        <f>IF(OR(E4481="",E4481="!!!"),"",IF(NOT(ISNA(VLOOKUP(E4481,E$1:E4480,1,FALSE()))),"OLD",IF(AND(E4481&lt;&gt;"",E4481&lt;&gt;"!!!"),"NEW","")))</f>
        <v> </v>
      </c>
      <c r="G4481" s="24" t="str">
        <f>IF(OR(E4481="",E4481="!!!"),"",IF(OR(J4481=0,AND(J4481=1,K4481=1),AND(J4481=1,I4481="SBJ"),AND(J4481=1,I4481=0)),"?IN_FOCUS",IF(J4481&lt;=2,"?ACTIVATED",IF(J4481&lt;&gt;"","?FAMILIAR",IF(F4481="NEW",IF(ISNA(VLOOKUP(E4481,#REF!,1,FALSE())),"?TYPE_IDENTIFIABLE","?REFERENTIAL"),"_")))))</f>
        <v> </v>
      </c>
      <c r="H4481" s="25" t="str">
        <f>IF(J4481&lt;&gt;1,"",IF(I4481="SBJ","CB","?"))</f>
        <v> </v>
      </c>
      <c r="I4481" s="26" t="str">
        <f>IF(OR(E4481="",E4481="!!!",F4481="NEW"),"",INDEX(B4480:B$2,-1+SUMPRODUCT(MAX(ROW(E4480:E$2)*(E4481=E4480:E$2)))))</f>
        <v> </v>
      </c>
      <c r="J4481" s="26" t="str">
        <f>IF(OR(E4481="",E4481="!!!",F4481="NEW"),"",COUNTBLANK(OFFSET(A$1,,,SUMPRODUCT(MAX(ROW(E$2:E4481)*(E4481=E$2:E4481)))))-COUNTBLANK(OFFSET(A$1,,,SUMPRODUCT(MAX(ROW(E$1:E4480)*(E2=E$1:E4480))))))</f>
        <v> </v>
      </c>
      <c r="K4481" s="26" t="str">
        <f>IF(OR(E4481="",E4481="!!!",F4481="NEW"),"",INDEX(J$1:J4480,SUMPRODUCT(MAX(ROW(E$1:E4480)*(E4481=E$1:E4480)))))</f>
        <v> </v>
      </c>
      <c r="L4481" s="27"/>
    </row>
    <row r="4482" spans="1:12">
      <c r="A4482" s="20" t="s">
        <v>202</v>
      </c>
      <c r="E4482" s="22">
        <f>IF(D4482="?OLD","!!!","")</f>
        <v/>
      </c>
      <c r="F4482" s="23" t="str">
        <f>IF(OR(E4482="",E4482="!!!"),"",IF(NOT(ISNA(VLOOKUP(E4482,E$1:E4481,1,FALSE()))),"OLD",IF(AND(E4482&lt;&gt;"",E4482&lt;&gt;"!!!"),"NEW","")))</f>
        <v> </v>
      </c>
      <c r="G4482" s="24" t="str">
        <f>IF(OR(E4482="",E4482="!!!"),"",IF(OR(J4482=0,AND(J4482=1,K4482=1),AND(J4482=1,I4482="SBJ"),AND(J4482=1,I4482=0)),"?IN_FOCUS",IF(J4482&lt;=2,"?ACTIVATED",IF(J4482&lt;&gt;"","?FAMILIAR",IF(F4482="NEW",IF(ISNA(VLOOKUP(E4482,#REF!,1,FALSE())),"?TYPE_IDENTIFIABLE","?REFERENTIAL"),"_")))))</f>
        <v> </v>
      </c>
      <c r="H4482" s="25" t="str">
        <f>IF(J4482&lt;&gt;1,"",IF(I4482="SBJ","CB","?"))</f>
        <v> </v>
      </c>
      <c r="I4482" s="26" t="str">
        <f>IF(OR(E4482="",E4482="!!!",F4482="NEW"),"",INDEX(B4481:B$2,-1+SUMPRODUCT(MAX(ROW(E4481:E$2)*(E4482=E4481:E$2)))))</f>
        <v> </v>
      </c>
      <c r="J4482" s="26" t="str">
        <f>IF(OR(E4482="",E4482="!!!",F4482="NEW"),"",COUNTBLANK(OFFSET(A$1,,,SUMPRODUCT(MAX(ROW(E$2:E4482)*(E4482=E$2:E4482)))))-COUNTBLANK(OFFSET(A$1,,,SUMPRODUCT(MAX(ROW(E$1:E4481)*(E2=E$1:E4481))))))</f>
        <v> </v>
      </c>
      <c r="K4482" s="26" t="str">
        <f>IF(OR(E4482="",E4482="!!!",F4482="NEW"),"",INDEX(J$1:J4481,SUMPRODUCT(MAX(ROW(E$1:E4481)*(E4482=E$1:E4481)))))</f>
        <v> </v>
      </c>
      <c r="L4482" s="27"/>
    </row>
    <row r="4483" spans="1:12">
      <c r="A4483" s="20"/>
    </row>
    <row r="4484" spans="1:12">
      <c r="A4484" s="20" t="s">
        <v>2200</v>
      </c>
    </row>
    <row r="4485" spans="1:12">
      <c r="A4485" s="20" t="s">
        <v>1096</v>
      </c>
      <c r="B4485" s="21" t="s">
        <v>904</v>
      </c>
      <c r="C4485" s="21" t="s">
        <v>1097</v>
      </c>
      <c r="D4485" s="21" t="s">
        <v>901</v>
      </c>
      <c r="E4485" s="22">
        <f>IF(D4485="?OLD","!!!","")</f>
        <v/>
      </c>
      <c r="F4485" s="23" t="str">
        <f>IF(OR(E4485="",E4485="!!!"),"",IF(NOT(ISNA(VLOOKUP(E4485,E$1:E4484,1,FALSE()))),"OLD",IF(AND(E4485&lt;&gt;"",E4485&lt;&gt;"!!!"),"NEW","")))</f>
        <v> </v>
      </c>
      <c r="G4485" s="24" t="str">
        <f>IF(OR(E4485="",E4485="!!!"),"",IF(OR(J4485=0,AND(J4485=1,K4485=1),AND(J4485=1,I4485="SBJ"),AND(J4485=1,I4485=0)),"?IN_FOCUS",IF(J4485&lt;=2,"?ACTIVATED",IF(J4485&lt;&gt;"","?FAMILIAR",IF(F4485="NEW",IF(ISNA(VLOOKUP(E4485,#REF!,1,FALSE())),"?TYPE_IDENTIFIABLE","?REFERENTIAL"),"_")))))</f>
        <v> </v>
      </c>
      <c r="H4485" s="25" t="str">
        <f>IF(J4485&lt;&gt;1,"",IF(I4485="SBJ","CB","?"))</f>
        <v> </v>
      </c>
      <c r="I4485" s="26" t="str">
        <f>IF(OR(E4485="",E4485="!!!",F4485="NEW"),"",INDEX(B4484:B$2,-1+SUMPRODUCT(MAX(ROW(E4484:E$2)*(E4485=E4484:E$2)))))</f>
        <v> </v>
      </c>
      <c r="J4485" s="26" t="str">
        <f>IF(OR(E4485="",E4485="!!!",F4485="NEW"),"",COUNTBLANK(OFFSET(A$1,,,SUMPRODUCT(MAX(ROW(E$2:E4485)*(E4485=E$2:E4485)))))-COUNTBLANK(OFFSET(A$1,,,SUMPRODUCT(MAX(ROW(E$1:E4484)*(E2=E$1:E4484))))))</f>
        <v> </v>
      </c>
      <c r="K4485" s="26" t="str">
        <f>IF(OR(E4485="",E4485="!!!",F4485="NEW"),"",INDEX(J$1:J4484,SUMPRODUCT(MAX(ROW(E$1:E4484)*(E4485=E$1:E4484)))))</f>
        <v> </v>
      </c>
      <c r="L4485" s="27"/>
    </row>
    <row r="4486" spans="1:12">
      <c r="A4486" s="20" t="s">
        <v>936</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957</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1048</v>
      </c>
      <c r="B4488" s="21" t="s">
        <v>912</v>
      </c>
      <c r="C4488" s="21" t="s">
        <v>959</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2071</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1237</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1011</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t="s">
        <v>1012</v>
      </c>
      <c r="B4492" s="21" t="s">
        <v>907</v>
      </c>
      <c r="C4492" s="21" t="s">
        <v>905</v>
      </c>
      <c r="D4492" s="21" t="s">
        <v>901</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914</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943</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t="s">
        <v>2201</v>
      </c>
      <c r="B4495" s="21" t="s">
        <v>923</v>
      </c>
      <c r="C4495" s="21" t="s">
        <v>931</v>
      </c>
      <c r="D4495" s="21" t="s">
        <v>901</v>
      </c>
      <c r="E4495" s="22">
        <f>IF(D4495="?OLD","!!!","")</f>
        <v/>
      </c>
      <c r="F4495" s="23" t="str">
        <f>IF(OR(E4495="",E4495="!!!"),"",IF(NOT(ISNA(VLOOKUP(E4495,E$1:E4494,1,FALSE()))),"OLD",IF(AND(E4495&lt;&gt;"",E4495&lt;&gt;"!!!"),"NEW","")))</f>
        <v> </v>
      </c>
      <c r="G4495" s="24" t="str">
        <f>IF(OR(E4495="",E4495="!!!"),"",IF(OR(J4495=0,AND(J4495=1,K4495=1),AND(J4495=1,I4495="SBJ"),AND(J4495=1,I4495=0)),"?IN_FOCUS",IF(J4495&lt;=2,"?ACTIVATED",IF(J4495&lt;&gt;"","?FAMILIAR",IF(F4495="NEW",IF(ISNA(VLOOKUP(E4495,#REF!,1,FALSE())),"?TYPE_IDENTIFIABLE","?REFERENTIAL"),"_")))))</f>
        <v> </v>
      </c>
      <c r="H4495" s="25" t="str">
        <f>IF(J4495&lt;&gt;1,"",IF(I4495="SBJ","CB","?"))</f>
        <v> </v>
      </c>
      <c r="I4495" s="26" t="str">
        <f>IF(OR(E4495="",E4495="!!!",F4495="NEW"),"",INDEX(B4494:B$2,-1+SUMPRODUCT(MAX(ROW(E4494:E$2)*(E4495=E4494:E$2)))))</f>
        <v> </v>
      </c>
      <c r="J4495" s="26" t="str">
        <f>IF(OR(E4495="",E4495="!!!",F4495="NEW"),"",COUNTBLANK(OFFSET(A$1,,,SUMPRODUCT(MAX(ROW(E$2:E4495)*(E4495=E$2:E4495)))))-COUNTBLANK(OFFSET(A$1,,,SUMPRODUCT(MAX(ROW(E$1:E4494)*(E2=E$1:E4494))))))</f>
        <v> </v>
      </c>
      <c r="K4495" s="26" t="str">
        <f>IF(OR(E4495="",E4495="!!!",F4495="NEW"),"",INDEX(J$1:J4494,SUMPRODUCT(MAX(ROW(E$1:E4494)*(E4495=E$1:E4494)))))</f>
        <v> </v>
      </c>
      <c r="L4495" s="27"/>
    </row>
    <row r="4496" spans="1:12">
      <c r="A4496" s="20" t="s">
        <v>2202</v>
      </c>
      <c r="E4496" s="22">
        <f>IF(D4496="?OLD","!!!","")</f>
        <v/>
      </c>
      <c r="F4496" s="23" t="str">
        <f>IF(OR(E4496="",E4496="!!!"),"",IF(NOT(ISNA(VLOOKUP(E4496,E$1:E4495,1,FALSE()))),"OLD",IF(AND(E4496&lt;&gt;"",E4496&lt;&gt;"!!!"),"NEW","")))</f>
        <v> </v>
      </c>
      <c r="G4496" s="24" t="str">
        <f>IF(OR(E4496="",E4496="!!!"),"",IF(OR(J4496=0,AND(J4496=1,K4496=1),AND(J4496=1,I4496="SBJ"),AND(J4496=1,I4496=0)),"?IN_FOCUS",IF(J4496&lt;=2,"?ACTIVATED",IF(J4496&lt;&gt;"","?FAMILIAR",IF(F4496="NEW",IF(ISNA(VLOOKUP(E4496,#REF!,1,FALSE())),"?TYPE_IDENTIFIABLE","?REFERENTIAL"),"_")))))</f>
        <v> </v>
      </c>
      <c r="H4496" s="25" t="str">
        <f>IF(J4496&lt;&gt;1,"",IF(I4496="SBJ","CB","?"))</f>
        <v> </v>
      </c>
      <c r="I4496" s="26" t="str">
        <f>IF(OR(E4496="",E4496="!!!",F4496="NEW"),"",INDEX(B4495:B$2,-1+SUMPRODUCT(MAX(ROW(E4495:E$2)*(E4496=E4495:E$2)))))</f>
        <v> </v>
      </c>
      <c r="J4496" s="26" t="str">
        <f>IF(OR(E4496="",E4496="!!!",F4496="NEW"),"",COUNTBLANK(OFFSET(A$1,,,SUMPRODUCT(MAX(ROW(E$2:E4496)*(E4496=E$2:E4496)))))-COUNTBLANK(OFFSET(A$1,,,SUMPRODUCT(MAX(ROW(E$1:E4495)*(E2=E$1:E4495))))))</f>
        <v> </v>
      </c>
      <c r="K4496" s="26" t="str">
        <f>IF(OR(E4496="",E4496="!!!",F4496="NEW"),"",INDEX(J$1:J4495,SUMPRODUCT(MAX(ROW(E$1:E4495)*(E4496=E$1:E4495)))))</f>
        <v> </v>
      </c>
      <c r="L4496" s="27"/>
    </row>
    <row r="4497" spans="1:12">
      <c r="A4497" s="20" t="s">
        <v>202</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row>
    <row r="4499" spans="1:12">
      <c r="A4499" s="20" t="s">
        <v>2203</v>
      </c>
    </row>
    <row r="4500" spans="1:12">
      <c r="A4500" s="20" t="s">
        <v>1060</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2204</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926</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1048</v>
      </c>
      <c r="B4503" s="21" t="s">
        <v>955</v>
      </c>
      <c r="C4503" s="21" t="s">
        <v>931</v>
      </c>
      <c r="D4503" s="21" t="s">
        <v>901</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t="s">
        <v>2205</v>
      </c>
      <c r="E4504" s="22">
        <f>IF(D4504="?OLD","!!!","")</f>
        <v/>
      </c>
      <c r="F4504" s="23" t="str">
        <f>IF(OR(E4504="",E4504="!!!"),"",IF(NOT(ISNA(VLOOKUP(E4504,E$1:E4503,1,FALSE()))),"OLD",IF(AND(E4504&lt;&gt;"",E4504&lt;&gt;"!!!"),"NEW","")))</f>
        <v> </v>
      </c>
      <c r="G4504" s="24" t="str">
        <f>IF(OR(E4504="",E4504="!!!"),"",IF(OR(J4504=0,AND(J4504=1,K4504=1),AND(J4504=1,I4504="SBJ"),AND(J4504=1,I4504=0)),"?IN_FOCUS",IF(J4504&lt;=2,"?ACTIVATED",IF(J4504&lt;&gt;"","?FAMILIAR",IF(F4504="NEW",IF(ISNA(VLOOKUP(E4504,#REF!,1,FALSE())),"?TYPE_IDENTIFIABLE","?REFERENTIAL"),"_")))))</f>
        <v> </v>
      </c>
      <c r="H4504" s="25" t="str">
        <f>IF(J4504&lt;&gt;1,"",IF(I4504="SBJ","CB","?"))</f>
        <v> </v>
      </c>
      <c r="I4504" s="26" t="str">
        <f>IF(OR(E4504="",E4504="!!!",F4504="NEW"),"",INDEX(B4503:B$2,-1+SUMPRODUCT(MAX(ROW(E4503:E$2)*(E4504=E4503:E$2)))))</f>
        <v> </v>
      </c>
      <c r="J4504" s="26" t="str">
        <f>IF(OR(E4504="",E4504="!!!",F4504="NEW"),"",COUNTBLANK(OFFSET(A$1,,,SUMPRODUCT(MAX(ROW(E$2:E4504)*(E4504=E$2:E4504)))))-COUNTBLANK(OFFSET(A$1,,,SUMPRODUCT(MAX(ROW(E$1:E4503)*(E2=E$1:E4503))))))</f>
        <v> </v>
      </c>
      <c r="K4504" s="26" t="str">
        <f>IF(OR(E4504="",E4504="!!!",F4504="NEW"),"",INDEX(J$1:J4503,SUMPRODUCT(MAX(ROW(E$1:E4503)*(E4504=E$1:E4503)))))</f>
        <v> </v>
      </c>
      <c r="L4504" s="27"/>
    </row>
    <row r="4505" spans="1:12">
      <c r="A4505" s="20" t="s">
        <v>2206</v>
      </c>
      <c r="E4505" s="22">
        <f>IF(D4505="?OLD","!!!","")</f>
        <v/>
      </c>
      <c r="F4505" s="23" t="str">
        <f>IF(OR(E4505="",E4505="!!!"),"",IF(NOT(ISNA(VLOOKUP(E4505,E$1:E4504,1,FALSE()))),"OLD",IF(AND(E4505&lt;&gt;"",E4505&lt;&gt;"!!!"),"NEW","")))</f>
        <v> </v>
      </c>
      <c r="G4505" s="24" t="str">
        <f>IF(OR(E4505="",E4505="!!!"),"",IF(OR(J4505=0,AND(J4505=1,K4505=1),AND(J4505=1,I4505="SBJ"),AND(J4505=1,I4505=0)),"?IN_FOCUS",IF(J4505&lt;=2,"?ACTIVATED",IF(J4505&lt;&gt;"","?FAMILIAR",IF(F4505="NEW",IF(ISNA(VLOOKUP(E4505,#REF!,1,FALSE())),"?TYPE_IDENTIFIABLE","?REFERENTIAL"),"_")))))</f>
        <v> </v>
      </c>
      <c r="H4505" s="25" t="str">
        <f>IF(J4505&lt;&gt;1,"",IF(I4505="SBJ","CB","?"))</f>
        <v> </v>
      </c>
      <c r="I4505" s="26" t="str">
        <f>IF(OR(E4505="",E4505="!!!",F4505="NEW"),"",INDEX(B4504:B$2,-1+SUMPRODUCT(MAX(ROW(E4504:E$2)*(E4505=E4504:E$2)))))</f>
        <v> </v>
      </c>
      <c r="J4505" s="26" t="str">
        <f>IF(OR(E4505="",E4505="!!!",F4505="NEW"),"",COUNTBLANK(OFFSET(A$1,,,SUMPRODUCT(MAX(ROW(E$2:E4505)*(E4505=E$2:E4505)))))-COUNTBLANK(OFFSET(A$1,,,SUMPRODUCT(MAX(ROW(E$1:E4504)*(E2=E$1:E4504))))))</f>
        <v> </v>
      </c>
      <c r="K4505" s="26" t="str">
        <f>IF(OR(E4505="",E4505="!!!",F4505="NEW"),"",INDEX(J$1:J4504,SUMPRODUCT(MAX(ROW(E$1:E4504)*(E4505=E$1:E4504)))))</f>
        <v> </v>
      </c>
      <c r="L4505" s="27"/>
    </row>
    <row r="4506" spans="1:12">
      <c r="A4506" s="20" t="s">
        <v>921</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1011</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1012</v>
      </c>
      <c r="B4508" s="21" t="s">
        <v>912</v>
      </c>
      <c r="C4508" s="21" t="s">
        <v>905</v>
      </c>
      <c r="D4508" s="21" t="s">
        <v>901</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914</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943</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2201</v>
      </c>
      <c r="B4511" s="21" t="s">
        <v>907</v>
      </c>
      <c r="C4511" s="21" t="s">
        <v>905</v>
      </c>
      <c r="D4511" s="21" t="s">
        <v>901</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2202</v>
      </c>
      <c r="B4512" s="21" t="s">
        <v>923</v>
      </c>
      <c r="C4512" s="21" t="s">
        <v>905</v>
      </c>
      <c r="D4512" s="21" t="s">
        <v>901</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t="s">
        <v>960</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1258</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2207</v>
      </c>
      <c r="B4515" s="21" t="s">
        <v>912</v>
      </c>
      <c r="C4515" s="21" t="s">
        <v>905</v>
      </c>
      <c r="D4515" s="21" t="s">
        <v>901</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2208</v>
      </c>
      <c r="B4516" s="21" t="s">
        <v>907</v>
      </c>
      <c r="C4516" s="21" t="s">
        <v>905</v>
      </c>
      <c r="D4516" s="21" t="s">
        <v>901</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960</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2209</v>
      </c>
      <c r="B4518" s="21" t="s">
        <v>907</v>
      </c>
      <c r="C4518" s="21" t="s">
        <v>924</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914</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926</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2210</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202</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row>
    <row r="4524" spans="1:12">
      <c r="A4524" s="20" t="s">
        <v>2211</v>
      </c>
    </row>
    <row r="4525" spans="1:12">
      <c r="A4525" s="20" t="s">
        <v>2212</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1237</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1310</v>
      </c>
      <c r="B4527" s="21" t="s">
        <v>907</v>
      </c>
      <c r="C4527" s="21" t="s">
        <v>916</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2213</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932</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1011</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2214</v>
      </c>
      <c r="B4531" s="21" t="s">
        <v>907</v>
      </c>
      <c r="C4531" s="21" t="s">
        <v>905</v>
      </c>
      <c r="D4531" s="21" t="s">
        <v>901</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2215</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12</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t="s">
        <v>2216</v>
      </c>
      <c r="E4534" s="22">
        <f>IF(D4534="?OLD","!!!","")</f>
        <v/>
      </c>
      <c r="F4534" s="23" t="str">
        <f>IF(OR(E4534="",E4534="!!!"),"",IF(NOT(ISNA(VLOOKUP(E4534,E$1:E4533,1,FALSE()))),"OLD",IF(AND(E4534&lt;&gt;"",E4534&lt;&gt;"!!!"),"NEW","")))</f>
        <v> </v>
      </c>
      <c r="G4534" s="24" t="str">
        <f>IF(OR(E4534="",E4534="!!!"),"",IF(OR(J4534=0,AND(J4534=1,K4534=1),AND(J4534=1,I4534="SBJ"),AND(J4534=1,I4534=0)),"?IN_FOCUS",IF(J4534&lt;=2,"?ACTIVATED",IF(J4534&lt;&gt;"","?FAMILIAR",IF(F4534="NEW",IF(ISNA(VLOOKUP(E4534,#REF!,1,FALSE())),"?TYPE_IDENTIFIABLE","?REFERENTIAL"),"_")))))</f>
        <v> </v>
      </c>
      <c r="H4534" s="25" t="str">
        <f>IF(J4534&lt;&gt;1,"",IF(I4534="SBJ","CB","?"))</f>
        <v> </v>
      </c>
      <c r="I4534" s="26" t="str">
        <f>IF(OR(E4534="",E4534="!!!",F4534="NEW"),"",INDEX(B4533:B$2,-1+SUMPRODUCT(MAX(ROW(E4533:E$2)*(E4534=E4533:E$2)))))</f>
        <v> </v>
      </c>
      <c r="J4534" s="26" t="str">
        <f>IF(OR(E4534="",E4534="!!!",F4534="NEW"),"",COUNTBLANK(OFFSET(A$1,,,SUMPRODUCT(MAX(ROW(E$2:E4534)*(E4534=E$2:E4534)))))-COUNTBLANK(OFFSET(A$1,,,SUMPRODUCT(MAX(ROW(E$1:E4533)*(E2=E$1:E4533))))))</f>
        <v> </v>
      </c>
      <c r="K4534" s="26" t="str">
        <f>IF(OR(E4534="",E4534="!!!",F4534="NEW"),"",INDEX(J$1:J4533,SUMPRODUCT(MAX(ROW(E$1:E4533)*(E4534=E$1:E4533)))))</f>
        <v> </v>
      </c>
      <c r="L4534" s="27"/>
    </row>
    <row r="4535" spans="1:12">
      <c r="A4535" s="20" t="s">
        <v>960</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1320</v>
      </c>
      <c r="B4536" s="21" t="s">
        <v>899</v>
      </c>
      <c r="C4536" s="21" t="s">
        <v>900</v>
      </c>
      <c r="D4536" s="21" t="s">
        <v>901</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1405</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2217</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970</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2218</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t="s">
        <v>1007</v>
      </c>
      <c r="E4541" s="22">
        <f>IF(D4541="?OLD","!!!","")</f>
        <v/>
      </c>
      <c r="F4541" s="23" t="str">
        <f>IF(OR(E4541="",E4541="!!!"),"",IF(NOT(ISNA(VLOOKUP(E4541,E$1:E4540,1,FALSE()))),"OLD",IF(AND(E4541&lt;&gt;"",E4541&lt;&gt;"!!!"),"NEW","")))</f>
        <v> </v>
      </c>
      <c r="G4541" s="24" t="str">
        <f>IF(OR(E4541="",E4541="!!!"),"",IF(OR(J4541=0,AND(J4541=1,K4541=1),AND(J4541=1,I4541="SBJ"),AND(J4541=1,I4541=0)),"?IN_FOCUS",IF(J4541&lt;=2,"?ACTIVATED",IF(J4541&lt;&gt;"","?FAMILIAR",IF(F4541="NEW",IF(ISNA(VLOOKUP(E4541,#REF!,1,FALSE())),"?TYPE_IDENTIFIABLE","?REFERENTIAL"),"_")))))</f>
        <v> </v>
      </c>
      <c r="H4541" s="25" t="str">
        <f>IF(J4541&lt;&gt;1,"",IF(I4541="SBJ","CB","?"))</f>
        <v> </v>
      </c>
      <c r="I4541" s="26" t="str">
        <f>IF(OR(E4541="",E4541="!!!",F4541="NEW"),"",INDEX(B4540:B$2,-1+SUMPRODUCT(MAX(ROW(E4540:E$2)*(E4541=E4540:E$2)))))</f>
        <v> </v>
      </c>
      <c r="J4541" s="26" t="str">
        <f>IF(OR(E4541="",E4541="!!!",F4541="NEW"),"",COUNTBLANK(OFFSET(A$1,,,SUMPRODUCT(MAX(ROW(E$2:E4541)*(E4541=E$2:E4541)))))-COUNTBLANK(OFFSET(A$1,,,SUMPRODUCT(MAX(ROW(E$1:E4540)*(E2=E$1:E4540))))))</f>
        <v> </v>
      </c>
      <c r="K4541" s="26" t="str">
        <f>IF(OR(E4541="",E4541="!!!",F4541="NEW"),"",INDEX(J$1:J4540,SUMPRODUCT(MAX(ROW(E$1:E4540)*(E4541=E$1:E4540)))))</f>
        <v> </v>
      </c>
      <c r="L4541" s="27"/>
    </row>
    <row r="4542" spans="1:12">
      <c r="A4542" s="20" t="s">
        <v>2219</v>
      </c>
      <c r="B4542" s="21" t="s">
        <v>955</v>
      </c>
      <c r="C4542" s="21" t="s">
        <v>913</v>
      </c>
      <c r="D4542" s="21" t="s">
        <v>901</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t="s">
        <v>914</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2220</v>
      </c>
      <c r="B4544" s="21" t="s">
        <v>923</v>
      </c>
      <c r="C4544" s="21" t="s">
        <v>916</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t="s">
        <v>1680</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202</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row>
    <row r="4548" spans="1:12">
      <c r="A4548" s="20" t="s">
        <v>2221</v>
      </c>
    </row>
    <row r="4549" spans="1:12">
      <c r="A4549" s="20" t="s">
        <v>1801</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936</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t="s">
        <v>1114</v>
      </c>
      <c r="E4551" s="22">
        <f>IF(D4551="?OLD","!!!","")</f>
        <v/>
      </c>
      <c r="F4551" s="23" t="str">
        <f>IF(OR(E4551="",E4551="!!!"),"",IF(NOT(ISNA(VLOOKUP(E4551,E$1:E4550,1,FALSE()))),"OLD",IF(AND(E4551&lt;&gt;"",E4551&lt;&gt;"!!!"),"NEW","")))</f>
        <v> </v>
      </c>
      <c r="G4551" s="24" t="str">
        <f>IF(OR(E4551="",E4551="!!!"),"",IF(OR(J4551=0,AND(J4551=1,K4551=1),AND(J4551=1,I4551="SBJ"),AND(J4551=1,I4551=0)),"?IN_FOCUS",IF(J4551&lt;=2,"?ACTIVATED",IF(J4551&lt;&gt;"","?FAMILIAR",IF(F4551="NEW",IF(ISNA(VLOOKUP(E4551,#REF!,1,FALSE())),"?TYPE_IDENTIFIABLE","?REFERENTIAL"),"_")))))</f>
        <v> </v>
      </c>
      <c r="H4551" s="25" t="str">
        <f>IF(J4551&lt;&gt;1,"",IF(I4551="SBJ","CB","?"))</f>
        <v> </v>
      </c>
      <c r="I4551" s="26" t="str">
        <f>IF(OR(E4551="",E4551="!!!",F4551="NEW"),"",INDEX(B4550:B$2,-1+SUMPRODUCT(MAX(ROW(E4550:E$2)*(E4551=E4550:E$2)))))</f>
        <v> </v>
      </c>
      <c r="J4551" s="26" t="str">
        <f>IF(OR(E4551="",E4551="!!!",F4551="NEW"),"",COUNTBLANK(OFFSET(A$1,,,SUMPRODUCT(MAX(ROW(E$2:E4551)*(E4551=E$2:E4551)))))-COUNTBLANK(OFFSET(A$1,,,SUMPRODUCT(MAX(ROW(E$1:E4550)*(E2=E$1:E4550))))))</f>
        <v> </v>
      </c>
      <c r="K4551" s="26" t="str">
        <f>IF(OR(E4551="",E4551="!!!",F4551="NEW"),"",INDEX(J$1:J4550,SUMPRODUCT(MAX(ROW(E$1:E4550)*(E4551=E$1:E4550)))))</f>
        <v> </v>
      </c>
      <c r="L4551" s="27"/>
    </row>
    <row r="4552" spans="1:12">
      <c r="A4552" s="20" t="s">
        <v>1884</v>
      </c>
      <c r="B4552" s="21" t="s">
        <v>904</v>
      </c>
      <c r="C4552" s="21" t="s">
        <v>913</v>
      </c>
      <c r="D4552" s="21" t="s">
        <v>901</v>
      </c>
      <c r="E4552" s="22">
        <f>IF(D4552="?OLD","!!!","")</f>
        <v/>
      </c>
      <c r="F4552" s="23" t="str">
        <f>IF(OR(E4552="",E4552="!!!"),"",IF(NOT(ISNA(VLOOKUP(E4552,E$1:E4551,1,FALSE()))),"OLD",IF(AND(E4552&lt;&gt;"",E4552&lt;&gt;"!!!"),"NEW","")))</f>
        <v> </v>
      </c>
      <c r="G4552" s="24" t="str">
        <f>IF(OR(E4552="",E4552="!!!"),"",IF(OR(J4552=0,AND(J4552=1,K4552=1),AND(J4552=1,I4552="SBJ"),AND(J4552=1,I4552=0)),"?IN_FOCUS",IF(J4552&lt;=2,"?ACTIVATED",IF(J4552&lt;&gt;"","?FAMILIAR",IF(F4552="NEW",IF(ISNA(VLOOKUP(E4552,#REF!,1,FALSE())),"?TYPE_IDENTIFIABLE","?REFERENTIAL"),"_")))))</f>
        <v> </v>
      </c>
      <c r="H4552" s="25" t="str">
        <f>IF(J4552&lt;&gt;1,"",IF(I4552="SBJ","CB","?"))</f>
        <v> </v>
      </c>
      <c r="I4552" s="26" t="str">
        <f>IF(OR(E4552="",E4552="!!!",F4552="NEW"),"",INDEX(B4551:B$2,-1+SUMPRODUCT(MAX(ROW(E4551:E$2)*(E4552=E4551:E$2)))))</f>
        <v> </v>
      </c>
      <c r="J4552" s="26" t="str">
        <f>IF(OR(E4552="",E4552="!!!",F4552="NEW"),"",COUNTBLANK(OFFSET(A$1,,,SUMPRODUCT(MAX(ROW(E$2:E4552)*(E4552=E$2:E4552)))))-COUNTBLANK(OFFSET(A$1,,,SUMPRODUCT(MAX(ROW(E$1:E4551)*(E2=E$1:E4551))))))</f>
        <v> </v>
      </c>
      <c r="K4552" s="26" t="str">
        <f>IF(OR(E4552="",E4552="!!!",F4552="NEW"),"",INDEX(J$1:J4551,SUMPRODUCT(MAX(ROW(E$1:E4551)*(E4552=E$1:E4551)))))</f>
        <v> </v>
      </c>
      <c r="L4552" s="27"/>
    </row>
    <row r="4553" spans="1:12">
      <c r="A4553" s="20" t="s">
        <v>970</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t="s">
        <v>2222</v>
      </c>
      <c r="B4554" s="21" t="s">
        <v>907</v>
      </c>
      <c r="C4554" s="21" t="s">
        <v>916</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t="s">
        <v>960</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161</v>
      </c>
      <c r="E4556" s="22">
        <f>IF(D4556="?OLD","!!!","")</f>
        <v/>
      </c>
      <c r="F4556" s="23" t="str">
        <f>IF(OR(E4556="",E4556="!!!"),"",IF(NOT(ISNA(VLOOKUP(E4556,E$1:E4555,1,FALSE()))),"OLD",IF(AND(E4556&lt;&gt;"",E4556&lt;&gt;"!!!"),"NEW","")))</f>
        <v> </v>
      </c>
      <c r="G4556" s="24" t="str">
        <f>IF(OR(E4556="",E4556="!!!"),"",IF(OR(J4556=0,AND(J4556=1,K4556=1),AND(J4556=1,I4556="SBJ"),AND(J4556=1,I4556=0)),"?IN_FOCUS",IF(J4556&lt;=2,"?ACTIVATED",IF(J4556&lt;&gt;"","?FAMILIAR",IF(F4556="NEW",IF(ISNA(VLOOKUP(E4556,#REF!,1,FALSE())),"?TYPE_IDENTIFIABLE","?REFERENTIAL"),"_")))))</f>
        <v> </v>
      </c>
      <c r="H4556" s="25" t="str">
        <f>IF(J4556&lt;&gt;1,"",IF(I4556="SBJ","CB","?"))</f>
        <v> </v>
      </c>
      <c r="I4556" s="26" t="str">
        <f>IF(OR(E4556="",E4556="!!!",F4556="NEW"),"",INDEX(B4555:B$2,-1+SUMPRODUCT(MAX(ROW(E4555:E$2)*(E4556=E4555:E$2)))))</f>
        <v> </v>
      </c>
      <c r="J4556" s="26" t="str">
        <f>IF(OR(E4556="",E4556="!!!",F4556="NEW"),"",COUNTBLANK(OFFSET(A$1,,,SUMPRODUCT(MAX(ROW(E$2:E4556)*(E4556=E$2:E4556)))))-COUNTBLANK(OFFSET(A$1,,,SUMPRODUCT(MAX(ROW(E$1:E4555)*(E2=E$1:E4555))))))</f>
        <v> </v>
      </c>
      <c r="K4556" s="26" t="str">
        <f>IF(OR(E4556="",E4556="!!!",F4556="NEW"),"",INDEX(J$1:J4555,SUMPRODUCT(MAX(ROW(E$1:E4555)*(E4556=E$1:E4555)))))</f>
        <v> </v>
      </c>
      <c r="L4556" s="27"/>
    </row>
    <row r="4557" spans="1:12">
      <c r="A4557" s="20" t="s">
        <v>2223</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914</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1358</v>
      </c>
      <c r="B4559" s="21" t="s">
        <v>907</v>
      </c>
      <c r="C4559" s="21" t="s">
        <v>913</v>
      </c>
      <c r="D4559" s="21" t="s">
        <v>901</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t="s">
        <v>879</v>
      </c>
      <c r="B4560" s="21" t="s">
        <v>928</v>
      </c>
      <c r="C4560" s="21" t="s">
        <v>916</v>
      </c>
      <c r="E4560" s="22">
        <f>IF(D4560="?OLD","!!!","")</f>
        <v/>
      </c>
      <c r="F4560" s="23" t="str">
        <f>IF(OR(E4560="",E4560="!!!"),"",IF(NOT(ISNA(VLOOKUP(E4560,E$1:E4559,1,FALSE()))),"OLD",IF(AND(E4560&lt;&gt;"",E4560&lt;&gt;"!!!"),"NEW","")))</f>
        <v> </v>
      </c>
      <c r="G4560" s="24" t="str">
        <f>IF(OR(E4560="",E4560="!!!"),"",IF(OR(J4560=0,AND(J4560=1,K4560=1),AND(J4560=1,I4560="SBJ"),AND(J4560=1,I4560=0)),"?IN_FOCUS",IF(J4560&lt;=2,"?ACTIVATED",IF(J4560&lt;&gt;"","?FAMILIAR",IF(F4560="NEW",IF(ISNA(VLOOKUP(E4560,#REF!,1,FALSE())),"?TYPE_IDENTIFIABLE","?REFERENTIAL"),"_")))))</f>
        <v> </v>
      </c>
      <c r="H4560" s="25" t="str">
        <f>IF(J4560&lt;&gt;1,"",IF(I4560="SBJ","CB","?"))</f>
        <v> </v>
      </c>
      <c r="I4560" s="26" t="str">
        <f>IF(OR(E4560="",E4560="!!!",F4560="NEW"),"",INDEX(B4559:B$2,-1+SUMPRODUCT(MAX(ROW(E4559:E$2)*(E4560=E4559:E$2)))))</f>
        <v> </v>
      </c>
      <c r="J4560" s="26" t="str">
        <f>IF(OR(E4560="",E4560="!!!",F4560="NEW"),"",COUNTBLANK(OFFSET(A$1,,,SUMPRODUCT(MAX(ROW(E$2:E4560)*(E4560=E$2:E4560)))))-COUNTBLANK(OFFSET(A$1,,,SUMPRODUCT(MAX(ROW(E$1:E4559)*(E2=E$1:E4559))))))</f>
        <v> </v>
      </c>
      <c r="K4560" s="26" t="str">
        <f>IF(OR(E4560="",E4560="!!!",F4560="NEW"),"",INDEX(J$1:J4559,SUMPRODUCT(MAX(ROW(E$1:E4559)*(E4560=E$1:E4559)))))</f>
        <v> </v>
      </c>
      <c r="L4560" s="27"/>
    </row>
    <row r="4561" spans="1:12">
      <c r="A4561" s="20" t="s">
        <v>1441</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t="s">
        <v>2224</v>
      </c>
      <c r="B4562" s="21" t="s">
        <v>923</v>
      </c>
      <c r="C4562" s="21" t="s">
        <v>916</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1258</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t="s">
        <v>943</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t="s">
        <v>2225</v>
      </c>
      <c r="B4565" s="21" t="s">
        <v>907</v>
      </c>
      <c r="C4565" s="21" t="s">
        <v>931</v>
      </c>
      <c r="D4565" s="21" t="s">
        <v>901</v>
      </c>
      <c r="E4565" s="22">
        <f>IF(D4565="?OLD","!!!","")</f>
        <v/>
      </c>
      <c r="F4565" s="23" t="str">
        <f>IF(OR(E4565="",E4565="!!!"),"",IF(NOT(ISNA(VLOOKUP(E4565,E$1:E4564,1,FALSE()))),"OLD",IF(AND(E4565&lt;&gt;"",E4565&lt;&gt;"!!!"),"NEW","")))</f>
        <v> </v>
      </c>
      <c r="G4565" s="24" t="str">
        <f>IF(OR(E4565="",E4565="!!!"),"",IF(OR(J4565=0,AND(J4565=1,K4565=1),AND(J4565=1,I4565="SBJ"),AND(J4565=1,I4565=0)),"?IN_FOCUS",IF(J4565&lt;=2,"?ACTIVATED",IF(J4565&lt;&gt;"","?FAMILIAR",IF(F4565="NEW",IF(ISNA(VLOOKUP(E4565,#REF!,1,FALSE())),"?TYPE_IDENTIFIABLE","?REFERENTIAL"),"_")))))</f>
        <v> </v>
      </c>
      <c r="H4565" s="25" t="str">
        <f>IF(J4565&lt;&gt;1,"",IF(I4565="SBJ","CB","?"))</f>
        <v> </v>
      </c>
      <c r="I4565" s="26" t="str">
        <f>IF(OR(E4565="",E4565="!!!",F4565="NEW"),"",INDEX(B4564:B$2,-1+SUMPRODUCT(MAX(ROW(E4564:E$2)*(E4565=E4564:E$2)))))</f>
        <v> </v>
      </c>
      <c r="J4565" s="26" t="str">
        <f>IF(OR(E4565="",E4565="!!!",F4565="NEW"),"",COUNTBLANK(OFFSET(A$1,,,SUMPRODUCT(MAX(ROW(E$2:E4565)*(E4565=E$2:E4565)))))-COUNTBLANK(OFFSET(A$1,,,SUMPRODUCT(MAX(ROW(E$1:E4564)*(E2=E$1:E4564))))))</f>
        <v> </v>
      </c>
      <c r="K4565" s="26" t="str">
        <f>IF(OR(E4565="",E4565="!!!",F4565="NEW"),"",INDEX(J$1:J4564,SUMPRODUCT(MAX(ROW(E$1:E4564)*(E4565=E$1:E4564)))))</f>
        <v> </v>
      </c>
      <c r="L4565" s="27"/>
    </row>
    <row r="4566" spans="1:12">
      <c r="A4566" s="20" t="s">
        <v>2226</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960</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943</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2227</v>
      </c>
      <c r="B4569" s="21" t="s">
        <v>912</v>
      </c>
      <c r="C4569" s="21" t="s">
        <v>931</v>
      </c>
      <c r="D4569" s="21" t="s">
        <v>901</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960</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943</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2228</v>
      </c>
      <c r="B4572" s="21" t="s">
        <v>907</v>
      </c>
      <c r="C4572" s="21" t="s">
        <v>931</v>
      </c>
      <c r="D4572" s="21" t="s">
        <v>901</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960</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1011</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1194</v>
      </c>
      <c r="B4575" s="21" t="s">
        <v>907</v>
      </c>
      <c r="C4575" s="21" t="s">
        <v>931</v>
      </c>
      <c r="D4575" s="21" t="s">
        <v>901</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t="s">
        <v>925</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1011</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2229</v>
      </c>
      <c r="B4578" s="21" t="s">
        <v>907</v>
      </c>
      <c r="C4578" s="21" t="s">
        <v>931</v>
      </c>
      <c r="D4578" s="21" t="s">
        <v>901</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202</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row>
    <row r="4581" spans="1:12">
      <c r="A4581" s="20" t="s">
        <v>2230</v>
      </c>
    </row>
    <row r="4582" spans="1:12">
      <c r="A4582" s="20" t="s">
        <v>2231</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834</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967</v>
      </c>
      <c r="B4584" s="21" t="s">
        <v>907</v>
      </c>
      <c r="C4584" s="21" t="s">
        <v>968</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t="s">
        <v>969</v>
      </c>
      <c r="B4585" s="21" t="s">
        <v>955</v>
      </c>
      <c r="C4585" s="21" t="s">
        <v>900</v>
      </c>
      <c r="D4585" s="21" t="s">
        <v>901</v>
      </c>
      <c r="E4585" s="22">
        <f>IF(D4585="?OLD","!!!","")</f>
        <v/>
      </c>
      <c r="F4585" s="23" t="str">
        <f>IF(OR(E4585="",E4585="!!!"),"",IF(NOT(ISNA(VLOOKUP(E4585,E$1:E4584,1,FALSE()))),"OLD",IF(AND(E4585&lt;&gt;"",E4585&lt;&gt;"!!!"),"NEW","")))</f>
        <v> </v>
      </c>
      <c r="G4585" s="24" t="str">
        <f>IF(OR(E4585="",E4585="!!!"),"",IF(OR(J4585=0,AND(J4585=1,K4585=1),AND(J4585=1,I4585="SBJ"),AND(J4585=1,I4585=0)),"?IN_FOCUS",IF(J4585&lt;=2,"?ACTIVATED",IF(J4585&lt;&gt;"","?FAMILIAR",IF(F4585="NEW",IF(ISNA(VLOOKUP(E4585,#REF!,1,FALSE())),"?TYPE_IDENTIFIABLE","?REFERENTIAL"),"_")))))</f>
        <v> </v>
      </c>
      <c r="H4585" s="25" t="str">
        <f>IF(J4585&lt;&gt;1,"",IF(I4585="SBJ","CB","?"))</f>
        <v> </v>
      </c>
      <c r="I4585" s="26" t="str">
        <f>IF(OR(E4585="",E4585="!!!",F4585="NEW"),"",INDEX(B4584:B$2,-1+SUMPRODUCT(MAX(ROW(E4584:E$2)*(E4585=E4584:E$2)))))</f>
        <v> </v>
      </c>
      <c r="J4585" s="26" t="str">
        <f>IF(OR(E4585="",E4585="!!!",F4585="NEW"),"",COUNTBLANK(OFFSET(A$1,,,SUMPRODUCT(MAX(ROW(E$2:E4585)*(E4585=E$2:E4585)))))-COUNTBLANK(OFFSET(A$1,,,SUMPRODUCT(MAX(ROW(E$1:E4584)*(E2=E$1:E4584))))))</f>
        <v> </v>
      </c>
      <c r="K4585" s="26" t="str">
        <f>IF(OR(E4585="",E4585="!!!",F4585="NEW"),"",INDEX(J$1:J4584,SUMPRODUCT(MAX(ROW(E$1:E4584)*(E4585=E$1:E4584)))))</f>
        <v> </v>
      </c>
      <c r="L4585" s="27"/>
    </row>
    <row r="4586" spans="1:12">
      <c r="A4586" s="20" t="s">
        <v>970</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2232</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t="s">
        <v>1033</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1048</v>
      </c>
      <c r="B4589" s="21" t="s">
        <v>965</v>
      </c>
      <c r="C4589" s="21" t="s">
        <v>1035</v>
      </c>
      <c r="D4589" s="21" t="s">
        <v>901</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t="s">
        <v>1237</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933</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1551</v>
      </c>
      <c r="B4592" s="21" t="s">
        <v>923</v>
      </c>
      <c r="C4592" s="21" t="s">
        <v>931</v>
      </c>
      <c r="D4592" s="21" t="s">
        <v>901</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960</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2233</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942</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926</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940</v>
      </c>
      <c r="B4597" s="21" t="s">
        <v>907</v>
      </c>
      <c r="C4597" s="21" t="s">
        <v>931</v>
      </c>
      <c r="D4597" s="21" t="s">
        <v>901</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960</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942</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1631</v>
      </c>
      <c r="B4600" s="21" t="s">
        <v>907</v>
      </c>
      <c r="C4600" s="21" t="s">
        <v>913</v>
      </c>
      <c r="D4600" s="21" t="s">
        <v>901</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942</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1007</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2234</v>
      </c>
      <c r="B4603" s="21" t="s">
        <v>923</v>
      </c>
      <c r="C4603" s="21" t="s">
        <v>913</v>
      </c>
      <c r="D4603" s="21" t="s">
        <v>901</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942</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2235</v>
      </c>
      <c r="B4605" s="21" t="s">
        <v>928</v>
      </c>
      <c r="C4605" s="21" t="s">
        <v>913</v>
      </c>
      <c r="D4605" s="21" t="s">
        <v>901</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914</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t="s">
        <v>2236</v>
      </c>
      <c r="B4607" s="21" t="s">
        <v>950</v>
      </c>
      <c r="C4607" s="21" t="s">
        <v>916</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960</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t="s">
        <v>933</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t="s">
        <v>1061</v>
      </c>
      <c r="B4610" s="21" t="s">
        <v>947</v>
      </c>
      <c r="E4610" s="22">
        <f>IF(D4610="?OLD","!!!","")</f>
        <v/>
      </c>
      <c r="F4610" s="23" t="str">
        <f>IF(OR(E4610="",E4610="!!!"),"",IF(NOT(ISNA(VLOOKUP(E4610,E$1:E4609,1,FALSE()))),"OLD",IF(AND(E4610&lt;&gt;"",E4610&lt;&gt;"!!!"),"NEW","")))</f>
        <v> </v>
      </c>
      <c r="G4610" s="24" t="str">
        <f>IF(OR(E4610="",E4610="!!!"),"",IF(OR(J4610=0,AND(J4610=1,K4610=1),AND(J4610=1,I4610="SBJ"),AND(J4610=1,I4610=0)),"?IN_FOCUS",IF(J4610&lt;=2,"?ACTIVATED",IF(J4610&lt;&gt;"","?FAMILIAR",IF(F4610="NEW",IF(ISNA(VLOOKUP(E4610,#REF!,1,FALSE())),"?TYPE_IDENTIFIABLE","?REFERENTIAL"),"_")))))</f>
        <v> </v>
      </c>
      <c r="H4610" s="25" t="str">
        <f>IF(J4610&lt;&gt;1,"",IF(I4610="SBJ","CB","?"))</f>
        <v> </v>
      </c>
      <c r="I4610" s="26" t="str">
        <f>IF(OR(E4610="",E4610="!!!",F4610="NEW"),"",INDEX(B4609:B$2,-1+SUMPRODUCT(MAX(ROW(E4609:E$2)*(E4610=E4609:E$2)))))</f>
        <v> </v>
      </c>
      <c r="J4610" s="26" t="str">
        <f>IF(OR(E4610="",E4610="!!!",F4610="NEW"),"",COUNTBLANK(OFFSET(A$1,,,SUMPRODUCT(MAX(ROW(E$2:E4610)*(E4610=E$2:E4610)))))-COUNTBLANK(OFFSET(A$1,,,SUMPRODUCT(MAX(ROW(E$1:E4609)*(E2=E$1:E4609))))))</f>
        <v> </v>
      </c>
      <c r="K4610" s="26" t="str">
        <f>IF(OR(E4610="",E4610="!!!",F4610="NEW"),"",INDEX(J$1:J4609,SUMPRODUCT(MAX(ROW(E$1:E4609)*(E4610=E$1:E4609)))))</f>
        <v> </v>
      </c>
      <c r="L4610" s="27"/>
    </row>
    <row r="4611" spans="1:12">
      <c r="A4611" s="20" t="s">
        <v>987</v>
      </c>
      <c r="E4611" s="22">
        <f>IF(D4611="?OLD","!!!","")</f>
        <v/>
      </c>
      <c r="F4611" s="23" t="str">
        <f>IF(OR(E4611="",E4611="!!!"),"",IF(NOT(ISNA(VLOOKUP(E4611,E$1:E4610,1,FALSE()))),"OLD",IF(AND(E4611&lt;&gt;"",E4611&lt;&gt;"!!!"),"NEW","")))</f>
        <v> </v>
      </c>
      <c r="G4611" s="24" t="str">
        <f>IF(OR(E4611="",E4611="!!!"),"",IF(OR(J4611=0,AND(J4611=1,K4611=1),AND(J4611=1,I4611="SBJ"),AND(J4611=1,I4611=0)),"?IN_FOCUS",IF(J4611&lt;=2,"?ACTIVATED",IF(J4611&lt;&gt;"","?FAMILIAR",IF(F4611="NEW",IF(ISNA(VLOOKUP(E4611,#REF!,1,FALSE())),"?TYPE_IDENTIFIABLE","?REFERENTIAL"),"_")))))</f>
        <v> </v>
      </c>
      <c r="H4611" s="25" t="str">
        <f>IF(J4611&lt;&gt;1,"",IF(I4611="SBJ","CB","?"))</f>
        <v> </v>
      </c>
      <c r="I4611" s="26" t="str">
        <f>IF(OR(E4611="",E4611="!!!",F4611="NEW"),"",INDEX(B4610:B$2,-1+SUMPRODUCT(MAX(ROW(E4610:E$2)*(E4611=E4610:E$2)))))</f>
        <v> </v>
      </c>
      <c r="J4611" s="26" t="str">
        <f>IF(OR(E4611="",E4611="!!!",F4611="NEW"),"",COUNTBLANK(OFFSET(A$1,,,SUMPRODUCT(MAX(ROW(E$2:E4611)*(E4611=E$2:E4611)))))-COUNTBLANK(OFFSET(A$1,,,SUMPRODUCT(MAX(ROW(E$1:E4610)*(E2=E$1:E4610))))))</f>
        <v> </v>
      </c>
      <c r="K4611" s="26" t="str">
        <f>IF(OR(E4611="",E4611="!!!",F4611="NEW"),"",INDEX(J$1:J4610,SUMPRODUCT(MAX(ROW(E$1:E4610)*(E4611=E$1:E4610)))))</f>
        <v> </v>
      </c>
      <c r="L4611" s="27"/>
    </row>
    <row r="4612" spans="1:12">
      <c r="A4612" s="20" t="s">
        <v>2237</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t="s">
        <v>2238</v>
      </c>
      <c r="B4613" s="21" t="s">
        <v>949</v>
      </c>
      <c r="C4613" s="21" t="s">
        <v>916</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t="s">
        <v>921</v>
      </c>
      <c r="E4614" s="22">
        <f>IF(D4614="?OLD","!!!","")</f>
        <v/>
      </c>
      <c r="F4614" s="23" t="str">
        <f>IF(OR(E4614="",E4614="!!!"),"",IF(NOT(ISNA(VLOOKUP(E4614,E$1:E4613,1,FALSE()))),"OLD",IF(AND(E4614&lt;&gt;"",E4614&lt;&gt;"!!!"),"NEW","")))</f>
        <v> </v>
      </c>
      <c r="G4614" s="24" t="str">
        <f>IF(OR(E4614="",E4614="!!!"),"",IF(OR(J4614=0,AND(J4614=1,K4614=1),AND(J4614=1,I4614="SBJ"),AND(J4614=1,I4614=0)),"?IN_FOCUS",IF(J4614&lt;=2,"?ACTIVATED",IF(J4614&lt;&gt;"","?FAMILIAR",IF(F4614="NEW",IF(ISNA(VLOOKUP(E4614,#REF!,1,FALSE())),"?TYPE_IDENTIFIABLE","?REFERENTIAL"),"_")))))</f>
        <v> </v>
      </c>
      <c r="H4614" s="25" t="str">
        <f>IF(J4614&lt;&gt;1,"",IF(I4614="SBJ","CB","?"))</f>
        <v> </v>
      </c>
      <c r="I4614" s="26" t="str">
        <f>IF(OR(E4614="",E4614="!!!",F4614="NEW"),"",INDEX(B4613:B$2,-1+SUMPRODUCT(MAX(ROW(E4613:E$2)*(E4614=E4613:E$2)))))</f>
        <v> </v>
      </c>
      <c r="J4614" s="26" t="str">
        <f>IF(OR(E4614="",E4614="!!!",F4614="NEW"),"",COUNTBLANK(OFFSET(A$1,,,SUMPRODUCT(MAX(ROW(E$2:E4614)*(E4614=E$2:E4614)))))-COUNTBLANK(OFFSET(A$1,,,SUMPRODUCT(MAX(ROW(E$1:E4613)*(E2=E$1:E4613))))))</f>
        <v> </v>
      </c>
      <c r="K4614" s="26" t="str">
        <f>IF(OR(E4614="",E4614="!!!",F4614="NEW"),"",INDEX(J$1:J4613,SUMPRODUCT(MAX(ROW(E$1:E4613)*(E4614=E$1:E4613)))))</f>
        <v> </v>
      </c>
      <c r="L4614" s="27"/>
    </row>
    <row r="4615" spans="1:12">
      <c r="A4615" s="20" t="s">
        <v>1011</v>
      </c>
      <c r="E4615" s="22">
        <f>IF(D4615="?OLD","!!!","")</f>
        <v/>
      </c>
      <c r="F4615" s="23" t="str">
        <f>IF(OR(E4615="",E4615="!!!"),"",IF(NOT(ISNA(VLOOKUP(E4615,E$1:E4614,1,FALSE()))),"OLD",IF(AND(E4615&lt;&gt;"",E4615&lt;&gt;"!!!"),"NEW","")))</f>
        <v> </v>
      </c>
      <c r="G4615" s="24" t="str">
        <f>IF(OR(E4615="",E4615="!!!"),"",IF(OR(J4615=0,AND(J4615=1,K4615=1),AND(J4615=1,I4615="SBJ"),AND(J4615=1,I4615=0)),"?IN_FOCUS",IF(J4615&lt;=2,"?ACTIVATED",IF(J4615&lt;&gt;"","?FAMILIAR",IF(F4615="NEW",IF(ISNA(VLOOKUP(E4615,#REF!,1,FALSE())),"?TYPE_IDENTIFIABLE","?REFERENTIAL"),"_")))))</f>
        <v> </v>
      </c>
      <c r="H4615" s="25" t="str">
        <f>IF(J4615&lt;&gt;1,"",IF(I4615="SBJ","CB","?"))</f>
        <v> </v>
      </c>
      <c r="I4615" s="26" t="str">
        <f>IF(OR(E4615="",E4615="!!!",F4615="NEW"),"",INDEX(B4614:B$2,-1+SUMPRODUCT(MAX(ROW(E4614:E$2)*(E4615=E4614:E$2)))))</f>
        <v> </v>
      </c>
      <c r="J4615" s="26" t="str">
        <f>IF(OR(E4615="",E4615="!!!",F4615="NEW"),"",COUNTBLANK(OFFSET(A$1,,,SUMPRODUCT(MAX(ROW(E$2:E4615)*(E4615=E$2:E4615)))))-COUNTBLANK(OFFSET(A$1,,,SUMPRODUCT(MAX(ROW(E$1:E4614)*(E2=E$1:E4614))))))</f>
        <v> </v>
      </c>
      <c r="K4615" s="26" t="str">
        <f>IF(OR(E4615="",E4615="!!!",F4615="NEW"),"",INDEX(J$1:J4614,SUMPRODUCT(MAX(ROW(E$1:E4614)*(E4615=E$1:E4614)))))</f>
        <v> </v>
      </c>
      <c r="L4615" s="27"/>
    </row>
    <row r="4616" spans="1:12">
      <c r="A4616" s="20" t="s">
        <v>1393</v>
      </c>
      <c r="E4616" s="22">
        <f>IF(D4616="?OLD","!!!","")</f>
        <v/>
      </c>
      <c r="F4616" s="23" t="str">
        <f>IF(OR(E4616="",E4616="!!!"),"",IF(NOT(ISNA(VLOOKUP(E4616,E$1:E4615,1,FALSE()))),"OLD",IF(AND(E4616&lt;&gt;"",E4616&lt;&gt;"!!!"),"NEW","")))</f>
        <v> </v>
      </c>
      <c r="G4616" s="24" t="str">
        <f>IF(OR(E4616="",E4616="!!!"),"",IF(OR(J4616=0,AND(J4616=1,K4616=1),AND(J4616=1,I4616="SBJ"),AND(J4616=1,I4616=0)),"?IN_FOCUS",IF(J4616&lt;=2,"?ACTIVATED",IF(J4616&lt;&gt;"","?FAMILIAR",IF(F4616="NEW",IF(ISNA(VLOOKUP(E4616,#REF!,1,FALSE())),"?TYPE_IDENTIFIABLE","?REFERENTIAL"),"_")))))</f>
        <v> </v>
      </c>
      <c r="H4616" s="25" t="str">
        <f>IF(J4616&lt;&gt;1,"",IF(I4616="SBJ","CB","?"))</f>
        <v> </v>
      </c>
      <c r="I4616" s="26" t="str">
        <f>IF(OR(E4616="",E4616="!!!",F4616="NEW"),"",INDEX(B4615:B$2,-1+SUMPRODUCT(MAX(ROW(E4615:E$2)*(E4616=E4615:E$2)))))</f>
        <v> </v>
      </c>
      <c r="J4616" s="26" t="str">
        <f>IF(OR(E4616="",E4616="!!!",F4616="NEW"),"",COUNTBLANK(OFFSET(A$1,,,SUMPRODUCT(MAX(ROW(E$2:E4616)*(E4616=E$2:E4616)))))-COUNTBLANK(OFFSET(A$1,,,SUMPRODUCT(MAX(ROW(E$1:E4615)*(E2=E$1:E4615))))))</f>
        <v> </v>
      </c>
      <c r="K4616" s="26" t="str">
        <f>IF(OR(E4616="",E4616="!!!",F4616="NEW"),"",INDEX(J$1:J4615,SUMPRODUCT(MAX(ROW(E$1:E4615)*(E4616=E$1:E4615)))))</f>
        <v> </v>
      </c>
      <c r="L4616" s="27"/>
    </row>
    <row r="4617" spans="1:12">
      <c r="A4617" s="20" t="s">
        <v>161</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932</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230</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1441</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2060</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914</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1007</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t="s">
        <v>2239</v>
      </c>
      <c r="B4624" s="21" t="s">
        <v>2240</v>
      </c>
      <c r="C4624" s="21" t="s">
        <v>929</v>
      </c>
      <c r="D4624" s="21" t="s">
        <v>901</v>
      </c>
      <c r="E4624" s="22">
        <f>IF(D4624="?OLD","!!!","")</f>
        <v/>
      </c>
      <c r="F4624" s="23" t="str">
        <f>IF(OR(E4624="",E4624="!!!"),"",IF(NOT(ISNA(VLOOKUP(E4624,E$1:E4623,1,FALSE()))),"OLD",IF(AND(E4624&lt;&gt;"",E4624&lt;&gt;"!!!"),"NEW","")))</f>
        <v> </v>
      </c>
      <c r="G4624" s="24" t="str">
        <f>IF(OR(E4624="",E4624="!!!"),"",IF(OR(J4624=0,AND(J4624=1,K4624=1),AND(J4624=1,I4624="SBJ"),AND(J4624=1,I4624=0)),"?IN_FOCUS",IF(J4624&lt;=2,"?ACTIVATED",IF(J4624&lt;&gt;"","?FAMILIAR",IF(F4624="NEW",IF(ISNA(VLOOKUP(E4624,#REF!,1,FALSE())),"?TYPE_IDENTIFIABLE","?REFERENTIAL"),"_")))))</f>
        <v> </v>
      </c>
      <c r="H4624" s="25" t="str">
        <f>IF(J4624&lt;&gt;1,"",IF(I4624="SBJ","CB","?"))</f>
        <v> </v>
      </c>
      <c r="I4624" s="26" t="str">
        <f>IF(OR(E4624="",E4624="!!!",F4624="NEW"),"",INDEX(B4623:B$2,-1+SUMPRODUCT(MAX(ROW(E4623:E$2)*(E4624=E4623:E$2)))))</f>
        <v> </v>
      </c>
      <c r="J4624" s="26" t="str">
        <f>IF(OR(E4624="",E4624="!!!",F4624="NEW"),"",COUNTBLANK(OFFSET(A$1,,,SUMPRODUCT(MAX(ROW(E$2:E4624)*(E4624=E$2:E4624)))))-COUNTBLANK(OFFSET(A$1,,,SUMPRODUCT(MAX(ROW(E$1:E4623)*(E2=E$1:E4623))))))</f>
        <v> </v>
      </c>
      <c r="K4624" s="26" t="str">
        <f>IF(OR(E4624="",E4624="!!!",F4624="NEW"),"",INDEX(J$1:J4623,SUMPRODUCT(MAX(ROW(E$1:E4623)*(E4624=E$1:E4623)))))</f>
        <v> </v>
      </c>
      <c r="L4624" s="27"/>
    </row>
    <row r="4625" spans="1:12">
      <c r="A4625" s="20" t="s">
        <v>2241</v>
      </c>
      <c r="B4625" s="21" t="s">
        <v>2242</v>
      </c>
      <c r="C4625" s="21" t="s">
        <v>931</v>
      </c>
      <c r="D4625" s="21" t="s">
        <v>901</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t="s">
        <v>1712</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932</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t="s">
        <v>681</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t="s">
        <v>926</v>
      </c>
      <c r="E4629" s="22">
        <f>IF(D4629="?OLD","!!!","")</f>
        <v/>
      </c>
      <c r="F4629" s="23" t="str">
        <f>IF(OR(E4629="",E4629="!!!"),"",IF(NOT(ISNA(VLOOKUP(E4629,E$1:E4628,1,FALSE()))),"OLD",IF(AND(E4629&lt;&gt;"",E4629&lt;&gt;"!!!"),"NEW","")))</f>
        <v> </v>
      </c>
      <c r="G4629" s="24" t="str">
        <f>IF(OR(E4629="",E4629="!!!"),"",IF(OR(J4629=0,AND(J4629=1,K4629=1),AND(J4629=1,I4629="SBJ"),AND(J4629=1,I4629=0)),"?IN_FOCUS",IF(J4629&lt;=2,"?ACTIVATED",IF(J4629&lt;&gt;"","?FAMILIAR",IF(F4629="NEW",IF(ISNA(VLOOKUP(E4629,#REF!,1,FALSE())),"?TYPE_IDENTIFIABLE","?REFERENTIAL"),"_")))))</f>
        <v> </v>
      </c>
      <c r="H4629" s="25" t="str">
        <f>IF(J4629&lt;&gt;1,"",IF(I4629="SBJ","CB","?"))</f>
        <v> </v>
      </c>
      <c r="I4629" s="26" t="str">
        <f>IF(OR(E4629="",E4629="!!!",F4629="NEW"),"",INDEX(B4628:B$2,-1+SUMPRODUCT(MAX(ROW(E4628:E$2)*(E4629=E4628:E$2)))))</f>
        <v> </v>
      </c>
      <c r="J4629" s="26" t="str">
        <f>IF(OR(E4629="",E4629="!!!",F4629="NEW"),"",COUNTBLANK(OFFSET(A$1,,,SUMPRODUCT(MAX(ROW(E$2:E4629)*(E4629=E$2:E4629)))))-COUNTBLANK(OFFSET(A$1,,,SUMPRODUCT(MAX(ROW(E$1:E4628)*(E2=E$1:E4628))))))</f>
        <v> </v>
      </c>
      <c r="K4629" s="26" t="str">
        <f>IF(OR(E4629="",E4629="!!!",F4629="NEW"),"",INDEX(J$1:J4628,SUMPRODUCT(MAX(ROW(E$1:E4628)*(E4629=E$1:E4628)))))</f>
        <v> </v>
      </c>
      <c r="L4629" s="27"/>
    </row>
    <row r="4630" spans="1:12">
      <c r="A4630" s="20" t="s">
        <v>940</v>
      </c>
      <c r="B4630" s="21" t="s">
        <v>1496</v>
      </c>
      <c r="C4630" s="21" t="s">
        <v>931</v>
      </c>
      <c r="D4630" s="21" t="s">
        <v>901</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t="s">
        <v>202</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row>
    <row r="4633" spans="1:12">
      <c r="A4633" s="20" t="s">
        <v>2243</v>
      </c>
    </row>
    <row r="4634" spans="1:12">
      <c r="A4634" s="20" t="s">
        <v>1190</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t="s">
        <v>1601</v>
      </c>
      <c r="E4635" s="22">
        <f>IF(D4635="?OLD","!!!","")</f>
        <v/>
      </c>
      <c r="F4635" s="23" t="str">
        <f>IF(OR(E4635="",E4635="!!!"),"",IF(NOT(ISNA(VLOOKUP(E4635,E$1:E4634,1,FALSE()))),"OLD",IF(AND(E4635&lt;&gt;"",E4635&lt;&gt;"!!!"),"NEW","")))</f>
        <v> </v>
      </c>
      <c r="G4635" s="24" t="str">
        <f>IF(OR(E4635="",E4635="!!!"),"",IF(OR(J4635=0,AND(J4635=1,K4635=1),AND(J4635=1,I4635="SBJ"),AND(J4635=1,I4635=0)),"?IN_FOCUS",IF(J4635&lt;=2,"?ACTIVATED",IF(J4635&lt;&gt;"","?FAMILIAR",IF(F4635="NEW",IF(ISNA(VLOOKUP(E4635,#REF!,1,FALSE())),"?TYPE_IDENTIFIABLE","?REFERENTIAL"),"_")))))</f>
        <v> </v>
      </c>
      <c r="H4635" s="25" t="str">
        <f>IF(J4635&lt;&gt;1,"",IF(I4635="SBJ","CB","?"))</f>
        <v> </v>
      </c>
      <c r="I4635" s="26" t="str">
        <f>IF(OR(E4635="",E4635="!!!",F4635="NEW"),"",INDEX(B4634:B$2,-1+SUMPRODUCT(MAX(ROW(E4634:E$2)*(E4635=E4634:E$2)))))</f>
        <v> </v>
      </c>
      <c r="J4635" s="26" t="str">
        <f>IF(OR(E4635="",E4635="!!!",F4635="NEW"),"",COUNTBLANK(OFFSET(A$1,,,SUMPRODUCT(MAX(ROW(E$2:E4635)*(E4635=E$2:E4635)))))-COUNTBLANK(OFFSET(A$1,,,SUMPRODUCT(MAX(ROW(E$1:E4634)*(E2=E$1:E4634))))))</f>
        <v> </v>
      </c>
      <c r="K4635" s="26" t="str">
        <f>IF(OR(E4635="",E4635="!!!",F4635="NEW"),"",INDEX(J$1:J4634,SUMPRODUCT(MAX(ROW(E$1:E4634)*(E4635=E$1:E4634)))))</f>
        <v> </v>
      </c>
      <c r="L4635" s="27"/>
    </row>
    <row r="4636" spans="1:12">
      <c r="A4636" s="20" t="s">
        <v>914</v>
      </c>
      <c r="E4636" s="22">
        <f>IF(D4636="?OLD","!!!","")</f>
        <v/>
      </c>
      <c r="F4636" s="23" t="str">
        <f>IF(OR(E4636="",E4636="!!!"),"",IF(NOT(ISNA(VLOOKUP(E4636,E$1:E4635,1,FALSE()))),"OLD",IF(AND(E4636&lt;&gt;"",E4636&lt;&gt;"!!!"),"NEW","")))</f>
        <v> </v>
      </c>
      <c r="G4636" s="24" t="str">
        <f>IF(OR(E4636="",E4636="!!!"),"",IF(OR(J4636=0,AND(J4636=1,K4636=1),AND(J4636=1,I4636="SBJ"),AND(J4636=1,I4636=0)),"?IN_FOCUS",IF(J4636&lt;=2,"?ACTIVATED",IF(J4636&lt;&gt;"","?FAMILIAR",IF(F4636="NEW",IF(ISNA(VLOOKUP(E4636,#REF!,1,FALSE())),"?TYPE_IDENTIFIABLE","?REFERENTIAL"),"_")))))</f>
        <v> </v>
      </c>
      <c r="H4636" s="25" t="str">
        <f>IF(J4636&lt;&gt;1,"",IF(I4636="SBJ","CB","?"))</f>
        <v> </v>
      </c>
      <c r="I4636" s="26" t="str">
        <f>IF(OR(E4636="",E4636="!!!",F4636="NEW"),"",INDEX(B4635:B$2,-1+SUMPRODUCT(MAX(ROW(E4635:E$2)*(E4636=E4635:E$2)))))</f>
        <v> </v>
      </c>
      <c r="J4636" s="26" t="str">
        <f>IF(OR(E4636="",E4636="!!!",F4636="NEW"),"",COUNTBLANK(OFFSET(A$1,,,SUMPRODUCT(MAX(ROW(E$2:E4636)*(E4636=E$2:E4636)))))-COUNTBLANK(OFFSET(A$1,,,SUMPRODUCT(MAX(ROW(E$1:E4635)*(E2=E$1:E4635))))))</f>
        <v> </v>
      </c>
      <c r="K4636" s="26" t="str">
        <f>IF(OR(E4636="",E4636="!!!",F4636="NEW"),"",INDEX(J$1:J4635,SUMPRODUCT(MAX(ROW(E$1:E4635)*(E4636=E$1:E4635)))))</f>
        <v> </v>
      </c>
      <c r="L4636" s="27"/>
    </row>
    <row r="4637" spans="1:12">
      <c r="A4637" s="20" t="s">
        <v>845</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202</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row>
    <row r="4640" spans="1:12">
      <c r="A4640" s="20" t="s">
        <v>2244</v>
      </c>
    </row>
    <row r="4641" spans="1:12">
      <c r="A4641" s="20" t="s">
        <v>2245</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685</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1114</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1589</v>
      </c>
      <c r="B4644" s="21" t="s">
        <v>899</v>
      </c>
      <c r="C4644" s="21" t="s">
        <v>959</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t="s">
        <v>202</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row>
    <row r="4647" spans="1:12">
      <c r="A4647" s="20" t="s">
        <v>2246</v>
      </c>
    </row>
    <row r="4648" spans="1:12">
      <c r="A4648" s="20" t="s">
        <v>2247</v>
      </c>
      <c r="B4648" s="21" t="s">
        <v>907</v>
      </c>
      <c r="C4648" s="21" t="s">
        <v>998</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1160</v>
      </c>
      <c r="B4649" s="21" t="s">
        <v>899</v>
      </c>
      <c r="C4649" s="21" t="s">
        <v>994</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2248</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t="s">
        <v>1026</v>
      </c>
      <c r="E4651" s="22">
        <f>IF(D4651="?OLD","!!!","")</f>
        <v/>
      </c>
      <c r="F4651" s="23" t="str">
        <f>IF(OR(E4651="",E4651="!!!"),"",IF(NOT(ISNA(VLOOKUP(E4651,E$1:E4650,1,FALSE()))),"OLD",IF(AND(E4651&lt;&gt;"",E4651&lt;&gt;"!!!"),"NEW","")))</f>
        <v> </v>
      </c>
      <c r="G4651" s="24" t="str">
        <f>IF(OR(E4651="",E4651="!!!"),"",IF(OR(J4651=0,AND(J4651=1,K4651=1),AND(J4651=1,I4651="SBJ"),AND(J4651=1,I4651=0)),"?IN_FOCUS",IF(J4651&lt;=2,"?ACTIVATED",IF(J4651&lt;&gt;"","?FAMILIAR",IF(F4651="NEW",IF(ISNA(VLOOKUP(E4651,#REF!,1,FALSE())),"?TYPE_IDENTIFIABLE","?REFERENTIAL"),"_")))))</f>
        <v> </v>
      </c>
      <c r="H4651" s="25" t="str">
        <f>IF(J4651&lt;&gt;1,"",IF(I4651="SBJ","CB","?"))</f>
        <v> </v>
      </c>
      <c r="I4651" s="26" t="str">
        <f>IF(OR(E4651="",E4651="!!!",F4651="NEW"),"",INDEX(B4650:B$2,-1+SUMPRODUCT(MAX(ROW(E4650:E$2)*(E4651=E4650:E$2)))))</f>
        <v> </v>
      </c>
      <c r="J4651" s="26" t="str">
        <f>IF(OR(E4651="",E4651="!!!",F4651="NEW"),"",COUNTBLANK(OFFSET(A$1,,,SUMPRODUCT(MAX(ROW(E$2:E4651)*(E4651=E$2:E4651)))))-COUNTBLANK(OFFSET(A$1,,,SUMPRODUCT(MAX(ROW(E$1:E4650)*(E2=E$1:E4650))))))</f>
        <v> </v>
      </c>
      <c r="K4651" s="26" t="str">
        <f>IF(OR(E4651="",E4651="!!!",F4651="NEW"),"",INDEX(J$1:J4650,SUMPRODUCT(MAX(ROW(E$1:E4650)*(E4651=E$1:E4650)))))</f>
        <v> </v>
      </c>
      <c r="L4651" s="27"/>
    </row>
    <row r="4652" spans="1:12">
      <c r="A4652" s="20" t="s">
        <v>2249</v>
      </c>
      <c r="E4652" s="22">
        <f>IF(D4652="?OLD","!!!","")</f>
        <v/>
      </c>
      <c r="F4652" s="23" t="str">
        <f>IF(OR(E4652="",E4652="!!!"),"",IF(NOT(ISNA(VLOOKUP(E4652,E$1:E4651,1,FALSE()))),"OLD",IF(AND(E4652&lt;&gt;"",E4652&lt;&gt;"!!!"),"NEW","")))</f>
        <v> </v>
      </c>
      <c r="G4652" s="24" t="str">
        <f>IF(OR(E4652="",E4652="!!!"),"",IF(OR(J4652=0,AND(J4652=1,K4652=1),AND(J4652=1,I4652="SBJ"),AND(J4652=1,I4652=0)),"?IN_FOCUS",IF(J4652&lt;=2,"?ACTIVATED",IF(J4652&lt;&gt;"","?FAMILIAR",IF(F4652="NEW",IF(ISNA(VLOOKUP(E4652,#REF!,1,FALSE())),"?TYPE_IDENTIFIABLE","?REFERENTIAL"),"_")))))</f>
        <v> </v>
      </c>
      <c r="H4652" s="25" t="str">
        <f>IF(J4652&lt;&gt;1,"",IF(I4652="SBJ","CB","?"))</f>
        <v> </v>
      </c>
      <c r="I4652" s="26" t="str">
        <f>IF(OR(E4652="",E4652="!!!",F4652="NEW"),"",INDEX(B4651:B$2,-1+SUMPRODUCT(MAX(ROW(E4651:E$2)*(E4652=E4651:E$2)))))</f>
        <v> </v>
      </c>
      <c r="J4652" s="26" t="str">
        <f>IF(OR(E4652="",E4652="!!!",F4652="NEW"),"",COUNTBLANK(OFFSET(A$1,,,SUMPRODUCT(MAX(ROW(E$2:E4652)*(E4652=E$2:E4652)))))-COUNTBLANK(OFFSET(A$1,,,SUMPRODUCT(MAX(ROW(E$1:E4651)*(E2=E$1:E4651))))))</f>
        <v> </v>
      </c>
      <c r="K4652" s="26" t="str">
        <f>IF(OR(E4652="",E4652="!!!",F4652="NEW"),"",INDEX(J$1:J4651,SUMPRODUCT(MAX(ROW(E$1:E4651)*(E4652=E$1:E4651)))))</f>
        <v> </v>
      </c>
      <c r="L4652" s="27"/>
    </row>
    <row r="4653" spans="1:12">
      <c r="A4653" s="20" t="s">
        <v>1233</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row>
    <row r="4655" spans="1:12">
      <c r="A4655" s="20" t="s">
        <v>2250</v>
      </c>
    </row>
    <row r="4656" spans="1:12">
      <c r="A4656" s="20" t="s">
        <v>1174</v>
      </c>
      <c r="E4656" s="22">
        <f>IF(D4656="?OLD","!!!","")</f>
        <v/>
      </c>
      <c r="F4656" s="23" t="str">
        <f>IF(OR(E4656="",E4656="!!!"),"",IF(NOT(ISNA(VLOOKUP(E4656,E$1:E4655,1,FALSE()))),"OLD",IF(AND(E4656&lt;&gt;"",E4656&lt;&gt;"!!!"),"NEW","")))</f>
        <v> </v>
      </c>
      <c r="G4656" s="24" t="str">
        <f>IF(OR(E4656="",E4656="!!!"),"",IF(OR(J4656=0,AND(J4656=1,K4656=1),AND(J4656=1,I4656="SBJ"),AND(J4656=1,I4656=0)),"?IN_FOCUS",IF(J4656&lt;=2,"?ACTIVATED",IF(J4656&lt;&gt;"","?FAMILIAR",IF(F4656="NEW",IF(ISNA(VLOOKUP(E4656,#REF!,1,FALSE())),"?TYPE_IDENTIFIABLE","?REFERENTIAL"),"_")))))</f>
        <v> </v>
      </c>
      <c r="H4656" s="25" t="str">
        <f>IF(J4656&lt;&gt;1,"",IF(I4656="SBJ","CB","?"))</f>
        <v> </v>
      </c>
      <c r="I4656" s="26" t="str">
        <f>IF(OR(E4656="",E4656="!!!",F4656="NEW"),"",INDEX(B4655:B$2,-1+SUMPRODUCT(MAX(ROW(E4655:E$2)*(E4656=E4655:E$2)))))</f>
        <v> </v>
      </c>
      <c r="J4656" s="26" t="str">
        <f>IF(OR(E4656="",E4656="!!!",F4656="NEW"),"",COUNTBLANK(OFFSET(A$1,,,SUMPRODUCT(MAX(ROW(E$2:E4656)*(E4656=E$2:E4656)))))-COUNTBLANK(OFFSET(A$1,,,SUMPRODUCT(MAX(ROW(E$1:E4655)*(E2=E$1:E4655))))))</f>
        <v> </v>
      </c>
      <c r="K4656" s="26" t="str">
        <f>IF(OR(E4656="",E4656="!!!",F4656="NEW"),"",INDEX(J$1:J4655,SUMPRODUCT(MAX(ROW(E$1:E4655)*(E4656=E$1:E4655)))))</f>
        <v> </v>
      </c>
      <c r="L4656" s="27"/>
    </row>
    <row r="4657" spans="1:12">
      <c r="A4657" s="20" t="s">
        <v>967</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t="s">
        <v>1304</v>
      </c>
      <c r="E4658" s="22">
        <f>IF(D4658="?OLD","!!!","")</f>
        <v/>
      </c>
      <c r="F4658" s="23" t="str">
        <f>IF(OR(E4658="",E4658="!!!"),"",IF(NOT(ISNA(VLOOKUP(E4658,E$1:E4657,1,FALSE()))),"OLD",IF(AND(E4658&lt;&gt;"",E4658&lt;&gt;"!!!"),"NEW","")))</f>
        <v> </v>
      </c>
      <c r="G4658" s="24" t="str">
        <f>IF(OR(E4658="",E4658="!!!"),"",IF(OR(J4658=0,AND(J4658=1,K4658=1),AND(J4658=1,I4658="SBJ"),AND(J4658=1,I4658=0)),"?IN_FOCUS",IF(J4658&lt;=2,"?ACTIVATED",IF(J4658&lt;&gt;"","?FAMILIAR",IF(F4658="NEW",IF(ISNA(VLOOKUP(E4658,#REF!,1,FALSE())),"?TYPE_IDENTIFIABLE","?REFERENTIAL"),"_")))))</f>
        <v> </v>
      </c>
      <c r="H4658" s="25" t="str">
        <f>IF(J4658&lt;&gt;1,"",IF(I4658="SBJ","CB","?"))</f>
        <v> </v>
      </c>
      <c r="I4658" s="26" t="str">
        <f>IF(OR(E4658="",E4658="!!!",F4658="NEW"),"",INDEX(B4657:B$2,-1+SUMPRODUCT(MAX(ROW(E4657:E$2)*(E4658=E4657:E$2)))))</f>
        <v> </v>
      </c>
      <c r="J4658" s="26" t="str">
        <f>IF(OR(E4658="",E4658="!!!",F4658="NEW"),"",COUNTBLANK(OFFSET(A$1,,,SUMPRODUCT(MAX(ROW(E$2:E4658)*(E4658=E$2:E4658)))))-COUNTBLANK(OFFSET(A$1,,,SUMPRODUCT(MAX(ROW(E$1:E4657)*(E2=E$1:E4657))))))</f>
        <v> </v>
      </c>
      <c r="K4658" s="26" t="str">
        <f>IF(OR(E4658="",E4658="!!!",F4658="NEW"),"",INDEX(J$1:J4657,SUMPRODUCT(MAX(ROW(E$1:E4657)*(E4658=E$1:E4657)))))</f>
        <v> </v>
      </c>
      <c r="L4658" s="27"/>
    </row>
    <row r="4659" spans="1:12">
      <c r="A4659" s="20" t="s">
        <v>2251</v>
      </c>
      <c r="E4659" s="22">
        <f>IF(D4659="?OLD","!!!","")</f>
        <v/>
      </c>
      <c r="F4659" s="23" t="str">
        <f>IF(OR(E4659="",E4659="!!!"),"",IF(NOT(ISNA(VLOOKUP(E4659,E$1:E4658,1,FALSE()))),"OLD",IF(AND(E4659&lt;&gt;"",E4659&lt;&gt;"!!!"),"NEW","")))</f>
        <v> </v>
      </c>
      <c r="G4659" s="24" t="str">
        <f>IF(OR(E4659="",E4659="!!!"),"",IF(OR(J4659=0,AND(J4659=1,K4659=1),AND(J4659=1,I4659="SBJ"),AND(J4659=1,I4659=0)),"?IN_FOCUS",IF(J4659&lt;=2,"?ACTIVATED",IF(J4659&lt;&gt;"","?FAMILIAR",IF(F4659="NEW",IF(ISNA(VLOOKUP(E4659,#REF!,1,FALSE())),"?TYPE_IDENTIFIABLE","?REFERENTIAL"),"_")))))</f>
        <v> </v>
      </c>
      <c r="H4659" s="25" t="str">
        <f>IF(J4659&lt;&gt;1,"",IF(I4659="SBJ","CB","?"))</f>
        <v> </v>
      </c>
      <c r="I4659" s="26" t="str">
        <f>IF(OR(E4659="",E4659="!!!",F4659="NEW"),"",INDEX(B4658:B$2,-1+SUMPRODUCT(MAX(ROW(E4658:E$2)*(E4659=E4658:E$2)))))</f>
        <v> </v>
      </c>
      <c r="J4659" s="26" t="str">
        <f>IF(OR(E4659="",E4659="!!!",F4659="NEW"),"",COUNTBLANK(OFFSET(A$1,,,SUMPRODUCT(MAX(ROW(E$2:E4659)*(E4659=E$2:E4659)))))-COUNTBLANK(OFFSET(A$1,,,SUMPRODUCT(MAX(ROW(E$1:E4658)*(E2=E$1:E4658))))))</f>
        <v> </v>
      </c>
      <c r="K4659" s="26" t="str">
        <f>IF(OR(E4659="",E4659="!!!",F4659="NEW"),"",INDEX(J$1:J4658,SUMPRODUCT(MAX(ROW(E$1:E4658)*(E4659=E$1:E4658)))))</f>
        <v> </v>
      </c>
      <c r="L4659" s="27"/>
    </row>
    <row r="4660" spans="1:12">
      <c r="A4660" s="20" t="s">
        <v>1108</v>
      </c>
      <c r="B4660" s="21" t="s">
        <v>899</v>
      </c>
      <c r="C4660" s="21" t="s">
        <v>1035</v>
      </c>
      <c r="D4660" s="21" t="s">
        <v>901</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960</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1046</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1304</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919</v>
      </c>
      <c r="B4664" s="21" t="s">
        <v>955</v>
      </c>
      <c r="C4664" s="21" t="s">
        <v>1035</v>
      </c>
      <c r="D4664" s="21" t="s">
        <v>901</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1026</v>
      </c>
      <c r="B4665" s="21" t="s">
        <v>1333</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1019</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914</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933</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t="s">
        <v>2252</v>
      </c>
      <c r="B4669" s="21" t="s">
        <v>923</v>
      </c>
      <c r="C4669" s="21" t="s">
        <v>931</v>
      </c>
      <c r="D4669" s="21" t="s">
        <v>901</v>
      </c>
      <c r="E4669" s="22">
        <f>IF(D4669="?OLD","!!!","")</f>
        <v/>
      </c>
      <c r="F4669" s="23" t="str">
        <f>IF(OR(E4669="",E4669="!!!"),"",IF(NOT(ISNA(VLOOKUP(E4669,E$1:E4668,1,FALSE()))),"OLD",IF(AND(E4669&lt;&gt;"",E4669&lt;&gt;"!!!"),"NEW","")))</f>
        <v> </v>
      </c>
      <c r="G4669" s="24" t="str">
        <f>IF(OR(E4669="",E4669="!!!"),"",IF(OR(J4669=0,AND(J4669=1,K4669=1),AND(J4669=1,I4669="SBJ"),AND(J4669=1,I4669=0)),"?IN_FOCUS",IF(J4669&lt;=2,"?ACTIVATED",IF(J4669&lt;&gt;"","?FAMILIAR",IF(F4669="NEW",IF(ISNA(VLOOKUP(E4669,#REF!,1,FALSE())),"?TYPE_IDENTIFIABLE","?REFERENTIAL"),"_")))))</f>
        <v> </v>
      </c>
      <c r="H4669" s="25" t="str">
        <f>IF(J4669&lt;&gt;1,"",IF(I4669="SBJ","CB","?"))</f>
        <v> </v>
      </c>
      <c r="I4669" s="26" t="str">
        <f>IF(OR(E4669="",E4669="!!!",F4669="NEW"),"",INDEX(B4668:B$2,-1+SUMPRODUCT(MAX(ROW(E4668:E$2)*(E4669=E4668:E$2)))))</f>
        <v> </v>
      </c>
      <c r="J4669" s="26" t="str">
        <f>IF(OR(E4669="",E4669="!!!",F4669="NEW"),"",COUNTBLANK(OFFSET(A$1,,,SUMPRODUCT(MAX(ROW(E$2:E4669)*(E4669=E$2:E4669)))))-COUNTBLANK(OFFSET(A$1,,,SUMPRODUCT(MAX(ROW(E$1:E4668)*(E2=E$1:E4668))))))</f>
        <v> </v>
      </c>
      <c r="K4669" s="26" t="str">
        <f>IF(OR(E4669="",E4669="!!!",F4669="NEW"),"",INDEX(J$1:J4668,SUMPRODUCT(MAX(ROW(E$1:E4668)*(E4669=E$1:E4668)))))</f>
        <v> </v>
      </c>
      <c r="L4669" s="27"/>
    </row>
    <row r="4670" spans="1:12">
      <c r="A4670" s="20" t="s">
        <v>2253</v>
      </c>
      <c r="E4670" s="22">
        <f>IF(D4670="?OLD","!!!","")</f>
        <v/>
      </c>
      <c r="F4670" s="23" t="str">
        <f>IF(OR(E4670="",E4670="!!!"),"",IF(NOT(ISNA(VLOOKUP(E4670,E$1:E4669,1,FALSE()))),"OLD",IF(AND(E4670&lt;&gt;"",E4670&lt;&gt;"!!!"),"NEW","")))</f>
        <v> </v>
      </c>
      <c r="G4670" s="24" t="str">
        <f>IF(OR(E4670="",E4670="!!!"),"",IF(OR(J4670=0,AND(J4670=1,K4670=1),AND(J4670=1,I4670="SBJ"),AND(J4670=1,I4670=0)),"?IN_FOCUS",IF(J4670&lt;=2,"?ACTIVATED",IF(J4670&lt;&gt;"","?FAMILIAR",IF(F4670="NEW",IF(ISNA(VLOOKUP(E4670,#REF!,1,FALSE())),"?TYPE_IDENTIFIABLE","?REFERENTIAL"),"_")))))</f>
        <v> </v>
      </c>
      <c r="H4670" s="25" t="str">
        <f>IF(J4670&lt;&gt;1,"",IF(I4670="SBJ","CB","?"))</f>
        <v> </v>
      </c>
      <c r="I4670" s="26" t="str">
        <f>IF(OR(E4670="",E4670="!!!",F4670="NEW"),"",INDEX(B4669:B$2,-1+SUMPRODUCT(MAX(ROW(E4669:E$2)*(E4670=E4669:E$2)))))</f>
        <v> </v>
      </c>
      <c r="J4670" s="26" t="str">
        <f>IF(OR(E4670="",E4670="!!!",F4670="NEW"),"",COUNTBLANK(OFFSET(A$1,,,SUMPRODUCT(MAX(ROW(E$2:E4670)*(E4670=E$2:E4670)))))-COUNTBLANK(OFFSET(A$1,,,SUMPRODUCT(MAX(ROW(E$1:E4669)*(E2=E$1:E4669))))))</f>
        <v> </v>
      </c>
      <c r="K4670" s="26" t="str">
        <f>IF(OR(E4670="",E4670="!!!",F4670="NEW"),"",INDEX(J$1:J4669,SUMPRODUCT(MAX(ROW(E$1:E4669)*(E4670=E$1:E4669)))))</f>
        <v> </v>
      </c>
      <c r="L4670" s="27"/>
    </row>
    <row r="4671" spans="1:12">
      <c r="A4671" s="20" t="s">
        <v>914</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1200</v>
      </c>
      <c r="B4672" s="21" t="s">
        <v>950</v>
      </c>
      <c r="C4672" s="21" t="s">
        <v>1097</v>
      </c>
      <c r="D4672" s="21" t="s">
        <v>901</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t="s">
        <v>1026</v>
      </c>
      <c r="B4673" s="21" t="s">
        <v>947</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2254</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t="s">
        <v>729</v>
      </c>
      <c r="E4675" s="22">
        <f>IF(D4675="?OLD","!!!","")</f>
        <v/>
      </c>
      <c r="F4675" s="23" t="str">
        <f>IF(OR(E4675="",E4675="!!!"),"",IF(NOT(ISNA(VLOOKUP(E4675,E$1:E4674,1,FALSE()))),"OLD",IF(AND(E4675&lt;&gt;"",E4675&lt;&gt;"!!!"),"NEW","")))</f>
        <v> </v>
      </c>
      <c r="G4675" s="24" t="str">
        <f>IF(OR(E4675="",E4675="!!!"),"",IF(OR(J4675=0,AND(J4675=1,K4675=1),AND(J4675=1,I4675="SBJ"),AND(J4675=1,I4675=0)),"?IN_FOCUS",IF(J4675&lt;=2,"?ACTIVATED",IF(J4675&lt;&gt;"","?FAMILIAR",IF(F4675="NEW",IF(ISNA(VLOOKUP(E4675,#REF!,1,FALSE())),"?TYPE_IDENTIFIABLE","?REFERENTIAL"),"_")))))</f>
        <v> </v>
      </c>
      <c r="H4675" s="25" t="str">
        <f>IF(J4675&lt;&gt;1,"",IF(I4675="SBJ","CB","?"))</f>
        <v> </v>
      </c>
      <c r="I4675" s="26" t="str">
        <f>IF(OR(E4675="",E4675="!!!",F4675="NEW"),"",INDEX(B4674:B$2,-1+SUMPRODUCT(MAX(ROW(E4674:E$2)*(E4675=E4674:E$2)))))</f>
        <v> </v>
      </c>
      <c r="J4675" s="26" t="str">
        <f>IF(OR(E4675="",E4675="!!!",F4675="NEW"),"",COUNTBLANK(OFFSET(A$1,,,SUMPRODUCT(MAX(ROW(E$2:E4675)*(E4675=E$2:E4675)))))-COUNTBLANK(OFFSET(A$1,,,SUMPRODUCT(MAX(ROW(E$1:E4674)*(E2=E$1:E4674))))))</f>
        <v> </v>
      </c>
      <c r="K4675" s="26" t="str">
        <f>IF(OR(E4675="",E4675="!!!",F4675="NEW"),"",INDEX(J$1:J4674,SUMPRODUCT(MAX(ROW(E$1:E4674)*(E4675=E$1:E4674)))))</f>
        <v> </v>
      </c>
      <c r="L4675" s="27"/>
    </row>
    <row r="4676" spans="1:12">
      <c r="A4676" s="20" t="s">
        <v>960</v>
      </c>
      <c r="E4676" s="22">
        <f>IF(D4676="?OLD","!!!","")</f>
        <v/>
      </c>
      <c r="F4676" s="23" t="str">
        <f>IF(OR(E4676="",E4676="!!!"),"",IF(NOT(ISNA(VLOOKUP(E4676,E$1:E4675,1,FALSE()))),"OLD",IF(AND(E4676&lt;&gt;"",E4676&lt;&gt;"!!!"),"NEW","")))</f>
        <v> </v>
      </c>
      <c r="G4676" s="24" t="str">
        <f>IF(OR(E4676="",E4676="!!!"),"",IF(OR(J4676=0,AND(J4676=1,K4676=1),AND(J4676=1,I4676="SBJ"),AND(J4676=1,I4676=0)),"?IN_FOCUS",IF(J4676&lt;=2,"?ACTIVATED",IF(J4676&lt;&gt;"","?FAMILIAR",IF(F4676="NEW",IF(ISNA(VLOOKUP(E4676,#REF!,1,FALSE())),"?TYPE_IDENTIFIABLE","?REFERENTIAL"),"_")))))</f>
        <v> </v>
      </c>
      <c r="H4676" s="25" t="str">
        <f>IF(J4676&lt;&gt;1,"",IF(I4676="SBJ","CB","?"))</f>
        <v> </v>
      </c>
      <c r="I4676" s="26" t="str">
        <f>IF(OR(E4676="",E4676="!!!",F4676="NEW"),"",INDEX(B4675:B$2,-1+SUMPRODUCT(MAX(ROW(E4675:E$2)*(E4676=E4675:E$2)))))</f>
        <v> </v>
      </c>
      <c r="J4676" s="26" t="str">
        <f>IF(OR(E4676="",E4676="!!!",F4676="NEW"),"",COUNTBLANK(OFFSET(A$1,,,SUMPRODUCT(MAX(ROW(E$2:E4676)*(E4676=E$2:E4676)))))-COUNTBLANK(OFFSET(A$1,,,SUMPRODUCT(MAX(ROW(E$1:E4675)*(E2=E$1:E4675))))))</f>
        <v> </v>
      </c>
      <c r="K4676" s="26" t="str">
        <f>IF(OR(E4676="",E4676="!!!",F4676="NEW"),"",INDEX(J$1:J4675,SUMPRODUCT(MAX(ROW(E$1:E4675)*(E4676=E$1:E4675)))))</f>
        <v> </v>
      </c>
      <c r="L4676" s="27"/>
    </row>
    <row r="4677" spans="1:12">
      <c r="A4677" s="20" t="s">
        <v>1130</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t="s">
        <v>2255</v>
      </c>
      <c r="B4678" s="21" t="s">
        <v>1702</v>
      </c>
      <c r="C4678" s="21" t="s">
        <v>968</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t="s">
        <v>914</v>
      </c>
      <c r="E4679" s="22">
        <f>IF(D4679="?OLD","!!!","")</f>
        <v/>
      </c>
      <c r="F4679" s="23" t="str">
        <f>IF(OR(E4679="",E4679="!!!"),"",IF(NOT(ISNA(VLOOKUP(E4679,E$1:E4678,1,FALSE()))),"OLD",IF(AND(E4679&lt;&gt;"",E4679&lt;&gt;"!!!"),"NEW","")))</f>
        <v> </v>
      </c>
      <c r="G4679" s="24" t="str">
        <f>IF(OR(E4679="",E4679="!!!"),"",IF(OR(J4679=0,AND(J4679=1,K4679=1),AND(J4679=1,I4679="SBJ"),AND(J4679=1,I4679=0)),"?IN_FOCUS",IF(J4679&lt;=2,"?ACTIVATED",IF(J4679&lt;&gt;"","?FAMILIAR",IF(F4679="NEW",IF(ISNA(VLOOKUP(E4679,#REF!,1,FALSE())),"?TYPE_IDENTIFIABLE","?REFERENTIAL"),"_")))))</f>
        <v> </v>
      </c>
      <c r="H4679" s="25" t="str">
        <f>IF(J4679&lt;&gt;1,"",IF(I4679="SBJ","CB","?"))</f>
        <v> </v>
      </c>
      <c r="I4679" s="26" t="str">
        <f>IF(OR(E4679="",E4679="!!!",F4679="NEW"),"",INDEX(B4678:B$2,-1+SUMPRODUCT(MAX(ROW(E4678:E$2)*(E4679=E4678:E$2)))))</f>
        <v> </v>
      </c>
      <c r="J4679" s="26" t="str">
        <f>IF(OR(E4679="",E4679="!!!",F4679="NEW"),"",COUNTBLANK(OFFSET(A$1,,,SUMPRODUCT(MAX(ROW(E$2:E4679)*(E4679=E$2:E4679)))))-COUNTBLANK(OFFSET(A$1,,,SUMPRODUCT(MAX(ROW(E$1:E4678)*(E2=E$1:E4678))))))</f>
        <v> </v>
      </c>
      <c r="K4679" s="26" t="str">
        <f>IF(OR(E4679="",E4679="!!!",F4679="NEW"),"",INDEX(J$1:J4678,SUMPRODUCT(MAX(ROW(E$1:E4678)*(E4679=E$1:E4678)))))</f>
        <v> </v>
      </c>
      <c r="L4679" s="27"/>
    </row>
    <row r="4680" spans="1:12">
      <c r="A4680" s="20" t="s">
        <v>1304</v>
      </c>
      <c r="B4680" s="21" t="s">
        <v>997</v>
      </c>
      <c r="C4680" s="21" t="s">
        <v>1097</v>
      </c>
      <c r="D4680" s="21" t="s">
        <v>901</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t="s">
        <v>1106</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t="s">
        <v>2256</v>
      </c>
      <c r="E4682" s="22">
        <f>IF(D4682="?OLD","!!!","")</f>
        <v/>
      </c>
      <c r="F4682" s="23" t="str">
        <f>IF(OR(E4682="",E4682="!!!"),"",IF(NOT(ISNA(VLOOKUP(E4682,E$1:E4681,1,FALSE()))),"OLD",IF(AND(E4682&lt;&gt;"",E4682&lt;&gt;"!!!"),"NEW","")))</f>
        <v> </v>
      </c>
      <c r="G4682" s="24" t="str">
        <f>IF(OR(E4682="",E4682="!!!"),"",IF(OR(J4682=0,AND(J4682=1,K4682=1),AND(J4682=1,I4682="SBJ"),AND(J4682=1,I4682=0)),"?IN_FOCUS",IF(J4682&lt;=2,"?ACTIVATED",IF(J4682&lt;&gt;"","?FAMILIAR",IF(F4682="NEW",IF(ISNA(VLOOKUP(E4682,#REF!,1,FALSE())),"?TYPE_IDENTIFIABLE","?REFERENTIAL"),"_")))))</f>
        <v> </v>
      </c>
      <c r="H4682" s="25" t="str">
        <f>IF(J4682&lt;&gt;1,"",IF(I4682="SBJ","CB","?"))</f>
        <v> </v>
      </c>
      <c r="I4682" s="26" t="str">
        <f>IF(OR(E4682="",E4682="!!!",F4682="NEW"),"",INDEX(B4681:B$2,-1+SUMPRODUCT(MAX(ROW(E4681:E$2)*(E4682=E4681:E$2)))))</f>
        <v> </v>
      </c>
      <c r="J4682" s="26" t="str">
        <f>IF(OR(E4682="",E4682="!!!",F4682="NEW"),"",COUNTBLANK(OFFSET(A$1,,,SUMPRODUCT(MAX(ROW(E$2:E4682)*(E4682=E$2:E4682)))))-COUNTBLANK(OFFSET(A$1,,,SUMPRODUCT(MAX(ROW(E$1:E4681)*(E2=E$1:E4681))))))</f>
        <v> </v>
      </c>
      <c r="K4682" s="26" t="str">
        <f>IF(OR(E4682="",E4682="!!!",F4682="NEW"),"",INDEX(J$1:J4681,SUMPRODUCT(MAX(ROW(E$1:E4681)*(E4682=E$1:E4681)))))</f>
        <v> </v>
      </c>
      <c r="L4682" s="27"/>
    </row>
    <row r="4683" spans="1:12">
      <c r="A4683" s="20" t="s">
        <v>2010</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t="s">
        <v>926</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940</v>
      </c>
      <c r="B4685" s="21" t="s">
        <v>972</v>
      </c>
      <c r="C4685" s="21" t="s">
        <v>931</v>
      </c>
      <c r="D4685" s="21" t="s">
        <v>901</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945</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t="s">
        <v>202</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row>
    <row r="4689" spans="1:12">
      <c r="A4689" s="20" t="s">
        <v>2257</v>
      </c>
    </row>
    <row r="4690" spans="1:12">
      <c r="A4690" s="20" t="s">
        <v>2042</v>
      </c>
      <c r="E4690" s="22">
        <f>IF(D4690="?OLD","!!!","")</f>
        <v/>
      </c>
      <c r="F4690" s="23" t="str">
        <f>IF(OR(E4690="",E4690="!!!"),"",IF(NOT(ISNA(VLOOKUP(E4690,E$1:E4689,1,FALSE()))),"OLD",IF(AND(E4690&lt;&gt;"",E4690&lt;&gt;"!!!"),"NEW","")))</f>
        <v> </v>
      </c>
      <c r="G4690" s="24" t="str">
        <f>IF(OR(E4690="",E4690="!!!"),"",IF(OR(J4690=0,AND(J4690=1,K4690=1),AND(J4690=1,I4690="SBJ"),AND(J4690=1,I4690=0)),"?IN_FOCUS",IF(J4690&lt;=2,"?ACTIVATED",IF(J4690&lt;&gt;"","?FAMILIAR",IF(F4690="NEW",IF(ISNA(VLOOKUP(E4690,#REF!,1,FALSE())),"?TYPE_IDENTIFIABLE","?REFERENTIAL"),"_")))))</f>
        <v> </v>
      </c>
      <c r="H4690" s="25" t="str">
        <f>IF(J4690&lt;&gt;1,"",IF(I4690="SBJ","CB","?"))</f>
        <v> </v>
      </c>
      <c r="I4690" s="26" t="str">
        <f>IF(OR(E4690="",E4690="!!!",F4690="NEW"),"",INDEX(B4689:B$2,-1+SUMPRODUCT(MAX(ROW(E4689:E$2)*(E4690=E4689:E$2)))))</f>
        <v> </v>
      </c>
      <c r="J4690" s="26" t="str">
        <f>IF(OR(E4690="",E4690="!!!",F4690="NEW"),"",COUNTBLANK(OFFSET(A$1,,,SUMPRODUCT(MAX(ROW(E$2:E4690)*(E4690=E$2:E4690)))))-COUNTBLANK(OFFSET(A$1,,,SUMPRODUCT(MAX(ROW(E$1:E4689)*(E2=E$1:E4689))))))</f>
        <v> </v>
      </c>
      <c r="K4690" s="26" t="str">
        <f>IF(OR(E4690="",E4690="!!!",F4690="NEW"),"",INDEX(J$1:J4689,SUMPRODUCT(MAX(ROW(E$1:E4689)*(E4690=E$1:E4689)))))</f>
        <v> </v>
      </c>
      <c r="L4690" s="27"/>
    </row>
    <row r="4691" spans="1:12">
      <c r="A4691" s="20" t="s">
        <v>960</v>
      </c>
      <c r="E4691" s="22">
        <f>IF(D4691="?OLD","!!!","")</f>
        <v/>
      </c>
      <c r="F4691" s="23" t="str">
        <f>IF(OR(E4691="",E4691="!!!"),"",IF(NOT(ISNA(VLOOKUP(E4691,E$1:E4690,1,FALSE()))),"OLD",IF(AND(E4691&lt;&gt;"",E4691&lt;&gt;"!!!"),"NEW","")))</f>
        <v> </v>
      </c>
      <c r="G4691" s="24" t="str">
        <f>IF(OR(E4691="",E4691="!!!"),"",IF(OR(J4691=0,AND(J4691=1,K4691=1),AND(J4691=1,I4691="SBJ"),AND(J4691=1,I4691=0)),"?IN_FOCUS",IF(J4691&lt;=2,"?ACTIVATED",IF(J4691&lt;&gt;"","?FAMILIAR",IF(F4691="NEW",IF(ISNA(VLOOKUP(E4691,#REF!,1,FALSE())),"?TYPE_IDENTIFIABLE","?REFERENTIAL"),"_")))))</f>
        <v> </v>
      </c>
      <c r="H4691" s="25" t="str">
        <f>IF(J4691&lt;&gt;1,"",IF(I4691="SBJ","CB","?"))</f>
        <v> </v>
      </c>
      <c r="I4691" s="26" t="str">
        <f>IF(OR(E4691="",E4691="!!!",F4691="NEW"),"",INDEX(B4690:B$2,-1+SUMPRODUCT(MAX(ROW(E4690:E$2)*(E4691=E4690:E$2)))))</f>
        <v> </v>
      </c>
      <c r="J4691" s="26" t="str">
        <f>IF(OR(E4691="",E4691="!!!",F4691="NEW"),"",COUNTBLANK(OFFSET(A$1,,,SUMPRODUCT(MAX(ROW(E$2:E4691)*(E4691=E$2:E4691)))))-COUNTBLANK(OFFSET(A$1,,,SUMPRODUCT(MAX(ROW(E$1:E4690)*(E2=E$1:E4690))))))</f>
        <v> </v>
      </c>
      <c r="K4691" s="26" t="str">
        <f>IF(OR(E4691="",E4691="!!!",F4691="NEW"),"",INDEX(J$1:J4690,SUMPRODUCT(MAX(ROW(E$1:E4690)*(E4691=E$1:E4690)))))</f>
        <v> </v>
      </c>
      <c r="L4691" s="27"/>
    </row>
    <row r="4692" spans="1:12">
      <c r="A4692" s="20" t="s">
        <v>2258</v>
      </c>
      <c r="E4692" s="22">
        <f>IF(D4692="?OLD","!!!","")</f>
        <v/>
      </c>
      <c r="F4692" s="23" t="str">
        <f>IF(OR(E4692="",E4692="!!!"),"",IF(NOT(ISNA(VLOOKUP(E4692,E$1:E4691,1,FALSE()))),"OLD",IF(AND(E4692&lt;&gt;"",E4692&lt;&gt;"!!!"),"NEW","")))</f>
        <v> </v>
      </c>
      <c r="G4692" s="24" t="str">
        <f>IF(OR(E4692="",E4692="!!!"),"",IF(OR(J4692=0,AND(J4692=1,K4692=1),AND(J4692=1,I4692="SBJ"),AND(J4692=1,I4692=0)),"?IN_FOCUS",IF(J4692&lt;=2,"?ACTIVATED",IF(J4692&lt;&gt;"","?FAMILIAR",IF(F4692="NEW",IF(ISNA(VLOOKUP(E4692,#REF!,1,FALSE())),"?TYPE_IDENTIFIABLE","?REFERENTIAL"),"_")))))</f>
        <v> </v>
      </c>
      <c r="H4692" s="25" t="str">
        <f>IF(J4692&lt;&gt;1,"",IF(I4692="SBJ","CB","?"))</f>
        <v> </v>
      </c>
      <c r="I4692" s="26" t="str">
        <f>IF(OR(E4692="",E4692="!!!",F4692="NEW"),"",INDEX(B4691:B$2,-1+SUMPRODUCT(MAX(ROW(E4691:E$2)*(E4692=E4691:E$2)))))</f>
        <v> </v>
      </c>
      <c r="J4692" s="26" t="str">
        <f>IF(OR(E4692="",E4692="!!!",F4692="NEW"),"",COUNTBLANK(OFFSET(A$1,,,SUMPRODUCT(MAX(ROW(E$2:E4692)*(E4692=E$2:E4692)))))-COUNTBLANK(OFFSET(A$1,,,SUMPRODUCT(MAX(ROW(E$1:E4691)*(E2=E$1:E4691))))))</f>
        <v> </v>
      </c>
      <c r="K4692" s="26" t="str">
        <f>IF(OR(E4692="",E4692="!!!",F4692="NEW"),"",INDEX(J$1:J4691,SUMPRODUCT(MAX(ROW(E$1:E4691)*(E4692=E$1:E4691)))))</f>
        <v> </v>
      </c>
      <c r="L4692" s="27"/>
    </row>
    <row r="4693" spans="1:12">
      <c r="A4693" s="20" t="s">
        <v>1026</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2259</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1849</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t="s">
        <v>1850</v>
      </c>
      <c r="B4696" s="21" t="s">
        <v>907</v>
      </c>
      <c r="C4696" s="21" t="s">
        <v>913</v>
      </c>
      <c r="D4696" s="21" t="s">
        <v>901</v>
      </c>
      <c r="E4696" s="22">
        <f>IF(D4696="?OLD","!!!","")</f>
        <v/>
      </c>
      <c r="F4696" s="23" t="str">
        <f>IF(OR(E4696="",E4696="!!!"),"",IF(NOT(ISNA(VLOOKUP(E4696,E$1:E4695,1,FALSE()))),"OLD",IF(AND(E4696&lt;&gt;"",E4696&lt;&gt;"!!!"),"NEW","")))</f>
        <v> </v>
      </c>
      <c r="G4696" s="24" t="str">
        <f>IF(OR(E4696="",E4696="!!!"),"",IF(OR(J4696=0,AND(J4696=1,K4696=1),AND(J4696=1,I4696="SBJ"),AND(J4696=1,I4696=0)),"?IN_FOCUS",IF(J4696&lt;=2,"?ACTIVATED",IF(J4696&lt;&gt;"","?FAMILIAR",IF(F4696="NEW",IF(ISNA(VLOOKUP(E4696,#REF!,1,FALSE())),"?TYPE_IDENTIFIABLE","?REFERENTIAL"),"_")))))</f>
        <v> </v>
      </c>
      <c r="H4696" s="25" t="str">
        <f>IF(J4696&lt;&gt;1,"",IF(I4696="SBJ","CB","?"))</f>
        <v> </v>
      </c>
      <c r="I4696" s="26" t="str">
        <f>IF(OR(E4696="",E4696="!!!",F4696="NEW"),"",INDEX(B4695:B$2,-1+SUMPRODUCT(MAX(ROW(E4695:E$2)*(E4696=E4695:E$2)))))</f>
        <v> </v>
      </c>
      <c r="J4696" s="26" t="str">
        <f>IF(OR(E4696="",E4696="!!!",F4696="NEW"),"",COUNTBLANK(OFFSET(A$1,,,SUMPRODUCT(MAX(ROW(E$2:E4696)*(E4696=E$2:E4696)))))-COUNTBLANK(OFFSET(A$1,,,SUMPRODUCT(MAX(ROW(E$1:E4695)*(E2=E$1:E4695))))))</f>
        <v> </v>
      </c>
      <c r="K4696" s="26" t="str">
        <f>IF(OR(E4696="",E4696="!!!",F4696="NEW"),"",INDEX(J$1:J4695,SUMPRODUCT(MAX(ROW(E$1:E4695)*(E4696=E$1:E4695)))))</f>
        <v> </v>
      </c>
      <c r="L4696" s="27"/>
    </row>
    <row r="4697" spans="1:12">
      <c r="A4697" s="20" t="s">
        <v>1237</v>
      </c>
      <c r="E4697" s="22">
        <f>IF(D4697="?OLD","!!!","")</f>
        <v/>
      </c>
      <c r="F4697" s="23" t="str">
        <f>IF(OR(E4697="",E4697="!!!"),"",IF(NOT(ISNA(VLOOKUP(E4697,E$1:E4696,1,FALSE()))),"OLD",IF(AND(E4697&lt;&gt;"",E4697&lt;&gt;"!!!"),"NEW","")))</f>
        <v> </v>
      </c>
      <c r="G4697" s="24" t="str">
        <f>IF(OR(E4697="",E4697="!!!"),"",IF(OR(J4697=0,AND(J4697=1,K4697=1),AND(J4697=1,I4697="SBJ"),AND(J4697=1,I4697=0)),"?IN_FOCUS",IF(J4697&lt;=2,"?ACTIVATED",IF(J4697&lt;&gt;"","?FAMILIAR",IF(F4697="NEW",IF(ISNA(VLOOKUP(E4697,#REF!,1,FALSE())),"?TYPE_IDENTIFIABLE","?REFERENTIAL"),"_")))))</f>
        <v> </v>
      </c>
      <c r="H4697" s="25" t="str">
        <f>IF(J4697&lt;&gt;1,"",IF(I4697="SBJ","CB","?"))</f>
        <v> </v>
      </c>
      <c r="I4697" s="26" t="str">
        <f>IF(OR(E4697="",E4697="!!!",F4697="NEW"),"",INDEX(B4696:B$2,-1+SUMPRODUCT(MAX(ROW(E4696:E$2)*(E4697=E4696:E$2)))))</f>
        <v> </v>
      </c>
      <c r="J4697" s="26" t="str">
        <f>IF(OR(E4697="",E4697="!!!",F4697="NEW"),"",COUNTBLANK(OFFSET(A$1,,,SUMPRODUCT(MAX(ROW(E$2:E4697)*(E4697=E$2:E4697)))))-COUNTBLANK(OFFSET(A$1,,,SUMPRODUCT(MAX(ROW(E$1:E4696)*(E2=E$1:E4696))))))</f>
        <v> </v>
      </c>
      <c r="K4697" s="26" t="str">
        <f>IF(OR(E4697="",E4697="!!!",F4697="NEW"),"",INDEX(J$1:J4696,SUMPRODUCT(MAX(ROW(E$1:E4696)*(E4697=E$1:E4696)))))</f>
        <v> </v>
      </c>
      <c r="L4697" s="27"/>
    </row>
    <row r="4698" spans="1:12">
      <c r="A4698" s="20" t="s">
        <v>1833</v>
      </c>
      <c r="B4698" s="21" t="s">
        <v>923</v>
      </c>
      <c r="C4698" s="21" t="s">
        <v>900</v>
      </c>
      <c r="D4698" s="21" t="s">
        <v>901</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1026</v>
      </c>
      <c r="B4699" s="21" t="s">
        <v>1333</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t="s">
        <v>933</v>
      </c>
      <c r="E4700" s="22">
        <f>IF(D4700="?OLD","!!!","")</f>
        <v/>
      </c>
      <c r="F4700" s="23" t="str">
        <f>IF(OR(E4700="",E4700="!!!"),"",IF(NOT(ISNA(VLOOKUP(E4700,E$1:E4699,1,FALSE()))),"OLD",IF(AND(E4700&lt;&gt;"",E4700&lt;&gt;"!!!"),"NEW","")))</f>
        <v> </v>
      </c>
      <c r="G4700" s="24" t="str">
        <f>IF(OR(E4700="",E4700="!!!"),"",IF(OR(J4700=0,AND(J4700=1,K4700=1),AND(J4700=1,I4700="SBJ"),AND(J4700=1,I4700=0)),"?IN_FOCUS",IF(J4700&lt;=2,"?ACTIVATED",IF(J4700&lt;&gt;"","?FAMILIAR",IF(F4700="NEW",IF(ISNA(VLOOKUP(E4700,#REF!,1,FALSE())),"?TYPE_IDENTIFIABLE","?REFERENTIAL"),"_")))))</f>
        <v> </v>
      </c>
      <c r="H4700" s="25" t="str">
        <f>IF(J4700&lt;&gt;1,"",IF(I4700="SBJ","CB","?"))</f>
        <v> </v>
      </c>
      <c r="I4700" s="26" t="str">
        <f>IF(OR(E4700="",E4700="!!!",F4700="NEW"),"",INDEX(B4699:B$2,-1+SUMPRODUCT(MAX(ROW(E4699:E$2)*(E4700=E4699:E$2)))))</f>
        <v> </v>
      </c>
      <c r="J4700" s="26" t="str">
        <f>IF(OR(E4700="",E4700="!!!",F4700="NEW"),"",COUNTBLANK(OFFSET(A$1,,,SUMPRODUCT(MAX(ROW(E$2:E4700)*(E4700=E$2:E4700)))))-COUNTBLANK(OFFSET(A$1,,,SUMPRODUCT(MAX(ROW(E$1:E4699)*(E2=E$1:E4699))))))</f>
        <v> </v>
      </c>
      <c r="K4700" s="26" t="str">
        <f>IF(OR(E4700="",E4700="!!!",F4700="NEW"),"",INDEX(J$1:J4699,SUMPRODUCT(MAX(ROW(E$1:E4699)*(E4700=E$1:E4699)))))</f>
        <v> </v>
      </c>
      <c r="L4700" s="27"/>
    </row>
    <row r="4701" spans="1:12">
      <c r="A4701" s="20" t="s">
        <v>1108</v>
      </c>
      <c r="B4701" s="21" t="s">
        <v>1333</v>
      </c>
      <c r="C4701" s="21" t="s">
        <v>931</v>
      </c>
      <c r="D4701" s="21" t="s">
        <v>901</v>
      </c>
      <c r="E4701" s="22">
        <f>IF(D4701="?OLD","!!!","")</f>
        <v/>
      </c>
      <c r="F4701" s="23" t="str">
        <f>IF(OR(E4701="",E4701="!!!"),"",IF(NOT(ISNA(VLOOKUP(E4701,E$1:E4700,1,FALSE()))),"OLD",IF(AND(E4701&lt;&gt;"",E4701&lt;&gt;"!!!"),"NEW","")))</f>
        <v> </v>
      </c>
      <c r="G4701" s="24" t="str">
        <f>IF(OR(E4701="",E4701="!!!"),"",IF(OR(J4701=0,AND(J4701=1,K4701=1),AND(J4701=1,I4701="SBJ"),AND(J4701=1,I4701=0)),"?IN_FOCUS",IF(J4701&lt;=2,"?ACTIVATED",IF(J4701&lt;&gt;"","?FAMILIAR",IF(F4701="NEW",IF(ISNA(VLOOKUP(E4701,#REF!,1,FALSE())),"?TYPE_IDENTIFIABLE","?REFERENTIAL"),"_")))))</f>
        <v> </v>
      </c>
      <c r="H4701" s="25" t="str">
        <f>IF(J4701&lt;&gt;1,"",IF(I4701="SBJ","CB","?"))</f>
        <v> </v>
      </c>
      <c r="I4701" s="26" t="str">
        <f>IF(OR(E4701="",E4701="!!!",F4701="NEW"),"",INDEX(B4700:B$2,-1+SUMPRODUCT(MAX(ROW(E4700:E$2)*(E4701=E4700:E$2)))))</f>
        <v> </v>
      </c>
      <c r="J4701" s="26" t="str">
        <f>IF(OR(E4701="",E4701="!!!",F4701="NEW"),"",COUNTBLANK(OFFSET(A$1,,,SUMPRODUCT(MAX(ROW(E$2:E4701)*(E4701=E$2:E4701)))))-COUNTBLANK(OFFSET(A$1,,,SUMPRODUCT(MAX(ROW(E$1:E4700)*(E2=E$1:E4700))))))</f>
        <v> </v>
      </c>
      <c r="K4701" s="26" t="str">
        <f>IF(OR(E4701="",E4701="!!!",F4701="NEW"),"",INDEX(J$1:J4700,SUMPRODUCT(MAX(ROW(E$1:E4700)*(E4701=E$1:E4700)))))</f>
        <v> </v>
      </c>
      <c r="L4701" s="27"/>
    </row>
    <row r="4702" spans="1:12">
      <c r="A4702" s="20" t="s">
        <v>1118</v>
      </c>
      <c r="E4702" s="22">
        <f>IF(D4702="?OLD","!!!","")</f>
        <v/>
      </c>
      <c r="F4702" s="23" t="str">
        <f>IF(OR(E4702="",E4702="!!!"),"",IF(NOT(ISNA(VLOOKUP(E4702,E$1:E4701,1,FALSE()))),"OLD",IF(AND(E4702&lt;&gt;"",E4702&lt;&gt;"!!!"),"NEW","")))</f>
        <v> </v>
      </c>
      <c r="G4702" s="24" t="str">
        <f>IF(OR(E4702="",E4702="!!!"),"",IF(OR(J4702=0,AND(J4702=1,K4702=1),AND(J4702=1,I4702="SBJ"),AND(J4702=1,I4702=0)),"?IN_FOCUS",IF(J4702&lt;=2,"?ACTIVATED",IF(J4702&lt;&gt;"","?FAMILIAR",IF(F4702="NEW",IF(ISNA(VLOOKUP(E4702,#REF!,1,FALSE())),"?TYPE_IDENTIFIABLE","?REFERENTIAL"),"_")))))</f>
        <v> </v>
      </c>
      <c r="H4702" s="25" t="str">
        <f>IF(J4702&lt;&gt;1,"",IF(I4702="SBJ","CB","?"))</f>
        <v> </v>
      </c>
      <c r="I4702" s="26" t="str">
        <f>IF(OR(E4702="",E4702="!!!",F4702="NEW"),"",INDEX(B4701:B$2,-1+SUMPRODUCT(MAX(ROW(E4701:E$2)*(E4702=E4701:E$2)))))</f>
        <v> </v>
      </c>
      <c r="J4702" s="26" t="str">
        <f>IF(OR(E4702="",E4702="!!!",F4702="NEW"),"",COUNTBLANK(OFFSET(A$1,,,SUMPRODUCT(MAX(ROW(E$2:E4702)*(E4702=E$2:E4702)))))-COUNTBLANK(OFFSET(A$1,,,SUMPRODUCT(MAX(ROW(E$1:E4701)*(E2=E$1:E4701))))))</f>
        <v> </v>
      </c>
      <c r="K4702" s="26" t="str">
        <f>IF(OR(E4702="",E4702="!!!",F4702="NEW"),"",INDEX(J$1:J4701,SUMPRODUCT(MAX(ROW(E$1:E4701)*(E4702=E$1:E4701)))))</f>
        <v> </v>
      </c>
      <c r="L4702" s="27"/>
    </row>
    <row r="4703" spans="1:12">
      <c r="A4703" s="20" t="s">
        <v>1019</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1114</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2260</v>
      </c>
      <c r="B4705" s="21" t="s">
        <v>923</v>
      </c>
      <c r="C4705" s="21" t="s">
        <v>959</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1092</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1026</v>
      </c>
      <c r="B4707" s="21" t="s">
        <v>949</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1314</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2261</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t="s">
        <v>932</v>
      </c>
      <c r="E4710" s="22">
        <f>IF(D4710="?OLD","!!!","")</f>
        <v/>
      </c>
      <c r="F4710" s="23" t="str">
        <f>IF(OR(E4710="",E4710="!!!"),"",IF(NOT(ISNA(VLOOKUP(E4710,E$1:E4709,1,FALSE()))),"OLD",IF(AND(E4710&lt;&gt;"",E4710&lt;&gt;"!!!"),"NEW","")))</f>
        <v> </v>
      </c>
      <c r="G4710" s="24" t="str">
        <f>IF(OR(E4710="",E4710="!!!"),"",IF(OR(J4710=0,AND(J4710=1,K4710=1),AND(J4710=1,I4710="SBJ"),AND(J4710=1,I4710=0)),"?IN_FOCUS",IF(J4710&lt;=2,"?ACTIVATED",IF(J4710&lt;&gt;"","?FAMILIAR",IF(F4710="NEW",IF(ISNA(VLOOKUP(E4710,#REF!,1,FALSE())),"?TYPE_IDENTIFIABLE","?REFERENTIAL"),"_")))))</f>
        <v> </v>
      </c>
      <c r="H4710" s="25" t="str">
        <f>IF(J4710&lt;&gt;1,"",IF(I4710="SBJ","CB","?"))</f>
        <v> </v>
      </c>
      <c r="I4710" s="26" t="str">
        <f>IF(OR(E4710="",E4710="!!!",F4710="NEW"),"",INDEX(B4709:B$2,-1+SUMPRODUCT(MAX(ROW(E4709:E$2)*(E4710=E4709:E$2)))))</f>
        <v> </v>
      </c>
      <c r="J4710" s="26" t="str">
        <f>IF(OR(E4710="",E4710="!!!",F4710="NEW"),"",COUNTBLANK(OFFSET(A$1,,,SUMPRODUCT(MAX(ROW(E$2:E4710)*(E4710=E$2:E4710)))))-COUNTBLANK(OFFSET(A$1,,,SUMPRODUCT(MAX(ROW(E$1:E4709)*(E2=E$1:E4709))))))</f>
        <v> </v>
      </c>
      <c r="K4710" s="26" t="str">
        <f>IF(OR(E4710="",E4710="!!!",F4710="NEW"),"",INDEX(J$1:J4709,SUMPRODUCT(MAX(ROW(E$1:E4709)*(E4710=E$1:E4709)))))</f>
        <v> </v>
      </c>
      <c r="L4710" s="27"/>
    </row>
    <row r="4711" spans="1:12">
      <c r="A4711" s="20" t="s">
        <v>685</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t="s">
        <v>914</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t="s">
        <v>926</v>
      </c>
      <c r="E4713" s="22">
        <f>IF(D4713="?OLD","!!!","")</f>
        <v/>
      </c>
      <c r="F4713" s="23" t="str">
        <f>IF(OR(E4713="",E4713="!!!"),"",IF(NOT(ISNA(VLOOKUP(E4713,E$1:E4712,1,FALSE()))),"OLD",IF(AND(E4713&lt;&gt;"",E4713&lt;&gt;"!!!"),"NEW","")))</f>
        <v> </v>
      </c>
      <c r="G4713" s="24" t="str">
        <f>IF(OR(E4713="",E4713="!!!"),"",IF(OR(J4713=0,AND(J4713=1,K4713=1),AND(J4713=1,I4713="SBJ"),AND(J4713=1,I4713=0)),"?IN_FOCUS",IF(J4713&lt;=2,"?ACTIVATED",IF(J4713&lt;&gt;"","?FAMILIAR",IF(F4713="NEW",IF(ISNA(VLOOKUP(E4713,#REF!,1,FALSE())),"?TYPE_IDENTIFIABLE","?REFERENTIAL"),"_")))))</f>
        <v> </v>
      </c>
      <c r="H4713" s="25" t="str">
        <f>IF(J4713&lt;&gt;1,"",IF(I4713="SBJ","CB","?"))</f>
        <v> </v>
      </c>
      <c r="I4713" s="26" t="str">
        <f>IF(OR(E4713="",E4713="!!!",F4713="NEW"),"",INDEX(B4712:B$2,-1+SUMPRODUCT(MAX(ROW(E4712:E$2)*(E4713=E4712:E$2)))))</f>
        <v> </v>
      </c>
      <c r="J4713" s="26" t="str">
        <f>IF(OR(E4713="",E4713="!!!",F4713="NEW"),"",COUNTBLANK(OFFSET(A$1,,,SUMPRODUCT(MAX(ROW(E$2:E4713)*(E4713=E$2:E4713)))))-COUNTBLANK(OFFSET(A$1,,,SUMPRODUCT(MAX(ROW(E$1:E4712)*(E2=E$1:E4712))))))</f>
        <v> </v>
      </c>
      <c r="K4713" s="26" t="str">
        <f>IF(OR(E4713="",E4713="!!!",F4713="NEW"),"",INDEX(J$1:J4712,SUMPRODUCT(MAX(ROW(E$1:E4712)*(E4713=E$1:E4712)))))</f>
        <v> </v>
      </c>
      <c r="L4713" s="27"/>
    </row>
    <row r="4714" spans="1:12">
      <c r="A4714" s="20" t="s">
        <v>1721</v>
      </c>
      <c r="B4714" s="21" t="s">
        <v>951</v>
      </c>
      <c r="C4714" s="21" t="s">
        <v>913</v>
      </c>
      <c r="D4714" s="21" t="s">
        <v>901</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942</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926</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940</v>
      </c>
      <c r="B4717" s="21" t="s">
        <v>997</v>
      </c>
      <c r="C4717" s="21" t="s">
        <v>931</v>
      </c>
      <c r="D4717" s="21" t="s">
        <v>901</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945</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960</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t="s">
        <v>1026</v>
      </c>
      <c r="E4720" s="22">
        <f>IF(D4720="?OLD","!!!","")</f>
        <v/>
      </c>
      <c r="F4720" s="23" t="str">
        <f>IF(OR(E4720="",E4720="!!!"),"",IF(NOT(ISNA(VLOOKUP(E4720,E$1:E4719,1,FALSE()))),"OLD",IF(AND(E4720&lt;&gt;"",E4720&lt;&gt;"!!!"),"NEW","")))</f>
        <v> </v>
      </c>
      <c r="G4720" s="24" t="str">
        <f>IF(OR(E4720="",E4720="!!!"),"",IF(OR(J4720=0,AND(J4720=1,K4720=1),AND(J4720=1,I4720="SBJ"),AND(J4720=1,I4720=0)),"?IN_FOCUS",IF(J4720&lt;=2,"?ACTIVATED",IF(J4720&lt;&gt;"","?FAMILIAR",IF(F4720="NEW",IF(ISNA(VLOOKUP(E4720,#REF!,1,FALSE())),"?TYPE_IDENTIFIABLE","?REFERENTIAL"),"_")))))</f>
        <v> </v>
      </c>
      <c r="H4720" s="25" t="str">
        <f>IF(J4720&lt;&gt;1,"",IF(I4720="SBJ","CB","?"))</f>
        <v> </v>
      </c>
      <c r="I4720" s="26" t="str">
        <f>IF(OR(E4720="",E4720="!!!",F4720="NEW"),"",INDEX(B4719:B$2,-1+SUMPRODUCT(MAX(ROW(E4719:E$2)*(E4720=E4719:E$2)))))</f>
        <v> </v>
      </c>
      <c r="J4720" s="26" t="str">
        <f>IF(OR(E4720="",E4720="!!!",F4720="NEW"),"",COUNTBLANK(OFFSET(A$1,,,SUMPRODUCT(MAX(ROW(E$2:E4720)*(E4720=E$2:E4720)))))-COUNTBLANK(OFFSET(A$1,,,SUMPRODUCT(MAX(ROW(E$1:E4719)*(E2=E$1:E4719))))))</f>
        <v> </v>
      </c>
      <c r="K4720" s="26" t="str">
        <f>IF(OR(E4720="",E4720="!!!",F4720="NEW"),"",INDEX(J$1:J4719,SUMPRODUCT(MAX(ROW(E$1:E4719)*(E4720=E$1:E4719)))))</f>
        <v> </v>
      </c>
      <c r="L4720" s="27"/>
    </row>
    <row r="4721" spans="1:12">
      <c r="A4721" s="20" t="s">
        <v>933</v>
      </c>
      <c r="E4721" s="22">
        <f>IF(D4721="?OLD","!!!","")</f>
        <v/>
      </c>
      <c r="F4721" s="23" t="str">
        <f>IF(OR(E4721="",E4721="!!!"),"",IF(NOT(ISNA(VLOOKUP(E4721,E$1:E4720,1,FALSE()))),"OLD",IF(AND(E4721&lt;&gt;"",E4721&lt;&gt;"!!!"),"NEW","")))</f>
        <v> </v>
      </c>
      <c r="G4721" s="24" t="str">
        <f>IF(OR(E4721="",E4721="!!!"),"",IF(OR(J4721=0,AND(J4721=1,K4721=1),AND(J4721=1,I4721="SBJ"),AND(J4721=1,I4721=0)),"?IN_FOCUS",IF(J4721&lt;=2,"?ACTIVATED",IF(J4721&lt;&gt;"","?FAMILIAR",IF(F4721="NEW",IF(ISNA(VLOOKUP(E4721,#REF!,1,FALSE())),"?TYPE_IDENTIFIABLE","?REFERENTIAL"),"_")))))</f>
        <v> </v>
      </c>
      <c r="H4721" s="25" t="str">
        <f>IF(J4721&lt;&gt;1,"",IF(I4721="SBJ","CB","?"))</f>
        <v> </v>
      </c>
      <c r="I4721" s="26" t="str">
        <f>IF(OR(E4721="",E4721="!!!",F4721="NEW"),"",INDEX(B4720:B$2,-1+SUMPRODUCT(MAX(ROW(E4720:E$2)*(E4721=E4720:E$2)))))</f>
        <v> </v>
      </c>
      <c r="J4721" s="26" t="str">
        <f>IF(OR(E4721="",E4721="!!!",F4721="NEW"),"",COUNTBLANK(OFFSET(A$1,,,SUMPRODUCT(MAX(ROW(E$2:E4721)*(E4721=E$2:E4721)))))-COUNTBLANK(OFFSET(A$1,,,SUMPRODUCT(MAX(ROW(E$1:E4720)*(E2=E$1:E4720))))))</f>
        <v> </v>
      </c>
      <c r="K4721" s="26" t="str">
        <f>IF(OR(E4721="",E4721="!!!",F4721="NEW"),"",INDEX(J$1:J4720,SUMPRODUCT(MAX(ROW(E$1:E4720)*(E4721=E$1:E4720)))))</f>
        <v> </v>
      </c>
      <c r="L4721" s="27"/>
    </row>
    <row r="4722" spans="1:12">
      <c r="A4722" s="20" t="s">
        <v>919</v>
      </c>
      <c r="B4722" s="21" t="s">
        <v>1249</v>
      </c>
      <c r="C4722" s="21" t="s">
        <v>931</v>
      </c>
      <c r="D4722" s="21" t="s">
        <v>901</v>
      </c>
      <c r="E4722" s="22">
        <f>IF(D4722="?OLD","!!!","")</f>
        <v/>
      </c>
      <c r="F4722" s="23" t="str">
        <f>IF(OR(E4722="",E4722="!!!"),"",IF(NOT(ISNA(VLOOKUP(E4722,E$1:E4721,1,FALSE()))),"OLD",IF(AND(E4722&lt;&gt;"",E4722&lt;&gt;"!!!"),"NEW","")))</f>
        <v> </v>
      </c>
      <c r="G4722" s="24" t="str">
        <f>IF(OR(E4722="",E4722="!!!"),"",IF(OR(J4722=0,AND(J4722=1,K4722=1),AND(J4722=1,I4722="SBJ"),AND(J4722=1,I4722=0)),"?IN_FOCUS",IF(J4722&lt;=2,"?ACTIVATED",IF(J4722&lt;&gt;"","?FAMILIAR",IF(F4722="NEW",IF(ISNA(VLOOKUP(E4722,#REF!,1,FALSE())),"?TYPE_IDENTIFIABLE","?REFERENTIAL"),"_")))))</f>
        <v> </v>
      </c>
      <c r="H4722" s="25" t="str">
        <f>IF(J4722&lt;&gt;1,"",IF(I4722="SBJ","CB","?"))</f>
        <v> </v>
      </c>
      <c r="I4722" s="26" t="str">
        <f>IF(OR(E4722="",E4722="!!!",F4722="NEW"),"",INDEX(B4721:B$2,-1+SUMPRODUCT(MAX(ROW(E4721:E$2)*(E4722=E4721:E$2)))))</f>
        <v> </v>
      </c>
      <c r="J4722" s="26" t="str">
        <f>IF(OR(E4722="",E4722="!!!",F4722="NEW"),"",COUNTBLANK(OFFSET(A$1,,,SUMPRODUCT(MAX(ROW(E$2:E4722)*(E4722=E$2:E4722)))))-COUNTBLANK(OFFSET(A$1,,,SUMPRODUCT(MAX(ROW(E$1:E4721)*(E2=E$1:E4721))))))</f>
        <v> </v>
      </c>
      <c r="K4722" s="26" t="str">
        <f>IF(OR(E4722="",E4722="!!!",F4722="NEW"),"",INDEX(J$1:J4721,SUMPRODUCT(MAX(ROW(E$1:E4721)*(E4722=E$1:E4721)))))</f>
        <v> </v>
      </c>
      <c r="L4722" s="27"/>
    </row>
    <row r="4723" spans="1:12">
      <c r="A4723" s="20" t="s">
        <v>1019</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1114</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2262</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2263</v>
      </c>
      <c r="B4726" s="21" t="s">
        <v>951</v>
      </c>
      <c r="C4726" s="21" t="s">
        <v>913</v>
      </c>
      <c r="D4726" s="21" t="s">
        <v>901</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932</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926</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2264</v>
      </c>
      <c r="B4729" s="21" t="s">
        <v>997</v>
      </c>
      <c r="C4729" s="21" t="s">
        <v>931</v>
      </c>
      <c r="D4729" s="21" t="s">
        <v>901</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960</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1026</v>
      </c>
      <c r="B4731" s="21" t="s">
        <v>1555</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1046</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t="s">
        <v>1304</v>
      </c>
      <c r="E4733" s="22">
        <f>IF(D4733="?OLD","!!!","")</f>
        <v/>
      </c>
      <c r="F4733" s="23" t="str">
        <f>IF(OR(E4733="",E4733="!!!"),"",IF(NOT(ISNA(VLOOKUP(E4733,E$1:E4732,1,FALSE()))),"OLD",IF(AND(E4733&lt;&gt;"",E4733&lt;&gt;"!!!"),"NEW","")))</f>
        <v> </v>
      </c>
      <c r="G4733" s="24" t="str">
        <f>IF(OR(E4733="",E4733="!!!"),"",IF(OR(J4733=0,AND(J4733=1,K4733=1),AND(J4733=1,I4733="SBJ"),AND(J4733=1,I4733=0)),"?IN_FOCUS",IF(J4733&lt;=2,"?ACTIVATED",IF(J4733&lt;&gt;"","?FAMILIAR",IF(F4733="NEW",IF(ISNA(VLOOKUP(E4733,#REF!,1,FALSE())),"?TYPE_IDENTIFIABLE","?REFERENTIAL"),"_")))))</f>
        <v> </v>
      </c>
      <c r="H4733" s="25" t="str">
        <f>IF(J4733&lt;&gt;1,"",IF(I4733="SBJ","CB","?"))</f>
        <v> </v>
      </c>
      <c r="I4733" s="26" t="str">
        <f>IF(OR(E4733="",E4733="!!!",F4733="NEW"),"",INDEX(B4732:B$2,-1+SUMPRODUCT(MAX(ROW(E4732:E$2)*(E4733=E4732:E$2)))))</f>
        <v> </v>
      </c>
      <c r="J4733" s="26" t="str">
        <f>IF(OR(E4733="",E4733="!!!",F4733="NEW"),"",COUNTBLANK(OFFSET(A$1,,,SUMPRODUCT(MAX(ROW(E$2:E4733)*(E4733=E$2:E4733)))))-COUNTBLANK(OFFSET(A$1,,,SUMPRODUCT(MAX(ROW(E$1:E4732)*(E2=E$1:E4732))))))</f>
        <v> </v>
      </c>
      <c r="K4733" s="26" t="str">
        <f>IF(OR(E4733="",E4733="!!!",F4733="NEW"),"",INDEX(J$1:J4732,SUMPRODUCT(MAX(ROW(E$1:E4732)*(E4733=E$1:E4732)))))</f>
        <v> </v>
      </c>
      <c r="L4733" s="27"/>
    </row>
    <row r="4734" spans="1:12">
      <c r="A4734" s="20" t="s">
        <v>2251</v>
      </c>
      <c r="E4734" s="22">
        <f>IF(D4734="?OLD","!!!","")</f>
        <v/>
      </c>
      <c r="F4734" s="23" t="str">
        <f>IF(OR(E4734="",E4734="!!!"),"",IF(NOT(ISNA(VLOOKUP(E4734,E$1:E4733,1,FALSE()))),"OLD",IF(AND(E4734&lt;&gt;"",E4734&lt;&gt;"!!!"),"NEW","")))</f>
        <v> </v>
      </c>
      <c r="G4734" s="24" t="str">
        <f>IF(OR(E4734="",E4734="!!!"),"",IF(OR(J4734=0,AND(J4734=1,K4734=1),AND(J4734=1,I4734="SBJ"),AND(J4734=1,I4734=0)),"?IN_FOCUS",IF(J4734&lt;=2,"?ACTIVATED",IF(J4734&lt;&gt;"","?FAMILIAR",IF(F4734="NEW",IF(ISNA(VLOOKUP(E4734,#REF!,1,FALSE())),"?TYPE_IDENTIFIABLE","?REFERENTIAL"),"_")))))</f>
        <v> </v>
      </c>
      <c r="H4734" s="25" t="str">
        <f>IF(J4734&lt;&gt;1,"",IF(I4734="SBJ","CB","?"))</f>
        <v> </v>
      </c>
      <c r="I4734" s="26" t="str">
        <f>IF(OR(E4734="",E4734="!!!",F4734="NEW"),"",INDEX(B4733:B$2,-1+SUMPRODUCT(MAX(ROW(E4733:E$2)*(E4734=E4733:E$2)))))</f>
        <v> </v>
      </c>
      <c r="J4734" s="26" t="str">
        <f>IF(OR(E4734="",E4734="!!!",F4734="NEW"),"",COUNTBLANK(OFFSET(A$1,,,SUMPRODUCT(MAX(ROW(E$2:E4734)*(E4734=E$2:E4734)))))-COUNTBLANK(OFFSET(A$1,,,SUMPRODUCT(MAX(ROW(E$1:E4733)*(E2=E$1:E4733))))))</f>
        <v> </v>
      </c>
      <c r="K4734" s="26" t="str">
        <f>IF(OR(E4734="",E4734="!!!",F4734="NEW"),"",INDEX(J$1:J4733,SUMPRODUCT(MAX(ROW(E$1:E4733)*(E4734=E$1:E4733)))))</f>
        <v> </v>
      </c>
      <c r="L4734" s="27"/>
    </row>
    <row r="4735" spans="1:12">
      <c r="A4735" s="20" t="s">
        <v>1783</v>
      </c>
      <c r="B4735" s="21" t="s">
        <v>2265</v>
      </c>
      <c r="C4735" s="21" t="s">
        <v>1035</v>
      </c>
      <c r="D4735" s="21" t="s">
        <v>901</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960</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1114</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474</v>
      </c>
      <c r="B4738" s="21" t="s">
        <v>2242</v>
      </c>
      <c r="C4738" s="21" t="s">
        <v>959</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1716</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960</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943</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1371</v>
      </c>
      <c r="B4742" s="21" t="s">
        <v>2242</v>
      </c>
      <c r="C4742" s="21" t="s">
        <v>931</v>
      </c>
      <c r="D4742" s="21" t="s">
        <v>901</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914</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1677</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t="s">
        <v>1114</v>
      </c>
      <c r="E4745" s="22">
        <f>IF(D4745="?OLD","!!!","")</f>
        <v/>
      </c>
      <c r="F4745" s="23" t="str">
        <f>IF(OR(E4745="",E4745="!!!"),"",IF(NOT(ISNA(VLOOKUP(E4745,E$1:E4744,1,FALSE()))),"OLD",IF(AND(E4745&lt;&gt;"",E4745&lt;&gt;"!!!"),"NEW","")))</f>
        <v> </v>
      </c>
      <c r="G4745" s="24" t="str">
        <f>IF(OR(E4745="",E4745="!!!"),"",IF(OR(J4745=0,AND(J4745=1,K4745=1),AND(J4745=1,I4745="SBJ"),AND(J4745=1,I4745=0)),"?IN_FOCUS",IF(J4745&lt;=2,"?ACTIVATED",IF(J4745&lt;&gt;"","?FAMILIAR",IF(F4745="NEW",IF(ISNA(VLOOKUP(E4745,#REF!,1,FALSE())),"?TYPE_IDENTIFIABLE","?REFERENTIAL"),"_")))))</f>
        <v> </v>
      </c>
      <c r="H4745" s="25" t="str">
        <f>IF(J4745&lt;&gt;1,"",IF(I4745="SBJ","CB","?"))</f>
        <v> </v>
      </c>
      <c r="I4745" s="26" t="str">
        <f>IF(OR(E4745="",E4745="!!!",F4745="NEW"),"",INDEX(B4744:B$2,-1+SUMPRODUCT(MAX(ROW(E4744:E$2)*(E4745=E4744:E$2)))))</f>
        <v> </v>
      </c>
      <c r="J4745" s="26" t="str">
        <f>IF(OR(E4745="",E4745="!!!",F4745="NEW"),"",COUNTBLANK(OFFSET(A$1,,,SUMPRODUCT(MAX(ROW(E$2:E4745)*(E4745=E$2:E4745)))))-COUNTBLANK(OFFSET(A$1,,,SUMPRODUCT(MAX(ROW(E$1:E4744)*(E2=E$1:E4744))))))</f>
        <v> </v>
      </c>
      <c r="K4745" s="26" t="str">
        <f>IF(OR(E4745="",E4745="!!!",F4745="NEW"),"",INDEX(J$1:J4744,SUMPRODUCT(MAX(ROW(E$1:E4744)*(E4745=E$1:E4744)))))</f>
        <v> </v>
      </c>
      <c r="L4745" s="27"/>
    </row>
    <row r="4746" spans="1:12">
      <c r="A4746" s="20" t="s">
        <v>1678</v>
      </c>
      <c r="E4746" s="22">
        <f>IF(D4746="?OLD","!!!","")</f>
        <v/>
      </c>
      <c r="F4746" s="23" t="str">
        <f>IF(OR(E4746="",E4746="!!!"),"",IF(NOT(ISNA(VLOOKUP(E4746,E$1:E4745,1,FALSE()))),"OLD",IF(AND(E4746&lt;&gt;"",E4746&lt;&gt;"!!!"),"NEW","")))</f>
        <v> </v>
      </c>
      <c r="G4746" s="24" t="str">
        <f>IF(OR(E4746="",E4746="!!!"),"",IF(OR(J4746=0,AND(J4746=1,K4746=1),AND(J4746=1,I4746="SBJ"),AND(J4746=1,I4746=0)),"?IN_FOCUS",IF(J4746&lt;=2,"?ACTIVATED",IF(J4746&lt;&gt;"","?FAMILIAR",IF(F4746="NEW",IF(ISNA(VLOOKUP(E4746,#REF!,1,FALSE())),"?TYPE_IDENTIFIABLE","?REFERENTIAL"),"_")))))</f>
        <v> </v>
      </c>
      <c r="H4746" s="25" t="str">
        <f>IF(J4746&lt;&gt;1,"",IF(I4746="SBJ","CB","?"))</f>
        <v> </v>
      </c>
      <c r="I4746" s="26" t="str">
        <f>IF(OR(E4746="",E4746="!!!",F4746="NEW"),"",INDEX(B4745:B$2,-1+SUMPRODUCT(MAX(ROW(E4745:E$2)*(E4746=E4745:E$2)))))</f>
        <v> </v>
      </c>
      <c r="J4746" s="26" t="str">
        <f>IF(OR(E4746="",E4746="!!!",F4746="NEW"),"",COUNTBLANK(OFFSET(A$1,,,SUMPRODUCT(MAX(ROW(E$2:E4746)*(E4746=E$2:E4746)))))-COUNTBLANK(OFFSET(A$1,,,SUMPRODUCT(MAX(ROW(E$1:E4745)*(E2=E$1:E4745))))))</f>
        <v> </v>
      </c>
      <c r="K4746" s="26" t="str">
        <f>IF(OR(E4746="",E4746="!!!",F4746="NEW"),"",INDEX(J$1:J4745,SUMPRODUCT(MAX(ROW(E$1:E4745)*(E4746=E$1:E4745)))))</f>
        <v> </v>
      </c>
      <c r="L4746" s="27"/>
    </row>
    <row r="4747" spans="1:12">
      <c r="A4747" s="20" t="s">
        <v>1679</v>
      </c>
      <c r="B4747" s="21" t="s">
        <v>1500</v>
      </c>
      <c r="C4747" s="21" t="s">
        <v>959</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1680</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t="s">
        <v>960</v>
      </c>
      <c r="E4749" s="22">
        <f>IF(D4749="?OLD","!!!","")</f>
        <v/>
      </c>
      <c r="F4749" s="23" t="str">
        <f>IF(OR(E4749="",E4749="!!!"),"",IF(NOT(ISNA(VLOOKUP(E4749,E$1:E4748,1,FALSE()))),"OLD",IF(AND(E4749&lt;&gt;"",E4749&lt;&gt;"!!!"),"NEW","")))</f>
        <v> </v>
      </c>
      <c r="G4749" s="24" t="str">
        <f>IF(OR(E4749="",E4749="!!!"),"",IF(OR(J4749=0,AND(J4749=1,K4749=1),AND(J4749=1,I4749="SBJ"),AND(J4749=1,I4749=0)),"?IN_FOCUS",IF(J4749&lt;=2,"?ACTIVATED",IF(J4749&lt;&gt;"","?FAMILIAR",IF(F4749="NEW",IF(ISNA(VLOOKUP(E4749,#REF!,1,FALSE())),"?TYPE_IDENTIFIABLE","?REFERENTIAL"),"_")))))</f>
        <v> </v>
      </c>
      <c r="H4749" s="25" t="str">
        <f>IF(J4749&lt;&gt;1,"",IF(I4749="SBJ","CB","?"))</f>
        <v> </v>
      </c>
      <c r="I4749" s="26" t="str">
        <f>IF(OR(E4749="",E4749="!!!",F4749="NEW"),"",INDEX(B4748:B$2,-1+SUMPRODUCT(MAX(ROW(E4748:E$2)*(E4749=E4748:E$2)))))</f>
        <v> </v>
      </c>
      <c r="J4749" s="26" t="str">
        <f>IF(OR(E4749="",E4749="!!!",F4749="NEW"),"",COUNTBLANK(OFFSET(A$1,,,SUMPRODUCT(MAX(ROW(E$2:E4749)*(E4749=E$2:E4749)))))-COUNTBLANK(OFFSET(A$1,,,SUMPRODUCT(MAX(ROW(E$1:E4748)*(E2=E$1:E4748))))))</f>
        <v> </v>
      </c>
      <c r="K4749" s="26" t="str">
        <f>IF(OR(E4749="",E4749="!!!",F4749="NEW"),"",INDEX(J$1:J4748,SUMPRODUCT(MAX(ROW(E$1:E4748)*(E4749=E$1:E4748)))))</f>
        <v> </v>
      </c>
      <c r="L4749" s="27"/>
    </row>
    <row r="4750" spans="1:12">
      <c r="A4750" s="20" t="s">
        <v>1033</v>
      </c>
      <c r="E4750" s="22">
        <f>IF(D4750="?OLD","!!!","")</f>
        <v/>
      </c>
      <c r="F4750" s="23" t="str">
        <f>IF(OR(E4750="",E4750="!!!"),"",IF(NOT(ISNA(VLOOKUP(E4750,E$1:E4749,1,FALSE()))),"OLD",IF(AND(E4750&lt;&gt;"",E4750&lt;&gt;"!!!"),"NEW","")))</f>
        <v> </v>
      </c>
      <c r="G4750" s="24" t="str">
        <f>IF(OR(E4750="",E4750="!!!"),"",IF(OR(J4750=0,AND(J4750=1,K4750=1),AND(J4750=1,I4750="SBJ"),AND(J4750=1,I4750=0)),"?IN_FOCUS",IF(J4750&lt;=2,"?ACTIVATED",IF(J4750&lt;&gt;"","?FAMILIAR",IF(F4750="NEW",IF(ISNA(VLOOKUP(E4750,#REF!,1,FALSE())),"?TYPE_IDENTIFIABLE","?REFERENTIAL"),"_")))))</f>
        <v> </v>
      </c>
      <c r="H4750" s="25" t="str">
        <f>IF(J4750&lt;&gt;1,"",IF(I4750="SBJ","CB","?"))</f>
        <v> </v>
      </c>
      <c r="I4750" s="26" t="str">
        <f>IF(OR(E4750="",E4750="!!!",F4750="NEW"),"",INDEX(B4749:B$2,-1+SUMPRODUCT(MAX(ROW(E4749:E$2)*(E4750=E4749:E$2)))))</f>
        <v> </v>
      </c>
      <c r="J4750" s="26" t="str">
        <f>IF(OR(E4750="",E4750="!!!",F4750="NEW"),"",COUNTBLANK(OFFSET(A$1,,,SUMPRODUCT(MAX(ROW(E$2:E4750)*(E4750=E$2:E4750)))))-COUNTBLANK(OFFSET(A$1,,,SUMPRODUCT(MAX(ROW(E$1:E4749)*(E2=E$1:E4749))))))</f>
        <v> </v>
      </c>
      <c r="K4750" s="26" t="str">
        <f>IF(OR(E4750="",E4750="!!!",F4750="NEW"),"",INDEX(J$1:J4749,SUMPRODUCT(MAX(ROW(E$1:E4749)*(E4750=E$1:E4749)))))</f>
        <v> </v>
      </c>
      <c r="L4750" s="27"/>
    </row>
    <row r="4751" spans="1:12">
      <c r="A4751" s="20" t="s">
        <v>1150</v>
      </c>
      <c r="B4751" s="21" t="s">
        <v>2266</v>
      </c>
      <c r="C4751" s="21" t="s">
        <v>1035</v>
      </c>
      <c r="D4751" s="21" t="s">
        <v>901</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t="s">
        <v>1651</v>
      </c>
      <c r="E4752" s="22">
        <f>IF(D4752="?OLD","!!!","")</f>
        <v/>
      </c>
      <c r="F4752" s="23" t="str">
        <f>IF(OR(E4752="",E4752="!!!"),"",IF(NOT(ISNA(VLOOKUP(E4752,E$1:E4751,1,FALSE()))),"OLD",IF(AND(E4752&lt;&gt;"",E4752&lt;&gt;"!!!"),"NEW","")))</f>
        <v> </v>
      </c>
      <c r="G4752" s="24" t="str">
        <f>IF(OR(E4752="",E4752="!!!"),"",IF(OR(J4752=0,AND(J4752=1,K4752=1),AND(J4752=1,I4752="SBJ"),AND(J4752=1,I4752=0)),"?IN_FOCUS",IF(J4752&lt;=2,"?ACTIVATED",IF(J4752&lt;&gt;"","?FAMILIAR",IF(F4752="NEW",IF(ISNA(VLOOKUP(E4752,#REF!,1,FALSE())),"?TYPE_IDENTIFIABLE","?REFERENTIAL"),"_")))))</f>
        <v> </v>
      </c>
      <c r="H4752" s="25" t="str">
        <f>IF(J4752&lt;&gt;1,"",IF(I4752="SBJ","CB","?"))</f>
        <v> </v>
      </c>
      <c r="I4752" s="26" t="str">
        <f>IF(OR(E4752="",E4752="!!!",F4752="NEW"),"",INDEX(B4751:B$2,-1+SUMPRODUCT(MAX(ROW(E4751:E$2)*(E4752=E4751:E$2)))))</f>
        <v> </v>
      </c>
      <c r="J4752" s="26" t="str">
        <f>IF(OR(E4752="",E4752="!!!",F4752="NEW"),"",COUNTBLANK(OFFSET(A$1,,,SUMPRODUCT(MAX(ROW(E$2:E4752)*(E4752=E$2:E4752)))))-COUNTBLANK(OFFSET(A$1,,,SUMPRODUCT(MAX(ROW(E$1:E4751)*(E2=E$1:E4751))))))</f>
        <v> </v>
      </c>
      <c r="K4752" s="26" t="str">
        <f>IF(OR(E4752="",E4752="!!!",F4752="NEW"),"",INDEX(J$1:J4751,SUMPRODUCT(MAX(ROW(E$1:E4751)*(E4752=E$1:E4751)))))</f>
        <v> </v>
      </c>
      <c r="L4752" s="27"/>
    </row>
    <row r="4753" spans="1:12">
      <c r="A4753" s="20" t="s">
        <v>925</v>
      </c>
      <c r="E4753" s="22">
        <f>IF(D4753="?OLD","!!!","")</f>
        <v/>
      </c>
      <c r="F4753" s="23" t="str">
        <f>IF(OR(E4753="",E4753="!!!"),"",IF(NOT(ISNA(VLOOKUP(E4753,E$1:E4752,1,FALSE()))),"OLD",IF(AND(E4753&lt;&gt;"",E4753&lt;&gt;"!!!"),"NEW","")))</f>
        <v> </v>
      </c>
      <c r="G4753" s="24" t="str">
        <f>IF(OR(E4753="",E4753="!!!"),"",IF(OR(J4753=0,AND(J4753=1,K4753=1),AND(J4753=1,I4753="SBJ"),AND(J4753=1,I4753=0)),"?IN_FOCUS",IF(J4753&lt;=2,"?ACTIVATED",IF(J4753&lt;&gt;"","?FAMILIAR",IF(F4753="NEW",IF(ISNA(VLOOKUP(E4753,#REF!,1,FALSE())),"?TYPE_IDENTIFIABLE","?REFERENTIAL"),"_")))))</f>
        <v> </v>
      </c>
      <c r="H4753" s="25" t="str">
        <f>IF(J4753&lt;&gt;1,"",IF(I4753="SBJ","CB","?"))</f>
        <v> </v>
      </c>
      <c r="I4753" s="26" t="str">
        <f>IF(OR(E4753="",E4753="!!!",F4753="NEW"),"",INDEX(B4752:B$2,-1+SUMPRODUCT(MAX(ROW(E4752:E$2)*(E4753=E4752:E$2)))))</f>
        <v> </v>
      </c>
      <c r="J4753" s="26" t="str">
        <f>IF(OR(E4753="",E4753="!!!",F4753="NEW"),"",COUNTBLANK(OFFSET(A$1,,,SUMPRODUCT(MAX(ROW(E$2:E4753)*(E4753=E$2:E4753)))))-COUNTBLANK(OFFSET(A$1,,,SUMPRODUCT(MAX(ROW(E$1:E4752)*(E2=E$1:E4752))))))</f>
        <v> </v>
      </c>
      <c r="K4753" s="26" t="str">
        <f>IF(OR(E4753="",E4753="!!!",F4753="NEW"),"",INDEX(J$1:J4752,SUMPRODUCT(MAX(ROW(E$1:E4752)*(E4753=E$1:E4752)))))</f>
        <v> </v>
      </c>
      <c r="L4753" s="27"/>
    </row>
    <row r="4754" spans="1:12">
      <c r="A4754" s="20" t="s">
        <v>926</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1660</v>
      </c>
      <c r="B4755" s="21" t="s">
        <v>2267</v>
      </c>
      <c r="C4755" s="21" t="s">
        <v>913</v>
      </c>
      <c r="D4755" s="21" t="s">
        <v>901</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914</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957</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t="s">
        <v>1736</v>
      </c>
      <c r="B4758" s="21" t="s">
        <v>2268</v>
      </c>
      <c r="C4758" s="21" t="s">
        <v>959</v>
      </c>
      <c r="E4758" s="22">
        <f>IF(D4758="?OLD","!!!","")</f>
        <v/>
      </c>
      <c r="F4758" s="23" t="str">
        <f>IF(OR(E4758="",E4758="!!!"),"",IF(NOT(ISNA(VLOOKUP(E4758,E$1:E4757,1,FALSE()))),"OLD",IF(AND(E4758&lt;&gt;"",E4758&lt;&gt;"!!!"),"NEW","")))</f>
        <v> </v>
      </c>
      <c r="G4758" s="24" t="str">
        <f>IF(OR(E4758="",E4758="!!!"),"",IF(OR(J4758=0,AND(J4758=1,K4758=1),AND(J4758=1,I4758="SBJ"),AND(J4758=1,I4758=0)),"?IN_FOCUS",IF(J4758&lt;=2,"?ACTIVATED",IF(J4758&lt;&gt;"","?FAMILIAR",IF(F4758="NEW",IF(ISNA(VLOOKUP(E4758,#REF!,1,FALSE())),"?TYPE_IDENTIFIABLE","?REFERENTIAL"),"_")))))</f>
        <v> </v>
      </c>
      <c r="H4758" s="25" t="str">
        <f>IF(J4758&lt;&gt;1,"",IF(I4758="SBJ","CB","?"))</f>
        <v> </v>
      </c>
      <c r="I4758" s="26" t="str">
        <f>IF(OR(E4758="",E4758="!!!",F4758="NEW"),"",INDEX(B4757:B$2,-1+SUMPRODUCT(MAX(ROW(E4757:E$2)*(E4758=E4757:E$2)))))</f>
        <v> </v>
      </c>
      <c r="J4758" s="26" t="str">
        <f>IF(OR(E4758="",E4758="!!!",F4758="NEW"),"",COUNTBLANK(OFFSET(A$1,,,SUMPRODUCT(MAX(ROW(E$2:E4758)*(E4758=E$2:E4758)))))-COUNTBLANK(OFFSET(A$1,,,SUMPRODUCT(MAX(ROW(E$1:E4757)*(E2=E$1:E4757))))))</f>
        <v> </v>
      </c>
      <c r="K4758" s="26" t="str">
        <f>IF(OR(E4758="",E4758="!!!",F4758="NEW"),"",INDEX(J$1:J4757,SUMPRODUCT(MAX(ROW(E$1:E4757)*(E4758=E$1:E4757)))))</f>
        <v> </v>
      </c>
      <c r="L4758" s="27"/>
    </row>
    <row r="4759" spans="1:12">
      <c r="A4759" s="20" t="s">
        <v>1744</v>
      </c>
      <c r="E4759" s="22">
        <f>IF(D4759="?OLD","!!!","")</f>
        <v/>
      </c>
      <c r="F4759" s="23" t="str">
        <f>IF(OR(E4759="",E4759="!!!"),"",IF(NOT(ISNA(VLOOKUP(E4759,E$1:E4758,1,FALSE()))),"OLD",IF(AND(E4759&lt;&gt;"",E4759&lt;&gt;"!!!"),"NEW","")))</f>
        <v> </v>
      </c>
      <c r="G4759" s="24" t="str">
        <f>IF(OR(E4759="",E4759="!!!"),"",IF(OR(J4759=0,AND(J4759=1,K4759=1),AND(J4759=1,I4759="SBJ"),AND(J4759=1,I4759=0)),"?IN_FOCUS",IF(J4759&lt;=2,"?ACTIVATED",IF(J4759&lt;&gt;"","?FAMILIAR",IF(F4759="NEW",IF(ISNA(VLOOKUP(E4759,#REF!,1,FALSE())),"?TYPE_IDENTIFIABLE","?REFERENTIAL"),"_")))))</f>
        <v> </v>
      </c>
      <c r="H4759" s="25" t="str">
        <f>IF(J4759&lt;&gt;1,"",IF(I4759="SBJ","CB","?"))</f>
        <v> </v>
      </c>
      <c r="I4759" s="26" t="str">
        <f>IF(OR(E4759="",E4759="!!!",F4759="NEW"),"",INDEX(B4758:B$2,-1+SUMPRODUCT(MAX(ROW(E4758:E$2)*(E4759=E4758:E$2)))))</f>
        <v> </v>
      </c>
      <c r="J4759" s="26" t="str">
        <f>IF(OR(E4759="",E4759="!!!",F4759="NEW"),"",COUNTBLANK(OFFSET(A$1,,,SUMPRODUCT(MAX(ROW(E$2:E4759)*(E4759=E$2:E4759)))))-COUNTBLANK(OFFSET(A$1,,,SUMPRODUCT(MAX(ROW(E$1:E4758)*(E2=E$1:E4758))))))</f>
        <v> </v>
      </c>
      <c r="K4759" s="26" t="str">
        <f>IF(OR(E4759="",E4759="!!!",F4759="NEW"),"",INDEX(J$1:J4758,SUMPRODUCT(MAX(ROW(E$1:E4758)*(E4759=E$1:E4758)))))</f>
        <v> </v>
      </c>
      <c r="L4759" s="27"/>
    </row>
    <row r="4760" spans="1:12">
      <c r="A4760" s="20" t="s">
        <v>202</v>
      </c>
      <c r="E4760" s="22">
        <f>IF(D4760="?OLD","!!!","")</f>
        <v/>
      </c>
      <c r="F4760" s="23" t="str">
        <f>IF(OR(E4760="",E4760="!!!"),"",IF(NOT(ISNA(VLOOKUP(E4760,E$1:E4759,1,FALSE()))),"OLD",IF(AND(E4760&lt;&gt;"",E4760&lt;&gt;"!!!"),"NEW","")))</f>
        <v> </v>
      </c>
      <c r="G4760" s="24" t="str">
        <f>IF(OR(E4760="",E4760="!!!"),"",IF(OR(J4760=0,AND(J4760=1,K4760=1),AND(J4760=1,I4760="SBJ"),AND(J4760=1,I4760=0)),"?IN_FOCUS",IF(J4760&lt;=2,"?ACTIVATED",IF(J4760&lt;&gt;"","?FAMILIAR",IF(F4760="NEW",IF(ISNA(VLOOKUP(E4760,#REF!,1,FALSE())),"?TYPE_IDENTIFIABLE","?REFERENTIAL"),"_")))))</f>
        <v> </v>
      </c>
      <c r="H4760" s="25" t="str">
        <f>IF(J4760&lt;&gt;1,"",IF(I4760="SBJ","CB","?"))</f>
        <v> </v>
      </c>
      <c r="I4760" s="26" t="str">
        <f>IF(OR(E4760="",E4760="!!!",F4760="NEW"),"",INDEX(B4759:B$2,-1+SUMPRODUCT(MAX(ROW(E4759:E$2)*(E4760=E4759:E$2)))))</f>
        <v> </v>
      </c>
      <c r="J4760" s="26" t="str">
        <f>IF(OR(E4760="",E4760="!!!",F4760="NEW"),"",COUNTBLANK(OFFSET(A$1,,,SUMPRODUCT(MAX(ROW(E$2:E4760)*(E4760=E$2:E4760)))))-COUNTBLANK(OFFSET(A$1,,,SUMPRODUCT(MAX(ROW(E$1:E4759)*(E2=E$1:E4759))))))</f>
        <v> </v>
      </c>
      <c r="K4760" s="26" t="str">
        <f>IF(OR(E4760="",E4760="!!!",F4760="NEW"),"",INDEX(J$1:J4759,SUMPRODUCT(MAX(ROW(E$1:E4759)*(E4760=E$1:E4759)))))</f>
        <v> </v>
      </c>
      <c r="L4760" s="27"/>
    </row>
    <row r="4761" spans="1:12">
      <c r="A4761" s="20"/>
    </row>
    <row r="4762" spans="1:12">
      <c r="A4762" s="20" t="s">
        <v>2269</v>
      </c>
    </row>
    <row r="4763" spans="1:12">
      <c r="A4763" s="20" t="s">
        <v>2027</v>
      </c>
      <c r="B4763" s="21" t="s">
        <v>904</v>
      </c>
      <c r="C4763" s="21" t="s">
        <v>900</v>
      </c>
      <c r="D4763" s="21" t="s">
        <v>901</v>
      </c>
      <c r="E4763" s="22">
        <f>IF(D4763="?OLD","!!!","")</f>
        <v/>
      </c>
      <c r="F4763" s="23" t="str">
        <f>IF(OR(E4763="",E4763="!!!"),"",IF(NOT(ISNA(VLOOKUP(E4763,E$1:E4762,1,FALSE()))),"OLD",IF(AND(E4763&lt;&gt;"",E4763&lt;&gt;"!!!"),"NEW","")))</f>
        <v> </v>
      </c>
      <c r="G4763" s="24" t="str">
        <f>IF(OR(E4763="",E4763="!!!"),"",IF(OR(J4763=0,AND(J4763=1,K4763=1),AND(J4763=1,I4763="SBJ"),AND(J4763=1,I4763=0)),"?IN_FOCUS",IF(J4763&lt;=2,"?ACTIVATED",IF(J4763&lt;&gt;"","?FAMILIAR",IF(F4763="NEW",IF(ISNA(VLOOKUP(E4763,#REF!,1,FALSE())),"?TYPE_IDENTIFIABLE","?REFERENTIAL"),"_")))))</f>
        <v> </v>
      </c>
      <c r="H4763" s="25" t="str">
        <f>IF(J4763&lt;&gt;1,"",IF(I4763="SBJ","CB","?"))</f>
        <v> </v>
      </c>
      <c r="I4763" s="26" t="str">
        <f>IF(OR(E4763="",E4763="!!!",F4763="NEW"),"",INDEX(B4762:B$2,-1+SUMPRODUCT(MAX(ROW(E4762:E$2)*(E4763=E4762:E$2)))))</f>
        <v> </v>
      </c>
      <c r="J4763" s="26" t="str">
        <f>IF(OR(E4763="",E4763="!!!",F4763="NEW"),"",COUNTBLANK(OFFSET(A$1,,,SUMPRODUCT(MAX(ROW(E$2:E4763)*(E4763=E$2:E4763)))))-COUNTBLANK(OFFSET(A$1,,,SUMPRODUCT(MAX(ROW(E$1:E4762)*(E2=E$1:E4762))))))</f>
        <v> </v>
      </c>
      <c r="K4763" s="26" t="str">
        <f>IF(OR(E4763="",E4763="!!!",F4763="NEW"),"",INDEX(J$1:J4762,SUMPRODUCT(MAX(ROW(E$1:E4762)*(E4763=E$1:E4762)))))</f>
        <v> </v>
      </c>
      <c r="L4763" s="27"/>
    </row>
    <row r="4764" spans="1:12">
      <c r="A4764" s="20" t="s">
        <v>2258</v>
      </c>
      <c r="E4764" s="22">
        <f>IF(D4764="?OLD","!!!","")</f>
        <v/>
      </c>
      <c r="F4764" s="23" t="str">
        <f>IF(OR(E4764="",E4764="!!!"),"",IF(NOT(ISNA(VLOOKUP(E4764,E$1:E4763,1,FALSE()))),"OLD",IF(AND(E4764&lt;&gt;"",E4764&lt;&gt;"!!!"),"NEW","")))</f>
        <v> </v>
      </c>
      <c r="G4764" s="24" t="str">
        <f>IF(OR(E4764="",E4764="!!!"),"",IF(OR(J4764=0,AND(J4764=1,K4764=1),AND(J4764=1,I4764="SBJ"),AND(J4764=1,I4764=0)),"?IN_FOCUS",IF(J4764&lt;=2,"?ACTIVATED",IF(J4764&lt;&gt;"","?FAMILIAR",IF(F4764="NEW",IF(ISNA(VLOOKUP(E4764,#REF!,1,FALSE())),"?TYPE_IDENTIFIABLE","?REFERENTIAL"),"_")))))</f>
        <v> </v>
      </c>
      <c r="H4764" s="25" t="str">
        <f>IF(J4764&lt;&gt;1,"",IF(I4764="SBJ","CB","?"))</f>
        <v> </v>
      </c>
      <c r="I4764" s="26" t="str">
        <f>IF(OR(E4764="",E4764="!!!",F4764="NEW"),"",INDEX(B4763:B$2,-1+SUMPRODUCT(MAX(ROW(E4763:E$2)*(E4764=E4763:E$2)))))</f>
        <v> </v>
      </c>
      <c r="J4764" s="26" t="str">
        <f>IF(OR(E4764="",E4764="!!!",F4764="NEW"),"",COUNTBLANK(OFFSET(A$1,,,SUMPRODUCT(MAX(ROW(E$2:E4764)*(E4764=E$2:E4764)))))-COUNTBLANK(OFFSET(A$1,,,SUMPRODUCT(MAX(ROW(E$1:E4763)*(E2=E$1:E4763))))))</f>
        <v> </v>
      </c>
      <c r="K4764" s="26" t="str">
        <f>IF(OR(E4764="",E4764="!!!",F4764="NEW"),"",INDEX(J$1:J4763,SUMPRODUCT(MAX(ROW(E$1:E4763)*(E4764=E$1:E4763)))))</f>
        <v> </v>
      </c>
      <c r="L4764" s="27"/>
    </row>
    <row r="4765" spans="1:12">
      <c r="A4765" s="20" t="s">
        <v>1202</v>
      </c>
      <c r="E4765" s="22">
        <f>IF(D4765="?OLD","!!!","")</f>
        <v/>
      </c>
      <c r="F4765" s="23" t="str">
        <f>IF(OR(E4765="",E4765="!!!"),"",IF(NOT(ISNA(VLOOKUP(E4765,E$1:E4764,1,FALSE()))),"OLD",IF(AND(E4765&lt;&gt;"",E4765&lt;&gt;"!!!"),"NEW","")))</f>
        <v> </v>
      </c>
      <c r="G4765" s="24" t="str">
        <f>IF(OR(E4765="",E4765="!!!"),"",IF(OR(J4765=0,AND(J4765=1,K4765=1),AND(J4765=1,I4765="SBJ"),AND(J4765=1,I4765=0)),"?IN_FOCUS",IF(J4765&lt;=2,"?ACTIVATED",IF(J4765&lt;&gt;"","?FAMILIAR",IF(F4765="NEW",IF(ISNA(VLOOKUP(E4765,#REF!,1,FALSE())),"?TYPE_IDENTIFIABLE","?REFERENTIAL"),"_")))))</f>
        <v> </v>
      </c>
      <c r="H4765" s="25" t="str">
        <f>IF(J4765&lt;&gt;1,"",IF(I4765="SBJ","CB","?"))</f>
        <v> </v>
      </c>
      <c r="I4765" s="26" t="str">
        <f>IF(OR(E4765="",E4765="!!!",F4765="NEW"),"",INDEX(B4764:B$2,-1+SUMPRODUCT(MAX(ROW(E4764:E$2)*(E4765=E4764:E$2)))))</f>
        <v> </v>
      </c>
      <c r="J4765" s="26" t="str">
        <f>IF(OR(E4765="",E4765="!!!",F4765="NEW"),"",COUNTBLANK(OFFSET(A$1,,,SUMPRODUCT(MAX(ROW(E$2:E4765)*(E4765=E$2:E4765)))))-COUNTBLANK(OFFSET(A$1,,,SUMPRODUCT(MAX(ROW(E$1:E4764)*(E2=E$1:E4764))))))</f>
        <v> </v>
      </c>
      <c r="K4765" s="26" t="str">
        <f>IF(OR(E4765="",E4765="!!!",F4765="NEW"),"",INDEX(J$1:J4764,SUMPRODUCT(MAX(ROW(E$1:E4764)*(E4765=E$1:E4764)))))</f>
        <v> </v>
      </c>
      <c r="L4765" s="27"/>
    </row>
    <row r="4766" spans="1:12">
      <c r="A4766" s="20" t="s">
        <v>1026</v>
      </c>
      <c r="E4766" s="22">
        <f>IF(D4766="?OLD","!!!","")</f>
        <v/>
      </c>
      <c r="F4766" s="23" t="str">
        <f>IF(OR(E4766="",E4766="!!!"),"",IF(NOT(ISNA(VLOOKUP(E4766,E$1:E4765,1,FALSE()))),"OLD",IF(AND(E4766&lt;&gt;"",E4766&lt;&gt;"!!!"),"NEW","")))</f>
        <v> </v>
      </c>
      <c r="G4766" s="24" t="str">
        <f>IF(OR(E4766="",E4766="!!!"),"",IF(OR(J4766=0,AND(J4766=1,K4766=1),AND(J4766=1,I4766="SBJ"),AND(J4766=1,I4766=0)),"?IN_FOCUS",IF(J4766&lt;=2,"?ACTIVATED",IF(J4766&lt;&gt;"","?FAMILIAR",IF(F4766="NEW",IF(ISNA(VLOOKUP(E4766,#REF!,1,FALSE())),"?TYPE_IDENTIFIABLE","?REFERENTIAL"),"_")))))</f>
        <v> </v>
      </c>
      <c r="H4766" s="25" t="str">
        <f>IF(J4766&lt;&gt;1,"",IF(I4766="SBJ","CB","?"))</f>
        <v> </v>
      </c>
      <c r="I4766" s="26" t="str">
        <f>IF(OR(E4766="",E4766="!!!",F4766="NEW"),"",INDEX(B4765:B$2,-1+SUMPRODUCT(MAX(ROW(E4765:E$2)*(E4766=E4765:E$2)))))</f>
        <v> </v>
      </c>
      <c r="J4766" s="26" t="str">
        <f>IF(OR(E4766="",E4766="!!!",F4766="NEW"),"",COUNTBLANK(OFFSET(A$1,,,SUMPRODUCT(MAX(ROW(E$2:E4766)*(E4766=E$2:E4766)))))-COUNTBLANK(OFFSET(A$1,,,SUMPRODUCT(MAX(ROW(E$1:E4765)*(E2=E$1:E4765))))))</f>
        <v> </v>
      </c>
      <c r="K4766" s="26" t="str">
        <f>IF(OR(E4766="",E4766="!!!",F4766="NEW"),"",INDEX(J$1:J4765,SUMPRODUCT(MAX(ROW(E$1:E4765)*(E4766=E$1:E4765)))))</f>
        <v> </v>
      </c>
      <c r="L4766" s="27"/>
    </row>
    <row r="4767" spans="1:12">
      <c r="A4767" s="20" t="s">
        <v>1314</v>
      </c>
      <c r="E4767" s="22">
        <f>IF(D4767="?OLD","!!!","")</f>
        <v/>
      </c>
      <c r="F4767" s="23" t="str">
        <f>IF(OR(E4767="",E4767="!!!"),"",IF(NOT(ISNA(VLOOKUP(E4767,E$1:E4766,1,FALSE()))),"OLD",IF(AND(E4767&lt;&gt;"",E4767&lt;&gt;"!!!"),"NEW","")))</f>
        <v> </v>
      </c>
      <c r="G4767" s="24" t="str">
        <f>IF(OR(E4767="",E4767="!!!"),"",IF(OR(J4767=0,AND(J4767=1,K4767=1),AND(J4767=1,I4767="SBJ"),AND(J4767=1,I4767=0)),"?IN_FOCUS",IF(J4767&lt;=2,"?ACTIVATED",IF(J4767&lt;&gt;"","?FAMILIAR",IF(F4767="NEW",IF(ISNA(VLOOKUP(E4767,#REF!,1,FALSE())),"?TYPE_IDENTIFIABLE","?REFERENTIAL"),"_")))))</f>
        <v> </v>
      </c>
      <c r="H4767" s="25" t="str">
        <f>IF(J4767&lt;&gt;1,"",IF(I4767="SBJ","CB","?"))</f>
        <v> </v>
      </c>
      <c r="I4767" s="26" t="str">
        <f>IF(OR(E4767="",E4767="!!!",F4767="NEW"),"",INDEX(B4766:B$2,-1+SUMPRODUCT(MAX(ROW(E4766:E$2)*(E4767=E4766:E$2)))))</f>
        <v> </v>
      </c>
      <c r="J4767" s="26" t="str">
        <f>IF(OR(E4767="",E4767="!!!",F4767="NEW"),"",COUNTBLANK(OFFSET(A$1,,,SUMPRODUCT(MAX(ROW(E$2:E4767)*(E4767=E$2:E4767)))))-COUNTBLANK(OFFSET(A$1,,,SUMPRODUCT(MAX(ROW(E$1:E4766)*(E2=E$1:E4766))))))</f>
        <v> </v>
      </c>
      <c r="K4767" s="26" t="str">
        <f>IF(OR(E4767="",E4767="!!!",F4767="NEW"),"",INDEX(J$1:J4766,SUMPRODUCT(MAX(ROW(E$1:E4766)*(E4767=E$1:E4766)))))</f>
        <v> </v>
      </c>
      <c r="L4767" s="27"/>
    </row>
    <row r="4768" spans="1:12">
      <c r="A4768" s="20" t="s">
        <v>2012</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1195</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2013</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932</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470</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970</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919</v>
      </c>
      <c r="B4774" s="21" t="s">
        <v>923</v>
      </c>
      <c r="C4774" s="21" t="s">
        <v>916</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1026</v>
      </c>
      <c r="B4775" s="21" t="s">
        <v>947</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t="s">
        <v>1451</v>
      </c>
      <c r="E4776" s="22">
        <f>IF(D4776="?OLD","!!!","")</f>
        <v/>
      </c>
      <c r="F4776" s="23" t="str">
        <f>IF(OR(E4776="",E4776="!!!"),"",IF(NOT(ISNA(VLOOKUP(E4776,E$1:E4775,1,FALSE()))),"OLD",IF(AND(E4776&lt;&gt;"",E4776&lt;&gt;"!!!"),"NEW","")))</f>
        <v> </v>
      </c>
      <c r="G4776" s="24" t="str">
        <f>IF(OR(E4776="",E4776="!!!"),"",IF(OR(J4776=0,AND(J4776=1,K4776=1),AND(J4776=1,I4776="SBJ"),AND(J4776=1,I4776=0)),"?IN_FOCUS",IF(J4776&lt;=2,"?ACTIVATED",IF(J4776&lt;&gt;"","?FAMILIAR",IF(F4776="NEW",IF(ISNA(VLOOKUP(E4776,#REF!,1,FALSE())),"?TYPE_IDENTIFIABLE","?REFERENTIAL"),"_")))))</f>
        <v> </v>
      </c>
      <c r="H4776" s="25" t="str">
        <f>IF(J4776&lt;&gt;1,"",IF(I4776="SBJ","CB","?"))</f>
        <v> </v>
      </c>
      <c r="I4776" s="26" t="str">
        <f>IF(OR(E4776="",E4776="!!!",F4776="NEW"),"",INDEX(B4775:B$2,-1+SUMPRODUCT(MAX(ROW(E4775:E$2)*(E4776=E4775:E$2)))))</f>
        <v> </v>
      </c>
      <c r="J4776" s="26" t="str">
        <f>IF(OR(E4776="",E4776="!!!",F4776="NEW"),"",COUNTBLANK(OFFSET(A$1,,,SUMPRODUCT(MAX(ROW(E$2:E4776)*(E4776=E$2:E4776)))))-COUNTBLANK(OFFSET(A$1,,,SUMPRODUCT(MAX(ROW(E$1:E4775)*(E2=E$1:E4775))))))</f>
        <v> </v>
      </c>
      <c r="K4776" s="26" t="str">
        <f>IF(OR(E4776="",E4776="!!!",F4776="NEW"),"",INDEX(J$1:J4775,SUMPRODUCT(MAX(ROW(E$1:E4775)*(E4776=E$1:E4775)))))</f>
        <v> </v>
      </c>
      <c r="L4776" s="27"/>
    </row>
    <row r="4777" spans="1:12">
      <c r="A4777" s="20" t="s">
        <v>2270</v>
      </c>
      <c r="B4777" s="21" t="s">
        <v>949</v>
      </c>
      <c r="C4777" s="21" t="s">
        <v>916</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960</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932</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t="s">
        <v>1029</v>
      </c>
      <c r="E4780" s="22">
        <f>IF(D4780="?OLD","!!!","")</f>
        <v/>
      </c>
      <c r="F4780" s="23" t="str">
        <f>IF(OR(E4780="",E4780="!!!"),"",IF(NOT(ISNA(VLOOKUP(E4780,E$1:E4779,1,FALSE()))),"OLD",IF(AND(E4780&lt;&gt;"",E4780&lt;&gt;"!!!"),"NEW","")))</f>
        <v> </v>
      </c>
      <c r="G4780" s="24" t="str">
        <f>IF(OR(E4780="",E4780="!!!"),"",IF(OR(J4780=0,AND(J4780=1,K4780=1),AND(J4780=1,I4780="SBJ"),AND(J4780=1,I4780=0)),"?IN_FOCUS",IF(J4780&lt;=2,"?ACTIVATED",IF(J4780&lt;&gt;"","?FAMILIAR",IF(F4780="NEW",IF(ISNA(VLOOKUP(E4780,#REF!,1,FALSE())),"?TYPE_IDENTIFIABLE","?REFERENTIAL"),"_")))))</f>
        <v> </v>
      </c>
      <c r="H4780" s="25" t="str">
        <f>IF(J4780&lt;&gt;1,"",IF(I4780="SBJ","CB","?"))</f>
        <v> </v>
      </c>
      <c r="I4780" s="26" t="str">
        <f>IF(OR(E4780="",E4780="!!!",F4780="NEW"),"",INDEX(B4779:B$2,-1+SUMPRODUCT(MAX(ROW(E4779:E$2)*(E4780=E4779:E$2)))))</f>
        <v> </v>
      </c>
      <c r="J4780" s="26" t="str">
        <f>IF(OR(E4780="",E4780="!!!",F4780="NEW"),"",COUNTBLANK(OFFSET(A$1,,,SUMPRODUCT(MAX(ROW(E$2:E4780)*(E4780=E$2:E4780)))))-COUNTBLANK(OFFSET(A$1,,,SUMPRODUCT(MAX(ROW(E$1:E4779)*(E2=E$1:E4779))))))</f>
        <v> </v>
      </c>
      <c r="K4780" s="26" t="str">
        <f>IF(OR(E4780="",E4780="!!!",F4780="NEW"),"",INDEX(J$1:J4779,SUMPRODUCT(MAX(ROW(E$1:E4779)*(E4780=E$1:E4779)))))</f>
        <v> </v>
      </c>
      <c r="L4780" s="27"/>
    </row>
    <row r="4781" spans="1:12">
      <c r="A4781" s="20" t="s">
        <v>1032</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1033</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1034</v>
      </c>
      <c r="B4783" s="21" t="s">
        <v>923</v>
      </c>
      <c r="C4783" s="21" t="s">
        <v>1035</v>
      </c>
      <c r="D4783" s="21" t="s">
        <v>901</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932</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957</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1610</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1031</v>
      </c>
      <c r="B4787" s="21" t="s">
        <v>923</v>
      </c>
      <c r="C4787" s="21" t="s">
        <v>959</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960</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t="s">
        <v>925</v>
      </c>
      <c r="E4789" s="22">
        <f>IF(D4789="?OLD","!!!","")</f>
        <v/>
      </c>
      <c r="F4789" s="23" t="str">
        <f>IF(OR(E4789="",E4789="!!!"),"",IF(NOT(ISNA(VLOOKUP(E4789,E$1:E4788,1,FALSE()))),"OLD",IF(AND(E4789&lt;&gt;"",E4789&lt;&gt;"!!!"),"NEW","")))</f>
        <v> </v>
      </c>
      <c r="G4789" s="24" t="str">
        <f>IF(OR(E4789="",E4789="!!!"),"",IF(OR(J4789=0,AND(J4789=1,K4789=1),AND(J4789=1,I4789="SBJ"),AND(J4789=1,I4789=0)),"?IN_FOCUS",IF(J4789&lt;=2,"?ACTIVATED",IF(J4789&lt;&gt;"","?FAMILIAR",IF(F4789="NEW",IF(ISNA(VLOOKUP(E4789,#REF!,1,FALSE())),"?TYPE_IDENTIFIABLE","?REFERENTIAL"),"_")))))</f>
        <v> </v>
      </c>
      <c r="H4789" s="25" t="str">
        <f>IF(J4789&lt;&gt;1,"",IF(I4789="SBJ","CB","?"))</f>
        <v> </v>
      </c>
      <c r="I4789" s="26" t="str">
        <f>IF(OR(E4789="",E4789="!!!",F4789="NEW"),"",INDEX(B4788:B$2,-1+SUMPRODUCT(MAX(ROW(E4788:E$2)*(E4789=E4788:E$2)))))</f>
        <v> </v>
      </c>
      <c r="J4789" s="26" t="str">
        <f>IF(OR(E4789="",E4789="!!!",F4789="NEW"),"",COUNTBLANK(OFFSET(A$1,,,SUMPRODUCT(MAX(ROW(E$2:E4789)*(E4789=E$2:E4789)))))-COUNTBLANK(OFFSET(A$1,,,SUMPRODUCT(MAX(ROW(E$1:E4788)*(E2=E$1:E4788))))))</f>
        <v> </v>
      </c>
      <c r="K4789" s="26" t="str">
        <f>IF(OR(E4789="",E4789="!!!",F4789="NEW"),"",INDEX(J$1:J4788,SUMPRODUCT(MAX(ROW(E$1:E4788)*(E4789=E$1:E4788)))))</f>
        <v> </v>
      </c>
      <c r="L4789" s="27"/>
    </row>
    <row r="4790" spans="1:12">
      <c r="A4790" s="20" t="s">
        <v>943</v>
      </c>
      <c r="E4790" s="22">
        <f>IF(D4790="?OLD","!!!","")</f>
        <v/>
      </c>
      <c r="F4790" s="23" t="str">
        <f>IF(OR(E4790="",E4790="!!!"),"",IF(NOT(ISNA(VLOOKUP(E4790,E$1:E4789,1,FALSE()))),"OLD",IF(AND(E4790&lt;&gt;"",E4790&lt;&gt;"!!!"),"NEW","")))</f>
        <v> </v>
      </c>
      <c r="G4790" s="24" t="str">
        <f>IF(OR(E4790="",E4790="!!!"),"",IF(OR(J4790=0,AND(J4790=1,K4790=1),AND(J4790=1,I4790="SBJ"),AND(J4790=1,I4790=0)),"?IN_FOCUS",IF(J4790&lt;=2,"?ACTIVATED",IF(J4790&lt;&gt;"","?FAMILIAR",IF(F4790="NEW",IF(ISNA(VLOOKUP(E4790,#REF!,1,FALSE())),"?TYPE_IDENTIFIABLE","?REFERENTIAL"),"_")))))</f>
        <v> </v>
      </c>
      <c r="H4790" s="25" t="str">
        <f>IF(J4790&lt;&gt;1,"",IF(I4790="SBJ","CB","?"))</f>
        <v> </v>
      </c>
      <c r="I4790" s="26" t="str">
        <f>IF(OR(E4790="",E4790="!!!",F4790="NEW"),"",INDEX(B4789:B$2,-1+SUMPRODUCT(MAX(ROW(E4789:E$2)*(E4790=E4789:E$2)))))</f>
        <v> </v>
      </c>
      <c r="J4790" s="26" t="str">
        <f>IF(OR(E4790="",E4790="!!!",F4790="NEW"),"",COUNTBLANK(OFFSET(A$1,,,SUMPRODUCT(MAX(ROW(E$2:E4790)*(E4790=E$2:E4790)))))-COUNTBLANK(OFFSET(A$1,,,SUMPRODUCT(MAX(ROW(E$1:E4789)*(E2=E$1:E4789))))))</f>
        <v> </v>
      </c>
      <c r="K4790" s="26" t="str">
        <f>IF(OR(E4790="",E4790="!!!",F4790="NEW"),"",INDEX(J$1:J4789,SUMPRODUCT(MAX(ROW(E$1:E4789)*(E4790=E$1:E4789)))))</f>
        <v> </v>
      </c>
      <c r="L4790" s="27"/>
    </row>
    <row r="4791" spans="1:12">
      <c r="A4791" s="20" t="s">
        <v>2271</v>
      </c>
      <c r="B4791" s="21" t="s">
        <v>928</v>
      </c>
      <c r="C4791" s="21" t="s">
        <v>929</v>
      </c>
      <c r="D4791" s="21" t="s">
        <v>901</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t="s">
        <v>1666</v>
      </c>
      <c r="B4792" s="21" t="s">
        <v>1217</v>
      </c>
      <c r="C4792" s="21" t="s">
        <v>931</v>
      </c>
      <c r="D4792" s="21" t="s">
        <v>901</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936</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t="s">
        <v>1026</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1120</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2272</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970</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1833</v>
      </c>
      <c r="B4798" s="21" t="s">
        <v>950</v>
      </c>
      <c r="C4798" s="21" t="s">
        <v>900</v>
      </c>
      <c r="D4798" s="21" t="s">
        <v>901</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942</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926</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729</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t="s">
        <v>925</v>
      </c>
      <c r="E4802" s="22">
        <f>IF(D4802="?OLD","!!!","")</f>
        <v/>
      </c>
      <c r="F4802" s="23" t="str">
        <f>IF(OR(E4802="",E4802="!!!"),"",IF(NOT(ISNA(VLOOKUP(E4802,E$1:E4801,1,FALSE()))),"OLD",IF(AND(E4802&lt;&gt;"",E4802&lt;&gt;"!!!"),"NEW","")))</f>
        <v> </v>
      </c>
      <c r="G4802" s="24" t="str">
        <f>IF(OR(E4802="",E4802="!!!"),"",IF(OR(J4802=0,AND(J4802=1,K4802=1),AND(J4802=1,I4802="SBJ"),AND(J4802=1,I4802=0)),"?IN_FOCUS",IF(J4802&lt;=2,"?ACTIVATED",IF(J4802&lt;&gt;"","?FAMILIAR",IF(F4802="NEW",IF(ISNA(VLOOKUP(E4802,#REF!,1,FALSE())),"?TYPE_IDENTIFIABLE","?REFERENTIAL"),"_")))))</f>
        <v> </v>
      </c>
      <c r="H4802" s="25" t="str">
        <f>IF(J4802&lt;&gt;1,"",IF(I4802="SBJ","CB","?"))</f>
        <v> </v>
      </c>
      <c r="I4802" s="26" t="str">
        <f>IF(OR(E4802="",E4802="!!!",F4802="NEW"),"",INDEX(B4801:B$2,-1+SUMPRODUCT(MAX(ROW(E4801:E$2)*(E4802=E4801:E$2)))))</f>
        <v> </v>
      </c>
      <c r="J4802" s="26" t="str">
        <f>IF(OR(E4802="",E4802="!!!",F4802="NEW"),"",COUNTBLANK(OFFSET(A$1,,,SUMPRODUCT(MAX(ROW(E$2:E4802)*(E4802=E$2:E4802)))))-COUNTBLANK(OFFSET(A$1,,,SUMPRODUCT(MAX(ROW(E$1:E4801)*(E2=E$1:E4801))))))</f>
        <v> </v>
      </c>
      <c r="K4802" s="26" t="str">
        <f>IF(OR(E4802="",E4802="!!!",F4802="NEW"),"",INDEX(J$1:J4801,SUMPRODUCT(MAX(ROW(E$1:E4801)*(E4802=E$1:E4801)))))</f>
        <v> </v>
      </c>
      <c r="L4802" s="27"/>
    </row>
    <row r="4803" spans="1:12">
      <c r="A4803" s="20" t="s">
        <v>2135</v>
      </c>
      <c r="E4803" s="22">
        <f>IF(D4803="?OLD","!!!","")</f>
        <v/>
      </c>
      <c r="F4803" s="23" t="str">
        <f>IF(OR(E4803="",E4803="!!!"),"",IF(NOT(ISNA(VLOOKUP(E4803,E$1:E4802,1,FALSE()))),"OLD",IF(AND(E4803&lt;&gt;"",E4803&lt;&gt;"!!!"),"NEW","")))</f>
        <v> </v>
      </c>
      <c r="G4803" s="24" t="str">
        <f>IF(OR(E4803="",E4803="!!!"),"",IF(OR(J4803=0,AND(J4803=1,K4803=1),AND(J4803=1,I4803="SBJ"),AND(J4803=1,I4803=0)),"?IN_FOCUS",IF(J4803&lt;=2,"?ACTIVATED",IF(J4803&lt;&gt;"","?FAMILIAR",IF(F4803="NEW",IF(ISNA(VLOOKUP(E4803,#REF!,1,FALSE())),"?TYPE_IDENTIFIABLE","?REFERENTIAL"),"_")))))</f>
        <v> </v>
      </c>
      <c r="H4803" s="25" t="str">
        <f>IF(J4803&lt;&gt;1,"",IF(I4803="SBJ","CB","?"))</f>
        <v> </v>
      </c>
      <c r="I4803" s="26" t="str">
        <f>IF(OR(E4803="",E4803="!!!",F4803="NEW"),"",INDEX(B4802:B$2,-1+SUMPRODUCT(MAX(ROW(E4802:E$2)*(E4803=E4802:E$2)))))</f>
        <v> </v>
      </c>
      <c r="J4803" s="26" t="str">
        <f>IF(OR(E4803="",E4803="!!!",F4803="NEW"),"",COUNTBLANK(OFFSET(A$1,,,SUMPRODUCT(MAX(ROW(E$2:E4803)*(E4803=E$2:E4803)))))-COUNTBLANK(OFFSET(A$1,,,SUMPRODUCT(MAX(ROW(E$1:E4802)*(E2=E$1:E4802))))))</f>
        <v> </v>
      </c>
      <c r="K4803" s="26" t="str">
        <f>IF(OR(E4803="",E4803="!!!",F4803="NEW"),"",INDEX(J$1:J4802,SUMPRODUCT(MAX(ROW(E$1:E4802)*(E4803=E$1:E4802)))))</f>
        <v> </v>
      </c>
      <c r="L4803" s="27"/>
    </row>
    <row r="4804" spans="1:12">
      <c r="A4804" s="20" t="s">
        <v>970</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t="s">
        <v>919</v>
      </c>
      <c r="B4805" s="21" t="s">
        <v>923</v>
      </c>
      <c r="C4805" s="21" t="s">
        <v>913</v>
      </c>
      <c r="D4805" s="21" t="s">
        <v>901</v>
      </c>
      <c r="E4805" s="22">
        <f>IF(D4805="?OLD","!!!","")</f>
        <v/>
      </c>
      <c r="F4805" s="23" t="str">
        <f>IF(OR(E4805="",E4805="!!!"),"",IF(NOT(ISNA(VLOOKUP(E4805,E$1:E4804,1,FALSE()))),"OLD",IF(AND(E4805&lt;&gt;"",E4805&lt;&gt;"!!!"),"NEW","")))</f>
        <v> </v>
      </c>
      <c r="G4805" s="24" t="str">
        <f>IF(OR(E4805="",E4805="!!!"),"",IF(OR(J4805=0,AND(J4805=1,K4805=1),AND(J4805=1,I4805="SBJ"),AND(J4805=1,I4805=0)),"?IN_FOCUS",IF(J4805&lt;=2,"?ACTIVATED",IF(J4805&lt;&gt;"","?FAMILIAR",IF(F4805="NEW",IF(ISNA(VLOOKUP(E4805,#REF!,1,FALSE())),"?TYPE_IDENTIFIABLE","?REFERENTIAL"),"_")))))</f>
        <v> </v>
      </c>
      <c r="H4805" s="25" t="str">
        <f>IF(J4805&lt;&gt;1,"",IF(I4805="SBJ","CB","?"))</f>
        <v> </v>
      </c>
      <c r="I4805" s="26" t="str">
        <f>IF(OR(E4805="",E4805="!!!",F4805="NEW"),"",INDEX(B4804:B$2,-1+SUMPRODUCT(MAX(ROW(E4804:E$2)*(E4805=E4804:E$2)))))</f>
        <v> </v>
      </c>
      <c r="J4805" s="26" t="str">
        <f>IF(OR(E4805="",E4805="!!!",F4805="NEW"),"",COUNTBLANK(OFFSET(A$1,,,SUMPRODUCT(MAX(ROW(E$2:E4805)*(E4805=E$2:E4805)))))-COUNTBLANK(OFFSET(A$1,,,SUMPRODUCT(MAX(ROW(E$1:E4804)*(E2=E$1:E4804))))))</f>
        <v> </v>
      </c>
      <c r="K4805" s="26" t="str">
        <f>IF(OR(E4805="",E4805="!!!",F4805="NEW"),"",INDEX(J$1:J4804,SUMPRODUCT(MAX(ROW(E$1:E4804)*(E4805=E$1:E4804)))))</f>
        <v> </v>
      </c>
      <c r="L4805" s="27"/>
    </row>
    <row r="4806" spans="1:12">
      <c r="A4806" s="20" t="s">
        <v>1258</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1304</v>
      </c>
      <c r="B4807" s="21" t="s">
        <v>928</v>
      </c>
      <c r="C4807" s="21" t="s">
        <v>1097</v>
      </c>
      <c r="D4807" s="21" t="s">
        <v>901</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t="s">
        <v>202</v>
      </c>
      <c r="E4808" s="22">
        <f>IF(D4808="?OLD","!!!","")</f>
        <v/>
      </c>
      <c r="F4808" s="23" t="str">
        <f>IF(OR(E4808="",E4808="!!!"),"",IF(NOT(ISNA(VLOOKUP(E4808,E$1:E4807,1,FALSE()))),"OLD",IF(AND(E4808&lt;&gt;"",E4808&lt;&gt;"!!!"),"NEW","")))</f>
        <v> </v>
      </c>
      <c r="G4808" s="24" t="str">
        <f>IF(OR(E4808="",E4808="!!!"),"",IF(OR(J4808=0,AND(J4808=1,K4808=1),AND(J4808=1,I4808="SBJ"),AND(J4808=1,I4808=0)),"?IN_FOCUS",IF(J4808&lt;=2,"?ACTIVATED",IF(J4808&lt;&gt;"","?FAMILIAR",IF(F4808="NEW",IF(ISNA(VLOOKUP(E4808,#REF!,1,FALSE())),"?TYPE_IDENTIFIABLE","?REFERENTIAL"),"_")))))</f>
        <v> </v>
      </c>
      <c r="H4808" s="25" t="str">
        <f>IF(J4808&lt;&gt;1,"",IF(I4808="SBJ","CB","?"))</f>
        <v> </v>
      </c>
      <c r="I4808" s="26" t="str">
        <f>IF(OR(E4808="",E4808="!!!",F4808="NEW"),"",INDEX(B4807:B$2,-1+SUMPRODUCT(MAX(ROW(E4807:E$2)*(E4808=E4807:E$2)))))</f>
        <v> </v>
      </c>
      <c r="J4808" s="26" t="str">
        <f>IF(OR(E4808="",E4808="!!!",F4808="NEW"),"",COUNTBLANK(OFFSET(A$1,,,SUMPRODUCT(MAX(ROW(E$2:E4808)*(E4808=E$2:E4808)))))-COUNTBLANK(OFFSET(A$1,,,SUMPRODUCT(MAX(ROW(E$1:E4807)*(E2=E$1:E4807))))))</f>
        <v> </v>
      </c>
      <c r="K4808" s="26" t="str">
        <f>IF(OR(E4808="",E4808="!!!",F4808="NEW"),"",INDEX(J$1:J4807,SUMPRODUCT(MAX(ROW(E$1:E4807)*(E4808=E$1:E4807)))))</f>
        <v> </v>
      </c>
      <c r="L4808" s="27"/>
    </row>
    <row r="4809" spans="1:12">
      <c r="A4809" s="20"/>
    </row>
    <row r="4810" spans="1:12">
      <c r="A4810" s="20" t="s">
        <v>2273</v>
      </c>
    </row>
    <row r="4811" spans="1:12">
      <c r="A4811" s="20" t="s">
        <v>1422</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t="s">
        <v>2274</v>
      </c>
      <c r="E4812" s="22">
        <f>IF(D4812="?OLD","!!!","")</f>
        <v/>
      </c>
      <c r="F4812" s="23" t="str">
        <f>IF(OR(E4812="",E4812="!!!"),"",IF(NOT(ISNA(VLOOKUP(E4812,E$1:E4811,1,FALSE()))),"OLD",IF(AND(E4812&lt;&gt;"",E4812&lt;&gt;"!!!"),"NEW","")))</f>
        <v> </v>
      </c>
      <c r="G4812" s="24" t="str">
        <f>IF(OR(E4812="",E4812="!!!"),"",IF(OR(J4812=0,AND(J4812=1,K4812=1),AND(J4812=1,I4812="SBJ"),AND(J4812=1,I4812=0)),"?IN_FOCUS",IF(J4812&lt;=2,"?ACTIVATED",IF(J4812&lt;&gt;"","?FAMILIAR",IF(F4812="NEW",IF(ISNA(VLOOKUP(E4812,#REF!,1,FALSE())),"?TYPE_IDENTIFIABLE","?REFERENTIAL"),"_")))))</f>
        <v> </v>
      </c>
      <c r="H4812" s="25" t="str">
        <f>IF(J4812&lt;&gt;1,"",IF(I4812="SBJ","CB","?"))</f>
        <v> </v>
      </c>
      <c r="I4812" s="26" t="str">
        <f>IF(OR(E4812="",E4812="!!!",F4812="NEW"),"",INDEX(B4811:B$2,-1+SUMPRODUCT(MAX(ROW(E4811:E$2)*(E4812=E4811:E$2)))))</f>
        <v> </v>
      </c>
      <c r="J4812" s="26" t="str">
        <f>IF(OR(E4812="",E4812="!!!",F4812="NEW"),"",COUNTBLANK(OFFSET(A$1,,,SUMPRODUCT(MAX(ROW(E$2:E4812)*(E4812=E$2:E4812)))))-COUNTBLANK(OFFSET(A$1,,,SUMPRODUCT(MAX(ROW(E$1:E4811)*(E2=E$1:E4811))))))</f>
        <v> </v>
      </c>
      <c r="K4812" s="26" t="str">
        <f>IF(OR(E4812="",E4812="!!!",F4812="NEW"),"",INDEX(J$1:J4811,SUMPRODUCT(MAX(ROW(E$1:E4811)*(E4812=E$1:E4811)))))</f>
        <v> </v>
      </c>
      <c r="L4812" s="27"/>
    </row>
    <row r="4813" spans="1:12">
      <c r="A4813" s="20" t="s">
        <v>2275</v>
      </c>
      <c r="E4813" s="22">
        <f>IF(D4813="?OLD","!!!","")</f>
        <v/>
      </c>
      <c r="F4813" s="23" t="str">
        <f>IF(OR(E4813="",E4813="!!!"),"",IF(NOT(ISNA(VLOOKUP(E4813,E$1:E4812,1,FALSE()))),"OLD",IF(AND(E4813&lt;&gt;"",E4813&lt;&gt;"!!!"),"NEW","")))</f>
        <v> </v>
      </c>
      <c r="G4813" s="24" t="str">
        <f>IF(OR(E4813="",E4813="!!!"),"",IF(OR(J4813=0,AND(J4813=1,K4813=1),AND(J4813=1,I4813="SBJ"),AND(J4813=1,I4813=0)),"?IN_FOCUS",IF(J4813&lt;=2,"?ACTIVATED",IF(J4813&lt;&gt;"","?FAMILIAR",IF(F4813="NEW",IF(ISNA(VLOOKUP(E4813,#REF!,1,FALSE())),"?TYPE_IDENTIFIABLE","?REFERENTIAL"),"_")))))</f>
        <v> </v>
      </c>
      <c r="H4813" s="25" t="str">
        <f>IF(J4813&lt;&gt;1,"",IF(I4813="SBJ","CB","?"))</f>
        <v> </v>
      </c>
      <c r="I4813" s="26" t="str">
        <f>IF(OR(E4813="",E4813="!!!",F4813="NEW"),"",INDEX(B4812:B$2,-1+SUMPRODUCT(MAX(ROW(E4812:E$2)*(E4813=E4812:E$2)))))</f>
        <v> </v>
      </c>
      <c r="J4813" s="26" t="str">
        <f>IF(OR(E4813="",E4813="!!!",F4813="NEW"),"",COUNTBLANK(OFFSET(A$1,,,SUMPRODUCT(MAX(ROW(E$2:E4813)*(E4813=E$2:E4813)))))-COUNTBLANK(OFFSET(A$1,,,SUMPRODUCT(MAX(ROW(E$1:E4812)*(E2=E$1:E4812))))))</f>
        <v> </v>
      </c>
      <c r="K4813" s="26" t="str">
        <f>IF(OR(E4813="",E4813="!!!",F4813="NEW"),"",INDEX(J$1:J4812,SUMPRODUCT(MAX(ROW(E$1:E4812)*(E4813=E$1:E4812)))))</f>
        <v> </v>
      </c>
      <c r="L4813" s="27"/>
    </row>
    <row r="4814" spans="1:12">
      <c r="A4814" s="20" t="s">
        <v>970</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t="s">
        <v>926</v>
      </c>
      <c r="E4815" s="22">
        <f>IF(D4815="?OLD","!!!","")</f>
        <v/>
      </c>
      <c r="F4815" s="23" t="str">
        <f>IF(OR(E4815="",E4815="!!!"),"",IF(NOT(ISNA(VLOOKUP(E4815,E$1:E4814,1,FALSE()))),"OLD",IF(AND(E4815&lt;&gt;"",E4815&lt;&gt;"!!!"),"NEW","")))</f>
        <v> </v>
      </c>
      <c r="G4815" s="24" t="str">
        <f>IF(OR(E4815="",E4815="!!!"),"",IF(OR(J4815=0,AND(J4815=1,K4815=1),AND(J4815=1,I4815="SBJ"),AND(J4815=1,I4815=0)),"?IN_FOCUS",IF(J4815&lt;=2,"?ACTIVATED",IF(J4815&lt;&gt;"","?FAMILIAR",IF(F4815="NEW",IF(ISNA(VLOOKUP(E4815,#REF!,1,FALSE())),"?TYPE_IDENTIFIABLE","?REFERENTIAL"),"_")))))</f>
        <v> </v>
      </c>
      <c r="H4815" s="25" t="str">
        <f>IF(J4815&lt;&gt;1,"",IF(I4815="SBJ","CB","?"))</f>
        <v> </v>
      </c>
      <c r="I4815" s="26" t="str">
        <f>IF(OR(E4815="",E4815="!!!",F4815="NEW"),"",INDEX(B4814:B$2,-1+SUMPRODUCT(MAX(ROW(E4814:E$2)*(E4815=E4814:E$2)))))</f>
        <v> </v>
      </c>
      <c r="J4815" s="26" t="str">
        <f>IF(OR(E4815="",E4815="!!!",F4815="NEW"),"",COUNTBLANK(OFFSET(A$1,,,SUMPRODUCT(MAX(ROW(E$2:E4815)*(E4815=E$2:E4815)))))-COUNTBLANK(OFFSET(A$1,,,SUMPRODUCT(MAX(ROW(E$1:E4814)*(E2=E$1:E4814))))))</f>
        <v> </v>
      </c>
      <c r="K4815" s="26" t="str">
        <f>IF(OR(E4815="",E4815="!!!",F4815="NEW"),"",INDEX(J$1:J4814,SUMPRODUCT(MAX(ROW(E$1:E4814)*(E4815=E$1:E4814)))))</f>
        <v> </v>
      </c>
      <c r="L4815" s="27"/>
    </row>
    <row r="4816" spans="1:12">
      <c r="A4816" s="20" t="s">
        <v>1030</v>
      </c>
      <c r="E4816" s="22">
        <f>IF(D4816="?OLD","!!!","")</f>
        <v/>
      </c>
      <c r="F4816" s="23" t="str">
        <f>IF(OR(E4816="",E4816="!!!"),"",IF(NOT(ISNA(VLOOKUP(E4816,E$1:E4815,1,FALSE()))),"OLD",IF(AND(E4816&lt;&gt;"",E4816&lt;&gt;"!!!"),"NEW","")))</f>
        <v> </v>
      </c>
      <c r="G4816" s="24" t="str">
        <f>IF(OR(E4816="",E4816="!!!"),"",IF(OR(J4816=0,AND(J4816=1,K4816=1),AND(J4816=1,I4816="SBJ"),AND(J4816=1,I4816=0)),"?IN_FOCUS",IF(J4816&lt;=2,"?ACTIVATED",IF(J4816&lt;&gt;"","?FAMILIAR",IF(F4816="NEW",IF(ISNA(VLOOKUP(E4816,#REF!,1,FALSE())),"?TYPE_IDENTIFIABLE","?REFERENTIAL"),"_")))))</f>
        <v> </v>
      </c>
      <c r="H4816" s="25" t="str">
        <f>IF(J4816&lt;&gt;1,"",IF(I4816="SBJ","CB","?"))</f>
        <v> </v>
      </c>
      <c r="I4816" s="26" t="str">
        <f>IF(OR(E4816="",E4816="!!!",F4816="NEW"),"",INDEX(B4815:B$2,-1+SUMPRODUCT(MAX(ROW(E4815:E$2)*(E4816=E4815:E$2)))))</f>
        <v> </v>
      </c>
      <c r="J4816" s="26" t="str">
        <f>IF(OR(E4816="",E4816="!!!",F4816="NEW"),"",COUNTBLANK(OFFSET(A$1,,,SUMPRODUCT(MAX(ROW(E$2:E4816)*(E4816=E$2:E4816)))))-COUNTBLANK(OFFSET(A$1,,,SUMPRODUCT(MAX(ROW(E$1:E4815)*(E2=E$1:E4815))))))</f>
        <v> </v>
      </c>
      <c r="K4816" s="26" t="str">
        <f>IF(OR(E4816="",E4816="!!!",F4816="NEW"),"",INDEX(J$1:J4815,SUMPRODUCT(MAX(ROW(E$1:E4815)*(E4816=E$1:E4815)))))</f>
        <v> </v>
      </c>
      <c r="L4816" s="27"/>
    </row>
    <row r="4817" spans="1:12">
      <c r="A4817" s="20" t="s">
        <v>1073</v>
      </c>
      <c r="B4817" s="21" t="s">
        <v>907</v>
      </c>
      <c r="C4817" s="21" t="s">
        <v>931</v>
      </c>
      <c r="D4817" s="21" t="s">
        <v>901</v>
      </c>
      <c r="E4817" s="22">
        <f>IF(D4817="?OLD","!!!","")</f>
        <v/>
      </c>
      <c r="F4817" s="23" t="str">
        <f>IF(OR(E4817="",E4817="!!!"),"",IF(NOT(ISNA(VLOOKUP(E4817,E$1:E4816,1,FALSE()))),"OLD",IF(AND(E4817&lt;&gt;"",E4817&lt;&gt;"!!!"),"NEW","")))</f>
        <v> </v>
      </c>
      <c r="G4817" s="24" t="str">
        <f>IF(OR(E4817="",E4817="!!!"),"",IF(OR(J4817=0,AND(J4817=1,K4817=1),AND(J4817=1,I4817="SBJ"),AND(J4817=1,I4817=0)),"?IN_FOCUS",IF(J4817&lt;=2,"?ACTIVATED",IF(J4817&lt;&gt;"","?FAMILIAR",IF(F4817="NEW",IF(ISNA(VLOOKUP(E4817,#REF!,1,FALSE())),"?TYPE_IDENTIFIABLE","?REFERENTIAL"),"_")))))</f>
        <v> </v>
      </c>
      <c r="H4817" s="25" t="str">
        <f>IF(J4817&lt;&gt;1,"",IF(I4817="SBJ","CB","?"))</f>
        <v> </v>
      </c>
      <c r="I4817" s="26" t="str">
        <f>IF(OR(E4817="",E4817="!!!",F4817="NEW"),"",INDEX(B4816:B$2,-1+SUMPRODUCT(MAX(ROW(E4816:E$2)*(E4817=E4816:E$2)))))</f>
        <v> </v>
      </c>
      <c r="J4817" s="26" t="str">
        <f>IF(OR(E4817="",E4817="!!!",F4817="NEW"),"",COUNTBLANK(OFFSET(A$1,,,SUMPRODUCT(MAX(ROW(E$2:E4817)*(E4817=E$2:E4817)))))-COUNTBLANK(OFFSET(A$1,,,SUMPRODUCT(MAX(ROW(E$1:E4816)*(E2=E$1:E4816))))))</f>
        <v> </v>
      </c>
      <c r="K4817" s="26" t="str">
        <f>IF(OR(E4817="",E4817="!!!",F4817="NEW"),"",INDEX(J$1:J4816,SUMPRODUCT(MAX(ROW(E$1:E4816)*(E4817=E$1:E4816)))))</f>
        <v> </v>
      </c>
      <c r="L4817" s="27"/>
    </row>
    <row r="4818" spans="1:12">
      <c r="A4818" s="20" t="s">
        <v>960</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t="s">
        <v>914</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1530</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t="s">
        <v>1332</v>
      </c>
      <c r="B4821" s="21" t="s">
        <v>912</v>
      </c>
      <c r="C4821" s="21" t="s">
        <v>924</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1019</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2276</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t="s">
        <v>1252</v>
      </c>
      <c r="E4824" s="22">
        <f>IF(D4824="?OLD","!!!","")</f>
        <v/>
      </c>
      <c r="F4824" s="23" t="str">
        <f>IF(OR(E4824="",E4824="!!!"),"",IF(NOT(ISNA(VLOOKUP(E4824,E$1:E4823,1,FALSE()))),"OLD",IF(AND(E4824&lt;&gt;"",E4824&lt;&gt;"!!!"),"NEW","")))</f>
        <v> </v>
      </c>
      <c r="G4824" s="24" t="str">
        <f>IF(OR(E4824="",E4824="!!!"),"",IF(OR(J4824=0,AND(J4824=1,K4824=1),AND(J4824=1,I4824="SBJ"),AND(J4824=1,I4824=0)),"?IN_FOCUS",IF(J4824&lt;=2,"?ACTIVATED",IF(J4824&lt;&gt;"","?FAMILIAR",IF(F4824="NEW",IF(ISNA(VLOOKUP(E4824,#REF!,1,FALSE())),"?TYPE_IDENTIFIABLE","?REFERENTIAL"),"_")))))</f>
        <v> </v>
      </c>
      <c r="H4824" s="25" t="str">
        <f>IF(J4824&lt;&gt;1,"",IF(I4824="SBJ","CB","?"))</f>
        <v> </v>
      </c>
      <c r="I4824" s="26" t="str">
        <f>IF(OR(E4824="",E4824="!!!",F4824="NEW"),"",INDEX(B4823:B$2,-1+SUMPRODUCT(MAX(ROW(E4823:E$2)*(E4824=E4823:E$2)))))</f>
        <v> </v>
      </c>
      <c r="J4824" s="26" t="str">
        <f>IF(OR(E4824="",E4824="!!!",F4824="NEW"),"",COUNTBLANK(OFFSET(A$1,,,SUMPRODUCT(MAX(ROW(E$2:E4824)*(E4824=E$2:E4824)))))-COUNTBLANK(OFFSET(A$1,,,SUMPRODUCT(MAX(ROW(E$1:E4823)*(E2=E$1:E4823))))))</f>
        <v> </v>
      </c>
      <c r="K4824" s="26" t="str">
        <f>IF(OR(E4824="",E4824="!!!",F4824="NEW"),"",INDEX(J$1:J4823,SUMPRODUCT(MAX(ROW(E$1:E4823)*(E4824=E$1:E4823)))))</f>
        <v> </v>
      </c>
      <c r="L4824" s="27"/>
    </row>
    <row r="4825" spans="1:12">
      <c r="A4825" s="20"/>
    </row>
    <row r="4826" spans="1:12">
      <c r="A4826" s="20" t="s">
        <v>2277</v>
      </c>
    </row>
    <row r="4827" spans="1:12">
      <c r="A4827" s="20" t="s">
        <v>1026</v>
      </c>
      <c r="B4827" s="21" t="s">
        <v>904</v>
      </c>
      <c r="E4827" s="22">
        <f>IF(D4827="?OLD","!!!","")</f>
        <v/>
      </c>
      <c r="F4827" s="23" t="str">
        <f>IF(OR(E4827="",E4827="!!!"),"",IF(NOT(ISNA(VLOOKUP(E4827,E$1:E4826,1,FALSE()))),"OLD",IF(AND(E4827&lt;&gt;"",E4827&lt;&gt;"!!!"),"NEW","")))</f>
        <v> </v>
      </c>
      <c r="G4827" s="24" t="str">
        <f>IF(OR(E4827="",E4827="!!!"),"",IF(OR(J4827=0,AND(J4827=1,K4827=1),AND(J4827=1,I4827="SBJ"),AND(J4827=1,I4827=0)),"?IN_FOCUS",IF(J4827&lt;=2,"?ACTIVATED",IF(J4827&lt;&gt;"","?FAMILIAR",IF(F4827="NEW",IF(ISNA(VLOOKUP(E4827,#REF!,1,FALSE())),"?TYPE_IDENTIFIABLE","?REFERENTIAL"),"_")))))</f>
        <v> </v>
      </c>
      <c r="H4827" s="25" t="str">
        <f>IF(J4827&lt;&gt;1,"",IF(I4827="SBJ","CB","?"))</f>
        <v> </v>
      </c>
      <c r="I4827" s="26" t="str">
        <f>IF(OR(E4827="",E4827="!!!",F4827="NEW"),"",INDEX(B4826:B$2,-1+SUMPRODUCT(MAX(ROW(E4826:E$2)*(E4827=E4826:E$2)))))</f>
        <v> </v>
      </c>
      <c r="J4827" s="26" t="str">
        <f>IF(OR(E4827="",E4827="!!!",F4827="NEW"),"",COUNTBLANK(OFFSET(A$1,,,SUMPRODUCT(MAX(ROW(E$2:E4827)*(E4827=E$2:E4827)))))-COUNTBLANK(OFFSET(A$1,,,SUMPRODUCT(MAX(ROW(E$1:E4826)*(E2=E$1:E4826))))))</f>
        <v> </v>
      </c>
      <c r="K4827" s="26" t="str">
        <f>IF(OR(E4827="",E4827="!!!",F4827="NEW"),"",INDEX(J$1:J4826,SUMPRODUCT(MAX(ROW(E$1:E4826)*(E4827=E$1:E4826)))))</f>
        <v> </v>
      </c>
      <c r="L4827" s="27"/>
    </row>
    <row r="4828" spans="1:12">
      <c r="A4828" s="20" t="s">
        <v>1314</v>
      </c>
      <c r="E4828" s="22">
        <f>IF(D4828="?OLD","!!!","")</f>
        <v/>
      </c>
      <c r="F4828" s="23" t="str">
        <f>IF(OR(E4828="",E4828="!!!"),"",IF(NOT(ISNA(VLOOKUP(E4828,E$1:E4827,1,FALSE()))),"OLD",IF(AND(E4828&lt;&gt;"",E4828&lt;&gt;"!!!"),"NEW","")))</f>
        <v> </v>
      </c>
      <c r="G4828" s="24" t="str">
        <f>IF(OR(E4828="",E4828="!!!"),"",IF(OR(J4828=0,AND(J4828=1,K4828=1),AND(J4828=1,I4828="SBJ"),AND(J4828=1,I4828=0)),"?IN_FOCUS",IF(J4828&lt;=2,"?ACTIVATED",IF(J4828&lt;&gt;"","?FAMILIAR",IF(F4828="NEW",IF(ISNA(VLOOKUP(E4828,#REF!,1,FALSE())),"?TYPE_IDENTIFIABLE","?REFERENTIAL"),"_")))))</f>
        <v> </v>
      </c>
      <c r="H4828" s="25" t="str">
        <f>IF(J4828&lt;&gt;1,"",IF(I4828="SBJ","CB","?"))</f>
        <v> </v>
      </c>
      <c r="I4828" s="26" t="str">
        <f>IF(OR(E4828="",E4828="!!!",F4828="NEW"),"",INDEX(B4827:B$2,-1+SUMPRODUCT(MAX(ROW(E4827:E$2)*(E4828=E4827:E$2)))))</f>
        <v> </v>
      </c>
      <c r="J4828" s="26" t="str">
        <f>IF(OR(E4828="",E4828="!!!",F4828="NEW"),"",COUNTBLANK(OFFSET(A$1,,,SUMPRODUCT(MAX(ROW(E$2:E4828)*(E4828=E$2:E4828)))))-COUNTBLANK(OFFSET(A$1,,,SUMPRODUCT(MAX(ROW(E$1:E4827)*(E2=E$1:E4827))))))</f>
        <v> </v>
      </c>
      <c r="K4828" s="26" t="str">
        <f>IF(OR(E4828="",E4828="!!!",F4828="NEW"),"",INDEX(J$1:J4827,SUMPRODUCT(MAX(ROW(E$1:E4827)*(E4828=E$1:E4827)))))</f>
        <v> </v>
      </c>
      <c r="L4828" s="27"/>
    </row>
    <row r="4829" spans="1:12">
      <c r="A4829" s="20" t="s">
        <v>729</v>
      </c>
      <c r="E4829" s="22">
        <f>IF(D4829="?OLD","!!!","")</f>
        <v/>
      </c>
      <c r="F4829" s="23" t="str">
        <f>IF(OR(E4829="",E4829="!!!"),"",IF(NOT(ISNA(VLOOKUP(E4829,E$1:E4828,1,FALSE()))),"OLD",IF(AND(E4829&lt;&gt;"",E4829&lt;&gt;"!!!"),"NEW","")))</f>
        <v> </v>
      </c>
      <c r="G4829" s="24" t="str">
        <f>IF(OR(E4829="",E4829="!!!"),"",IF(OR(J4829=0,AND(J4829=1,K4829=1),AND(J4829=1,I4829="SBJ"),AND(J4829=1,I4829=0)),"?IN_FOCUS",IF(J4829&lt;=2,"?ACTIVATED",IF(J4829&lt;&gt;"","?FAMILIAR",IF(F4829="NEW",IF(ISNA(VLOOKUP(E4829,#REF!,1,FALSE())),"?TYPE_IDENTIFIABLE","?REFERENTIAL"),"_")))))</f>
        <v> </v>
      </c>
      <c r="H4829" s="25" t="str">
        <f>IF(J4829&lt;&gt;1,"",IF(I4829="SBJ","CB","?"))</f>
        <v> </v>
      </c>
      <c r="I4829" s="26" t="str">
        <f>IF(OR(E4829="",E4829="!!!",F4829="NEW"),"",INDEX(B4828:B$2,-1+SUMPRODUCT(MAX(ROW(E4828:E$2)*(E4829=E4828:E$2)))))</f>
        <v> </v>
      </c>
      <c r="J4829" s="26" t="str">
        <f>IF(OR(E4829="",E4829="!!!",F4829="NEW"),"",COUNTBLANK(OFFSET(A$1,,,SUMPRODUCT(MAX(ROW(E$2:E4829)*(E4829=E$2:E4829)))))-COUNTBLANK(OFFSET(A$1,,,SUMPRODUCT(MAX(ROW(E$1:E4828)*(E2=E$1:E4828))))))</f>
        <v> </v>
      </c>
      <c r="K4829" s="26" t="str">
        <f>IF(OR(E4829="",E4829="!!!",F4829="NEW"),"",INDEX(J$1:J4828,SUMPRODUCT(MAX(ROW(E$1:E4828)*(E4829=E$1:E4828)))))</f>
        <v> </v>
      </c>
      <c r="L4829" s="27"/>
    </row>
    <row r="4830" spans="1:12">
      <c r="A4830" s="20" t="s">
        <v>1774</v>
      </c>
      <c r="E4830" s="22">
        <f>IF(D4830="?OLD","!!!","")</f>
        <v/>
      </c>
      <c r="F4830" s="23" t="str">
        <f>IF(OR(E4830="",E4830="!!!"),"",IF(NOT(ISNA(VLOOKUP(E4830,E$1:E4829,1,FALSE()))),"OLD",IF(AND(E4830&lt;&gt;"",E4830&lt;&gt;"!!!"),"NEW","")))</f>
        <v> </v>
      </c>
      <c r="G4830" s="24" t="str">
        <f>IF(OR(E4830="",E4830="!!!"),"",IF(OR(J4830=0,AND(J4830=1,K4830=1),AND(J4830=1,I4830="SBJ"),AND(J4830=1,I4830=0)),"?IN_FOCUS",IF(J4830&lt;=2,"?ACTIVATED",IF(J4830&lt;&gt;"","?FAMILIAR",IF(F4830="NEW",IF(ISNA(VLOOKUP(E4830,#REF!,1,FALSE())),"?TYPE_IDENTIFIABLE","?REFERENTIAL"),"_")))))</f>
        <v> </v>
      </c>
      <c r="H4830" s="25" t="str">
        <f>IF(J4830&lt;&gt;1,"",IF(I4830="SBJ","CB","?"))</f>
        <v> </v>
      </c>
      <c r="I4830" s="26" t="str">
        <f>IF(OR(E4830="",E4830="!!!",F4830="NEW"),"",INDEX(B4829:B$2,-1+SUMPRODUCT(MAX(ROW(E4829:E$2)*(E4830=E4829:E$2)))))</f>
        <v> </v>
      </c>
      <c r="J4830" s="26" t="str">
        <f>IF(OR(E4830="",E4830="!!!",F4830="NEW"),"",COUNTBLANK(OFFSET(A$1,,,SUMPRODUCT(MAX(ROW(E$2:E4830)*(E4830=E$2:E4830)))))-COUNTBLANK(OFFSET(A$1,,,SUMPRODUCT(MAX(ROW(E$1:E4829)*(E2=E$1:E4829))))))</f>
        <v> </v>
      </c>
      <c r="K4830" s="26" t="str">
        <f>IF(OR(E4830="",E4830="!!!",F4830="NEW"),"",INDEX(J$1:J4829,SUMPRODUCT(MAX(ROW(E$1:E4829)*(E4830=E$1:E4829)))))</f>
        <v> </v>
      </c>
      <c r="L4830" s="27"/>
    </row>
    <row r="4831" spans="1:12">
      <c r="A4831" s="20" t="s">
        <v>2053</v>
      </c>
      <c r="B4831" s="21" t="s">
        <v>899</v>
      </c>
      <c r="C4831" s="21" t="s">
        <v>994</v>
      </c>
      <c r="E4831" s="22">
        <f>IF(D4831="?OLD","!!!","")</f>
        <v/>
      </c>
      <c r="F4831" s="23" t="str">
        <f>IF(OR(E4831="",E4831="!!!"),"",IF(NOT(ISNA(VLOOKUP(E4831,E$1:E4830,1,FALSE()))),"OLD",IF(AND(E4831&lt;&gt;"",E4831&lt;&gt;"!!!"),"NEW","")))</f>
        <v> </v>
      </c>
      <c r="G4831" s="24" t="str">
        <f>IF(OR(E4831="",E4831="!!!"),"",IF(OR(J4831=0,AND(J4831=1,K4831=1),AND(J4831=1,I4831="SBJ"),AND(J4831=1,I4831=0)),"?IN_FOCUS",IF(J4831&lt;=2,"?ACTIVATED",IF(J4831&lt;&gt;"","?FAMILIAR",IF(F4831="NEW",IF(ISNA(VLOOKUP(E4831,#REF!,1,FALSE())),"?TYPE_IDENTIFIABLE","?REFERENTIAL"),"_")))))</f>
        <v> </v>
      </c>
      <c r="H4831" s="25" t="str">
        <f>IF(J4831&lt;&gt;1,"",IF(I4831="SBJ","CB","?"))</f>
        <v> </v>
      </c>
      <c r="I4831" s="26" t="str">
        <f>IF(OR(E4831="",E4831="!!!",F4831="NEW"),"",INDEX(B4830:B$2,-1+SUMPRODUCT(MAX(ROW(E4830:E$2)*(E4831=E4830:E$2)))))</f>
        <v> </v>
      </c>
      <c r="J4831" s="26" t="str">
        <f>IF(OR(E4831="",E4831="!!!",F4831="NEW"),"",COUNTBLANK(OFFSET(A$1,,,SUMPRODUCT(MAX(ROW(E$2:E4831)*(E4831=E$2:E4831)))))-COUNTBLANK(OFFSET(A$1,,,SUMPRODUCT(MAX(ROW(E$1:E4830)*(E2=E$1:E4830))))))</f>
        <v> </v>
      </c>
      <c r="K4831" s="26" t="str">
        <f>IF(OR(E4831="",E4831="!!!",F4831="NEW"),"",INDEX(J$1:J4830,SUMPRODUCT(MAX(ROW(E$1:E4830)*(E4831=E$1:E4830)))))</f>
        <v> </v>
      </c>
      <c r="L4831" s="27"/>
    </row>
    <row r="4832" spans="1:12">
      <c r="A4832" s="20" t="s">
        <v>2278</v>
      </c>
      <c r="E4832" s="22">
        <f>IF(D4832="?OLD","!!!","")</f>
        <v/>
      </c>
      <c r="F4832" s="23" t="str">
        <f>IF(OR(E4832="",E4832="!!!"),"",IF(NOT(ISNA(VLOOKUP(E4832,E$1:E4831,1,FALSE()))),"OLD",IF(AND(E4832&lt;&gt;"",E4832&lt;&gt;"!!!"),"NEW","")))</f>
        <v> </v>
      </c>
      <c r="G4832" s="24" t="str">
        <f>IF(OR(E4832="",E4832="!!!"),"",IF(OR(J4832=0,AND(J4832=1,K4832=1),AND(J4832=1,I4832="SBJ"),AND(J4832=1,I4832=0)),"?IN_FOCUS",IF(J4832&lt;=2,"?ACTIVATED",IF(J4832&lt;&gt;"","?FAMILIAR",IF(F4832="NEW",IF(ISNA(VLOOKUP(E4832,#REF!,1,FALSE())),"?TYPE_IDENTIFIABLE","?REFERENTIAL"),"_")))))</f>
        <v> </v>
      </c>
      <c r="H4832" s="25" t="str">
        <f>IF(J4832&lt;&gt;1,"",IF(I4832="SBJ","CB","?"))</f>
        <v> </v>
      </c>
      <c r="I4832" s="26" t="str">
        <f>IF(OR(E4832="",E4832="!!!",F4832="NEW"),"",INDEX(B4831:B$2,-1+SUMPRODUCT(MAX(ROW(E4831:E$2)*(E4832=E4831:E$2)))))</f>
        <v> </v>
      </c>
      <c r="J4832" s="26" t="str">
        <f>IF(OR(E4832="",E4832="!!!",F4832="NEW"),"",COUNTBLANK(OFFSET(A$1,,,SUMPRODUCT(MAX(ROW(E$2:E4832)*(E4832=E$2:E4832)))))-COUNTBLANK(OFFSET(A$1,,,SUMPRODUCT(MAX(ROW(E$1:E4831)*(E2=E$1:E4831))))))</f>
        <v> </v>
      </c>
      <c r="K4832" s="26" t="str">
        <f>IF(OR(E4832="",E4832="!!!",F4832="NEW"),"",INDEX(J$1:J4831,SUMPRODUCT(MAX(ROW(E$1:E4831)*(E4832=E$1:E4831)))))</f>
        <v> </v>
      </c>
      <c r="L4832" s="27"/>
    </row>
    <row r="4833" spans="1:12">
      <c r="A4833" s="20" t="s">
        <v>970</v>
      </c>
      <c r="E4833" s="22">
        <f>IF(D4833="?OLD","!!!","")</f>
        <v/>
      </c>
      <c r="F4833" s="23" t="str">
        <f>IF(OR(E4833="",E4833="!!!"),"",IF(NOT(ISNA(VLOOKUP(E4833,E$1:E4832,1,FALSE()))),"OLD",IF(AND(E4833&lt;&gt;"",E4833&lt;&gt;"!!!"),"NEW","")))</f>
        <v> </v>
      </c>
      <c r="G4833" s="24" t="str">
        <f>IF(OR(E4833="",E4833="!!!"),"",IF(OR(J4833=0,AND(J4833=1,K4833=1),AND(J4833=1,I4833="SBJ"),AND(J4833=1,I4833=0)),"?IN_FOCUS",IF(J4833&lt;=2,"?ACTIVATED",IF(J4833&lt;&gt;"","?FAMILIAR",IF(F4833="NEW",IF(ISNA(VLOOKUP(E4833,#REF!,1,FALSE())),"?TYPE_IDENTIFIABLE","?REFERENTIAL"),"_")))))</f>
        <v> </v>
      </c>
      <c r="H4833" s="25" t="str">
        <f>IF(J4833&lt;&gt;1,"",IF(I4833="SBJ","CB","?"))</f>
        <v> </v>
      </c>
      <c r="I4833" s="26" t="str">
        <f>IF(OR(E4833="",E4833="!!!",F4833="NEW"),"",INDEX(B4832:B$2,-1+SUMPRODUCT(MAX(ROW(E4832:E$2)*(E4833=E4832:E$2)))))</f>
        <v> </v>
      </c>
      <c r="J4833" s="26" t="str">
        <f>IF(OR(E4833="",E4833="!!!",F4833="NEW"),"",COUNTBLANK(OFFSET(A$1,,,SUMPRODUCT(MAX(ROW(E$2:E4833)*(E4833=E$2:E4833)))))-COUNTBLANK(OFFSET(A$1,,,SUMPRODUCT(MAX(ROW(E$1:E4832)*(E2=E$1:E4832))))))</f>
        <v> </v>
      </c>
      <c r="K4833" s="26" t="str">
        <f>IF(OR(E4833="",E4833="!!!",F4833="NEW"),"",INDEX(J$1:J4832,SUMPRODUCT(MAX(ROW(E$1:E4832)*(E4833=E$1:E4832)))))</f>
        <v> </v>
      </c>
      <c r="L4833" s="27"/>
    </row>
    <row r="4834" spans="1:12">
      <c r="A4834" s="20" t="s">
        <v>2060</v>
      </c>
      <c r="E4834" s="22">
        <f>IF(D4834="?OLD","!!!","")</f>
        <v/>
      </c>
      <c r="F4834" s="23" t="str">
        <f>IF(OR(E4834="",E4834="!!!"),"",IF(NOT(ISNA(VLOOKUP(E4834,E$1:E4833,1,FALSE()))),"OLD",IF(AND(E4834&lt;&gt;"",E4834&lt;&gt;"!!!"),"NEW","")))</f>
        <v> </v>
      </c>
      <c r="G4834" s="24" t="str">
        <f>IF(OR(E4834="",E4834="!!!"),"",IF(OR(J4834=0,AND(J4834=1,K4834=1),AND(J4834=1,I4834="SBJ"),AND(J4834=1,I4834=0)),"?IN_FOCUS",IF(J4834&lt;=2,"?ACTIVATED",IF(J4834&lt;&gt;"","?FAMILIAR",IF(F4834="NEW",IF(ISNA(VLOOKUP(E4834,#REF!,1,FALSE())),"?TYPE_IDENTIFIABLE","?REFERENTIAL"),"_")))))</f>
        <v> </v>
      </c>
      <c r="H4834" s="25" t="str">
        <f>IF(J4834&lt;&gt;1,"",IF(I4834="SBJ","CB","?"))</f>
        <v> </v>
      </c>
      <c r="I4834" s="26" t="str">
        <f>IF(OR(E4834="",E4834="!!!",F4834="NEW"),"",INDEX(B4833:B$2,-1+SUMPRODUCT(MAX(ROW(E4833:E$2)*(E4834=E4833:E$2)))))</f>
        <v> </v>
      </c>
      <c r="J4834" s="26" t="str">
        <f>IF(OR(E4834="",E4834="!!!",F4834="NEW"),"",COUNTBLANK(OFFSET(A$1,,,SUMPRODUCT(MAX(ROW(E$2:E4834)*(E4834=E$2:E4834)))))-COUNTBLANK(OFFSET(A$1,,,SUMPRODUCT(MAX(ROW(E$1:E4833)*(E2=E$1:E4833))))))</f>
        <v> </v>
      </c>
      <c r="K4834" s="26" t="str">
        <f>IF(OR(E4834="",E4834="!!!",F4834="NEW"),"",INDEX(J$1:J4833,SUMPRODUCT(MAX(ROW(E$1:E4833)*(E4834=E$1:E4833)))))</f>
        <v> </v>
      </c>
      <c r="L4834" s="27"/>
    </row>
    <row r="4835" spans="1:12">
      <c r="A4835" s="20" t="s">
        <v>960</v>
      </c>
      <c r="E4835" s="22">
        <f>IF(D4835="?OLD","!!!","")</f>
        <v/>
      </c>
      <c r="F4835" s="23" t="str">
        <f>IF(OR(E4835="",E4835="!!!"),"",IF(NOT(ISNA(VLOOKUP(E4835,E$1:E4834,1,FALSE()))),"OLD",IF(AND(E4835&lt;&gt;"",E4835&lt;&gt;"!!!"),"NEW","")))</f>
        <v> </v>
      </c>
      <c r="G4835" s="24" t="str">
        <f>IF(OR(E4835="",E4835="!!!"),"",IF(OR(J4835=0,AND(J4835=1,K4835=1),AND(J4835=1,I4835="SBJ"),AND(J4835=1,I4835=0)),"?IN_FOCUS",IF(J4835&lt;=2,"?ACTIVATED",IF(J4835&lt;&gt;"","?FAMILIAR",IF(F4835="NEW",IF(ISNA(VLOOKUP(E4835,#REF!,1,FALSE())),"?TYPE_IDENTIFIABLE","?REFERENTIAL"),"_")))))</f>
        <v> </v>
      </c>
      <c r="H4835" s="25" t="str">
        <f>IF(J4835&lt;&gt;1,"",IF(I4835="SBJ","CB","?"))</f>
        <v> </v>
      </c>
      <c r="I4835" s="26" t="str">
        <f>IF(OR(E4835="",E4835="!!!",F4835="NEW"),"",INDEX(B4834:B$2,-1+SUMPRODUCT(MAX(ROW(E4834:E$2)*(E4835=E4834:E$2)))))</f>
        <v> </v>
      </c>
      <c r="J4835" s="26" t="str">
        <f>IF(OR(E4835="",E4835="!!!",F4835="NEW"),"",COUNTBLANK(OFFSET(A$1,,,SUMPRODUCT(MAX(ROW(E$2:E4835)*(E4835=E$2:E4835)))))-COUNTBLANK(OFFSET(A$1,,,SUMPRODUCT(MAX(ROW(E$1:E4834)*(E2=E$1:E4834))))))</f>
        <v> </v>
      </c>
      <c r="K4835" s="26" t="str">
        <f>IF(OR(E4835="",E4835="!!!",F4835="NEW"),"",INDEX(J$1:J4834,SUMPRODUCT(MAX(ROW(E$1:E4834)*(E4835=E$1:E4834)))))</f>
        <v> </v>
      </c>
      <c r="L4835" s="27"/>
    </row>
    <row r="4836" spans="1:12">
      <c r="A4836" s="20" t="s">
        <v>925</v>
      </c>
      <c r="E4836" s="22">
        <f>IF(D4836="?OLD","!!!","")</f>
        <v/>
      </c>
      <c r="F4836" s="23" t="str">
        <f>IF(OR(E4836="",E4836="!!!"),"",IF(NOT(ISNA(VLOOKUP(E4836,E$1:E4835,1,FALSE()))),"OLD",IF(AND(E4836&lt;&gt;"",E4836&lt;&gt;"!!!"),"NEW","")))</f>
        <v> </v>
      </c>
      <c r="G4836" s="24" t="str">
        <f>IF(OR(E4836="",E4836="!!!"),"",IF(OR(J4836=0,AND(J4836=1,K4836=1),AND(J4836=1,I4836="SBJ"),AND(J4836=1,I4836=0)),"?IN_FOCUS",IF(J4836&lt;=2,"?ACTIVATED",IF(J4836&lt;&gt;"","?FAMILIAR",IF(F4836="NEW",IF(ISNA(VLOOKUP(E4836,#REF!,1,FALSE())),"?TYPE_IDENTIFIABLE","?REFERENTIAL"),"_")))))</f>
        <v> </v>
      </c>
      <c r="H4836" s="25" t="str">
        <f>IF(J4836&lt;&gt;1,"",IF(I4836="SBJ","CB","?"))</f>
        <v> </v>
      </c>
      <c r="I4836" s="26" t="str">
        <f>IF(OR(E4836="",E4836="!!!",F4836="NEW"),"",INDEX(B4835:B$2,-1+SUMPRODUCT(MAX(ROW(E4835:E$2)*(E4836=E4835:E$2)))))</f>
        <v> </v>
      </c>
      <c r="J4836" s="26" t="str">
        <f>IF(OR(E4836="",E4836="!!!",F4836="NEW"),"",COUNTBLANK(OFFSET(A$1,,,SUMPRODUCT(MAX(ROW(E$2:E4836)*(E4836=E$2:E4836)))))-COUNTBLANK(OFFSET(A$1,,,SUMPRODUCT(MAX(ROW(E$1:E4835)*(E2=E$1:E4835))))))</f>
        <v> </v>
      </c>
      <c r="K4836" s="26" t="str">
        <f>IF(OR(E4836="",E4836="!!!",F4836="NEW"),"",INDEX(J$1:J4835,SUMPRODUCT(MAX(ROW(E$1:E4835)*(E4836=E$1:E4835)))))</f>
        <v> </v>
      </c>
      <c r="L4836" s="27"/>
    </row>
    <row r="4837" spans="1:12">
      <c r="A4837" s="20" t="s">
        <v>1026</v>
      </c>
      <c r="B4837" s="21" t="s">
        <v>1217</v>
      </c>
      <c r="E4837" s="22">
        <f>IF(D4837="?OLD","!!!","")</f>
        <v/>
      </c>
      <c r="F4837" s="23" t="str">
        <f>IF(OR(E4837="",E4837="!!!"),"",IF(NOT(ISNA(VLOOKUP(E4837,E$1:E4836,1,FALSE()))),"OLD",IF(AND(E4837&lt;&gt;"",E4837&lt;&gt;"!!!"),"NEW","")))</f>
        <v> </v>
      </c>
      <c r="G4837" s="24" t="str">
        <f>IF(OR(E4837="",E4837="!!!"),"",IF(OR(J4837=0,AND(J4837=1,K4837=1),AND(J4837=1,I4837="SBJ"),AND(J4837=1,I4837=0)),"?IN_FOCUS",IF(J4837&lt;=2,"?ACTIVATED",IF(J4837&lt;&gt;"","?FAMILIAR",IF(F4837="NEW",IF(ISNA(VLOOKUP(E4837,#REF!,1,FALSE())),"?TYPE_IDENTIFIABLE","?REFERENTIAL"),"_")))))</f>
        <v> </v>
      </c>
      <c r="H4837" s="25" t="str">
        <f>IF(J4837&lt;&gt;1,"",IF(I4837="SBJ","CB","?"))</f>
        <v> </v>
      </c>
      <c r="I4837" s="26" t="str">
        <f>IF(OR(E4837="",E4837="!!!",F4837="NEW"),"",INDEX(B4836:B$2,-1+SUMPRODUCT(MAX(ROW(E4836:E$2)*(E4837=E4836:E$2)))))</f>
        <v> </v>
      </c>
      <c r="J4837" s="26" t="str">
        <f>IF(OR(E4837="",E4837="!!!",F4837="NEW"),"",COUNTBLANK(OFFSET(A$1,,,SUMPRODUCT(MAX(ROW(E$2:E4837)*(E4837=E$2:E4837)))))-COUNTBLANK(OFFSET(A$1,,,SUMPRODUCT(MAX(ROW(E$1:E4836)*(E2=E$1:E4836))))))</f>
        <v> </v>
      </c>
      <c r="K4837" s="26" t="str">
        <f>IF(OR(E4837="",E4837="!!!",F4837="NEW"),"",INDEX(J$1:J4836,SUMPRODUCT(MAX(ROW(E$1:E4836)*(E4837=E$1:E4836)))))</f>
        <v> </v>
      </c>
      <c r="L4837" s="27"/>
    </row>
    <row r="4838" spans="1:12">
      <c r="A4838" s="20" t="s">
        <v>1314</v>
      </c>
      <c r="E4838" s="22">
        <f>IF(D4838="?OLD","!!!","")</f>
        <v/>
      </c>
      <c r="F4838" s="23" t="str">
        <f>IF(OR(E4838="",E4838="!!!"),"",IF(NOT(ISNA(VLOOKUP(E4838,E$1:E4837,1,FALSE()))),"OLD",IF(AND(E4838&lt;&gt;"",E4838&lt;&gt;"!!!"),"NEW","")))</f>
        <v> </v>
      </c>
      <c r="G4838" s="24" t="str">
        <f>IF(OR(E4838="",E4838="!!!"),"",IF(OR(J4838=0,AND(J4838=1,K4838=1),AND(J4838=1,I4838="SBJ"),AND(J4838=1,I4838=0)),"?IN_FOCUS",IF(J4838&lt;=2,"?ACTIVATED",IF(J4838&lt;&gt;"","?FAMILIAR",IF(F4838="NEW",IF(ISNA(VLOOKUP(E4838,#REF!,1,FALSE())),"?TYPE_IDENTIFIABLE","?REFERENTIAL"),"_")))))</f>
        <v> </v>
      </c>
      <c r="H4838" s="25" t="str">
        <f>IF(J4838&lt;&gt;1,"",IF(I4838="SBJ","CB","?"))</f>
        <v> </v>
      </c>
      <c r="I4838" s="26" t="str">
        <f>IF(OR(E4838="",E4838="!!!",F4838="NEW"),"",INDEX(B4837:B$2,-1+SUMPRODUCT(MAX(ROW(E4837:E$2)*(E4838=E4837:E$2)))))</f>
        <v> </v>
      </c>
      <c r="J4838" s="26" t="str">
        <f>IF(OR(E4838="",E4838="!!!",F4838="NEW"),"",COUNTBLANK(OFFSET(A$1,,,SUMPRODUCT(MAX(ROW(E$2:E4838)*(E4838=E$2:E4838)))))-COUNTBLANK(OFFSET(A$1,,,SUMPRODUCT(MAX(ROW(E$1:E4837)*(E2=E$1:E4837))))))</f>
        <v> </v>
      </c>
      <c r="K4838" s="26" t="str">
        <f>IF(OR(E4838="",E4838="!!!",F4838="NEW"),"",INDEX(J$1:J4837,SUMPRODUCT(MAX(ROW(E$1:E4837)*(E4838=E$1:E4837)))))</f>
        <v> </v>
      </c>
      <c r="L4838" s="27"/>
    </row>
    <row r="4839" spans="1:12">
      <c r="A4839" s="20" t="s">
        <v>470</v>
      </c>
      <c r="E4839" s="22">
        <f>IF(D4839="?OLD","!!!","")</f>
        <v/>
      </c>
      <c r="F4839" s="23" t="str">
        <f>IF(OR(E4839="",E4839="!!!"),"",IF(NOT(ISNA(VLOOKUP(E4839,E$1:E4838,1,FALSE()))),"OLD",IF(AND(E4839&lt;&gt;"",E4839&lt;&gt;"!!!"),"NEW","")))</f>
        <v> </v>
      </c>
      <c r="G4839" s="24" t="str">
        <f>IF(OR(E4839="",E4839="!!!"),"",IF(OR(J4839=0,AND(J4839=1,K4839=1),AND(J4839=1,I4839="SBJ"),AND(J4839=1,I4839=0)),"?IN_FOCUS",IF(J4839&lt;=2,"?ACTIVATED",IF(J4839&lt;&gt;"","?FAMILIAR",IF(F4839="NEW",IF(ISNA(VLOOKUP(E4839,#REF!,1,FALSE())),"?TYPE_IDENTIFIABLE","?REFERENTIAL"),"_")))))</f>
        <v> </v>
      </c>
      <c r="H4839" s="25" t="str">
        <f>IF(J4839&lt;&gt;1,"",IF(I4839="SBJ","CB","?"))</f>
        <v> </v>
      </c>
      <c r="I4839" s="26" t="str">
        <f>IF(OR(E4839="",E4839="!!!",F4839="NEW"),"",INDEX(B4838:B$2,-1+SUMPRODUCT(MAX(ROW(E4838:E$2)*(E4839=E4838:E$2)))))</f>
        <v> </v>
      </c>
      <c r="J4839" s="26" t="str">
        <f>IF(OR(E4839="",E4839="!!!",F4839="NEW"),"",COUNTBLANK(OFFSET(A$1,,,SUMPRODUCT(MAX(ROW(E$2:E4839)*(E4839=E$2:E4839)))))-COUNTBLANK(OFFSET(A$1,,,SUMPRODUCT(MAX(ROW(E$1:E4838)*(E2=E$1:E4838))))))</f>
        <v> </v>
      </c>
      <c r="K4839" s="26" t="str">
        <f>IF(OR(E4839="",E4839="!!!",F4839="NEW"),"",INDEX(J$1:J4838,SUMPRODUCT(MAX(ROW(E$1:E4838)*(E4839=E$1:E4838)))))</f>
        <v> </v>
      </c>
      <c r="L4839" s="27"/>
    </row>
    <row r="4840" spans="1:12">
      <c r="A4840" s="20" t="s">
        <v>970</v>
      </c>
      <c r="E4840" s="22">
        <f>IF(D4840="?OLD","!!!","")</f>
        <v/>
      </c>
      <c r="F4840" s="23" t="str">
        <f>IF(OR(E4840="",E4840="!!!"),"",IF(NOT(ISNA(VLOOKUP(E4840,E$1:E4839,1,FALSE()))),"OLD",IF(AND(E4840&lt;&gt;"",E4840&lt;&gt;"!!!"),"NEW","")))</f>
        <v> </v>
      </c>
      <c r="G4840" s="24" t="str">
        <f>IF(OR(E4840="",E4840="!!!"),"",IF(OR(J4840=0,AND(J4840=1,K4840=1),AND(J4840=1,I4840="SBJ"),AND(J4840=1,I4840=0)),"?IN_FOCUS",IF(J4840&lt;=2,"?ACTIVATED",IF(J4840&lt;&gt;"","?FAMILIAR",IF(F4840="NEW",IF(ISNA(VLOOKUP(E4840,#REF!,1,FALSE())),"?TYPE_IDENTIFIABLE","?REFERENTIAL"),"_")))))</f>
        <v> </v>
      </c>
      <c r="H4840" s="25" t="str">
        <f>IF(J4840&lt;&gt;1,"",IF(I4840="SBJ","CB","?"))</f>
        <v> </v>
      </c>
      <c r="I4840" s="26" t="str">
        <f>IF(OR(E4840="",E4840="!!!",F4840="NEW"),"",INDEX(B4839:B$2,-1+SUMPRODUCT(MAX(ROW(E4839:E$2)*(E4840=E4839:E$2)))))</f>
        <v> </v>
      </c>
      <c r="J4840" s="26" t="str">
        <f>IF(OR(E4840="",E4840="!!!",F4840="NEW"),"",COUNTBLANK(OFFSET(A$1,,,SUMPRODUCT(MAX(ROW(E$2:E4840)*(E4840=E$2:E4840)))))-COUNTBLANK(OFFSET(A$1,,,SUMPRODUCT(MAX(ROW(E$1:E4839)*(E2=E$1:E4839))))))</f>
        <v> </v>
      </c>
      <c r="K4840" s="26" t="str">
        <f>IF(OR(E4840="",E4840="!!!",F4840="NEW"),"",INDEX(J$1:J4839,SUMPRODUCT(MAX(ROW(E$1:E4839)*(E4840=E$1:E4839)))))</f>
        <v> </v>
      </c>
      <c r="L4840" s="27"/>
    </row>
    <row r="4841" spans="1:12">
      <c r="A4841" s="20" t="s">
        <v>1315</v>
      </c>
      <c r="E4841" s="22">
        <f>IF(D4841="?OLD","!!!","")</f>
        <v/>
      </c>
      <c r="F4841" s="23" t="str">
        <f>IF(OR(E4841="",E4841="!!!"),"",IF(NOT(ISNA(VLOOKUP(E4841,E$1:E4840,1,FALSE()))),"OLD",IF(AND(E4841&lt;&gt;"",E4841&lt;&gt;"!!!"),"NEW","")))</f>
        <v> </v>
      </c>
      <c r="G4841" s="24" t="str">
        <f>IF(OR(E4841="",E4841="!!!"),"",IF(OR(J4841=0,AND(J4841=1,K4841=1),AND(J4841=1,I4841="SBJ"),AND(J4841=1,I4841=0)),"?IN_FOCUS",IF(J4841&lt;=2,"?ACTIVATED",IF(J4841&lt;&gt;"","?FAMILIAR",IF(F4841="NEW",IF(ISNA(VLOOKUP(E4841,#REF!,1,FALSE())),"?TYPE_IDENTIFIABLE","?REFERENTIAL"),"_")))))</f>
        <v> </v>
      </c>
      <c r="H4841" s="25" t="str">
        <f>IF(J4841&lt;&gt;1,"",IF(I4841="SBJ","CB","?"))</f>
        <v> </v>
      </c>
      <c r="I4841" s="26" t="str">
        <f>IF(OR(E4841="",E4841="!!!",F4841="NEW"),"",INDEX(B4840:B$2,-1+SUMPRODUCT(MAX(ROW(E4840:E$2)*(E4841=E4840:E$2)))))</f>
        <v> </v>
      </c>
      <c r="J4841" s="26" t="str">
        <f>IF(OR(E4841="",E4841="!!!",F4841="NEW"),"",COUNTBLANK(OFFSET(A$1,,,SUMPRODUCT(MAX(ROW(E$2:E4841)*(E4841=E$2:E4841)))))-COUNTBLANK(OFFSET(A$1,,,SUMPRODUCT(MAX(ROW(E$1:E4840)*(E2=E$1:E4840))))))</f>
        <v> </v>
      </c>
      <c r="K4841" s="26" t="str">
        <f>IF(OR(E4841="",E4841="!!!",F4841="NEW"),"",INDEX(J$1:J4840,SUMPRODUCT(MAX(ROW(E$1:E4840)*(E4841=E$1:E4840)))))</f>
        <v> </v>
      </c>
      <c r="L4841" s="27"/>
    </row>
    <row r="4842" spans="1:12">
      <c r="A4842" s="20" t="s">
        <v>1048</v>
      </c>
      <c r="B4842" s="21" t="s">
        <v>923</v>
      </c>
      <c r="C4842" s="21" t="s">
        <v>994</v>
      </c>
      <c r="E4842" s="22">
        <f>IF(D4842="?OLD","!!!","")</f>
        <v/>
      </c>
      <c r="F4842" s="23" t="str">
        <f>IF(OR(E4842="",E4842="!!!"),"",IF(NOT(ISNA(VLOOKUP(E4842,E$1:E4841,1,FALSE()))),"OLD",IF(AND(E4842&lt;&gt;"",E4842&lt;&gt;"!!!"),"NEW","")))</f>
        <v> </v>
      </c>
      <c r="G4842" s="24" t="str">
        <f>IF(OR(E4842="",E4842="!!!"),"",IF(OR(J4842=0,AND(J4842=1,K4842=1),AND(J4842=1,I4842="SBJ"),AND(J4842=1,I4842=0)),"?IN_FOCUS",IF(J4842&lt;=2,"?ACTIVATED",IF(J4842&lt;&gt;"","?FAMILIAR",IF(F4842="NEW",IF(ISNA(VLOOKUP(E4842,#REF!,1,FALSE())),"?TYPE_IDENTIFIABLE","?REFERENTIAL"),"_")))))</f>
        <v> </v>
      </c>
      <c r="H4842" s="25" t="str">
        <f>IF(J4842&lt;&gt;1,"",IF(I4842="SBJ","CB","?"))</f>
        <v> </v>
      </c>
      <c r="I4842" s="26" t="str">
        <f>IF(OR(E4842="",E4842="!!!",F4842="NEW"),"",INDEX(B4841:B$2,-1+SUMPRODUCT(MAX(ROW(E4841:E$2)*(E4842=E4841:E$2)))))</f>
        <v> </v>
      </c>
      <c r="J4842" s="26" t="str">
        <f>IF(OR(E4842="",E4842="!!!",F4842="NEW"),"",COUNTBLANK(OFFSET(A$1,,,SUMPRODUCT(MAX(ROW(E$2:E4842)*(E4842=E$2:E4842)))))-COUNTBLANK(OFFSET(A$1,,,SUMPRODUCT(MAX(ROW(E$1:E4841)*(E2=E$1:E4841))))))</f>
        <v> </v>
      </c>
      <c r="K4842" s="26" t="str">
        <f>IF(OR(E4842="",E4842="!!!",F4842="NEW"),"",INDEX(J$1:J4841,SUMPRODUCT(MAX(ROW(E$1:E4841)*(E4842=E$1:E4841)))))</f>
        <v> </v>
      </c>
      <c r="L4842" s="27"/>
    </row>
    <row r="4843" spans="1:12">
      <c r="A4843" s="20" t="s">
        <v>1028</v>
      </c>
      <c r="E4843" s="22">
        <f>IF(D4843="?OLD","!!!","")</f>
        <v/>
      </c>
      <c r="F4843" s="23" t="str">
        <f>IF(OR(E4843="",E4843="!!!"),"",IF(NOT(ISNA(VLOOKUP(E4843,E$1:E4842,1,FALSE()))),"OLD",IF(AND(E4843&lt;&gt;"",E4843&lt;&gt;"!!!"),"NEW","")))</f>
        <v> </v>
      </c>
      <c r="G4843" s="24" t="str">
        <f>IF(OR(E4843="",E4843="!!!"),"",IF(OR(J4843=0,AND(J4843=1,K4843=1),AND(J4843=1,I4843="SBJ"),AND(J4843=1,I4843=0)),"?IN_FOCUS",IF(J4843&lt;=2,"?ACTIVATED",IF(J4843&lt;&gt;"","?FAMILIAR",IF(F4843="NEW",IF(ISNA(VLOOKUP(E4843,#REF!,1,FALSE())),"?TYPE_IDENTIFIABLE","?REFERENTIAL"),"_")))))</f>
        <v> </v>
      </c>
      <c r="H4843" s="25" t="str">
        <f>IF(J4843&lt;&gt;1,"",IF(I4843="SBJ","CB","?"))</f>
        <v> </v>
      </c>
      <c r="I4843" s="26" t="str">
        <f>IF(OR(E4843="",E4843="!!!",F4843="NEW"),"",INDEX(B4842:B$2,-1+SUMPRODUCT(MAX(ROW(E4842:E$2)*(E4843=E4842:E$2)))))</f>
        <v> </v>
      </c>
      <c r="J4843" s="26" t="str">
        <f>IF(OR(E4843="",E4843="!!!",F4843="NEW"),"",COUNTBLANK(OFFSET(A$1,,,SUMPRODUCT(MAX(ROW(E$2:E4843)*(E4843=E$2:E4843)))))-COUNTBLANK(OFFSET(A$1,,,SUMPRODUCT(MAX(ROW(E$1:E4842)*(E2=E$1:E4842))))))</f>
        <v> </v>
      </c>
      <c r="K4843" s="26" t="str">
        <f>IF(OR(E4843="",E4843="!!!",F4843="NEW"),"",INDEX(J$1:J4842,SUMPRODUCT(MAX(ROW(E$1:E4842)*(E4843=E$1:E4842)))))</f>
        <v> </v>
      </c>
      <c r="L4843" s="27"/>
    </row>
    <row r="4844" spans="1:12">
      <c r="A4844" s="20" t="s">
        <v>202</v>
      </c>
      <c r="E4844" s="22">
        <f>IF(D4844="?OLD","!!!","")</f>
        <v/>
      </c>
      <c r="F4844" s="23" t="str">
        <f>IF(OR(E4844="",E4844="!!!"),"",IF(NOT(ISNA(VLOOKUP(E4844,E$1:E4843,1,FALSE()))),"OLD",IF(AND(E4844&lt;&gt;"",E4844&lt;&gt;"!!!"),"NEW","")))</f>
        <v> </v>
      </c>
      <c r="G4844" s="24" t="str">
        <f>IF(OR(E4844="",E4844="!!!"),"",IF(OR(J4844=0,AND(J4844=1,K4844=1),AND(J4844=1,I4844="SBJ"),AND(J4844=1,I4844=0)),"?IN_FOCUS",IF(J4844&lt;=2,"?ACTIVATED",IF(J4844&lt;&gt;"","?FAMILIAR",IF(F4844="NEW",IF(ISNA(VLOOKUP(E4844,#REF!,1,FALSE())),"?TYPE_IDENTIFIABLE","?REFERENTIAL"),"_")))))</f>
        <v> </v>
      </c>
      <c r="H4844" s="25" t="str">
        <f>IF(J4844&lt;&gt;1,"",IF(I4844="SBJ","CB","?"))</f>
        <v> </v>
      </c>
      <c r="I4844" s="26" t="str">
        <f>IF(OR(E4844="",E4844="!!!",F4844="NEW"),"",INDEX(B4843:B$2,-1+SUMPRODUCT(MAX(ROW(E4843:E$2)*(E4844=E4843:E$2)))))</f>
        <v> </v>
      </c>
      <c r="J4844" s="26" t="str">
        <f>IF(OR(E4844="",E4844="!!!",F4844="NEW"),"",COUNTBLANK(OFFSET(A$1,,,SUMPRODUCT(MAX(ROW(E$2:E4844)*(E4844=E$2:E4844)))))-COUNTBLANK(OFFSET(A$1,,,SUMPRODUCT(MAX(ROW(E$1:E4843)*(E2=E$1:E4843))))))</f>
        <v> </v>
      </c>
      <c r="K4844" s="26" t="str">
        <f>IF(OR(E4844="",E4844="!!!",F4844="NEW"),"",INDEX(J$1:J4843,SUMPRODUCT(MAX(ROW(E$1:E4843)*(E4844=E$1:E4843)))))</f>
        <v> </v>
      </c>
      <c r="L4844" s="27"/>
    </row>
    <row r="4845" spans="1:12">
      <c r="A4845" s="20"/>
    </row>
    <row r="4846" spans="1:12">
      <c r="A4846" s="20" t="s">
        <v>2279</v>
      </c>
    </row>
    <row r="4847" spans="1:12">
      <c r="A4847" s="20" t="s">
        <v>1105</v>
      </c>
      <c r="E4847" s="22">
        <f>IF(D4847="?OLD","!!!","")</f>
        <v/>
      </c>
      <c r="F4847" s="23" t="str">
        <f>IF(OR(E4847="",E4847="!!!"),"",IF(NOT(ISNA(VLOOKUP(E4847,E$1:E4846,1,FALSE()))),"OLD",IF(AND(E4847&lt;&gt;"",E4847&lt;&gt;"!!!"),"NEW","")))</f>
        <v> </v>
      </c>
      <c r="G4847" s="24" t="str">
        <f>IF(OR(E4847="",E4847="!!!"),"",IF(OR(J4847=0,AND(J4847=1,K4847=1),AND(J4847=1,I4847="SBJ"),AND(J4847=1,I4847=0)),"?IN_FOCUS",IF(J4847&lt;=2,"?ACTIVATED",IF(J4847&lt;&gt;"","?FAMILIAR",IF(F4847="NEW",IF(ISNA(VLOOKUP(E4847,#REF!,1,FALSE())),"?TYPE_IDENTIFIABLE","?REFERENTIAL"),"_")))))</f>
        <v> </v>
      </c>
      <c r="H4847" s="25" t="str">
        <f>IF(J4847&lt;&gt;1,"",IF(I4847="SBJ","CB","?"))</f>
        <v> </v>
      </c>
      <c r="I4847" s="26" t="str">
        <f>IF(OR(E4847="",E4847="!!!",F4847="NEW"),"",INDEX(B4846:B$2,-1+SUMPRODUCT(MAX(ROW(E4846:E$2)*(E4847=E4846:E$2)))))</f>
        <v> </v>
      </c>
      <c r="J4847" s="26" t="str">
        <f>IF(OR(E4847="",E4847="!!!",F4847="NEW"),"",COUNTBLANK(OFFSET(A$1,,,SUMPRODUCT(MAX(ROW(E$2:E4847)*(E4847=E$2:E4847)))))-COUNTBLANK(OFFSET(A$1,,,SUMPRODUCT(MAX(ROW(E$1:E4846)*(E2=E$1:E4846))))))</f>
        <v> </v>
      </c>
      <c r="K4847" s="26" t="str">
        <f>IF(OR(E4847="",E4847="!!!",F4847="NEW"),"",INDEX(J$1:J4846,SUMPRODUCT(MAX(ROW(E$1:E4846)*(E4847=E$1:E4846)))))</f>
        <v> </v>
      </c>
      <c r="L4847" s="27"/>
    </row>
    <row r="4848" spans="1:12">
      <c r="A4848" s="20" t="s">
        <v>960</v>
      </c>
      <c r="E4848" s="22">
        <f>IF(D4848="?OLD","!!!","")</f>
        <v/>
      </c>
      <c r="F4848" s="23" t="str">
        <f>IF(OR(E4848="",E4848="!!!"),"",IF(NOT(ISNA(VLOOKUP(E4848,E$1:E4847,1,FALSE()))),"OLD",IF(AND(E4848&lt;&gt;"",E4848&lt;&gt;"!!!"),"NEW","")))</f>
        <v> </v>
      </c>
      <c r="G4848" s="24" t="str">
        <f>IF(OR(E4848="",E4848="!!!"),"",IF(OR(J4848=0,AND(J4848=1,K4848=1),AND(J4848=1,I4848="SBJ"),AND(J4848=1,I4848=0)),"?IN_FOCUS",IF(J4848&lt;=2,"?ACTIVATED",IF(J4848&lt;&gt;"","?FAMILIAR",IF(F4848="NEW",IF(ISNA(VLOOKUP(E4848,#REF!,1,FALSE())),"?TYPE_IDENTIFIABLE","?REFERENTIAL"),"_")))))</f>
        <v> </v>
      </c>
      <c r="H4848" s="25" t="str">
        <f>IF(J4848&lt;&gt;1,"",IF(I4848="SBJ","CB","?"))</f>
        <v> </v>
      </c>
      <c r="I4848" s="26" t="str">
        <f>IF(OR(E4848="",E4848="!!!",F4848="NEW"),"",INDEX(B4847:B$2,-1+SUMPRODUCT(MAX(ROW(E4847:E$2)*(E4848=E4847:E$2)))))</f>
        <v> </v>
      </c>
      <c r="J4848" s="26" t="str">
        <f>IF(OR(E4848="",E4848="!!!",F4848="NEW"),"",COUNTBLANK(OFFSET(A$1,,,SUMPRODUCT(MAX(ROW(E$2:E4848)*(E4848=E$2:E4848)))))-COUNTBLANK(OFFSET(A$1,,,SUMPRODUCT(MAX(ROW(E$1:E4847)*(E2=E$1:E4847))))))</f>
        <v> </v>
      </c>
      <c r="K4848" s="26" t="str">
        <f>IF(OR(E4848="",E4848="!!!",F4848="NEW"),"",INDEX(J$1:J4847,SUMPRODUCT(MAX(ROW(E$1:E4847)*(E4848=E$1:E4847)))))</f>
        <v> </v>
      </c>
      <c r="L4848" s="27"/>
    </row>
    <row r="4849" spans="1:12">
      <c r="A4849" s="20" t="s">
        <v>1024</v>
      </c>
      <c r="B4849" s="21" t="s">
        <v>904</v>
      </c>
      <c r="C4849" s="21" t="s">
        <v>900</v>
      </c>
      <c r="D4849" s="21" t="s">
        <v>901</v>
      </c>
      <c r="E4849" s="22">
        <f>IF(D4849="?OLD","!!!","")</f>
        <v/>
      </c>
      <c r="F4849" s="23" t="str">
        <f>IF(OR(E4849="",E4849="!!!"),"",IF(NOT(ISNA(VLOOKUP(E4849,E$1:E4848,1,FALSE()))),"OLD",IF(AND(E4849&lt;&gt;"",E4849&lt;&gt;"!!!"),"NEW","")))</f>
        <v> </v>
      </c>
      <c r="G4849" s="24" t="str">
        <f>IF(OR(E4849="",E4849="!!!"),"",IF(OR(J4849=0,AND(J4849=1,K4849=1),AND(J4849=1,I4849="SBJ"),AND(J4849=1,I4849=0)),"?IN_FOCUS",IF(J4849&lt;=2,"?ACTIVATED",IF(J4849&lt;&gt;"","?FAMILIAR",IF(F4849="NEW",IF(ISNA(VLOOKUP(E4849,#REF!,1,FALSE())),"?TYPE_IDENTIFIABLE","?REFERENTIAL"),"_")))))</f>
        <v> </v>
      </c>
      <c r="H4849" s="25" t="str">
        <f>IF(J4849&lt;&gt;1,"",IF(I4849="SBJ","CB","?"))</f>
        <v> </v>
      </c>
      <c r="I4849" s="26" t="str">
        <f>IF(OR(E4849="",E4849="!!!",F4849="NEW"),"",INDEX(B4848:B$2,-1+SUMPRODUCT(MAX(ROW(E4848:E$2)*(E4849=E4848:E$2)))))</f>
        <v> </v>
      </c>
      <c r="J4849" s="26" t="str">
        <f>IF(OR(E4849="",E4849="!!!",F4849="NEW"),"",COUNTBLANK(OFFSET(A$1,,,SUMPRODUCT(MAX(ROW(E$2:E4849)*(E4849=E$2:E4849)))))-COUNTBLANK(OFFSET(A$1,,,SUMPRODUCT(MAX(ROW(E$1:E4848)*(E2=E$1:E4848))))))</f>
        <v> </v>
      </c>
      <c r="K4849" s="26" t="str">
        <f>IF(OR(E4849="",E4849="!!!",F4849="NEW"),"",INDEX(J$1:J4848,SUMPRODUCT(MAX(ROW(E$1:E4848)*(E4849=E$1:E4848)))))</f>
        <v> </v>
      </c>
      <c r="L4849" s="27"/>
    </row>
    <row r="4850" spans="1:12">
      <c r="A4850" s="20" t="s">
        <v>2028</v>
      </c>
      <c r="E4850" s="22">
        <f>IF(D4850="?OLD","!!!","")</f>
        <v/>
      </c>
      <c r="F4850" s="23" t="str">
        <f>IF(OR(E4850="",E4850="!!!"),"",IF(NOT(ISNA(VLOOKUP(E4850,E$1:E4849,1,FALSE()))),"OLD",IF(AND(E4850&lt;&gt;"",E4850&lt;&gt;"!!!"),"NEW","")))</f>
        <v> </v>
      </c>
      <c r="G4850" s="24" t="str">
        <f>IF(OR(E4850="",E4850="!!!"),"",IF(OR(J4850=0,AND(J4850=1,K4850=1),AND(J4850=1,I4850="SBJ"),AND(J4850=1,I4850=0)),"?IN_FOCUS",IF(J4850&lt;=2,"?ACTIVATED",IF(J4850&lt;&gt;"","?FAMILIAR",IF(F4850="NEW",IF(ISNA(VLOOKUP(E4850,#REF!,1,FALSE())),"?TYPE_IDENTIFIABLE","?REFERENTIAL"),"_")))))</f>
        <v> </v>
      </c>
      <c r="H4850" s="25" t="str">
        <f>IF(J4850&lt;&gt;1,"",IF(I4850="SBJ","CB","?"))</f>
        <v> </v>
      </c>
      <c r="I4850" s="26" t="str">
        <f>IF(OR(E4850="",E4850="!!!",F4850="NEW"),"",INDEX(B4849:B$2,-1+SUMPRODUCT(MAX(ROW(E4849:E$2)*(E4850=E4849:E$2)))))</f>
        <v> </v>
      </c>
      <c r="J4850" s="26" t="str">
        <f>IF(OR(E4850="",E4850="!!!",F4850="NEW"),"",COUNTBLANK(OFFSET(A$1,,,SUMPRODUCT(MAX(ROW(E$2:E4850)*(E4850=E$2:E4850)))))-COUNTBLANK(OFFSET(A$1,,,SUMPRODUCT(MAX(ROW(E$1:E4849)*(E2=E$1:E4849))))))</f>
        <v> </v>
      </c>
      <c r="K4850" s="26" t="str">
        <f>IF(OR(E4850="",E4850="!!!",F4850="NEW"),"",INDEX(J$1:J4849,SUMPRODUCT(MAX(ROW(E$1:E4849)*(E4850=E$1:E4849)))))</f>
        <v> </v>
      </c>
      <c r="L4850" s="27"/>
    </row>
    <row r="4851" spans="1:12">
      <c r="A4851" s="20" t="s">
        <v>1252</v>
      </c>
      <c r="E4851" s="22">
        <f>IF(D4851="?OLD","!!!","")</f>
        <v/>
      </c>
      <c r="F4851" s="23" t="str">
        <f>IF(OR(E4851="",E4851="!!!"),"",IF(NOT(ISNA(VLOOKUP(E4851,E$1:E4850,1,FALSE()))),"OLD",IF(AND(E4851&lt;&gt;"",E4851&lt;&gt;"!!!"),"NEW","")))</f>
        <v> </v>
      </c>
      <c r="G4851" s="24" t="str">
        <f>IF(OR(E4851="",E4851="!!!"),"",IF(OR(J4851=0,AND(J4851=1,K4851=1),AND(J4851=1,I4851="SBJ"),AND(J4851=1,I4851=0)),"?IN_FOCUS",IF(J4851&lt;=2,"?ACTIVATED",IF(J4851&lt;&gt;"","?FAMILIAR",IF(F4851="NEW",IF(ISNA(VLOOKUP(E4851,#REF!,1,FALSE())),"?TYPE_IDENTIFIABLE","?REFERENTIAL"),"_")))))</f>
        <v> </v>
      </c>
      <c r="H4851" s="25" t="str">
        <f>IF(J4851&lt;&gt;1,"",IF(I4851="SBJ","CB","?"))</f>
        <v> </v>
      </c>
      <c r="I4851" s="26" t="str">
        <f>IF(OR(E4851="",E4851="!!!",F4851="NEW"),"",INDEX(B4850:B$2,-1+SUMPRODUCT(MAX(ROW(E4850:E$2)*(E4851=E4850:E$2)))))</f>
        <v> </v>
      </c>
      <c r="J4851" s="26" t="str">
        <f>IF(OR(E4851="",E4851="!!!",F4851="NEW"),"",COUNTBLANK(OFFSET(A$1,,,SUMPRODUCT(MAX(ROW(E$2:E4851)*(E4851=E$2:E4851)))))-COUNTBLANK(OFFSET(A$1,,,SUMPRODUCT(MAX(ROW(E$1:E4850)*(E2=E$1:E4850))))))</f>
        <v> </v>
      </c>
      <c r="K4851" s="26" t="str">
        <f>IF(OR(E4851="",E4851="!!!",F4851="NEW"),"",INDEX(J$1:J4850,SUMPRODUCT(MAX(ROW(E$1:E4850)*(E4851=E$1:E4850)))))</f>
        <v> </v>
      </c>
      <c r="L4851" s="27"/>
    </row>
    <row r="4852" spans="1:12">
      <c r="A4852" s="20"/>
    </row>
    <row r="4853" spans="1:12">
      <c r="A4853" s="20" t="s">
        <v>2280</v>
      </c>
    </row>
    <row r="4854" spans="1:12">
      <c r="A4854" s="20" t="s">
        <v>2094</v>
      </c>
      <c r="E4854" s="22">
        <f>IF(D4854="?OLD","!!!","")</f>
        <v/>
      </c>
      <c r="F4854" s="23" t="str">
        <f>IF(OR(E4854="",E4854="!!!"),"",IF(NOT(ISNA(VLOOKUP(E4854,E$1:E4853,1,FALSE()))),"OLD",IF(AND(E4854&lt;&gt;"",E4854&lt;&gt;"!!!"),"NEW","")))</f>
        <v> </v>
      </c>
      <c r="G4854" s="24" t="str">
        <f>IF(OR(E4854="",E4854="!!!"),"",IF(OR(J4854=0,AND(J4854=1,K4854=1),AND(J4854=1,I4854="SBJ"),AND(J4854=1,I4854=0)),"?IN_FOCUS",IF(J4854&lt;=2,"?ACTIVATED",IF(J4854&lt;&gt;"","?FAMILIAR",IF(F4854="NEW",IF(ISNA(VLOOKUP(E4854,#REF!,1,FALSE())),"?TYPE_IDENTIFIABLE","?REFERENTIAL"),"_")))))</f>
        <v> </v>
      </c>
      <c r="H4854" s="25" t="str">
        <f>IF(J4854&lt;&gt;1,"",IF(I4854="SBJ","CB","?"))</f>
        <v> </v>
      </c>
      <c r="I4854" s="26" t="str">
        <f>IF(OR(E4854="",E4854="!!!",F4854="NEW"),"",INDEX(B4853:B$2,-1+SUMPRODUCT(MAX(ROW(E4853:E$2)*(E4854=E4853:E$2)))))</f>
        <v> </v>
      </c>
      <c r="J4854" s="26" t="str">
        <f>IF(OR(E4854="",E4854="!!!",F4854="NEW"),"",COUNTBLANK(OFFSET(A$1,,,SUMPRODUCT(MAX(ROW(E$2:E4854)*(E4854=E$2:E4854)))))-COUNTBLANK(OFFSET(A$1,,,SUMPRODUCT(MAX(ROW(E$1:E4853)*(E2=E$1:E4853))))))</f>
        <v> </v>
      </c>
      <c r="K4854" s="26" t="str">
        <f>IF(OR(E4854="",E4854="!!!",F4854="NEW"),"",INDEX(J$1:J4853,SUMPRODUCT(MAX(ROW(E$1:E4853)*(E4854=E$1:E4853)))))</f>
        <v> </v>
      </c>
      <c r="L4854" s="27"/>
    </row>
    <row r="4855" spans="1:12">
      <c r="A4855" s="20" t="s">
        <v>2281</v>
      </c>
      <c r="B4855" s="21" t="s">
        <v>899</v>
      </c>
      <c r="C4855" s="21" t="s">
        <v>916</v>
      </c>
      <c r="E4855" s="22">
        <f>IF(D4855="?OLD","!!!","")</f>
        <v/>
      </c>
      <c r="F4855" s="23" t="str">
        <f>IF(OR(E4855="",E4855="!!!"),"",IF(NOT(ISNA(VLOOKUP(E4855,E$1:E4854,1,FALSE()))),"OLD",IF(AND(E4855&lt;&gt;"",E4855&lt;&gt;"!!!"),"NEW","")))</f>
        <v> </v>
      </c>
      <c r="G4855" s="24" t="str">
        <f>IF(OR(E4855="",E4855="!!!"),"",IF(OR(J4855=0,AND(J4855=1,K4855=1),AND(J4855=1,I4855="SBJ"),AND(J4855=1,I4855=0)),"?IN_FOCUS",IF(J4855&lt;=2,"?ACTIVATED",IF(J4855&lt;&gt;"","?FAMILIAR",IF(F4855="NEW",IF(ISNA(VLOOKUP(E4855,#REF!,1,FALSE())),"?TYPE_IDENTIFIABLE","?REFERENTIAL"),"_")))))</f>
        <v> </v>
      </c>
      <c r="H4855" s="25" t="str">
        <f>IF(J4855&lt;&gt;1,"",IF(I4855="SBJ","CB","?"))</f>
        <v> </v>
      </c>
      <c r="I4855" s="26" t="str">
        <f>IF(OR(E4855="",E4855="!!!",F4855="NEW"),"",INDEX(B4854:B$2,-1+SUMPRODUCT(MAX(ROW(E4854:E$2)*(E4855=E4854:E$2)))))</f>
        <v> </v>
      </c>
      <c r="J4855" s="26" t="str">
        <f>IF(OR(E4855="",E4855="!!!",F4855="NEW"),"",COUNTBLANK(OFFSET(A$1,,,SUMPRODUCT(MAX(ROW(E$2:E4855)*(E4855=E$2:E4855)))))-COUNTBLANK(OFFSET(A$1,,,SUMPRODUCT(MAX(ROW(E$1:E4854)*(E2=E$1:E4854))))))</f>
        <v> </v>
      </c>
      <c r="K4855" s="26" t="str">
        <f>IF(OR(E4855="",E4855="!!!",F4855="NEW"),"",INDEX(J$1:J4854,SUMPRODUCT(MAX(ROW(E$1:E4854)*(E4855=E$1:E4854)))))</f>
        <v> </v>
      </c>
      <c r="L4855" s="27"/>
    </row>
    <row r="4856" spans="1:12">
      <c r="A4856" s="20" t="s">
        <v>970</v>
      </c>
      <c r="E4856" s="22">
        <f>IF(D4856="?OLD","!!!","")</f>
        <v/>
      </c>
      <c r="F4856" s="23" t="str">
        <f>IF(OR(E4856="",E4856="!!!"),"",IF(NOT(ISNA(VLOOKUP(E4856,E$1:E4855,1,FALSE()))),"OLD",IF(AND(E4856&lt;&gt;"",E4856&lt;&gt;"!!!"),"NEW","")))</f>
        <v> </v>
      </c>
      <c r="G4856" s="24" t="str">
        <f>IF(OR(E4856="",E4856="!!!"),"",IF(OR(J4856=0,AND(J4856=1,K4856=1),AND(J4856=1,I4856="SBJ"),AND(J4856=1,I4856=0)),"?IN_FOCUS",IF(J4856&lt;=2,"?ACTIVATED",IF(J4856&lt;&gt;"","?FAMILIAR",IF(F4856="NEW",IF(ISNA(VLOOKUP(E4856,#REF!,1,FALSE())),"?TYPE_IDENTIFIABLE","?REFERENTIAL"),"_")))))</f>
        <v> </v>
      </c>
      <c r="H4856" s="25" t="str">
        <f>IF(J4856&lt;&gt;1,"",IF(I4856="SBJ","CB","?"))</f>
        <v> </v>
      </c>
      <c r="I4856" s="26" t="str">
        <f>IF(OR(E4856="",E4856="!!!",F4856="NEW"),"",INDEX(B4855:B$2,-1+SUMPRODUCT(MAX(ROW(E4855:E$2)*(E4856=E4855:E$2)))))</f>
        <v> </v>
      </c>
      <c r="J4856" s="26" t="str">
        <f>IF(OR(E4856="",E4856="!!!",F4856="NEW"),"",COUNTBLANK(OFFSET(A$1,,,SUMPRODUCT(MAX(ROW(E$2:E4856)*(E4856=E$2:E4856)))))-COUNTBLANK(OFFSET(A$1,,,SUMPRODUCT(MAX(ROW(E$1:E4855)*(E2=E$1:E4855))))))</f>
        <v> </v>
      </c>
      <c r="K4856" s="26" t="str">
        <f>IF(OR(E4856="",E4856="!!!",F4856="NEW"),"",INDEX(J$1:J4855,SUMPRODUCT(MAX(ROW(E$1:E4855)*(E4856=E$1:E4855)))))</f>
        <v> </v>
      </c>
      <c r="L4856" s="27"/>
    </row>
    <row r="4857" spans="1:12">
      <c r="A4857" s="20" t="s">
        <v>933</v>
      </c>
      <c r="E4857" s="22">
        <f>IF(D4857="?OLD","!!!","")</f>
        <v/>
      </c>
      <c r="F4857" s="23" t="str">
        <f>IF(OR(E4857="",E4857="!!!"),"",IF(NOT(ISNA(VLOOKUP(E4857,E$1:E4856,1,FALSE()))),"OLD",IF(AND(E4857&lt;&gt;"",E4857&lt;&gt;"!!!"),"NEW","")))</f>
        <v> </v>
      </c>
      <c r="G4857" s="24" t="str">
        <f>IF(OR(E4857="",E4857="!!!"),"",IF(OR(J4857=0,AND(J4857=1,K4857=1),AND(J4857=1,I4857="SBJ"),AND(J4857=1,I4857=0)),"?IN_FOCUS",IF(J4857&lt;=2,"?ACTIVATED",IF(J4857&lt;&gt;"","?FAMILIAR",IF(F4857="NEW",IF(ISNA(VLOOKUP(E4857,#REF!,1,FALSE())),"?TYPE_IDENTIFIABLE","?REFERENTIAL"),"_")))))</f>
        <v> </v>
      </c>
      <c r="H4857" s="25" t="str">
        <f>IF(J4857&lt;&gt;1,"",IF(I4857="SBJ","CB","?"))</f>
        <v> </v>
      </c>
      <c r="I4857" s="26" t="str">
        <f>IF(OR(E4857="",E4857="!!!",F4857="NEW"),"",INDEX(B4856:B$2,-1+SUMPRODUCT(MAX(ROW(E4856:E$2)*(E4857=E4856:E$2)))))</f>
        <v> </v>
      </c>
      <c r="J4857" s="26" t="str">
        <f>IF(OR(E4857="",E4857="!!!",F4857="NEW"),"",COUNTBLANK(OFFSET(A$1,,,SUMPRODUCT(MAX(ROW(E$2:E4857)*(E4857=E$2:E4857)))))-COUNTBLANK(OFFSET(A$1,,,SUMPRODUCT(MAX(ROW(E$1:E4856)*(E2=E$1:E4856))))))</f>
        <v> </v>
      </c>
      <c r="K4857" s="26" t="str">
        <f>IF(OR(E4857="",E4857="!!!",F4857="NEW"),"",INDEX(J$1:J4856,SUMPRODUCT(MAX(ROW(E$1:E4856)*(E4857=E$1:E4856)))))</f>
        <v> </v>
      </c>
      <c r="L4857" s="27"/>
    </row>
    <row r="4858" spans="1:12">
      <c r="A4858" s="20" t="s">
        <v>919</v>
      </c>
      <c r="B4858" s="21" t="s">
        <v>912</v>
      </c>
      <c r="C4858" s="21" t="s">
        <v>931</v>
      </c>
      <c r="D4858" s="21" t="s">
        <v>901</v>
      </c>
      <c r="E4858" s="22">
        <f>IF(D4858="?OLD","!!!","")</f>
        <v/>
      </c>
      <c r="F4858" s="23" t="str">
        <f>IF(OR(E4858="",E4858="!!!"),"",IF(NOT(ISNA(VLOOKUP(E4858,E$1:E4857,1,FALSE()))),"OLD",IF(AND(E4858&lt;&gt;"",E4858&lt;&gt;"!!!"),"NEW","")))</f>
        <v> </v>
      </c>
      <c r="G4858" s="24" t="str">
        <f>IF(OR(E4858="",E4858="!!!"),"",IF(OR(J4858=0,AND(J4858=1,K4858=1),AND(J4858=1,I4858="SBJ"),AND(J4858=1,I4858=0)),"?IN_FOCUS",IF(J4858&lt;=2,"?ACTIVATED",IF(J4858&lt;&gt;"","?FAMILIAR",IF(F4858="NEW",IF(ISNA(VLOOKUP(E4858,#REF!,1,FALSE())),"?TYPE_IDENTIFIABLE","?REFERENTIAL"),"_")))))</f>
        <v> </v>
      </c>
      <c r="H4858" s="25" t="str">
        <f>IF(J4858&lt;&gt;1,"",IF(I4858="SBJ","CB","?"))</f>
        <v> </v>
      </c>
      <c r="I4858" s="26" t="str">
        <f>IF(OR(E4858="",E4858="!!!",F4858="NEW"),"",INDEX(B4857:B$2,-1+SUMPRODUCT(MAX(ROW(E4857:E$2)*(E4858=E4857:E$2)))))</f>
        <v> </v>
      </c>
      <c r="J4858" s="26" t="str">
        <f>IF(OR(E4858="",E4858="!!!",F4858="NEW"),"",COUNTBLANK(OFFSET(A$1,,,SUMPRODUCT(MAX(ROW(E$2:E4858)*(E4858=E$2:E4858)))))-COUNTBLANK(OFFSET(A$1,,,SUMPRODUCT(MAX(ROW(E$1:E4857)*(E2=E$1:E4857))))))</f>
        <v> </v>
      </c>
      <c r="K4858" s="26" t="str">
        <f>IF(OR(E4858="",E4858="!!!",F4858="NEW"),"",INDEX(J$1:J4857,SUMPRODUCT(MAX(ROW(E$1:E4857)*(E4858=E$1:E4857)))))</f>
        <v> </v>
      </c>
      <c r="L4858" s="27"/>
    </row>
    <row r="4859" spans="1:12">
      <c r="A4859" s="20" t="s">
        <v>1026</v>
      </c>
      <c r="B4859" s="21" t="s">
        <v>1217</v>
      </c>
      <c r="E4859" s="22">
        <f>IF(D4859="?OLD","!!!","")</f>
        <v/>
      </c>
      <c r="F4859" s="23" t="str">
        <f>IF(OR(E4859="",E4859="!!!"),"",IF(NOT(ISNA(VLOOKUP(E4859,E$1:E4858,1,FALSE()))),"OLD",IF(AND(E4859&lt;&gt;"",E4859&lt;&gt;"!!!"),"NEW","")))</f>
        <v> </v>
      </c>
      <c r="G4859" s="24" t="str">
        <f>IF(OR(E4859="",E4859="!!!"),"",IF(OR(J4859=0,AND(J4859=1,K4859=1),AND(J4859=1,I4859="SBJ"),AND(J4859=1,I4859=0)),"?IN_FOCUS",IF(J4859&lt;=2,"?ACTIVATED",IF(J4859&lt;&gt;"","?FAMILIAR",IF(F4859="NEW",IF(ISNA(VLOOKUP(E4859,#REF!,1,FALSE())),"?TYPE_IDENTIFIABLE","?REFERENTIAL"),"_")))))</f>
        <v> </v>
      </c>
      <c r="H4859" s="25" t="str">
        <f>IF(J4859&lt;&gt;1,"",IF(I4859="SBJ","CB","?"))</f>
        <v> </v>
      </c>
      <c r="I4859" s="26" t="str">
        <f>IF(OR(E4859="",E4859="!!!",F4859="NEW"),"",INDEX(B4858:B$2,-1+SUMPRODUCT(MAX(ROW(E4858:E$2)*(E4859=E4858:E$2)))))</f>
        <v> </v>
      </c>
      <c r="J4859" s="26" t="str">
        <f>IF(OR(E4859="",E4859="!!!",F4859="NEW"),"",COUNTBLANK(OFFSET(A$1,,,SUMPRODUCT(MAX(ROW(E$2:E4859)*(E4859=E$2:E4859)))))-COUNTBLANK(OFFSET(A$1,,,SUMPRODUCT(MAX(ROW(E$1:E4858)*(E2=E$1:E4858))))))</f>
        <v> </v>
      </c>
      <c r="K4859" s="26" t="str">
        <f>IF(OR(E4859="",E4859="!!!",F4859="NEW"),"",INDEX(J$1:J4858,SUMPRODUCT(MAX(ROW(E$1:E4858)*(E4859=E$1:E4858)))))</f>
        <v> </v>
      </c>
      <c r="L4859" s="27"/>
    </row>
    <row r="4860" spans="1:12">
      <c r="A4860" s="20" t="s">
        <v>2282</v>
      </c>
      <c r="E4860" s="22">
        <f>IF(D4860="?OLD","!!!","")</f>
        <v/>
      </c>
      <c r="F4860" s="23" t="str">
        <f>IF(OR(E4860="",E4860="!!!"),"",IF(NOT(ISNA(VLOOKUP(E4860,E$1:E4859,1,FALSE()))),"OLD",IF(AND(E4860&lt;&gt;"",E4860&lt;&gt;"!!!"),"NEW","")))</f>
        <v> </v>
      </c>
      <c r="G4860" s="24" t="str">
        <f>IF(OR(E4860="",E4860="!!!"),"",IF(OR(J4860=0,AND(J4860=1,K4860=1),AND(J4860=1,I4860="SBJ"),AND(J4860=1,I4860=0)),"?IN_FOCUS",IF(J4860&lt;=2,"?ACTIVATED",IF(J4860&lt;&gt;"","?FAMILIAR",IF(F4860="NEW",IF(ISNA(VLOOKUP(E4860,#REF!,1,FALSE())),"?TYPE_IDENTIFIABLE","?REFERENTIAL"),"_")))))</f>
        <v> </v>
      </c>
      <c r="H4860" s="25" t="str">
        <f>IF(J4860&lt;&gt;1,"",IF(I4860="SBJ","CB","?"))</f>
        <v> </v>
      </c>
      <c r="I4860" s="26" t="str">
        <f>IF(OR(E4860="",E4860="!!!",F4860="NEW"),"",INDEX(B4859:B$2,-1+SUMPRODUCT(MAX(ROW(E4859:E$2)*(E4860=E4859:E$2)))))</f>
        <v> </v>
      </c>
      <c r="J4860" s="26" t="str">
        <f>IF(OR(E4860="",E4860="!!!",F4860="NEW"),"",COUNTBLANK(OFFSET(A$1,,,SUMPRODUCT(MAX(ROW(E$2:E4860)*(E4860=E$2:E4860)))))-COUNTBLANK(OFFSET(A$1,,,SUMPRODUCT(MAX(ROW(E$1:E4859)*(E2=E$1:E4859))))))</f>
        <v> </v>
      </c>
      <c r="K4860" s="26" t="str">
        <f>IF(OR(E4860="",E4860="!!!",F4860="NEW"),"",INDEX(J$1:J4859,SUMPRODUCT(MAX(ROW(E$1:E4859)*(E4860=E$1:E4859)))))</f>
        <v> </v>
      </c>
      <c r="L4860" s="27"/>
    </row>
    <row r="4861" spans="1:12">
      <c r="A4861" s="20" t="s">
        <v>926</v>
      </c>
      <c r="E4861" s="22">
        <f>IF(D4861="?OLD","!!!","")</f>
        <v/>
      </c>
      <c r="F4861" s="23" t="str">
        <f>IF(OR(E4861="",E4861="!!!"),"",IF(NOT(ISNA(VLOOKUP(E4861,E$1:E4860,1,FALSE()))),"OLD",IF(AND(E4861&lt;&gt;"",E4861&lt;&gt;"!!!"),"NEW","")))</f>
        <v> </v>
      </c>
      <c r="G4861" s="24" t="str">
        <f>IF(OR(E4861="",E4861="!!!"),"",IF(OR(J4861=0,AND(J4861=1,K4861=1),AND(J4861=1,I4861="SBJ"),AND(J4861=1,I4861=0)),"?IN_FOCUS",IF(J4861&lt;=2,"?ACTIVATED",IF(J4861&lt;&gt;"","?FAMILIAR",IF(F4861="NEW",IF(ISNA(VLOOKUP(E4861,#REF!,1,FALSE())),"?TYPE_IDENTIFIABLE","?REFERENTIAL"),"_")))))</f>
        <v> </v>
      </c>
      <c r="H4861" s="25" t="str">
        <f>IF(J4861&lt;&gt;1,"",IF(I4861="SBJ","CB","?"))</f>
        <v> </v>
      </c>
      <c r="I4861" s="26" t="str">
        <f>IF(OR(E4861="",E4861="!!!",F4861="NEW"),"",INDEX(B4860:B$2,-1+SUMPRODUCT(MAX(ROW(E4860:E$2)*(E4861=E4860:E$2)))))</f>
        <v> </v>
      </c>
      <c r="J4861" s="26" t="str">
        <f>IF(OR(E4861="",E4861="!!!",F4861="NEW"),"",COUNTBLANK(OFFSET(A$1,,,SUMPRODUCT(MAX(ROW(E$2:E4861)*(E4861=E$2:E4861)))))-COUNTBLANK(OFFSET(A$1,,,SUMPRODUCT(MAX(ROW(E$1:E4860)*(E2=E$1:E4860))))))</f>
        <v> </v>
      </c>
      <c r="K4861" s="26" t="str">
        <f>IF(OR(E4861="",E4861="!!!",F4861="NEW"),"",INDEX(J$1:J4860,SUMPRODUCT(MAX(ROW(E$1:E4860)*(E4861=E$1:E4860)))))</f>
        <v> </v>
      </c>
      <c r="L4861" s="27"/>
    </row>
    <row r="4862" spans="1:12">
      <c r="A4862" s="20" t="s">
        <v>940</v>
      </c>
      <c r="B4862" s="21" t="s">
        <v>965</v>
      </c>
      <c r="C4862" s="21" t="s">
        <v>931</v>
      </c>
      <c r="D4862" s="21" t="s">
        <v>901</v>
      </c>
      <c r="E4862" s="22">
        <f>IF(D4862="?OLD","!!!","")</f>
        <v/>
      </c>
      <c r="F4862" s="23" t="str">
        <f>IF(OR(E4862="",E4862="!!!"),"",IF(NOT(ISNA(VLOOKUP(E4862,E$1:E4861,1,FALSE()))),"OLD",IF(AND(E4862&lt;&gt;"",E4862&lt;&gt;"!!!"),"NEW","")))</f>
        <v> </v>
      </c>
      <c r="G4862" s="24" t="str">
        <f>IF(OR(E4862="",E4862="!!!"),"",IF(OR(J4862=0,AND(J4862=1,K4862=1),AND(J4862=1,I4862="SBJ"),AND(J4862=1,I4862=0)),"?IN_FOCUS",IF(J4862&lt;=2,"?ACTIVATED",IF(J4862&lt;&gt;"","?FAMILIAR",IF(F4862="NEW",IF(ISNA(VLOOKUP(E4862,#REF!,1,FALSE())),"?TYPE_IDENTIFIABLE","?REFERENTIAL"),"_")))))</f>
        <v> </v>
      </c>
      <c r="H4862" s="25" t="str">
        <f>IF(J4862&lt;&gt;1,"",IF(I4862="SBJ","CB","?"))</f>
        <v> </v>
      </c>
      <c r="I4862" s="26" t="str">
        <f>IF(OR(E4862="",E4862="!!!",F4862="NEW"),"",INDEX(B4861:B$2,-1+SUMPRODUCT(MAX(ROW(E4861:E$2)*(E4862=E4861:E$2)))))</f>
        <v> </v>
      </c>
      <c r="J4862" s="26" t="str">
        <f>IF(OR(E4862="",E4862="!!!",F4862="NEW"),"",COUNTBLANK(OFFSET(A$1,,,SUMPRODUCT(MAX(ROW(E$2:E4862)*(E4862=E$2:E4862)))))-COUNTBLANK(OFFSET(A$1,,,SUMPRODUCT(MAX(ROW(E$1:E4861)*(E2=E$1:E4861))))))</f>
        <v> </v>
      </c>
      <c r="K4862" s="26" t="str">
        <f>IF(OR(E4862="",E4862="!!!",F4862="NEW"),"",INDEX(J$1:J4861,SUMPRODUCT(MAX(ROW(E$1:E4861)*(E4862=E$1:E4861)))))</f>
        <v> </v>
      </c>
      <c r="L4862" s="27"/>
    </row>
    <row r="4863" spans="1:12">
      <c r="A4863" s="20" t="s">
        <v>202</v>
      </c>
      <c r="E4863" s="22">
        <f>IF(D4863="?OLD","!!!","")</f>
        <v/>
      </c>
      <c r="F4863" s="23" t="str">
        <f>IF(OR(E4863="",E4863="!!!"),"",IF(NOT(ISNA(VLOOKUP(E4863,E$1:E4862,1,FALSE()))),"OLD",IF(AND(E4863&lt;&gt;"",E4863&lt;&gt;"!!!"),"NEW","")))</f>
        <v> </v>
      </c>
      <c r="G4863" s="24" t="str">
        <f>IF(OR(E4863="",E4863="!!!"),"",IF(OR(J4863=0,AND(J4863=1,K4863=1),AND(J4863=1,I4863="SBJ"),AND(J4863=1,I4863=0)),"?IN_FOCUS",IF(J4863&lt;=2,"?ACTIVATED",IF(J4863&lt;&gt;"","?FAMILIAR",IF(F4863="NEW",IF(ISNA(VLOOKUP(E4863,#REF!,1,FALSE())),"?TYPE_IDENTIFIABLE","?REFERENTIAL"),"_")))))</f>
        <v> </v>
      </c>
      <c r="H4863" s="25" t="str">
        <f>IF(J4863&lt;&gt;1,"",IF(I4863="SBJ","CB","?"))</f>
        <v> </v>
      </c>
      <c r="I4863" s="26" t="str">
        <f>IF(OR(E4863="",E4863="!!!",F4863="NEW"),"",INDEX(B4862:B$2,-1+SUMPRODUCT(MAX(ROW(E4862:E$2)*(E4863=E4862:E$2)))))</f>
        <v> </v>
      </c>
      <c r="J4863" s="26" t="str">
        <f>IF(OR(E4863="",E4863="!!!",F4863="NEW"),"",COUNTBLANK(OFFSET(A$1,,,SUMPRODUCT(MAX(ROW(E$2:E4863)*(E4863=E$2:E4863)))))-COUNTBLANK(OFFSET(A$1,,,SUMPRODUCT(MAX(ROW(E$1:E4862)*(E2=E$1:E4862))))))</f>
        <v> </v>
      </c>
      <c r="K4863" s="26" t="str">
        <f>IF(OR(E4863="",E4863="!!!",F4863="NEW"),"",INDEX(J$1:J4862,SUMPRODUCT(MAX(ROW(E$1:E4862)*(E4863=E$1:E4862)))))</f>
        <v> </v>
      </c>
      <c r="L4863" s="27"/>
    </row>
    <row r="4864" spans="1:12">
      <c r="A4864" s="20"/>
    </row>
    <row r="4865" spans="1:12">
      <c r="A4865" s="20" t="s">
        <v>2283</v>
      </c>
    </row>
    <row r="4866" spans="1:12">
      <c r="A4866" s="20" t="s">
        <v>2284</v>
      </c>
      <c r="B4866" s="21" t="s">
        <v>912</v>
      </c>
      <c r="C4866" s="21" t="s">
        <v>916</v>
      </c>
      <c r="E4866" s="22">
        <f>IF(D4866="?OLD","!!!","")</f>
        <v/>
      </c>
      <c r="F4866" s="23" t="str">
        <f>IF(OR(E4866="",E4866="!!!"),"",IF(NOT(ISNA(VLOOKUP(E4866,E$1:E4865,1,FALSE()))),"OLD",IF(AND(E4866&lt;&gt;"",E4866&lt;&gt;"!!!"),"NEW","")))</f>
        <v> </v>
      </c>
      <c r="G4866" s="24" t="str">
        <f>IF(OR(E4866="",E4866="!!!"),"",IF(OR(J4866=0,AND(J4866=1,K4866=1),AND(J4866=1,I4866="SBJ"),AND(J4866=1,I4866=0)),"?IN_FOCUS",IF(J4866&lt;=2,"?ACTIVATED",IF(J4866&lt;&gt;"","?FAMILIAR",IF(F4866="NEW",IF(ISNA(VLOOKUP(E4866,#REF!,1,FALSE())),"?TYPE_IDENTIFIABLE","?REFERENTIAL"),"_")))))</f>
        <v> </v>
      </c>
      <c r="H4866" s="25" t="str">
        <f>IF(J4866&lt;&gt;1,"",IF(I4866="SBJ","CB","?"))</f>
        <v> </v>
      </c>
      <c r="I4866" s="26" t="str">
        <f>IF(OR(E4866="",E4866="!!!",F4866="NEW"),"",INDEX(B4865:B$2,-1+SUMPRODUCT(MAX(ROW(E4865:E$2)*(E4866=E4865:E$2)))))</f>
        <v> </v>
      </c>
      <c r="J4866" s="26" t="str">
        <f>IF(OR(E4866="",E4866="!!!",F4866="NEW"),"",COUNTBLANK(OFFSET(A$1,,,SUMPRODUCT(MAX(ROW(E$2:E4866)*(E4866=E$2:E4866)))))-COUNTBLANK(OFFSET(A$1,,,SUMPRODUCT(MAX(ROW(E$1:E4865)*(E2=E$1:E4865))))))</f>
        <v> </v>
      </c>
      <c r="K4866" s="26" t="str">
        <f>IF(OR(E4866="",E4866="!!!",F4866="NEW"),"",INDEX(J$1:J4865,SUMPRODUCT(MAX(ROW(E$1:E4865)*(E4866=E$1:E4865)))))</f>
        <v> </v>
      </c>
      <c r="L4866" s="27"/>
    </row>
    <row r="4867" spans="1:12">
      <c r="A4867" s="20" t="s">
        <v>202</v>
      </c>
      <c r="E4867" s="22">
        <f>IF(D4867="?OLD","!!!","")</f>
        <v/>
      </c>
      <c r="F4867" s="23" t="str">
        <f>IF(OR(E4867="",E4867="!!!"),"",IF(NOT(ISNA(VLOOKUP(E4867,E$1:E4866,1,FALSE()))),"OLD",IF(AND(E4867&lt;&gt;"",E4867&lt;&gt;"!!!"),"NEW","")))</f>
        <v> </v>
      </c>
      <c r="G4867" s="24" t="str">
        <f>IF(OR(E4867="",E4867="!!!"),"",IF(OR(J4867=0,AND(J4867=1,K4867=1),AND(J4867=1,I4867="SBJ"),AND(J4867=1,I4867=0)),"?IN_FOCUS",IF(J4867&lt;=2,"?ACTIVATED",IF(J4867&lt;&gt;"","?FAMILIAR",IF(F4867="NEW",IF(ISNA(VLOOKUP(E4867,#REF!,1,FALSE())),"?TYPE_IDENTIFIABLE","?REFERENTIAL"),"_")))))</f>
        <v> </v>
      </c>
      <c r="H4867" s="25" t="str">
        <f>IF(J4867&lt;&gt;1,"",IF(I4867="SBJ","CB","?"))</f>
        <v> </v>
      </c>
      <c r="I4867" s="26" t="str">
        <f>IF(OR(E4867="",E4867="!!!",F4867="NEW"),"",INDEX(B4866:B$2,-1+SUMPRODUCT(MAX(ROW(E4866:E$2)*(E4867=E4866:E$2)))))</f>
        <v> </v>
      </c>
      <c r="J4867" s="26" t="str">
        <f>IF(OR(E4867="",E4867="!!!",F4867="NEW"),"",COUNTBLANK(OFFSET(A$1,,,SUMPRODUCT(MAX(ROW(E$2:E4867)*(E4867=E$2:E4867)))))-COUNTBLANK(OFFSET(A$1,,,SUMPRODUCT(MAX(ROW(E$1:E4866)*(E2=E$1:E4866))))))</f>
        <v> </v>
      </c>
      <c r="K4867" s="26" t="str">
        <f>IF(OR(E4867="",E4867="!!!",F4867="NEW"),"",INDEX(J$1:J4866,SUMPRODUCT(MAX(ROW(E$1:E4866)*(E4867=E$1:E4866)))))</f>
        <v> </v>
      </c>
      <c r="L4867" s="27"/>
    </row>
    <row r="4868" spans="1:12">
      <c r="A4868" s="20"/>
    </row>
    <row r="4869" spans="1:12">
      <c r="A4869" s="20" t="s">
        <v>2285</v>
      </c>
    </row>
    <row r="4870" spans="1:12">
      <c r="A4870" s="20" t="s">
        <v>1075</v>
      </c>
      <c r="E4870" s="22">
        <f>IF(D4870="?OLD","!!!","")</f>
        <v/>
      </c>
      <c r="F4870" s="23" t="str">
        <f>IF(OR(E4870="",E4870="!!!"),"",IF(NOT(ISNA(VLOOKUP(E4870,E$1:E4869,1,FALSE()))),"OLD",IF(AND(E4870&lt;&gt;"",E4870&lt;&gt;"!!!"),"NEW","")))</f>
        <v> </v>
      </c>
      <c r="G4870" s="24" t="str">
        <f>IF(OR(E4870="",E4870="!!!"),"",IF(OR(J4870=0,AND(J4870=1,K4870=1),AND(J4870=1,I4870="SBJ"),AND(J4870=1,I4870=0)),"?IN_FOCUS",IF(J4870&lt;=2,"?ACTIVATED",IF(J4870&lt;&gt;"","?FAMILIAR",IF(F4870="NEW",IF(ISNA(VLOOKUP(E4870,#REF!,1,FALSE())),"?TYPE_IDENTIFIABLE","?REFERENTIAL"),"_")))))</f>
        <v> </v>
      </c>
      <c r="H4870" s="25" t="str">
        <f>IF(J4870&lt;&gt;1,"",IF(I4870="SBJ","CB","?"))</f>
        <v> </v>
      </c>
      <c r="I4870" s="26" t="str">
        <f>IF(OR(E4870="",E4870="!!!",F4870="NEW"),"",INDEX(B4869:B$2,-1+SUMPRODUCT(MAX(ROW(E4869:E$2)*(E4870=E4869:E$2)))))</f>
        <v> </v>
      </c>
      <c r="J4870" s="26" t="str">
        <f>IF(OR(E4870="",E4870="!!!",F4870="NEW"),"",COUNTBLANK(OFFSET(A$1,,,SUMPRODUCT(MAX(ROW(E$2:E4870)*(E4870=E$2:E4870)))))-COUNTBLANK(OFFSET(A$1,,,SUMPRODUCT(MAX(ROW(E$1:E4869)*(E2=E$1:E4869))))))</f>
        <v> </v>
      </c>
      <c r="K4870" s="26" t="str">
        <f>IF(OR(E4870="",E4870="!!!",F4870="NEW"),"",INDEX(J$1:J4869,SUMPRODUCT(MAX(ROW(E$1:E4869)*(E4870=E$1:E4869)))))</f>
        <v> </v>
      </c>
      <c r="L4870" s="27"/>
    </row>
    <row r="4871" spans="1:12">
      <c r="A4871" s="20" t="s">
        <v>2286</v>
      </c>
      <c r="B4871" s="21" t="s">
        <v>912</v>
      </c>
      <c r="C4871" s="21" t="s">
        <v>905</v>
      </c>
      <c r="D4871" s="21" t="s">
        <v>901</v>
      </c>
      <c r="E4871" s="22">
        <f>IF(D4871="?OLD","!!!","")</f>
        <v/>
      </c>
      <c r="F4871" s="23" t="str">
        <f>IF(OR(E4871="",E4871="!!!"),"",IF(NOT(ISNA(VLOOKUP(E4871,E$1:E4870,1,FALSE()))),"OLD",IF(AND(E4871&lt;&gt;"",E4871&lt;&gt;"!!!"),"NEW","")))</f>
        <v> </v>
      </c>
      <c r="G4871" s="24" t="str">
        <f>IF(OR(E4871="",E4871="!!!"),"",IF(OR(J4871=0,AND(J4871=1,K4871=1),AND(J4871=1,I4871="SBJ"),AND(J4871=1,I4871=0)),"?IN_FOCUS",IF(J4871&lt;=2,"?ACTIVATED",IF(J4871&lt;&gt;"","?FAMILIAR",IF(F4871="NEW",IF(ISNA(VLOOKUP(E4871,#REF!,1,FALSE())),"?TYPE_IDENTIFIABLE","?REFERENTIAL"),"_")))))</f>
        <v> </v>
      </c>
      <c r="H4871" s="25" t="str">
        <f>IF(J4871&lt;&gt;1,"",IF(I4871="SBJ","CB","?"))</f>
        <v> </v>
      </c>
      <c r="I4871" s="26" t="str">
        <f>IF(OR(E4871="",E4871="!!!",F4871="NEW"),"",INDEX(B4870:B$2,-1+SUMPRODUCT(MAX(ROW(E4870:E$2)*(E4871=E4870:E$2)))))</f>
        <v> </v>
      </c>
      <c r="J4871" s="26" t="str">
        <f>IF(OR(E4871="",E4871="!!!",F4871="NEW"),"",COUNTBLANK(OFFSET(A$1,,,SUMPRODUCT(MAX(ROW(E$2:E4871)*(E4871=E$2:E4871)))))-COUNTBLANK(OFFSET(A$1,,,SUMPRODUCT(MAX(ROW(E$1:E4870)*(E2=E$1:E4870))))))</f>
        <v> </v>
      </c>
      <c r="K4871" s="26" t="str">
        <f>IF(OR(E4871="",E4871="!!!",F4871="NEW"),"",INDEX(J$1:J4870,SUMPRODUCT(MAX(ROW(E$1:E4870)*(E4871=E$1:E4870)))))</f>
        <v> </v>
      </c>
      <c r="L4871" s="27"/>
    </row>
    <row r="4872" spans="1:12">
      <c r="A4872" s="20" t="s">
        <v>327</v>
      </c>
      <c r="E4872" s="22">
        <f>IF(D4872="?OLD","!!!","")</f>
        <v/>
      </c>
      <c r="F4872" s="23" t="str">
        <f>IF(OR(E4872="",E4872="!!!"),"",IF(NOT(ISNA(VLOOKUP(E4872,E$1:E4871,1,FALSE()))),"OLD",IF(AND(E4872&lt;&gt;"",E4872&lt;&gt;"!!!"),"NEW","")))</f>
        <v> </v>
      </c>
      <c r="G4872" s="24" t="str">
        <f>IF(OR(E4872="",E4872="!!!"),"",IF(OR(J4872=0,AND(J4872=1,K4872=1),AND(J4872=1,I4872="SBJ"),AND(J4872=1,I4872=0)),"?IN_FOCUS",IF(J4872&lt;=2,"?ACTIVATED",IF(J4872&lt;&gt;"","?FAMILIAR",IF(F4872="NEW",IF(ISNA(VLOOKUP(E4872,#REF!,1,FALSE())),"?TYPE_IDENTIFIABLE","?REFERENTIAL"),"_")))))</f>
        <v> </v>
      </c>
      <c r="H4872" s="25" t="str">
        <f>IF(J4872&lt;&gt;1,"",IF(I4872="SBJ","CB","?"))</f>
        <v> </v>
      </c>
      <c r="I4872" s="26" t="str">
        <f>IF(OR(E4872="",E4872="!!!",F4872="NEW"),"",INDEX(B4871:B$2,-1+SUMPRODUCT(MAX(ROW(E4871:E$2)*(E4872=E4871:E$2)))))</f>
        <v> </v>
      </c>
      <c r="J4872" s="26" t="str">
        <f>IF(OR(E4872="",E4872="!!!",F4872="NEW"),"",COUNTBLANK(OFFSET(A$1,,,SUMPRODUCT(MAX(ROW(E$2:E4872)*(E4872=E$2:E4872)))))-COUNTBLANK(OFFSET(A$1,,,SUMPRODUCT(MAX(ROW(E$1:E4871)*(E2=E$1:E4871))))))</f>
        <v> </v>
      </c>
      <c r="K4872" s="26" t="str">
        <f>IF(OR(E4872="",E4872="!!!",F4872="NEW"),"",INDEX(J$1:J4871,SUMPRODUCT(MAX(ROW(E$1:E4871)*(E4872=E$1:E4871)))))</f>
        <v> </v>
      </c>
      <c r="L4872" s="27"/>
    </row>
    <row r="4873" spans="1:12">
      <c r="A487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2025-07-11T07:04:01Z</dcterms:created>
  <dcterms:modified xsi:type="dcterms:W3CDTF">2025-07-11T07:04:01Z</dcterms:modified>
</cp:coreProperties>
</file>