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<sst xmlns="http://schemas.openxmlformats.org/spreadsheetml/2006/main" count="2286" uniqueCount="647">
  <si>
    <t>ID</t>
  </si>
  <si>
    <t>PRED_ID</t>
  </si>
  <si>
    <t>MARKER_AUTO</t>
  </si>
  <si>
    <t>PREDICATE</t>
  </si>
  <si>
    <t>TEXT</t>
  </si>
  <si>
    <t>SENTENCE</t>
  </si>
  <si>
    <t>MARKER</t>
  </si>
  <si>
    <t>TARGET</t>
  </si>
  <si>
    <t>RELATION</t>
  </si>
  <si>
    <t>COMMENT</t>
  </si>
  <si>
    <t>1</t>
  </si>
  <si>
    <t>11</t>
  </si>
  <si>
    <t>when?</t>
  </si>
  <si>
    <t>walk</t>
  </si>
  <si>
    <t>One day , Los Angeles Times columnist Steve Lopez was walking along the streets of downtown Los Angeles when he heard beautiful music .</t>
  </si>
  <si>
    <t>file://conllu/en/teddy-953.conllu#s1_0</t>
  </si>
  <si>
    <t>_</t>
  </si>
  <si>
    <t>2</t>
  </si>
  <si>
    <t>4</t>
  </si>
  <si>
    <t>and?</t>
  </si>
  <si>
    <t>be (be man)</t>
  </si>
  <si>
    <t>And the source was a man , an African American man , charming , rugged , homeless , playing a violin that only had two strings .</t>
  </si>
  <si>
    <t>file://conllu/en/teddy-953.conllu#s2_0</t>
  </si>
  <si>
    <t>3</t>
  </si>
  <si>
    <t>tell</t>
  </si>
  <si>
    <t>And I 'm telling a story that many of you know , because Steve 's columns became the basis for a book , which was turned into a movie , with Robert Downey Jr. acting as Steve Lopez , and Jamie Foxx as Nathaniel Anthony Ayers , the Juilliard trained double bassist whose promising career was cut short by a tragic affliction with paranoid schizophrenia .</t>
  </si>
  <si>
    <t>file://conllu/en/teddy-953.conllu#s3_0</t>
  </si>
  <si>
    <t>drop</t>
  </si>
  <si>
    <t>Nathaniel dropped out of Juilliard , he suffered a complete breakdown , and 30 years later he was living homeless on the streets of Skid Row in downtown Los Angeles .</t>
  </si>
  <si>
    <t>file://conllu/en/teddy-953.conllu#s4_0</t>
  </si>
  <si>
    <t>5</t>
  </si>
  <si>
    <t>but?</t>
  </si>
  <si>
    <t>encourage</t>
  </si>
  <si>
    <t>I encourage all of you to read Steve 's book or to watch the movie to understand not only the beautiful bond that formed between these two men , but how music helped shape that bond , and ultimately was instrumental if you 'll pardon the pun in helping Nathaniel get off the streets .</t>
  </si>
  <si>
    <t>file://conllu/en/teddy-953.conllu#s5_0</t>
  </si>
  <si>
    <t>6</t>
  </si>
  <si>
    <t>meet</t>
  </si>
  <si>
    <t>I met Mr. Ayers in 2008 , two years ago , at Walt Disney Concert Hall .</t>
  </si>
  <si>
    <t>file://conllu/en/teddy-953.conllu#s6_0</t>
  </si>
  <si>
    <t>7</t>
  </si>
  <si>
    <t>hear</t>
  </si>
  <si>
    <t>He had just heard a performance of Beethoven 's First and Fourth symphonies , and came backstage and introduced himself .</t>
  </si>
  <si>
    <t>file://conllu/en/teddy-953.conllu#s7_0</t>
  </si>
  <si>
    <t>8</t>
  </si>
  <si>
    <t>speak</t>
  </si>
  <si>
    <t>He was speaking in a very jovial and gregarious way about Yo Yo Ma and Hillary Clinton and how the Dodgers were never going to make the World Series , all because of the treacherous first violin passage work in the last movement of Beethoven 's Fourth Symphony .</t>
  </si>
  <si>
    <t>file://conllu/en/teddy-953.conllu#s8_0</t>
  </si>
  <si>
    <t>9</t>
  </si>
  <si>
    <t>later?</t>
  </si>
  <si>
    <t>get</t>
  </si>
  <si>
    <t>And we got talking about music , and I got an email from Steve a few days later saying that Nathaniel was interested in a violin lesson with me .</t>
  </si>
  <si>
    <t>file://conllu/en/teddy-953.conllu#s9_0</t>
  </si>
  <si>
    <t>10</t>
  </si>
  <si>
    <t>mention</t>
  </si>
  <si>
    <t>Now , I should mention that Nathaniel refuses treatment because when he was treated it was with shock therapy and Thorazine and handcuffs , and that scar has stayed with him for his entire life .</t>
  </si>
  <si>
    <t>file://conllu/en/teddy-953.conllu#s10_0</t>
  </si>
  <si>
    <t>as a result?</t>
  </si>
  <si>
    <t>pro</t>
  </si>
  <si>
    <t>But as a result now , he is prone to these schizophrenic episodes , the worst of which can manifest themselves as him exploding and then disappearing for days , wandering the streets of Skid Row , exposed to its horrors , with the torment of his own mind unleashed upon him .</t>
  </si>
  <si>
    <t>file://conllu/en/teddy-953.conllu#s11_0</t>
  </si>
  <si>
    <t>12</t>
  </si>
  <si>
    <t>be (be state)</t>
  </si>
  <si>
    <t>And Nathaniel was in such a state of agitation when we started our first lesson at Walt Disney Concert Hall he had a kind of manic glint in his eyes , he was lost .</t>
  </si>
  <si>
    <t>file://conllu/en/teddy-953.conllu#s12_0</t>
  </si>
  <si>
    <t>13</t>
  </si>
  <si>
    <t>talk</t>
  </si>
  <si>
    <t>And he was talking about invisible demons and smoke , and how someone was poisoning him in his sleep .</t>
  </si>
  <si>
    <t>file://conllu/en/teddy-953.conllu#s13_0</t>
  </si>
  <si>
    <t>14</t>
  </si>
  <si>
    <t>for?</t>
  </si>
  <si>
    <t>be (be afraid)</t>
  </si>
  <si>
    <t>And I was afraid , not for myself , but I was afraid that I was going to lose him , that he was going to sink into one of his states , and that I would ruin his relationship with the violin if I started talking about scales and arpeggios and other exciting forms of didactic violin pedagogy .</t>
  </si>
  <si>
    <t>file://conllu/en/teddy-953.conllu#s14_0</t>
  </si>
  <si>
    <t>15</t>
  </si>
  <si>
    <t>laughter</t>
  </si>
  <si>
    <t>( Laughter )</t>
  </si>
  <si>
    <t>file://conllu/en/teddy-953.conllu#s15_0</t>
  </si>
  <si>
    <t>16</t>
  </si>
  <si>
    <t>so?</t>
  </si>
  <si>
    <t>start</t>
  </si>
  <si>
    <t>So , I just started playing .</t>
  </si>
  <si>
    <t>file://conllu/en/teddy-953.conllu#s16_0</t>
  </si>
  <si>
    <t>17</t>
  </si>
  <si>
    <t>play</t>
  </si>
  <si>
    <t>And I played the first movement of the Beethoven Violin Concerto .</t>
  </si>
  <si>
    <t>file://conllu/en/teddy-953.conllu#s17_0</t>
  </si>
  <si>
    <t>18</t>
  </si>
  <si>
    <t>understand</t>
  </si>
  <si>
    <t>And as I played , I understood that there was a profound change occurring in Nathaniel 's eyes .</t>
  </si>
  <si>
    <t>file://conllu/en/teddy-953.conllu#s18_0</t>
  </si>
  <si>
    <t>19</t>
  </si>
  <si>
    <t>as?</t>
  </si>
  <si>
    <t>be</t>
  </si>
  <si>
    <t>It was as if he was in the grip of some invisible pharmaceutical , a chemical reaction , for which my playing the music was its catalyst .</t>
  </si>
  <si>
    <t>file://conllu/en/teddy-953.conllu#s19_0</t>
  </si>
  <si>
    <t>20</t>
  </si>
  <si>
    <t>transform</t>
  </si>
  <si>
    <t>And Nathaniel 's manic rage was transformed into understanding , a quiet curiosity and grace .</t>
  </si>
  <si>
    <t>file://conllu/en/teddy-953.conllu#s20_0</t>
  </si>
  <si>
    <t>21</t>
  </si>
  <si>
    <t>lift</t>
  </si>
  <si>
    <t>And in a miracle , he lifted his own violin and he started playing , by ear , certain snippets of violin concertos which he then asked me to complete Mendelssohn , Tchaikovsky , Sibelius .</t>
  </si>
  <si>
    <t>file://conllu/en/teddy-953.conllu#s21_0</t>
  </si>
  <si>
    <t>22</t>
  </si>
  <si>
    <t>And we started talking about music , from Bach to Beethoven and Brahms , Bruckner , all the B 's , from Bartók , all the way up to Esa-Pekka Salonen .</t>
  </si>
  <si>
    <t>file://conllu/en/teddy-953.conllu#s22_0</t>
  </si>
  <si>
    <t>23</t>
  </si>
  <si>
    <t>And I understood that he not only had an encyclopedic knowledge of music , but he related to this music at a personal level .</t>
  </si>
  <si>
    <t>file://conllu/en/teddy-953.conllu#s23_0</t>
  </si>
  <si>
    <t>24</t>
  </si>
  <si>
    <t>He spoke about it with the kind of passion and understanding that I share with my colleagues in the Los Angeles Philharmonic .</t>
  </si>
  <si>
    <t>file://conllu/en/teddy-953.conllu#s24_0</t>
  </si>
  <si>
    <t>25</t>
  </si>
  <si>
    <t>And through playing music and talking about music , this man had transformed from the paranoid , disturbed man that had just come from walking the streets of downtown Los Angeles to the charming , erudite , brilliant , Juilliard trained musician .</t>
  </si>
  <si>
    <t>file://conllu/en/teddy-953.conllu#s25_0</t>
  </si>
  <si>
    <t>26</t>
  </si>
  <si>
    <t>be (be medicine)</t>
  </si>
  <si>
    <t>Music is medicine .</t>
  </si>
  <si>
    <t>file://conllu/en/teddy-953.conllu#s26_0</t>
  </si>
  <si>
    <t>27</t>
  </si>
  <si>
    <t>we</t>
  </si>
  <si>
    <t>Music changes us .</t>
  </si>
  <si>
    <t>file://conllu/en/teddy-953.conllu#s27_0</t>
  </si>
  <si>
    <t>28</t>
  </si>
  <si>
    <t>be (be sanity)</t>
  </si>
  <si>
    <t>And for Nathaniel , music is sanity .</t>
  </si>
  <si>
    <t>file://conllu/en/teddy-953.conllu#s28_0</t>
  </si>
  <si>
    <t>29</t>
  </si>
  <si>
    <t>because?</t>
  </si>
  <si>
    <t>reality</t>
  </si>
  <si>
    <t>Because music allows him to take his thoughts and delusions and shape them through his imagination and his creativity , into reality .</t>
  </si>
  <si>
    <t>file://conllu/en/teddy-953.conllu#s29_0</t>
  </si>
  <si>
    <t>30</t>
  </si>
  <si>
    <t>be (be escape)</t>
  </si>
  <si>
    <t>And that is an escape from his tormented state .</t>
  </si>
  <si>
    <t>file://conllu/en/teddy-953.conllu#s30_0</t>
  </si>
  <si>
    <t>31</t>
  </si>
  <si>
    <t>And I understood that this was the very essence of art .</t>
  </si>
  <si>
    <t>file://conllu/en/teddy-953.conllu#s31_0</t>
  </si>
  <si>
    <t>32</t>
  </si>
  <si>
    <t>be (be reason)</t>
  </si>
  <si>
    <t>This was the very reason why we made music , that we take something that exists within all of us at our very fundamental core , our emotions , and through our artistic lens , through our creativity , we 're able to shape those emotions into reality .</t>
  </si>
  <si>
    <t>file://conllu/en/teddy-953.conllu#s32_0</t>
  </si>
  <si>
    <t>33</t>
  </si>
  <si>
    <t>reach</t>
  </si>
  <si>
    <t>And the reality of that expression reaches all of us and moves us , inspires and unites us .</t>
  </si>
  <si>
    <t>file://conllu/en/teddy-953.conllu#s33_0</t>
  </si>
  <si>
    <t>34</t>
  </si>
  <si>
    <t>bring</t>
  </si>
  <si>
    <t>And for Nathaniel , music brought him back into a fold of friends .</t>
  </si>
  <si>
    <t>file://conllu/en/teddy-953.conllu#s34_0</t>
  </si>
  <si>
    <t>35</t>
  </si>
  <si>
    <t>The redemptive power of music brought him back into a family of musicians that understood him , that recognized his talents and respected him .</t>
  </si>
  <si>
    <t>file://conllu/en/teddy-953.conllu#s35_0</t>
  </si>
  <si>
    <t>36</t>
  </si>
  <si>
    <t>make</t>
  </si>
  <si>
    <t>And I will always make music with Nathaniel , whether we 're at Walt Disney Concert Hall or on Skid Row , because he reminds me why I became a musician .</t>
  </si>
  <si>
    <t>file://conllu/en/teddy-953.conllu#s36_0</t>
  </si>
  <si>
    <t>37</t>
  </si>
  <si>
    <t>thank</t>
  </si>
  <si>
    <t>Thank you .</t>
  </si>
  <si>
    <t>file://conllu/en/teddy-953.conllu#s37_0</t>
  </si>
  <si>
    <t>38</t>
  </si>
  <si>
    <t>Applause</t>
  </si>
  <si>
    <t>( Applause ) Bruno Giussani :</t>
  </si>
  <si>
    <t>file://conllu/en/teddy-953.conllu#s38_0</t>
  </si>
  <si>
    <t>39</t>
  </si>
  <si>
    <t>file://conllu/en/teddy-953.conllu#s39_0</t>
  </si>
  <si>
    <t>40</t>
  </si>
  <si>
    <t>thanks</t>
  </si>
  <si>
    <t>Thanks .</t>
  </si>
  <si>
    <t>file://conllu/en/teddy-953.conllu#s40_0</t>
  </si>
  <si>
    <t>41</t>
  </si>
  <si>
    <t>Robert</t>
  </si>
  <si>
    <t>Robert Gupta .</t>
  </si>
  <si>
    <t>file://conllu/en/teddy-953.conllu#s41_0</t>
  </si>
  <si>
    <t>42</t>
  </si>
  <si>
    <t>Robert Gupta :</t>
  </si>
  <si>
    <t>file://conllu/en/teddy-953.conllu#s42_0</t>
  </si>
  <si>
    <t>43</t>
  </si>
  <si>
    <t>go</t>
  </si>
  <si>
    <t>I 'm going to play something that I shamelessly stole from cellists .</t>
  </si>
  <si>
    <t>file://conllu/en/teddy-953.conllu#s43_0</t>
  </si>
  <si>
    <t>44</t>
  </si>
  <si>
    <t>forgive</t>
  </si>
  <si>
    <t>So , please forgive me .</t>
  </si>
  <si>
    <t>file://conllu/en/teddy-953.conllu#s44_0</t>
  </si>
  <si>
    <t>45</t>
  </si>
  <si>
    <t>music</t>
  </si>
  <si>
    <t>( Music )</t>
  </si>
  <si>
    <t>file://conllu/en/teddy-953.conllu#s45_0</t>
  </si>
  <si>
    <t>WORD</t>
  </si>
  <si>
    <t>GR</t>
  </si>
  <si>
    <t>NP_TYPE</t>
  </si>
  <si>
    <t>REF_AUTO</t>
  </si>
  <si>
    <t>COREF</t>
  </si>
  <si>
    <t>REF</t>
  </si>
  <si>
    <t>IS</t>
  </si>
  <si>
    <t>CB</t>
  </si>
  <si>
    <t>GR_ANTE</t>
  </si>
  <si>
    <t>REF_DIST</t>
  </si>
  <si>
    <t>REF_DIST_ANTE</t>
  </si>
  <si>
    <t># text = One day, Los Angeles Times columnist Steve Lopez was walking along the streets of downtown Los Angeles when he heard beautiful music.</t>
  </si>
  <si>
    <t>One</t>
  </si>
  <si>
    <t>day</t>
  </si>
  <si>
    <t>other</t>
  </si>
  <si>
    <t>indef-np.quant</t>
  </si>
  <si>
    <t>,</t>
  </si>
  <si>
    <t>Los</t>
  </si>
  <si>
    <t>Angeles</t>
  </si>
  <si>
    <t>Times</t>
  </si>
  <si>
    <t>columnist</t>
  </si>
  <si>
    <t>Steve</t>
  </si>
  <si>
    <t>SBJ</t>
  </si>
  <si>
    <t>ne</t>
  </si>
  <si>
    <t>?OLD</t>
  </si>
  <si>
    <t>Lopez</t>
  </si>
  <si>
    <t>was</t>
  </si>
  <si>
    <t>walking</t>
  </si>
  <si>
    <t>along</t>
  </si>
  <si>
    <t>the</t>
  </si>
  <si>
    <t>streets</t>
  </si>
  <si>
    <t>def-np.the</t>
  </si>
  <si>
    <t>of</t>
  </si>
  <si>
    <t>downtown</t>
  </si>
  <si>
    <t>other_2</t>
  </si>
  <si>
    <t>indef-np.bare</t>
  </si>
  <si>
    <t>when</t>
  </si>
  <si>
    <t>he</t>
  </si>
  <si>
    <t>SBJ_2</t>
  </si>
  <si>
    <t>pron.pper</t>
  </si>
  <si>
    <t>heard</t>
  </si>
  <si>
    <t>beautiful</t>
  </si>
  <si>
    <t>OBJ_2</t>
  </si>
  <si>
    <t>.</t>
  </si>
  <si>
    <t># text = And the source was a man, an African-American man, charming, rugged, homeless, playing a violin that only had two strings.</t>
  </si>
  <si>
    <t>And</t>
  </si>
  <si>
    <t>source</t>
  </si>
  <si>
    <t>a</t>
  </si>
  <si>
    <t>man</t>
  </si>
  <si>
    <t>indef-np.a</t>
  </si>
  <si>
    <t>an</t>
  </si>
  <si>
    <t>African</t>
  </si>
  <si>
    <t>American</t>
  </si>
  <si>
    <t>charming</t>
  </si>
  <si>
    <t>rugged</t>
  </si>
  <si>
    <t>homeless</t>
  </si>
  <si>
    <t>playing</t>
  </si>
  <si>
    <t>violin</t>
  </si>
  <si>
    <t>that</t>
  </si>
  <si>
    <t>SBJ_4</t>
  </si>
  <si>
    <t>only</t>
  </si>
  <si>
    <t>had</t>
  </si>
  <si>
    <t>two</t>
  </si>
  <si>
    <t>strings</t>
  </si>
  <si>
    <t>OBJ_4</t>
  </si>
  <si>
    <t># text = And I'm telling a story that many of you know, because Steve's columns became the basis for a book, which was turned into a movie, with Robert Downey Jr. acting as Steve Lopez, and Jamie Foxx as Nathaniel Anthony Ayers, the Juilliard-trained double bassist whose promising career was cut short by a tragic affliction with paranoid schizophrenia.</t>
  </si>
  <si>
    <t>I</t>
  </si>
  <si>
    <t>'m</t>
  </si>
  <si>
    <t>telling</t>
  </si>
  <si>
    <t>story</t>
  </si>
  <si>
    <t>OBJ</t>
  </si>
  <si>
    <t>many</t>
  </si>
  <si>
    <t>SBJ_3</t>
  </si>
  <si>
    <t>def-np.poss</t>
  </si>
  <si>
    <t>you</t>
  </si>
  <si>
    <t>other_4</t>
  </si>
  <si>
    <t>know</t>
  </si>
  <si>
    <t>because</t>
  </si>
  <si>
    <t>other_5</t>
  </si>
  <si>
    <t>'s</t>
  </si>
  <si>
    <t>columns</t>
  </si>
  <si>
    <t>became</t>
  </si>
  <si>
    <t>basis</t>
  </si>
  <si>
    <t>for</t>
  </si>
  <si>
    <t>book</t>
  </si>
  <si>
    <t>which</t>
  </si>
  <si>
    <t>SBJ_7</t>
  </si>
  <si>
    <t>turned</t>
  </si>
  <si>
    <t>into</t>
  </si>
  <si>
    <t>movie</t>
  </si>
  <si>
    <t>other_7</t>
  </si>
  <si>
    <t>with</t>
  </si>
  <si>
    <t>Downey</t>
  </si>
  <si>
    <t>Jr.</t>
  </si>
  <si>
    <t>acting</t>
  </si>
  <si>
    <t>as</t>
  </si>
  <si>
    <t>and</t>
  </si>
  <si>
    <t>Jamie</t>
  </si>
  <si>
    <t>Foxx</t>
  </si>
  <si>
    <t>Nathaniel</t>
  </si>
  <si>
    <t>Anthony</t>
  </si>
  <si>
    <t>Ayers</t>
  </si>
  <si>
    <t>Juilliard</t>
  </si>
  <si>
    <t>trained</t>
  </si>
  <si>
    <t>double</t>
  </si>
  <si>
    <t>bassist</t>
  </si>
  <si>
    <t>whose</t>
  </si>
  <si>
    <t>pron.pint</t>
  </si>
  <si>
    <t>promising</t>
  </si>
  <si>
    <t>career</t>
  </si>
  <si>
    <t>cut</t>
  </si>
  <si>
    <t>short</t>
  </si>
  <si>
    <t>by</t>
  </si>
  <si>
    <t>tragic</t>
  </si>
  <si>
    <t>affliction</t>
  </si>
  <si>
    <t>paranoid</t>
  </si>
  <si>
    <t>schizophrenia</t>
  </si>
  <si>
    <t># text = Nathaniel dropped out of Juilliard, he suffered a complete breakdown, and 30 years later he was living homeless on the streets of Skid Row in downtown Los Angeles.</t>
  </si>
  <si>
    <t>dropped</t>
  </si>
  <si>
    <t>out</t>
  </si>
  <si>
    <t>suffered</t>
  </si>
  <si>
    <t>complete</t>
  </si>
  <si>
    <t>breakdown</t>
  </si>
  <si>
    <t>years</t>
  </si>
  <si>
    <t>later</t>
  </si>
  <si>
    <t>living</t>
  </si>
  <si>
    <t>on</t>
  </si>
  <si>
    <t>Skid</t>
  </si>
  <si>
    <t>Row</t>
  </si>
  <si>
    <t>in</t>
  </si>
  <si>
    <t># text = I encourage all of you to read Steve's book or to watch the movie to understand not only the beautiful bond that formed between these two men, but how music helped shape that bond, and ultimately was instrumental -- if you'll pardon the pun -- in helping Nathaniel get off the streets.</t>
  </si>
  <si>
    <t>all</t>
  </si>
  <si>
    <t>to</t>
  </si>
  <si>
    <t>read</t>
  </si>
  <si>
    <t>other_3</t>
  </si>
  <si>
    <t>or</t>
  </si>
  <si>
    <t>watch</t>
  </si>
  <si>
    <t>OBJ_3</t>
  </si>
  <si>
    <t>not</t>
  </si>
  <si>
    <t>bond</t>
  </si>
  <si>
    <t>SBJ_6</t>
  </si>
  <si>
    <t>formed</t>
  </si>
  <si>
    <t>between</t>
  </si>
  <si>
    <t>these</t>
  </si>
  <si>
    <t>men</t>
  </si>
  <si>
    <t>other_6</t>
  </si>
  <si>
    <t>def-np.dem</t>
  </si>
  <si>
    <t>but</t>
  </si>
  <si>
    <t>how</t>
  </si>
  <si>
    <t>helped</t>
  </si>
  <si>
    <t>shape</t>
  </si>
  <si>
    <t>ultimately</t>
  </si>
  <si>
    <t>instrumental</t>
  </si>
  <si>
    <t>if</t>
  </si>
  <si>
    <t>'ll</t>
  </si>
  <si>
    <t>pardon</t>
  </si>
  <si>
    <t>pun</t>
  </si>
  <si>
    <t>helping</t>
  </si>
  <si>
    <t>off</t>
  </si>
  <si>
    <t># text = I met Mr. Ayers in 2008, two years ago, at Walt Disney Concert Hall.</t>
  </si>
  <si>
    <t>met</t>
  </si>
  <si>
    <t>Mr.</t>
  </si>
  <si>
    <t>2008</t>
  </si>
  <si>
    <t>ago</t>
  </si>
  <si>
    <t>at</t>
  </si>
  <si>
    <t>Walt</t>
  </si>
  <si>
    <t>Disney</t>
  </si>
  <si>
    <t>Concert</t>
  </si>
  <si>
    <t>Hall</t>
  </si>
  <si>
    <t># text = He had just heard a performance of Beethoven's First and Fourth symphonies, and came backstage and introduced himself.</t>
  </si>
  <si>
    <t>He</t>
  </si>
  <si>
    <t>just</t>
  </si>
  <si>
    <t>performance</t>
  </si>
  <si>
    <t>Beethoven</t>
  </si>
  <si>
    <t>First</t>
  </si>
  <si>
    <t>Fourth</t>
  </si>
  <si>
    <t>symphonies</t>
  </si>
  <si>
    <t>came</t>
  </si>
  <si>
    <t>backstage</t>
  </si>
  <si>
    <t>introduced</t>
  </si>
  <si>
    <t>himself</t>
  </si>
  <si>
    <t># text = He was speaking in a very jovial and gregarious way about Yo-Yo Ma and Hillary Clinton and how the Dodgers were never going to make the World Series, all because of the treacherous first violin passage work in the last movement of Beethoven's Fourth Symphony.</t>
  </si>
  <si>
    <t>speaking</t>
  </si>
  <si>
    <t>very</t>
  </si>
  <si>
    <t>jovial</t>
  </si>
  <si>
    <t>gregarious</t>
  </si>
  <si>
    <t>way</t>
  </si>
  <si>
    <t>about</t>
  </si>
  <si>
    <t>Yo</t>
  </si>
  <si>
    <t>pron.ppos</t>
  </si>
  <si>
    <t>Ma</t>
  </si>
  <si>
    <t>Hillary</t>
  </si>
  <si>
    <t>Clinton</t>
  </si>
  <si>
    <t>Dodgers</t>
  </si>
  <si>
    <t>were</t>
  </si>
  <si>
    <t>never</t>
  </si>
  <si>
    <t>going</t>
  </si>
  <si>
    <t>World</t>
  </si>
  <si>
    <t>Series</t>
  </si>
  <si>
    <t>treacherous</t>
  </si>
  <si>
    <t>first</t>
  </si>
  <si>
    <t>passage</t>
  </si>
  <si>
    <t>work</t>
  </si>
  <si>
    <t>last</t>
  </si>
  <si>
    <t>movement</t>
  </si>
  <si>
    <t>Symphony</t>
  </si>
  <si>
    <t># text = And we got talking about music, and I got an email from Steve a few days later saying that Nathaniel was interested in a violin lesson with me.</t>
  </si>
  <si>
    <t>got</t>
  </si>
  <si>
    <t>talking</t>
  </si>
  <si>
    <t>email</t>
  </si>
  <si>
    <t>from</t>
  </si>
  <si>
    <t>few</t>
  </si>
  <si>
    <t>days</t>
  </si>
  <si>
    <t>saying</t>
  </si>
  <si>
    <t>interested</t>
  </si>
  <si>
    <t>lesson</t>
  </si>
  <si>
    <t>me</t>
  </si>
  <si>
    <t># text = Now, I should mention that Nathaniel refuses treatment because when he was treated it was with shock therapy and Thorazine and handcuffs, and that scar has stayed with him for his entire life.</t>
  </si>
  <si>
    <t>Now</t>
  </si>
  <si>
    <t>should</t>
  </si>
  <si>
    <t>refuses</t>
  </si>
  <si>
    <t>treatment</t>
  </si>
  <si>
    <t>treated</t>
  </si>
  <si>
    <t>it</t>
  </si>
  <si>
    <t>shock</t>
  </si>
  <si>
    <t>therapy</t>
  </si>
  <si>
    <t>Thorazine</t>
  </si>
  <si>
    <t>handcuffs</t>
  </si>
  <si>
    <t>scar</t>
  </si>
  <si>
    <t>SBJ_5</t>
  </si>
  <si>
    <t>has</t>
  </si>
  <si>
    <t>stayed</t>
  </si>
  <si>
    <t>him</t>
  </si>
  <si>
    <t>his</t>
  </si>
  <si>
    <t>entire</t>
  </si>
  <si>
    <t>life</t>
  </si>
  <si>
    <t># text = But as a result now, he is prone to these schizophrenic episodes, the worst of which can manifest themselves as him exploding and then disappearing for days, wandering the streets of Skid Row, exposed to its horrors, with the torment of his own mind unleashed upon him.</t>
  </si>
  <si>
    <t>But</t>
  </si>
  <si>
    <t>result</t>
  </si>
  <si>
    <t>now</t>
  </si>
  <si>
    <t>is</t>
  </si>
  <si>
    <t>prone</t>
  </si>
  <si>
    <t>schizophrenic</t>
  </si>
  <si>
    <t>episodes</t>
  </si>
  <si>
    <t>worst</t>
  </si>
  <si>
    <t>can</t>
  </si>
  <si>
    <t>manifest</t>
  </si>
  <si>
    <t>themselves</t>
  </si>
  <si>
    <t>exploding</t>
  </si>
  <si>
    <t>then</t>
  </si>
  <si>
    <t>disappearing</t>
  </si>
  <si>
    <t>wandering</t>
  </si>
  <si>
    <t>OBJ_5</t>
  </si>
  <si>
    <t>exposed</t>
  </si>
  <si>
    <t>its</t>
  </si>
  <si>
    <t>horrors</t>
  </si>
  <si>
    <t>torment</t>
  </si>
  <si>
    <t>own</t>
  </si>
  <si>
    <t>mind</t>
  </si>
  <si>
    <t>unleashed</t>
  </si>
  <si>
    <t>upon</t>
  </si>
  <si>
    <t># text = And Nathaniel was in such a state of agitation when we started our first lesson at Walt Disney Concert Hall -- he had a kind of manic glint in his eyes, he was lost.</t>
  </si>
  <si>
    <t>such</t>
  </si>
  <si>
    <t>state</t>
  </si>
  <si>
    <t>pron.pds</t>
  </si>
  <si>
    <t>agitation</t>
  </si>
  <si>
    <t>started</t>
  </si>
  <si>
    <t>our</t>
  </si>
  <si>
    <t>kind</t>
  </si>
  <si>
    <t>manic</t>
  </si>
  <si>
    <t>glint</t>
  </si>
  <si>
    <t>eyes</t>
  </si>
  <si>
    <t>lost</t>
  </si>
  <si>
    <t># text = And he was talking about invisible demons and smoke, and how someone was poisoning him in his sleep.</t>
  </si>
  <si>
    <t>invisible</t>
  </si>
  <si>
    <t>demons</t>
  </si>
  <si>
    <t>smoke</t>
  </si>
  <si>
    <t>someone</t>
  </si>
  <si>
    <t>pron.pind</t>
  </si>
  <si>
    <t>poisoning</t>
  </si>
  <si>
    <t>sleep</t>
  </si>
  <si>
    <t># text = And I was afraid, not for myself, but I was afraid that I was going to lose him, that he was going to sink into one of his states, and that I would ruin his relationship with the violin if I started talking about scales and arpeggios and other exciting forms of didactic violin pedagogy.</t>
  </si>
  <si>
    <t>afraid</t>
  </si>
  <si>
    <t>myself</t>
  </si>
  <si>
    <t>lose</t>
  </si>
  <si>
    <t>sink</t>
  </si>
  <si>
    <t>one</t>
  </si>
  <si>
    <t>states</t>
  </si>
  <si>
    <t>would</t>
  </si>
  <si>
    <t>ruin</t>
  </si>
  <si>
    <t>relationship</t>
  </si>
  <si>
    <t>scales</t>
  </si>
  <si>
    <t>arpeggios</t>
  </si>
  <si>
    <t>other_8</t>
  </si>
  <si>
    <t>exciting</t>
  </si>
  <si>
    <t>forms</t>
  </si>
  <si>
    <t>didactic</t>
  </si>
  <si>
    <t>pedagogy</t>
  </si>
  <si>
    <t>other_9</t>
  </si>
  <si>
    <t># text = (Laughter)</t>
  </si>
  <si>
    <t>(</t>
  </si>
  <si>
    <t>Laughter</t>
  </si>
  <si>
    <t>)</t>
  </si>
  <si>
    <t># text = So, I just started playing.</t>
  </si>
  <si>
    <t>So</t>
  </si>
  <si>
    <t># text = And I played the first movement of the Beethoven Violin Concerto.</t>
  </si>
  <si>
    <t>played</t>
  </si>
  <si>
    <t>Violin</t>
  </si>
  <si>
    <t>Concerto</t>
  </si>
  <si>
    <t># text = And as I played, I understood that there was a profound change occurring in Nathaniel's eyes.</t>
  </si>
  <si>
    <t>understood</t>
  </si>
  <si>
    <t>there</t>
  </si>
  <si>
    <t>profound</t>
  </si>
  <si>
    <t>change</t>
  </si>
  <si>
    <t>occurring</t>
  </si>
  <si>
    <t># text = It was as if he was in the grip of some invisible pharmaceutical, a chemical reaction, for which my playing the music was its catalyst.</t>
  </si>
  <si>
    <t>It</t>
  </si>
  <si>
    <t>grip</t>
  </si>
  <si>
    <t>some</t>
  </si>
  <si>
    <t>pharmaceutical</t>
  </si>
  <si>
    <t>chemical</t>
  </si>
  <si>
    <t>reaction</t>
  </si>
  <si>
    <t>my</t>
  </si>
  <si>
    <t>catalyst</t>
  </si>
  <si>
    <t># text = And Nathaniel's manic rage was transformed into understanding, a quiet curiosity and grace.</t>
  </si>
  <si>
    <t>rage</t>
  </si>
  <si>
    <t>transformed</t>
  </si>
  <si>
    <t>understanding</t>
  </si>
  <si>
    <t>quiet</t>
  </si>
  <si>
    <t>curiosity</t>
  </si>
  <si>
    <t>grace</t>
  </si>
  <si>
    <t># text = And in a miracle, he lifted his own violin and he started playing, by ear, certain snippets of violin concertos which he then asked me to complete -- Mendelssohn, Tchaikovsky, Sibelius.</t>
  </si>
  <si>
    <t>miracle</t>
  </si>
  <si>
    <t>lifted</t>
  </si>
  <si>
    <t>ear</t>
  </si>
  <si>
    <t>certain</t>
  </si>
  <si>
    <t>snippets</t>
  </si>
  <si>
    <t>concertos</t>
  </si>
  <si>
    <t>OBJ_6</t>
  </si>
  <si>
    <t>asked</t>
  </si>
  <si>
    <t>Mendelssohn</t>
  </si>
  <si>
    <t>OBJ_7</t>
  </si>
  <si>
    <t>Tchaikovsky</t>
  </si>
  <si>
    <t>Sibelius</t>
  </si>
  <si>
    <t># text = And we started talking about music, from Bach to Beethoven and Brahms, Bruckner, all the B's, from Bartók, all the way up to Esa-Pekka Salonen.</t>
  </si>
  <si>
    <t>Bach</t>
  </si>
  <si>
    <t>Brahms</t>
  </si>
  <si>
    <t>Bruckner</t>
  </si>
  <si>
    <t>B</t>
  </si>
  <si>
    <t>Bartók</t>
  </si>
  <si>
    <t>up</t>
  </si>
  <si>
    <t>Esa-Pekka</t>
  </si>
  <si>
    <t>Salonen</t>
  </si>
  <si>
    <t># text = And I understood that he not only had an encyclopedic knowledge of music, but he related to this music at a personal level.</t>
  </si>
  <si>
    <t>encyclopedic</t>
  </si>
  <si>
    <t>knowledge</t>
  </si>
  <si>
    <t>related</t>
  </si>
  <si>
    <t>this</t>
  </si>
  <si>
    <t>personal</t>
  </si>
  <si>
    <t>level</t>
  </si>
  <si>
    <t># text = He spoke about it with the kind of passion and understanding that I share with my colleagues in the Los Angeles Philharmonic.</t>
  </si>
  <si>
    <t>spoke</t>
  </si>
  <si>
    <t>passion</t>
  </si>
  <si>
    <t>share</t>
  </si>
  <si>
    <t>colleagues</t>
  </si>
  <si>
    <t>Philharmonic</t>
  </si>
  <si>
    <t># text = And through playing music and talking about music, this man had transformed from the paranoid, disturbed man that had just come from walking the streets of downtown Los Angeles to the charming, erudite, brilliant, Juilliard-trained musician.</t>
  </si>
  <si>
    <t>through</t>
  </si>
  <si>
    <t>disturbed</t>
  </si>
  <si>
    <t>come</t>
  </si>
  <si>
    <t>erudite</t>
  </si>
  <si>
    <t>brilliant</t>
  </si>
  <si>
    <t>musician</t>
  </si>
  <si>
    <t># text = Music is medicine.</t>
  </si>
  <si>
    <t>Music</t>
  </si>
  <si>
    <t>medicine</t>
  </si>
  <si>
    <t># text = Music changes us.</t>
  </si>
  <si>
    <t>changes</t>
  </si>
  <si>
    <t>us</t>
  </si>
  <si>
    <t># text = And for Nathaniel, music is sanity.</t>
  </si>
  <si>
    <t>sanity</t>
  </si>
  <si>
    <t># text = Because music allows him to take his thoughts and delusions and shape them through his imagination and his creativity, into reality.</t>
  </si>
  <si>
    <t>Because</t>
  </si>
  <si>
    <t>allows</t>
  </si>
  <si>
    <t>take</t>
  </si>
  <si>
    <t>thoughts</t>
  </si>
  <si>
    <t>delusions</t>
  </si>
  <si>
    <t>them</t>
  </si>
  <si>
    <t>imagination</t>
  </si>
  <si>
    <t>creativity</t>
  </si>
  <si>
    <t># text = And that is an escape from his tormented state.</t>
  </si>
  <si>
    <t>escape</t>
  </si>
  <si>
    <t>tormented</t>
  </si>
  <si>
    <t># text = And I understood that this was the very essence of art.</t>
  </si>
  <si>
    <t>essence</t>
  </si>
  <si>
    <t>art</t>
  </si>
  <si>
    <t># text = This was the very reason why we made music, that we take something that exists within all of us at our very fundamental core, our emotions, and through our artistic lens, through our creativity, we're able to shape those emotions into reality.</t>
  </si>
  <si>
    <t>This</t>
  </si>
  <si>
    <t>reason</t>
  </si>
  <si>
    <t>why</t>
  </si>
  <si>
    <t>made</t>
  </si>
  <si>
    <t>something</t>
  </si>
  <si>
    <t>pron</t>
  </si>
  <si>
    <t>exists</t>
  </si>
  <si>
    <t>within</t>
  </si>
  <si>
    <t>fundamental</t>
  </si>
  <si>
    <t>core</t>
  </si>
  <si>
    <t>emotions</t>
  </si>
  <si>
    <t>artistic</t>
  </si>
  <si>
    <t>lens</t>
  </si>
  <si>
    <t>'re</t>
  </si>
  <si>
    <t>able</t>
  </si>
  <si>
    <t>those</t>
  </si>
  <si>
    <t># text = And the reality of that expression reaches all of us and moves us, inspires and unites us.</t>
  </si>
  <si>
    <t>expression</t>
  </si>
  <si>
    <t>reaches</t>
  </si>
  <si>
    <t>moves</t>
  </si>
  <si>
    <t>inspires</t>
  </si>
  <si>
    <t>unites</t>
  </si>
  <si>
    <t># text = And for Nathaniel, music brought him back into a fold of friends.</t>
  </si>
  <si>
    <t>brought</t>
  </si>
  <si>
    <t>back</t>
  </si>
  <si>
    <t>fold</t>
  </si>
  <si>
    <t>friends</t>
  </si>
  <si>
    <t># text = The redemptive power of music brought him back into a family of musicians that understood him, that recognized his talents and respected him.</t>
  </si>
  <si>
    <t>The</t>
  </si>
  <si>
    <t>redemptive</t>
  </si>
  <si>
    <t>power</t>
  </si>
  <si>
    <t>family</t>
  </si>
  <si>
    <t>musicians</t>
  </si>
  <si>
    <t>recognized</t>
  </si>
  <si>
    <t>talents</t>
  </si>
  <si>
    <t>respected</t>
  </si>
  <si>
    <t># text = And I will always make music with Nathaniel, whether we're at Walt Disney Concert Hall or on Skid Row, because he reminds me why I became a musician.</t>
  </si>
  <si>
    <t>will</t>
  </si>
  <si>
    <t>always</t>
  </si>
  <si>
    <t>whether</t>
  </si>
  <si>
    <t>reminds</t>
  </si>
  <si>
    <t># text = Thank you.</t>
  </si>
  <si>
    <t>Thank</t>
  </si>
  <si>
    <t># text = (Applause) Bruno Giussani:</t>
  </si>
  <si>
    <t>Bruno</t>
  </si>
  <si>
    <t>Giussani</t>
  </si>
  <si>
    <t>:</t>
  </si>
  <si>
    <t># text = Thanks.</t>
  </si>
  <si>
    <t>Thanks</t>
  </si>
  <si>
    <t># text = Robert Gupta.</t>
  </si>
  <si>
    <t>Gupta</t>
  </si>
  <si>
    <t># text = Robert Gupta:</t>
  </si>
  <si>
    <t># text = I'm going to play something that I shamelessly stole from cellists.</t>
  </si>
  <si>
    <t>shamelessly</t>
  </si>
  <si>
    <t>stole</t>
  </si>
  <si>
    <t>cellists</t>
  </si>
  <si>
    <t># text = So, please forgive me.</t>
  </si>
  <si>
    <t>please</t>
  </si>
  <si>
    <t># text = (Music)</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</si>
</sst>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46"/>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16</v>
      </c>
      <c r="I2" s="11" t="s">
        <v>16</v>
      </c>
      <c r="J2" s="12"/>
    </row>
    <row r="3" spans="1:10" ht="60" customHeight="1">
      <c r="A3" s="6" t="s">
        <v>17</v>
      </c>
      <c r="B3" s="6" t="s">
        <v>18</v>
      </c>
      <c r="C3" s="6" t="s">
        <v>19</v>
      </c>
      <c r="D3" s="7" t="s">
        <v>20</v>
      </c>
      <c r="E3" s="8" t="s">
        <v>21</v>
      </c>
      <c r="F3" s="6" t="s">
        <v>22</v>
      </c>
      <c r="G3" s="9">
        <f>IF(A3=1,"_",IF(C3="_","???",C3))</f>
        <v/>
      </c>
      <c r="H3" s="10" t="s">
        <v>16</v>
      </c>
      <c r="I3" s="11" t="s">
        <v>16</v>
      </c>
      <c r="J3" s="12"/>
    </row>
    <row r="4" spans="1:10" ht="60" customHeight="1">
      <c r="A4" s="6" t="s">
        <v>23</v>
      </c>
      <c r="B4" s="6" t="s">
        <v>18</v>
      </c>
      <c r="C4" s="6" t="s">
        <v>19</v>
      </c>
      <c r="D4" s="7" t="s">
        <v>24</v>
      </c>
      <c r="E4" s="8" t="s">
        <v>25</v>
      </c>
      <c r="F4" s="6" t="s">
        <v>26</v>
      </c>
      <c r="G4" s="9">
        <f>IF(A4=1,"_",IF(C4="_","???",C4))</f>
        <v/>
      </c>
      <c r="H4" s="10" t="s">
        <v>16</v>
      </c>
      <c r="I4" s="11" t="s">
        <v>16</v>
      </c>
      <c r="J4" s="12"/>
    </row>
    <row r="5" spans="1:10" ht="60" customHeight="1">
      <c r="A5" s="6" t="s">
        <v>18</v>
      </c>
      <c r="B5" s="6" t="s">
        <v>17</v>
      </c>
      <c r="C5" s="6" t="s">
        <v>16</v>
      </c>
      <c r="D5" s="7" t="s">
        <v>27</v>
      </c>
      <c r="E5" s="8" t="s">
        <v>28</v>
      </c>
      <c r="F5" s="6" t="s">
        <v>29</v>
      </c>
      <c r="G5" s="9">
        <f>IF(A5=1,"_",IF(C5="_","???",C5))</f>
        <v/>
      </c>
      <c r="H5" s="10" t="s">
        <v>16</v>
      </c>
      <c r="I5" s="11" t="s">
        <v>16</v>
      </c>
      <c r="J5" s="12"/>
    </row>
    <row r="6" spans="1:10" ht="60" customHeight="1">
      <c r="A6" s="6" t="s">
        <v>30</v>
      </c>
      <c r="B6" s="6" t="s">
        <v>17</v>
      </c>
      <c r="C6" s="6" t="s">
        <v>31</v>
      </c>
      <c r="D6" s="7" t="s">
        <v>32</v>
      </c>
      <c r="E6" s="8" t="s">
        <v>33</v>
      </c>
      <c r="F6" s="6" t="s">
        <v>34</v>
      </c>
      <c r="G6" s="9">
        <f>IF(A6=1,"_",IF(C6="_","???",C6))</f>
        <v/>
      </c>
      <c r="H6" s="10" t="s">
        <v>16</v>
      </c>
      <c r="I6" s="11" t="s">
        <v>16</v>
      </c>
      <c r="J6" s="12"/>
    </row>
    <row r="7" spans="1:10" ht="60" customHeight="1">
      <c r="A7" s="6" t="s">
        <v>35</v>
      </c>
      <c r="B7" s="6" t="s">
        <v>17</v>
      </c>
      <c r="C7" s="6" t="s">
        <v>16</v>
      </c>
      <c r="D7" s="7" t="s">
        <v>36</v>
      </c>
      <c r="E7" s="8" t="s">
        <v>37</v>
      </c>
      <c r="F7" s="6" t="s">
        <v>38</v>
      </c>
      <c r="G7" s="9">
        <f>IF(A7=1,"_",IF(C7="_","???",C7))</f>
        <v/>
      </c>
      <c r="H7" s="10" t="s">
        <v>16</v>
      </c>
      <c r="I7" s="11" t="s">
        <v>16</v>
      </c>
      <c r="J7" s="12"/>
    </row>
    <row r="8" spans="1:10" ht="60" customHeight="1">
      <c r="A8" s="6" t="s">
        <v>39</v>
      </c>
      <c r="B8" s="6" t="s">
        <v>18</v>
      </c>
      <c r="C8" s="6" t="s">
        <v>19</v>
      </c>
      <c r="D8" s="7" t="s">
        <v>40</v>
      </c>
      <c r="E8" s="8" t="s">
        <v>41</v>
      </c>
      <c r="F8" s="6" t="s">
        <v>42</v>
      </c>
      <c r="G8" s="9">
        <f>IF(A8=1,"_",IF(C8="_","???",C8))</f>
        <v/>
      </c>
      <c r="H8" s="10" t="s">
        <v>16</v>
      </c>
      <c r="I8" s="11" t="s">
        <v>16</v>
      </c>
      <c r="J8" s="12"/>
    </row>
    <row r="9" spans="1:10" ht="60" customHeight="1">
      <c r="A9" s="6" t="s">
        <v>43</v>
      </c>
      <c r="B9" s="6" t="s">
        <v>23</v>
      </c>
      <c r="C9" s="6" t="s">
        <v>16</v>
      </c>
      <c r="D9" s="7" t="s">
        <v>44</v>
      </c>
      <c r="E9" s="8" t="s">
        <v>45</v>
      </c>
      <c r="F9" s="6" t="s">
        <v>46</v>
      </c>
      <c r="G9" s="9">
        <f>IF(A9=1,"_",IF(C9="_","???",C9))</f>
        <v/>
      </c>
      <c r="H9" s="10" t="s">
        <v>16</v>
      </c>
      <c r="I9" s="11" t="s">
        <v>16</v>
      </c>
      <c r="J9" s="12"/>
    </row>
    <row r="10" spans="1:10" ht="60" customHeight="1">
      <c r="A10" s="6" t="s">
        <v>47</v>
      </c>
      <c r="B10" s="6" t="s">
        <v>23</v>
      </c>
      <c r="C10" s="6" t="s">
        <v>48</v>
      </c>
      <c r="D10" s="7" t="s">
        <v>49</v>
      </c>
      <c r="E10" s="8" t="s">
        <v>50</v>
      </c>
      <c r="F10" s="6" t="s">
        <v>51</v>
      </c>
      <c r="G10" s="9">
        <f>IF(A10=1,"_",IF(C10="_","???",C10))</f>
        <v/>
      </c>
      <c r="H10" s="10" t="s">
        <v>16</v>
      </c>
      <c r="I10" s="11" t="s">
        <v>16</v>
      </c>
      <c r="J10" s="12"/>
    </row>
    <row r="11" spans="1:10" ht="60" customHeight="1">
      <c r="A11" s="6" t="s">
        <v>52</v>
      </c>
      <c r="B11" s="6" t="s">
        <v>30</v>
      </c>
      <c r="C11" s="6" t="s">
        <v>16</v>
      </c>
      <c r="D11" s="7" t="s">
        <v>53</v>
      </c>
      <c r="E11" s="8" t="s">
        <v>54</v>
      </c>
      <c r="F11" s="6" t="s">
        <v>55</v>
      </c>
      <c r="G11" s="9">
        <f>IF(A11=1,"_",IF(C11="_","???",C11))</f>
        <v/>
      </c>
      <c r="H11" s="10" t="s">
        <v>16</v>
      </c>
      <c r="I11" s="11" t="s">
        <v>16</v>
      </c>
      <c r="J11" s="12"/>
    </row>
    <row r="12" spans="1:10" ht="60" customHeight="1">
      <c r="A12" s="6" t="s">
        <v>11</v>
      </c>
      <c r="B12" s="6" t="s">
        <v>47</v>
      </c>
      <c r="C12" s="6" t="s">
        <v>56</v>
      </c>
      <c r="D12" s="7" t="s">
        <v>57</v>
      </c>
      <c r="E12" s="8" t="s">
        <v>58</v>
      </c>
      <c r="F12" s="6" t="s">
        <v>59</v>
      </c>
      <c r="G12" s="9">
        <f>IF(A12=1,"_",IF(C12="_","???",C12))</f>
        <v/>
      </c>
      <c r="H12" s="10" t="s">
        <v>16</v>
      </c>
      <c r="I12" s="11" t="s">
        <v>16</v>
      </c>
      <c r="J12" s="12"/>
    </row>
    <row r="13" spans="1:10" ht="60" customHeight="1">
      <c r="A13" s="6" t="s">
        <v>60</v>
      </c>
      <c r="B13" s="6" t="s">
        <v>23</v>
      </c>
      <c r="C13" s="6" t="s">
        <v>12</v>
      </c>
      <c r="D13" s="7" t="s">
        <v>61</v>
      </c>
      <c r="E13" s="8" t="s">
        <v>62</v>
      </c>
      <c r="F13" s="6" t="s">
        <v>63</v>
      </c>
      <c r="G13" s="9">
        <f>IF(A13=1,"_",IF(C13="_","???",C13))</f>
        <v/>
      </c>
      <c r="H13" s="10" t="s">
        <v>16</v>
      </c>
      <c r="I13" s="11" t="s">
        <v>16</v>
      </c>
      <c r="J13" s="12"/>
    </row>
    <row r="14" spans="1:10" ht="60" customHeight="1">
      <c r="A14" s="6" t="s">
        <v>64</v>
      </c>
      <c r="B14" s="6" t="s">
        <v>18</v>
      </c>
      <c r="C14" s="6" t="s">
        <v>19</v>
      </c>
      <c r="D14" s="7" t="s">
        <v>65</v>
      </c>
      <c r="E14" s="8" t="s">
        <v>66</v>
      </c>
      <c r="F14" s="6" t="s">
        <v>67</v>
      </c>
      <c r="G14" s="9">
        <f>IF(A14=1,"_",IF(C14="_","???",C14))</f>
        <v/>
      </c>
      <c r="H14" s="10" t="s">
        <v>16</v>
      </c>
      <c r="I14" s="11" t="s">
        <v>16</v>
      </c>
      <c r="J14" s="12"/>
    </row>
    <row r="15" spans="1:10" ht="60" customHeight="1">
      <c r="A15" s="6" t="s">
        <v>68</v>
      </c>
      <c r="B15" s="6" t="s">
        <v>23</v>
      </c>
      <c r="C15" s="6" t="s">
        <v>69</v>
      </c>
      <c r="D15" s="7" t="s">
        <v>70</v>
      </c>
      <c r="E15" s="8" t="s">
        <v>71</v>
      </c>
      <c r="F15" s="6" t="s">
        <v>72</v>
      </c>
      <c r="G15" s="9">
        <f>IF(A15=1,"_",IF(C15="_","???",C15))</f>
        <v/>
      </c>
      <c r="H15" s="10" t="s">
        <v>16</v>
      </c>
      <c r="I15" s="11" t="s">
        <v>16</v>
      </c>
      <c r="J15" s="12"/>
    </row>
    <row r="16" spans="1:10" ht="60" customHeight="1">
      <c r="A16" s="6" t="s">
        <v>73</v>
      </c>
      <c r="B16" s="6" t="s">
        <v>17</v>
      </c>
      <c r="C16" s="6" t="s">
        <v>16</v>
      </c>
      <c r="D16" s="7" t="s">
        <v>74</v>
      </c>
      <c r="E16" s="8" t="s">
        <v>75</v>
      </c>
      <c r="F16" s="6" t="s">
        <v>76</v>
      </c>
      <c r="G16" s="9">
        <f>IF(A16=1,"_",IF(C16="_","???",C16))</f>
        <v/>
      </c>
      <c r="H16" s="10" t="s">
        <v>16</v>
      </c>
      <c r="I16" s="11" t="s">
        <v>16</v>
      </c>
      <c r="J16" s="12"/>
    </row>
    <row r="17" spans="1:10" ht="60" customHeight="1">
      <c r="A17" s="6" t="s">
        <v>77</v>
      </c>
      <c r="B17" s="6" t="s">
        <v>30</v>
      </c>
      <c r="C17" s="6" t="s">
        <v>78</v>
      </c>
      <c r="D17" s="7" t="s">
        <v>79</v>
      </c>
      <c r="E17" s="8" t="s">
        <v>80</v>
      </c>
      <c r="F17" s="6" t="s">
        <v>81</v>
      </c>
      <c r="G17" s="9">
        <f>IF(A17=1,"_",IF(C17="_","???",C17))</f>
        <v/>
      </c>
      <c r="H17" s="10" t="s">
        <v>16</v>
      </c>
      <c r="I17" s="11" t="s">
        <v>16</v>
      </c>
      <c r="J17" s="12"/>
    </row>
    <row r="18" spans="1:10" ht="60" customHeight="1">
      <c r="A18" s="6" t="s">
        <v>82</v>
      </c>
      <c r="B18" s="6" t="s">
        <v>23</v>
      </c>
      <c r="C18" s="6" t="s">
        <v>19</v>
      </c>
      <c r="D18" s="7" t="s">
        <v>83</v>
      </c>
      <c r="E18" s="8" t="s">
        <v>84</v>
      </c>
      <c r="F18" s="6" t="s">
        <v>85</v>
      </c>
      <c r="G18" s="9">
        <f>IF(A18=1,"_",IF(C18="_","???",C18))</f>
        <v/>
      </c>
      <c r="H18" s="10" t="s">
        <v>16</v>
      </c>
      <c r="I18" s="11" t="s">
        <v>16</v>
      </c>
      <c r="J18" s="12"/>
    </row>
    <row r="19" spans="1:10" ht="60" customHeight="1">
      <c r="A19" s="6" t="s">
        <v>86</v>
      </c>
      <c r="B19" s="6" t="s">
        <v>39</v>
      </c>
      <c r="C19" s="6" t="s">
        <v>19</v>
      </c>
      <c r="D19" s="7" t="s">
        <v>87</v>
      </c>
      <c r="E19" s="8" t="s">
        <v>88</v>
      </c>
      <c r="F19" s="6" t="s">
        <v>89</v>
      </c>
      <c r="G19" s="9">
        <f>IF(A19=1,"_",IF(C19="_","???",C19))</f>
        <v/>
      </c>
      <c r="H19" s="10" t="s">
        <v>16</v>
      </c>
      <c r="I19" s="11" t="s">
        <v>16</v>
      </c>
      <c r="J19" s="12"/>
    </row>
    <row r="20" spans="1:10" ht="60" customHeight="1">
      <c r="A20" s="6" t="s">
        <v>90</v>
      </c>
      <c r="B20" s="6" t="s">
        <v>17</v>
      </c>
      <c r="C20" s="6" t="s">
        <v>91</v>
      </c>
      <c r="D20" s="7" t="s">
        <v>92</v>
      </c>
      <c r="E20" s="8" t="s">
        <v>93</v>
      </c>
      <c r="F20" s="6" t="s">
        <v>94</v>
      </c>
      <c r="G20" s="9">
        <f>IF(A20=1,"_",IF(C20="_","???",C20))</f>
        <v/>
      </c>
      <c r="H20" s="10" t="s">
        <v>16</v>
      </c>
      <c r="I20" s="11" t="s">
        <v>16</v>
      </c>
      <c r="J20" s="12"/>
    </row>
    <row r="21" spans="1:10" ht="60" customHeight="1">
      <c r="A21" s="6" t="s">
        <v>95</v>
      </c>
      <c r="B21" s="6" t="s">
        <v>39</v>
      </c>
      <c r="C21" s="6" t="s">
        <v>16</v>
      </c>
      <c r="D21" s="7" t="s">
        <v>96</v>
      </c>
      <c r="E21" s="8" t="s">
        <v>97</v>
      </c>
      <c r="F21" s="6" t="s">
        <v>98</v>
      </c>
      <c r="G21" s="9">
        <f>IF(A21=1,"_",IF(C21="_","???",C21))</f>
        <v/>
      </c>
      <c r="H21" s="10" t="s">
        <v>16</v>
      </c>
      <c r="I21" s="11" t="s">
        <v>16</v>
      </c>
      <c r="J21" s="12"/>
    </row>
    <row r="22" spans="1:10" ht="60" customHeight="1">
      <c r="A22" s="6" t="s">
        <v>99</v>
      </c>
      <c r="B22" s="6" t="s">
        <v>39</v>
      </c>
      <c r="C22" s="6" t="s">
        <v>19</v>
      </c>
      <c r="D22" s="7" t="s">
        <v>100</v>
      </c>
      <c r="E22" s="8" t="s">
        <v>101</v>
      </c>
      <c r="F22" s="6" t="s">
        <v>102</v>
      </c>
      <c r="G22" s="9">
        <f>IF(A22=1,"_",IF(C22="_","???",C22))</f>
        <v/>
      </c>
      <c r="H22" s="10" t="s">
        <v>16</v>
      </c>
      <c r="I22" s="11" t="s">
        <v>16</v>
      </c>
      <c r="J22" s="12"/>
    </row>
    <row r="23" spans="1:10" ht="60" customHeight="1">
      <c r="A23" s="6" t="s">
        <v>103</v>
      </c>
      <c r="B23" s="6" t="s">
        <v>23</v>
      </c>
      <c r="C23" s="6" t="s">
        <v>19</v>
      </c>
      <c r="D23" s="7" t="s">
        <v>79</v>
      </c>
      <c r="E23" s="8" t="s">
        <v>104</v>
      </c>
      <c r="F23" s="6" t="s">
        <v>105</v>
      </c>
      <c r="G23" s="9">
        <f>IF(A23=1,"_",IF(C23="_","???",C23))</f>
        <v/>
      </c>
      <c r="H23" s="10" t="s">
        <v>16</v>
      </c>
      <c r="I23" s="11" t="s">
        <v>16</v>
      </c>
      <c r="J23" s="12"/>
    </row>
    <row r="24" spans="1:10" ht="60" customHeight="1">
      <c r="A24" s="6" t="s">
        <v>106</v>
      </c>
      <c r="B24" s="6" t="s">
        <v>23</v>
      </c>
      <c r="C24" s="6" t="s">
        <v>31</v>
      </c>
      <c r="D24" s="7" t="s">
        <v>87</v>
      </c>
      <c r="E24" s="8" t="s">
        <v>107</v>
      </c>
      <c r="F24" s="6" t="s">
        <v>108</v>
      </c>
      <c r="G24" s="9">
        <f>IF(A24=1,"_",IF(C24="_","???",C24))</f>
        <v/>
      </c>
      <c r="H24" s="10" t="s">
        <v>16</v>
      </c>
      <c r="I24" s="11" t="s">
        <v>16</v>
      </c>
      <c r="J24" s="12"/>
    </row>
    <row r="25" spans="1:10" ht="60" customHeight="1">
      <c r="A25" s="6" t="s">
        <v>109</v>
      </c>
      <c r="B25" s="6" t="s">
        <v>17</v>
      </c>
      <c r="C25" s="6" t="s">
        <v>16</v>
      </c>
      <c r="D25" s="7" t="s">
        <v>44</v>
      </c>
      <c r="E25" s="8" t="s">
        <v>110</v>
      </c>
      <c r="F25" s="6" t="s">
        <v>111</v>
      </c>
      <c r="G25" s="9">
        <f>IF(A25=1,"_",IF(C25="_","???",C25))</f>
        <v/>
      </c>
      <c r="H25" s="10" t="s">
        <v>16</v>
      </c>
      <c r="I25" s="11" t="s">
        <v>16</v>
      </c>
      <c r="J25" s="12"/>
    </row>
    <row r="26" spans="1:10" ht="60" customHeight="1">
      <c r="A26" s="6" t="s">
        <v>112</v>
      </c>
      <c r="B26" s="6" t="s">
        <v>64</v>
      </c>
      <c r="C26" s="6" t="s">
        <v>19</v>
      </c>
      <c r="D26" s="7" t="s">
        <v>96</v>
      </c>
      <c r="E26" s="8" t="s">
        <v>113</v>
      </c>
      <c r="F26" s="6" t="s">
        <v>114</v>
      </c>
      <c r="G26" s="9">
        <f>IF(A26=1,"_",IF(C26="_","???",C26))</f>
        <v/>
      </c>
      <c r="H26" s="10" t="s">
        <v>16</v>
      </c>
      <c r="I26" s="11" t="s">
        <v>16</v>
      </c>
      <c r="J26" s="12"/>
    </row>
    <row r="27" spans="1:10" ht="60" customHeight="1">
      <c r="A27" s="6" t="s">
        <v>115</v>
      </c>
      <c r="B27" s="6" t="s">
        <v>17</v>
      </c>
      <c r="C27" s="6" t="s">
        <v>16</v>
      </c>
      <c r="D27" s="7" t="s">
        <v>116</v>
      </c>
      <c r="E27" s="8" t="s">
        <v>117</v>
      </c>
      <c r="F27" s="6" t="s">
        <v>118</v>
      </c>
      <c r="G27" s="9">
        <f>IF(A27=1,"_",IF(C27="_","???",C27))</f>
        <v/>
      </c>
      <c r="H27" s="10" t="s">
        <v>16</v>
      </c>
      <c r="I27" s="11" t="s">
        <v>16</v>
      </c>
      <c r="J27" s="12"/>
    </row>
    <row r="28" spans="1:10" ht="60" customHeight="1">
      <c r="A28" s="6" t="s">
        <v>119</v>
      </c>
      <c r="B28" s="6" t="s">
        <v>23</v>
      </c>
      <c r="C28" s="6" t="s">
        <v>16</v>
      </c>
      <c r="D28" s="7" t="s">
        <v>120</v>
      </c>
      <c r="E28" s="8" t="s">
        <v>121</v>
      </c>
      <c r="F28" s="6" t="s">
        <v>122</v>
      </c>
      <c r="G28" s="9">
        <f>IF(A28=1,"_",IF(C28="_","???",C28))</f>
        <v/>
      </c>
      <c r="H28" s="10" t="s">
        <v>16</v>
      </c>
      <c r="I28" s="11" t="s">
        <v>16</v>
      </c>
      <c r="J28" s="12"/>
    </row>
    <row r="29" spans="1:10" ht="60" customHeight="1">
      <c r="A29" s="6" t="s">
        <v>123</v>
      </c>
      <c r="B29" s="6" t="s">
        <v>35</v>
      </c>
      <c r="C29" s="6" t="s">
        <v>69</v>
      </c>
      <c r="D29" s="7" t="s">
        <v>124</v>
      </c>
      <c r="E29" s="8" t="s">
        <v>125</v>
      </c>
      <c r="F29" s="6" t="s">
        <v>126</v>
      </c>
      <c r="G29" s="9">
        <f>IF(A29=1,"_",IF(C29="_","???",C29))</f>
        <v/>
      </c>
      <c r="H29" s="10" t="s">
        <v>16</v>
      </c>
      <c r="I29" s="11" t="s">
        <v>16</v>
      </c>
      <c r="J29" s="12"/>
    </row>
    <row r="30" spans="1:10" ht="60" customHeight="1">
      <c r="A30" s="6" t="s">
        <v>127</v>
      </c>
      <c r="B30" s="6" t="s">
        <v>103</v>
      </c>
      <c r="C30" s="6" t="s">
        <v>128</v>
      </c>
      <c r="D30" s="7" t="s">
        <v>129</v>
      </c>
      <c r="E30" s="8" t="s">
        <v>130</v>
      </c>
      <c r="F30" s="6" t="s">
        <v>131</v>
      </c>
      <c r="G30" s="9">
        <f>IF(A30=1,"_",IF(C30="_","???",C30))</f>
        <v/>
      </c>
      <c r="H30" s="10" t="s">
        <v>16</v>
      </c>
      <c r="I30" s="11" t="s">
        <v>16</v>
      </c>
      <c r="J30" s="12"/>
    </row>
    <row r="31" spans="1:10" ht="60" customHeight="1">
      <c r="A31" s="6" t="s">
        <v>132</v>
      </c>
      <c r="B31" s="6" t="s">
        <v>23</v>
      </c>
      <c r="C31" s="6" t="s">
        <v>19</v>
      </c>
      <c r="D31" s="7" t="s">
        <v>133</v>
      </c>
      <c r="E31" s="8" t="s">
        <v>134</v>
      </c>
      <c r="F31" s="6" t="s">
        <v>135</v>
      </c>
      <c r="G31" s="9">
        <f>IF(A31=1,"_",IF(C31="_","???",C31))</f>
        <v/>
      </c>
      <c r="H31" s="10" t="s">
        <v>16</v>
      </c>
      <c r="I31" s="11" t="s">
        <v>16</v>
      </c>
      <c r="J31" s="12"/>
    </row>
    <row r="32" spans="1:10" ht="60" customHeight="1">
      <c r="A32" s="6" t="s">
        <v>136</v>
      </c>
      <c r="B32" s="6" t="s">
        <v>23</v>
      </c>
      <c r="C32" s="6" t="s">
        <v>19</v>
      </c>
      <c r="D32" s="7" t="s">
        <v>87</v>
      </c>
      <c r="E32" s="8" t="s">
        <v>137</v>
      </c>
      <c r="F32" s="6" t="s">
        <v>138</v>
      </c>
      <c r="G32" s="9">
        <f>IF(A32=1,"_",IF(C32="_","???",C32))</f>
        <v/>
      </c>
      <c r="H32" s="10" t="s">
        <v>16</v>
      </c>
      <c r="I32" s="11" t="s">
        <v>16</v>
      </c>
      <c r="J32" s="12"/>
    </row>
    <row r="33" spans="1:10" ht="60" customHeight="1">
      <c r="A33" s="6" t="s">
        <v>139</v>
      </c>
      <c r="B33" s="6" t="s">
        <v>17</v>
      </c>
      <c r="C33" s="6" t="s">
        <v>16</v>
      </c>
      <c r="D33" s="7" t="s">
        <v>140</v>
      </c>
      <c r="E33" s="8" t="s">
        <v>141</v>
      </c>
      <c r="F33" s="6" t="s">
        <v>142</v>
      </c>
      <c r="G33" s="9">
        <f>IF(A33=1,"_",IF(C33="_","???",C33))</f>
        <v/>
      </c>
      <c r="H33" s="10" t="s">
        <v>16</v>
      </c>
      <c r="I33" s="11" t="s">
        <v>16</v>
      </c>
      <c r="J33" s="12"/>
    </row>
    <row r="34" spans="1:10" ht="60" customHeight="1">
      <c r="A34" s="6" t="s">
        <v>143</v>
      </c>
      <c r="B34" s="6" t="s">
        <v>39</v>
      </c>
      <c r="C34" s="6" t="s">
        <v>19</v>
      </c>
      <c r="D34" s="7" t="s">
        <v>144</v>
      </c>
      <c r="E34" s="8" t="s">
        <v>145</v>
      </c>
      <c r="F34" s="6" t="s">
        <v>146</v>
      </c>
      <c r="G34" s="9">
        <f>IF(A34=1,"_",IF(C34="_","???",C34))</f>
        <v/>
      </c>
      <c r="H34" s="10" t="s">
        <v>16</v>
      </c>
      <c r="I34" s="11" t="s">
        <v>16</v>
      </c>
      <c r="J34" s="12"/>
    </row>
    <row r="35" spans="1:10" ht="60" customHeight="1">
      <c r="A35" s="6" t="s">
        <v>147</v>
      </c>
      <c r="B35" s="6" t="s">
        <v>35</v>
      </c>
      <c r="C35" s="6" t="s">
        <v>69</v>
      </c>
      <c r="D35" s="7" t="s">
        <v>148</v>
      </c>
      <c r="E35" s="8" t="s">
        <v>149</v>
      </c>
      <c r="F35" s="6" t="s">
        <v>150</v>
      </c>
      <c r="G35" s="9">
        <f>IF(A35=1,"_",IF(C35="_","???",C35))</f>
        <v/>
      </c>
      <c r="H35" s="10" t="s">
        <v>16</v>
      </c>
      <c r="I35" s="11" t="s">
        <v>16</v>
      </c>
      <c r="J35" s="12"/>
    </row>
    <row r="36" spans="1:10" ht="60" customHeight="1">
      <c r="A36" s="6" t="s">
        <v>151</v>
      </c>
      <c r="B36" s="6" t="s">
        <v>35</v>
      </c>
      <c r="C36" s="6" t="s">
        <v>16</v>
      </c>
      <c r="D36" s="7" t="s">
        <v>148</v>
      </c>
      <c r="E36" s="8" t="s">
        <v>152</v>
      </c>
      <c r="F36" s="6" t="s">
        <v>153</v>
      </c>
      <c r="G36" s="9">
        <f>IF(A36=1,"_",IF(C36="_","???",C36))</f>
        <v/>
      </c>
      <c r="H36" s="10" t="s">
        <v>16</v>
      </c>
      <c r="I36" s="11" t="s">
        <v>16</v>
      </c>
      <c r="J36" s="12"/>
    </row>
    <row r="37" spans="1:10" ht="60" customHeight="1">
      <c r="A37" s="6" t="s">
        <v>154</v>
      </c>
      <c r="B37" s="6" t="s">
        <v>30</v>
      </c>
      <c r="C37" s="6" t="s">
        <v>128</v>
      </c>
      <c r="D37" s="7" t="s">
        <v>155</v>
      </c>
      <c r="E37" s="8" t="s">
        <v>156</v>
      </c>
      <c r="F37" s="6" t="s">
        <v>157</v>
      </c>
      <c r="G37" s="9">
        <f>IF(A37=1,"_",IF(C37="_","???",C37))</f>
        <v/>
      </c>
      <c r="H37" s="10" t="s">
        <v>16</v>
      </c>
      <c r="I37" s="11" t="s">
        <v>16</v>
      </c>
      <c r="J37" s="12"/>
    </row>
    <row r="38" spans="1:10" ht="60" customHeight="1">
      <c r="A38" s="6" t="s">
        <v>158</v>
      </c>
      <c r="B38" s="6" t="s">
        <v>10</v>
      </c>
      <c r="C38" s="6" t="s">
        <v>16</v>
      </c>
      <c r="D38" s="7" t="s">
        <v>159</v>
      </c>
      <c r="E38" s="8" t="s">
        <v>160</v>
      </c>
      <c r="F38" s="6" t="s">
        <v>161</v>
      </c>
      <c r="G38" s="9">
        <f>IF(A38=1,"_",IF(C38="_","???",C38))</f>
        <v/>
      </c>
      <c r="H38" s="10" t="s">
        <v>16</v>
      </c>
      <c r="I38" s="11" t="s">
        <v>16</v>
      </c>
      <c r="J38" s="12"/>
    </row>
    <row r="39" spans="1:10" ht="60" customHeight="1">
      <c r="A39" s="6" t="s">
        <v>162</v>
      </c>
      <c r="B39" s="6" t="s">
        <v>17</v>
      </c>
      <c r="C39" s="6" t="s">
        <v>16</v>
      </c>
      <c r="D39" s="7" t="s">
        <v>163</v>
      </c>
      <c r="E39" s="8" t="s">
        <v>164</v>
      </c>
      <c r="F39" s="6" t="s">
        <v>165</v>
      </c>
      <c r="G39" s="9">
        <f>IF(A39=1,"_",IF(C39="_","???",C39))</f>
        <v/>
      </c>
      <c r="H39" s="10" t="s">
        <v>16</v>
      </c>
      <c r="I39" s="11" t="s">
        <v>16</v>
      </c>
      <c r="J39" s="12"/>
    </row>
    <row r="40" spans="1:10" ht="60" customHeight="1">
      <c r="A40" s="6" t="s">
        <v>166</v>
      </c>
      <c r="B40" s="6" t="s">
        <v>10</v>
      </c>
      <c r="C40" s="6" t="s">
        <v>16</v>
      </c>
      <c r="D40" s="7" t="s">
        <v>159</v>
      </c>
      <c r="E40" s="8" t="s">
        <v>160</v>
      </c>
      <c r="F40" s="6" t="s">
        <v>167</v>
      </c>
      <c r="G40" s="9">
        <f>IF(A40=1,"_",IF(C40="_","???",C40))</f>
        <v/>
      </c>
      <c r="H40" s="10" t="s">
        <v>16</v>
      </c>
      <c r="I40" s="11" t="s">
        <v>16</v>
      </c>
      <c r="J40" s="12"/>
    </row>
    <row r="41" spans="1:10" ht="60" customHeight="1">
      <c r="A41" s="6" t="s">
        <v>168</v>
      </c>
      <c r="B41" s="6" t="s">
        <v>10</v>
      </c>
      <c r="C41" s="6" t="s">
        <v>16</v>
      </c>
      <c r="D41" s="7" t="s">
        <v>169</v>
      </c>
      <c r="E41" s="8" t="s">
        <v>170</v>
      </c>
      <c r="F41" s="6" t="s">
        <v>171</v>
      </c>
      <c r="G41" s="9">
        <f>IF(A41=1,"_",IF(C41="_","???",C41))</f>
        <v/>
      </c>
      <c r="H41" s="10" t="s">
        <v>16</v>
      </c>
      <c r="I41" s="11" t="s">
        <v>16</v>
      </c>
      <c r="J41" s="12"/>
    </row>
    <row r="42" spans="1:10" ht="60" customHeight="1">
      <c r="A42" s="6" t="s">
        <v>172</v>
      </c>
      <c r="B42" s="6" t="s">
        <v>10</v>
      </c>
      <c r="C42" s="6" t="s">
        <v>16</v>
      </c>
      <c r="D42" s="7" t="s">
        <v>173</v>
      </c>
      <c r="E42" s="8" t="s">
        <v>174</v>
      </c>
      <c r="F42" s="6" t="s">
        <v>175</v>
      </c>
      <c r="G42" s="9">
        <f>IF(A42=1,"_",IF(C42="_","???",C42))</f>
        <v/>
      </c>
      <c r="H42" s="10" t="s">
        <v>16</v>
      </c>
      <c r="I42" s="11" t="s">
        <v>16</v>
      </c>
      <c r="J42" s="12"/>
    </row>
    <row r="43" spans="1:10" ht="60" customHeight="1">
      <c r="A43" s="6" t="s">
        <v>176</v>
      </c>
      <c r="B43" s="6" t="s">
        <v>10</v>
      </c>
      <c r="C43" s="6" t="s">
        <v>16</v>
      </c>
      <c r="D43" s="7" t="s">
        <v>173</v>
      </c>
      <c r="E43" s="8" t="s">
        <v>177</v>
      </c>
      <c r="F43" s="6" t="s">
        <v>178</v>
      </c>
      <c r="G43" s="9">
        <f>IF(A43=1,"_",IF(C43="_","???",C43))</f>
        <v/>
      </c>
      <c r="H43" s="10" t="s">
        <v>16</v>
      </c>
      <c r="I43" s="11" t="s">
        <v>16</v>
      </c>
      <c r="J43" s="12"/>
    </row>
    <row r="44" spans="1:10" ht="60" customHeight="1">
      <c r="A44" s="6" t="s">
        <v>179</v>
      </c>
      <c r="B44" s="6" t="s">
        <v>23</v>
      </c>
      <c r="C44" s="6" t="s">
        <v>16</v>
      </c>
      <c r="D44" s="7" t="s">
        <v>180</v>
      </c>
      <c r="E44" s="8" t="s">
        <v>181</v>
      </c>
      <c r="F44" s="6" t="s">
        <v>182</v>
      </c>
      <c r="G44" s="9">
        <f>IF(A44=1,"_",IF(C44="_","???",C44))</f>
        <v/>
      </c>
      <c r="H44" s="10" t="s">
        <v>16</v>
      </c>
      <c r="I44" s="11" t="s">
        <v>16</v>
      </c>
      <c r="J44" s="12"/>
    </row>
    <row r="45" spans="1:10" ht="60" customHeight="1">
      <c r="A45" s="6" t="s">
        <v>183</v>
      </c>
      <c r="B45" s="6" t="s">
        <v>18</v>
      </c>
      <c r="C45" s="6" t="s">
        <v>78</v>
      </c>
      <c r="D45" s="7" t="s">
        <v>184</v>
      </c>
      <c r="E45" s="8" t="s">
        <v>185</v>
      </c>
      <c r="F45" s="6" t="s">
        <v>186</v>
      </c>
      <c r="G45" s="9">
        <f>IF(A45=1,"_",IF(C45="_","???",C45))</f>
        <v/>
      </c>
      <c r="H45" s="10" t="s">
        <v>16</v>
      </c>
      <c r="I45" s="11" t="s">
        <v>16</v>
      </c>
      <c r="J45" s="12"/>
    </row>
    <row r="46" spans="1:10" ht="60" customHeight="1">
      <c r="A46" s="6" t="s">
        <v>187</v>
      </c>
      <c r="B46" s="6" t="s">
        <v>17</v>
      </c>
      <c r="C46" s="6" t="s">
        <v>16</v>
      </c>
      <c r="D46" s="7" t="s">
        <v>188</v>
      </c>
      <c r="E46" s="8" t="s">
        <v>189</v>
      </c>
      <c r="F46" s="6" t="s">
        <v>190</v>
      </c>
      <c r="G46" s="9">
        <f>IF(A46=1,"_",IF(C46="_","???",C46))</f>
        <v/>
      </c>
      <c r="H46" s="10" t="s">
        <v>16</v>
      </c>
      <c r="I46" s="11" t="s">
        <v>16</v>
      </c>
      <c r="J46"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109"/>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191</v>
      </c>
      <c r="B1" s="13" t="s">
        <v>192</v>
      </c>
      <c r="C1" s="13" t="s">
        <v>193</v>
      </c>
      <c r="D1" s="13" t="s">
        <v>194</v>
      </c>
      <c r="E1" s="14" t="s">
        <v>195</v>
      </c>
      <c r="F1" s="15" t="s">
        <v>196</v>
      </c>
      <c r="G1" s="16" t="s">
        <v>197</v>
      </c>
      <c r="H1" s="17" t="s">
        <v>198</v>
      </c>
      <c r="I1" s="18" t="s">
        <v>199</v>
      </c>
      <c r="J1" s="18" t="s">
        <v>200</v>
      </c>
      <c r="K1" s="18" t="s">
        <v>201</v>
      </c>
      <c r="L1" s="19" t="s">
        <v>9</v>
      </c>
    </row>
    <row r="2" spans="1:12">
      <c r="A2" s="20" t="s">
        <v>202</v>
      </c>
    </row>
    <row r="3" spans="1:12">
      <c r="A3" s="20" t="s">
        <v>203</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204</v>
      </c>
      <c r="B4" s="27" t="s">
        <v>205</v>
      </c>
      <c r="C4" s="27" t="s">
        <v>206</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207</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208</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209</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210</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211</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212</v>
      </c>
      <c r="B10" s="27" t="s">
        <v>213</v>
      </c>
      <c r="C10" s="27" t="s">
        <v>214</v>
      </c>
      <c r="D10" s="27" t="s">
        <v>215</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216</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217</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218</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219</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220</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221</v>
      </c>
      <c r="B16" s="27" t="s">
        <v>205</v>
      </c>
      <c r="C16" s="27" t="s">
        <v>222</v>
      </c>
      <c r="D16" s="27" t="s">
        <v>215</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223</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224</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208</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209</v>
      </c>
      <c r="B20" s="27" t="s">
        <v>225</v>
      </c>
      <c r="C20" s="27" t="s">
        <v>226</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227</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228</v>
      </c>
      <c r="B22" s="27" t="s">
        <v>229</v>
      </c>
      <c r="C22" s="27" t="s">
        <v>230</v>
      </c>
      <c r="D22" s="27" t="s">
        <v>215</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231</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232</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188</v>
      </c>
      <c r="B25" s="27" t="s">
        <v>233</v>
      </c>
      <c r="C25" s="27" t="s">
        <v>226</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234</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row>
    <row r="28" spans="1:12">
      <c r="A28" s="20" t="s">
        <v>235</v>
      </c>
    </row>
    <row r="29" spans="1:12">
      <c r="A29" s="20" t="s">
        <v>236</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220</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237</v>
      </c>
      <c r="B31" s="27" t="s">
        <v>213</v>
      </c>
      <c r="C31" s="27" t="s">
        <v>222</v>
      </c>
      <c r="D31" s="27" t="s">
        <v>215</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217</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238</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239</v>
      </c>
      <c r="B34" s="27" t="s">
        <v>205</v>
      </c>
      <c r="C34" s="27" t="s">
        <v>240</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207</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241</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242</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16</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243</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239</v>
      </c>
      <c r="B40" s="27" t="s">
        <v>205</v>
      </c>
      <c r="C40" s="27" t="s">
        <v>240</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207</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244</v>
      </c>
      <c r="B42" s="27" t="s">
        <v>225</v>
      </c>
      <c r="C42" s="27" t="s">
        <v>226</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207</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245</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207</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246</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207</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247</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238</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248</v>
      </c>
      <c r="B50" s="27" t="s">
        <v>233</v>
      </c>
      <c r="C50" s="27" t="s">
        <v>240</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249</v>
      </c>
      <c r="B51" s="27" t="s">
        <v>250</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251</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252</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253</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254</v>
      </c>
      <c r="B55" s="27" t="s">
        <v>255</v>
      </c>
      <c r="C55" s="27" t="s">
        <v>206</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234</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row>
    <row r="58" spans="1:12">
      <c r="A58" s="20" t="s">
        <v>256</v>
      </c>
    </row>
    <row r="59" spans="1:12">
      <c r="A59" s="20" t="s">
        <v>236</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257</v>
      </c>
      <c r="B60" s="27" t="s">
        <v>213</v>
      </c>
      <c r="C60" s="27" t="s">
        <v>230</v>
      </c>
      <c r="D60" s="27" t="s">
        <v>215</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258</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259</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238</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260</v>
      </c>
      <c r="B64" s="27" t="s">
        <v>261</v>
      </c>
      <c r="C64" s="27" t="s">
        <v>240</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249</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262</v>
      </c>
      <c r="B66" s="27" t="s">
        <v>263</v>
      </c>
      <c r="C66" s="27" t="s">
        <v>264</v>
      </c>
      <c r="D66" s="27" t="s">
        <v>215</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223</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265</v>
      </c>
      <c r="B68" s="27" t="s">
        <v>266</v>
      </c>
      <c r="C68" s="27" t="s">
        <v>230</v>
      </c>
      <c r="D68" s="27" t="s">
        <v>215</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267</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207</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268</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212</v>
      </c>
      <c r="B72" s="27" t="s">
        <v>269</v>
      </c>
      <c r="C72" s="27" t="s">
        <v>214</v>
      </c>
      <c r="D72" s="27" t="s">
        <v>215</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270</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271</v>
      </c>
      <c r="B74" s="27" t="s">
        <v>250</v>
      </c>
      <c r="C74" s="27" t="s">
        <v>264</v>
      </c>
      <c r="D74" s="27" t="s">
        <v>215</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272</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220</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273</v>
      </c>
      <c r="B77" s="27" t="s">
        <v>266</v>
      </c>
      <c r="C77" s="27" t="s">
        <v>222</v>
      </c>
      <c r="D77" s="27" t="s">
        <v>215</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274</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238</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275</v>
      </c>
      <c r="B80" s="27" t="s">
        <v>269</v>
      </c>
      <c r="C80" s="27" t="s">
        <v>240</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207</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276</v>
      </c>
      <c r="B82" s="27" t="s">
        <v>277</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217</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278</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279</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238</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280</v>
      </c>
      <c r="B87" s="27" t="s">
        <v>281</v>
      </c>
      <c r="C87" s="27" t="s">
        <v>240</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207</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282</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173</v>
      </c>
      <c r="B90" s="27" t="s">
        <v>229</v>
      </c>
      <c r="C90" s="27" t="s">
        <v>214</v>
      </c>
      <c r="D90" s="27" t="s">
        <v>215</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283</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284</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285</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286</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212</v>
      </c>
      <c r="B95" s="27" t="s">
        <v>225</v>
      </c>
      <c r="C95" s="27" t="s">
        <v>214</v>
      </c>
      <c r="D95" s="27" t="s">
        <v>215</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216</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207</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287</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288</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289</v>
      </c>
      <c r="B100" s="27" t="s">
        <v>205</v>
      </c>
      <c r="C100" s="27" t="s">
        <v>214</v>
      </c>
      <c r="D100" s="27" t="s">
        <v>215</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286</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290</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291</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292</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207</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220</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293</v>
      </c>
      <c r="B107" s="27" t="s">
        <v>269</v>
      </c>
      <c r="C107" s="27" t="s">
        <v>214</v>
      </c>
      <c r="D107" s="27" t="s">
        <v>215</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16</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294</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295</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296</v>
      </c>
      <c r="B111" s="27" t="s">
        <v>225</v>
      </c>
      <c r="C111" s="27" t="s">
        <v>222</v>
      </c>
      <c r="D111" s="27" t="s">
        <v>215</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297</v>
      </c>
      <c r="B112" s="27" t="s">
        <v>269</v>
      </c>
      <c r="C112" s="27" t="s">
        <v>298</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299</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300</v>
      </c>
      <c r="B114" s="27" t="s">
        <v>250</v>
      </c>
      <c r="C114" s="27" t="s">
        <v>264</v>
      </c>
      <c r="D114" s="27" t="s">
        <v>215</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217</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301</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302</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303</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238</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304</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305</v>
      </c>
      <c r="B121" s="27" t="s">
        <v>266</v>
      </c>
      <c r="C121" s="27" t="s">
        <v>240</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282</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306</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307</v>
      </c>
      <c r="B124" s="27" t="s">
        <v>269</v>
      </c>
      <c r="C124" s="27" t="s">
        <v>226</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234</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row>
    <row r="127" spans="1:12">
      <c r="A127" s="20" t="s">
        <v>308</v>
      </c>
    </row>
    <row r="128" spans="1:12">
      <c r="A128" s="20" t="s">
        <v>290</v>
      </c>
      <c r="B128" s="27" t="s">
        <v>213</v>
      </c>
      <c r="C128" s="27" t="s">
        <v>214</v>
      </c>
      <c r="D128" s="27" t="s">
        <v>215</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309</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310</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223</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293</v>
      </c>
      <c r="B132" s="27" t="s">
        <v>205</v>
      </c>
      <c r="C132" s="27" t="s">
        <v>214</v>
      </c>
      <c r="D132" s="27" t="s">
        <v>215</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207</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228</v>
      </c>
      <c r="B134" s="27" t="s">
        <v>229</v>
      </c>
      <c r="C134" s="27" t="s">
        <v>230</v>
      </c>
      <c r="D134" s="27" t="s">
        <v>215</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311</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238</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312</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313</v>
      </c>
      <c r="B138" s="27" t="s">
        <v>233</v>
      </c>
      <c r="C138" s="27" t="s">
        <v>240</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207</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287</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132</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314</v>
      </c>
      <c r="B142" s="27" t="s">
        <v>266</v>
      </c>
      <c r="C142" s="27" t="s">
        <v>206</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315</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228</v>
      </c>
      <c r="B144" s="27" t="s">
        <v>263</v>
      </c>
      <c r="C144" s="27" t="s">
        <v>230</v>
      </c>
      <c r="D144" s="27" t="s">
        <v>215</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217</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316</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246</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317</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220</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221</v>
      </c>
      <c r="B150" s="27" t="s">
        <v>266</v>
      </c>
      <c r="C150" s="27" t="s">
        <v>222</v>
      </c>
      <c r="D150" s="27" t="s">
        <v>215</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223</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318</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319</v>
      </c>
      <c r="B153" s="27" t="s">
        <v>269</v>
      </c>
      <c r="C153" s="27" t="s">
        <v>226</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320</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224</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208</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209</v>
      </c>
      <c r="B157" s="27" t="s">
        <v>266</v>
      </c>
      <c r="C157" s="27" t="s">
        <v>214</v>
      </c>
      <c r="D157" s="27" t="s">
        <v>215</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234</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row>
    <row r="160" spans="1:12">
      <c r="A160" s="20" t="s">
        <v>321</v>
      </c>
    </row>
    <row r="161" spans="1:12">
      <c r="A161" s="20" t="s">
        <v>257</v>
      </c>
      <c r="B161" s="27" t="s">
        <v>213</v>
      </c>
      <c r="C161" s="27" t="s">
        <v>230</v>
      </c>
      <c r="D161" s="27" t="s">
        <v>215</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32</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322</v>
      </c>
      <c r="B163" s="27" t="s">
        <v>261</v>
      </c>
      <c r="C163" s="27" t="s">
        <v>264</v>
      </c>
      <c r="D163" s="27" t="s">
        <v>215</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223</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265</v>
      </c>
      <c r="B165" s="27" t="s">
        <v>225</v>
      </c>
      <c r="C165" s="27" t="s">
        <v>230</v>
      </c>
      <c r="D165" s="27" t="s">
        <v>215</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323</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324</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212</v>
      </c>
      <c r="B168" s="27" t="s">
        <v>325</v>
      </c>
      <c r="C168" s="27" t="s">
        <v>214</v>
      </c>
      <c r="D168" s="27" t="s">
        <v>215</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270</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275</v>
      </c>
      <c r="B170" s="27" t="s">
        <v>233</v>
      </c>
      <c r="C170" s="27" t="s">
        <v>264</v>
      </c>
      <c r="D170" s="27" t="s">
        <v>215</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326</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323</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327</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220</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280</v>
      </c>
      <c r="B175" s="27" t="s">
        <v>328</v>
      </c>
      <c r="C175" s="27" t="s">
        <v>222</v>
      </c>
      <c r="D175" s="27" t="s">
        <v>215</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323</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87</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329</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251</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220</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232</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330</v>
      </c>
      <c r="B182" s="27" t="s">
        <v>255</v>
      </c>
      <c r="C182" s="27" t="s">
        <v>222</v>
      </c>
      <c r="D182" s="27" t="s">
        <v>215</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249</v>
      </c>
      <c r="B183" s="27" t="s">
        <v>331</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332</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333</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334</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253</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335</v>
      </c>
      <c r="B188" s="27" t="s">
        <v>336</v>
      </c>
      <c r="C188" s="27" t="s">
        <v>337</v>
      </c>
      <c r="D188" s="27" t="s">
        <v>215</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207</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338</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339</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188</v>
      </c>
      <c r="B192" s="27" t="s">
        <v>229</v>
      </c>
      <c r="C192" s="27" t="s">
        <v>226</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340</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341</v>
      </c>
      <c r="B194" s="27" t="s">
        <v>233</v>
      </c>
      <c r="C194" s="27" t="s">
        <v>226</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249</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330</v>
      </c>
      <c r="B196" s="27" t="s">
        <v>233</v>
      </c>
      <c r="C196" s="27" t="s">
        <v>337</v>
      </c>
      <c r="D196" s="27" t="s">
        <v>215</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207</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287</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342</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217</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343</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16</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344</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265</v>
      </c>
      <c r="B204" s="27" t="s">
        <v>263</v>
      </c>
      <c r="C204" s="27" t="s">
        <v>230</v>
      </c>
      <c r="D204" s="27" t="s">
        <v>215</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345</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346</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220</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347</v>
      </c>
      <c r="B208" s="27" t="s">
        <v>328</v>
      </c>
      <c r="C208" s="27" t="s">
        <v>222</v>
      </c>
      <c r="D208" s="27" t="s">
        <v>215</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16</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320</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348</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290</v>
      </c>
      <c r="B212" s="27" t="s">
        <v>328</v>
      </c>
      <c r="C212" s="27" t="s">
        <v>214</v>
      </c>
      <c r="D212" s="27" t="s">
        <v>215</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49</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349</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220</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221</v>
      </c>
      <c r="B216" s="27" t="s">
        <v>255</v>
      </c>
      <c r="C216" s="27" t="s">
        <v>222</v>
      </c>
      <c r="D216" s="27" t="s">
        <v>215</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234</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row>
    <row r="219" spans="1:12">
      <c r="A219" s="20" t="s">
        <v>350</v>
      </c>
    </row>
    <row r="220" spans="1:12">
      <c r="A220" s="20" t="s">
        <v>257</v>
      </c>
      <c r="B220" s="27" t="s">
        <v>213</v>
      </c>
      <c r="C220" s="27" t="s">
        <v>230</v>
      </c>
      <c r="D220" s="27" t="s">
        <v>215</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351</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352</v>
      </c>
      <c r="B222" s="27" t="s">
        <v>261</v>
      </c>
      <c r="C222" s="27" t="s">
        <v>214</v>
      </c>
      <c r="D222" s="27" t="s">
        <v>215</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292</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320</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353</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207</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253</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314</v>
      </c>
      <c r="B228" s="27" t="s">
        <v>225</v>
      </c>
      <c r="C228" s="27" t="s">
        <v>206</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354</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207</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355</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356</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357</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358</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359</v>
      </c>
      <c r="B235" s="27" t="s">
        <v>205</v>
      </c>
      <c r="C235" s="27" t="s">
        <v>214</v>
      </c>
      <c r="D235" s="27" t="s">
        <v>215</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234</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row>
    <row r="238" spans="1:12">
      <c r="A238" s="20" t="s">
        <v>360</v>
      </c>
    </row>
    <row r="239" spans="1:12">
      <c r="A239" s="20" t="s">
        <v>361</v>
      </c>
      <c r="B239" s="27" t="s">
        <v>213</v>
      </c>
      <c r="C239" s="27" t="s">
        <v>230</v>
      </c>
      <c r="D239" s="27" t="s">
        <v>215</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252</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362</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231</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238</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363</v>
      </c>
      <c r="B244" s="27" t="s">
        <v>261</v>
      </c>
      <c r="C244" s="27" t="s">
        <v>264</v>
      </c>
      <c r="D244" s="27" t="s">
        <v>215</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223</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364</v>
      </c>
      <c r="B246" s="27" t="s">
        <v>325</v>
      </c>
      <c r="C246" s="27" t="s">
        <v>214</v>
      </c>
      <c r="D246" s="27" t="s">
        <v>215</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270</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365</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287</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366</v>
      </c>
      <c r="B250" s="27" t="s">
        <v>266</v>
      </c>
      <c r="C250" s="27" t="s">
        <v>214</v>
      </c>
      <c r="D250" s="27" t="s">
        <v>215</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367</v>
      </c>
      <c r="B251" s="27" t="s">
        <v>225</v>
      </c>
      <c r="C251" s="27" t="s">
        <v>264</v>
      </c>
      <c r="D251" s="27" t="s">
        <v>215</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207</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287</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368</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369</v>
      </c>
      <c r="B255" s="27" t="s">
        <v>233</v>
      </c>
      <c r="C255" s="27" t="s">
        <v>226</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287</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370</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371</v>
      </c>
      <c r="B258" s="27" t="s">
        <v>328</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234</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row>
    <row r="261" spans="1:12">
      <c r="A261" s="20" t="s">
        <v>372</v>
      </c>
    </row>
    <row r="262" spans="1:12">
      <c r="A262" s="20" t="s">
        <v>361</v>
      </c>
      <c r="B262" s="27" t="s">
        <v>213</v>
      </c>
      <c r="C262" s="27" t="s">
        <v>230</v>
      </c>
      <c r="D262" s="27" t="s">
        <v>215</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217</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373</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320</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238</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374</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375</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287</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376</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377</v>
      </c>
      <c r="B271" s="27" t="s">
        <v>205</v>
      </c>
      <c r="C271" s="27" t="s">
        <v>240</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378</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379</v>
      </c>
      <c r="B273" s="27" t="s">
        <v>225</v>
      </c>
      <c r="C273" s="27" t="s">
        <v>380</v>
      </c>
      <c r="D273" s="27" t="s">
        <v>215</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16</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379</v>
      </c>
      <c r="B275" s="27" t="s">
        <v>225</v>
      </c>
      <c r="C275" s="27" t="s">
        <v>380</v>
      </c>
      <c r="D275" s="27" t="s">
        <v>215</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381</v>
      </c>
      <c r="B276" s="27" t="s">
        <v>205</v>
      </c>
      <c r="C276" s="27" t="s">
        <v>264</v>
      </c>
      <c r="D276" s="27" t="s">
        <v>215</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287</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382</v>
      </c>
      <c r="B278" s="27" t="s">
        <v>225</v>
      </c>
      <c r="C278" s="27" t="s">
        <v>214</v>
      </c>
      <c r="D278" s="27" t="s">
        <v>215</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383</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287</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339</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220</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384</v>
      </c>
      <c r="B283" s="27" t="s">
        <v>263</v>
      </c>
      <c r="C283" s="27" t="s">
        <v>222</v>
      </c>
      <c r="D283" s="27" t="s">
        <v>215</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385</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386</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387</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323</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155</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220</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388</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389</v>
      </c>
      <c r="B291" s="27" t="s">
        <v>255</v>
      </c>
      <c r="C291" s="27" t="s">
        <v>214</v>
      </c>
      <c r="D291" s="27" t="s">
        <v>215</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207</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322</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268</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223</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220</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390</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391</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248</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392</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393</v>
      </c>
      <c r="B301" s="27" t="s">
        <v>266</v>
      </c>
      <c r="C301" s="27" t="s">
        <v>222</v>
      </c>
      <c r="D301" s="27" t="s">
        <v>215</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320</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220</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394</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395</v>
      </c>
      <c r="B305" s="27" t="s">
        <v>269</v>
      </c>
      <c r="C305" s="27" t="s">
        <v>264</v>
      </c>
      <c r="D305" s="27" t="s">
        <v>215</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223</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364</v>
      </c>
      <c r="B307" s="27" t="s">
        <v>281</v>
      </c>
      <c r="C307" s="27" t="s">
        <v>214</v>
      </c>
      <c r="D307" s="27" t="s">
        <v>215</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270</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366</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396</v>
      </c>
      <c r="B310" s="27" t="s">
        <v>336</v>
      </c>
      <c r="C310" s="27" t="s">
        <v>214</v>
      </c>
      <c r="D310" s="27" t="s">
        <v>215</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234</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row>
    <row r="313" spans="1:12">
      <c r="A313" s="20" t="s">
        <v>397</v>
      </c>
    </row>
    <row r="314" spans="1:12">
      <c r="A314" s="20" t="s">
        <v>236</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120</v>
      </c>
      <c r="B315" s="27" t="s">
        <v>213</v>
      </c>
      <c r="C315" s="27" t="s">
        <v>230</v>
      </c>
      <c r="D315" s="27" t="s">
        <v>215</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398</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399</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378</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188</v>
      </c>
      <c r="B319" s="27" t="s">
        <v>225</v>
      </c>
      <c r="C319" s="27" t="s">
        <v>226</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207</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287</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257</v>
      </c>
      <c r="B322" s="27" t="s">
        <v>229</v>
      </c>
      <c r="C322" s="27" t="s">
        <v>230</v>
      </c>
      <c r="D322" s="27" t="s">
        <v>215</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398</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241</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400</v>
      </c>
      <c r="B325" s="27" t="s">
        <v>233</v>
      </c>
      <c r="C325" s="27" t="s">
        <v>240</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401</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212</v>
      </c>
      <c r="B327" s="27" t="s">
        <v>225</v>
      </c>
      <c r="C327" s="27" t="s">
        <v>214</v>
      </c>
      <c r="D327" s="27" t="s">
        <v>215</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238</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402</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403</v>
      </c>
      <c r="B330" s="27" t="s">
        <v>225</v>
      </c>
      <c r="C330" s="27" t="s">
        <v>240</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315</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404</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249</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290</v>
      </c>
      <c r="B334" s="27" t="s">
        <v>250</v>
      </c>
      <c r="C334" s="27" t="s">
        <v>214</v>
      </c>
      <c r="D334" s="27" t="s">
        <v>215</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217</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405</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320</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238</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248</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406</v>
      </c>
      <c r="B340" s="27" t="s">
        <v>266</v>
      </c>
      <c r="C340" s="27" t="s">
        <v>240</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282</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407</v>
      </c>
      <c r="B342" s="27" t="s">
        <v>266</v>
      </c>
      <c r="C342" s="27" t="s">
        <v>230</v>
      </c>
      <c r="D342" s="27" t="s">
        <v>215</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234</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row>
    <row r="345" spans="1:12">
      <c r="A345" s="20" t="s">
        <v>408</v>
      </c>
    </row>
    <row r="346" spans="1:12">
      <c r="A346" s="20" t="s">
        <v>409</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207</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257</v>
      </c>
      <c r="B348" s="27" t="s">
        <v>213</v>
      </c>
      <c r="C348" s="27" t="s">
        <v>230</v>
      </c>
      <c r="D348" s="27" t="s">
        <v>215</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410</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53</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249</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290</v>
      </c>
      <c r="B352" s="27" t="s">
        <v>229</v>
      </c>
      <c r="C352" s="27" t="s">
        <v>214</v>
      </c>
      <c r="D352" s="27" t="s">
        <v>215</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411</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412</v>
      </c>
      <c r="B354" s="27" t="s">
        <v>233</v>
      </c>
      <c r="C354" s="27" t="s">
        <v>226</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268</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227</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228</v>
      </c>
      <c r="B357" s="27" t="s">
        <v>263</v>
      </c>
      <c r="C357" s="27" t="s">
        <v>230</v>
      </c>
      <c r="D357" s="27" t="s">
        <v>215</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217</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413</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414</v>
      </c>
      <c r="B360" s="27" t="s">
        <v>250</v>
      </c>
      <c r="C360" s="27" t="s">
        <v>230</v>
      </c>
      <c r="D360" s="27" t="s">
        <v>215</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t="s">
        <v>217</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282</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415</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416</v>
      </c>
      <c r="B364" s="27" t="s">
        <v>325</v>
      </c>
      <c r="C364" s="27" t="s">
        <v>226</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287</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417</v>
      </c>
      <c r="B366" s="27" t="s">
        <v>266</v>
      </c>
      <c r="C366" s="27" t="s">
        <v>226</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287</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418</v>
      </c>
      <c r="B368" s="27" t="s">
        <v>266</v>
      </c>
      <c r="C368" s="27" t="s">
        <v>226</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207</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287</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249</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419</v>
      </c>
      <c r="B372" s="27" t="s">
        <v>420</v>
      </c>
      <c r="C372" s="27" t="s">
        <v>226</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421</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422</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282</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423</v>
      </c>
      <c r="B376" s="27" t="s">
        <v>269</v>
      </c>
      <c r="C376" s="27" t="s">
        <v>230</v>
      </c>
      <c r="D376" s="27" t="s">
        <v>215</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274</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424</v>
      </c>
      <c r="B378" s="27" t="s">
        <v>336</v>
      </c>
      <c r="C378" s="27" t="s">
        <v>380</v>
      </c>
      <c r="D378" s="27" t="s">
        <v>215</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425</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426</v>
      </c>
      <c r="B380" s="27" t="s">
        <v>269</v>
      </c>
      <c r="C380" s="27" t="s">
        <v>264</v>
      </c>
      <c r="D380" s="27" t="s">
        <v>215</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234</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row>
    <row r="383" spans="1:12">
      <c r="A383" s="20" t="s">
        <v>427</v>
      </c>
    </row>
    <row r="384" spans="1:12">
      <c r="A384" s="20" t="s">
        <v>428</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286</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238</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429</v>
      </c>
      <c r="B387" s="27" t="s">
        <v>205</v>
      </c>
      <c r="C387" s="27" t="s">
        <v>240</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430</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207</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228</v>
      </c>
      <c r="B390" s="27" t="s">
        <v>213</v>
      </c>
      <c r="C390" s="27" t="s">
        <v>230</v>
      </c>
      <c r="D390" s="27" t="s">
        <v>215</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431</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432</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323</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334</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433</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434</v>
      </c>
      <c r="B396" s="27" t="s">
        <v>205</v>
      </c>
      <c r="C396" s="27" t="s">
        <v>337</v>
      </c>
      <c r="D396" s="27" t="s">
        <v>215</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207</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220</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435</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223</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276</v>
      </c>
      <c r="B401" s="27" t="s">
        <v>263</v>
      </c>
      <c r="C401" s="27" t="s">
        <v>298</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436</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437</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438</v>
      </c>
      <c r="B404" s="27" t="s">
        <v>328</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286</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423</v>
      </c>
      <c r="B406" s="27" t="s">
        <v>250</v>
      </c>
      <c r="C406" s="27" t="s">
        <v>230</v>
      </c>
      <c r="D406" s="27" t="s">
        <v>215</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439</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287</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440</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441</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274</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403</v>
      </c>
      <c r="B412" s="27" t="s">
        <v>266</v>
      </c>
      <c r="C412" s="27" t="s">
        <v>226</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207</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442</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220</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221</v>
      </c>
      <c r="B416" s="27" t="s">
        <v>443</v>
      </c>
      <c r="C416" s="27" t="s">
        <v>264</v>
      </c>
      <c r="D416" s="27" t="s">
        <v>215</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223</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318</v>
      </c>
      <c r="B418" s="27" t="s">
        <v>336</v>
      </c>
      <c r="C418" s="27" t="s">
        <v>214</v>
      </c>
      <c r="D418" s="27" t="s">
        <v>215</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319</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207</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444</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323</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445</v>
      </c>
      <c r="B423" s="27" t="s">
        <v>325</v>
      </c>
      <c r="C423" s="27" t="s">
        <v>380</v>
      </c>
      <c r="D423" s="27" t="s">
        <v>215</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446</v>
      </c>
      <c r="B424" s="27" t="s">
        <v>225</v>
      </c>
      <c r="C424" s="27" t="s">
        <v>264</v>
      </c>
      <c r="D424" s="27" t="s">
        <v>215</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207</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282</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220</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447</v>
      </c>
      <c r="B428" s="27" t="s">
        <v>205</v>
      </c>
      <c r="C428" s="27" t="s">
        <v>264</v>
      </c>
      <c r="D428" s="27" t="s">
        <v>215</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223</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424</v>
      </c>
      <c r="B430" s="27" t="s">
        <v>325</v>
      </c>
      <c r="C430" s="27" t="s">
        <v>380</v>
      </c>
      <c r="D430" s="27" t="s">
        <v>215</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448</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449</v>
      </c>
      <c r="B432" s="27" t="s">
        <v>225</v>
      </c>
      <c r="C432" s="27" t="s">
        <v>264</v>
      </c>
      <c r="D432" s="27" t="s">
        <v>215</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450</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451</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423</v>
      </c>
      <c r="B435" s="27" t="s">
        <v>266</v>
      </c>
      <c r="C435" s="27" t="s">
        <v>230</v>
      </c>
      <c r="D435" s="27" t="s">
        <v>215</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234</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row>
    <row r="438" spans="1:12">
      <c r="A438" s="20" t="s">
        <v>452</v>
      </c>
    </row>
    <row r="439" spans="1:12">
      <c r="A439" s="20" t="s">
        <v>236</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290</v>
      </c>
      <c r="B440" s="27" t="s">
        <v>213</v>
      </c>
      <c r="C440" s="27" t="s">
        <v>214</v>
      </c>
      <c r="D440" s="27" t="s">
        <v>215</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217</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320</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453</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238</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454</v>
      </c>
      <c r="B445" s="27" t="s">
        <v>205</v>
      </c>
      <c r="C445" s="27" t="s">
        <v>455</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223</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456</v>
      </c>
      <c r="B447" s="27" t="s">
        <v>205</v>
      </c>
      <c r="C447" s="27" t="s">
        <v>226</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227</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120</v>
      </c>
      <c r="B449" s="27" t="s">
        <v>229</v>
      </c>
      <c r="C449" s="27" t="s">
        <v>230</v>
      </c>
      <c r="D449" s="27" t="s">
        <v>215</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457</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458</v>
      </c>
      <c r="B451" s="27" t="s">
        <v>325</v>
      </c>
      <c r="C451" s="27" t="s">
        <v>380</v>
      </c>
      <c r="D451" s="27" t="s">
        <v>215</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391</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406</v>
      </c>
      <c r="B453" s="27" t="s">
        <v>233</v>
      </c>
      <c r="C453" s="27" t="s">
        <v>264</v>
      </c>
      <c r="D453" s="27" t="s">
        <v>215</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355</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356</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357</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t="s">
        <v>358</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359</v>
      </c>
      <c r="B458" s="27" t="s">
        <v>225</v>
      </c>
      <c r="C458" s="27" t="s">
        <v>214</v>
      </c>
      <c r="D458" s="27" t="s">
        <v>215</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16</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228</v>
      </c>
      <c r="B460" s="27" t="s">
        <v>229</v>
      </c>
      <c r="C460" s="27" t="s">
        <v>230</v>
      </c>
      <c r="D460" s="27" t="s">
        <v>215</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252</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238</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459</v>
      </c>
      <c r="B463" s="27" t="s">
        <v>233</v>
      </c>
      <c r="C463" s="27" t="s">
        <v>240</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223</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460</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461</v>
      </c>
      <c r="B466" s="27" t="s">
        <v>325</v>
      </c>
      <c r="C466" s="27" t="s">
        <v>226</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320</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424</v>
      </c>
      <c r="B468" s="27" t="s">
        <v>325</v>
      </c>
      <c r="C468" s="27" t="s">
        <v>380</v>
      </c>
      <c r="D468" s="27" t="s">
        <v>215</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462</v>
      </c>
      <c r="B469" s="27" t="s">
        <v>225</v>
      </c>
      <c r="C469" s="27" t="s">
        <v>264</v>
      </c>
      <c r="D469" s="27" t="s">
        <v>215</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207</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228</v>
      </c>
      <c r="B471" s="27" t="s">
        <v>229</v>
      </c>
      <c r="C471" s="27" t="s">
        <v>230</v>
      </c>
      <c r="D471" s="27" t="s">
        <v>215</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217</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463</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234</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row>
    <row r="476" spans="1:12">
      <c r="A476" s="20" t="s">
        <v>464</v>
      </c>
    </row>
    <row r="477" spans="1:12">
      <c r="A477" s="20" t="s">
        <v>236</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228</v>
      </c>
      <c r="B478" s="27" t="s">
        <v>213</v>
      </c>
      <c r="C478" s="27" t="s">
        <v>230</v>
      </c>
      <c r="D478" s="27" t="s">
        <v>215</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217</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399</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378</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465</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466</v>
      </c>
      <c r="B483" s="27" t="s">
        <v>205</v>
      </c>
      <c r="C483" s="27" t="s">
        <v>226</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287</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467</v>
      </c>
      <c r="B485" s="27" t="s">
        <v>225</v>
      </c>
      <c r="C485" s="27" t="s">
        <v>226</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207</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287</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339</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468</v>
      </c>
      <c r="B489" s="27" t="s">
        <v>229</v>
      </c>
      <c r="C489" s="27" t="s">
        <v>469</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217</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470</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423</v>
      </c>
      <c r="B492" s="27" t="s">
        <v>233</v>
      </c>
      <c r="C492" s="27" t="s">
        <v>230</v>
      </c>
      <c r="D492" s="27" t="s">
        <v>215</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320</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424</v>
      </c>
      <c r="B494" s="27" t="s">
        <v>325</v>
      </c>
      <c r="C494" s="27" t="s">
        <v>380</v>
      </c>
      <c r="D494" s="27" t="s">
        <v>215</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471</v>
      </c>
      <c r="B495" s="27" t="s">
        <v>225</v>
      </c>
      <c r="C495" s="27" t="s">
        <v>264</v>
      </c>
      <c r="D495" s="27" t="s">
        <v>215</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234</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row>
    <row r="498" spans="1:12">
      <c r="A498" s="20" t="s">
        <v>472</v>
      </c>
    </row>
    <row r="499" spans="1:12">
      <c r="A499" s="20" t="s">
        <v>236</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257</v>
      </c>
      <c r="B500" s="27" t="s">
        <v>213</v>
      </c>
      <c r="C500" s="27" t="s">
        <v>230</v>
      </c>
      <c r="D500" s="27" t="s">
        <v>215</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217</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473</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207</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329</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274</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474</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207</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338</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257</v>
      </c>
      <c r="B509" s="27" t="s">
        <v>229</v>
      </c>
      <c r="C509" s="27" t="s">
        <v>230</v>
      </c>
      <c r="D509" s="27" t="s">
        <v>215</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217</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473</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249</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257</v>
      </c>
      <c r="B513" s="27" t="s">
        <v>263</v>
      </c>
      <c r="C513" s="27" t="s">
        <v>230</v>
      </c>
      <c r="D513" s="27" t="s">
        <v>215</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217</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387</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323</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475</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423</v>
      </c>
      <c r="B518" s="27" t="s">
        <v>255</v>
      </c>
      <c r="C518" s="27" t="s">
        <v>230</v>
      </c>
      <c r="D518" s="27" t="s">
        <v>215</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207</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249</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228</v>
      </c>
      <c r="B521" s="27" t="s">
        <v>250</v>
      </c>
      <c r="C521" s="27" t="s">
        <v>230</v>
      </c>
      <c r="D521" s="27" t="s">
        <v>215</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217</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387</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323</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476</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279</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477</v>
      </c>
      <c r="B527" s="27" t="s">
        <v>269</v>
      </c>
      <c r="C527" s="27" t="s">
        <v>264</v>
      </c>
      <c r="D527" s="27" t="s">
        <v>215</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223</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424</v>
      </c>
      <c r="B529" s="27" t="s">
        <v>281</v>
      </c>
      <c r="C529" s="27" t="s">
        <v>380</v>
      </c>
      <c r="D529" s="27" t="s">
        <v>215</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478</v>
      </c>
      <c r="B530" s="27" t="s">
        <v>336</v>
      </c>
      <c r="C530" s="27" t="s">
        <v>264</v>
      </c>
      <c r="D530" s="27" t="s">
        <v>215</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207</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287</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249</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257</v>
      </c>
      <c r="B534" s="27" t="s">
        <v>420</v>
      </c>
      <c r="C534" s="27" t="s">
        <v>230</v>
      </c>
      <c r="D534" s="27" t="s">
        <v>215</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479</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480</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424</v>
      </c>
      <c r="B537" s="27" t="s">
        <v>336</v>
      </c>
      <c r="C537" s="27" t="s">
        <v>380</v>
      </c>
      <c r="D537" s="27" t="s">
        <v>215</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481</v>
      </c>
      <c r="B538" s="27" t="s">
        <v>443</v>
      </c>
      <c r="C538" s="27" t="s">
        <v>264</v>
      </c>
      <c r="D538" s="27" t="s">
        <v>215</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282</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220</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248</v>
      </c>
      <c r="B541" s="27" t="s">
        <v>336</v>
      </c>
      <c r="C541" s="27" t="s">
        <v>222</v>
      </c>
      <c r="D541" s="27" t="s">
        <v>215</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344</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257</v>
      </c>
      <c r="B543" s="27" t="s">
        <v>331</v>
      </c>
      <c r="C543" s="27" t="s">
        <v>230</v>
      </c>
      <c r="D543" s="27" t="s">
        <v>215</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457</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399</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378</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482</v>
      </c>
      <c r="B547" s="27" t="s">
        <v>281</v>
      </c>
      <c r="C547" s="27" t="s">
        <v>226</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287</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483</v>
      </c>
      <c r="B549" s="27" t="s">
        <v>484</v>
      </c>
      <c r="C549" s="27" t="s">
        <v>226</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287</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205</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485</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486</v>
      </c>
      <c r="B553" s="27" t="s">
        <v>484</v>
      </c>
      <c r="C553" s="27" t="s">
        <v>226</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223</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487</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248</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488</v>
      </c>
      <c r="B557" s="27" t="s">
        <v>489</v>
      </c>
      <c r="C557" s="27" t="s">
        <v>226</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234</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row>
    <row r="560" spans="1:12">
      <c r="A560" s="20" t="s">
        <v>490</v>
      </c>
    </row>
    <row r="561" spans="1:12">
      <c r="A561" s="20" t="s">
        <v>491</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492</v>
      </c>
      <c r="B562" s="27" t="s">
        <v>205</v>
      </c>
      <c r="C562" s="27" t="s">
        <v>214</v>
      </c>
      <c r="D562" s="27" t="s">
        <v>215</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493</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row>
    <row r="565" spans="1:12">
      <c r="A565" s="20" t="s">
        <v>494</v>
      </c>
    </row>
    <row r="566" spans="1:12">
      <c r="A566" s="20" t="s">
        <v>495</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207</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257</v>
      </c>
      <c r="B568" s="27" t="s">
        <v>213</v>
      </c>
      <c r="C568" s="27" t="s">
        <v>230</v>
      </c>
      <c r="D568" s="27" t="s">
        <v>215</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362</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457</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247</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234</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row>
    <row r="574" spans="1:12">
      <c r="A574" s="20" t="s">
        <v>496</v>
      </c>
    </row>
    <row r="575" spans="1:12">
      <c r="A575" s="20" t="s">
        <v>236</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257</v>
      </c>
      <c r="B576" s="27" t="s">
        <v>213</v>
      </c>
      <c r="C576" s="27" t="s">
        <v>230</v>
      </c>
      <c r="D576" s="27" t="s">
        <v>215</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t="s">
        <v>497</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220</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391</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395</v>
      </c>
      <c r="B580" s="27" t="s">
        <v>261</v>
      </c>
      <c r="C580" s="27" t="s">
        <v>264</v>
      </c>
      <c r="D580" s="27" t="s">
        <v>215</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223</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220</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364</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498</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499</v>
      </c>
      <c r="B585" s="27" t="s">
        <v>225</v>
      </c>
      <c r="C585" s="27" t="s">
        <v>214</v>
      </c>
      <c r="D585" s="27" t="s">
        <v>215</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234</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row>
    <row r="588" spans="1:12">
      <c r="A588" s="20" t="s">
        <v>500</v>
      </c>
    </row>
    <row r="589" spans="1:12">
      <c r="A589" s="20" t="s">
        <v>236</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286</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257</v>
      </c>
      <c r="B591" s="27" t="s">
        <v>229</v>
      </c>
      <c r="C591" s="27" t="s">
        <v>230</v>
      </c>
      <c r="D591" s="27" t="s">
        <v>215</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497</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207</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257</v>
      </c>
      <c r="B594" s="27" t="s">
        <v>213</v>
      </c>
      <c r="C594" s="27" t="s">
        <v>230</v>
      </c>
      <c r="D594" s="27" t="s">
        <v>215</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501</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249</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502</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217</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238</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503</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504</v>
      </c>
      <c r="B601" s="27" t="s">
        <v>229</v>
      </c>
      <c r="C601" s="27" t="s">
        <v>240</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505</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320</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290</v>
      </c>
      <c r="B604" s="27" t="s">
        <v>269</v>
      </c>
      <c r="C604" s="27" t="s">
        <v>214</v>
      </c>
      <c r="D604" s="27" t="s">
        <v>215</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270</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462</v>
      </c>
      <c r="B606" s="27" t="s">
        <v>266</v>
      </c>
      <c r="C606" s="27" t="s">
        <v>264</v>
      </c>
      <c r="D606" s="27" t="s">
        <v>215</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234</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row>
    <row r="609" spans="1:12">
      <c r="A609" s="20" t="s">
        <v>506</v>
      </c>
    </row>
    <row r="610" spans="1:12">
      <c r="A610" s="20" t="s">
        <v>507</v>
      </c>
      <c r="B610" s="27" t="s">
        <v>213</v>
      </c>
      <c r="C610" s="27" t="s">
        <v>230</v>
      </c>
      <c r="D610" s="27" t="s">
        <v>215</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217</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286</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344</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228</v>
      </c>
      <c r="B614" s="27" t="s">
        <v>250</v>
      </c>
      <c r="C614" s="27" t="s">
        <v>230</v>
      </c>
      <c r="D614" s="27" t="s">
        <v>215</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217</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320</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220</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508</v>
      </c>
      <c r="B618" s="27" t="s">
        <v>325</v>
      </c>
      <c r="C618" s="27" t="s">
        <v>222</v>
      </c>
      <c r="D618" s="27" t="s">
        <v>215</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223</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509</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465</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510</v>
      </c>
      <c r="B622" s="27" t="s">
        <v>266</v>
      </c>
      <c r="C622" s="27" t="s">
        <v>206</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207</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238</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511</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512</v>
      </c>
      <c r="B626" s="27" t="s">
        <v>229</v>
      </c>
      <c r="C626" s="27" t="s">
        <v>240</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207</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274</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276</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513</v>
      </c>
      <c r="B630" s="27" t="s">
        <v>266</v>
      </c>
      <c r="C630" s="27" t="s">
        <v>380</v>
      </c>
      <c r="D630" s="27" t="s">
        <v>215</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247</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220</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188</v>
      </c>
      <c r="B633" s="27" t="s">
        <v>255</v>
      </c>
      <c r="C633" s="27" t="s">
        <v>222</v>
      </c>
      <c r="D633" s="27" t="s">
        <v>215</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217</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445</v>
      </c>
      <c r="B635" s="27" t="s">
        <v>225</v>
      </c>
      <c r="C635" s="27" t="s">
        <v>380</v>
      </c>
      <c r="D635" s="27" t="s">
        <v>215</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514</v>
      </c>
      <c r="B636" s="27" t="s">
        <v>205</v>
      </c>
      <c r="C636" s="27" t="s">
        <v>264</v>
      </c>
      <c r="D636" s="27" t="s">
        <v>215</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234</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row>
    <row r="639" spans="1:12">
      <c r="A639" s="20" t="s">
        <v>515</v>
      </c>
    </row>
    <row r="640" spans="1:12">
      <c r="A640" s="20" t="s">
        <v>236</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290</v>
      </c>
      <c r="B641" s="27" t="s">
        <v>225</v>
      </c>
      <c r="C641" s="27" t="s">
        <v>214</v>
      </c>
      <c r="D641" s="27" t="s">
        <v>215</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270</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460</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516</v>
      </c>
      <c r="B644" s="27" t="s">
        <v>213</v>
      </c>
      <c r="C644" s="27" t="s">
        <v>264</v>
      </c>
      <c r="D644" s="27" t="s">
        <v>215</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217</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517</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279</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518</v>
      </c>
      <c r="B648" s="27" t="s">
        <v>205</v>
      </c>
      <c r="C648" s="27" t="s">
        <v>226</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207</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238</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519</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520</v>
      </c>
      <c r="B652" s="27" t="s">
        <v>225</v>
      </c>
      <c r="C652" s="27" t="s">
        <v>240</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287</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521</v>
      </c>
      <c r="B654" s="27" t="s">
        <v>325</v>
      </c>
      <c r="C654" s="27" t="s">
        <v>226</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234</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row>
    <row r="657" spans="1:12">
      <c r="A657" s="20" t="s">
        <v>522</v>
      </c>
    </row>
    <row r="658" spans="1:12">
      <c r="A658" s="20" t="s">
        <v>236</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320</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238</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523</v>
      </c>
      <c r="B661" s="27" t="s">
        <v>205</v>
      </c>
      <c r="C661" s="27" t="s">
        <v>240</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207</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228</v>
      </c>
      <c r="B663" s="27" t="s">
        <v>213</v>
      </c>
      <c r="C663" s="27" t="s">
        <v>230</v>
      </c>
      <c r="D663" s="27" t="s">
        <v>215</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524</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424</v>
      </c>
      <c r="B665" s="27" t="s">
        <v>225</v>
      </c>
      <c r="C665" s="27" t="s">
        <v>380</v>
      </c>
      <c r="D665" s="27" t="s">
        <v>215</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448</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248</v>
      </c>
      <c r="B667" s="27" t="s">
        <v>261</v>
      </c>
      <c r="C667" s="27" t="s">
        <v>264</v>
      </c>
      <c r="D667" s="27" t="s">
        <v>215</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287</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228</v>
      </c>
      <c r="B669" s="27" t="s">
        <v>229</v>
      </c>
      <c r="C669" s="27" t="s">
        <v>230</v>
      </c>
      <c r="D669" s="27" t="s">
        <v>215</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457</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247</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207</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303</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525</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207</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526</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527</v>
      </c>
      <c r="B677" s="27" t="s">
        <v>325</v>
      </c>
      <c r="C677" s="27" t="s">
        <v>226</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223</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248</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528</v>
      </c>
      <c r="B680" s="27" t="s">
        <v>266</v>
      </c>
      <c r="C680" s="27" t="s">
        <v>226</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276</v>
      </c>
      <c r="B681" s="27" t="s">
        <v>529</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228</v>
      </c>
      <c r="B682" s="27" t="s">
        <v>331</v>
      </c>
      <c r="C682" s="27" t="s">
        <v>230</v>
      </c>
      <c r="D682" s="27" t="s">
        <v>215</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440</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530</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407</v>
      </c>
      <c r="B685" s="27" t="s">
        <v>529</v>
      </c>
      <c r="C685" s="27" t="s">
        <v>230</v>
      </c>
      <c r="D685" s="27" t="s">
        <v>215</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323</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312</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16</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531</v>
      </c>
      <c r="B689" s="27" t="s">
        <v>532</v>
      </c>
      <c r="C689" s="27" t="s">
        <v>214</v>
      </c>
      <c r="D689" s="27" t="s">
        <v>215</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207</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533</v>
      </c>
      <c r="B691" s="27" t="s">
        <v>484</v>
      </c>
      <c r="C691" s="27" t="s">
        <v>214</v>
      </c>
      <c r="D691" s="27" t="s">
        <v>215</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207</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534</v>
      </c>
      <c r="B693" s="27" t="s">
        <v>484</v>
      </c>
      <c r="C693" s="27" t="s">
        <v>214</v>
      </c>
      <c r="D693" s="27" t="s">
        <v>215</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234</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row>
    <row r="696" spans="1:12">
      <c r="A696" s="20" t="s">
        <v>535</v>
      </c>
    </row>
    <row r="697" spans="1:12">
      <c r="A697" s="20" t="s">
        <v>236</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120</v>
      </c>
      <c r="B698" s="27" t="s">
        <v>213</v>
      </c>
      <c r="C698" s="27" t="s">
        <v>230</v>
      </c>
      <c r="D698" s="27" t="s">
        <v>215</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457</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399</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378</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188</v>
      </c>
      <c r="B702" s="27" t="s">
        <v>225</v>
      </c>
      <c r="C702" s="27" t="s">
        <v>226</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207</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401</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536</v>
      </c>
      <c r="B705" s="27" t="s">
        <v>205</v>
      </c>
      <c r="C705" s="27" t="s">
        <v>214</v>
      </c>
      <c r="D705" s="27" t="s">
        <v>215</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323</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364</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287</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537</v>
      </c>
      <c r="B709" s="27" t="s">
        <v>325</v>
      </c>
      <c r="C709" s="27" t="s">
        <v>214</v>
      </c>
      <c r="D709" s="27" t="s">
        <v>215</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207</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538</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207</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322</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220</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539</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270</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207</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401</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540</v>
      </c>
      <c r="B719" s="27" t="s">
        <v>325</v>
      </c>
      <c r="C719" s="27" t="s">
        <v>214</v>
      </c>
      <c r="D719" s="27" t="s">
        <v>215</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207</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322</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220</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377</v>
      </c>
      <c r="B723" s="27" t="s">
        <v>225</v>
      </c>
      <c r="C723" s="27" t="s">
        <v>222</v>
      </c>
      <c r="D723" s="27" t="s">
        <v>215</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541</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323</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542</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543</v>
      </c>
      <c r="B727" s="27" t="s">
        <v>325</v>
      </c>
      <c r="C727" s="27" t="s">
        <v>214</v>
      </c>
      <c r="D727" s="27" t="s">
        <v>215</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234</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row>
    <row r="730" spans="1:12">
      <c r="A730" s="20" t="s">
        <v>544</v>
      </c>
    </row>
    <row r="731" spans="1:12">
      <c r="A731" s="20" t="s">
        <v>236</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257</v>
      </c>
      <c r="B732" s="27" t="s">
        <v>213</v>
      </c>
      <c r="C732" s="27" t="s">
        <v>230</v>
      </c>
      <c r="D732" s="27" t="s">
        <v>215</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501</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249</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228</v>
      </c>
      <c r="B735" s="27" t="s">
        <v>229</v>
      </c>
      <c r="C735" s="27" t="s">
        <v>230</v>
      </c>
      <c r="D735" s="27" t="s">
        <v>215</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329</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251</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252</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241</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545</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546</v>
      </c>
      <c r="B741" s="27" t="s">
        <v>233</v>
      </c>
      <c r="C741" s="27" t="s">
        <v>240</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223</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188</v>
      </c>
      <c r="B743" s="27" t="s">
        <v>325</v>
      </c>
      <c r="C743" s="27" t="s">
        <v>226</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207</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338</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228</v>
      </c>
      <c r="B746" s="27" t="s">
        <v>229</v>
      </c>
      <c r="C746" s="27" t="s">
        <v>230</v>
      </c>
      <c r="D746" s="27" t="s">
        <v>215</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547</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323</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548</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188</v>
      </c>
      <c r="B750" s="27" t="s">
        <v>225</v>
      </c>
      <c r="C750" s="27" t="s">
        <v>337</v>
      </c>
      <c r="D750" s="27" t="s">
        <v>215</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355</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238</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549</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550</v>
      </c>
      <c r="B754" s="27" t="s">
        <v>225</v>
      </c>
      <c r="C754" s="27" t="s">
        <v>240</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234</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row>
    <row r="757" spans="1:12">
      <c r="A757" s="20" t="s">
        <v>551</v>
      </c>
    </row>
    <row r="758" spans="1:12">
      <c r="A758" s="20" t="s">
        <v>361</v>
      </c>
      <c r="B758" s="27" t="s">
        <v>213</v>
      </c>
      <c r="C758" s="27" t="s">
        <v>230</v>
      </c>
      <c r="D758" s="27" t="s">
        <v>215</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552</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378</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414</v>
      </c>
      <c r="B761" s="27" t="s">
        <v>205</v>
      </c>
      <c r="C761" s="27" t="s">
        <v>230</v>
      </c>
      <c r="D761" s="27" t="s">
        <v>215</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282</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t="s">
        <v>220</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459</v>
      </c>
      <c r="B764" s="27" t="s">
        <v>205</v>
      </c>
      <c r="C764" s="27" t="s">
        <v>222</v>
      </c>
      <c r="D764" s="27" t="s">
        <v>215</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223</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553</v>
      </c>
      <c r="B766" s="27" t="s">
        <v>225</v>
      </c>
      <c r="C766" s="27" t="s">
        <v>226</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287</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518</v>
      </c>
      <c r="B768" s="27" t="s">
        <v>325</v>
      </c>
      <c r="C768" s="27" t="s">
        <v>226</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249</v>
      </c>
      <c r="B769" s="27" t="s">
        <v>328</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257</v>
      </c>
      <c r="B770" s="27" t="s">
        <v>263</v>
      </c>
      <c r="C770" s="27" t="s">
        <v>230</v>
      </c>
      <c r="D770" s="27" t="s">
        <v>215</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554</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282</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513</v>
      </c>
      <c r="B773" s="27" t="s">
        <v>266</v>
      </c>
      <c r="C773" s="27" t="s">
        <v>380</v>
      </c>
      <c r="D773" s="27" t="s">
        <v>215</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555</v>
      </c>
      <c r="B774" s="27" t="s">
        <v>325</v>
      </c>
      <c r="C774" s="27" t="s">
        <v>264</v>
      </c>
      <c r="D774" s="27" t="s">
        <v>215</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320</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220</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208</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t="s">
        <v>209</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556</v>
      </c>
      <c r="B779" s="27" t="s">
        <v>325</v>
      </c>
      <c r="C779" s="27" t="s">
        <v>214</v>
      </c>
      <c r="D779" s="27" t="s">
        <v>215</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234</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row>
    <row r="782" spans="1:12">
      <c r="A782" s="20" t="s">
        <v>557</v>
      </c>
    </row>
    <row r="783" spans="1:12">
      <c r="A783" s="20" t="s">
        <v>236</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558</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t="s">
        <v>247</v>
      </c>
      <c r="E785" s="21">
        <f>IF(D785="?OLD","!!!","")</f>
        <v/>
      </c>
      <c r="F785" s="22" t="str">
        <f>IF(OR(E785="",E785="!!!"),"",IF(NOT(ISNA(VLOOKUP(E785,E$1:E784,1,FALSE()))),"OLD",IF(AND(E785&lt;&gt;"",E785&lt;&gt;"!!!"),"NEW","")))</f>
        <v> </v>
      </c>
      <c r="G785" s="23" t="str">
        <f>IF(OR(E785="",E785="!!!"),"",IF(OR(J785=0,AND(J785=1,K785=1),AND(J785=1,I785="SBJ"),AND(J785=1,I785=0)),"?IN_FOCUS",IF(J785&lt;=2,"?ACTIVATED",IF(J785&lt;&gt;"","?FAMILIAR",IF(F785="NEW",IF(ISNA(VLOOKUP(E785,#REF!,1,FALSE())),"?TYPE_IDENTIFIABLE","?REFERENTIAL"),"_")))))</f>
        <v> </v>
      </c>
      <c r="H785" s="24" t="str">
        <f>IF(J785&lt;&gt;1,"",IF(I785="SBJ","CB","?"))</f>
        <v> </v>
      </c>
      <c r="I785" s="25" t="str">
        <f>IF(OR(E785="",E785="!!!",F785="NEW"),"",INDEX(B784:B$2,-1+SUMPRODUCT(MAX(ROW(E784:E$2)*(E785=E784:E$2)))))</f>
        <v> </v>
      </c>
      <c r="J785" s="25" t="str">
        <f>IF(OR(E785="",E785="!!!",F785="NEW"),"",COUNTBLANK(OFFSET(A$1,,,SUMPRODUCT(MAX(ROW(E$2:E785)*(E785=E$2:E785)))))-COUNTBLANK(OFFSET(A$1,,,SUMPRODUCT(MAX(ROW(E$1:E784)*(E2=E$1:E784))))))</f>
        <v> </v>
      </c>
      <c r="K785" s="25" t="str">
        <f>IF(OR(E785="",E785="!!!",F785="NEW"),"",INDEX(J$1:J784,SUMPRODUCT(MAX(ROW(E$1:E784)*(E785=E$1:E784)))))</f>
        <v> </v>
      </c>
      <c r="L785" s="26"/>
    </row>
    <row r="786" spans="1:12">
      <c r="A786" s="20" t="s">
        <v>188</v>
      </c>
      <c r="B786" s="27" t="s">
        <v>233</v>
      </c>
      <c r="C786" s="27" t="s">
        <v>226</v>
      </c>
      <c r="E786" s="21">
        <f>IF(D786="?OLD","!!!","")</f>
        <v/>
      </c>
      <c r="F786" s="22" t="str">
        <f>IF(OR(E786="",E786="!!!"),"",IF(NOT(ISNA(VLOOKUP(E786,E$1:E785,1,FALSE()))),"OLD",IF(AND(E786&lt;&gt;"",E786&lt;&gt;"!!!"),"NEW","")))</f>
        <v> </v>
      </c>
      <c r="G786" s="23" t="str">
        <f>IF(OR(E786="",E786="!!!"),"",IF(OR(J786=0,AND(J786=1,K786=1),AND(J786=1,I786="SBJ"),AND(J786=1,I786=0)),"?IN_FOCUS",IF(J786&lt;=2,"?ACTIVATED",IF(J786&lt;&gt;"","?FAMILIAR",IF(F786="NEW",IF(ISNA(VLOOKUP(E786,#REF!,1,FALSE())),"?TYPE_IDENTIFIABLE","?REFERENTIAL"),"_")))))</f>
        <v> </v>
      </c>
      <c r="H786" s="24" t="str">
        <f>IF(J786&lt;&gt;1,"",IF(I786="SBJ","CB","?"))</f>
        <v> </v>
      </c>
      <c r="I786" s="25" t="str">
        <f>IF(OR(E786="",E786="!!!",F786="NEW"),"",INDEX(B785:B$2,-1+SUMPRODUCT(MAX(ROW(E785:E$2)*(E786=E785:E$2)))))</f>
        <v> </v>
      </c>
      <c r="J786" s="25" t="str">
        <f>IF(OR(E786="",E786="!!!",F786="NEW"),"",COUNTBLANK(OFFSET(A$1,,,SUMPRODUCT(MAX(ROW(E$2:E786)*(E786=E$2:E786)))))-COUNTBLANK(OFFSET(A$1,,,SUMPRODUCT(MAX(ROW(E$1:E785)*(E2=E$1:E785))))))</f>
        <v> </v>
      </c>
      <c r="K786" s="25" t="str">
        <f>IF(OR(E786="",E786="!!!",F786="NEW"),"",INDEX(J$1:J785,SUMPRODUCT(MAX(ROW(E$1:E785)*(E786=E$1:E785)))))</f>
        <v> </v>
      </c>
      <c r="L786" s="26"/>
    </row>
    <row r="787" spans="1:12">
      <c r="A787" s="20" t="s">
        <v>287</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399</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378</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188</v>
      </c>
      <c r="B790" s="27" t="s">
        <v>325</v>
      </c>
      <c r="C790" s="27" t="s">
        <v>226</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207</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548</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239</v>
      </c>
      <c r="B793" s="27" t="s">
        <v>213</v>
      </c>
      <c r="C793" s="27" t="s">
        <v>337</v>
      </c>
      <c r="D793" s="27" t="s">
        <v>215</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252</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517</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401</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220</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306</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207</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559</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239</v>
      </c>
      <c r="B801" s="27" t="s">
        <v>205</v>
      </c>
      <c r="C801" s="27" t="s">
        <v>222</v>
      </c>
      <c r="D801" s="27" t="s">
        <v>215</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249</v>
      </c>
      <c r="B802" s="27" t="s">
        <v>263</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252</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362</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560</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401</v>
      </c>
      <c r="E806" s="21">
        <f>IF(D806="?OLD","!!!","")</f>
        <v/>
      </c>
      <c r="F806" s="22" t="str">
        <f>IF(OR(E806="",E806="!!!"),"",IF(NOT(ISNA(VLOOKUP(E806,E$1:E805,1,FALSE()))),"OLD",IF(AND(E806&lt;&gt;"",E806&lt;&gt;"!!!"),"NEW","")))</f>
        <v> </v>
      </c>
      <c r="G806" s="23" t="str">
        <f>IF(OR(E806="",E806="!!!"),"",IF(OR(J806=0,AND(J806=1,K806=1),AND(J806=1,I806="SBJ"),AND(J806=1,I806=0)),"?IN_FOCUS",IF(J806&lt;=2,"?ACTIVATED",IF(J806&lt;&gt;"","?FAMILIAR",IF(F806="NEW",IF(ISNA(VLOOKUP(E806,#REF!,1,FALSE())),"?TYPE_IDENTIFIABLE","?REFERENTIAL"),"_")))))</f>
        <v> </v>
      </c>
      <c r="H806" s="24" t="str">
        <f>IF(J806&lt;&gt;1,"",IF(I806="SBJ","CB","?"))</f>
        <v> </v>
      </c>
      <c r="I806" s="25" t="str">
        <f>IF(OR(E806="",E806="!!!",F806="NEW"),"",INDEX(B805:B$2,-1+SUMPRODUCT(MAX(ROW(E805:E$2)*(E806=E805:E$2)))))</f>
        <v> </v>
      </c>
      <c r="J806" s="25" t="str">
        <f>IF(OR(E806="",E806="!!!",F806="NEW"),"",COUNTBLANK(OFFSET(A$1,,,SUMPRODUCT(MAX(ROW(E$2:E806)*(E806=E$2:E806)))))-COUNTBLANK(OFFSET(A$1,,,SUMPRODUCT(MAX(ROW(E$1:E805)*(E2=E$1:E805))))))</f>
        <v> </v>
      </c>
      <c r="K806" s="25" t="str">
        <f>IF(OR(E806="",E806="!!!",F806="NEW"),"",INDEX(J$1:J805,SUMPRODUCT(MAX(ROW(E$1:E805)*(E806=E$1:E805)))))</f>
        <v> </v>
      </c>
      <c r="L806" s="26"/>
    </row>
    <row r="807" spans="1:12">
      <c r="A807" s="20" t="s">
        <v>218</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220</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t="s">
        <v>221</v>
      </c>
      <c r="B809" s="27" t="s">
        <v>255</v>
      </c>
      <c r="C809" s="27" t="s">
        <v>264</v>
      </c>
      <c r="D809" s="27" t="s">
        <v>215</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223</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224</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208</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209</v>
      </c>
      <c r="B813" s="27" t="s">
        <v>269</v>
      </c>
      <c r="C813" s="27" t="s">
        <v>214</v>
      </c>
      <c r="D813" s="27" t="s">
        <v>215</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t="s">
        <v>323</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220</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244</v>
      </c>
      <c r="B816" s="27" t="s">
        <v>205</v>
      </c>
      <c r="C816" s="27" t="s">
        <v>222</v>
      </c>
      <c r="D816" s="27" t="s">
        <v>215</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207</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561</v>
      </c>
      <c r="B818" s="27" t="s">
        <v>225</v>
      </c>
      <c r="C818" s="27" t="s">
        <v>226</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207</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562</v>
      </c>
      <c r="B820" s="27" t="s">
        <v>225</v>
      </c>
      <c r="C820" s="27" t="s">
        <v>226</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t="s">
        <v>207</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293</v>
      </c>
      <c r="B822" s="27" t="s">
        <v>266</v>
      </c>
      <c r="C822" s="27" t="s">
        <v>214</v>
      </c>
      <c r="D822" s="27" t="s">
        <v>215</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16</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294</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563</v>
      </c>
      <c r="B825" s="27" t="s">
        <v>225</v>
      </c>
      <c r="C825" s="27" t="s">
        <v>226</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234</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row>
    <row r="828" spans="1:12">
      <c r="A828" s="20" t="s">
        <v>564</v>
      </c>
    </row>
    <row r="829" spans="1:12">
      <c r="A829" s="20" t="s">
        <v>565</v>
      </c>
      <c r="B829" s="27" t="s">
        <v>213</v>
      </c>
      <c r="C829" s="27" t="s">
        <v>214</v>
      </c>
      <c r="D829" s="27" t="s">
        <v>215</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431</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566</v>
      </c>
      <c r="B831" s="27" t="s">
        <v>205</v>
      </c>
      <c r="C831" s="27" t="s">
        <v>226</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234</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row>
    <row r="834" spans="1:12">
      <c r="A834" s="20" t="s">
        <v>567</v>
      </c>
    </row>
    <row r="835" spans="1:12">
      <c r="A835" s="20" t="s">
        <v>565</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568</v>
      </c>
      <c r="B836" s="27" t="s">
        <v>213</v>
      </c>
      <c r="C836" s="27" t="s">
        <v>226</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t="s">
        <v>569</v>
      </c>
      <c r="B837" s="27" t="s">
        <v>205</v>
      </c>
      <c r="C837" s="27" t="s">
        <v>230</v>
      </c>
      <c r="D837" s="27" t="s">
        <v>215</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234</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row>
    <row r="840" spans="1:12">
      <c r="A840" s="20" t="s">
        <v>570</v>
      </c>
    </row>
    <row r="841" spans="1:12">
      <c r="A841" s="20" t="s">
        <v>236</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274</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t="s">
        <v>290</v>
      </c>
      <c r="B843" s="27" t="s">
        <v>205</v>
      </c>
      <c r="C843" s="27" t="s">
        <v>214</v>
      </c>
      <c r="D843" s="27" t="s">
        <v>215</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t="s">
        <v>207</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t="s">
        <v>188</v>
      </c>
      <c r="B845" s="27" t="s">
        <v>213</v>
      </c>
      <c r="C845" s="27" t="s">
        <v>226</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431</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t="s">
        <v>571</v>
      </c>
      <c r="B847" s="27" t="s">
        <v>205</v>
      </c>
      <c r="C847" s="27" t="s">
        <v>226</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t="s">
        <v>234</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row>
    <row r="850" spans="1:12">
      <c r="A850" s="20" t="s">
        <v>572</v>
      </c>
    </row>
    <row r="851" spans="1:12">
      <c r="A851" s="20" t="s">
        <v>573</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188</v>
      </c>
      <c r="B852" s="27" t="s">
        <v>229</v>
      </c>
      <c r="C852" s="27" t="s">
        <v>226</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574</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t="s">
        <v>423</v>
      </c>
      <c r="B854" s="27" t="s">
        <v>233</v>
      </c>
      <c r="C854" s="27" t="s">
        <v>230</v>
      </c>
      <c r="D854" s="27" t="s">
        <v>215</v>
      </c>
      <c r="E854" s="21">
        <f>IF(D854="?OLD","!!!","")</f>
        <v/>
      </c>
      <c r="F854" s="22" t="str">
        <f>IF(OR(E854="",E854="!!!"),"",IF(NOT(ISNA(VLOOKUP(E854,E$1:E853,1,FALSE()))),"OLD",IF(AND(E854&lt;&gt;"",E854&lt;&gt;"!!!"),"NEW","")))</f>
        <v> </v>
      </c>
      <c r="G854" s="23" t="str">
        <f>IF(OR(E854="",E854="!!!"),"",IF(OR(J854=0,AND(J854=1,K854=1),AND(J854=1,I854="SBJ"),AND(J854=1,I854=0)),"?IN_FOCUS",IF(J854&lt;=2,"?ACTIVATED",IF(J854&lt;&gt;"","?FAMILIAR",IF(F854="NEW",IF(ISNA(VLOOKUP(E854,#REF!,1,FALSE())),"?TYPE_IDENTIFIABLE","?REFERENTIAL"),"_")))))</f>
        <v> </v>
      </c>
      <c r="H854" s="24" t="str">
        <f>IF(J854&lt;&gt;1,"",IF(I854="SBJ","CB","?"))</f>
        <v> </v>
      </c>
      <c r="I854" s="25" t="str">
        <f>IF(OR(E854="",E854="!!!",F854="NEW"),"",INDEX(B853:B$2,-1+SUMPRODUCT(MAX(ROW(E853:E$2)*(E854=E853:E$2)))))</f>
        <v> </v>
      </c>
      <c r="J854" s="25" t="str">
        <f>IF(OR(E854="",E854="!!!",F854="NEW"),"",COUNTBLANK(OFFSET(A$1,,,SUMPRODUCT(MAX(ROW(E$2:E854)*(E854=E$2:E854)))))-COUNTBLANK(OFFSET(A$1,,,SUMPRODUCT(MAX(ROW(E$1:E853)*(E2=E$1:E853))))))</f>
        <v> </v>
      </c>
      <c r="K854" s="25" t="str">
        <f>IF(OR(E854="",E854="!!!",F854="NEW"),"",INDEX(J$1:J853,SUMPRODUCT(MAX(ROW(E$1:E853)*(E854=E$1:E853)))))</f>
        <v> </v>
      </c>
      <c r="L854" s="26"/>
    </row>
    <row r="855" spans="1:12">
      <c r="A855" s="20" t="s">
        <v>323</v>
      </c>
      <c r="E855" s="21">
        <f>IF(D855="?OLD","!!!","")</f>
        <v/>
      </c>
      <c r="F855" s="22" t="str">
        <f>IF(OR(E855="",E855="!!!"),"",IF(NOT(ISNA(VLOOKUP(E855,E$1:E854,1,FALSE()))),"OLD",IF(AND(E855&lt;&gt;"",E855&lt;&gt;"!!!"),"NEW","")))</f>
        <v> </v>
      </c>
      <c r="G855" s="23" t="str">
        <f>IF(OR(E855="",E855="!!!"),"",IF(OR(J855=0,AND(J855=1,K855=1),AND(J855=1,I855="SBJ"),AND(J855=1,I855=0)),"?IN_FOCUS",IF(J855&lt;=2,"?ACTIVATED",IF(J855&lt;&gt;"","?FAMILIAR",IF(F855="NEW",IF(ISNA(VLOOKUP(E855,#REF!,1,FALSE())),"?TYPE_IDENTIFIABLE","?REFERENTIAL"),"_")))))</f>
        <v> </v>
      </c>
      <c r="H855" s="24" t="str">
        <f>IF(J855&lt;&gt;1,"",IF(I855="SBJ","CB","?"))</f>
        <v> </v>
      </c>
      <c r="I855" s="25" t="str">
        <f>IF(OR(E855="",E855="!!!",F855="NEW"),"",INDEX(B854:B$2,-1+SUMPRODUCT(MAX(ROW(E854:E$2)*(E855=E854:E$2)))))</f>
        <v> </v>
      </c>
      <c r="J855" s="25" t="str">
        <f>IF(OR(E855="",E855="!!!",F855="NEW"),"",COUNTBLANK(OFFSET(A$1,,,SUMPRODUCT(MAX(ROW(E$2:E855)*(E855=E$2:E855)))))-COUNTBLANK(OFFSET(A$1,,,SUMPRODUCT(MAX(ROW(E$1:E854)*(E2=E$1:E854))))))</f>
        <v> </v>
      </c>
      <c r="K855" s="25" t="str">
        <f>IF(OR(E855="",E855="!!!",F855="NEW"),"",INDEX(J$1:J854,SUMPRODUCT(MAX(ROW(E$1:E854)*(E855=E$1:E854)))))</f>
        <v> </v>
      </c>
      <c r="L855" s="26"/>
    </row>
    <row r="856" spans="1:12">
      <c r="A856" s="20" t="s">
        <v>575</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424</v>
      </c>
      <c r="B857" s="27" t="s">
        <v>266</v>
      </c>
      <c r="C857" s="27" t="s">
        <v>380</v>
      </c>
      <c r="D857" s="27" t="s">
        <v>215</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576</v>
      </c>
      <c r="B858" s="27" t="s">
        <v>328</v>
      </c>
      <c r="C858" s="27" t="s">
        <v>264</v>
      </c>
      <c r="D858" s="27" t="s">
        <v>215</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287</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577</v>
      </c>
      <c r="B860" s="27" t="s">
        <v>266</v>
      </c>
      <c r="C860" s="27" t="s">
        <v>226</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287</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341</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578</v>
      </c>
      <c r="B863" s="27" t="s">
        <v>255</v>
      </c>
      <c r="C863" s="27" t="s">
        <v>230</v>
      </c>
      <c r="D863" s="27" t="s">
        <v>215</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t="s">
        <v>558</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424</v>
      </c>
      <c r="B865" s="27" t="s">
        <v>269</v>
      </c>
      <c r="C865" s="27" t="s">
        <v>380</v>
      </c>
      <c r="D865" s="27" t="s">
        <v>215</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t="s">
        <v>579</v>
      </c>
      <c r="B866" s="27" t="s">
        <v>266</v>
      </c>
      <c r="C866" s="27" t="s">
        <v>264</v>
      </c>
      <c r="D866" s="27" t="s">
        <v>215</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t="s">
        <v>287</v>
      </c>
      <c r="E867" s="21">
        <f>IF(D867="?OLD","!!!","")</f>
        <v/>
      </c>
      <c r="F867" s="22" t="str">
        <f>IF(OR(E867="",E867="!!!"),"",IF(NOT(ISNA(VLOOKUP(E867,E$1:E866,1,FALSE()))),"OLD",IF(AND(E867&lt;&gt;"",E867&lt;&gt;"!!!"),"NEW","")))</f>
        <v> </v>
      </c>
      <c r="G867" s="23" t="str">
        <f>IF(OR(E867="",E867="!!!"),"",IF(OR(J867=0,AND(J867=1,K867=1),AND(J867=1,I867="SBJ"),AND(J867=1,I867=0)),"?IN_FOCUS",IF(J867&lt;=2,"?ACTIVATED",IF(J867&lt;&gt;"","?FAMILIAR",IF(F867="NEW",IF(ISNA(VLOOKUP(E867,#REF!,1,FALSE())),"?TYPE_IDENTIFIABLE","?REFERENTIAL"),"_")))))</f>
        <v> </v>
      </c>
      <c r="H867" s="24" t="str">
        <f>IF(J867&lt;&gt;1,"",IF(I867="SBJ","CB","?"))</f>
        <v> </v>
      </c>
      <c r="I867" s="25" t="str">
        <f>IF(OR(E867="",E867="!!!",F867="NEW"),"",INDEX(B866:B$2,-1+SUMPRODUCT(MAX(ROW(E866:E$2)*(E867=E866:E$2)))))</f>
        <v> </v>
      </c>
      <c r="J867" s="25" t="str">
        <f>IF(OR(E867="",E867="!!!",F867="NEW"),"",COUNTBLANK(OFFSET(A$1,,,SUMPRODUCT(MAX(ROW(E$2:E867)*(E867=E$2:E867)))))-COUNTBLANK(OFFSET(A$1,,,SUMPRODUCT(MAX(ROW(E$1:E866)*(E2=E$1:E866))))))</f>
        <v> </v>
      </c>
      <c r="K867" s="25" t="str">
        <f>IF(OR(E867="",E867="!!!",F867="NEW"),"",INDEX(J$1:J866,SUMPRODUCT(MAX(ROW(E$1:E866)*(E867=E$1:E866)))))</f>
        <v> </v>
      </c>
      <c r="L867" s="26"/>
    </row>
    <row r="868" spans="1:12">
      <c r="A868" s="20" t="s">
        <v>424</v>
      </c>
      <c r="B868" s="27" t="s">
        <v>336</v>
      </c>
      <c r="C868" s="27" t="s">
        <v>380</v>
      </c>
      <c r="D868" s="27" t="s">
        <v>215</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t="s">
        <v>580</v>
      </c>
      <c r="B869" s="27" t="s">
        <v>269</v>
      </c>
      <c r="C869" s="27" t="s">
        <v>264</v>
      </c>
      <c r="D869" s="27" t="s">
        <v>215</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207</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279</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129</v>
      </c>
      <c r="B872" s="27" t="s">
        <v>205</v>
      </c>
      <c r="C872" s="27" t="s">
        <v>226</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234</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row>
    <row r="875" spans="1:12">
      <c r="A875" s="20" t="s">
        <v>581</v>
      </c>
    </row>
    <row r="876" spans="1:12">
      <c r="A876" s="20" t="s">
        <v>236</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249</v>
      </c>
      <c r="B877" s="27" t="s">
        <v>213</v>
      </c>
      <c r="C877" s="27" t="s">
        <v>455</v>
      </c>
      <c r="D877" s="27" t="s">
        <v>215</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431</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241</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582</v>
      </c>
      <c r="B880" s="27" t="s">
        <v>205</v>
      </c>
      <c r="C880" s="27" t="s">
        <v>240</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401</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t="s">
        <v>424</v>
      </c>
      <c r="B882" s="27" t="s">
        <v>225</v>
      </c>
      <c r="C882" s="27" t="s">
        <v>380</v>
      </c>
      <c r="D882" s="27" t="s">
        <v>215</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t="s">
        <v>583</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454</v>
      </c>
      <c r="B884" s="27" t="s">
        <v>205</v>
      </c>
      <c r="C884" s="27" t="s">
        <v>264</v>
      </c>
      <c r="D884" s="27" t="s">
        <v>215</v>
      </c>
      <c r="E884" s="21">
        <f>IF(D884="?OLD","!!!","")</f>
        <v/>
      </c>
      <c r="F884" s="22" t="str">
        <f>IF(OR(E884="",E884="!!!"),"",IF(NOT(ISNA(VLOOKUP(E884,E$1:E883,1,FALSE()))),"OLD",IF(AND(E884&lt;&gt;"",E884&lt;&gt;"!!!"),"NEW","")))</f>
        <v> </v>
      </c>
      <c r="G884" s="23" t="str">
        <f>IF(OR(E884="",E884="!!!"),"",IF(OR(J884=0,AND(J884=1,K884=1),AND(J884=1,I884="SBJ"),AND(J884=1,I884=0)),"?IN_FOCUS",IF(J884&lt;=2,"?ACTIVATED",IF(J884&lt;&gt;"","?FAMILIAR",IF(F884="NEW",IF(ISNA(VLOOKUP(E884,#REF!,1,FALSE())),"?TYPE_IDENTIFIABLE","?REFERENTIAL"),"_")))))</f>
        <v> </v>
      </c>
      <c r="H884" s="24" t="str">
        <f>IF(J884&lt;&gt;1,"",IF(I884="SBJ","CB","?"))</f>
        <v> </v>
      </c>
      <c r="I884" s="25" t="str">
        <f>IF(OR(E884="",E884="!!!",F884="NEW"),"",INDEX(B883:B$2,-1+SUMPRODUCT(MAX(ROW(E883:E$2)*(E884=E883:E$2)))))</f>
        <v> </v>
      </c>
      <c r="J884" s="25" t="str">
        <f>IF(OR(E884="",E884="!!!",F884="NEW"),"",COUNTBLANK(OFFSET(A$1,,,SUMPRODUCT(MAX(ROW(E$2:E884)*(E884=E$2:E884)))))-COUNTBLANK(OFFSET(A$1,,,SUMPRODUCT(MAX(ROW(E$1:E883)*(E2=E$1:E883))))))</f>
        <v> </v>
      </c>
      <c r="K884" s="25" t="str">
        <f>IF(OR(E884="",E884="!!!",F884="NEW"),"",INDEX(J$1:J883,SUMPRODUCT(MAX(ROW(E$1:E883)*(E884=E$1:E883)))))</f>
        <v> </v>
      </c>
      <c r="L884" s="26"/>
    </row>
    <row r="885" spans="1:12">
      <c r="A885" s="20" t="s">
        <v>234</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row>
    <row r="887" spans="1:12">
      <c r="A887" s="20" t="s">
        <v>584</v>
      </c>
    </row>
    <row r="888" spans="1:12">
      <c r="A888" s="20" t="s">
        <v>236</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t="s">
        <v>257</v>
      </c>
      <c r="B889" s="27" t="s">
        <v>213</v>
      </c>
      <c r="C889" s="27" t="s">
        <v>230</v>
      </c>
      <c r="D889" s="27" t="s">
        <v>215</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t="s">
        <v>501</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t="s">
        <v>249</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548</v>
      </c>
      <c r="B892" s="27" t="s">
        <v>229</v>
      </c>
      <c r="C892" s="27" t="s">
        <v>455</v>
      </c>
      <c r="D892" s="27" t="s">
        <v>215</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217</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220</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374</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585</v>
      </c>
      <c r="B896" s="27" t="s">
        <v>205</v>
      </c>
      <c r="C896" s="27" t="s">
        <v>222</v>
      </c>
      <c r="D896" s="27" t="s">
        <v>215</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223</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586</v>
      </c>
      <c r="B898" s="27" t="s">
        <v>225</v>
      </c>
      <c r="C898" s="27" t="s">
        <v>226</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234</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row>
    <row r="901" spans="1:12">
      <c r="A901" s="20" t="s">
        <v>587</v>
      </c>
    </row>
    <row r="902" spans="1:12">
      <c r="A902" s="20" t="s">
        <v>588</v>
      </c>
      <c r="B902" s="27" t="s">
        <v>213</v>
      </c>
      <c r="C902" s="27" t="s">
        <v>455</v>
      </c>
      <c r="D902" s="27" t="s">
        <v>215</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217</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220</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374</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t="s">
        <v>589</v>
      </c>
      <c r="B906" s="27" t="s">
        <v>205</v>
      </c>
      <c r="C906" s="27" t="s">
        <v>222</v>
      </c>
      <c r="D906" s="27" t="s">
        <v>215</v>
      </c>
      <c r="E906" s="21">
        <f>IF(D906="?OLD","!!!","")</f>
        <v/>
      </c>
      <c r="F906" s="22" t="str">
        <f>IF(OR(E906="",E906="!!!"),"",IF(NOT(ISNA(VLOOKUP(E906,E$1:E905,1,FALSE()))),"OLD",IF(AND(E906&lt;&gt;"",E906&lt;&gt;"!!!"),"NEW","")))</f>
        <v> </v>
      </c>
      <c r="G906" s="23" t="str">
        <f>IF(OR(E906="",E906="!!!"),"",IF(OR(J906=0,AND(J906=1,K906=1),AND(J906=1,I906="SBJ"),AND(J906=1,I906=0)),"?IN_FOCUS",IF(J906&lt;=2,"?ACTIVATED",IF(J906&lt;&gt;"","?FAMILIAR",IF(F906="NEW",IF(ISNA(VLOOKUP(E906,#REF!,1,FALSE())),"?TYPE_IDENTIFIABLE","?REFERENTIAL"),"_")))))</f>
        <v> </v>
      </c>
      <c r="H906" s="24" t="str">
        <f>IF(J906&lt;&gt;1,"",IF(I906="SBJ","CB","?"))</f>
        <v> </v>
      </c>
      <c r="I906" s="25" t="str">
        <f>IF(OR(E906="",E906="!!!",F906="NEW"),"",INDEX(B905:B$2,-1+SUMPRODUCT(MAX(ROW(E905:E$2)*(E906=E905:E$2)))))</f>
        <v> </v>
      </c>
      <c r="J906" s="25" t="str">
        <f>IF(OR(E906="",E906="!!!",F906="NEW"),"",COUNTBLANK(OFFSET(A$1,,,SUMPRODUCT(MAX(ROW(E$2:E906)*(E906=E$2:E906)))))-COUNTBLANK(OFFSET(A$1,,,SUMPRODUCT(MAX(ROW(E$1:E905)*(E2=E$1:E905))))))</f>
        <v> </v>
      </c>
      <c r="K906" s="25" t="str">
        <f>IF(OR(E906="",E906="!!!",F906="NEW"),"",INDEX(J$1:J905,SUMPRODUCT(MAX(ROW(E$1:E905)*(E906=E$1:E905)))))</f>
        <v> </v>
      </c>
      <c r="L906" s="26"/>
    </row>
    <row r="907" spans="1:12">
      <c r="A907" s="20" t="s">
        <v>590</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t="s">
        <v>120</v>
      </c>
      <c r="B908" s="27" t="s">
        <v>229</v>
      </c>
      <c r="C908" s="27" t="s">
        <v>230</v>
      </c>
      <c r="D908" s="27" t="s">
        <v>215</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t="s">
        <v>591</v>
      </c>
      <c r="E909" s="21">
        <f>IF(D909="?OLD","!!!","")</f>
        <v/>
      </c>
      <c r="F909" s="22" t="str">
        <f>IF(OR(E909="",E909="!!!"),"",IF(NOT(ISNA(VLOOKUP(E909,E$1:E908,1,FALSE()))),"OLD",IF(AND(E909&lt;&gt;"",E909&lt;&gt;"!!!"),"NEW","")))</f>
        <v> </v>
      </c>
      <c r="G909" s="23" t="str">
        <f>IF(OR(E909="",E909="!!!"),"",IF(OR(J909=0,AND(J909=1,K909=1),AND(J909=1,I909="SBJ"),AND(J909=1,I909=0)),"?IN_FOCUS",IF(J909&lt;=2,"?ACTIVATED",IF(J909&lt;&gt;"","?FAMILIAR",IF(F909="NEW",IF(ISNA(VLOOKUP(E909,#REF!,1,FALSE())),"?TYPE_IDENTIFIABLE","?REFERENTIAL"),"_")))))</f>
        <v> </v>
      </c>
      <c r="H909" s="24" t="str">
        <f>IF(J909&lt;&gt;1,"",IF(I909="SBJ","CB","?"))</f>
        <v> </v>
      </c>
      <c r="I909" s="25" t="str">
        <f>IF(OR(E909="",E909="!!!",F909="NEW"),"",INDEX(B908:B$2,-1+SUMPRODUCT(MAX(ROW(E908:E$2)*(E909=E908:E$2)))))</f>
        <v> </v>
      </c>
      <c r="J909" s="25" t="str">
        <f>IF(OR(E909="",E909="!!!",F909="NEW"),"",COUNTBLANK(OFFSET(A$1,,,SUMPRODUCT(MAX(ROW(E$2:E909)*(E909=E$2:E909)))))-COUNTBLANK(OFFSET(A$1,,,SUMPRODUCT(MAX(ROW(E$1:E908)*(E2=E$1:E908))))))</f>
        <v> </v>
      </c>
      <c r="K909" s="25" t="str">
        <f>IF(OR(E909="",E909="!!!",F909="NEW"),"",INDEX(J$1:J908,SUMPRODUCT(MAX(ROW(E$1:E908)*(E909=E$1:E908)))))</f>
        <v> </v>
      </c>
      <c r="L909" s="26"/>
    </row>
    <row r="910" spans="1:12">
      <c r="A910" s="20" t="s">
        <v>188</v>
      </c>
      <c r="B910" s="27" t="s">
        <v>233</v>
      </c>
      <c r="C910" s="27" t="s">
        <v>226</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207</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t="s">
        <v>249</v>
      </c>
      <c r="E912" s="21">
        <f>IF(D912="?OLD","!!!","")</f>
        <v/>
      </c>
      <c r="F912" s="22" t="str">
        <f>IF(OR(E912="",E912="!!!"),"",IF(NOT(ISNA(VLOOKUP(E912,E$1:E911,1,FALSE()))),"OLD",IF(AND(E912&lt;&gt;"",E912&lt;&gt;"!!!"),"NEW","")))</f>
        <v> </v>
      </c>
      <c r="G912" s="23" t="str">
        <f>IF(OR(E912="",E912="!!!"),"",IF(OR(J912=0,AND(J912=1,K912=1),AND(J912=1,I912="SBJ"),AND(J912=1,I912=0)),"?IN_FOCUS",IF(J912&lt;=2,"?ACTIVATED",IF(J912&lt;&gt;"","?FAMILIAR",IF(F912="NEW",IF(ISNA(VLOOKUP(E912,#REF!,1,FALSE())),"?TYPE_IDENTIFIABLE","?REFERENTIAL"),"_")))))</f>
        <v> </v>
      </c>
      <c r="H912" s="24" t="str">
        <f>IF(J912&lt;&gt;1,"",IF(I912="SBJ","CB","?"))</f>
        <v> </v>
      </c>
      <c r="I912" s="25" t="str">
        <f>IF(OR(E912="",E912="!!!",F912="NEW"),"",INDEX(B911:B$2,-1+SUMPRODUCT(MAX(ROW(E911:E$2)*(E912=E911:E$2)))))</f>
        <v> </v>
      </c>
      <c r="J912" s="25" t="str">
        <f>IF(OR(E912="",E912="!!!",F912="NEW"),"",COUNTBLANK(OFFSET(A$1,,,SUMPRODUCT(MAX(ROW(E$2:E912)*(E912=E$2:E912)))))-COUNTBLANK(OFFSET(A$1,,,SUMPRODUCT(MAX(ROW(E$1:E911)*(E2=E$1:E911))))))</f>
        <v> </v>
      </c>
      <c r="K912" s="25" t="str">
        <f>IF(OR(E912="",E912="!!!",F912="NEW"),"",INDEX(J$1:J911,SUMPRODUCT(MAX(ROW(E$1:E911)*(E912=E$1:E911)))))</f>
        <v> </v>
      </c>
      <c r="L912" s="26"/>
    </row>
    <row r="913" spans="1:12">
      <c r="A913" s="20" t="s">
        <v>120</v>
      </c>
      <c r="B913" s="27" t="s">
        <v>229</v>
      </c>
      <c r="C913" s="27" t="s">
        <v>230</v>
      </c>
      <c r="D913" s="27" t="s">
        <v>215</v>
      </c>
      <c r="E913" s="21">
        <f>IF(D913="?OLD","!!!","")</f>
        <v/>
      </c>
      <c r="F913" s="22" t="str">
        <f>IF(OR(E913="",E913="!!!"),"",IF(NOT(ISNA(VLOOKUP(E913,E$1:E912,1,FALSE()))),"OLD",IF(AND(E913&lt;&gt;"",E913&lt;&gt;"!!!"),"NEW","")))</f>
        <v> </v>
      </c>
      <c r="G913" s="23" t="str">
        <f>IF(OR(E913="",E913="!!!"),"",IF(OR(J913=0,AND(J913=1,K913=1),AND(J913=1,I913="SBJ"),AND(J913=1,I913=0)),"?IN_FOCUS",IF(J913&lt;=2,"?ACTIVATED",IF(J913&lt;&gt;"","?FAMILIAR",IF(F913="NEW",IF(ISNA(VLOOKUP(E913,#REF!,1,FALSE())),"?TYPE_IDENTIFIABLE","?REFERENTIAL"),"_")))))</f>
        <v> </v>
      </c>
      <c r="H913" s="24" t="str">
        <f>IF(J913&lt;&gt;1,"",IF(I913="SBJ","CB","?"))</f>
        <v> </v>
      </c>
      <c r="I913" s="25" t="str">
        <f>IF(OR(E913="",E913="!!!",F913="NEW"),"",INDEX(B912:B$2,-1+SUMPRODUCT(MAX(ROW(E912:E$2)*(E913=E912:E$2)))))</f>
        <v> </v>
      </c>
      <c r="J913" s="25" t="str">
        <f>IF(OR(E913="",E913="!!!",F913="NEW"),"",COUNTBLANK(OFFSET(A$1,,,SUMPRODUCT(MAX(ROW(E$2:E913)*(E913=E$2:E913)))))-COUNTBLANK(OFFSET(A$1,,,SUMPRODUCT(MAX(ROW(E$1:E912)*(E2=E$1:E912))))))</f>
        <v> </v>
      </c>
      <c r="K913" s="25" t="str">
        <f>IF(OR(E913="",E913="!!!",F913="NEW"),"",INDEX(J$1:J912,SUMPRODUCT(MAX(ROW(E$1:E912)*(E913=E$1:E912)))))</f>
        <v> </v>
      </c>
      <c r="L913" s="26"/>
    </row>
    <row r="914" spans="1:12">
      <c r="A914" s="20" t="s">
        <v>575</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t="s">
        <v>592</v>
      </c>
      <c r="B915" s="27" t="s">
        <v>233</v>
      </c>
      <c r="C915" s="27" t="s">
        <v>593</v>
      </c>
      <c r="D915" s="27" t="s">
        <v>215</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249</v>
      </c>
      <c r="B916" s="27" t="s">
        <v>250</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594</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595</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322</v>
      </c>
      <c r="B919" s="27" t="s">
        <v>266</v>
      </c>
      <c r="C919" s="27" t="s">
        <v>264</v>
      </c>
      <c r="D919" s="27" t="s">
        <v>215</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t="s">
        <v>223</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t="s">
        <v>569</v>
      </c>
      <c r="B921" s="27" t="s">
        <v>269</v>
      </c>
      <c r="C921" s="27" t="s">
        <v>230</v>
      </c>
      <c r="D921" s="27" t="s">
        <v>215</v>
      </c>
      <c r="E921" s="21">
        <f>IF(D921="?OLD","!!!","")</f>
        <v/>
      </c>
      <c r="F921" s="22" t="str">
        <f>IF(OR(E921="",E921="!!!"),"",IF(NOT(ISNA(VLOOKUP(E921,E$1:E920,1,FALSE()))),"OLD",IF(AND(E921&lt;&gt;"",E921&lt;&gt;"!!!"),"NEW","")))</f>
        <v> </v>
      </c>
      <c r="G921" s="23" t="str">
        <f>IF(OR(E921="",E921="!!!"),"",IF(OR(J921=0,AND(J921=1,K921=1),AND(J921=1,I921="SBJ"),AND(J921=1,I921=0)),"?IN_FOCUS",IF(J921&lt;=2,"?ACTIVATED",IF(J921&lt;&gt;"","?FAMILIAR",IF(F921="NEW",IF(ISNA(VLOOKUP(E921,#REF!,1,FALSE())),"?TYPE_IDENTIFIABLE","?REFERENTIAL"),"_")))))</f>
        <v> </v>
      </c>
      <c r="H921" s="24" t="str">
        <f>IF(J921&lt;&gt;1,"",IF(I921="SBJ","CB","?"))</f>
        <v> </v>
      </c>
      <c r="I921" s="25" t="str">
        <f>IF(OR(E921="",E921="!!!",F921="NEW"),"",INDEX(B920:B$2,-1+SUMPRODUCT(MAX(ROW(E920:E$2)*(E921=E920:E$2)))))</f>
        <v> </v>
      </c>
      <c r="J921" s="25" t="str">
        <f>IF(OR(E921="",E921="!!!",F921="NEW"),"",COUNTBLANK(OFFSET(A$1,,,SUMPRODUCT(MAX(ROW(E$2:E921)*(E921=E$2:E921)))))-COUNTBLANK(OFFSET(A$1,,,SUMPRODUCT(MAX(ROW(E$1:E920)*(E2=E$1:E920))))))</f>
        <v> </v>
      </c>
      <c r="K921" s="25" t="str">
        <f>IF(OR(E921="",E921="!!!",F921="NEW"),"",INDEX(J$1:J920,SUMPRODUCT(MAX(ROW(E$1:E920)*(E921=E$1:E920)))))</f>
        <v> </v>
      </c>
      <c r="L921" s="26"/>
    </row>
    <row r="922" spans="1:12">
      <c r="A922" s="20" t="s">
        <v>355</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t="s">
        <v>458</v>
      </c>
      <c r="B923" s="27" t="s">
        <v>269</v>
      </c>
      <c r="C923" s="27" t="s">
        <v>380</v>
      </c>
      <c r="D923" s="27" t="s">
        <v>215</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374</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596</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597</v>
      </c>
      <c r="B926" s="27" t="s">
        <v>266</v>
      </c>
      <c r="C926" s="27" t="s">
        <v>264</v>
      </c>
      <c r="D926" s="27" t="s">
        <v>215</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t="s">
        <v>207</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t="s">
        <v>458</v>
      </c>
      <c r="B928" s="27" t="s">
        <v>325</v>
      </c>
      <c r="C928" s="27" t="s">
        <v>380</v>
      </c>
      <c r="D928" s="27" t="s">
        <v>215</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598</v>
      </c>
      <c r="B929" s="27" t="s">
        <v>225</v>
      </c>
      <c r="C929" s="27" t="s">
        <v>264</v>
      </c>
      <c r="D929" s="27" t="s">
        <v>215</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207</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t="s">
        <v>287</v>
      </c>
      <c r="E931" s="21">
        <f>IF(D931="?OLD","!!!","")</f>
        <v/>
      </c>
      <c r="F931" s="22" t="str">
        <f>IF(OR(E931="",E931="!!!"),"",IF(NOT(ISNA(VLOOKUP(E931,E$1:E930,1,FALSE()))),"OLD",IF(AND(E931&lt;&gt;"",E931&lt;&gt;"!!!"),"NEW","")))</f>
        <v> </v>
      </c>
      <c r="G931" s="23" t="str">
        <f>IF(OR(E931="",E931="!!!"),"",IF(OR(J931=0,AND(J931=1,K931=1),AND(J931=1,I931="SBJ"),AND(J931=1,I931=0)),"?IN_FOCUS",IF(J931&lt;=2,"?ACTIVATED",IF(J931&lt;&gt;"","?FAMILIAR",IF(F931="NEW",IF(ISNA(VLOOKUP(E931,#REF!,1,FALSE())),"?TYPE_IDENTIFIABLE","?REFERENTIAL"),"_")))))</f>
        <v> </v>
      </c>
      <c r="H931" s="24" t="str">
        <f>IF(J931&lt;&gt;1,"",IF(I931="SBJ","CB","?"))</f>
        <v> </v>
      </c>
      <c r="I931" s="25" t="str">
        <f>IF(OR(E931="",E931="!!!",F931="NEW"),"",INDEX(B930:B$2,-1+SUMPRODUCT(MAX(ROW(E930:E$2)*(E931=E930:E$2)))))</f>
        <v> </v>
      </c>
      <c r="J931" s="25" t="str">
        <f>IF(OR(E931="",E931="!!!",F931="NEW"),"",COUNTBLANK(OFFSET(A$1,,,SUMPRODUCT(MAX(ROW(E$2:E931)*(E931=E$2:E931)))))-COUNTBLANK(OFFSET(A$1,,,SUMPRODUCT(MAX(ROW(E$1:E930)*(E2=E$1:E930))))))</f>
        <v> </v>
      </c>
      <c r="K931" s="25" t="str">
        <f>IF(OR(E931="",E931="!!!",F931="NEW"),"",INDEX(J$1:J930,SUMPRODUCT(MAX(ROW(E$1:E930)*(E931=E$1:E930)))))</f>
        <v> </v>
      </c>
      <c r="L931" s="26"/>
    </row>
    <row r="932" spans="1:12">
      <c r="A932" s="20" t="s">
        <v>558</v>
      </c>
      <c r="E932" s="21">
        <f>IF(D932="?OLD","!!!","")</f>
        <v/>
      </c>
      <c r="F932" s="22" t="str">
        <f>IF(OR(E932="",E932="!!!"),"",IF(NOT(ISNA(VLOOKUP(E932,E$1:E931,1,FALSE()))),"OLD",IF(AND(E932&lt;&gt;"",E932&lt;&gt;"!!!"),"NEW","")))</f>
        <v> </v>
      </c>
      <c r="G932" s="23" t="str">
        <f>IF(OR(E932="",E932="!!!"),"",IF(OR(J932=0,AND(J932=1,K932=1),AND(J932=1,I932="SBJ"),AND(J932=1,I932=0)),"?IN_FOCUS",IF(J932&lt;=2,"?ACTIVATED",IF(J932&lt;&gt;"","?FAMILIAR",IF(F932="NEW",IF(ISNA(VLOOKUP(E932,#REF!,1,FALSE())),"?TYPE_IDENTIFIABLE","?REFERENTIAL"),"_")))))</f>
        <v> </v>
      </c>
      <c r="H932" s="24" t="str">
        <f>IF(J932&lt;&gt;1,"",IF(I932="SBJ","CB","?"))</f>
        <v> </v>
      </c>
      <c r="I932" s="25" t="str">
        <f>IF(OR(E932="",E932="!!!",F932="NEW"),"",INDEX(B931:B$2,-1+SUMPRODUCT(MAX(ROW(E931:E$2)*(E932=E931:E$2)))))</f>
        <v> </v>
      </c>
      <c r="J932" s="25" t="str">
        <f>IF(OR(E932="",E932="!!!",F932="NEW"),"",COUNTBLANK(OFFSET(A$1,,,SUMPRODUCT(MAX(ROW(E$2:E932)*(E932=E$2:E932)))))-COUNTBLANK(OFFSET(A$1,,,SUMPRODUCT(MAX(ROW(E$1:E931)*(E2=E$1:E931))))))</f>
        <v> </v>
      </c>
      <c r="K932" s="25" t="str">
        <f>IF(OR(E932="",E932="!!!",F932="NEW"),"",INDEX(J$1:J931,SUMPRODUCT(MAX(ROW(E$1:E931)*(E932=E$1:E931)))))</f>
        <v> </v>
      </c>
      <c r="L932" s="26"/>
    </row>
    <row r="933" spans="1:12">
      <c r="A933" s="20" t="s">
        <v>458</v>
      </c>
      <c r="B933" s="27" t="s">
        <v>325</v>
      </c>
      <c r="C933" s="27" t="s">
        <v>380</v>
      </c>
      <c r="D933" s="27" t="s">
        <v>215</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t="s">
        <v>599</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600</v>
      </c>
      <c r="B935" s="27" t="s">
        <v>225</v>
      </c>
      <c r="C935" s="27" t="s">
        <v>264</v>
      </c>
      <c r="D935" s="27" t="s">
        <v>215</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207</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558</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458</v>
      </c>
      <c r="B938" s="27" t="s">
        <v>266</v>
      </c>
      <c r="C938" s="27" t="s">
        <v>380</v>
      </c>
      <c r="D938" s="27" t="s">
        <v>215</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580</v>
      </c>
      <c r="B939" s="27" t="s">
        <v>325</v>
      </c>
      <c r="C939" s="27" t="s">
        <v>264</v>
      </c>
      <c r="D939" s="27" t="s">
        <v>215</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207</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t="s">
        <v>120</v>
      </c>
      <c r="B941" s="27" t="s">
        <v>263</v>
      </c>
      <c r="C941" s="27" t="s">
        <v>230</v>
      </c>
      <c r="D941" s="27" t="s">
        <v>215</v>
      </c>
      <c r="E941" s="21">
        <f>IF(D941="?OLD","!!!","")</f>
        <v/>
      </c>
      <c r="F941" s="22" t="str">
        <f>IF(OR(E941="",E941="!!!"),"",IF(NOT(ISNA(VLOOKUP(E941,E$1:E940,1,FALSE()))),"OLD",IF(AND(E941&lt;&gt;"",E941&lt;&gt;"!!!"),"NEW","")))</f>
        <v> </v>
      </c>
      <c r="G941" s="23" t="str">
        <f>IF(OR(E941="",E941="!!!"),"",IF(OR(J941=0,AND(J941=1,K941=1),AND(J941=1,I941="SBJ"),AND(J941=1,I941=0)),"?IN_FOCUS",IF(J941&lt;=2,"?ACTIVATED",IF(J941&lt;&gt;"","?FAMILIAR",IF(F941="NEW",IF(ISNA(VLOOKUP(E941,#REF!,1,FALSE())),"?TYPE_IDENTIFIABLE","?REFERENTIAL"),"_")))))</f>
        <v> </v>
      </c>
      <c r="H941" s="24" t="str">
        <f>IF(J941&lt;&gt;1,"",IF(I941="SBJ","CB","?"))</f>
        <v> </v>
      </c>
      <c r="I941" s="25" t="str">
        <f>IF(OR(E941="",E941="!!!",F941="NEW"),"",INDEX(B940:B$2,-1+SUMPRODUCT(MAX(ROW(E940:E$2)*(E941=E940:E$2)))))</f>
        <v> </v>
      </c>
      <c r="J941" s="25" t="str">
        <f>IF(OR(E941="",E941="!!!",F941="NEW"),"",COUNTBLANK(OFFSET(A$1,,,SUMPRODUCT(MAX(ROW(E$2:E941)*(E941=E$2:E941)))))-COUNTBLANK(OFFSET(A$1,,,SUMPRODUCT(MAX(ROW(E$1:E940)*(E2=E$1:E940))))))</f>
        <v> </v>
      </c>
      <c r="K941" s="25" t="str">
        <f>IF(OR(E941="",E941="!!!",F941="NEW"),"",INDEX(J$1:J940,SUMPRODUCT(MAX(ROW(E$1:E940)*(E941=E$1:E940)))))</f>
        <v> </v>
      </c>
      <c r="L941" s="26"/>
    </row>
    <row r="942" spans="1:12">
      <c r="A942" s="20" t="s">
        <v>601</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t="s">
        <v>602</v>
      </c>
      <c r="E943" s="21">
        <f>IF(D943="?OLD","!!!","")</f>
        <v/>
      </c>
      <c r="F943" s="22" t="str">
        <f>IF(OR(E943="",E943="!!!"),"",IF(NOT(ISNA(VLOOKUP(E943,E$1:E942,1,FALSE()))),"OLD",IF(AND(E943&lt;&gt;"",E943&lt;&gt;"!!!"),"NEW","")))</f>
        <v> </v>
      </c>
      <c r="G943" s="23" t="str">
        <f>IF(OR(E943="",E943="!!!"),"",IF(OR(J943=0,AND(J943=1,K943=1),AND(J943=1,I943="SBJ"),AND(J943=1,I943=0)),"?IN_FOCUS",IF(J943&lt;=2,"?ACTIVATED",IF(J943&lt;&gt;"","?FAMILIAR",IF(F943="NEW",IF(ISNA(VLOOKUP(E943,#REF!,1,FALSE())),"?TYPE_IDENTIFIABLE","?REFERENTIAL"),"_")))))</f>
        <v> </v>
      </c>
      <c r="H943" s="24" t="str">
        <f>IF(J943&lt;&gt;1,"",IF(I943="SBJ","CB","?"))</f>
        <v> </v>
      </c>
      <c r="I943" s="25" t="str">
        <f>IF(OR(E943="",E943="!!!",F943="NEW"),"",INDEX(B942:B$2,-1+SUMPRODUCT(MAX(ROW(E942:E$2)*(E943=E942:E$2)))))</f>
        <v> </v>
      </c>
      <c r="J943" s="25" t="str">
        <f>IF(OR(E943="",E943="!!!",F943="NEW"),"",COUNTBLANK(OFFSET(A$1,,,SUMPRODUCT(MAX(ROW(E$2:E943)*(E943=E$2:E943)))))-COUNTBLANK(OFFSET(A$1,,,SUMPRODUCT(MAX(ROW(E$1:E942)*(E2=E$1:E942))))))</f>
        <v> </v>
      </c>
      <c r="K943" s="25" t="str">
        <f>IF(OR(E943="",E943="!!!",F943="NEW"),"",INDEX(J$1:J942,SUMPRODUCT(MAX(ROW(E$1:E942)*(E943=E$1:E942)))))</f>
        <v> </v>
      </c>
      <c r="L943" s="26"/>
    </row>
    <row r="944" spans="1:12">
      <c r="A944" s="20" t="s">
        <v>323</v>
      </c>
      <c r="E944" s="21">
        <f>IF(D944="?OLD","!!!","")</f>
        <v/>
      </c>
      <c r="F944" s="22" t="str">
        <f>IF(OR(E944="",E944="!!!"),"",IF(NOT(ISNA(VLOOKUP(E944,E$1:E943,1,FALSE()))),"OLD",IF(AND(E944&lt;&gt;"",E944&lt;&gt;"!!!"),"NEW","")))</f>
        <v> </v>
      </c>
      <c r="G944" s="23" t="str">
        <f>IF(OR(E944="",E944="!!!"),"",IF(OR(J944=0,AND(J944=1,K944=1),AND(J944=1,I944="SBJ"),AND(J944=1,I944=0)),"?IN_FOCUS",IF(J944&lt;=2,"?ACTIVATED",IF(J944&lt;&gt;"","?FAMILIAR",IF(F944="NEW",IF(ISNA(VLOOKUP(E944,#REF!,1,FALSE())),"?TYPE_IDENTIFIABLE","?REFERENTIAL"),"_")))))</f>
        <v> </v>
      </c>
      <c r="H944" s="24" t="str">
        <f>IF(J944&lt;&gt;1,"",IF(I944="SBJ","CB","?"))</f>
        <v> </v>
      </c>
      <c r="I944" s="25" t="str">
        <f>IF(OR(E944="",E944="!!!",F944="NEW"),"",INDEX(B943:B$2,-1+SUMPRODUCT(MAX(ROW(E943:E$2)*(E944=E943:E$2)))))</f>
        <v> </v>
      </c>
      <c r="J944" s="25" t="str">
        <f>IF(OR(E944="",E944="!!!",F944="NEW"),"",COUNTBLANK(OFFSET(A$1,,,SUMPRODUCT(MAX(ROW(E$2:E944)*(E944=E$2:E944)))))-COUNTBLANK(OFFSET(A$1,,,SUMPRODUCT(MAX(ROW(E$1:E943)*(E2=E$1:E943))))))</f>
        <v> </v>
      </c>
      <c r="K944" s="25" t="str">
        <f>IF(OR(E944="",E944="!!!",F944="NEW"),"",INDEX(J$1:J943,SUMPRODUCT(MAX(ROW(E$1:E943)*(E944=E$1:E943)))))</f>
        <v> </v>
      </c>
      <c r="L944" s="26"/>
    </row>
    <row r="945" spans="1:12">
      <c r="A945" s="20" t="s">
        <v>341</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603</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598</v>
      </c>
      <c r="B947" s="27" t="s">
        <v>255</v>
      </c>
      <c r="C947" s="27" t="s">
        <v>337</v>
      </c>
      <c r="D947" s="27" t="s">
        <v>215</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279</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t="s">
        <v>129</v>
      </c>
      <c r="B949" s="27" t="s">
        <v>266</v>
      </c>
      <c r="C949" s="27" t="s">
        <v>226</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234</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row>
    <row r="952" spans="1:12">
      <c r="A952" s="20" t="s">
        <v>604</v>
      </c>
    </row>
    <row r="953" spans="1:12">
      <c r="A953" s="20" t="s">
        <v>236</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220</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129</v>
      </c>
      <c r="B955" s="27" t="s">
        <v>213</v>
      </c>
      <c r="C955" s="27" t="s">
        <v>264</v>
      </c>
      <c r="D955" s="27" t="s">
        <v>215</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223</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t="s">
        <v>249</v>
      </c>
      <c r="E957" s="21">
        <f>IF(D957="?OLD","!!!","")</f>
        <v/>
      </c>
      <c r="F957" s="22" t="str">
        <f>IF(OR(E957="",E957="!!!"),"",IF(NOT(ISNA(VLOOKUP(E957,E$1:E956,1,FALSE()))),"OLD",IF(AND(E957&lt;&gt;"",E957&lt;&gt;"!!!"),"NEW","")))</f>
        <v> </v>
      </c>
      <c r="G957" s="23" t="str">
        <f>IF(OR(E957="",E957="!!!"),"",IF(OR(J957=0,AND(J957=1,K957=1),AND(J957=1,I957="SBJ"),AND(J957=1,I957=0)),"?IN_FOCUS",IF(J957&lt;=2,"?ACTIVATED",IF(J957&lt;&gt;"","?FAMILIAR",IF(F957="NEW",IF(ISNA(VLOOKUP(E957,#REF!,1,FALSE())),"?TYPE_IDENTIFIABLE","?REFERENTIAL"),"_")))))</f>
        <v> </v>
      </c>
      <c r="H957" s="24" t="str">
        <f>IF(J957&lt;&gt;1,"",IF(I957="SBJ","CB","?"))</f>
        <v> </v>
      </c>
      <c r="I957" s="25" t="str">
        <f>IF(OR(E957="",E957="!!!",F957="NEW"),"",INDEX(B956:B$2,-1+SUMPRODUCT(MAX(ROW(E956:E$2)*(E957=E956:E$2)))))</f>
        <v> </v>
      </c>
      <c r="J957" s="25" t="str">
        <f>IF(OR(E957="",E957="!!!",F957="NEW"),"",COUNTBLANK(OFFSET(A$1,,,SUMPRODUCT(MAX(ROW(E$2:E957)*(E957=E$2:E957)))))-COUNTBLANK(OFFSET(A$1,,,SUMPRODUCT(MAX(ROW(E$1:E956)*(E2=E$1:E956))))))</f>
        <v> </v>
      </c>
      <c r="K957" s="25" t="str">
        <f>IF(OR(E957="",E957="!!!",F957="NEW"),"",INDEX(J$1:J956,SUMPRODUCT(MAX(ROW(E$1:E956)*(E957=E$1:E956)))))</f>
        <v> </v>
      </c>
      <c r="L957" s="26"/>
    </row>
    <row r="958" spans="1:12">
      <c r="A958" s="20" t="s">
        <v>605</v>
      </c>
      <c r="B958" s="27" t="s">
        <v>225</v>
      </c>
      <c r="C958" s="27" t="s">
        <v>337</v>
      </c>
      <c r="D958" s="27" t="s">
        <v>215</v>
      </c>
      <c r="E958" s="21">
        <f>IF(D958="?OLD","!!!","")</f>
        <v/>
      </c>
      <c r="F958" s="22" t="str">
        <f>IF(OR(E958="",E958="!!!"),"",IF(NOT(ISNA(VLOOKUP(E958,E$1:E957,1,FALSE()))),"OLD",IF(AND(E958&lt;&gt;"",E958&lt;&gt;"!!!"),"NEW","")))</f>
        <v> </v>
      </c>
      <c r="G958" s="23" t="str">
        <f>IF(OR(E958="",E958="!!!"),"",IF(OR(J958=0,AND(J958=1,K958=1),AND(J958=1,I958="SBJ"),AND(J958=1,I958=0)),"?IN_FOCUS",IF(J958&lt;=2,"?ACTIVATED",IF(J958&lt;&gt;"","?FAMILIAR",IF(F958="NEW",IF(ISNA(VLOOKUP(E958,#REF!,1,FALSE())),"?TYPE_IDENTIFIABLE","?REFERENTIAL"),"_")))))</f>
        <v> </v>
      </c>
      <c r="H958" s="24" t="str">
        <f>IF(J958&lt;&gt;1,"",IF(I958="SBJ","CB","?"))</f>
        <v> </v>
      </c>
      <c r="I958" s="25" t="str">
        <f>IF(OR(E958="",E958="!!!",F958="NEW"),"",INDEX(B957:B$2,-1+SUMPRODUCT(MAX(ROW(E957:E$2)*(E958=E957:E$2)))))</f>
        <v> </v>
      </c>
      <c r="J958" s="25" t="str">
        <f>IF(OR(E958="",E958="!!!",F958="NEW"),"",COUNTBLANK(OFFSET(A$1,,,SUMPRODUCT(MAX(ROW(E$2:E958)*(E958=E$2:E958)))))-COUNTBLANK(OFFSET(A$1,,,SUMPRODUCT(MAX(ROW(E$1:E957)*(E2=E$1:E957))))))</f>
        <v> </v>
      </c>
      <c r="K958" s="25" t="str">
        <f>IF(OR(E958="",E958="!!!",F958="NEW"),"",INDEX(J$1:J957,SUMPRODUCT(MAX(ROW(E$1:E957)*(E958=E$1:E957)))))</f>
        <v> </v>
      </c>
      <c r="L958" s="26"/>
    </row>
    <row r="959" spans="1:12">
      <c r="A959" s="20" t="s">
        <v>606</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322</v>
      </c>
      <c r="B960" s="27" t="s">
        <v>261</v>
      </c>
      <c r="C960" s="27" t="s">
        <v>264</v>
      </c>
      <c r="D960" s="27" t="s">
        <v>215</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223</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t="s">
        <v>569</v>
      </c>
      <c r="B962" s="27" t="s">
        <v>225</v>
      </c>
      <c r="C962" s="27" t="s">
        <v>230</v>
      </c>
      <c r="D962" s="27" t="s">
        <v>215</v>
      </c>
      <c r="E962" s="21">
        <f>IF(D962="?OLD","!!!","")</f>
        <v/>
      </c>
      <c r="F962" s="22" t="str">
        <f>IF(OR(E962="",E962="!!!"),"",IF(NOT(ISNA(VLOOKUP(E962,E$1:E961,1,FALSE()))),"OLD",IF(AND(E962&lt;&gt;"",E962&lt;&gt;"!!!"),"NEW","")))</f>
        <v> </v>
      </c>
      <c r="G962" s="23" t="str">
        <f>IF(OR(E962="",E962="!!!"),"",IF(OR(J962=0,AND(J962=1,K962=1),AND(J962=1,I962="SBJ"),AND(J962=1,I962=0)),"?IN_FOCUS",IF(J962&lt;=2,"?ACTIVATED",IF(J962&lt;&gt;"","?FAMILIAR",IF(F962="NEW",IF(ISNA(VLOOKUP(E962,#REF!,1,FALSE())),"?TYPE_IDENTIFIABLE","?REFERENTIAL"),"_")))))</f>
        <v> </v>
      </c>
      <c r="H962" s="24" t="str">
        <f>IF(J962&lt;&gt;1,"",IF(I962="SBJ","CB","?"))</f>
        <v> </v>
      </c>
      <c r="I962" s="25" t="str">
        <f>IF(OR(E962="",E962="!!!",F962="NEW"),"",INDEX(B961:B$2,-1+SUMPRODUCT(MAX(ROW(E961:E$2)*(E962=E961:E$2)))))</f>
        <v> </v>
      </c>
      <c r="J962" s="25" t="str">
        <f>IF(OR(E962="",E962="!!!",F962="NEW"),"",COUNTBLANK(OFFSET(A$1,,,SUMPRODUCT(MAX(ROW(E$2:E962)*(E962=E$2:E962)))))-COUNTBLANK(OFFSET(A$1,,,SUMPRODUCT(MAX(ROW(E$1:E961)*(E2=E$1:E961))))))</f>
        <v> </v>
      </c>
      <c r="K962" s="25" t="str">
        <f>IF(OR(E962="",E962="!!!",F962="NEW"),"",INDEX(J$1:J961,SUMPRODUCT(MAX(ROW(E$1:E961)*(E962=E$1:E961)))))</f>
        <v> </v>
      </c>
      <c r="L962" s="26"/>
    </row>
    <row r="963" spans="1:12">
      <c r="A963" s="20" t="s">
        <v>287</v>
      </c>
      <c r="E963" s="21">
        <f>IF(D963="?OLD","!!!","")</f>
        <v/>
      </c>
      <c r="F963" s="22" t="str">
        <f>IF(OR(E963="",E963="!!!"),"",IF(NOT(ISNA(VLOOKUP(E963,E$1:E962,1,FALSE()))),"OLD",IF(AND(E963&lt;&gt;"",E963&lt;&gt;"!!!"),"NEW","")))</f>
        <v> </v>
      </c>
      <c r="G963" s="23" t="str">
        <f>IF(OR(E963="",E963="!!!"),"",IF(OR(J963=0,AND(J963=1,K963=1),AND(J963=1,I963="SBJ"),AND(J963=1,I963=0)),"?IN_FOCUS",IF(J963&lt;=2,"?ACTIVATED",IF(J963&lt;&gt;"","?FAMILIAR",IF(F963="NEW",IF(ISNA(VLOOKUP(E963,#REF!,1,FALSE())),"?TYPE_IDENTIFIABLE","?REFERENTIAL"),"_")))))</f>
        <v> </v>
      </c>
      <c r="H963" s="24" t="str">
        <f>IF(J963&lt;&gt;1,"",IF(I963="SBJ","CB","?"))</f>
        <v> </v>
      </c>
      <c r="I963" s="25" t="str">
        <f>IF(OR(E963="",E963="!!!",F963="NEW"),"",INDEX(B962:B$2,-1+SUMPRODUCT(MAX(ROW(E962:E$2)*(E963=E962:E$2)))))</f>
        <v> </v>
      </c>
      <c r="J963" s="25" t="str">
        <f>IF(OR(E963="",E963="!!!",F963="NEW"),"",COUNTBLANK(OFFSET(A$1,,,SUMPRODUCT(MAX(ROW(E$2:E963)*(E963=E$2:E963)))))-COUNTBLANK(OFFSET(A$1,,,SUMPRODUCT(MAX(ROW(E$1:E962)*(E2=E$1:E962))))))</f>
        <v> </v>
      </c>
      <c r="K963" s="25" t="str">
        <f>IF(OR(E963="",E963="!!!",F963="NEW"),"",INDEX(J$1:J962,SUMPRODUCT(MAX(ROW(E$1:E962)*(E963=E$1:E962)))))</f>
        <v> </v>
      </c>
      <c r="L963" s="26"/>
    </row>
    <row r="964" spans="1:12">
      <c r="A964" s="20" t="s">
        <v>607</v>
      </c>
      <c r="E964" s="21">
        <f>IF(D964="?OLD","!!!","")</f>
        <v/>
      </c>
      <c r="F964" s="22" t="str">
        <f>IF(OR(E964="",E964="!!!"),"",IF(NOT(ISNA(VLOOKUP(E964,E$1:E963,1,FALSE()))),"OLD",IF(AND(E964&lt;&gt;"",E964&lt;&gt;"!!!"),"NEW","")))</f>
        <v> </v>
      </c>
      <c r="G964" s="23" t="str">
        <f>IF(OR(E964="",E964="!!!"),"",IF(OR(J964=0,AND(J964=1,K964=1),AND(J964=1,I964="SBJ"),AND(J964=1,I964=0)),"?IN_FOCUS",IF(J964&lt;=2,"?ACTIVATED",IF(J964&lt;&gt;"","?FAMILIAR",IF(F964="NEW",IF(ISNA(VLOOKUP(E964,#REF!,1,FALSE())),"?TYPE_IDENTIFIABLE","?REFERENTIAL"),"_")))))</f>
        <v> </v>
      </c>
      <c r="H964" s="24" t="str">
        <f>IF(J964&lt;&gt;1,"",IF(I964="SBJ","CB","?"))</f>
        <v> </v>
      </c>
      <c r="I964" s="25" t="str">
        <f>IF(OR(E964="",E964="!!!",F964="NEW"),"",INDEX(B963:B$2,-1+SUMPRODUCT(MAX(ROW(E963:E$2)*(E964=E963:E$2)))))</f>
        <v> </v>
      </c>
      <c r="J964" s="25" t="str">
        <f>IF(OR(E964="",E964="!!!",F964="NEW"),"",COUNTBLANK(OFFSET(A$1,,,SUMPRODUCT(MAX(ROW(E$2:E964)*(E964=E$2:E964)))))-COUNTBLANK(OFFSET(A$1,,,SUMPRODUCT(MAX(ROW(E$1:E963)*(E2=E$1:E963))))))</f>
        <v> </v>
      </c>
      <c r="K964" s="25" t="str">
        <f>IF(OR(E964="",E964="!!!",F964="NEW"),"",INDEX(J$1:J963,SUMPRODUCT(MAX(ROW(E$1:E963)*(E964=E$1:E963)))))</f>
        <v> </v>
      </c>
      <c r="L964" s="26"/>
    </row>
    <row r="965" spans="1:12">
      <c r="A965" s="20" t="s">
        <v>569</v>
      </c>
      <c r="B965" s="27" t="s">
        <v>233</v>
      </c>
      <c r="C965" s="27" t="s">
        <v>230</v>
      </c>
      <c r="D965" s="27" t="s">
        <v>215</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t="s">
        <v>207</v>
      </c>
      <c r="E966" s="21">
        <f>IF(D966="?OLD","!!!","")</f>
        <v/>
      </c>
      <c r="F966" s="22" t="str">
        <f>IF(OR(E966="",E966="!!!"),"",IF(NOT(ISNA(VLOOKUP(E966,E$1:E965,1,FALSE()))),"OLD",IF(AND(E966&lt;&gt;"",E966&lt;&gt;"!!!"),"NEW","")))</f>
        <v> </v>
      </c>
      <c r="G966" s="23" t="str">
        <f>IF(OR(E966="",E966="!!!"),"",IF(OR(J966=0,AND(J966=1,K966=1),AND(J966=1,I966="SBJ"),AND(J966=1,I966=0)),"?IN_FOCUS",IF(J966&lt;=2,"?ACTIVATED",IF(J966&lt;&gt;"","?FAMILIAR",IF(F966="NEW",IF(ISNA(VLOOKUP(E966,#REF!,1,FALSE())),"?TYPE_IDENTIFIABLE","?REFERENTIAL"),"_")))))</f>
        <v> </v>
      </c>
      <c r="H966" s="24" t="str">
        <f>IF(J966&lt;&gt;1,"",IF(I966="SBJ","CB","?"))</f>
        <v> </v>
      </c>
      <c r="I966" s="25" t="str">
        <f>IF(OR(E966="",E966="!!!",F966="NEW"),"",INDEX(B965:B$2,-1+SUMPRODUCT(MAX(ROW(E965:E$2)*(E966=E965:E$2)))))</f>
        <v> </v>
      </c>
      <c r="J966" s="25" t="str">
        <f>IF(OR(E966="",E966="!!!",F966="NEW"),"",COUNTBLANK(OFFSET(A$1,,,SUMPRODUCT(MAX(ROW(E$2:E966)*(E966=E$2:E966)))))-COUNTBLANK(OFFSET(A$1,,,SUMPRODUCT(MAX(ROW(E$1:E965)*(E2=E$1:E965))))))</f>
        <v> </v>
      </c>
      <c r="K966" s="25" t="str">
        <f>IF(OR(E966="",E966="!!!",F966="NEW"),"",INDEX(J$1:J965,SUMPRODUCT(MAX(ROW(E$1:E965)*(E966=E$1:E965)))))</f>
        <v> </v>
      </c>
      <c r="L966" s="26"/>
    </row>
    <row r="967" spans="1:12">
      <c r="A967" s="20" t="s">
        <v>608</v>
      </c>
      <c r="B967" s="27" t="s">
        <v>325</v>
      </c>
      <c r="C967" s="27" t="s">
        <v>226</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t="s">
        <v>287</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609</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t="s">
        <v>569</v>
      </c>
      <c r="B970" s="27" t="s">
        <v>328</v>
      </c>
      <c r="C970" s="27" t="s">
        <v>230</v>
      </c>
      <c r="D970" s="27" t="s">
        <v>215</v>
      </c>
      <c r="E970" s="21">
        <f>IF(D970="?OLD","!!!","")</f>
        <v/>
      </c>
      <c r="F970" s="22" t="str">
        <f>IF(OR(E970="",E970="!!!"),"",IF(NOT(ISNA(VLOOKUP(E970,E$1:E969,1,FALSE()))),"OLD",IF(AND(E970&lt;&gt;"",E970&lt;&gt;"!!!"),"NEW","")))</f>
        <v> </v>
      </c>
      <c r="G970" s="23" t="str">
        <f>IF(OR(E970="",E970="!!!"),"",IF(OR(J970=0,AND(J970=1,K970=1),AND(J970=1,I970="SBJ"),AND(J970=1,I970=0)),"?IN_FOCUS",IF(J970&lt;=2,"?ACTIVATED",IF(J970&lt;&gt;"","?FAMILIAR",IF(F970="NEW",IF(ISNA(VLOOKUP(E970,#REF!,1,FALSE())),"?TYPE_IDENTIFIABLE","?REFERENTIAL"),"_")))))</f>
        <v> </v>
      </c>
      <c r="H970" s="24" t="str">
        <f>IF(J970&lt;&gt;1,"",IF(I970="SBJ","CB","?"))</f>
        <v> </v>
      </c>
      <c r="I970" s="25" t="str">
        <f>IF(OR(E970="",E970="!!!",F970="NEW"),"",INDEX(B969:B$2,-1+SUMPRODUCT(MAX(ROW(E969:E$2)*(E970=E969:E$2)))))</f>
        <v> </v>
      </c>
      <c r="J970" s="25" t="str">
        <f>IF(OR(E970="",E970="!!!",F970="NEW"),"",COUNTBLANK(OFFSET(A$1,,,SUMPRODUCT(MAX(ROW(E$2:E970)*(E970=E$2:E970)))))-COUNTBLANK(OFFSET(A$1,,,SUMPRODUCT(MAX(ROW(E$1:E969)*(E2=E$1:E969))))))</f>
        <v> </v>
      </c>
      <c r="K970" s="25" t="str">
        <f>IF(OR(E970="",E970="!!!",F970="NEW"),"",INDEX(J$1:J969,SUMPRODUCT(MAX(ROW(E$1:E969)*(E970=E$1:E969)))))</f>
        <v> </v>
      </c>
      <c r="L970" s="26"/>
    </row>
    <row r="971" spans="1:12">
      <c r="A971" s="20" t="s">
        <v>234</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row>
    <row r="973" spans="1:12">
      <c r="A973" s="20" t="s">
        <v>610</v>
      </c>
    </row>
    <row r="974" spans="1:12">
      <c r="A974" s="20" t="s">
        <v>236</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274</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t="s">
        <v>290</v>
      </c>
      <c r="B976" s="27" t="s">
        <v>205</v>
      </c>
      <c r="C976" s="27" t="s">
        <v>214</v>
      </c>
      <c r="D976" s="27" t="s">
        <v>215</v>
      </c>
      <c r="E976" s="21">
        <f>IF(D976="?OLD","!!!","")</f>
        <v/>
      </c>
      <c r="F976" s="22" t="str">
        <f>IF(OR(E976="",E976="!!!"),"",IF(NOT(ISNA(VLOOKUP(E976,E$1:E975,1,FALSE()))),"OLD",IF(AND(E976&lt;&gt;"",E976&lt;&gt;"!!!"),"NEW","")))</f>
        <v> </v>
      </c>
      <c r="G976" s="23" t="str">
        <f>IF(OR(E976="",E976="!!!"),"",IF(OR(J976=0,AND(J976=1,K976=1),AND(J976=1,I976="SBJ"),AND(J976=1,I976=0)),"?IN_FOCUS",IF(J976&lt;=2,"?ACTIVATED",IF(J976&lt;&gt;"","?FAMILIAR",IF(F976="NEW",IF(ISNA(VLOOKUP(E976,#REF!,1,FALSE())),"?TYPE_IDENTIFIABLE","?REFERENTIAL"),"_")))))</f>
        <v> </v>
      </c>
      <c r="H976" s="24" t="str">
        <f>IF(J976&lt;&gt;1,"",IF(I976="SBJ","CB","?"))</f>
        <v> </v>
      </c>
      <c r="I976" s="25" t="str">
        <f>IF(OR(E976="",E976="!!!",F976="NEW"),"",INDEX(B975:B$2,-1+SUMPRODUCT(MAX(ROW(E975:E$2)*(E976=E975:E$2)))))</f>
        <v> </v>
      </c>
      <c r="J976" s="25" t="str">
        <f>IF(OR(E976="",E976="!!!",F976="NEW"),"",COUNTBLANK(OFFSET(A$1,,,SUMPRODUCT(MAX(ROW(E$2:E976)*(E976=E$2:E976)))))-COUNTBLANK(OFFSET(A$1,,,SUMPRODUCT(MAX(ROW(E$1:E975)*(E2=E$1:E975))))))</f>
        <v> </v>
      </c>
      <c r="K976" s="25" t="str">
        <f>IF(OR(E976="",E976="!!!",F976="NEW"),"",INDEX(J$1:J975,SUMPRODUCT(MAX(ROW(E$1:E975)*(E976=E$1:E975)))))</f>
        <v> </v>
      </c>
      <c r="L976" s="26"/>
    </row>
    <row r="977" spans="1:12">
      <c r="A977" s="20" t="s">
        <v>207</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t="s">
        <v>188</v>
      </c>
      <c r="B978" s="27" t="s">
        <v>213</v>
      </c>
      <c r="C978" s="27" t="s">
        <v>226</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t="s">
        <v>611</v>
      </c>
      <c r="E979" s="21">
        <f>IF(D979="?OLD","!!!","")</f>
        <v/>
      </c>
      <c r="F979" s="22" t="str">
        <f>IF(OR(E979="",E979="!!!"),"",IF(NOT(ISNA(VLOOKUP(E979,E$1:E978,1,FALSE()))),"OLD",IF(AND(E979&lt;&gt;"",E979&lt;&gt;"!!!"),"NEW","")))</f>
        <v> </v>
      </c>
      <c r="G979" s="23" t="str">
        <f>IF(OR(E979="",E979="!!!"),"",IF(OR(J979=0,AND(J979=1,K979=1),AND(J979=1,I979="SBJ"),AND(J979=1,I979=0)),"?IN_FOCUS",IF(J979&lt;=2,"?ACTIVATED",IF(J979&lt;&gt;"","?FAMILIAR",IF(F979="NEW",IF(ISNA(VLOOKUP(E979,#REF!,1,FALSE())),"?TYPE_IDENTIFIABLE","?REFERENTIAL"),"_")))))</f>
        <v> </v>
      </c>
      <c r="H979" s="24" t="str">
        <f>IF(J979&lt;&gt;1,"",IF(I979="SBJ","CB","?"))</f>
        <v> </v>
      </c>
      <c r="I979" s="25" t="str">
        <f>IF(OR(E979="",E979="!!!",F979="NEW"),"",INDEX(B978:B$2,-1+SUMPRODUCT(MAX(ROW(E978:E$2)*(E979=E978:E$2)))))</f>
        <v> </v>
      </c>
      <c r="J979" s="25" t="str">
        <f>IF(OR(E979="",E979="!!!",F979="NEW"),"",COUNTBLANK(OFFSET(A$1,,,SUMPRODUCT(MAX(ROW(E$2:E979)*(E979=E$2:E979)))))-COUNTBLANK(OFFSET(A$1,,,SUMPRODUCT(MAX(ROW(E$1:E978)*(E2=E$1:E978))))))</f>
        <v> </v>
      </c>
      <c r="K979" s="25" t="str">
        <f>IF(OR(E979="",E979="!!!",F979="NEW"),"",INDEX(J$1:J978,SUMPRODUCT(MAX(ROW(E$1:E978)*(E979=E$1:E978)))))</f>
        <v> </v>
      </c>
      <c r="L979" s="26"/>
    </row>
    <row r="980" spans="1:12">
      <c r="A980" s="20" t="s">
        <v>423</v>
      </c>
      <c r="B980" s="27" t="s">
        <v>261</v>
      </c>
      <c r="C980" s="27" t="s">
        <v>230</v>
      </c>
      <c r="D980" s="27" t="s">
        <v>215</v>
      </c>
      <c r="E980" s="21">
        <f>IF(D980="?OLD","!!!","")</f>
        <v/>
      </c>
      <c r="F980" s="22" t="str">
        <f>IF(OR(E980="",E980="!!!"),"",IF(NOT(ISNA(VLOOKUP(E980,E$1:E979,1,FALSE()))),"OLD",IF(AND(E980&lt;&gt;"",E980&lt;&gt;"!!!"),"NEW","")))</f>
        <v> </v>
      </c>
      <c r="G980" s="23" t="str">
        <f>IF(OR(E980="",E980="!!!"),"",IF(OR(J980=0,AND(J980=1,K980=1),AND(J980=1,I980="SBJ"),AND(J980=1,I980=0)),"?IN_FOCUS",IF(J980&lt;=2,"?ACTIVATED",IF(J980&lt;&gt;"","?FAMILIAR",IF(F980="NEW",IF(ISNA(VLOOKUP(E980,#REF!,1,FALSE())),"?TYPE_IDENTIFIABLE","?REFERENTIAL"),"_")))))</f>
        <v> </v>
      </c>
      <c r="H980" s="24" t="str">
        <f>IF(J980&lt;&gt;1,"",IF(I980="SBJ","CB","?"))</f>
        <v> </v>
      </c>
      <c r="I980" s="25" t="str">
        <f>IF(OR(E980="",E980="!!!",F980="NEW"),"",INDEX(B979:B$2,-1+SUMPRODUCT(MAX(ROW(E979:E$2)*(E980=E979:E$2)))))</f>
        <v> </v>
      </c>
      <c r="J980" s="25" t="str">
        <f>IF(OR(E980="",E980="!!!",F980="NEW"),"",COUNTBLANK(OFFSET(A$1,,,SUMPRODUCT(MAX(ROW(E$2:E980)*(E980=E$2:E980)))))-COUNTBLANK(OFFSET(A$1,,,SUMPRODUCT(MAX(ROW(E$1:E979)*(E2=E$1:E979))))))</f>
        <v> </v>
      </c>
      <c r="K980" s="25" t="str">
        <f>IF(OR(E980="",E980="!!!",F980="NEW"),"",INDEX(J$1:J979,SUMPRODUCT(MAX(ROW(E$1:E979)*(E980=E$1:E979)))))</f>
        <v> </v>
      </c>
      <c r="L980" s="26"/>
    </row>
    <row r="981" spans="1:12">
      <c r="A981" s="20" t="s">
        <v>612</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t="s">
        <v>279</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t="s">
        <v>238</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t="s">
        <v>613</v>
      </c>
      <c r="B984" s="27" t="s">
        <v>205</v>
      </c>
      <c r="C984" s="27" t="s">
        <v>240</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t="s">
        <v>223</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t="s">
        <v>614</v>
      </c>
      <c r="B986" s="27" t="s">
        <v>225</v>
      </c>
      <c r="C986" s="27" t="s">
        <v>226</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t="s">
        <v>234</v>
      </c>
      <c r="E987" s="21">
        <f>IF(D987="?OLD","!!!","")</f>
        <v/>
      </c>
      <c r="F987" s="22" t="str">
        <f>IF(OR(E987="",E987="!!!"),"",IF(NOT(ISNA(VLOOKUP(E987,E$1:E986,1,FALSE()))),"OLD",IF(AND(E987&lt;&gt;"",E987&lt;&gt;"!!!"),"NEW","")))</f>
        <v> </v>
      </c>
      <c r="G987" s="23" t="str">
        <f>IF(OR(E987="",E987="!!!"),"",IF(OR(J987=0,AND(J987=1,K987=1),AND(J987=1,I987="SBJ"),AND(J987=1,I987=0)),"?IN_FOCUS",IF(J987&lt;=2,"?ACTIVATED",IF(J987&lt;&gt;"","?FAMILIAR",IF(F987="NEW",IF(ISNA(VLOOKUP(E987,#REF!,1,FALSE())),"?TYPE_IDENTIFIABLE","?REFERENTIAL"),"_")))))</f>
        <v> </v>
      </c>
      <c r="H987" s="24" t="str">
        <f>IF(J987&lt;&gt;1,"",IF(I987="SBJ","CB","?"))</f>
        <v> </v>
      </c>
      <c r="I987" s="25" t="str">
        <f>IF(OR(E987="",E987="!!!",F987="NEW"),"",INDEX(B986:B$2,-1+SUMPRODUCT(MAX(ROW(E986:E$2)*(E987=E986:E$2)))))</f>
        <v> </v>
      </c>
      <c r="J987" s="25" t="str">
        <f>IF(OR(E987="",E987="!!!",F987="NEW"),"",COUNTBLANK(OFFSET(A$1,,,SUMPRODUCT(MAX(ROW(E$2:E987)*(E987=E$2:E987)))))-COUNTBLANK(OFFSET(A$1,,,SUMPRODUCT(MAX(ROW(E$1:E986)*(E2=E$1:E986))))))</f>
        <v> </v>
      </c>
      <c r="K987" s="25" t="str">
        <f>IF(OR(E987="",E987="!!!",F987="NEW"),"",INDEX(J$1:J986,SUMPRODUCT(MAX(ROW(E$1:E986)*(E987=E$1:E986)))))</f>
        <v> </v>
      </c>
      <c r="L987" s="26"/>
    </row>
    <row r="988" spans="1:12">
      <c r="A988" s="20"/>
    </row>
    <row r="989" spans="1:12">
      <c r="A989" s="20" t="s">
        <v>615</v>
      </c>
    </row>
    <row r="990" spans="1:12">
      <c r="A990" s="20" t="s">
        <v>616</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t="s">
        <v>617</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t="s">
        <v>618</v>
      </c>
      <c r="B992" s="27" t="s">
        <v>213</v>
      </c>
      <c r="C992" s="27" t="s">
        <v>222</v>
      </c>
      <c r="D992" s="27" t="s">
        <v>215</v>
      </c>
      <c r="E992" s="21">
        <f>IF(D992="?OLD","!!!","")</f>
        <v/>
      </c>
      <c r="F992" s="22" t="str">
        <f>IF(OR(E992="",E992="!!!"),"",IF(NOT(ISNA(VLOOKUP(E992,E$1:E991,1,FALSE()))),"OLD",IF(AND(E992&lt;&gt;"",E992&lt;&gt;"!!!"),"NEW","")))</f>
        <v> </v>
      </c>
      <c r="G992" s="23" t="str">
        <f>IF(OR(E992="",E992="!!!"),"",IF(OR(J992=0,AND(J992=1,K992=1),AND(J992=1,I992="SBJ"),AND(J992=1,I992=0)),"?IN_FOCUS",IF(J992&lt;=2,"?ACTIVATED",IF(J992&lt;&gt;"","?FAMILIAR",IF(F992="NEW",IF(ISNA(VLOOKUP(E992,#REF!,1,FALSE())),"?TYPE_IDENTIFIABLE","?REFERENTIAL"),"_")))))</f>
        <v> </v>
      </c>
      <c r="H992" s="24" t="str">
        <f>IF(J992&lt;&gt;1,"",IF(I992="SBJ","CB","?"))</f>
        <v> </v>
      </c>
      <c r="I992" s="25" t="str">
        <f>IF(OR(E992="",E992="!!!",F992="NEW"),"",INDEX(B991:B$2,-1+SUMPRODUCT(MAX(ROW(E991:E$2)*(E992=E991:E$2)))))</f>
        <v> </v>
      </c>
      <c r="J992" s="25" t="str">
        <f>IF(OR(E992="",E992="!!!",F992="NEW"),"",COUNTBLANK(OFFSET(A$1,,,SUMPRODUCT(MAX(ROW(E$2:E992)*(E992=E$2:E992)))))-COUNTBLANK(OFFSET(A$1,,,SUMPRODUCT(MAX(ROW(E$1:E991)*(E2=E$1:E991))))))</f>
        <v> </v>
      </c>
      <c r="K992" s="25" t="str">
        <f>IF(OR(E992="",E992="!!!",F992="NEW"),"",INDEX(J$1:J991,SUMPRODUCT(MAX(ROW(E$1:E991)*(E992=E$1:E991)))))</f>
        <v> </v>
      </c>
      <c r="L992" s="26"/>
    </row>
    <row r="993" spans="1:12">
      <c r="A993" s="20" t="s">
        <v>223</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t="s">
        <v>188</v>
      </c>
      <c r="B994" s="27" t="s">
        <v>225</v>
      </c>
      <c r="C994" s="27" t="s">
        <v>226</v>
      </c>
      <c r="E994" s="21">
        <f>IF(D994="?OLD","!!!","")</f>
        <v/>
      </c>
      <c r="F994" s="22" t="str">
        <f>IF(OR(E994="",E994="!!!"),"",IF(NOT(ISNA(VLOOKUP(E994,E$1:E993,1,FALSE()))),"OLD",IF(AND(E994&lt;&gt;"",E994&lt;&gt;"!!!"),"NEW","")))</f>
        <v> </v>
      </c>
      <c r="G994" s="23" t="str">
        <f>IF(OR(E994="",E994="!!!"),"",IF(OR(J994=0,AND(J994=1,K994=1),AND(J994=1,I994="SBJ"),AND(J994=1,I994=0)),"?IN_FOCUS",IF(J994&lt;=2,"?ACTIVATED",IF(J994&lt;&gt;"","?FAMILIAR",IF(F994="NEW",IF(ISNA(VLOOKUP(E994,#REF!,1,FALSE())),"?TYPE_IDENTIFIABLE","?REFERENTIAL"),"_")))))</f>
        <v> </v>
      </c>
      <c r="H994" s="24" t="str">
        <f>IF(J994&lt;&gt;1,"",IF(I994="SBJ","CB","?"))</f>
        <v> </v>
      </c>
      <c r="I994" s="25" t="str">
        <f>IF(OR(E994="",E994="!!!",F994="NEW"),"",INDEX(B993:B$2,-1+SUMPRODUCT(MAX(ROW(E993:E$2)*(E994=E993:E$2)))))</f>
        <v> </v>
      </c>
      <c r="J994" s="25" t="str">
        <f>IF(OR(E994="",E994="!!!",F994="NEW"),"",COUNTBLANK(OFFSET(A$1,,,SUMPRODUCT(MAX(ROW(E$2:E994)*(E994=E$2:E994)))))-COUNTBLANK(OFFSET(A$1,,,SUMPRODUCT(MAX(ROW(E$1:E993)*(E2=E$1:E993))))))</f>
        <v> </v>
      </c>
      <c r="K994" s="25" t="str">
        <f>IF(OR(E994="",E994="!!!",F994="NEW"),"",INDEX(J$1:J993,SUMPRODUCT(MAX(ROW(E$1:E993)*(E994=E$1:E993)))))</f>
        <v> </v>
      </c>
      <c r="L994" s="26"/>
    </row>
    <row r="995" spans="1:12">
      <c r="A995" s="20" t="s">
        <v>611</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t="s">
        <v>423</v>
      </c>
      <c r="B996" s="27" t="s">
        <v>261</v>
      </c>
      <c r="C996" s="27" t="s">
        <v>230</v>
      </c>
      <c r="D996" s="27" t="s">
        <v>215</v>
      </c>
      <c r="E996" s="21">
        <f>IF(D996="?OLD","!!!","")</f>
        <v/>
      </c>
      <c r="F996" s="22" t="str">
        <f>IF(OR(E996="",E996="!!!"),"",IF(NOT(ISNA(VLOOKUP(E996,E$1:E995,1,FALSE()))),"OLD",IF(AND(E996&lt;&gt;"",E996&lt;&gt;"!!!"),"NEW","")))</f>
        <v> </v>
      </c>
      <c r="G996" s="23" t="str">
        <f>IF(OR(E996="",E996="!!!"),"",IF(OR(J996=0,AND(J996=1,K996=1),AND(J996=1,I996="SBJ"),AND(J996=1,I996=0)),"?IN_FOCUS",IF(J996&lt;=2,"?ACTIVATED",IF(J996&lt;&gt;"","?FAMILIAR",IF(F996="NEW",IF(ISNA(VLOOKUP(E996,#REF!,1,FALSE())),"?TYPE_IDENTIFIABLE","?REFERENTIAL"),"_")))))</f>
        <v> </v>
      </c>
      <c r="H996" s="24" t="str">
        <f>IF(J996&lt;&gt;1,"",IF(I996="SBJ","CB","?"))</f>
        <v> </v>
      </c>
      <c r="I996" s="25" t="str">
        <f>IF(OR(E996="",E996="!!!",F996="NEW"),"",INDEX(B995:B$2,-1+SUMPRODUCT(MAX(ROW(E995:E$2)*(E996=E995:E$2)))))</f>
        <v> </v>
      </c>
      <c r="J996" s="25" t="str">
        <f>IF(OR(E996="",E996="!!!",F996="NEW"),"",COUNTBLANK(OFFSET(A$1,,,SUMPRODUCT(MAX(ROW(E$2:E996)*(E996=E$2:E996)))))-COUNTBLANK(OFFSET(A$1,,,SUMPRODUCT(MAX(ROW(E$1:E995)*(E2=E$1:E995))))))</f>
        <v> </v>
      </c>
      <c r="K996" s="25" t="str">
        <f>IF(OR(E996="",E996="!!!",F996="NEW"),"",INDEX(J$1:J995,SUMPRODUCT(MAX(ROW(E$1:E995)*(E996=E$1:E995)))))</f>
        <v> </v>
      </c>
      <c r="L996" s="26"/>
    </row>
    <row r="997" spans="1:12">
      <c r="A997" s="20" t="s">
        <v>612</v>
      </c>
      <c r="E997" s="21">
        <f>IF(D997="?OLD","!!!","")</f>
        <v/>
      </c>
      <c r="F997" s="22" t="str">
        <f>IF(OR(E997="",E997="!!!"),"",IF(NOT(ISNA(VLOOKUP(E997,E$1:E996,1,FALSE()))),"OLD",IF(AND(E997&lt;&gt;"",E997&lt;&gt;"!!!"),"NEW","")))</f>
        <v> </v>
      </c>
      <c r="G997" s="23" t="str">
        <f>IF(OR(E997="",E997="!!!"),"",IF(OR(J997=0,AND(J997=1,K997=1),AND(J997=1,I997="SBJ"),AND(J997=1,I997=0)),"?IN_FOCUS",IF(J997&lt;=2,"?ACTIVATED",IF(J997&lt;&gt;"","?FAMILIAR",IF(F997="NEW",IF(ISNA(VLOOKUP(E997,#REF!,1,FALSE())),"?TYPE_IDENTIFIABLE","?REFERENTIAL"),"_")))))</f>
        <v> </v>
      </c>
      <c r="H997" s="24" t="str">
        <f>IF(J997&lt;&gt;1,"",IF(I997="SBJ","CB","?"))</f>
        <v> </v>
      </c>
      <c r="I997" s="25" t="str">
        <f>IF(OR(E997="",E997="!!!",F997="NEW"),"",INDEX(B996:B$2,-1+SUMPRODUCT(MAX(ROW(E996:E$2)*(E997=E996:E$2)))))</f>
        <v> </v>
      </c>
      <c r="J997" s="25" t="str">
        <f>IF(OR(E997="",E997="!!!",F997="NEW"),"",COUNTBLANK(OFFSET(A$1,,,SUMPRODUCT(MAX(ROW(E$2:E997)*(E997=E$2:E997)))))-COUNTBLANK(OFFSET(A$1,,,SUMPRODUCT(MAX(ROW(E$1:E996)*(E2=E$1:E996))))))</f>
        <v> </v>
      </c>
      <c r="K997" s="25" t="str">
        <f>IF(OR(E997="",E997="!!!",F997="NEW"),"",INDEX(J$1:J996,SUMPRODUCT(MAX(ROW(E$1:E996)*(E997=E$1:E996)))))</f>
        <v> </v>
      </c>
      <c r="L997" s="26"/>
    </row>
    <row r="998" spans="1:12">
      <c r="A998" s="20" t="s">
        <v>279</v>
      </c>
      <c r="E998" s="21">
        <f>IF(D998="?OLD","!!!","")</f>
        <v/>
      </c>
      <c r="F998" s="22" t="str">
        <f>IF(OR(E998="",E998="!!!"),"",IF(NOT(ISNA(VLOOKUP(E998,E$1:E997,1,FALSE()))),"OLD",IF(AND(E998&lt;&gt;"",E998&lt;&gt;"!!!"),"NEW","")))</f>
        <v> </v>
      </c>
      <c r="G998" s="23" t="str">
        <f>IF(OR(E998="",E998="!!!"),"",IF(OR(J998=0,AND(J998=1,K998=1),AND(J998=1,I998="SBJ"),AND(J998=1,I998=0)),"?IN_FOCUS",IF(J998&lt;=2,"?ACTIVATED",IF(J998&lt;&gt;"","?FAMILIAR",IF(F998="NEW",IF(ISNA(VLOOKUP(E998,#REF!,1,FALSE())),"?TYPE_IDENTIFIABLE","?REFERENTIAL"),"_")))))</f>
        <v> </v>
      </c>
      <c r="H998" s="24" t="str">
        <f>IF(J998&lt;&gt;1,"",IF(I998="SBJ","CB","?"))</f>
        <v> </v>
      </c>
      <c r="I998" s="25" t="str">
        <f>IF(OR(E998="",E998="!!!",F998="NEW"),"",INDEX(B997:B$2,-1+SUMPRODUCT(MAX(ROW(E997:E$2)*(E998=E997:E$2)))))</f>
        <v> </v>
      </c>
      <c r="J998" s="25" t="str">
        <f>IF(OR(E998="",E998="!!!",F998="NEW"),"",COUNTBLANK(OFFSET(A$1,,,SUMPRODUCT(MAX(ROW(E$2:E998)*(E998=E$2:E998)))))-COUNTBLANK(OFFSET(A$1,,,SUMPRODUCT(MAX(ROW(E$1:E997)*(E2=E$1:E997))))))</f>
        <v> </v>
      </c>
      <c r="K998" s="25" t="str">
        <f>IF(OR(E998="",E998="!!!",F998="NEW"),"",INDEX(J$1:J997,SUMPRODUCT(MAX(ROW(E$1:E997)*(E998=E$1:E997)))))</f>
        <v> </v>
      </c>
      <c r="L998" s="26"/>
    </row>
    <row r="999" spans="1:12">
      <c r="A999" s="20" t="s">
        <v>238</v>
      </c>
      <c r="E999" s="21">
        <f>IF(D999="?OLD","!!!","")</f>
        <v/>
      </c>
      <c r="F999" s="22" t="str">
        <f>IF(OR(E999="",E999="!!!"),"",IF(NOT(ISNA(VLOOKUP(E999,E$1:E998,1,FALSE()))),"OLD",IF(AND(E999&lt;&gt;"",E999&lt;&gt;"!!!"),"NEW","")))</f>
        <v> </v>
      </c>
      <c r="G999" s="23" t="str">
        <f>IF(OR(E999="",E999="!!!"),"",IF(OR(J999=0,AND(J999=1,K999=1),AND(J999=1,I999="SBJ"),AND(J999=1,I999=0)),"?IN_FOCUS",IF(J999&lt;=2,"?ACTIVATED",IF(J999&lt;&gt;"","?FAMILIAR",IF(F999="NEW",IF(ISNA(VLOOKUP(E999,#REF!,1,FALSE())),"?TYPE_IDENTIFIABLE","?REFERENTIAL"),"_")))))</f>
        <v> </v>
      </c>
      <c r="H999" s="24" t="str">
        <f>IF(J999&lt;&gt;1,"",IF(I999="SBJ","CB","?"))</f>
        <v> </v>
      </c>
      <c r="I999" s="25" t="str">
        <f>IF(OR(E999="",E999="!!!",F999="NEW"),"",INDEX(B998:B$2,-1+SUMPRODUCT(MAX(ROW(E998:E$2)*(E999=E998:E$2)))))</f>
        <v> </v>
      </c>
      <c r="J999" s="25" t="str">
        <f>IF(OR(E999="",E999="!!!",F999="NEW"),"",COUNTBLANK(OFFSET(A$1,,,SUMPRODUCT(MAX(ROW(E$2:E999)*(E999=E$2:E999)))))-COUNTBLANK(OFFSET(A$1,,,SUMPRODUCT(MAX(ROW(E$1:E998)*(E2=E$1:E998))))))</f>
        <v> </v>
      </c>
      <c r="K999" s="25" t="str">
        <f>IF(OR(E999="",E999="!!!",F999="NEW"),"",INDEX(J$1:J998,SUMPRODUCT(MAX(ROW(E$1:E998)*(E999=E$1:E998)))))</f>
        <v> </v>
      </c>
      <c r="L999" s="26"/>
    </row>
    <row r="1000" spans="1:12">
      <c r="A1000" s="20" t="s">
        <v>619</v>
      </c>
      <c r="B1000" s="27" t="s">
        <v>205</v>
      </c>
      <c r="C1000" s="27" t="s">
        <v>240</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223</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620</v>
      </c>
      <c r="B1002" s="27" t="s">
        <v>225</v>
      </c>
      <c r="C1002" s="27" t="s">
        <v>226</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t="s">
        <v>249</v>
      </c>
      <c r="B1003" s="27" t="s">
        <v>250</v>
      </c>
      <c r="E1003" s="21">
        <f>IF(D1003="?OLD","!!!","")</f>
        <v/>
      </c>
      <c r="F1003" s="22" t="str">
        <f>IF(OR(E1003="",E1003="!!!"),"",IF(NOT(ISNA(VLOOKUP(E1003,E$1:E1002,1,FALSE()))),"OLD",IF(AND(E1003&lt;&gt;"",E1003&lt;&gt;"!!!"),"NEW","")))</f>
        <v> </v>
      </c>
      <c r="G1003" s="23" t="str">
        <f>IF(OR(E1003="",E1003="!!!"),"",IF(OR(J1003=0,AND(J1003=1,K1003=1),AND(J1003=1,I1003="SBJ"),AND(J1003=1,I1003=0)),"?IN_FOCUS",IF(J1003&lt;=2,"?ACTIVATED",IF(J1003&lt;&gt;"","?FAMILIAR",IF(F1003="NEW",IF(ISNA(VLOOKUP(E1003,#REF!,1,FALSE())),"?TYPE_IDENTIFIABLE","?REFERENTIAL"),"_")))))</f>
        <v> </v>
      </c>
      <c r="H1003" s="24" t="str">
        <f>IF(J1003&lt;&gt;1,"",IF(I1003="SBJ","CB","?"))</f>
        <v> </v>
      </c>
      <c r="I1003" s="25" t="str">
        <f>IF(OR(E1003="",E1003="!!!",F1003="NEW"),"",INDEX(B1002:B$2,-1+SUMPRODUCT(MAX(ROW(E1002:E$2)*(E1003=E1002:E$2)))))</f>
        <v> </v>
      </c>
      <c r="J1003" s="25" t="str">
        <f>IF(OR(E1003="",E1003="!!!",F1003="NEW"),"",COUNTBLANK(OFFSET(A$1,,,SUMPRODUCT(MAX(ROW(E$2:E1003)*(E1003=E$2:E1003)))))-COUNTBLANK(OFFSET(A$1,,,SUMPRODUCT(MAX(ROW(E$1:E1002)*(E2=E$1:E1002))))))</f>
        <v> </v>
      </c>
      <c r="K1003" s="25" t="str">
        <f>IF(OR(E1003="",E1003="!!!",F1003="NEW"),"",INDEX(J$1:J1002,SUMPRODUCT(MAX(ROW(E$1:E1002)*(E1003=E$1:E1002)))))</f>
        <v> </v>
      </c>
      <c r="L1003" s="26"/>
    </row>
    <row r="1004" spans="1:12">
      <c r="A1004" s="20" t="s">
        <v>501</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t="s">
        <v>423</v>
      </c>
      <c r="B1005" s="27" t="s">
        <v>255</v>
      </c>
      <c r="C1005" s="27" t="s">
        <v>230</v>
      </c>
      <c r="D1005" s="27" t="s">
        <v>215</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t="s">
        <v>207</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t="s">
        <v>249</v>
      </c>
      <c r="B1007" s="27" t="s">
        <v>331</v>
      </c>
      <c r="E1007" s="21">
        <f>IF(D1007="?OLD","!!!","")</f>
        <v/>
      </c>
      <c r="F1007" s="22" t="str">
        <f>IF(OR(E1007="",E1007="!!!"),"",IF(NOT(ISNA(VLOOKUP(E1007,E$1:E1006,1,FALSE()))),"OLD",IF(AND(E1007&lt;&gt;"",E1007&lt;&gt;"!!!"),"NEW","")))</f>
        <v> </v>
      </c>
      <c r="G1007" s="23" t="str">
        <f>IF(OR(E1007="",E1007="!!!"),"",IF(OR(J1007=0,AND(J1007=1,K1007=1),AND(J1007=1,I1007="SBJ"),AND(J1007=1,I1007=0)),"?IN_FOCUS",IF(J1007&lt;=2,"?ACTIVATED",IF(J1007&lt;&gt;"","?FAMILIAR",IF(F1007="NEW",IF(ISNA(VLOOKUP(E1007,#REF!,1,FALSE())),"?TYPE_IDENTIFIABLE","?REFERENTIAL"),"_")))))</f>
        <v> </v>
      </c>
      <c r="H1007" s="24" t="str">
        <f>IF(J1007&lt;&gt;1,"",IF(I1007="SBJ","CB","?"))</f>
        <v> </v>
      </c>
      <c r="I1007" s="25" t="str">
        <f>IF(OR(E1007="",E1007="!!!",F1007="NEW"),"",INDEX(B1006:B$2,-1+SUMPRODUCT(MAX(ROW(E1006:E$2)*(E1007=E1006:E$2)))))</f>
        <v> </v>
      </c>
      <c r="J1007" s="25" t="str">
        <f>IF(OR(E1007="",E1007="!!!",F1007="NEW"),"",COUNTBLANK(OFFSET(A$1,,,SUMPRODUCT(MAX(ROW(E$2:E1007)*(E1007=E$2:E1007)))))-COUNTBLANK(OFFSET(A$1,,,SUMPRODUCT(MAX(ROW(E$1:E1006)*(E2=E$1:E1006))))))</f>
        <v> </v>
      </c>
      <c r="K1007" s="25" t="str">
        <f>IF(OR(E1007="",E1007="!!!",F1007="NEW"),"",INDEX(J$1:J1006,SUMPRODUCT(MAX(ROW(E$1:E1006)*(E1007=E$1:E1006)))))</f>
        <v> </v>
      </c>
      <c r="L1007" s="26"/>
    </row>
    <row r="1008" spans="1:12">
      <c r="A1008" s="20" t="s">
        <v>621</v>
      </c>
      <c r="E1008" s="21">
        <f>IF(D1008="?OLD","!!!","")</f>
        <v/>
      </c>
      <c r="F1008" s="22" t="str">
        <f>IF(OR(E1008="",E1008="!!!"),"",IF(NOT(ISNA(VLOOKUP(E1008,E$1:E1007,1,FALSE()))),"OLD",IF(AND(E1008&lt;&gt;"",E1008&lt;&gt;"!!!"),"NEW","")))</f>
        <v> </v>
      </c>
      <c r="G1008" s="23" t="str">
        <f>IF(OR(E1008="",E1008="!!!"),"",IF(OR(J1008=0,AND(J1008=1,K1008=1),AND(J1008=1,I1008="SBJ"),AND(J1008=1,I1008=0)),"?IN_FOCUS",IF(J1008&lt;=2,"?ACTIVATED",IF(J1008&lt;&gt;"","?FAMILIAR",IF(F1008="NEW",IF(ISNA(VLOOKUP(E1008,#REF!,1,FALSE())),"?TYPE_IDENTIFIABLE","?REFERENTIAL"),"_")))))</f>
        <v> </v>
      </c>
      <c r="H1008" s="24" t="str">
        <f>IF(J1008&lt;&gt;1,"",IF(I1008="SBJ","CB","?"))</f>
        <v> </v>
      </c>
      <c r="I1008" s="25" t="str">
        <f>IF(OR(E1008="",E1008="!!!",F1008="NEW"),"",INDEX(B1007:B$2,-1+SUMPRODUCT(MAX(ROW(E1007:E$2)*(E1008=E1007:E$2)))))</f>
        <v> </v>
      </c>
      <c r="J1008" s="25" t="str">
        <f>IF(OR(E1008="",E1008="!!!",F1008="NEW"),"",COUNTBLANK(OFFSET(A$1,,,SUMPRODUCT(MAX(ROW(E$2:E1008)*(E1008=E$2:E1008)))))-COUNTBLANK(OFFSET(A$1,,,SUMPRODUCT(MAX(ROW(E$1:E1007)*(E2=E$1:E1007))))))</f>
        <v> </v>
      </c>
      <c r="K1008" s="25" t="str">
        <f>IF(OR(E1008="",E1008="!!!",F1008="NEW"),"",INDEX(J$1:J1007,SUMPRODUCT(MAX(ROW(E$1:E1007)*(E1008=E$1:E1007)))))</f>
        <v> </v>
      </c>
      <c r="L1008" s="26"/>
    </row>
    <row r="1009" spans="1:12">
      <c r="A1009" s="20" t="s">
        <v>424</v>
      </c>
      <c r="B1009" s="27" t="s">
        <v>281</v>
      </c>
      <c r="C1009" s="27" t="s">
        <v>380</v>
      </c>
      <c r="D1009" s="27" t="s">
        <v>215</v>
      </c>
      <c r="E1009" s="21">
        <f>IF(D1009="?OLD","!!!","")</f>
        <v/>
      </c>
      <c r="F1009" s="22" t="str">
        <f>IF(OR(E1009="",E1009="!!!"),"",IF(NOT(ISNA(VLOOKUP(E1009,E$1:E1008,1,FALSE()))),"OLD",IF(AND(E1009&lt;&gt;"",E1009&lt;&gt;"!!!"),"NEW","")))</f>
        <v> </v>
      </c>
      <c r="G1009" s="23" t="str">
        <f>IF(OR(E1009="",E1009="!!!"),"",IF(OR(J1009=0,AND(J1009=1,K1009=1),AND(J1009=1,I1009="SBJ"),AND(J1009=1,I1009=0)),"?IN_FOCUS",IF(J1009&lt;=2,"?ACTIVATED",IF(J1009&lt;&gt;"","?FAMILIAR",IF(F1009="NEW",IF(ISNA(VLOOKUP(E1009,#REF!,1,FALSE())),"?TYPE_IDENTIFIABLE","?REFERENTIAL"),"_")))))</f>
        <v> </v>
      </c>
      <c r="H1009" s="24" t="str">
        <f>IF(J1009&lt;&gt;1,"",IF(I1009="SBJ","CB","?"))</f>
        <v> </v>
      </c>
      <c r="I1009" s="25" t="str">
        <f>IF(OR(E1009="",E1009="!!!",F1009="NEW"),"",INDEX(B1008:B$2,-1+SUMPRODUCT(MAX(ROW(E1008:E$2)*(E1009=E1008:E$2)))))</f>
        <v> </v>
      </c>
      <c r="J1009" s="25" t="str">
        <f>IF(OR(E1009="",E1009="!!!",F1009="NEW"),"",COUNTBLANK(OFFSET(A$1,,,SUMPRODUCT(MAX(ROW(E$2:E1009)*(E1009=E$2:E1009)))))-COUNTBLANK(OFFSET(A$1,,,SUMPRODUCT(MAX(ROW(E$1:E1008)*(E2=E$1:E1008))))))</f>
        <v> </v>
      </c>
      <c r="K1009" s="25" t="str">
        <f>IF(OR(E1009="",E1009="!!!",F1009="NEW"),"",INDEX(J$1:J1008,SUMPRODUCT(MAX(ROW(E$1:E1008)*(E1009=E$1:E1008)))))</f>
        <v> </v>
      </c>
      <c r="L1009" s="26"/>
    </row>
    <row r="1010" spans="1:12">
      <c r="A1010" s="20" t="s">
        <v>622</v>
      </c>
      <c r="B1010" s="27" t="s">
        <v>529</v>
      </c>
      <c r="C1010" s="27" t="s">
        <v>264</v>
      </c>
      <c r="D1010" s="27" t="s">
        <v>215</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t="s">
        <v>287</v>
      </c>
      <c r="E1011" s="21">
        <f>IF(D1011="?OLD","!!!","")</f>
        <v/>
      </c>
      <c r="F1011" s="22" t="str">
        <f>IF(OR(E1011="",E1011="!!!"),"",IF(NOT(ISNA(VLOOKUP(E1011,E$1:E1010,1,FALSE()))),"OLD",IF(AND(E1011&lt;&gt;"",E1011&lt;&gt;"!!!"),"NEW","")))</f>
        <v> </v>
      </c>
      <c r="G1011" s="23" t="str">
        <f>IF(OR(E1011="",E1011="!!!"),"",IF(OR(J1011=0,AND(J1011=1,K1011=1),AND(J1011=1,I1011="SBJ"),AND(J1011=1,I1011=0)),"?IN_FOCUS",IF(J1011&lt;=2,"?ACTIVATED",IF(J1011&lt;&gt;"","?FAMILIAR",IF(F1011="NEW",IF(ISNA(VLOOKUP(E1011,#REF!,1,FALSE())),"?TYPE_IDENTIFIABLE","?REFERENTIAL"),"_")))))</f>
        <v> </v>
      </c>
      <c r="H1011" s="24" t="str">
        <f>IF(J1011&lt;&gt;1,"",IF(I1011="SBJ","CB","?"))</f>
        <v> </v>
      </c>
      <c r="I1011" s="25" t="str">
        <f>IF(OR(E1011="",E1011="!!!",F1011="NEW"),"",INDEX(B1010:B$2,-1+SUMPRODUCT(MAX(ROW(E1010:E$2)*(E1011=E1010:E$2)))))</f>
        <v> </v>
      </c>
      <c r="J1011" s="25" t="str">
        <f>IF(OR(E1011="",E1011="!!!",F1011="NEW"),"",COUNTBLANK(OFFSET(A$1,,,SUMPRODUCT(MAX(ROW(E$2:E1011)*(E1011=E$2:E1011)))))-COUNTBLANK(OFFSET(A$1,,,SUMPRODUCT(MAX(ROW(E$1:E1010)*(E2=E$1:E1010))))))</f>
        <v> </v>
      </c>
      <c r="K1011" s="25" t="str">
        <f>IF(OR(E1011="",E1011="!!!",F1011="NEW"),"",INDEX(J$1:J1010,SUMPRODUCT(MAX(ROW(E$1:E1010)*(E1011=E$1:E1010)))))</f>
        <v> </v>
      </c>
      <c r="L1011" s="26"/>
    </row>
    <row r="1012" spans="1:12">
      <c r="A1012" s="20" t="s">
        <v>623</v>
      </c>
      <c r="E1012" s="21">
        <f>IF(D1012="?OLD","!!!","")</f>
        <v/>
      </c>
      <c r="F1012" s="22" t="str">
        <f>IF(OR(E1012="",E1012="!!!"),"",IF(NOT(ISNA(VLOOKUP(E1012,E$1:E1011,1,FALSE()))),"OLD",IF(AND(E1012&lt;&gt;"",E1012&lt;&gt;"!!!"),"NEW","")))</f>
        <v> </v>
      </c>
      <c r="G1012" s="23" t="str">
        <f>IF(OR(E1012="",E1012="!!!"),"",IF(OR(J1012=0,AND(J1012=1,K1012=1),AND(J1012=1,I1012="SBJ"),AND(J1012=1,I1012=0)),"?IN_FOCUS",IF(J1012&lt;=2,"?ACTIVATED",IF(J1012&lt;&gt;"","?FAMILIAR",IF(F1012="NEW",IF(ISNA(VLOOKUP(E1012,#REF!,1,FALSE())),"?TYPE_IDENTIFIABLE","?REFERENTIAL"),"_")))))</f>
        <v> </v>
      </c>
      <c r="H1012" s="24" t="str">
        <f>IF(J1012&lt;&gt;1,"",IF(I1012="SBJ","CB","?"))</f>
        <v> </v>
      </c>
      <c r="I1012" s="25" t="str">
        <f>IF(OR(E1012="",E1012="!!!",F1012="NEW"),"",INDEX(B1011:B$2,-1+SUMPRODUCT(MAX(ROW(E1011:E$2)*(E1012=E1011:E$2)))))</f>
        <v> </v>
      </c>
      <c r="J1012" s="25" t="str">
        <f>IF(OR(E1012="",E1012="!!!",F1012="NEW"),"",COUNTBLANK(OFFSET(A$1,,,SUMPRODUCT(MAX(ROW(E$2:E1012)*(E1012=E$2:E1012)))))-COUNTBLANK(OFFSET(A$1,,,SUMPRODUCT(MAX(ROW(E$1:E1011)*(E2=E$1:E1011))))))</f>
        <v> </v>
      </c>
      <c r="K1012" s="25" t="str">
        <f>IF(OR(E1012="",E1012="!!!",F1012="NEW"),"",INDEX(J$1:J1011,SUMPRODUCT(MAX(ROW(E$1:E1011)*(E1012=E$1:E1011)))))</f>
        <v> </v>
      </c>
      <c r="L1012" s="26"/>
    </row>
    <row r="1013" spans="1:12">
      <c r="A1013" s="20" t="s">
        <v>423</v>
      </c>
      <c r="B1013" s="27" t="s">
        <v>532</v>
      </c>
      <c r="C1013" s="27" t="s">
        <v>230</v>
      </c>
      <c r="D1013" s="27" t="s">
        <v>215</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t="s">
        <v>234</v>
      </c>
      <c r="E1014" s="21">
        <f>IF(D1014="?OLD","!!!","")</f>
        <v/>
      </c>
      <c r="F1014" s="22" t="str">
        <f>IF(OR(E1014="",E1014="!!!"),"",IF(NOT(ISNA(VLOOKUP(E1014,E$1:E1013,1,FALSE()))),"OLD",IF(AND(E1014&lt;&gt;"",E1014&lt;&gt;"!!!"),"NEW","")))</f>
        <v> </v>
      </c>
      <c r="G1014" s="23" t="str">
        <f>IF(OR(E1014="",E1014="!!!"),"",IF(OR(J1014=0,AND(J1014=1,K1014=1),AND(J1014=1,I1014="SBJ"),AND(J1014=1,I1014=0)),"?IN_FOCUS",IF(J1014&lt;=2,"?ACTIVATED",IF(J1014&lt;&gt;"","?FAMILIAR",IF(F1014="NEW",IF(ISNA(VLOOKUP(E1014,#REF!,1,FALSE())),"?TYPE_IDENTIFIABLE","?REFERENTIAL"),"_")))))</f>
        <v> </v>
      </c>
      <c r="H1014" s="24" t="str">
        <f>IF(J1014&lt;&gt;1,"",IF(I1014="SBJ","CB","?"))</f>
        <v> </v>
      </c>
      <c r="I1014" s="25" t="str">
        <f>IF(OR(E1014="",E1014="!!!",F1014="NEW"),"",INDEX(B1013:B$2,-1+SUMPRODUCT(MAX(ROW(E1013:E$2)*(E1014=E1013:E$2)))))</f>
        <v> </v>
      </c>
      <c r="J1014" s="25" t="str">
        <f>IF(OR(E1014="",E1014="!!!",F1014="NEW"),"",COUNTBLANK(OFFSET(A$1,,,SUMPRODUCT(MAX(ROW(E$2:E1014)*(E1014=E$2:E1014)))))-COUNTBLANK(OFFSET(A$1,,,SUMPRODUCT(MAX(ROW(E$1:E1013)*(E2=E$1:E1013))))))</f>
        <v> </v>
      </c>
      <c r="K1014" s="25" t="str">
        <f>IF(OR(E1014="",E1014="!!!",F1014="NEW"),"",INDEX(J$1:J1013,SUMPRODUCT(MAX(ROW(E$1:E1013)*(E1014=E$1:E1013)))))</f>
        <v> </v>
      </c>
      <c r="L1014" s="26"/>
    </row>
    <row r="1015" spans="1:12">
      <c r="A1015" s="20"/>
    </row>
    <row r="1016" spans="1:12">
      <c r="A1016" s="20" t="s">
        <v>624</v>
      </c>
    </row>
    <row r="1017" spans="1:12">
      <c r="A1017" s="20" t="s">
        <v>236</v>
      </c>
      <c r="E1017" s="21">
        <f>IF(D1017="?OLD","!!!","")</f>
        <v/>
      </c>
      <c r="F1017" s="22" t="str">
        <f>IF(OR(E1017="",E1017="!!!"),"",IF(NOT(ISNA(VLOOKUP(E1017,E$1:E1016,1,FALSE()))),"OLD",IF(AND(E1017&lt;&gt;"",E1017&lt;&gt;"!!!"),"NEW","")))</f>
        <v> </v>
      </c>
      <c r="G1017" s="23" t="str">
        <f>IF(OR(E1017="",E1017="!!!"),"",IF(OR(J1017=0,AND(J1017=1,K1017=1),AND(J1017=1,I1017="SBJ"),AND(J1017=1,I1017=0)),"?IN_FOCUS",IF(J1017&lt;=2,"?ACTIVATED",IF(J1017&lt;&gt;"","?FAMILIAR",IF(F1017="NEW",IF(ISNA(VLOOKUP(E1017,#REF!,1,FALSE())),"?TYPE_IDENTIFIABLE","?REFERENTIAL"),"_")))))</f>
        <v> </v>
      </c>
      <c r="H1017" s="24" t="str">
        <f>IF(J1017&lt;&gt;1,"",IF(I1017="SBJ","CB","?"))</f>
        <v> </v>
      </c>
      <c r="I1017" s="25" t="str">
        <f>IF(OR(E1017="",E1017="!!!",F1017="NEW"),"",INDEX(B1016:B$2,-1+SUMPRODUCT(MAX(ROW(E1016:E$2)*(E1017=E1016:E$2)))))</f>
        <v> </v>
      </c>
      <c r="J1017" s="25" t="str">
        <f>IF(OR(E1017="",E1017="!!!",F1017="NEW"),"",COUNTBLANK(OFFSET(A$1,,,SUMPRODUCT(MAX(ROW(E$2:E1017)*(E1017=E$2:E1017)))))-COUNTBLANK(OFFSET(A$1,,,SUMPRODUCT(MAX(ROW(E$1:E1016)*(E2=E$1:E1016))))))</f>
        <v> </v>
      </c>
      <c r="K1017" s="25" t="str">
        <f>IF(OR(E1017="",E1017="!!!",F1017="NEW"),"",INDEX(J$1:J1016,SUMPRODUCT(MAX(ROW(E$1:E1016)*(E1017=E$1:E1016)))))</f>
        <v> </v>
      </c>
      <c r="L1017" s="26"/>
    </row>
    <row r="1018" spans="1:12">
      <c r="A1018" s="20" t="s">
        <v>257</v>
      </c>
      <c r="B1018" s="27" t="s">
        <v>213</v>
      </c>
      <c r="C1018" s="27" t="s">
        <v>230</v>
      </c>
      <c r="D1018" s="27" t="s">
        <v>215</v>
      </c>
      <c r="E1018" s="21">
        <f>IF(D1018="?OLD","!!!","")</f>
        <v/>
      </c>
      <c r="F1018" s="22" t="str">
        <f>IF(OR(E1018="",E1018="!!!"),"",IF(NOT(ISNA(VLOOKUP(E1018,E$1:E1017,1,FALSE()))),"OLD",IF(AND(E1018&lt;&gt;"",E1018&lt;&gt;"!!!"),"NEW","")))</f>
        <v> </v>
      </c>
      <c r="G1018" s="23" t="str">
        <f>IF(OR(E1018="",E1018="!!!"),"",IF(OR(J1018=0,AND(J1018=1,K1018=1),AND(J1018=1,I1018="SBJ"),AND(J1018=1,I1018=0)),"?IN_FOCUS",IF(J1018&lt;=2,"?ACTIVATED",IF(J1018&lt;&gt;"","?FAMILIAR",IF(F1018="NEW",IF(ISNA(VLOOKUP(E1018,#REF!,1,FALSE())),"?TYPE_IDENTIFIABLE","?REFERENTIAL"),"_")))))</f>
        <v> </v>
      </c>
      <c r="H1018" s="24" t="str">
        <f>IF(J1018&lt;&gt;1,"",IF(I1018="SBJ","CB","?"))</f>
        <v> </v>
      </c>
      <c r="I1018" s="25" t="str">
        <f>IF(OR(E1018="",E1018="!!!",F1018="NEW"),"",INDEX(B1017:B$2,-1+SUMPRODUCT(MAX(ROW(E1017:E$2)*(E1018=E1017:E$2)))))</f>
        <v> </v>
      </c>
      <c r="J1018" s="25" t="str">
        <f>IF(OR(E1018="",E1018="!!!",F1018="NEW"),"",COUNTBLANK(OFFSET(A$1,,,SUMPRODUCT(MAX(ROW(E$2:E1018)*(E1018=E$2:E1018)))))-COUNTBLANK(OFFSET(A$1,,,SUMPRODUCT(MAX(ROW(E$1:E1017)*(E2=E$1:E1017))))))</f>
        <v> </v>
      </c>
      <c r="K1018" s="25" t="str">
        <f>IF(OR(E1018="",E1018="!!!",F1018="NEW"),"",INDEX(J$1:J1017,SUMPRODUCT(MAX(ROW(E$1:E1017)*(E1018=E$1:E1017)))))</f>
        <v> </v>
      </c>
      <c r="L1018" s="26"/>
    </row>
    <row r="1019" spans="1:12">
      <c r="A1019" s="20" t="s">
        <v>625</v>
      </c>
      <c r="E1019" s="21">
        <f>IF(D1019="?OLD","!!!","")</f>
        <v/>
      </c>
      <c r="F1019" s="22" t="str">
        <f>IF(OR(E1019="",E1019="!!!"),"",IF(NOT(ISNA(VLOOKUP(E1019,E$1:E1018,1,FALSE()))),"OLD",IF(AND(E1019&lt;&gt;"",E1019&lt;&gt;"!!!"),"NEW","")))</f>
        <v> </v>
      </c>
      <c r="G1019" s="23" t="str">
        <f>IF(OR(E1019="",E1019="!!!"),"",IF(OR(J1019=0,AND(J1019=1,K1019=1),AND(J1019=1,I1019="SBJ"),AND(J1019=1,I1019=0)),"?IN_FOCUS",IF(J1019&lt;=2,"?ACTIVATED",IF(J1019&lt;&gt;"","?FAMILIAR",IF(F1019="NEW",IF(ISNA(VLOOKUP(E1019,#REF!,1,FALSE())),"?TYPE_IDENTIFIABLE","?REFERENTIAL"),"_")))))</f>
        <v> </v>
      </c>
      <c r="H1019" s="24" t="str">
        <f>IF(J1019&lt;&gt;1,"",IF(I1019="SBJ","CB","?"))</f>
        <v> </v>
      </c>
      <c r="I1019" s="25" t="str">
        <f>IF(OR(E1019="",E1019="!!!",F1019="NEW"),"",INDEX(B1018:B$2,-1+SUMPRODUCT(MAX(ROW(E1018:E$2)*(E1019=E1018:E$2)))))</f>
        <v> </v>
      </c>
      <c r="J1019" s="25" t="str">
        <f>IF(OR(E1019="",E1019="!!!",F1019="NEW"),"",COUNTBLANK(OFFSET(A$1,,,SUMPRODUCT(MAX(ROW(E$2:E1019)*(E1019=E$2:E1019)))))-COUNTBLANK(OFFSET(A$1,,,SUMPRODUCT(MAX(ROW(E$1:E1018)*(E2=E$1:E1018))))))</f>
        <v> </v>
      </c>
      <c r="K1019" s="25" t="str">
        <f>IF(OR(E1019="",E1019="!!!",F1019="NEW"),"",INDEX(J$1:J1018,SUMPRODUCT(MAX(ROW(E$1:E1018)*(E1019=E$1:E1018)))))</f>
        <v> </v>
      </c>
      <c r="L1019" s="26"/>
    </row>
    <row r="1020" spans="1:12">
      <c r="A1020" s="20" t="s">
        <v>626</v>
      </c>
      <c r="E1020" s="21">
        <f>IF(D1020="?OLD","!!!","")</f>
        <v/>
      </c>
      <c r="F1020" s="22" t="str">
        <f>IF(OR(E1020="",E1020="!!!"),"",IF(NOT(ISNA(VLOOKUP(E1020,E$1:E1019,1,FALSE()))),"OLD",IF(AND(E1020&lt;&gt;"",E1020&lt;&gt;"!!!"),"NEW","")))</f>
        <v> </v>
      </c>
      <c r="G1020" s="23" t="str">
        <f>IF(OR(E1020="",E1020="!!!"),"",IF(OR(J1020=0,AND(J1020=1,K1020=1),AND(J1020=1,I1020="SBJ"),AND(J1020=1,I1020=0)),"?IN_FOCUS",IF(J1020&lt;=2,"?ACTIVATED",IF(J1020&lt;&gt;"","?FAMILIAR",IF(F1020="NEW",IF(ISNA(VLOOKUP(E1020,#REF!,1,FALSE())),"?TYPE_IDENTIFIABLE","?REFERENTIAL"),"_")))))</f>
        <v> </v>
      </c>
      <c r="H1020" s="24" t="str">
        <f>IF(J1020&lt;&gt;1,"",IF(I1020="SBJ","CB","?"))</f>
        <v> </v>
      </c>
      <c r="I1020" s="25" t="str">
        <f>IF(OR(E1020="",E1020="!!!",F1020="NEW"),"",INDEX(B1019:B$2,-1+SUMPRODUCT(MAX(ROW(E1019:E$2)*(E1020=E1019:E$2)))))</f>
        <v> </v>
      </c>
      <c r="J1020" s="25" t="str">
        <f>IF(OR(E1020="",E1020="!!!",F1020="NEW"),"",COUNTBLANK(OFFSET(A$1,,,SUMPRODUCT(MAX(ROW(E$2:E1020)*(E1020=E$2:E1020)))))-COUNTBLANK(OFFSET(A$1,,,SUMPRODUCT(MAX(ROW(E$1:E1019)*(E2=E$1:E1019))))))</f>
        <v> </v>
      </c>
      <c r="K1020" s="25" t="str">
        <f>IF(OR(E1020="",E1020="!!!",F1020="NEW"),"",INDEX(J$1:J1019,SUMPRODUCT(MAX(ROW(E$1:E1019)*(E1020=E$1:E1019)))))</f>
        <v> </v>
      </c>
      <c r="L1020" s="26"/>
    </row>
    <row r="1021" spans="1:12">
      <c r="A1021" s="20" t="s">
        <v>155</v>
      </c>
      <c r="E1021" s="21">
        <f>IF(D1021="?OLD","!!!","")</f>
        <v/>
      </c>
      <c r="F1021" s="22" t="str">
        <f>IF(OR(E1021="",E1021="!!!"),"",IF(NOT(ISNA(VLOOKUP(E1021,E$1:E1020,1,FALSE()))),"OLD",IF(AND(E1021&lt;&gt;"",E1021&lt;&gt;"!!!"),"NEW","")))</f>
        <v> </v>
      </c>
      <c r="G1021" s="23" t="str">
        <f>IF(OR(E1021="",E1021="!!!"),"",IF(OR(J1021=0,AND(J1021=1,K1021=1),AND(J1021=1,I1021="SBJ"),AND(J1021=1,I1021=0)),"?IN_FOCUS",IF(J1021&lt;=2,"?ACTIVATED",IF(J1021&lt;&gt;"","?FAMILIAR",IF(F1021="NEW",IF(ISNA(VLOOKUP(E1021,#REF!,1,FALSE())),"?TYPE_IDENTIFIABLE","?REFERENTIAL"),"_")))))</f>
        <v> </v>
      </c>
      <c r="H1021" s="24" t="str">
        <f>IF(J1021&lt;&gt;1,"",IF(I1021="SBJ","CB","?"))</f>
        <v> </v>
      </c>
      <c r="I1021" s="25" t="str">
        <f>IF(OR(E1021="",E1021="!!!",F1021="NEW"),"",INDEX(B1020:B$2,-1+SUMPRODUCT(MAX(ROW(E1020:E$2)*(E1021=E1020:E$2)))))</f>
        <v> </v>
      </c>
      <c r="J1021" s="25" t="str">
        <f>IF(OR(E1021="",E1021="!!!",F1021="NEW"),"",COUNTBLANK(OFFSET(A$1,,,SUMPRODUCT(MAX(ROW(E$2:E1021)*(E1021=E$2:E1021)))))-COUNTBLANK(OFFSET(A$1,,,SUMPRODUCT(MAX(ROW(E$1:E1020)*(E2=E$1:E1020))))))</f>
        <v> </v>
      </c>
      <c r="K1021" s="25" t="str">
        <f>IF(OR(E1021="",E1021="!!!",F1021="NEW"),"",INDEX(J$1:J1020,SUMPRODUCT(MAX(ROW(E$1:E1020)*(E1021=E$1:E1020)))))</f>
        <v> </v>
      </c>
      <c r="L1021" s="26"/>
    </row>
    <row r="1022" spans="1:12">
      <c r="A1022" s="20" t="s">
        <v>188</v>
      </c>
      <c r="B1022" s="27" t="s">
        <v>261</v>
      </c>
      <c r="C1022" s="27" t="s">
        <v>226</v>
      </c>
      <c r="E1022" s="21">
        <f>IF(D1022="?OLD","!!!","")</f>
        <v/>
      </c>
      <c r="F1022" s="22" t="str">
        <f>IF(OR(E1022="",E1022="!!!"),"",IF(NOT(ISNA(VLOOKUP(E1022,E$1:E1021,1,FALSE()))),"OLD",IF(AND(E1022&lt;&gt;"",E1022&lt;&gt;"!!!"),"NEW","")))</f>
        <v> </v>
      </c>
      <c r="G1022" s="23" t="str">
        <f>IF(OR(E1022="",E1022="!!!"),"",IF(OR(J1022=0,AND(J1022=1,K1022=1),AND(J1022=1,I1022="SBJ"),AND(J1022=1,I1022=0)),"?IN_FOCUS",IF(J1022&lt;=2,"?ACTIVATED",IF(J1022&lt;&gt;"","?FAMILIAR",IF(F1022="NEW",IF(ISNA(VLOOKUP(E1022,#REF!,1,FALSE())),"?TYPE_IDENTIFIABLE","?REFERENTIAL"),"_")))))</f>
        <v> </v>
      </c>
      <c r="H1022" s="24" t="str">
        <f>IF(J1022&lt;&gt;1,"",IF(I1022="SBJ","CB","?"))</f>
        <v> </v>
      </c>
      <c r="I1022" s="25" t="str">
        <f>IF(OR(E1022="",E1022="!!!",F1022="NEW"),"",INDEX(B1021:B$2,-1+SUMPRODUCT(MAX(ROW(E1021:E$2)*(E1022=E1021:E$2)))))</f>
        <v> </v>
      </c>
      <c r="J1022" s="25" t="str">
        <f>IF(OR(E1022="",E1022="!!!",F1022="NEW"),"",COUNTBLANK(OFFSET(A$1,,,SUMPRODUCT(MAX(ROW(E$2:E1022)*(E1022=E$2:E1022)))))-COUNTBLANK(OFFSET(A$1,,,SUMPRODUCT(MAX(ROW(E$1:E1021)*(E2=E$1:E1021))))))</f>
        <v> </v>
      </c>
      <c r="K1022" s="25" t="str">
        <f>IF(OR(E1022="",E1022="!!!",F1022="NEW"),"",INDEX(J$1:J1021,SUMPRODUCT(MAX(ROW(E$1:E1021)*(E1022=E$1:E1021)))))</f>
        <v> </v>
      </c>
      <c r="L1022" s="26"/>
    </row>
    <row r="1023" spans="1:12">
      <c r="A1023" s="20" t="s">
        <v>282</v>
      </c>
      <c r="E1023" s="21">
        <f>IF(D1023="?OLD","!!!","")</f>
        <v/>
      </c>
      <c r="F1023" s="22" t="str">
        <f>IF(OR(E1023="",E1023="!!!"),"",IF(NOT(ISNA(VLOOKUP(E1023,E$1:E1022,1,FALSE()))),"OLD",IF(AND(E1023&lt;&gt;"",E1023&lt;&gt;"!!!"),"NEW","")))</f>
        <v> </v>
      </c>
      <c r="G1023" s="23" t="str">
        <f>IF(OR(E1023="",E1023="!!!"),"",IF(OR(J1023=0,AND(J1023=1,K1023=1),AND(J1023=1,I1023="SBJ"),AND(J1023=1,I1023=0)),"?IN_FOCUS",IF(J1023&lt;=2,"?ACTIVATED",IF(J1023&lt;&gt;"","?FAMILIAR",IF(F1023="NEW",IF(ISNA(VLOOKUP(E1023,#REF!,1,FALSE())),"?TYPE_IDENTIFIABLE","?REFERENTIAL"),"_")))))</f>
        <v> </v>
      </c>
      <c r="H1023" s="24" t="str">
        <f>IF(J1023&lt;&gt;1,"",IF(I1023="SBJ","CB","?"))</f>
        <v> </v>
      </c>
      <c r="I1023" s="25" t="str">
        <f>IF(OR(E1023="",E1023="!!!",F1023="NEW"),"",INDEX(B1022:B$2,-1+SUMPRODUCT(MAX(ROW(E1022:E$2)*(E1023=E1022:E$2)))))</f>
        <v> </v>
      </c>
      <c r="J1023" s="25" t="str">
        <f>IF(OR(E1023="",E1023="!!!",F1023="NEW"),"",COUNTBLANK(OFFSET(A$1,,,SUMPRODUCT(MAX(ROW(E$2:E1023)*(E1023=E$2:E1023)))))-COUNTBLANK(OFFSET(A$1,,,SUMPRODUCT(MAX(ROW(E$1:E1022)*(E2=E$1:E1022))))))</f>
        <v> </v>
      </c>
      <c r="K1023" s="25" t="str">
        <f>IF(OR(E1023="",E1023="!!!",F1023="NEW"),"",INDEX(J$1:J1022,SUMPRODUCT(MAX(ROW(E$1:E1022)*(E1023=E$1:E1022)))))</f>
        <v> </v>
      </c>
      <c r="L1023" s="26"/>
    </row>
    <row r="1024" spans="1:12">
      <c r="A1024" s="20" t="s">
        <v>290</v>
      </c>
      <c r="B1024" s="27" t="s">
        <v>205</v>
      </c>
      <c r="C1024" s="27" t="s">
        <v>214</v>
      </c>
      <c r="D1024" s="27" t="s">
        <v>215</v>
      </c>
      <c r="E1024" s="21">
        <f>IF(D1024="?OLD","!!!","")</f>
        <v/>
      </c>
      <c r="F1024" s="22" t="str">
        <f>IF(OR(E1024="",E1024="!!!"),"",IF(NOT(ISNA(VLOOKUP(E1024,E$1:E1023,1,FALSE()))),"OLD",IF(AND(E1024&lt;&gt;"",E1024&lt;&gt;"!!!"),"NEW","")))</f>
        <v> </v>
      </c>
      <c r="G1024" s="23" t="str">
        <f>IF(OR(E1024="",E1024="!!!"),"",IF(OR(J1024=0,AND(J1024=1,K1024=1),AND(J1024=1,I1024="SBJ"),AND(J1024=1,I1024=0)),"?IN_FOCUS",IF(J1024&lt;=2,"?ACTIVATED",IF(J1024&lt;&gt;"","?FAMILIAR",IF(F1024="NEW",IF(ISNA(VLOOKUP(E1024,#REF!,1,FALSE())),"?TYPE_IDENTIFIABLE","?REFERENTIAL"),"_")))))</f>
        <v> </v>
      </c>
      <c r="H1024" s="24" t="str">
        <f>IF(J1024&lt;&gt;1,"",IF(I1024="SBJ","CB","?"))</f>
        <v> </v>
      </c>
      <c r="I1024" s="25" t="str">
        <f>IF(OR(E1024="",E1024="!!!",F1024="NEW"),"",INDEX(B1023:B$2,-1+SUMPRODUCT(MAX(ROW(E1023:E$2)*(E1024=E1023:E$2)))))</f>
        <v> </v>
      </c>
      <c r="J1024" s="25" t="str">
        <f>IF(OR(E1024="",E1024="!!!",F1024="NEW"),"",COUNTBLANK(OFFSET(A$1,,,SUMPRODUCT(MAX(ROW(E$2:E1024)*(E1024=E$2:E1024)))))-COUNTBLANK(OFFSET(A$1,,,SUMPRODUCT(MAX(ROW(E$1:E1023)*(E2=E$1:E1023))))))</f>
        <v> </v>
      </c>
      <c r="K1024" s="25" t="str">
        <f>IF(OR(E1024="",E1024="!!!",F1024="NEW"),"",INDEX(J$1:J1023,SUMPRODUCT(MAX(ROW(E$1:E1023)*(E1024=E$1:E1023)))))</f>
        <v> </v>
      </c>
      <c r="L1024" s="26"/>
    </row>
    <row r="1025" spans="1:12">
      <c r="A1025" s="20" t="s">
        <v>207</v>
      </c>
      <c r="E1025" s="21">
        <f>IF(D1025="?OLD","!!!","")</f>
        <v/>
      </c>
      <c r="F1025" s="22" t="str">
        <f>IF(OR(E1025="",E1025="!!!"),"",IF(NOT(ISNA(VLOOKUP(E1025,E$1:E1024,1,FALSE()))),"OLD",IF(AND(E1025&lt;&gt;"",E1025&lt;&gt;"!!!"),"NEW","")))</f>
        <v> </v>
      </c>
      <c r="G1025" s="23" t="str">
        <f>IF(OR(E1025="",E1025="!!!"),"",IF(OR(J1025=0,AND(J1025=1,K1025=1),AND(J1025=1,I1025="SBJ"),AND(J1025=1,I1025=0)),"?IN_FOCUS",IF(J1025&lt;=2,"?ACTIVATED",IF(J1025&lt;&gt;"","?FAMILIAR",IF(F1025="NEW",IF(ISNA(VLOOKUP(E1025,#REF!,1,FALSE())),"?TYPE_IDENTIFIABLE","?REFERENTIAL"),"_")))))</f>
        <v> </v>
      </c>
      <c r="H1025" s="24" t="str">
        <f>IF(J1025&lt;&gt;1,"",IF(I1025="SBJ","CB","?"))</f>
        <v> </v>
      </c>
      <c r="I1025" s="25" t="str">
        <f>IF(OR(E1025="",E1025="!!!",F1025="NEW"),"",INDEX(B1024:B$2,-1+SUMPRODUCT(MAX(ROW(E1024:E$2)*(E1025=E1024:E$2)))))</f>
        <v> </v>
      </c>
      <c r="J1025" s="25" t="str">
        <f>IF(OR(E1025="",E1025="!!!",F1025="NEW"),"",COUNTBLANK(OFFSET(A$1,,,SUMPRODUCT(MAX(ROW(E$2:E1025)*(E1025=E$2:E1025)))))-COUNTBLANK(OFFSET(A$1,,,SUMPRODUCT(MAX(ROW(E$1:E1024)*(E2=E$1:E1024))))))</f>
        <v> </v>
      </c>
      <c r="K1025" s="25" t="str">
        <f>IF(OR(E1025="",E1025="!!!",F1025="NEW"),"",INDEX(J$1:J1024,SUMPRODUCT(MAX(ROW(E$1:E1024)*(E1025=E$1:E1024)))))</f>
        <v> </v>
      </c>
      <c r="L1025" s="26"/>
    </row>
    <row r="1026" spans="1:12">
      <c r="A1026" s="20" t="s">
        <v>627</v>
      </c>
      <c r="E1026" s="21">
        <f>IF(D1026="?OLD","!!!","")</f>
        <v/>
      </c>
      <c r="F1026" s="22" t="str">
        <f>IF(OR(E1026="",E1026="!!!"),"",IF(NOT(ISNA(VLOOKUP(E1026,E$1:E1025,1,FALSE()))),"OLD",IF(AND(E1026&lt;&gt;"",E1026&lt;&gt;"!!!"),"NEW","")))</f>
        <v> </v>
      </c>
      <c r="G1026" s="23" t="str">
        <f>IF(OR(E1026="",E1026="!!!"),"",IF(OR(J1026=0,AND(J1026=1,K1026=1),AND(J1026=1,I1026="SBJ"),AND(J1026=1,I1026=0)),"?IN_FOCUS",IF(J1026&lt;=2,"?ACTIVATED",IF(J1026&lt;&gt;"","?FAMILIAR",IF(F1026="NEW",IF(ISNA(VLOOKUP(E1026,#REF!,1,FALSE())),"?TYPE_IDENTIFIABLE","?REFERENTIAL"),"_")))))</f>
        <v> </v>
      </c>
      <c r="H1026" s="24" t="str">
        <f>IF(J1026&lt;&gt;1,"",IF(I1026="SBJ","CB","?"))</f>
        <v> </v>
      </c>
      <c r="I1026" s="25" t="str">
        <f>IF(OR(E1026="",E1026="!!!",F1026="NEW"),"",INDEX(B1025:B$2,-1+SUMPRODUCT(MAX(ROW(E1025:E$2)*(E1026=E1025:E$2)))))</f>
        <v> </v>
      </c>
      <c r="J1026" s="25" t="str">
        <f>IF(OR(E1026="",E1026="!!!",F1026="NEW"),"",COUNTBLANK(OFFSET(A$1,,,SUMPRODUCT(MAX(ROW(E$2:E1026)*(E1026=E$2:E1026)))))-COUNTBLANK(OFFSET(A$1,,,SUMPRODUCT(MAX(ROW(E$1:E1025)*(E2=E$1:E1025))))))</f>
        <v> </v>
      </c>
      <c r="K1026" s="25" t="str">
        <f>IF(OR(E1026="",E1026="!!!",F1026="NEW"),"",INDEX(J$1:J1025,SUMPRODUCT(MAX(ROW(E$1:E1025)*(E1026=E$1:E1025)))))</f>
        <v> </v>
      </c>
      <c r="L1026" s="26"/>
    </row>
    <row r="1027" spans="1:12">
      <c r="A1027" s="20" t="s">
        <v>120</v>
      </c>
      <c r="B1027" s="27" t="s">
        <v>229</v>
      </c>
      <c r="C1027" s="27" t="s">
        <v>230</v>
      </c>
      <c r="D1027" s="27" t="s">
        <v>215</v>
      </c>
      <c r="E1027" s="21">
        <f>IF(D1027="?OLD","!!!","")</f>
        <v/>
      </c>
      <c r="F1027" s="22" t="str">
        <f>IF(OR(E1027="",E1027="!!!"),"",IF(NOT(ISNA(VLOOKUP(E1027,E$1:E1026,1,FALSE()))),"OLD",IF(AND(E1027&lt;&gt;"",E1027&lt;&gt;"!!!"),"NEW","")))</f>
        <v> </v>
      </c>
      <c r="G1027" s="23" t="str">
        <f>IF(OR(E1027="",E1027="!!!"),"",IF(OR(J1027=0,AND(J1027=1,K1027=1),AND(J1027=1,I1027="SBJ"),AND(J1027=1,I1027=0)),"?IN_FOCUS",IF(J1027&lt;=2,"?ACTIVATED",IF(J1027&lt;&gt;"","?FAMILIAR",IF(F1027="NEW",IF(ISNA(VLOOKUP(E1027,#REF!,1,FALSE())),"?TYPE_IDENTIFIABLE","?REFERENTIAL"),"_")))))</f>
        <v> </v>
      </c>
      <c r="H1027" s="24" t="str">
        <f>IF(J1027&lt;&gt;1,"",IF(I1027="SBJ","CB","?"))</f>
        <v> </v>
      </c>
      <c r="I1027" s="25" t="str">
        <f>IF(OR(E1027="",E1027="!!!",F1027="NEW"),"",INDEX(B1026:B$2,-1+SUMPRODUCT(MAX(ROW(E1026:E$2)*(E1027=E1026:E$2)))))</f>
        <v> </v>
      </c>
      <c r="J1027" s="25" t="str">
        <f>IF(OR(E1027="",E1027="!!!",F1027="NEW"),"",COUNTBLANK(OFFSET(A$1,,,SUMPRODUCT(MAX(ROW(E$2:E1027)*(E1027=E$2:E1027)))))-COUNTBLANK(OFFSET(A$1,,,SUMPRODUCT(MAX(ROW(E$1:E1026)*(E2=E$1:E1026))))))</f>
        <v> </v>
      </c>
      <c r="K1027" s="25" t="str">
        <f>IF(OR(E1027="",E1027="!!!",F1027="NEW"),"",INDEX(J$1:J1026,SUMPRODUCT(MAX(ROW(E$1:E1026)*(E1027=E$1:E1026)))))</f>
        <v> </v>
      </c>
      <c r="L1027" s="26"/>
    </row>
    <row r="1028" spans="1:12">
      <c r="A1028" s="20" t="s">
        <v>601</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t="s">
        <v>355</v>
      </c>
      <c r="E1029" s="21">
        <f>IF(D1029="?OLD","!!!","")</f>
        <v/>
      </c>
      <c r="F1029" s="22" t="str">
        <f>IF(OR(E1029="",E1029="!!!"),"",IF(NOT(ISNA(VLOOKUP(E1029,E$1:E1028,1,FALSE()))),"OLD",IF(AND(E1029&lt;&gt;"",E1029&lt;&gt;"!!!"),"NEW","")))</f>
        <v> </v>
      </c>
      <c r="G1029" s="23" t="str">
        <f>IF(OR(E1029="",E1029="!!!"),"",IF(OR(J1029=0,AND(J1029=1,K1029=1),AND(J1029=1,I1029="SBJ"),AND(J1029=1,I1029=0)),"?IN_FOCUS",IF(J1029&lt;=2,"?ACTIVATED",IF(J1029&lt;&gt;"","?FAMILIAR",IF(F1029="NEW",IF(ISNA(VLOOKUP(E1029,#REF!,1,FALSE())),"?TYPE_IDENTIFIABLE","?REFERENTIAL"),"_")))))</f>
        <v> </v>
      </c>
      <c r="H1029" s="24" t="str">
        <f>IF(J1029&lt;&gt;1,"",IF(I1029="SBJ","CB","?"))</f>
        <v> </v>
      </c>
      <c r="I1029" s="25" t="str">
        <f>IF(OR(E1029="",E1029="!!!",F1029="NEW"),"",INDEX(B1028:B$2,-1+SUMPRODUCT(MAX(ROW(E1028:E$2)*(E1029=E1028:E$2)))))</f>
        <v> </v>
      </c>
      <c r="J1029" s="25" t="str">
        <f>IF(OR(E1029="",E1029="!!!",F1029="NEW"),"",COUNTBLANK(OFFSET(A$1,,,SUMPRODUCT(MAX(ROW(E$2:E1029)*(E1029=E$2:E1029)))))-COUNTBLANK(OFFSET(A$1,,,SUMPRODUCT(MAX(ROW(E$1:E1028)*(E2=E$1:E1028))))))</f>
        <v> </v>
      </c>
      <c r="K1029" s="25" t="str">
        <f>IF(OR(E1029="",E1029="!!!",F1029="NEW"),"",INDEX(J$1:J1028,SUMPRODUCT(MAX(ROW(E$1:E1028)*(E1029=E$1:E1028)))))</f>
        <v> </v>
      </c>
      <c r="L1029" s="26"/>
    </row>
    <row r="1030" spans="1:12">
      <c r="A1030" s="20" t="s">
        <v>356</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357</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358</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t="s">
        <v>359</v>
      </c>
      <c r="B1033" s="27" t="s">
        <v>205</v>
      </c>
      <c r="C1033" s="27" t="s">
        <v>214</v>
      </c>
      <c r="D1033" s="27" t="s">
        <v>215</v>
      </c>
      <c r="E1033" s="21">
        <f>IF(D1033="?OLD","!!!","")</f>
        <v/>
      </c>
      <c r="F1033" s="22" t="str">
        <f>IF(OR(E1033="",E1033="!!!"),"",IF(NOT(ISNA(VLOOKUP(E1033,E$1:E1032,1,FALSE()))),"OLD",IF(AND(E1033&lt;&gt;"",E1033&lt;&gt;"!!!"),"NEW","")))</f>
        <v> </v>
      </c>
      <c r="G1033" s="23" t="str">
        <f>IF(OR(E1033="",E1033="!!!"),"",IF(OR(J1033=0,AND(J1033=1,K1033=1),AND(J1033=1,I1033="SBJ"),AND(J1033=1,I1033=0)),"?IN_FOCUS",IF(J1033&lt;=2,"?ACTIVATED",IF(J1033&lt;&gt;"","?FAMILIAR",IF(F1033="NEW",IF(ISNA(VLOOKUP(E1033,#REF!,1,FALSE())),"?TYPE_IDENTIFIABLE","?REFERENTIAL"),"_")))))</f>
        <v> </v>
      </c>
      <c r="H1033" s="24" t="str">
        <f>IF(J1033&lt;&gt;1,"",IF(I1033="SBJ","CB","?"))</f>
        <v> </v>
      </c>
      <c r="I1033" s="25" t="str">
        <f>IF(OR(E1033="",E1033="!!!",F1033="NEW"),"",INDEX(B1032:B$2,-1+SUMPRODUCT(MAX(ROW(E1032:E$2)*(E1033=E1032:E$2)))))</f>
        <v> </v>
      </c>
      <c r="J1033" s="25" t="str">
        <f>IF(OR(E1033="",E1033="!!!",F1033="NEW"),"",COUNTBLANK(OFFSET(A$1,,,SUMPRODUCT(MAX(ROW(E$2:E1033)*(E1033=E$2:E1033)))))-COUNTBLANK(OFFSET(A$1,,,SUMPRODUCT(MAX(ROW(E$1:E1032)*(E2=E$1:E1032))))))</f>
        <v> </v>
      </c>
      <c r="K1033" s="25" t="str">
        <f>IF(OR(E1033="",E1033="!!!",F1033="NEW"),"",INDEX(J$1:J1032,SUMPRODUCT(MAX(ROW(E$1:E1032)*(E1033=E$1:E1032)))))</f>
        <v> </v>
      </c>
      <c r="L1033" s="26"/>
    </row>
    <row r="1034" spans="1:12">
      <c r="A1034" s="20" t="s">
        <v>326</v>
      </c>
      <c r="E1034" s="21">
        <f>IF(D1034="?OLD","!!!","")</f>
        <v/>
      </c>
      <c r="F1034" s="22" t="str">
        <f>IF(OR(E1034="",E1034="!!!"),"",IF(NOT(ISNA(VLOOKUP(E1034,E$1:E1033,1,FALSE()))),"OLD",IF(AND(E1034&lt;&gt;"",E1034&lt;&gt;"!!!"),"NEW","")))</f>
        <v> </v>
      </c>
      <c r="G1034" s="23" t="str">
        <f>IF(OR(E1034="",E1034="!!!"),"",IF(OR(J1034=0,AND(J1034=1,K1034=1),AND(J1034=1,I1034="SBJ"),AND(J1034=1,I1034=0)),"?IN_FOCUS",IF(J1034&lt;=2,"?ACTIVATED",IF(J1034&lt;&gt;"","?FAMILIAR",IF(F1034="NEW",IF(ISNA(VLOOKUP(E1034,#REF!,1,FALSE())),"?TYPE_IDENTIFIABLE","?REFERENTIAL"),"_")))))</f>
        <v> </v>
      </c>
      <c r="H1034" s="24" t="str">
        <f>IF(J1034&lt;&gt;1,"",IF(I1034="SBJ","CB","?"))</f>
        <v> </v>
      </c>
      <c r="I1034" s="25" t="str">
        <f>IF(OR(E1034="",E1034="!!!",F1034="NEW"),"",INDEX(B1033:B$2,-1+SUMPRODUCT(MAX(ROW(E1033:E$2)*(E1034=E1033:E$2)))))</f>
        <v> </v>
      </c>
      <c r="J1034" s="25" t="str">
        <f>IF(OR(E1034="",E1034="!!!",F1034="NEW"),"",COUNTBLANK(OFFSET(A$1,,,SUMPRODUCT(MAX(ROW(E$2:E1034)*(E1034=E$2:E1034)))))-COUNTBLANK(OFFSET(A$1,,,SUMPRODUCT(MAX(ROW(E$1:E1033)*(E2=E$1:E1033))))))</f>
        <v> </v>
      </c>
      <c r="K1034" s="25" t="str">
        <f>IF(OR(E1034="",E1034="!!!",F1034="NEW"),"",INDEX(J$1:J1033,SUMPRODUCT(MAX(ROW(E$1:E1033)*(E1034=E$1:E1033)))))</f>
        <v> </v>
      </c>
      <c r="L1034" s="26"/>
    </row>
    <row r="1035" spans="1:12">
      <c r="A1035" s="20" t="s">
        <v>317</v>
      </c>
      <c r="E1035" s="21">
        <f>IF(D1035="?OLD","!!!","")</f>
        <v/>
      </c>
      <c r="F1035" s="22" t="str">
        <f>IF(OR(E1035="",E1035="!!!"),"",IF(NOT(ISNA(VLOOKUP(E1035,E$1:E1034,1,FALSE()))),"OLD",IF(AND(E1035&lt;&gt;"",E1035&lt;&gt;"!!!"),"NEW","")))</f>
        <v> </v>
      </c>
      <c r="G1035" s="23" t="str">
        <f>IF(OR(E1035="",E1035="!!!"),"",IF(OR(J1035=0,AND(J1035=1,K1035=1),AND(J1035=1,I1035="SBJ"),AND(J1035=1,I1035=0)),"?IN_FOCUS",IF(J1035&lt;=2,"?ACTIVATED",IF(J1035&lt;&gt;"","?FAMILIAR",IF(F1035="NEW",IF(ISNA(VLOOKUP(E1035,#REF!,1,FALSE())),"?TYPE_IDENTIFIABLE","?REFERENTIAL"),"_")))))</f>
        <v> </v>
      </c>
      <c r="H1035" s="24" t="str">
        <f>IF(J1035&lt;&gt;1,"",IF(I1035="SBJ","CB","?"))</f>
        <v> </v>
      </c>
      <c r="I1035" s="25" t="str">
        <f>IF(OR(E1035="",E1035="!!!",F1035="NEW"),"",INDEX(B1034:B$2,-1+SUMPRODUCT(MAX(ROW(E1034:E$2)*(E1035=E1034:E$2)))))</f>
        <v> </v>
      </c>
      <c r="J1035" s="25" t="str">
        <f>IF(OR(E1035="",E1035="!!!",F1035="NEW"),"",COUNTBLANK(OFFSET(A$1,,,SUMPRODUCT(MAX(ROW(E$2:E1035)*(E1035=E$2:E1035)))))-COUNTBLANK(OFFSET(A$1,,,SUMPRODUCT(MAX(ROW(E$1:E1034)*(E2=E$1:E1034))))))</f>
        <v> </v>
      </c>
      <c r="K1035" s="25" t="str">
        <f>IF(OR(E1035="",E1035="!!!",F1035="NEW"),"",INDEX(J$1:J1034,SUMPRODUCT(MAX(ROW(E$1:E1034)*(E1035=E$1:E1034)))))</f>
        <v> </v>
      </c>
      <c r="L1035" s="26"/>
    </row>
    <row r="1036" spans="1:12">
      <c r="A1036" s="20" t="s">
        <v>318</v>
      </c>
      <c r="E1036" s="21">
        <f>IF(D1036="?OLD","!!!","")</f>
        <v/>
      </c>
      <c r="F1036" s="22" t="str">
        <f>IF(OR(E1036="",E1036="!!!"),"",IF(NOT(ISNA(VLOOKUP(E1036,E$1:E1035,1,FALSE()))),"OLD",IF(AND(E1036&lt;&gt;"",E1036&lt;&gt;"!!!"),"NEW","")))</f>
        <v> </v>
      </c>
      <c r="G1036" s="23" t="str">
        <f>IF(OR(E1036="",E1036="!!!"),"",IF(OR(J1036=0,AND(J1036=1,K1036=1),AND(J1036=1,I1036="SBJ"),AND(J1036=1,I1036=0)),"?IN_FOCUS",IF(J1036&lt;=2,"?ACTIVATED",IF(J1036&lt;&gt;"","?FAMILIAR",IF(F1036="NEW",IF(ISNA(VLOOKUP(E1036,#REF!,1,FALSE())),"?TYPE_IDENTIFIABLE","?REFERENTIAL"),"_")))))</f>
        <v> </v>
      </c>
      <c r="H1036" s="24" t="str">
        <f>IF(J1036&lt;&gt;1,"",IF(I1036="SBJ","CB","?"))</f>
        <v> </v>
      </c>
      <c r="I1036" s="25" t="str">
        <f>IF(OR(E1036="",E1036="!!!",F1036="NEW"),"",INDEX(B1035:B$2,-1+SUMPRODUCT(MAX(ROW(E1035:E$2)*(E1036=E1035:E$2)))))</f>
        <v> </v>
      </c>
      <c r="J1036" s="25" t="str">
        <f>IF(OR(E1036="",E1036="!!!",F1036="NEW"),"",COUNTBLANK(OFFSET(A$1,,,SUMPRODUCT(MAX(ROW(E$2:E1036)*(E1036=E$2:E1036)))))-COUNTBLANK(OFFSET(A$1,,,SUMPRODUCT(MAX(ROW(E$1:E1035)*(E2=E$1:E1035))))))</f>
        <v> </v>
      </c>
      <c r="K1036" s="25" t="str">
        <f>IF(OR(E1036="",E1036="!!!",F1036="NEW"),"",INDEX(J$1:J1035,SUMPRODUCT(MAX(ROW(E$1:E1035)*(E1036=E$1:E1035)))))</f>
        <v> </v>
      </c>
      <c r="L1036" s="26"/>
    </row>
    <row r="1037" spans="1:12">
      <c r="A1037" s="20" t="s">
        <v>319</v>
      </c>
      <c r="B1037" s="27" t="s">
        <v>225</v>
      </c>
      <c r="C1037" s="27" t="s">
        <v>226</v>
      </c>
      <c r="E1037" s="21">
        <f>IF(D1037="?OLD","!!!","")</f>
        <v/>
      </c>
      <c r="F1037" s="22" t="str">
        <f>IF(OR(E1037="",E1037="!!!"),"",IF(NOT(ISNA(VLOOKUP(E1037,E$1:E1036,1,FALSE()))),"OLD",IF(AND(E1037&lt;&gt;"",E1037&lt;&gt;"!!!"),"NEW","")))</f>
        <v> </v>
      </c>
      <c r="G1037" s="23" t="str">
        <f>IF(OR(E1037="",E1037="!!!"),"",IF(OR(J1037=0,AND(J1037=1,K1037=1),AND(J1037=1,I1037="SBJ"),AND(J1037=1,I1037=0)),"?IN_FOCUS",IF(J1037&lt;=2,"?ACTIVATED",IF(J1037&lt;&gt;"","?FAMILIAR",IF(F1037="NEW",IF(ISNA(VLOOKUP(E1037,#REF!,1,FALSE())),"?TYPE_IDENTIFIABLE","?REFERENTIAL"),"_")))))</f>
        <v> </v>
      </c>
      <c r="H1037" s="24" t="str">
        <f>IF(J1037&lt;&gt;1,"",IF(I1037="SBJ","CB","?"))</f>
        <v> </v>
      </c>
      <c r="I1037" s="25" t="str">
        <f>IF(OR(E1037="",E1037="!!!",F1037="NEW"),"",INDEX(B1036:B$2,-1+SUMPRODUCT(MAX(ROW(E1036:E$2)*(E1037=E1036:E$2)))))</f>
        <v> </v>
      </c>
      <c r="J1037" s="25" t="str">
        <f>IF(OR(E1037="",E1037="!!!",F1037="NEW"),"",COUNTBLANK(OFFSET(A$1,,,SUMPRODUCT(MAX(ROW(E$2:E1037)*(E1037=E$2:E1037)))))-COUNTBLANK(OFFSET(A$1,,,SUMPRODUCT(MAX(ROW(E$1:E1036)*(E2=E$1:E1036))))))</f>
        <v> </v>
      </c>
      <c r="K1037" s="25" t="str">
        <f>IF(OR(E1037="",E1037="!!!",F1037="NEW"),"",INDEX(J$1:J1036,SUMPRODUCT(MAX(ROW(E$1:E1036)*(E1037=E$1:E1036)))))</f>
        <v> </v>
      </c>
      <c r="L1037" s="26"/>
    </row>
    <row r="1038" spans="1:12">
      <c r="A1038" s="20" t="s">
        <v>207</v>
      </c>
      <c r="E1038" s="21">
        <f>IF(D1038="?OLD","!!!","")</f>
        <v/>
      </c>
      <c r="F1038" s="22" t="str">
        <f>IF(OR(E1038="",E1038="!!!"),"",IF(NOT(ISNA(VLOOKUP(E1038,E$1:E1037,1,FALSE()))),"OLD",IF(AND(E1038&lt;&gt;"",E1038&lt;&gt;"!!!"),"NEW","")))</f>
        <v> </v>
      </c>
      <c r="G1038" s="23" t="str">
        <f>IF(OR(E1038="",E1038="!!!"),"",IF(OR(J1038=0,AND(J1038=1,K1038=1),AND(J1038=1,I1038="SBJ"),AND(J1038=1,I1038=0)),"?IN_FOCUS",IF(J1038&lt;=2,"?ACTIVATED",IF(J1038&lt;&gt;"","?FAMILIAR",IF(F1038="NEW",IF(ISNA(VLOOKUP(E1038,#REF!,1,FALSE())),"?TYPE_IDENTIFIABLE","?REFERENTIAL"),"_")))))</f>
        <v> </v>
      </c>
      <c r="H1038" s="24" t="str">
        <f>IF(J1038&lt;&gt;1,"",IF(I1038="SBJ","CB","?"))</f>
        <v> </v>
      </c>
      <c r="I1038" s="25" t="str">
        <f>IF(OR(E1038="",E1038="!!!",F1038="NEW"),"",INDEX(B1037:B$2,-1+SUMPRODUCT(MAX(ROW(E1037:E$2)*(E1038=E1037:E$2)))))</f>
        <v> </v>
      </c>
      <c r="J1038" s="25" t="str">
        <f>IF(OR(E1038="",E1038="!!!",F1038="NEW"),"",COUNTBLANK(OFFSET(A$1,,,SUMPRODUCT(MAX(ROW(E$2:E1038)*(E1038=E$2:E1038)))))-COUNTBLANK(OFFSET(A$1,,,SUMPRODUCT(MAX(ROW(E$1:E1037)*(E2=E$1:E1037))))))</f>
        <v> </v>
      </c>
      <c r="K1038" s="25" t="str">
        <f>IF(OR(E1038="",E1038="!!!",F1038="NEW"),"",INDEX(J$1:J1037,SUMPRODUCT(MAX(ROW(E$1:E1037)*(E1038=E$1:E1037)))))</f>
        <v> </v>
      </c>
      <c r="L1038" s="26"/>
    </row>
    <row r="1039" spans="1:12">
      <c r="A1039" s="20" t="s">
        <v>268</v>
      </c>
      <c r="E1039" s="21">
        <f>IF(D1039="?OLD","!!!","")</f>
        <v/>
      </c>
      <c r="F1039" s="22" t="str">
        <f>IF(OR(E1039="",E1039="!!!"),"",IF(NOT(ISNA(VLOOKUP(E1039,E$1:E1038,1,FALSE()))),"OLD",IF(AND(E1039&lt;&gt;"",E1039&lt;&gt;"!!!"),"NEW","")))</f>
        <v> </v>
      </c>
      <c r="G1039" s="23" t="str">
        <f>IF(OR(E1039="",E1039="!!!"),"",IF(OR(J1039=0,AND(J1039=1,K1039=1),AND(J1039=1,I1039="SBJ"),AND(J1039=1,I1039=0)),"?IN_FOCUS",IF(J1039&lt;=2,"?ACTIVATED",IF(J1039&lt;&gt;"","?FAMILIAR",IF(F1039="NEW",IF(ISNA(VLOOKUP(E1039,#REF!,1,FALSE())),"?TYPE_IDENTIFIABLE","?REFERENTIAL"),"_")))))</f>
        <v> </v>
      </c>
      <c r="H1039" s="24" t="str">
        <f>IF(J1039&lt;&gt;1,"",IF(I1039="SBJ","CB","?"))</f>
        <v> </v>
      </c>
      <c r="I1039" s="25" t="str">
        <f>IF(OR(E1039="",E1039="!!!",F1039="NEW"),"",INDEX(B1038:B$2,-1+SUMPRODUCT(MAX(ROW(E1038:E$2)*(E1039=E1038:E$2)))))</f>
        <v> </v>
      </c>
      <c r="J1039" s="25" t="str">
        <f>IF(OR(E1039="",E1039="!!!",F1039="NEW"),"",COUNTBLANK(OFFSET(A$1,,,SUMPRODUCT(MAX(ROW(E$2:E1039)*(E1039=E$2:E1039)))))-COUNTBLANK(OFFSET(A$1,,,SUMPRODUCT(MAX(ROW(E$1:E1038)*(E2=E$1:E1038))))))</f>
        <v> </v>
      </c>
      <c r="K1039" s="25" t="str">
        <f>IF(OR(E1039="",E1039="!!!",F1039="NEW"),"",INDEX(J$1:J1038,SUMPRODUCT(MAX(ROW(E$1:E1038)*(E1039=E$1:E1038)))))</f>
        <v> </v>
      </c>
      <c r="L1039" s="26"/>
    </row>
    <row r="1040" spans="1:12">
      <c r="A1040" s="20" t="s">
        <v>228</v>
      </c>
      <c r="B1040" s="27" t="s">
        <v>229</v>
      </c>
      <c r="C1040" s="27" t="s">
        <v>230</v>
      </c>
      <c r="D1040" s="27" t="s">
        <v>215</v>
      </c>
      <c r="E1040" s="21">
        <f>IF(D1040="?OLD","!!!","")</f>
        <v/>
      </c>
      <c r="F1040" s="22" t="str">
        <f>IF(OR(E1040="",E1040="!!!"),"",IF(NOT(ISNA(VLOOKUP(E1040,E$1:E1039,1,FALSE()))),"OLD",IF(AND(E1040&lt;&gt;"",E1040&lt;&gt;"!!!"),"NEW","")))</f>
        <v> </v>
      </c>
      <c r="G1040" s="23" t="str">
        <f>IF(OR(E1040="",E1040="!!!"),"",IF(OR(J1040=0,AND(J1040=1,K1040=1),AND(J1040=1,I1040="SBJ"),AND(J1040=1,I1040=0)),"?IN_FOCUS",IF(J1040&lt;=2,"?ACTIVATED",IF(J1040&lt;&gt;"","?FAMILIAR",IF(F1040="NEW",IF(ISNA(VLOOKUP(E1040,#REF!,1,FALSE())),"?TYPE_IDENTIFIABLE","?REFERENTIAL"),"_")))))</f>
        <v> </v>
      </c>
      <c r="H1040" s="24" t="str">
        <f>IF(J1040&lt;&gt;1,"",IF(I1040="SBJ","CB","?"))</f>
        <v> </v>
      </c>
      <c r="I1040" s="25" t="str">
        <f>IF(OR(E1040="",E1040="!!!",F1040="NEW"),"",INDEX(B1039:B$2,-1+SUMPRODUCT(MAX(ROW(E1039:E$2)*(E1040=E1039:E$2)))))</f>
        <v> </v>
      </c>
      <c r="J1040" s="25" t="str">
        <f>IF(OR(E1040="",E1040="!!!",F1040="NEW"),"",COUNTBLANK(OFFSET(A$1,,,SUMPRODUCT(MAX(ROW(E$2:E1040)*(E1040=E$2:E1040)))))-COUNTBLANK(OFFSET(A$1,,,SUMPRODUCT(MAX(ROW(E$1:E1039)*(E2=E$1:E1039))))))</f>
        <v> </v>
      </c>
      <c r="K1040" s="25" t="str">
        <f>IF(OR(E1040="",E1040="!!!",F1040="NEW"),"",INDEX(J$1:J1039,SUMPRODUCT(MAX(ROW(E$1:E1039)*(E1040=E$1:E1039)))))</f>
        <v> </v>
      </c>
      <c r="L1040" s="26"/>
    </row>
    <row r="1041" spans="1:12">
      <c r="A1041" s="20" t="s">
        <v>628</v>
      </c>
      <c r="E1041" s="21">
        <f>IF(D1041="?OLD","!!!","")</f>
        <v/>
      </c>
      <c r="F1041" s="22" t="str">
        <f>IF(OR(E1041="",E1041="!!!"),"",IF(NOT(ISNA(VLOOKUP(E1041,E$1:E1040,1,FALSE()))),"OLD",IF(AND(E1041&lt;&gt;"",E1041&lt;&gt;"!!!"),"NEW","")))</f>
        <v> </v>
      </c>
      <c r="G1041" s="23" t="str">
        <f>IF(OR(E1041="",E1041="!!!"),"",IF(OR(J1041=0,AND(J1041=1,K1041=1),AND(J1041=1,I1041="SBJ"),AND(J1041=1,I1041=0)),"?IN_FOCUS",IF(J1041&lt;=2,"?ACTIVATED",IF(J1041&lt;&gt;"","?FAMILIAR",IF(F1041="NEW",IF(ISNA(VLOOKUP(E1041,#REF!,1,FALSE())),"?TYPE_IDENTIFIABLE","?REFERENTIAL"),"_")))))</f>
        <v> </v>
      </c>
      <c r="H1041" s="24" t="str">
        <f>IF(J1041&lt;&gt;1,"",IF(I1041="SBJ","CB","?"))</f>
        <v> </v>
      </c>
      <c r="I1041" s="25" t="str">
        <f>IF(OR(E1041="",E1041="!!!",F1041="NEW"),"",INDEX(B1040:B$2,-1+SUMPRODUCT(MAX(ROW(E1040:E$2)*(E1041=E1040:E$2)))))</f>
        <v> </v>
      </c>
      <c r="J1041" s="25" t="str">
        <f>IF(OR(E1041="",E1041="!!!",F1041="NEW"),"",COUNTBLANK(OFFSET(A$1,,,SUMPRODUCT(MAX(ROW(E$2:E1041)*(E1041=E$2:E1041)))))-COUNTBLANK(OFFSET(A$1,,,SUMPRODUCT(MAX(ROW(E$1:E1040)*(E2=E$1:E1040))))))</f>
        <v> </v>
      </c>
      <c r="K1041" s="25" t="str">
        <f>IF(OR(E1041="",E1041="!!!",F1041="NEW"),"",INDEX(J$1:J1040,SUMPRODUCT(MAX(ROW(E$1:E1040)*(E1041=E$1:E1040)))))</f>
        <v> </v>
      </c>
      <c r="L1041" s="26"/>
    </row>
    <row r="1042" spans="1:12">
      <c r="A1042" s="20" t="s">
        <v>407</v>
      </c>
      <c r="B1042" s="27" t="s">
        <v>233</v>
      </c>
      <c r="C1042" s="27" t="s">
        <v>230</v>
      </c>
      <c r="D1042" s="27" t="s">
        <v>215</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t="s">
        <v>590</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t="s">
        <v>257</v>
      </c>
      <c r="B1044" s="27" t="s">
        <v>263</v>
      </c>
      <c r="C1044" s="27" t="s">
        <v>230</v>
      </c>
      <c r="D1044" s="27" t="s">
        <v>215</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t="s">
        <v>272</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t="s">
        <v>238</v>
      </c>
      <c r="E1046" s="21">
        <f>IF(D1046="?OLD","!!!","")</f>
        <v/>
      </c>
      <c r="F1046" s="22" t="str">
        <f>IF(OR(E1046="",E1046="!!!"),"",IF(NOT(ISNA(VLOOKUP(E1046,E$1:E1045,1,FALSE()))),"OLD",IF(AND(E1046&lt;&gt;"",E1046&lt;&gt;"!!!"),"NEW","")))</f>
        <v> </v>
      </c>
      <c r="G1046" s="23" t="str">
        <f>IF(OR(E1046="",E1046="!!!"),"",IF(OR(J1046=0,AND(J1046=1,K1046=1),AND(J1046=1,I1046="SBJ"),AND(J1046=1,I1046=0)),"?IN_FOCUS",IF(J1046&lt;=2,"?ACTIVATED",IF(J1046&lt;&gt;"","?FAMILIAR",IF(F1046="NEW",IF(ISNA(VLOOKUP(E1046,#REF!,1,FALSE())),"?TYPE_IDENTIFIABLE","?REFERENTIAL"),"_")))))</f>
        <v> </v>
      </c>
      <c r="H1046" s="24" t="str">
        <f>IF(J1046&lt;&gt;1,"",IF(I1046="SBJ","CB","?"))</f>
        <v> </v>
      </c>
      <c r="I1046" s="25" t="str">
        <f>IF(OR(E1046="",E1046="!!!",F1046="NEW"),"",INDEX(B1045:B$2,-1+SUMPRODUCT(MAX(ROW(E1045:E$2)*(E1046=E1045:E$2)))))</f>
        <v> </v>
      </c>
      <c r="J1046" s="25" t="str">
        <f>IF(OR(E1046="",E1046="!!!",F1046="NEW"),"",COUNTBLANK(OFFSET(A$1,,,SUMPRODUCT(MAX(ROW(E$2:E1046)*(E1046=E$2:E1046)))))-COUNTBLANK(OFFSET(A$1,,,SUMPRODUCT(MAX(ROW(E$1:E1045)*(E2=E$1:E1045))))))</f>
        <v> </v>
      </c>
      <c r="K1046" s="25" t="str">
        <f>IF(OR(E1046="",E1046="!!!",F1046="NEW"),"",INDEX(J$1:J1045,SUMPRODUCT(MAX(ROW(E$1:E1045)*(E1046=E$1:E1045)))))</f>
        <v> </v>
      </c>
      <c r="L1046" s="26"/>
    </row>
    <row r="1047" spans="1:12">
      <c r="A1047" s="20" t="s">
        <v>563</v>
      </c>
      <c r="B1047" s="27" t="s">
        <v>328</v>
      </c>
      <c r="C1047" s="27" t="s">
        <v>240</v>
      </c>
      <c r="E1047" s="21">
        <f>IF(D1047="?OLD","!!!","")</f>
        <v/>
      </c>
      <c r="F1047" s="22" t="str">
        <f>IF(OR(E1047="",E1047="!!!"),"",IF(NOT(ISNA(VLOOKUP(E1047,E$1:E1046,1,FALSE()))),"OLD",IF(AND(E1047&lt;&gt;"",E1047&lt;&gt;"!!!"),"NEW","")))</f>
        <v> </v>
      </c>
      <c r="G1047" s="23" t="str">
        <f>IF(OR(E1047="",E1047="!!!"),"",IF(OR(J1047=0,AND(J1047=1,K1047=1),AND(J1047=1,I1047="SBJ"),AND(J1047=1,I1047=0)),"?IN_FOCUS",IF(J1047&lt;=2,"?ACTIVATED",IF(J1047&lt;&gt;"","?FAMILIAR",IF(F1047="NEW",IF(ISNA(VLOOKUP(E1047,#REF!,1,FALSE())),"?TYPE_IDENTIFIABLE","?REFERENTIAL"),"_")))))</f>
        <v> </v>
      </c>
      <c r="H1047" s="24" t="str">
        <f>IF(J1047&lt;&gt;1,"",IF(I1047="SBJ","CB","?"))</f>
        <v> </v>
      </c>
      <c r="I1047" s="25" t="str">
        <f>IF(OR(E1047="",E1047="!!!",F1047="NEW"),"",INDEX(B1046:B$2,-1+SUMPRODUCT(MAX(ROW(E1046:E$2)*(E1047=E1046:E$2)))))</f>
        <v> </v>
      </c>
      <c r="J1047" s="25" t="str">
        <f>IF(OR(E1047="",E1047="!!!",F1047="NEW"),"",COUNTBLANK(OFFSET(A$1,,,SUMPRODUCT(MAX(ROW(E$2:E1047)*(E1047=E$2:E1047)))))-COUNTBLANK(OFFSET(A$1,,,SUMPRODUCT(MAX(ROW(E$1:E1046)*(E2=E$1:E1046))))))</f>
        <v> </v>
      </c>
      <c r="K1047" s="25" t="str">
        <f>IF(OR(E1047="",E1047="!!!",F1047="NEW"),"",INDEX(J$1:J1046,SUMPRODUCT(MAX(ROW(E$1:E1046)*(E1047=E$1:E1046)))))</f>
        <v> </v>
      </c>
      <c r="L1047" s="26"/>
    </row>
    <row r="1048" spans="1:12">
      <c r="A1048" s="20" t="s">
        <v>234</v>
      </c>
      <c r="E1048" s="21">
        <f>IF(D1048="?OLD","!!!","")</f>
        <v/>
      </c>
      <c r="F1048" s="22" t="str">
        <f>IF(OR(E1048="",E1048="!!!"),"",IF(NOT(ISNA(VLOOKUP(E1048,E$1:E1047,1,FALSE()))),"OLD",IF(AND(E1048&lt;&gt;"",E1048&lt;&gt;"!!!"),"NEW","")))</f>
        <v> </v>
      </c>
      <c r="G1048" s="23" t="str">
        <f>IF(OR(E1048="",E1048="!!!"),"",IF(OR(J1048=0,AND(J1048=1,K1048=1),AND(J1048=1,I1048="SBJ"),AND(J1048=1,I1048=0)),"?IN_FOCUS",IF(J1048&lt;=2,"?ACTIVATED",IF(J1048&lt;&gt;"","?FAMILIAR",IF(F1048="NEW",IF(ISNA(VLOOKUP(E1048,#REF!,1,FALSE())),"?TYPE_IDENTIFIABLE","?REFERENTIAL"),"_")))))</f>
        <v> </v>
      </c>
      <c r="H1048" s="24" t="str">
        <f>IF(J1048&lt;&gt;1,"",IF(I1048="SBJ","CB","?"))</f>
        <v> </v>
      </c>
      <c r="I1048" s="25" t="str">
        <f>IF(OR(E1048="",E1048="!!!",F1048="NEW"),"",INDEX(B1047:B$2,-1+SUMPRODUCT(MAX(ROW(E1047:E$2)*(E1048=E1047:E$2)))))</f>
        <v> </v>
      </c>
      <c r="J1048" s="25" t="str">
        <f>IF(OR(E1048="",E1048="!!!",F1048="NEW"),"",COUNTBLANK(OFFSET(A$1,,,SUMPRODUCT(MAX(ROW(E$2:E1048)*(E1048=E$2:E1048)))))-COUNTBLANK(OFFSET(A$1,,,SUMPRODUCT(MAX(ROW(E$1:E1047)*(E2=E$1:E1047))))))</f>
        <v> </v>
      </c>
      <c r="K1048" s="25" t="str">
        <f>IF(OR(E1048="",E1048="!!!",F1048="NEW"),"",INDEX(J$1:J1047,SUMPRODUCT(MAX(ROW(E$1:E1047)*(E1048=E$1:E1047)))))</f>
        <v> </v>
      </c>
      <c r="L1048" s="26"/>
    </row>
    <row r="1049" spans="1:12">
      <c r="A1049" s="20"/>
    </row>
    <row r="1050" spans="1:12">
      <c r="A1050" s="20" t="s">
        <v>629</v>
      </c>
    </row>
    <row r="1051" spans="1:12">
      <c r="A1051" s="20" t="s">
        <v>630</v>
      </c>
      <c r="E1051" s="21">
        <f>IF(D1051="?OLD","!!!","")</f>
        <v/>
      </c>
      <c r="F1051" s="22" t="str">
        <f>IF(OR(E1051="",E1051="!!!"),"",IF(NOT(ISNA(VLOOKUP(E1051,E$1:E1050,1,FALSE()))),"OLD",IF(AND(E1051&lt;&gt;"",E1051&lt;&gt;"!!!"),"NEW","")))</f>
        <v> </v>
      </c>
      <c r="G1051" s="23" t="str">
        <f>IF(OR(E1051="",E1051="!!!"),"",IF(OR(J1051=0,AND(J1051=1,K1051=1),AND(J1051=1,I1051="SBJ"),AND(J1051=1,I1051=0)),"?IN_FOCUS",IF(J1051&lt;=2,"?ACTIVATED",IF(J1051&lt;&gt;"","?FAMILIAR",IF(F1051="NEW",IF(ISNA(VLOOKUP(E1051,#REF!,1,FALSE())),"?TYPE_IDENTIFIABLE","?REFERENTIAL"),"_")))))</f>
        <v> </v>
      </c>
      <c r="H1051" s="24" t="str">
        <f>IF(J1051&lt;&gt;1,"",IF(I1051="SBJ","CB","?"))</f>
        <v> </v>
      </c>
      <c r="I1051" s="25" t="str">
        <f>IF(OR(E1051="",E1051="!!!",F1051="NEW"),"",INDEX(B1050:B$2,-1+SUMPRODUCT(MAX(ROW(E1050:E$2)*(E1051=E1050:E$2)))))</f>
        <v> </v>
      </c>
      <c r="J1051" s="25" t="str">
        <f>IF(OR(E1051="",E1051="!!!",F1051="NEW"),"",COUNTBLANK(OFFSET(A$1,,,SUMPRODUCT(MAX(ROW(E$2:E1051)*(E1051=E$2:E1051)))))-COUNTBLANK(OFFSET(A$1,,,SUMPRODUCT(MAX(ROW(E$1:E1050)*(E2=E$1:E1050))))))</f>
        <v> </v>
      </c>
      <c r="K1051" s="25" t="str">
        <f>IF(OR(E1051="",E1051="!!!",F1051="NEW"),"",INDEX(J$1:J1050,SUMPRODUCT(MAX(ROW(E$1:E1050)*(E1051=E$1:E1050)))))</f>
        <v> </v>
      </c>
      <c r="L1051" s="26"/>
    </row>
    <row r="1052" spans="1:12">
      <c r="A1052" s="20" t="s">
        <v>265</v>
      </c>
      <c r="B1052" s="27" t="s">
        <v>261</v>
      </c>
      <c r="C1052" s="27" t="s">
        <v>230</v>
      </c>
      <c r="D1052" s="27" t="s">
        <v>215</v>
      </c>
      <c r="E1052" s="21">
        <f>IF(D1052="?OLD","!!!","")</f>
        <v/>
      </c>
      <c r="F1052" s="22" t="str">
        <f>IF(OR(E1052="",E1052="!!!"),"",IF(NOT(ISNA(VLOOKUP(E1052,E$1:E1051,1,FALSE()))),"OLD",IF(AND(E1052&lt;&gt;"",E1052&lt;&gt;"!!!"),"NEW","")))</f>
        <v> </v>
      </c>
      <c r="G1052" s="23" t="str">
        <f>IF(OR(E1052="",E1052="!!!"),"",IF(OR(J1052=0,AND(J1052=1,K1052=1),AND(J1052=1,I1052="SBJ"),AND(J1052=1,I1052=0)),"?IN_FOCUS",IF(J1052&lt;=2,"?ACTIVATED",IF(J1052&lt;&gt;"","?FAMILIAR",IF(F1052="NEW",IF(ISNA(VLOOKUP(E1052,#REF!,1,FALSE())),"?TYPE_IDENTIFIABLE","?REFERENTIAL"),"_")))))</f>
        <v> </v>
      </c>
      <c r="H1052" s="24" t="str">
        <f>IF(J1052&lt;&gt;1,"",IF(I1052="SBJ","CB","?"))</f>
        <v> </v>
      </c>
      <c r="I1052" s="25" t="str">
        <f>IF(OR(E1052="",E1052="!!!",F1052="NEW"),"",INDEX(B1051:B$2,-1+SUMPRODUCT(MAX(ROW(E1051:E$2)*(E1052=E1051:E$2)))))</f>
        <v> </v>
      </c>
      <c r="J1052" s="25" t="str">
        <f>IF(OR(E1052="",E1052="!!!",F1052="NEW"),"",COUNTBLANK(OFFSET(A$1,,,SUMPRODUCT(MAX(ROW(E$2:E1052)*(E1052=E$2:E1052)))))-COUNTBLANK(OFFSET(A$1,,,SUMPRODUCT(MAX(ROW(E$1:E1051)*(E2=E$1:E1051))))))</f>
        <v> </v>
      </c>
      <c r="K1052" s="25" t="str">
        <f>IF(OR(E1052="",E1052="!!!",F1052="NEW"),"",INDEX(J$1:J1051,SUMPRODUCT(MAX(ROW(E$1:E1051)*(E1052=E$1:E1051)))))</f>
        <v> </v>
      </c>
      <c r="L1052" s="26"/>
    </row>
    <row r="1053" spans="1:12">
      <c r="A1053" s="20" t="s">
        <v>234</v>
      </c>
      <c r="E1053" s="21">
        <f>IF(D1053="?OLD","!!!","")</f>
        <v/>
      </c>
      <c r="F1053" s="22" t="str">
        <f>IF(OR(E1053="",E1053="!!!"),"",IF(NOT(ISNA(VLOOKUP(E1053,E$1:E1052,1,FALSE()))),"OLD",IF(AND(E1053&lt;&gt;"",E1053&lt;&gt;"!!!"),"NEW","")))</f>
        <v> </v>
      </c>
      <c r="G1053" s="23" t="str">
        <f>IF(OR(E1053="",E1053="!!!"),"",IF(OR(J1053=0,AND(J1053=1,K1053=1),AND(J1053=1,I1053="SBJ"),AND(J1053=1,I1053=0)),"?IN_FOCUS",IF(J1053&lt;=2,"?ACTIVATED",IF(J1053&lt;&gt;"","?FAMILIAR",IF(F1053="NEW",IF(ISNA(VLOOKUP(E1053,#REF!,1,FALSE())),"?TYPE_IDENTIFIABLE","?REFERENTIAL"),"_")))))</f>
        <v> </v>
      </c>
      <c r="H1053" s="24" t="str">
        <f>IF(J1053&lt;&gt;1,"",IF(I1053="SBJ","CB","?"))</f>
        <v> </v>
      </c>
      <c r="I1053" s="25" t="str">
        <f>IF(OR(E1053="",E1053="!!!",F1053="NEW"),"",INDEX(B1052:B$2,-1+SUMPRODUCT(MAX(ROW(E1052:E$2)*(E1053=E1052:E$2)))))</f>
        <v> </v>
      </c>
      <c r="J1053" s="25" t="str">
        <f>IF(OR(E1053="",E1053="!!!",F1053="NEW"),"",COUNTBLANK(OFFSET(A$1,,,SUMPRODUCT(MAX(ROW(E$2:E1053)*(E1053=E$2:E1053)))))-COUNTBLANK(OFFSET(A$1,,,SUMPRODUCT(MAX(ROW(E$1:E1052)*(E2=E$1:E1052))))))</f>
        <v> </v>
      </c>
      <c r="K1053" s="25" t="str">
        <f>IF(OR(E1053="",E1053="!!!",F1053="NEW"),"",INDEX(J$1:J1052,SUMPRODUCT(MAX(ROW(E$1:E1052)*(E1053=E$1:E1052)))))</f>
        <v> </v>
      </c>
      <c r="L1053" s="26"/>
    </row>
    <row r="1054" spans="1:12">
      <c r="A1054" s="20"/>
    </row>
    <row r="1055" spans="1:12">
      <c r="A1055" s="20" t="s">
        <v>631</v>
      </c>
    </row>
    <row r="1056" spans="1:12">
      <c r="A1056" s="20" t="s">
        <v>491</v>
      </c>
      <c r="E1056" s="21">
        <f>IF(D1056="?OLD","!!!","")</f>
        <v/>
      </c>
      <c r="F1056" s="22" t="str">
        <f>IF(OR(E1056="",E1056="!!!"),"",IF(NOT(ISNA(VLOOKUP(E1056,E$1:E1055,1,FALSE()))),"OLD",IF(AND(E1056&lt;&gt;"",E1056&lt;&gt;"!!!"),"NEW","")))</f>
        <v> </v>
      </c>
      <c r="G1056" s="23" t="str">
        <f>IF(OR(E1056="",E1056="!!!"),"",IF(OR(J1056=0,AND(J1056=1,K1056=1),AND(J1056=1,I1056="SBJ"),AND(J1056=1,I1056=0)),"?IN_FOCUS",IF(J1056&lt;=2,"?ACTIVATED",IF(J1056&lt;&gt;"","?FAMILIAR",IF(F1056="NEW",IF(ISNA(VLOOKUP(E1056,#REF!,1,FALSE())),"?TYPE_IDENTIFIABLE","?REFERENTIAL"),"_")))))</f>
        <v> </v>
      </c>
      <c r="H1056" s="24" t="str">
        <f>IF(J1056&lt;&gt;1,"",IF(I1056="SBJ","CB","?"))</f>
        <v> </v>
      </c>
      <c r="I1056" s="25" t="str">
        <f>IF(OR(E1056="",E1056="!!!",F1056="NEW"),"",INDEX(B1055:B$2,-1+SUMPRODUCT(MAX(ROW(E1055:E$2)*(E1056=E1055:E$2)))))</f>
        <v> </v>
      </c>
      <c r="J1056" s="25" t="str">
        <f>IF(OR(E1056="",E1056="!!!",F1056="NEW"),"",COUNTBLANK(OFFSET(A$1,,,SUMPRODUCT(MAX(ROW(E$2:E1056)*(E1056=E$2:E1056)))))-COUNTBLANK(OFFSET(A$1,,,SUMPRODUCT(MAX(ROW(E$1:E1055)*(E2=E$1:E1055))))))</f>
        <v> </v>
      </c>
      <c r="K1056" s="25" t="str">
        <f>IF(OR(E1056="",E1056="!!!",F1056="NEW"),"",INDEX(J$1:J1055,SUMPRODUCT(MAX(ROW(E$1:E1055)*(E1056=E$1:E1055)))))</f>
        <v> </v>
      </c>
      <c r="L1056" s="26"/>
    </row>
    <row r="1057" spans="1:12">
      <c r="A1057" s="20" t="s">
        <v>163</v>
      </c>
      <c r="B1057" s="27" t="s">
        <v>205</v>
      </c>
      <c r="C1057" s="27" t="s">
        <v>214</v>
      </c>
      <c r="D1057" s="27" t="s">
        <v>215</v>
      </c>
      <c r="E1057" s="21">
        <f>IF(D1057="?OLD","!!!","")</f>
        <v/>
      </c>
      <c r="F1057" s="22" t="str">
        <f>IF(OR(E1057="",E1057="!!!"),"",IF(NOT(ISNA(VLOOKUP(E1057,E$1:E1056,1,FALSE()))),"OLD",IF(AND(E1057&lt;&gt;"",E1057&lt;&gt;"!!!"),"NEW","")))</f>
        <v> </v>
      </c>
      <c r="G1057" s="23" t="str">
        <f>IF(OR(E1057="",E1057="!!!"),"",IF(OR(J1057=0,AND(J1057=1,K1057=1),AND(J1057=1,I1057="SBJ"),AND(J1057=1,I1057=0)),"?IN_FOCUS",IF(J1057&lt;=2,"?ACTIVATED",IF(J1057&lt;&gt;"","?FAMILIAR",IF(F1057="NEW",IF(ISNA(VLOOKUP(E1057,#REF!,1,FALSE())),"?TYPE_IDENTIFIABLE","?REFERENTIAL"),"_")))))</f>
        <v> </v>
      </c>
      <c r="H1057" s="24" t="str">
        <f>IF(J1057&lt;&gt;1,"",IF(I1057="SBJ","CB","?"))</f>
        <v> </v>
      </c>
      <c r="I1057" s="25" t="str">
        <f>IF(OR(E1057="",E1057="!!!",F1057="NEW"),"",INDEX(B1056:B$2,-1+SUMPRODUCT(MAX(ROW(E1056:E$2)*(E1057=E1056:E$2)))))</f>
        <v> </v>
      </c>
      <c r="J1057" s="25" t="str">
        <f>IF(OR(E1057="",E1057="!!!",F1057="NEW"),"",COUNTBLANK(OFFSET(A$1,,,SUMPRODUCT(MAX(ROW(E$2:E1057)*(E1057=E$2:E1057)))))-COUNTBLANK(OFFSET(A$1,,,SUMPRODUCT(MAX(ROW(E$1:E1056)*(E2=E$1:E1056))))))</f>
        <v> </v>
      </c>
      <c r="K1057" s="25" t="str">
        <f>IF(OR(E1057="",E1057="!!!",F1057="NEW"),"",INDEX(J$1:J1056,SUMPRODUCT(MAX(ROW(E$1:E1056)*(E1057=E$1:E1056)))))</f>
        <v> </v>
      </c>
      <c r="L1057" s="26"/>
    </row>
    <row r="1058" spans="1:12">
      <c r="A1058" s="20" t="s">
        <v>493</v>
      </c>
      <c r="E1058" s="21">
        <f>IF(D1058="?OLD","!!!","")</f>
        <v/>
      </c>
      <c r="F1058" s="22" t="str">
        <f>IF(OR(E1058="",E1058="!!!"),"",IF(NOT(ISNA(VLOOKUP(E1058,E$1:E1057,1,FALSE()))),"OLD",IF(AND(E1058&lt;&gt;"",E1058&lt;&gt;"!!!"),"NEW","")))</f>
        <v> </v>
      </c>
      <c r="G1058" s="23" t="str">
        <f>IF(OR(E1058="",E1058="!!!"),"",IF(OR(J1058=0,AND(J1058=1,K1058=1),AND(J1058=1,I1058="SBJ"),AND(J1058=1,I1058=0)),"?IN_FOCUS",IF(J1058&lt;=2,"?ACTIVATED",IF(J1058&lt;&gt;"","?FAMILIAR",IF(F1058="NEW",IF(ISNA(VLOOKUP(E1058,#REF!,1,FALSE())),"?TYPE_IDENTIFIABLE","?REFERENTIAL"),"_")))))</f>
        <v> </v>
      </c>
      <c r="H1058" s="24" t="str">
        <f>IF(J1058&lt;&gt;1,"",IF(I1058="SBJ","CB","?"))</f>
        <v> </v>
      </c>
      <c r="I1058" s="25" t="str">
        <f>IF(OR(E1058="",E1058="!!!",F1058="NEW"),"",INDEX(B1057:B$2,-1+SUMPRODUCT(MAX(ROW(E1057:E$2)*(E1058=E1057:E$2)))))</f>
        <v> </v>
      </c>
      <c r="J1058" s="25" t="str">
        <f>IF(OR(E1058="",E1058="!!!",F1058="NEW"),"",COUNTBLANK(OFFSET(A$1,,,SUMPRODUCT(MAX(ROW(E$2:E1058)*(E1058=E$2:E1058)))))-COUNTBLANK(OFFSET(A$1,,,SUMPRODUCT(MAX(ROW(E$1:E1057)*(E2=E$1:E1057))))))</f>
        <v> </v>
      </c>
      <c r="K1058" s="25" t="str">
        <f>IF(OR(E1058="",E1058="!!!",F1058="NEW"),"",INDEX(J$1:J1057,SUMPRODUCT(MAX(ROW(E$1:E1057)*(E1058=E$1:E1057)))))</f>
        <v> </v>
      </c>
      <c r="L1058" s="26"/>
    </row>
    <row r="1059" spans="1:12">
      <c r="A1059" s="20" t="s">
        <v>632</v>
      </c>
      <c r="E1059" s="21">
        <f>IF(D1059="?OLD","!!!","")</f>
        <v/>
      </c>
      <c r="F1059" s="22" t="str">
        <f>IF(OR(E1059="",E1059="!!!"),"",IF(NOT(ISNA(VLOOKUP(E1059,E$1:E1058,1,FALSE()))),"OLD",IF(AND(E1059&lt;&gt;"",E1059&lt;&gt;"!!!"),"NEW","")))</f>
        <v> </v>
      </c>
      <c r="G1059" s="23" t="str">
        <f>IF(OR(E1059="",E1059="!!!"),"",IF(OR(J1059=0,AND(J1059=1,K1059=1),AND(J1059=1,I1059="SBJ"),AND(J1059=1,I1059=0)),"?IN_FOCUS",IF(J1059&lt;=2,"?ACTIVATED",IF(J1059&lt;&gt;"","?FAMILIAR",IF(F1059="NEW",IF(ISNA(VLOOKUP(E1059,#REF!,1,FALSE())),"?TYPE_IDENTIFIABLE","?REFERENTIAL"),"_")))))</f>
        <v> </v>
      </c>
      <c r="H1059" s="24" t="str">
        <f>IF(J1059&lt;&gt;1,"",IF(I1059="SBJ","CB","?"))</f>
        <v> </v>
      </c>
      <c r="I1059" s="25" t="str">
        <f>IF(OR(E1059="",E1059="!!!",F1059="NEW"),"",INDEX(B1058:B$2,-1+SUMPRODUCT(MAX(ROW(E1058:E$2)*(E1059=E1058:E$2)))))</f>
        <v> </v>
      </c>
      <c r="J1059" s="25" t="str">
        <f>IF(OR(E1059="",E1059="!!!",F1059="NEW"),"",COUNTBLANK(OFFSET(A$1,,,SUMPRODUCT(MAX(ROW(E$2:E1059)*(E1059=E$2:E1059)))))-COUNTBLANK(OFFSET(A$1,,,SUMPRODUCT(MAX(ROW(E$1:E1058)*(E2=E$1:E1058))))))</f>
        <v> </v>
      </c>
      <c r="K1059" s="25" t="str">
        <f>IF(OR(E1059="",E1059="!!!",F1059="NEW"),"",INDEX(J$1:J1058,SUMPRODUCT(MAX(ROW(E$1:E1058)*(E1059=E$1:E1058)))))</f>
        <v> </v>
      </c>
      <c r="L1059" s="26"/>
    </row>
    <row r="1060" spans="1:12">
      <c r="A1060" s="20" t="s">
        <v>633</v>
      </c>
      <c r="E1060" s="21">
        <f>IF(D1060="?OLD","!!!","")</f>
        <v/>
      </c>
      <c r="F1060" s="22" t="str">
        <f>IF(OR(E1060="",E1060="!!!"),"",IF(NOT(ISNA(VLOOKUP(E1060,E$1:E1059,1,FALSE()))),"OLD",IF(AND(E1060&lt;&gt;"",E1060&lt;&gt;"!!!"),"NEW","")))</f>
        <v> </v>
      </c>
      <c r="G1060" s="23" t="str">
        <f>IF(OR(E1060="",E1060="!!!"),"",IF(OR(J1060=0,AND(J1060=1,K1060=1),AND(J1060=1,I1060="SBJ"),AND(J1060=1,I1060=0)),"?IN_FOCUS",IF(J1060&lt;=2,"?ACTIVATED",IF(J1060&lt;&gt;"","?FAMILIAR",IF(F1060="NEW",IF(ISNA(VLOOKUP(E1060,#REF!,1,FALSE())),"?TYPE_IDENTIFIABLE","?REFERENTIAL"),"_")))))</f>
        <v> </v>
      </c>
      <c r="H1060" s="24" t="str">
        <f>IF(J1060&lt;&gt;1,"",IF(I1060="SBJ","CB","?"))</f>
        <v> </v>
      </c>
      <c r="I1060" s="25" t="str">
        <f>IF(OR(E1060="",E1060="!!!",F1060="NEW"),"",INDEX(B1059:B$2,-1+SUMPRODUCT(MAX(ROW(E1059:E$2)*(E1060=E1059:E$2)))))</f>
        <v> </v>
      </c>
      <c r="J1060" s="25" t="str">
        <f>IF(OR(E1060="",E1060="!!!",F1060="NEW"),"",COUNTBLANK(OFFSET(A$1,,,SUMPRODUCT(MAX(ROW(E$2:E1060)*(E1060=E$2:E1060)))))-COUNTBLANK(OFFSET(A$1,,,SUMPRODUCT(MAX(ROW(E$1:E1059)*(E2=E$1:E1059))))))</f>
        <v> </v>
      </c>
      <c r="K1060" s="25" t="str">
        <f>IF(OR(E1060="",E1060="!!!",F1060="NEW"),"",INDEX(J$1:J1059,SUMPRODUCT(MAX(ROW(E$1:E1059)*(E1060=E$1:E1059)))))</f>
        <v> </v>
      </c>
      <c r="L1060" s="26"/>
    </row>
    <row r="1061" spans="1:12">
      <c r="A1061" s="20" t="s">
        <v>634</v>
      </c>
      <c r="E1061" s="21">
        <f>IF(D1061="?OLD","!!!","")</f>
        <v/>
      </c>
      <c r="F1061" s="22" t="str">
        <f>IF(OR(E1061="",E1061="!!!"),"",IF(NOT(ISNA(VLOOKUP(E1061,E$1:E1060,1,FALSE()))),"OLD",IF(AND(E1061&lt;&gt;"",E1061&lt;&gt;"!!!"),"NEW","")))</f>
        <v> </v>
      </c>
      <c r="G1061" s="23" t="str">
        <f>IF(OR(E1061="",E1061="!!!"),"",IF(OR(J1061=0,AND(J1061=1,K1061=1),AND(J1061=1,I1061="SBJ"),AND(J1061=1,I1061=0)),"?IN_FOCUS",IF(J1061&lt;=2,"?ACTIVATED",IF(J1061&lt;&gt;"","?FAMILIAR",IF(F1061="NEW",IF(ISNA(VLOOKUP(E1061,#REF!,1,FALSE())),"?TYPE_IDENTIFIABLE","?REFERENTIAL"),"_")))))</f>
        <v> </v>
      </c>
      <c r="H1061" s="24" t="str">
        <f>IF(J1061&lt;&gt;1,"",IF(I1061="SBJ","CB","?"))</f>
        <v> </v>
      </c>
      <c r="I1061" s="25" t="str">
        <f>IF(OR(E1061="",E1061="!!!",F1061="NEW"),"",INDEX(B1060:B$2,-1+SUMPRODUCT(MAX(ROW(E1060:E$2)*(E1061=E1060:E$2)))))</f>
        <v> </v>
      </c>
      <c r="J1061" s="25" t="str">
        <f>IF(OR(E1061="",E1061="!!!",F1061="NEW"),"",COUNTBLANK(OFFSET(A$1,,,SUMPRODUCT(MAX(ROW(E$2:E1061)*(E1061=E$2:E1061)))))-COUNTBLANK(OFFSET(A$1,,,SUMPRODUCT(MAX(ROW(E$1:E1060)*(E2=E$1:E1060))))))</f>
        <v> </v>
      </c>
      <c r="K1061" s="25" t="str">
        <f>IF(OR(E1061="",E1061="!!!",F1061="NEW"),"",INDEX(J$1:J1060,SUMPRODUCT(MAX(ROW(E$1:E1060)*(E1061=E$1:E1060)))))</f>
        <v> </v>
      </c>
      <c r="L1061" s="26"/>
    </row>
    <row r="1062" spans="1:12">
      <c r="A1062" s="20"/>
    </row>
    <row r="1063" spans="1:12">
      <c r="A1063" s="20" t="s">
        <v>629</v>
      </c>
    </row>
    <row r="1064" spans="1:12">
      <c r="A1064" s="20" t="s">
        <v>630</v>
      </c>
      <c r="E1064" s="21">
        <f>IF(D1064="?OLD","!!!","")</f>
        <v/>
      </c>
      <c r="F1064" s="22" t="str">
        <f>IF(OR(E1064="",E1064="!!!"),"",IF(NOT(ISNA(VLOOKUP(E1064,E$1:E1063,1,FALSE()))),"OLD",IF(AND(E1064&lt;&gt;"",E1064&lt;&gt;"!!!"),"NEW","")))</f>
        <v> </v>
      </c>
      <c r="G1064" s="23" t="str">
        <f>IF(OR(E1064="",E1064="!!!"),"",IF(OR(J1064=0,AND(J1064=1,K1064=1),AND(J1064=1,I1064="SBJ"),AND(J1064=1,I1064=0)),"?IN_FOCUS",IF(J1064&lt;=2,"?ACTIVATED",IF(J1064&lt;&gt;"","?FAMILIAR",IF(F1064="NEW",IF(ISNA(VLOOKUP(E1064,#REF!,1,FALSE())),"?TYPE_IDENTIFIABLE","?REFERENTIAL"),"_")))))</f>
        <v> </v>
      </c>
      <c r="H1064" s="24" t="str">
        <f>IF(J1064&lt;&gt;1,"",IF(I1064="SBJ","CB","?"))</f>
        <v> </v>
      </c>
      <c r="I1064" s="25" t="str">
        <f>IF(OR(E1064="",E1064="!!!",F1064="NEW"),"",INDEX(B1063:B$2,-1+SUMPRODUCT(MAX(ROW(E1063:E$2)*(E1064=E1063:E$2)))))</f>
        <v> </v>
      </c>
      <c r="J1064" s="25" t="str">
        <f>IF(OR(E1064="",E1064="!!!",F1064="NEW"),"",COUNTBLANK(OFFSET(A$1,,,SUMPRODUCT(MAX(ROW(E$2:E1064)*(E1064=E$2:E1064)))))-COUNTBLANK(OFFSET(A$1,,,SUMPRODUCT(MAX(ROW(E$1:E1063)*(E2=E$1:E1063))))))</f>
        <v> </v>
      </c>
      <c r="K1064" s="25" t="str">
        <f>IF(OR(E1064="",E1064="!!!",F1064="NEW"),"",INDEX(J$1:J1063,SUMPRODUCT(MAX(ROW(E$1:E1063)*(E1064=E$1:E1063)))))</f>
        <v> </v>
      </c>
      <c r="L1064" s="26"/>
    </row>
    <row r="1065" spans="1:12">
      <c r="A1065" s="20" t="s">
        <v>265</v>
      </c>
      <c r="B1065" s="27" t="s">
        <v>261</v>
      </c>
      <c r="C1065" s="27" t="s">
        <v>230</v>
      </c>
      <c r="D1065" s="27" t="s">
        <v>215</v>
      </c>
      <c r="E1065" s="21">
        <f>IF(D1065="?OLD","!!!","")</f>
        <v/>
      </c>
      <c r="F1065" s="22" t="str">
        <f>IF(OR(E1065="",E1065="!!!"),"",IF(NOT(ISNA(VLOOKUP(E1065,E$1:E1064,1,FALSE()))),"OLD",IF(AND(E1065&lt;&gt;"",E1065&lt;&gt;"!!!"),"NEW","")))</f>
        <v> </v>
      </c>
      <c r="G1065" s="23" t="str">
        <f>IF(OR(E1065="",E1065="!!!"),"",IF(OR(J1065=0,AND(J1065=1,K1065=1),AND(J1065=1,I1065="SBJ"),AND(J1065=1,I1065=0)),"?IN_FOCUS",IF(J1065&lt;=2,"?ACTIVATED",IF(J1065&lt;&gt;"","?FAMILIAR",IF(F1065="NEW",IF(ISNA(VLOOKUP(E1065,#REF!,1,FALSE())),"?TYPE_IDENTIFIABLE","?REFERENTIAL"),"_")))))</f>
        <v> </v>
      </c>
      <c r="H1065" s="24" t="str">
        <f>IF(J1065&lt;&gt;1,"",IF(I1065="SBJ","CB","?"))</f>
        <v> </v>
      </c>
      <c r="I1065" s="25" t="str">
        <f>IF(OR(E1065="",E1065="!!!",F1065="NEW"),"",INDEX(B1064:B$2,-1+SUMPRODUCT(MAX(ROW(E1064:E$2)*(E1065=E1064:E$2)))))</f>
        <v> </v>
      </c>
      <c r="J1065" s="25" t="str">
        <f>IF(OR(E1065="",E1065="!!!",F1065="NEW"),"",COUNTBLANK(OFFSET(A$1,,,SUMPRODUCT(MAX(ROW(E$2:E1065)*(E1065=E$2:E1065)))))-COUNTBLANK(OFFSET(A$1,,,SUMPRODUCT(MAX(ROW(E$1:E1064)*(E2=E$1:E1064))))))</f>
        <v> </v>
      </c>
      <c r="K1065" s="25" t="str">
        <f>IF(OR(E1065="",E1065="!!!",F1065="NEW"),"",INDEX(J$1:J1064,SUMPRODUCT(MAX(ROW(E$1:E1064)*(E1065=E$1:E1064)))))</f>
        <v> </v>
      </c>
      <c r="L1065" s="26"/>
    </row>
    <row r="1066" spans="1:12">
      <c r="A1066" s="20" t="s">
        <v>234</v>
      </c>
      <c r="E1066" s="21">
        <f>IF(D1066="?OLD","!!!","")</f>
        <v/>
      </c>
      <c r="F1066" s="22" t="str">
        <f>IF(OR(E1066="",E1066="!!!"),"",IF(NOT(ISNA(VLOOKUP(E1066,E$1:E1065,1,FALSE()))),"OLD",IF(AND(E1066&lt;&gt;"",E1066&lt;&gt;"!!!"),"NEW","")))</f>
        <v> </v>
      </c>
      <c r="G1066" s="23" t="str">
        <f>IF(OR(E1066="",E1066="!!!"),"",IF(OR(J1066=0,AND(J1066=1,K1066=1),AND(J1066=1,I1066="SBJ"),AND(J1066=1,I1066=0)),"?IN_FOCUS",IF(J1066&lt;=2,"?ACTIVATED",IF(J1066&lt;&gt;"","?FAMILIAR",IF(F1066="NEW",IF(ISNA(VLOOKUP(E1066,#REF!,1,FALSE())),"?TYPE_IDENTIFIABLE","?REFERENTIAL"),"_")))))</f>
        <v> </v>
      </c>
      <c r="H1066" s="24" t="str">
        <f>IF(J1066&lt;&gt;1,"",IF(I1066="SBJ","CB","?"))</f>
        <v> </v>
      </c>
      <c r="I1066" s="25" t="str">
        <f>IF(OR(E1066="",E1066="!!!",F1066="NEW"),"",INDEX(B1065:B$2,-1+SUMPRODUCT(MAX(ROW(E1065:E$2)*(E1066=E1065:E$2)))))</f>
        <v> </v>
      </c>
      <c r="J1066" s="25" t="str">
        <f>IF(OR(E1066="",E1066="!!!",F1066="NEW"),"",COUNTBLANK(OFFSET(A$1,,,SUMPRODUCT(MAX(ROW(E$2:E1066)*(E1066=E$2:E1066)))))-COUNTBLANK(OFFSET(A$1,,,SUMPRODUCT(MAX(ROW(E$1:E1065)*(E2=E$1:E1065))))))</f>
        <v> </v>
      </c>
      <c r="K1066" s="25" t="str">
        <f>IF(OR(E1066="",E1066="!!!",F1066="NEW"),"",INDEX(J$1:J1065,SUMPRODUCT(MAX(ROW(E$1:E1065)*(E1066=E$1:E1065)))))</f>
        <v> </v>
      </c>
      <c r="L1066" s="26"/>
    </row>
    <row r="1067" spans="1:12">
      <c r="A1067" s="20"/>
    </row>
    <row r="1068" spans="1:12">
      <c r="A1068" s="20" t="s">
        <v>635</v>
      </c>
    </row>
    <row r="1069" spans="1:12">
      <c r="A1069" s="20" t="s">
        <v>636</v>
      </c>
      <c r="B1069" s="27" t="s">
        <v>205</v>
      </c>
      <c r="C1069" s="27" t="s">
        <v>226</v>
      </c>
      <c r="E1069" s="21">
        <f>IF(D1069="?OLD","!!!","")</f>
        <v/>
      </c>
      <c r="F1069" s="22" t="str">
        <f>IF(OR(E1069="",E1069="!!!"),"",IF(NOT(ISNA(VLOOKUP(E1069,E$1:E1068,1,FALSE()))),"OLD",IF(AND(E1069&lt;&gt;"",E1069&lt;&gt;"!!!"),"NEW","")))</f>
        <v> </v>
      </c>
      <c r="G1069" s="23" t="str">
        <f>IF(OR(E1069="",E1069="!!!"),"",IF(OR(J1069=0,AND(J1069=1,K1069=1),AND(J1069=1,I1069="SBJ"),AND(J1069=1,I1069=0)),"?IN_FOCUS",IF(J1069&lt;=2,"?ACTIVATED",IF(J1069&lt;&gt;"","?FAMILIAR",IF(F1069="NEW",IF(ISNA(VLOOKUP(E1069,#REF!,1,FALSE())),"?TYPE_IDENTIFIABLE","?REFERENTIAL"),"_")))))</f>
        <v> </v>
      </c>
      <c r="H1069" s="24" t="str">
        <f>IF(J1069&lt;&gt;1,"",IF(I1069="SBJ","CB","?"))</f>
        <v> </v>
      </c>
      <c r="I1069" s="25" t="str">
        <f>IF(OR(E1069="",E1069="!!!",F1069="NEW"),"",INDEX(B1068:B$2,-1+SUMPRODUCT(MAX(ROW(E1068:E$2)*(E1069=E1068:E$2)))))</f>
        <v> </v>
      </c>
      <c r="J1069" s="25" t="str">
        <f>IF(OR(E1069="",E1069="!!!",F1069="NEW"),"",COUNTBLANK(OFFSET(A$1,,,SUMPRODUCT(MAX(ROW(E$2:E1069)*(E1069=E$2:E1069)))))-COUNTBLANK(OFFSET(A$1,,,SUMPRODUCT(MAX(ROW(E$1:E1068)*(E2=E$1:E1068))))))</f>
        <v> </v>
      </c>
      <c r="K1069" s="25" t="str">
        <f>IF(OR(E1069="",E1069="!!!",F1069="NEW"),"",INDEX(J$1:J1068,SUMPRODUCT(MAX(ROW(E$1:E1068)*(E1069=E$1:E1068)))))</f>
        <v> </v>
      </c>
      <c r="L1069" s="26"/>
    </row>
    <row r="1070" spans="1:12">
      <c r="A1070" s="20" t="s">
        <v>234</v>
      </c>
      <c r="E1070" s="21">
        <f>IF(D1070="?OLD","!!!","")</f>
        <v/>
      </c>
      <c r="F1070" s="22" t="str">
        <f>IF(OR(E1070="",E1070="!!!"),"",IF(NOT(ISNA(VLOOKUP(E1070,E$1:E1069,1,FALSE()))),"OLD",IF(AND(E1070&lt;&gt;"",E1070&lt;&gt;"!!!"),"NEW","")))</f>
        <v> </v>
      </c>
      <c r="G1070" s="23" t="str">
        <f>IF(OR(E1070="",E1070="!!!"),"",IF(OR(J1070=0,AND(J1070=1,K1070=1),AND(J1070=1,I1070="SBJ"),AND(J1070=1,I1070=0)),"?IN_FOCUS",IF(J1070&lt;=2,"?ACTIVATED",IF(J1070&lt;&gt;"","?FAMILIAR",IF(F1070="NEW",IF(ISNA(VLOOKUP(E1070,#REF!,1,FALSE())),"?TYPE_IDENTIFIABLE","?REFERENTIAL"),"_")))))</f>
        <v> </v>
      </c>
      <c r="H1070" s="24" t="str">
        <f>IF(J1070&lt;&gt;1,"",IF(I1070="SBJ","CB","?"))</f>
        <v> </v>
      </c>
      <c r="I1070" s="25" t="str">
        <f>IF(OR(E1070="",E1070="!!!",F1070="NEW"),"",INDEX(B1069:B$2,-1+SUMPRODUCT(MAX(ROW(E1069:E$2)*(E1070=E1069:E$2)))))</f>
        <v> </v>
      </c>
      <c r="J1070" s="25" t="str">
        <f>IF(OR(E1070="",E1070="!!!",F1070="NEW"),"",COUNTBLANK(OFFSET(A$1,,,SUMPRODUCT(MAX(ROW(E$2:E1070)*(E1070=E$2:E1070)))))-COUNTBLANK(OFFSET(A$1,,,SUMPRODUCT(MAX(ROW(E$1:E1069)*(E2=E$1:E1069))))))</f>
        <v> </v>
      </c>
      <c r="K1070" s="25" t="str">
        <f>IF(OR(E1070="",E1070="!!!",F1070="NEW"),"",INDEX(J$1:J1069,SUMPRODUCT(MAX(ROW(E$1:E1069)*(E1070=E$1:E1069)))))</f>
        <v> </v>
      </c>
      <c r="L1070" s="26"/>
    </row>
    <row r="1071" spans="1:12">
      <c r="A1071" s="20"/>
    </row>
    <row r="1072" spans="1:12">
      <c r="A1072" s="20" t="s">
        <v>637</v>
      </c>
    </row>
    <row r="1073" spans="1:12">
      <c r="A1073" s="20" t="s">
        <v>173</v>
      </c>
      <c r="B1073" s="27" t="s">
        <v>205</v>
      </c>
      <c r="C1073" s="27" t="s">
        <v>214</v>
      </c>
      <c r="D1073" s="27" t="s">
        <v>215</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t="s">
        <v>638</v>
      </c>
      <c r="E1074" s="21">
        <f>IF(D1074="?OLD","!!!","")</f>
        <v/>
      </c>
      <c r="F1074" s="22" t="str">
        <f>IF(OR(E1074="",E1074="!!!"),"",IF(NOT(ISNA(VLOOKUP(E1074,E$1:E1073,1,FALSE()))),"OLD",IF(AND(E1074&lt;&gt;"",E1074&lt;&gt;"!!!"),"NEW","")))</f>
        <v> </v>
      </c>
      <c r="G1074" s="23" t="str">
        <f>IF(OR(E1074="",E1074="!!!"),"",IF(OR(J1074=0,AND(J1074=1,K1074=1),AND(J1074=1,I1074="SBJ"),AND(J1074=1,I1074=0)),"?IN_FOCUS",IF(J1074&lt;=2,"?ACTIVATED",IF(J1074&lt;&gt;"","?FAMILIAR",IF(F1074="NEW",IF(ISNA(VLOOKUP(E1074,#REF!,1,FALSE())),"?TYPE_IDENTIFIABLE","?REFERENTIAL"),"_")))))</f>
        <v> </v>
      </c>
      <c r="H1074" s="24" t="str">
        <f>IF(J1074&lt;&gt;1,"",IF(I1074="SBJ","CB","?"))</f>
        <v> </v>
      </c>
      <c r="I1074" s="25" t="str">
        <f>IF(OR(E1074="",E1074="!!!",F1074="NEW"),"",INDEX(B1073:B$2,-1+SUMPRODUCT(MAX(ROW(E1073:E$2)*(E1074=E1073:E$2)))))</f>
        <v> </v>
      </c>
      <c r="J1074" s="25" t="str">
        <f>IF(OR(E1074="",E1074="!!!",F1074="NEW"),"",COUNTBLANK(OFFSET(A$1,,,SUMPRODUCT(MAX(ROW(E$2:E1074)*(E1074=E$2:E1074)))))-COUNTBLANK(OFFSET(A$1,,,SUMPRODUCT(MAX(ROW(E$1:E1073)*(E2=E$1:E1073))))))</f>
        <v> </v>
      </c>
      <c r="K1074" s="25" t="str">
        <f>IF(OR(E1074="",E1074="!!!",F1074="NEW"),"",INDEX(J$1:J1073,SUMPRODUCT(MAX(ROW(E$1:E1073)*(E1074=E$1:E1073)))))</f>
        <v> </v>
      </c>
      <c r="L1074" s="26"/>
    </row>
    <row r="1075" spans="1:12">
      <c r="A1075" s="20" t="s">
        <v>234</v>
      </c>
      <c r="E1075" s="21">
        <f>IF(D1075="?OLD","!!!","")</f>
        <v/>
      </c>
      <c r="F1075" s="22" t="str">
        <f>IF(OR(E1075="",E1075="!!!"),"",IF(NOT(ISNA(VLOOKUP(E1075,E$1:E1074,1,FALSE()))),"OLD",IF(AND(E1075&lt;&gt;"",E1075&lt;&gt;"!!!"),"NEW","")))</f>
        <v> </v>
      </c>
      <c r="G1075" s="23" t="str">
        <f>IF(OR(E1075="",E1075="!!!"),"",IF(OR(J1075=0,AND(J1075=1,K1075=1),AND(J1075=1,I1075="SBJ"),AND(J1075=1,I1075=0)),"?IN_FOCUS",IF(J1075&lt;=2,"?ACTIVATED",IF(J1075&lt;&gt;"","?FAMILIAR",IF(F1075="NEW",IF(ISNA(VLOOKUP(E1075,#REF!,1,FALSE())),"?TYPE_IDENTIFIABLE","?REFERENTIAL"),"_")))))</f>
        <v> </v>
      </c>
      <c r="H1075" s="24" t="str">
        <f>IF(J1075&lt;&gt;1,"",IF(I1075="SBJ","CB","?"))</f>
        <v> </v>
      </c>
      <c r="I1075" s="25" t="str">
        <f>IF(OR(E1075="",E1075="!!!",F1075="NEW"),"",INDEX(B1074:B$2,-1+SUMPRODUCT(MAX(ROW(E1074:E$2)*(E1075=E1074:E$2)))))</f>
        <v> </v>
      </c>
      <c r="J1075" s="25" t="str">
        <f>IF(OR(E1075="",E1075="!!!",F1075="NEW"),"",COUNTBLANK(OFFSET(A$1,,,SUMPRODUCT(MAX(ROW(E$2:E1075)*(E1075=E$2:E1075)))))-COUNTBLANK(OFFSET(A$1,,,SUMPRODUCT(MAX(ROW(E$1:E1074)*(E2=E$1:E1074))))))</f>
        <v> </v>
      </c>
      <c r="K1075" s="25" t="str">
        <f>IF(OR(E1075="",E1075="!!!",F1075="NEW"),"",INDEX(J$1:J1074,SUMPRODUCT(MAX(ROW(E$1:E1074)*(E1075=E$1:E1074)))))</f>
        <v> </v>
      </c>
      <c r="L1075" s="26"/>
    </row>
    <row r="1076" spans="1:12">
      <c r="A1076" s="20"/>
    </row>
    <row r="1077" spans="1:12">
      <c r="A1077" s="20" t="s">
        <v>639</v>
      </c>
    </row>
    <row r="1078" spans="1:12">
      <c r="A1078" s="20" t="s">
        <v>173</v>
      </c>
      <c r="B1078" s="27" t="s">
        <v>205</v>
      </c>
      <c r="C1078" s="27" t="s">
        <v>214</v>
      </c>
      <c r="D1078" s="27" t="s">
        <v>215</v>
      </c>
      <c r="E1078" s="21">
        <f>IF(D1078="?OLD","!!!","")</f>
        <v/>
      </c>
      <c r="F1078" s="22" t="str">
        <f>IF(OR(E1078="",E1078="!!!"),"",IF(NOT(ISNA(VLOOKUP(E1078,E$1:E1077,1,FALSE()))),"OLD",IF(AND(E1078&lt;&gt;"",E1078&lt;&gt;"!!!"),"NEW","")))</f>
        <v> </v>
      </c>
      <c r="G1078" s="23" t="str">
        <f>IF(OR(E1078="",E1078="!!!"),"",IF(OR(J1078=0,AND(J1078=1,K1078=1),AND(J1078=1,I1078="SBJ"),AND(J1078=1,I1078=0)),"?IN_FOCUS",IF(J1078&lt;=2,"?ACTIVATED",IF(J1078&lt;&gt;"","?FAMILIAR",IF(F1078="NEW",IF(ISNA(VLOOKUP(E1078,#REF!,1,FALSE())),"?TYPE_IDENTIFIABLE","?REFERENTIAL"),"_")))))</f>
        <v> </v>
      </c>
      <c r="H1078" s="24" t="str">
        <f>IF(J1078&lt;&gt;1,"",IF(I1078="SBJ","CB","?"))</f>
        <v> </v>
      </c>
      <c r="I1078" s="25" t="str">
        <f>IF(OR(E1078="",E1078="!!!",F1078="NEW"),"",INDEX(B1077:B$2,-1+SUMPRODUCT(MAX(ROW(E1077:E$2)*(E1078=E1077:E$2)))))</f>
        <v> </v>
      </c>
      <c r="J1078" s="25" t="str">
        <f>IF(OR(E1078="",E1078="!!!",F1078="NEW"),"",COUNTBLANK(OFFSET(A$1,,,SUMPRODUCT(MAX(ROW(E$2:E1078)*(E1078=E$2:E1078)))))-COUNTBLANK(OFFSET(A$1,,,SUMPRODUCT(MAX(ROW(E$1:E1077)*(E2=E$1:E1077))))))</f>
        <v> </v>
      </c>
      <c r="K1078" s="25" t="str">
        <f>IF(OR(E1078="",E1078="!!!",F1078="NEW"),"",INDEX(J$1:J1077,SUMPRODUCT(MAX(ROW(E$1:E1077)*(E1078=E$1:E1077)))))</f>
        <v> </v>
      </c>
      <c r="L1078" s="26"/>
    </row>
    <row r="1079" spans="1:12">
      <c r="A1079" s="20" t="s">
        <v>638</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t="s">
        <v>634</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row>
    <row r="1082" spans="1:12">
      <c r="A1082" s="20" t="s">
        <v>640</v>
      </c>
    </row>
    <row r="1083" spans="1:12">
      <c r="A1083" s="20" t="s">
        <v>257</v>
      </c>
      <c r="B1083" s="27" t="s">
        <v>213</v>
      </c>
      <c r="C1083" s="27" t="s">
        <v>230</v>
      </c>
      <c r="D1083" s="27" t="s">
        <v>215</v>
      </c>
      <c r="E1083" s="21">
        <f>IF(D1083="?OLD","!!!","")</f>
        <v/>
      </c>
      <c r="F1083" s="22" t="str">
        <f>IF(OR(E1083="",E1083="!!!"),"",IF(NOT(ISNA(VLOOKUP(E1083,E$1:E1082,1,FALSE()))),"OLD",IF(AND(E1083&lt;&gt;"",E1083&lt;&gt;"!!!"),"NEW","")))</f>
        <v> </v>
      </c>
      <c r="G1083" s="23" t="str">
        <f>IF(OR(E1083="",E1083="!!!"),"",IF(OR(J1083=0,AND(J1083=1,K1083=1),AND(J1083=1,I1083="SBJ"),AND(J1083=1,I1083=0)),"?IN_FOCUS",IF(J1083&lt;=2,"?ACTIVATED",IF(J1083&lt;&gt;"","?FAMILIAR",IF(F1083="NEW",IF(ISNA(VLOOKUP(E1083,#REF!,1,FALSE())),"?TYPE_IDENTIFIABLE","?REFERENTIAL"),"_")))))</f>
        <v> </v>
      </c>
      <c r="H1083" s="24" t="str">
        <f>IF(J1083&lt;&gt;1,"",IF(I1083="SBJ","CB","?"))</f>
        <v> </v>
      </c>
      <c r="I1083" s="25" t="str">
        <f>IF(OR(E1083="",E1083="!!!",F1083="NEW"),"",INDEX(B1082:B$2,-1+SUMPRODUCT(MAX(ROW(E1082:E$2)*(E1083=E1082:E$2)))))</f>
        <v> </v>
      </c>
      <c r="J1083" s="25" t="str">
        <f>IF(OR(E1083="",E1083="!!!",F1083="NEW"),"",COUNTBLANK(OFFSET(A$1,,,SUMPRODUCT(MAX(ROW(E$2:E1083)*(E1083=E$2:E1083)))))-COUNTBLANK(OFFSET(A$1,,,SUMPRODUCT(MAX(ROW(E$1:E1082)*(E2=E$1:E1082))))))</f>
        <v> </v>
      </c>
      <c r="K1083" s="25" t="str">
        <f>IF(OR(E1083="",E1083="!!!",F1083="NEW"),"",INDEX(J$1:J1082,SUMPRODUCT(MAX(ROW(E$1:E1082)*(E1083=E$1:E1082)))))</f>
        <v> </v>
      </c>
      <c r="L1083" s="26"/>
    </row>
    <row r="1084" spans="1:12">
      <c r="A1084" s="20" t="s">
        <v>258</v>
      </c>
      <c r="E1084" s="21">
        <f>IF(D1084="?OLD","!!!","")</f>
        <v/>
      </c>
      <c r="F1084" s="22" t="str">
        <f>IF(OR(E1084="",E1084="!!!"),"",IF(NOT(ISNA(VLOOKUP(E1084,E$1:E1083,1,FALSE()))),"OLD",IF(AND(E1084&lt;&gt;"",E1084&lt;&gt;"!!!"),"NEW","")))</f>
        <v> </v>
      </c>
      <c r="G1084" s="23" t="str">
        <f>IF(OR(E1084="",E1084="!!!"),"",IF(OR(J1084=0,AND(J1084=1,K1084=1),AND(J1084=1,I1084="SBJ"),AND(J1084=1,I1084=0)),"?IN_FOCUS",IF(J1084&lt;=2,"?ACTIVATED",IF(J1084&lt;&gt;"","?FAMILIAR",IF(F1084="NEW",IF(ISNA(VLOOKUP(E1084,#REF!,1,FALSE())),"?TYPE_IDENTIFIABLE","?REFERENTIAL"),"_")))))</f>
        <v> </v>
      </c>
      <c r="H1084" s="24" t="str">
        <f>IF(J1084&lt;&gt;1,"",IF(I1084="SBJ","CB","?"))</f>
        <v> </v>
      </c>
      <c r="I1084" s="25" t="str">
        <f>IF(OR(E1084="",E1084="!!!",F1084="NEW"),"",INDEX(B1083:B$2,-1+SUMPRODUCT(MAX(ROW(E1083:E$2)*(E1084=E1083:E$2)))))</f>
        <v> </v>
      </c>
      <c r="J1084" s="25" t="str">
        <f>IF(OR(E1084="",E1084="!!!",F1084="NEW"),"",COUNTBLANK(OFFSET(A$1,,,SUMPRODUCT(MAX(ROW(E$2:E1084)*(E1084=E$2:E1084)))))-COUNTBLANK(OFFSET(A$1,,,SUMPRODUCT(MAX(ROW(E$1:E1083)*(E2=E$1:E1083))))))</f>
        <v> </v>
      </c>
      <c r="K1084" s="25" t="str">
        <f>IF(OR(E1084="",E1084="!!!",F1084="NEW"),"",INDEX(J$1:J1083,SUMPRODUCT(MAX(ROW(E$1:E1083)*(E1084=E$1:E1083)))))</f>
        <v> </v>
      </c>
      <c r="L1084" s="26"/>
    </row>
    <row r="1085" spans="1:12">
      <c r="A1085" s="20" t="s">
        <v>387</v>
      </c>
      <c r="E1085" s="21">
        <f>IF(D1085="?OLD","!!!","")</f>
        <v/>
      </c>
      <c r="F1085" s="22" t="str">
        <f>IF(OR(E1085="",E1085="!!!"),"",IF(NOT(ISNA(VLOOKUP(E1085,E$1:E1084,1,FALSE()))),"OLD",IF(AND(E1085&lt;&gt;"",E1085&lt;&gt;"!!!"),"NEW","")))</f>
        <v> </v>
      </c>
      <c r="G1085" s="23" t="str">
        <f>IF(OR(E1085="",E1085="!!!"),"",IF(OR(J1085=0,AND(J1085=1,K1085=1),AND(J1085=1,I1085="SBJ"),AND(J1085=1,I1085=0)),"?IN_FOCUS",IF(J1085&lt;=2,"?ACTIVATED",IF(J1085&lt;&gt;"","?FAMILIAR",IF(F1085="NEW",IF(ISNA(VLOOKUP(E1085,#REF!,1,FALSE())),"?TYPE_IDENTIFIABLE","?REFERENTIAL"),"_")))))</f>
        <v> </v>
      </c>
      <c r="H1085" s="24" t="str">
        <f>IF(J1085&lt;&gt;1,"",IF(I1085="SBJ","CB","?"))</f>
        <v> </v>
      </c>
      <c r="I1085" s="25" t="str">
        <f>IF(OR(E1085="",E1085="!!!",F1085="NEW"),"",INDEX(B1084:B$2,-1+SUMPRODUCT(MAX(ROW(E1084:E$2)*(E1085=E1084:E$2)))))</f>
        <v> </v>
      </c>
      <c r="J1085" s="25" t="str">
        <f>IF(OR(E1085="",E1085="!!!",F1085="NEW"),"",COUNTBLANK(OFFSET(A$1,,,SUMPRODUCT(MAX(ROW(E$2:E1085)*(E1085=E$2:E1085)))))-COUNTBLANK(OFFSET(A$1,,,SUMPRODUCT(MAX(ROW(E$1:E1084)*(E2=E$1:E1084))))))</f>
        <v> </v>
      </c>
      <c r="K1085" s="25" t="str">
        <f>IF(OR(E1085="",E1085="!!!",F1085="NEW"),"",INDEX(J$1:J1084,SUMPRODUCT(MAX(ROW(E$1:E1084)*(E1085=E$1:E1084)))))</f>
        <v> </v>
      </c>
      <c r="L1085" s="26"/>
    </row>
    <row r="1086" spans="1:12">
      <c r="A1086" s="20" t="s">
        <v>323</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t="s">
        <v>83</v>
      </c>
      <c r="E1087" s="21">
        <f>IF(D1087="?OLD","!!!","")</f>
        <v/>
      </c>
      <c r="F1087" s="22" t="str">
        <f>IF(OR(E1087="",E1087="!!!"),"",IF(NOT(ISNA(VLOOKUP(E1087,E$1:E1086,1,FALSE()))),"OLD",IF(AND(E1087&lt;&gt;"",E1087&lt;&gt;"!!!"),"NEW","")))</f>
        <v> </v>
      </c>
      <c r="G1087" s="23" t="str">
        <f>IF(OR(E1087="",E1087="!!!"),"",IF(OR(J1087=0,AND(J1087=1,K1087=1),AND(J1087=1,I1087="SBJ"),AND(J1087=1,I1087=0)),"?IN_FOCUS",IF(J1087&lt;=2,"?ACTIVATED",IF(J1087&lt;&gt;"","?FAMILIAR",IF(F1087="NEW",IF(ISNA(VLOOKUP(E1087,#REF!,1,FALSE())),"?TYPE_IDENTIFIABLE","?REFERENTIAL"),"_")))))</f>
        <v> </v>
      </c>
      <c r="H1087" s="24" t="str">
        <f>IF(J1087&lt;&gt;1,"",IF(I1087="SBJ","CB","?"))</f>
        <v> </v>
      </c>
      <c r="I1087" s="25" t="str">
        <f>IF(OR(E1087="",E1087="!!!",F1087="NEW"),"",INDEX(B1086:B$2,-1+SUMPRODUCT(MAX(ROW(E1086:E$2)*(E1087=E1086:E$2)))))</f>
        <v> </v>
      </c>
      <c r="J1087" s="25" t="str">
        <f>IF(OR(E1087="",E1087="!!!",F1087="NEW"),"",COUNTBLANK(OFFSET(A$1,,,SUMPRODUCT(MAX(ROW(E$2:E1087)*(E1087=E$2:E1087)))))-COUNTBLANK(OFFSET(A$1,,,SUMPRODUCT(MAX(ROW(E$1:E1086)*(E2=E$1:E1086))))))</f>
        <v> </v>
      </c>
      <c r="K1087" s="25" t="str">
        <f>IF(OR(E1087="",E1087="!!!",F1087="NEW"),"",INDEX(J$1:J1086,SUMPRODUCT(MAX(ROW(E$1:E1086)*(E1087=E$1:E1086)))))</f>
        <v> </v>
      </c>
      <c r="L1087" s="26"/>
    </row>
    <row r="1088" spans="1:12">
      <c r="A1088" s="20" t="s">
        <v>592</v>
      </c>
      <c r="B1088" s="27" t="s">
        <v>233</v>
      </c>
      <c r="C1088" s="27" t="s">
        <v>593</v>
      </c>
      <c r="D1088" s="27" t="s">
        <v>215</v>
      </c>
      <c r="E1088" s="21">
        <f>IF(D1088="?OLD","!!!","")</f>
        <v/>
      </c>
      <c r="F1088" s="22" t="str">
        <f>IF(OR(E1088="",E1088="!!!"),"",IF(NOT(ISNA(VLOOKUP(E1088,E$1:E1087,1,FALSE()))),"OLD",IF(AND(E1088&lt;&gt;"",E1088&lt;&gt;"!!!"),"NEW","")))</f>
        <v> </v>
      </c>
      <c r="G1088" s="23" t="str">
        <f>IF(OR(E1088="",E1088="!!!"),"",IF(OR(J1088=0,AND(J1088=1,K1088=1),AND(J1088=1,I1088="SBJ"),AND(J1088=1,I1088=0)),"?IN_FOCUS",IF(J1088&lt;=2,"?ACTIVATED",IF(J1088&lt;&gt;"","?FAMILIAR",IF(F1088="NEW",IF(ISNA(VLOOKUP(E1088,#REF!,1,FALSE())),"?TYPE_IDENTIFIABLE","?REFERENTIAL"),"_")))))</f>
        <v> </v>
      </c>
      <c r="H1088" s="24" t="str">
        <f>IF(J1088&lt;&gt;1,"",IF(I1088="SBJ","CB","?"))</f>
        <v> </v>
      </c>
      <c r="I1088" s="25" t="str">
        <f>IF(OR(E1088="",E1088="!!!",F1088="NEW"),"",INDEX(B1087:B$2,-1+SUMPRODUCT(MAX(ROW(E1087:E$2)*(E1088=E1087:E$2)))))</f>
        <v> </v>
      </c>
      <c r="J1088" s="25" t="str">
        <f>IF(OR(E1088="",E1088="!!!",F1088="NEW"),"",COUNTBLANK(OFFSET(A$1,,,SUMPRODUCT(MAX(ROW(E$2:E1088)*(E1088=E$2:E1088)))))-COUNTBLANK(OFFSET(A$1,,,SUMPRODUCT(MAX(ROW(E$1:E1087)*(E2=E$1:E1087))))))</f>
        <v> </v>
      </c>
      <c r="K1088" s="25" t="str">
        <f>IF(OR(E1088="",E1088="!!!",F1088="NEW"),"",INDEX(J$1:J1087,SUMPRODUCT(MAX(ROW(E$1:E1087)*(E1088=E$1:E1087)))))</f>
        <v> </v>
      </c>
      <c r="L1088" s="26"/>
    </row>
    <row r="1089" spans="1:12">
      <c r="A1089" s="20" t="s">
        <v>249</v>
      </c>
      <c r="B1089" s="27" t="s">
        <v>255</v>
      </c>
      <c r="E1089" s="21">
        <f>IF(D1089="?OLD","!!!","")</f>
        <v/>
      </c>
      <c r="F1089" s="22" t="str">
        <f>IF(OR(E1089="",E1089="!!!"),"",IF(NOT(ISNA(VLOOKUP(E1089,E$1:E1088,1,FALSE()))),"OLD",IF(AND(E1089&lt;&gt;"",E1089&lt;&gt;"!!!"),"NEW","")))</f>
        <v> </v>
      </c>
      <c r="G1089" s="23" t="str">
        <f>IF(OR(E1089="",E1089="!!!"),"",IF(OR(J1089=0,AND(J1089=1,K1089=1),AND(J1089=1,I1089="SBJ"),AND(J1089=1,I1089=0)),"?IN_FOCUS",IF(J1089&lt;=2,"?ACTIVATED",IF(J1089&lt;&gt;"","?FAMILIAR",IF(F1089="NEW",IF(ISNA(VLOOKUP(E1089,#REF!,1,FALSE())),"?TYPE_IDENTIFIABLE","?REFERENTIAL"),"_")))))</f>
        <v> </v>
      </c>
      <c r="H1089" s="24" t="str">
        <f>IF(J1089&lt;&gt;1,"",IF(I1089="SBJ","CB","?"))</f>
        <v> </v>
      </c>
      <c r="I1089" s="25" t="str">
        <f>IF(OR(E1089="",E1089="!!!",F1089="NEW"),"",INDEX(B1088:B$2,-1+SUMPRODUCT(MAX(ROW(E1088:E$2)*(E1089=E1088:E$2)))))</f>
        <v> </v>
      </c>
      <c r="J1089" s="25" t="str">
        <f>IF(OR(E1089="",E1089="!!!",F1089="NEW"),"",COUNTBLANK(OFFSET(A$1,,,SUMPRODUCT(MAX(ROW(E$2:E1089)*(E1089=E$2:E1089)))))-COUNTBLANK(OFFSET(A$1,,,SUMPRODUCT(MAX(ROW(E$1:E1088)*(E2=E$1:E1088))))))</f>
        <v> </v>
      </c>
      <c r="K1089" s="25" t="str">
        <f>IF(OR(E1089="",E1089="!!!",F1089="NEW"),"",INDEX(J$1:J1088,SUMPRODUCT(MAX(ROW(E$1:E1088)*(E1089=E$1:E1088)))))</f>
        <v> </v>
      </c>
      <c r="L1089" s="26"/>
    </row>
    <row r="1090" spans="1:12">
      <c r="A1090" s="20" t="s">
        <v>257</v>
      </c>
      <c r="B1090" s="27" t="s">
        <v>250</v>
      </c>
      <c r="C1090" s="27" t="s">
        <v>230</v>
      </c>
      <c r="D1090" s="27" t="s">
        <v>215</v>
      </c>
      <c r="E1090" s="21">
        <f>IF(D1090="?OLD","!!!","")</f>
        <v/>
      </c>
      <c r="F1090" s="22" t="str">
        <f>IF(OR(E1090="",E1090="!!!"),"",IF(NOT(ISNA(VLOOKUP(E1090,E$1:E1089,1,FALSE()))),"OLD",IF(AND(E1090&lt;&gt;"",E1090&lt;&gt;"!!!"),"NEW","")))</f>
        <v> </v>
      </c>
      <c r="G1090" s="23" t="str">
        <f>IF(OR(E1090="",E1090="!!!"),"",IF(OR(J1090=0,AND(J1090=1,K1090=1),AND(J1090=1,I1090="SBJ"),AND(J1090=1,I1090=0)),"?IN_FOCUS",IF(J1090&lt;=2,"?ACTIVATED",IF(J1090&lt;&gt;"","?FAMILIAR",IF(F1090="NEW",IF(ISNA(VLOOKUP(E1090,#REF!,1,FALSE())),"?TYPE_IDENTIFIABLE","?REFERENTIAL"),"_")))))</f>
        <v> </v>
      </c>
      <c r="H1090" s="24" t="str">
        <f>IF(J1090&lt;&gt;1,"",IF(I1090="SBJ","CB","?"))</f>
        <v> </v>
      </c>
      <c r="I1090" s="25" t="str">
        <f>IF(OR(E1090="",E1090="!!!",F1090="NEW"),"",INDEX(B1089:B$2,-1+SUMPRODUCT(MAX(ROW(E1089:E$2)*(E1090=E1089:E$2)))))</f>
        <v> </v>
      </c>
      <c r="J1090" s="25" t="str">
        <f>IF(OR(E1090="",E1090="!!!",F1090="NEW"),"",COUNTBLANK(OFFSET(A$1,,,SUMPRODUCT(MAX(ROW(E$2:E1090)*(E1090=E$2:E1090)))))-COUNTBLANK(OFFSET(A$1,,,SUMPRODUCT(MAX(ROW(E$1:E1089)*(E2=E$1:E1089))))))</f>
        <v> </v>
      </c>
      <c r="K1090" s="25" t="str">
        <f>IF(OR(E1090="",E1090="!!!",F1090="NEW"),"",INDEX(J$1:J1089,SUMPRODUCT(MAX(ROW(E$1:E1089)*(E1090=E$1:E1089)))))</f>
        <v> </v>
      </c>
      <c r="L1090" s="26"/>
    </row>
    <row r="1091" spans="1:12">
      <c r="A1091" s="20" t="s">
        <v>641</v>
      </c>
      <c r="E1091" s="21">
        <f>IF(D1091="?OLD","!!!","")</f>
        <v/>
      </c>
      <c r="F1091" s="22" t="str">
        <f>IF(OR(E1091="",E1091="!!!"),"",IF(NOT(ISNA(VLOOKUP(E1091,E$1:E1090,1,FALSE()))),"OLD",IF(AND(E1091&lt;&gt;"",E1091&lt;&gt;"!!!"),"NEW","")))</f>
        <v> </v>
      </c>
      <c r="G1091" s="23" t="str">
        <f>IF(OR(E1091="",E1091="!!!"),"",IF(OR(J1091=0,AND(J1091=1,K1091=1),AND(J1091=1,I1091="SBJ"),AND(J1091=1,I1091=0)),"?IN_FOCUS",IF(J1091&lt;=2,"?ACTIVATED",IF(J1091&lt;&gt;"","?FAMILIAR",IF(F1091="NEW",IF(ISNA(VLOOKUP(E1091,#REF!,1,FALSE())),"?TYPE_IDENTIFIABLE","?REFERENTIAL"),"_")))))</f>
        <v> </v>
      </c>
      <c r="H1091" s="24" t="str">
        <f>IF(J1091&lt;&gt;1,"",IF(I1091="SBJ","CB","?"))</f>
        <v> </v>
      </c>
      <c r="I1091" s="25" t="str">
        <f>IF(OR(E1091="",E1091="!!!",F1091="NEW"),"",INDEX(B1090:B$2,-1+SUMPRODUCT(MAX(ROW(E1090:E$2)*(E1091=E1090:E$2)))))</f>
        <v> </v>
      </c>
      <c r="J1091" s="25" t="str">
        <f>IF(OR(E1091="",E1091="!!!",F1091="NEW"),"",COUNTBLANK(OFFSET(A$1,,,SUMPRODUCT(MAX(ROW(E$2:E1091)*(E1091=E$2:E1091)))))-COUNTBLANK(OFFSET(A$1,,,SUMPRODUCT(MAX(ROW(E$1:E1090)*(E2=E$1:E1090))))))</f>
        <v> </v>
      </c>
      <c r="K1091" s="25" t="str">
        <f>IF(OR(E1091="",E1091="!!!",F1091="NEW"),"",INDEX(J$1:J1090,SUMPRODUCT(MAX(ROW(E$1:E1090)*(E1091=E$1:E1090)))))</f>
        <v> </v>
      </c>
      <c r="L1091" s="26"/>
    </row>
    <row r="1092" spans="1:12">
      <c r="A1092" s="20" t="s">
        <v>642</v>
      </c>
      <c r="B1092" s="27" t="s">
        <v>255</v>
      </c>
      <c r="C1092" s="27" t="s">
        <v>226</v>
      </c>
      <c r="E1092" s="21">
        <f>IF(D1092="?OLD","!!!","")</f>
        <v/>
      </c>
      <c r="F1092" s="22" t="str">
        <f>IF(OR(E1092="",E1092="!!!"),"",IF(NOT(ISNA(VLOOKUP(E1092,E$1:E1091,1,FALSE()))),"OLD",IF(AND(E1092&lt;&gt;"",E1092&lt;&gt;"!!!"),"NEW","")))</f>
        <v> </v>
      </c>
      <c r="G1092" s="23" t="str">
        <f>IF(OR(E1092="",E1092="!!!"),"",IF(OR(J1092=0,AND(J1092=1,K1092=1),AND(J1092=1,I1092="SBJ"),AND(J1092=1,I1092=0)),"?IN_FOCUS",IF(J1092&lt;=2,"?ACTIVATED",IF(J1092&lt;&gt;"","?FAMILIAR",IF(F1092="NEW",IF(ISNA(VLOOKUP(E1092,#REF!,1,FALSE())),"?TYPE_IDENTIFIABLE","?REFERENTIAL"),"_")))))</f>
        <v> </v>
      </c>
      <c r="H1092" s="24" t="str">
        <f>IF(J1092&lt;&gt;1,"",IF(I1092="SBJ","CB","?"))</f>
        <v> </v>
      </c>
      <c r="I1092" s="25" t="str">
        <f>IF(OR(E1092="",E1092="!!!",F1092="NEW"),"",INDEX(B1091:B$2,-1+SUMPRODUCT(MAX(ROW(E1091:E$2)*(E1092=E1091:E$2)))))</f>
        <v> </v>
      </c>
      <c r="J1092" s="25" t="str">
        <f>IF(OR(E1092="",E1092="!!!",F1092="NEW"),"",COUNTBLANK(OFFSET(A$1,,,SUMPRODUCT(MAX(ROW(E$2:E1092)*(E1092=E$2:E1092)))))-COUNTBLANK(OFFSET(A$1,,,SUMPRODUCT(MAX(ROW(E$1:E1091)*(E2=E$1:E1091))))))</f>
        <v> </v>
      </c>
      <c r="K1092" s="25" t="str">
        <f>IF(OR(E1092="",E1092="!!!",F1092="NEW"),"",INDEX(J$1:J1091,SUMPRODUCT(MAX(ROW(E$1:E1091)*(E1092=E$1:E1091)))))</f>
        <v> </v>
      </c>
      <c r="L1092" s="26"/>
    </row>
    <row r="1093" spans="1:12">
      <c r="A1093" s="20" t="s">
        <v>401</v>
      </c>
      <c r="E1093" s="21">
        <f>IF(D1093="?OLD","!!!","")</f>
        <v/>
      </c>
      <c r="F1093" s="22" t="str">
        <f>IF(OR(E1093="",E1093="!!!"),"",IF(NOT(ISNA(VLOOKUP(E1093,E$1:E1092,1,FALSE()))),"OLD",IF(AND(E1093&lt;&gt;"",E1093&lt;&gt;"!!!"),"NEW","")))</f>
        <v> </v>
      </c>
      <c r="G1093" s="23" t="str">
        <f>IF(OR(E1093="",E1093="!!!"),"",IF(OR(J1093=0,AND(J1093=1,K1093=1),AND(J1093=1,I1093="SBJ"),AND(J1093=1,I1093=0)),"?IN_FOCUS",IF(J1093&lt;=2,"?ACTIVATED",IF(J1093&lt;&gt;"","?FAMILIAR",IF(F1093="NEW",IF(ISNA(VLOOKUP(E1093,#REF!,1,FALSE())),"?TYPE_IDENTIFIABLE","?REFERENTIAL"),"_")))))</f>
        <v> </v>
      </c>
      <c r="H1093" s="24" t="str">
        <f>IF(J1093&lt;&gt;1,"",IF(I1093="SBJ","CB","?"))</f>
        <v> </v>
      </c>
      <c r="I1093" s="25" t="str">
        <f>IF(OR(E1093="",E1093="!!!",F1093="NEW"),"",INDEX(B1092:B$2,-1+SUMPRODUCT(MAX(ROW(E1092:E$2)*(E1093=E1092:E$2)))))</f>
        <v> </v>
      </c>
      <c r="J1093" s="25" t="str">
        <f>IF(OR(E1093="",E1093="!!!",F1093="NEW"),"",COUNTBLANK(OFFSET(A$1,,,SUMPRODUCT(MAX(ROW(E$2:E1093)*(E1093=E$2:E1093)))))-COUNTBLANK(OFFSET(A$1,,,SUMPRODUCT(MAX(ROW(E$1:E1092)*(E2=E$1:E1092))))))</f>
        <v> </v>
      </c>
      <c r="K1093" s="25" t="str">
        <f>IF(OR(E1093="",E1093="!!!",F1093="NEW"),"",INDEX(J$1:J1092,SUMPRODUCT(MAX(ROW(E$1:E1092)*(E1093=E$1:E1092)))))</f>
        <v> </v>
      </c>
      <c r="L1093" s="26"/>
    </row>
    <row r="1094" spans="1:12">
      <c r="A1094" s="20" t="s">
        <v>643</v>
      </c>
      <c r="B1094" s="27" t="s">
        <v>269</v>
      </c>
      <c r="C1094" s="27" t="s">
        <v>226</v>
      </c>
      <c r="E1094" s="21">
        <f>IF(D1094="?OLD","!!!","")</f>
        <v/>
      </c>
      <c r="F1094" s="22" t="str">
        <f>IF(OR(E1094="",E1094="!!!"),"",IF(NOT(ISNA(VLOOKUP(E1094,E$1:E1093,1,FALSE()))),"OLD",IF(AND(E1094&lt;&gt;"",E1094&lt;&gt;"!!!"),"NEW","")))</f>
        <v> </v>
      </c>
      <c r="G1094" s="23" t="str">
        <f>IF(OR(E1094="",E1094="!!!"),"",IF(OR(J1094=0,AND(J1094=1,K1094=1),AND(J1094=1,I1094="SBJ"),AND(J1094=1,I1094=0)),"?IN_FOCUS",IF(J1094&lt;=2,"?ACTIVATED",IF(J1094&lt;&gt;"","?FAMILIAR",IF(F1094="NEW",IF(ISNA(VLOOKUP(E1094,#REF!,1,FALSE())),"?TYPE_IDENTIFIABLE","?REFERENTIAL"),"_")))))</f>
        <v> </v>
      </c>
      <c r="H1094" s="24" t="str">
        <f>IF(J1094&lt;&gt;1,"",IF(I1094="SBJ","CB","?"))</f>
        <v> </v>
      </c>
      <c r="I1094" s="25" t="str">
        <f>IF(OR(E1094="",E1094="!!!",F1094="NEW"),"",INDEX(B1093:B$2,-1+SUMPRODUCT(MAX(ROW(E1093:E$2)*(E1094=E1093:E$2)))))</f>
        <v> </v>
      </c>
      <c r="J1094" s="25" t="str">
        <f>IF(OR(E1094="",E1094="!!!",F1094="NEW"),"",COUNTBLANK(OFFSET(A$1,,,SUMPRODUCT(MAX(ROW(E$2:E1094)*(E1094=E$2:E1094)))))-COUNTBLANK(OFFSET(A$1,,,SUMPRODUCT(MAX(ROW(E$1:E1093)*(E2=E$1:E1093))))))</f>
        <v> </v>
      </c>
      <c r="K1094" s="25" t="str">
        <f>IF(OR(E1094="",E1094="!!!",F1094="NEW"),"",INDEX(J$1:J1093,SUMPRODUCT(MAX(ROW(E$1:E1093)*(E1094=E$1:E1093)))))</f>
        <v> </v>
      </c>
      <c r="L1094" s="26"/>
    </row>
    <row r="1095" spans="1:12">
      <c r="A1095" s="20" t="s">
        <v>234</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row>
    <row r="1097" spans="1:12">
      <c r="A1097" s="20" t="s">
        <v>644</v>
      </c>
    </row>
    <row r="1098" spans="1:12">
      <c r="A1098" s="20" t="s">
        <v>495</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t="s">
        <v>207</v>
      </c>
      <c r="E1099" s="21">
        <f>IF(D1099="?OLD","!!!","")</f>
        <v/>
      </c>
      <c r="F1099" s="22" t="str">
        <f>IF(OR(E1099="",E1099="!!!"),"",IF(NOT(ISNA(VLOOKUP(E1099,E$1:E1098,1,FALSE()))),"OLD",IF(AND(E1099&lt;&gt;"",E1099&lt;&gt;"!!!"),"NEW","")))</f>
        <v> </v>
      </c>
      <c r="G1099" s="23" t="str">
        <f>IF(OR(E1099="",E1099="!!!"),"",IF(OR(J1099=0,AND(J1099=1,K1099=1),AND(J1099=1,I1099="SBJ"),AND(J1099=1,I1099=0)),"?IN_FOCUS",IF(J1099&lt;=2,"?ACTIVATED",IF(J1099&lt;&gt;"","?FAMILIAR",IF(F1099="NEW",IF(ISNA(VLOOKUP(E1099,#REF!,1,FALSE())),"?TYPE_IDENTIFIABLE","?REFERENTIAL"),"_")))))</f>
        <v> </v>
      </c>
      <c r="H1099" s="24" t="str">
        <f>IF(J1099&lt;&gt;1,"",IF(I1099="SBJ","CB","?"))</f>
        <v> </v>
      </c>
      <c r="I1099" s="25" t="str">
        <f>IF(OR(E1099="",E1099="!!!",F1099="NEW"),"",INDEX(B1098:B$2,-1+SUMPRODUCT(MAX(ROW(E1098:E$2)*(E1099=E1098:E$2)))))</f>
        <v> </v>
      </c>
      <c r="J1099" s="25" t="str">
        <f>IF(OR(E1099="",E1099="!!!",F1099="NEW"),"",COUNTBLANK(OFFSET(A$1,,,SUMPRODUCT(MAX(ROW(E$2:E1099)*(E1099=E$2:E1099)))))-COUNTBLANK(OFFSET(A$1,,,SUMPRODUCT(MAX(ROW(E$1:E1098)*(E2=E$1:E1098))))))</f>
        <v> </v>
      </c>
      <c r="K1099" s="25" t="str">
        <f>IF(OR(E1099="",E1099="!!!",F1099="NEW"),"",INDEX(J$1:J1098,SUMPRODUCT(MAX(ROW(E$1:E1098)*(E1099=E$1:E1098)))))</f>
        <v> </v>
      </c>
      <c r="L1099" s="26"/>
    </row>
    <row r="1100" spans="1:12">
      <c r="A1100" s="20" t="s">
        <v>645</v>
      </c>
      <c r="E1100" s="21">
        <f>IF(D1100="?OLD","!!!","")</f>
        <v/>
      </c>
      <c r="F1100" s="22" t="str">
        <f>IF(OR(E1100="",E1100="!!!"),"",IF(NOT(ISNA(VLOOKUP(E1100,E$1:E1099,1,FALSE()))),"OLD",IF(AND(E1100&lt;&gt;"",E1100&lt;&gt;"!!!"),"NEW","")))</f>
        <v> </v>
      </c>
      <c r="G1100" s="23" t="str">
        <f>IF(OR(E1100="",E1100="!!!"),"",IF(OR(J1100=0,AND(J1100=1,K1100=1),AND(J1100=1,I1100="SBJ"),AND(J1100=1,I1100=0)),"?IN_FOCUS",IF(J1100&lt;=2,"?ACTIVATED",IF(J1100&lt;&gt;"","?FAMILIAR",IF(F1100="NEW",IF(ISNA(VLOOKUP(E1100,#REF!,1,FALSE())),"?TYPE_IDENTIFIABLE","?REFERENTIAL"),"_")))))</f>
        <v> </v>
      </c>
      <c r="H1100" s="24" t="str">
        <f>IF(J1100&lt;&gt;1,"",IF(I1100="SBJ","CB","?"))</f>
        <v> </v>
      </c>
      <c r="I1100" s="25" t="str">
        <f>IF(OR(E1100="",E1100="!!!",F1100="NEW"),"",INDEX(B1099:B$2,-1+SUMPRODUCT(MAX(ROW(E1099:E$2)*(E1100=E1099:E$2)))))</f>
        <v> </v>
      </c>
      <c r="J1100" s="25" t="str">
        <f>IF(OR(E1100="",E1100="!!!",F1100="NEW"),"",COUNTBLANK(OFFSET(A$1,,,SUMPRODUCT(MAX(ROW(E$2:E1100)*(E1100=E$2:E1100)))))-COUNTBLANK(OFFSET(A$1,,,SUMPRODUCT(MAX(ROW(E$1:E1099)*(E2=E$1:E1099))))))</f>
        <v> </v>
      </c>
      <c r="K1100" s="25" t="str">
        <f>IF(OR(E1100="",E1100="!!!",F1100="NEW"),"",INDEX(J$1:J1099,SUMPRODUCT(MAX(ROW(E$1:E1099)*(E1100=E$1:E1099)))))</f>
        <v> </v>
      </c>
      <c r="L1100" s="26"/>
    </row>
    <row r="1101" spans="1:12">
      <c r="A1101" s="20" t="s">
        <v>184</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t="s">
        <v>407</v>
      </c>
      <c r="B1102" s="27" t="s">
        <v>261</v>
      </c>
      <c r="C1102" s="27" t="s">
        <v>230</v>
      </c>
      <c r="D1102" s="27" t="s">
        <v>215</v>
      </c>
      <c r="E1102" s="21">
        <f>IF(D1102="?OLD","!!!","")</f>
        <v/>
      </c>
      <c r="F1102" s="22" t="str">
        <f>IF(OR(E1102="",E1102="!!!"),"",IF(NOT(ISNA(VLOOKUP(E1102,E$1:E1101,1,FALSE()))),"OLD",IF(AND(E1102&lt;&gt;"",E1102&lt;&gt;"!!!"),"NEW","")))</f>
        <v> </v>
      </c>
      <c r="G1102" s="23" t="str">
        <f>IF(OR(E1102="",E1102="!!!"),"",IF(OR(J1102=0,AND(J1102=1,K1102=1),AND(J1102=1,I1102="SBJ"),AND(J1102=1,I1102=0)),"?IN_FOCUS",IF(J1102&lt;=2,"?ACTIVATED",IF(J1102&lt;&gt;"","?FAMILIAR",IF(F1102="NEW",IF(ISNA(VLOOKUP(E1102,#REF!,1,FALSE())),"?TYPE_IDENTIFIABLE","?REFERENTIAL"),"_")))))</f>
        <v> </v>
      </c>
      <c r="H1102" s="24" t="str">
        <f>IF(J1102&lt;&gt;1,"",IF(I1102="SBJ","CB","?"))</f>
        <v> </v>
      </c>
      <c r="I1102" s="25" t="str">
        <f>IF(OR(E1102="",E1102="!!!",F1102="NEW"),"",INDEX(B1101:B$2,-1+SUMPRODUCT(MAX(ROW(E1101:E$2)*(E1102=E1101:E$2)))))</f>
        <v> </v>
      </c>
      <c r="J1102" s="25" t="str">
        <f>IF(OR(E1102="",E1102="!!!",F1102="NEW"),"",COUNTBLANK(OFFSET(A$1,,,SUMPRODUCT(MAX(ROW(E$2:E1102)*(E1102=E$2:E1102)))))-COUNTBLANK(OFFSET(A$1,,,SUMPRODUCT(MAX(ROW(E$1:E1101)*(E2=E$1:E1101))))))</f>
        <v> </v>
      </c>
      <c r="K1102" s="25" t="str">
        <f>IF(OR(E1102="",E1102="!!!",F1102="NEW"),"",INDEX(J$1:J1101,SUMPRODUCT(MAX(ROW(E$1:E1101)*(E1102=E$1:E1101)))))</f>
        <v> </v>
      </c>
      <c r="L1102" s="26"/>
    </row>
    <row r="1103" spans="1:12">
      <c r="A1103" s="20" t="s">
        <v>234</v>
      </c>
      <c r="E1103" s="21">
        <f>IF(D1103="?OLD","!!!","")</f>
        <v/>
      </c>
      <c r="F1103" s="22" t="str">
        <f>IF(OR(E1103="",E1103="!!!"),"",IF(NOT(ISNA(VLOOKUP(E1103,E$1:E1102,1,FALSE()))),"OLD",IF(AND(E1103&lt;&gt;"",E1103&lt;&gt;"!!!"),"NEW","")))</f>
        <v> </v>
      </c>
      <c r="G1103" s="23" t="str">
        <f>IF(OR(E1103="",E1103="!!!"),"",IF(OR(J1103=0,AND(J1103=1,K1103=1),AND(J1103=1,I1103="SBJ"),AND(J1103=1,I1103=0)),"?IN_FOCUS",IF(J1103&lt;=2,"?ACTIVATED",IF(J1103&lt;&gt;"","?FAMILIAR",IF(F1103="NEW",IF(ISNA(VLOOKUP(E1103,#REF!,1,FALSE())),"?TYPE_IDENTIFIABLE","?REFERENTIAL"),"_")))))</f>
        <v> </v>
      </c>
      <c r="H1103" s="24" t="str">
        <f>IF(J1103&lt;&gt;1,"",IF(I1103="SBJ","CB","?"))</f>
        <v> </v>
      </c>
      <c r="I1103" s="25" t="str">
        <f>IF(OR(E1103="",E1103="!!!",F1103="NEW"),"",INDEX(B1102:B$2,-1+SUMPRODUCT(MAX(ROW(E1102:E$2)*(E1103=E1102:E$2)))))</f>
        <v> </v>
      </c>
      <c r="J1103" s="25" t="str">
        <f>IF(OR(E1103="",E1103="!!!",F1103="NEW"),"",COUNTBLANK(OFFSET(A$1,,,SUMPRODUCT(MAX(ROW(E$2:E1103)*(E1103=E$2:E1103)))))-COUNTBLANK(OFFSET(A$1,,,SUMPRODUCT(MAX(ROW(E$1:E1102)*(E2=E$1:E1102))))))</f>
        <v> </v>
      </c>
      <c r="K1103" s="25" t="str">
        <f>IF(OR(E1103="",E1103="!!!",F1103="NEW"),"",INDEX(J$1:J1102,SUMPRODUCT(MAX(ROW(E$1:E1102)*(E1103=E$1:E1102)))))</f>
        <v> </v>
      </c>
      <c r="L1103" s="26"/>
    </row>
    <row r="1104" spans="1:12">
      <c r="A1104" s="20"/>
    </row>
    <row r="1105" spans="1:12">
      <c r="A1105" s="20" t="s">
        <v>646</v>
      </c>
    </row>
    <row r="1106" spans="1:12">
      <c r="A1106" s="20" t="s">
        <v>491</v>
      </c>
      <c r="E1106" s="21">
        <f>IF(D1106="?OLD","!!!","")</f>
        <v/>
      </c>
      <c r="F1106" s="22" t="str">
        <f>IF(OR(E1106="",E1106="!!!"),"",IF(NOT(ISNA(VLOOKUP(E1106,E$1:E1105,1,FALSE()))),"OLD",IF(AND(E1106&lt;&gt;"",E1106&lt;&gt;"!!!"),"NEW","")))</f>
        <v> </v>
      </c>
      <c r="G1106" s="23" t="str">
        <f>IF(OR(E1106="",E1106="!!!"),"",IF(OR(J1106=0,AND(J1106=1,K1106=1),AND(J1106=1,I1106="SBJ"),AND(J1106=1,I1106=0)),"?IN_FOCUS",IF(J1106&lt;=2,"?ACTIVATED",IF(J1106&lt;&gt;"","?FAMILIAR",IF(F1106="NEW",IF(ISNA(VLOOKUP(E1106,#REF!,1,FALSE())),"?TYPE_IDENTIFIABLE","?REFERENTIAL"),"_")))))</f>
        <v> </v>
      </c>
      <c r="H1106" s="24" t="str">
        <f>IF(J1106&lt;&gt;1,"",IF(I1106="SBJ","CB","?"))</f>
        <v> </v>
      </c>
      <c r="I1106" s="25" t="str">
        <f>IF(OR(E1106="",E1106="!!!",F1106="NEW"),"",INDEX(B1105:B$2,-1+SUMPRODUCT(MAX(ROW(E1105:E$2)*(E1106=E1105:E$2)))))</f>
        <v> </v>
      </c>
      <c r="J1106" s="25" t="str">
        <f>IF(OR(E1106="",E1106="!!!",F1106="NEW"),"",COUNTBLANK(OFFSET(A$1,,,SUMPRODUCT(MAX(ROW(E$2:E1106)*(E1106=E$2:E1106)))))-COUNTBLANK(OFFSET(A$1,,,SUMPRODUCT(MAX(ROW(E$1:E1105)*(E2=E$1:E1105))))))</f>
        <v> </v>
      </c>
      <c r="K1106" s="25" t="str">
        <f>IF(OR(E1106="",E1106="!!!",F1106="NEW"),"",INDEX(J$1:J1105,SUMPRODUCT(MAX(ROW(E$1:E1105)*(E1106=E$1:E1105)))))</f>
        <v> </v>
      </c>
      <c r="L1106" s="26"/>
    </row>
    <row r="1107" spans="1:12">
      <c r="A1107" s="20" t="s">
        <v>565</v>
      </c>
      <c r="E1107" s="21">
        <f>IF(D1107="?OLD","!!!","")</f>
        <v/>
      </c>
      <c r="F1107" s="22" t="str">
        <f>IF(OR(E1107="",E1107="!!!"),"",IF(NOT(ISNA(VLOOKUP(E1107,E$1:E1106,1,FALSE()))),"OLD",IF(AND(E1107&lt;&gt;"",E1107&lt;&gt;"!!!"),"NEW","")))</f>
        <v> </v>
      </c>
      <c r="G1107" s="23" t="str">
        <f>IF(OR(E1107="",E1107="!!!"),"",IF(OR(J1107=0,AND(J1107=1,K1107=1),AND(J1107=1,I1107="SBJ"),AND(J1107=1,I1107=0)),"?IN_FOCUS",IF(J1107&lt;=2,"?ACTIVATED",IF(J1107&lt;&gt;"","?FAMILIAR",IF(F1107="NEW",IF(ISNA(VLOOKUP(E1107,#REF!,1,FALSE())),"?TYPE_IDENTIFIABLE","?REFERENTIAL"),"_")))))</f>
        <v> </v>
      </c>
      <c r="H1107" s="24" t="str">
        <f>IF(J1107&lt;&gt;1,"",IF(I1107="SBJ","CB","?"))</f>
        <v> </v>
      </c>
      <c r="I1107" s="25" t="str">
        <f>IF(OR(E1107="",E1107="!!!",F1107="NEW"),"",INDEX(B1106:B$2,-1+SUMPRODUCT(MAX(ROW(E1106:E$2)*(E1107=E1106:E$2)))))</f>
        <v> </v>
      </c>
      <c r="J1107" s="25" t="str">
        <f>IF(OR(E1107="",E1107="!!!",F1107="NEW"),"",COUNTBLANK(OFFSET(A$1,,,SUMPRODUCT(MAX(ROW(E$2:E1107)*(E1107=E$2:E1107)))))-COUNTBLANK(OFFSET(A$1,,,SUMPRODUCT(MAX(ROW(E$1:E1106)*(E2=E$1:E1106))))))</f>
        <v> </v>
      </c>
      <c r="K1107" s="25" t="str">
        <f>IF(OR(E1107="",E1107="!!!",F1107="NEW"),"",INDEX(J$1:J1106,SUMPRODUCT(MAX(ROW(E$1:E1106)*(E1107=E$1:E1106)))))</f>
        <v> </v>
      </c>
      <c r="L1107" s="26"/>
    </row>
    <row r="1108" spans="1:12">
      <c r="A1108" s="20" t="s">
        <v>493</v>
      </c>
      <c r="E1108" s="21">
        <f>IF(D1108="?OLD","!!!","")</f>
        <v/>
      </c>
      <c r="F1108" s="22" t="str">
        <f>IF(OR(E1108="",E1108="!!!"),"",IF(NOT(ISNA(VLOOKUP(E1108,E$1:E1107,1,FALSE()))),"OLD",IF(AND(E1108&lt;&gt;"",E1108&lt;&gt;"!!!"),"NEW","")))</f>
        <v> </v>
      </c>
      <c r="G1108" s="23" t="str">
        <f>IF(OR(E1108="",E1108="!!!"),"",IF(OR(J1108=0,AND(J1108=1,K1108=1),AND(J1108=1,I1108="SBJ"),AND(J1108=1,I1108=0)),"?IN_FOCUS",IF(J1108&lt;=2,"?ACTIVATED",IF(J1108&lt;&gt;"","?FAMILIAR",IF(F1108="NEW",IF(ISNA(VLOOKUP(E1108,#REF!,1,FALSE())),"?TYPE_IDENTIFIABLE","?REFERENTIAL"),"_")))))</f>
        <v> </v>
      </c>
      <c r="H1108" s="24" t="str">
        <f>IF(J1108&lt;&gt;1,"",IF(I1108="SBJ","CB","?"))</f>
        <v> </v>
      </c>
      <c r="I1108" s="25" t="str">
        <f>IF(OR(E1108="",E1108="!!!",F1108="NEW"),"",INDEX(B1107:B$2,-1+SUMPRODUCT(MAX(ROW(E1107:E$2)*(E1108=E1107:E$2)))))</f>
        <v> </v>
      </c>
      <c r="J1108" s="25" t="str">
        <f>IF(OR(E1108="",E1108="!!!",F1108="NEW"),"",COUNTBLANK(OFFSET(A$1,,,SUMPRODUCT(MAX(ROW(E$2:E1108)*(E1108=E$2:E1108)))))-COUNTBLANK(OFFSET(A$1,,,SUMPRODUCT(MAX(ROW(E$1:E1107)*(E2=E$1:E1107))))))</f>
        <v> </v>
      </c>
      <c r="K1108" s="25" t="str">
        <f>IF(OR(E1108="",E1108="!!!",F1108="NEW"),"",INDEX(J$1:J1107,SUMPRODUCT(MAX(ROW(E$1:E1107)*(E1108=E$1:E1107)))))</f>
        <v> </v>
      </c>
      <c r="L1108" s="26"/>
    </row>
    <row r="1109" spans="1:12">
      <c r="A1109"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2024-05-20T13:17:54Z</dcterms:created>
  <dcterms:modified xsi:type="dcterms:W3CDTF">2024-05-20T13:17:54Z</dcterms:modified>
</cp:coreProperties>
</file>