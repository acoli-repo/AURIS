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<sst xmlns="http://schemas.openxmlformats.org/spreadsheetml/2006/main" count="3078" uniqueCount="899">
  <si>
    <t>ID</t>
  </si>
  <si>
    <t>PRED_ID</t>
  </si>
  <si>
    <t>MARKER_AUTO</t>
  </si>
  <si>
    <t>PREDICATE</t>
  </si>
  <si>
    <t>TEXT</t>
  </si>
  <si>
    <t>SENTENCE</t>
  </si>
  <si>
    <t>MARKER</t>
  </si>
  <si>
    <t>TARGET</t>
  </si>
  <si>
    <t>RELATION</t>
  </si>
  <si>
    <t>COMMENT</t>
  </si>
  <si>
    <t>1</t>
  </si>
  <si>
    <t>10</t>
  </si>
  <si>
    <t>_</t>
  </si>
  <si>
    <t>introduce</t>
  </si>
  <si>
    <t>Several years ago here at TED , Peter Skillman introduced a design challenge called the marshmallow challenge .</t>
  </si>
  <si>
    <t>file://conllu/en/teddy-1429.conllu#s1_0</t>
  </si>
  <si>
    <t>2</t>
  </si>
  <si>
    <t>6</t>
  </si>
  <si>
    <t>and?</t>
  </si>
  <si>
    <t>simple</t>
  </si>
  <si>
    <t>And the idea 's pretty simple : Teams of four have to build the tallest free standing structure out of 20 sticks of spaghetti , one yard of tape , one yard of string and a marshmallow .</t>
  </si>
  <si>
    <t>file://conllu/en/teddy-1429.conllu#s2_0</t>
  </si>
  <si>
    <t>3</t>
  </si>
  <si>
    <t>have</t>
  </si>
  <si>
    <t>The marshmallow has to be on top .</t>
  </si>
  <si>
    <t>file://conllu/en/teddy-1429.conllu#s3_0</t>
  </si>
  <si>
    <t>4</t>
  </si>
  <si>
    <t>because?</t>
  </si>
  <si>
    <t>be (be hard)</t>
  </si>
  <si>
    <t>And , though it seems really simple , it 's actually pretty hard because it forces people to collaborate very quickly .</t>
  </si>
  <si>
    <t>file://conllu/en/teddy-1429.conllu#s4_0</t>
  </si>
  <si>
    <t>5</t>
  </si>
  <si>
    <t>think</t>
  </si>
  <si>
    <t>And so , I thought this was an interesting idea , and I incorporated it into a design workshop .</t>
  </si>
  <si>
    <t>file://conllu/en/teddy-1429.conllu#s5_0</t>
  </si>
  <si>
    <t>be (be success)</t>
  </si>
  <si>
    <t>And it was a huge success .</t>
  </si>
  <si>
    <t>file://conllu/en/teddy-1429.conllu#s6_0</t>
  </si>
  <si>
    <t>7</t>
  </si>
  <si>
    <t>since?</t>
  </si>
  <si>
    <t>conduct</t>
  </si>
  <si>
    <t>And since then , I 've conducted about 70 design workshops across the world with students and designers and architects , even the CTOs of the Fortune 50 , and there 's something about this exercise that reveals very deep lessons about the nature of collaboration , and I 'd like to share some of them with you .</t>
  </si>
  <si>
    <t>file://conllu/en/teddy-1429.conllu#s7_0</t>
  </si>
  <si>
    <t>8</t>
  </si>
  <si>
    <t>so?</t>
  </si>
  <si>
    <t>begin</t>
  </si>
  <si>
    <t>So , normally , most people begin by orienting themselves to the task .</t>
  </si>
  <si>
    <t>file://conllu/en/teddy-1429.conllu#s8_0</t>
  </si>
  <si>
    <t>9</t>
  </si>
  <si>
    <t>talk</t>
  </si>
  <si>
    <t>They talk about it , they figure out what it 's going to look like , they jockey for power .</t>
  </si>
  <si>
    <t>file://conllu/en/teddy-1429.conllu#s9_0</t>
  </si>
  <si>
    <t>then?</t>
  </si>
  <si>
    <t>spend</t>
  </si>
  <si>
    <t>Then they spend some time planning , organizing , they sketch and they lay out spaghetti .</t>
  </si>
  <si>
    <t>file://conllu/en/teddy-1429.conllu#s10_0</t>
  </si>
  <si>
    <t>11</t>
  </si>
  <si>
    <t>They spend the majority of their time assembling the sticks into ever growing structures .</t>
  </si>
  <si>
    <t>file://conllu/en/teddy-1429.conllu#s11_0</t>
  </si>
  <si>
    <t>12</t>
  </si>
  <si>
    <t>finally?</t>
  </si>
  <si>
    <t>run</t>
  </si>
  <si>
    <t>And then finally , just as they 're running out of time , someone takes out the marshmallow , and then they gingerly put it on top , and then they stand back , and ta da !</t>
  </si>
  <si>
    <t>file://conllu/en/teddy-1429.conllu#s12_0</t>
  </si>
  <si>
    <t>13</t>
  </si>
  <si>
    <t>admire</t>
  </si>
  <si>
    <t>they admire their work .</t>
  </si>
  <si>
    <t>file://conllu/en/teddy-1429.conllu#s13_0</t>
  </si>
  <si>
    <t>14</t>
  </si>
  <si>
    <t>but?</t>
  </si>
  <si>
    <t>happen</t>
  </si>
  <si>
    <t>But what really happens , most of the time , is that the &amp;quot; ta da &amp;quot; turns into an &amp;quot; uh oh , &amp;quot; because the weight of the marshmallow causes the entire structure to buckle and to collapse .</t>
  </si>
  <si>
    <t>file://conllu/en/teddy-1429.conllu#s14_0</t>
  </si>
  <si>
    <t>15</t>
  </si>
  <si>
    <t>be</t>
  </si>
  <si>
    <t>So there are a number of people who have a lot more &amp;quot; uh oh &amp;quot; moments than others , and among the worst are recent graduates of business school .</t>
  </si>
  <si>
    <t>file://conllu/en/teddy-1429.conllu#s15_0</t>
  </si>
  <si>
    <t>16</t>
  </si>
  <si>
    <t>laughter</t>
  </si>
  <si>
    <t>( Laughter )</t>
  </si>
  <si>
    <t>file://conllu/en/teddy-1429.conllu#s16_0</t>
  </si>
  <si>
    <t>17</t>
  </si>
  <si>
    <t>lie</t>
  </si>
  <si>
    <t>They lie , they cheat , they get distracted and they produce really lame structures .</t>
  </si>
  <si>
    <t>file://conllu/en/teddy-1429.conllu#s17_0</t>
  </si>
  <si>
    <t>18</t>
  </si>
  <si>
    <t>And of course there are teams that have a lot more &amp;quot; ta da &amp;quot; structures , and among the best are recent graduates of kindergarten .</t>
  </si>
  <si>
    <t>file://conllu/en/teddy-1429.conllu#s18_0</t>
  </si>
  <si>
    <t>19</t>
  </si>
  <si>
    <t>be (be amazing)</t>
  </si>
  <si>
    <t>And it 's pretty amazing .</t>
  </si>
  <si>
    <t>file://conllu/en/teddy-1429.conllu#s19_0</t>
  </si>
  <si>
    <t>20</t>
  </si>
  <si>
    <t>produce</t>
  </si>
  <si>
    <t>As Peter tells us , not only do they produce the tallest structures , but they 're the most interesting structures of them all .</t>
  </si>
  <si>
    <t>file://conllu/en/teddy-1429.conllu#s20_0</t>
  </si>
  <si>
    <t>21</t>
  </si>
  <si>
    <t>So the question you want to ask is :</t>
  </si>
  <si>
    <t>file://conllu/en/teddy-1429.conllu#s21_0</t>
  </si>
  <si>
    <t>22</t>
  </si>
  <si>
    <t>come</t>
  </si>
  <si>
    <t>How come ?</t>
  </si>
  <si>
    <t>file://conllu/en/teddy-1429.conllu#s22_0</t>
  </si>
  <si>
    <t>23</t>
  </si>
  <si>
    <t>why</t>
  </si>
  <si>
    <t>Why ?</t>
  </si>
  <si>
    <t>file://conllu/en/teddy-1429.conllu#s23_0</t>
  </si>
  <si>
    <t>24</t>
  </si>
  <si>
    <t>be (be it)</t>
  </si>
  <si>
    <t>What is it about them ?</t>
  </si>
  <si>
    <t>file://conllu/en/teddy-1429.conllu#s24_0</t>
  </si>
  <si>
    <t>25</t>
  </si>
  <si>
    <t>like</t>
  </si>
  <si>
    <t>And Peter likes to say that none of the kids spend any time trying to be CEO of Spaghetti , Inc .</t>
  </si>
  <si>
    <t>file://conllu/en/teddy-1429.conllu#s25_0</t>
  </si>
  <si>
    <t>26</t>
  </si>
  <si>
    <t>right</t>
  </si>
  <si>
    <t>Right ?</t>
  </si>
  <si>
    <t>file://conllu/en/teddy-1429.conllu#s26_0</t>
  </si>
  <si>
    <t>27</t>
  </si>
  <si>
    <t>They do n't spend time jockeying for power .</t>
  </si>
  <si>
    <t>file://conllu/en/teddy-1429.conllu#s27_0</t>
  </si>
  <si>
    <t>28</t>
  </si>
  <si>
    <t>But there 's another reason as well .</t>
  </si>
  <si>
    <t>file://conllu/en/teddy-1429.conllu#s28_0</t>
  </si>
  <si>
    <t>29</t>
  </si>
  <si>
    <t>And the reason is that business students are trained to find the single right plan , right ?</t>
  </si>
  <si>
    <t>file://conllu/en/teddy-1429.conllu#s29_0</t>
  </si>
  <si>
    <t>30</t>
  </si>
  <si>
    <t>execute</t>
  </si>
  <si>
    <t>And then they execute on it .</t>
  </si>
  <si>
    <t>file://conllu/en/teddy-1429.conllu#s30_0</t>
  </si>
  <si>
    <t>31</t>
  </si>
  <si>
    <t>when?</t>
  </si>
  <si>
    <t>be (be happen)</t>
  </si>
  <si>
    <t>And then what happens is , when they put the marshmallow on the top , they run out of time and what happens ?</t>
  </si>
  <si>
    <t>file://conllu/en/teddy-1429.conllu#s31_0</t>
  </si>
  <si>
    <t>32</t>
  </si>
  <si>
    <t>be (be crisis)</t>
  </si>
  <si>
    <t>It 's a crisis .</t>
  </si>
  <si>
    <t>file://conllu/en/teddy-1429.conllu#s32_0</t>
  </si>
  <si>
    <t>33</t>
  </si>
  <si>
    <t>sound</t>
  </si>
  <si>
    <t>Sound familiar ?</t>
  </si>
  <si>
    <t>file://conllu/en/teddy-1429.conllu#s33_0</t>
  </si>
  <si>
    <t>34</t>
  </si>
  <si>
    <t>Right .</t>
  </si>
  <si>
    <t>file://conllu/en/teddy-1429.conllu#s34_0</t>
  </si>
  <si>
    <t>35</t>
  </si>
  <si>
    <t>do</t>
  </si>
  <si>
    <t>What kindergarteners do differently is that they start with the marshmallow , and they build prototypes , successive prototypes , always keeping the marshmallow on top , so they have multiple times to fix when they build prototypes along the way .</t>
  </si>
  <si>
    <t>file://conllu/en/teddy-1429.conllu#s35_0</t>
  </si>
  <si>
    <t>36</t>
  </si>
  <si>
    <t>as?</t>
  </si>
  <si>
    <t>recognize</t>
  </si>
  <si>
    <t>Designers recognize this type of collaboration as the essence of the iterative process .</t>
  </si>
  <si>
    <t>file://conllu/en/teddy-1429.conllu#s36_0</t>
  </si>
  <si>
    <t>37</t>
  </si>
  <si>
    <t>get</t>
  </si>
  <si>
    <t>And with each version , kids get instant feedback about what works and what does n't work .</t>
  </si>
  <si>
    <t>file://conllu/en/teddy-1429.conllu#s37_0</t>
  </si>
  <si>
    <t>38</t>
  </si>
  <si>
    <t>be (be essential)</t>
  </si>
  <si>
    <t>So the capacity to play in prototype is really essential , but let 's look at how different teams perform .</t>
  </si>
  <si>
    <t>file://conllu/en/teddy-1429.conllu#s38_0</t>
  </si>
  <si>
    <t>39</t>
  </si>
  <si>
    <t>be (be inche)</t>
  </si>
  <si>
    <t>So the average for most people is around 20 inches ; business schools students , about half of that ; lawyers , a little better , but not much better than that , kindergarteners , better than most adults .</t>
  </si>
  <si>
    <t>file://conllu/en/teddy-1429.conllu#s39_0</t>
  </si>
  <si>
    <t>40</t>
  </si>
  <si>
    <t>best</t>
  </si>
  <si>
    <t>Who does the very best ?</t>
  </si>
  <si>
    <t>file://conllu/en/teddy-1429.conllu#s40_0</t>
  </si>
  <si>
    <t>41</t>
  </si>
  <si>
    <t>Architect</t>
  </si>
  <si>
    <t>Architects and engineers , thankfully .</t>
  </si>
  <si>
    <t>file://conllu/en/teddy-1429.conllu#s41_0</t>
  </si>
  <si>
    <t>42</t>
  </si>
  <si>
    <t>be (be structure)</t>
  </si>
  <si>
    <t>Thirty nine inches is the tallest structure I 've seen .</t>
  </si>
  <si>
    <t>file://conllu/en/teddy-1429.conllu#s42_0</t>
  </si>
  <si>
    <t>43</t>
  </si>
  <si>
    <t>And why is it ?</t>
  </si>
  <si>
    <t>file://conllu/en/teddy-1429.conllu#s43_0</t>
  </si>
  <si>
    <t>44</t>
  </si>
  <si>
    <t>understand</t>
  </si>
  <si>
    <t>Because they understand triangles and self reinforcing geometrical patterns are the key to building stable structures .</t>
  </si>
  <si>
    <t>file://conllu/en/teddy-1429.conllu#s44_0</t>
  </si>
  <si>
    <t>45</t>
  </si>
  <si>
    <t>CEOs</t>
  </si>
  <si>
    <t>So CEOs , a little bit better than average , but here 's where it gets interesting .</t>
  </si>
  <si>
    <t>file://conllu/en/teddy-1429.conllu#s45_0</t>
  </si>
  <si>
    <t>46</t>
  </si>
  <si>
    <t>if?</t>
  </si>
  <si>
    <t>put</t>
  </si>
  <si>
    <t>If you put you put an executive admin .</t>
  </si>
  <si>
    <t>file://conllu/en/teddy-1429.conllu#s46_0</t>
  </si>
  <si>
    <t>47</t>
  </si>
  <si>
    <t>on the team , they get significantly better .</t>
  </si>
  <si>
    <t>file://conllu/en/teddy-1429.conllu#s47_0</t>
  </si>
  <si>
    <t>48</t>
  </si>
  <si>
    <t>be (be incredible)</t>
  </si>
  <si>
    <t>It 's incredible .</t>
  </si>
  <si>
    <t>file://conllu/en/teddy-1429.conllu#s48_0</t>
  </si>
  <si>
    <t>49</t>
  </si>
  <si>
    <t>know</t>
  </si>
  <si>
    <t>You know , you look around , you go , &amp;quot; Oh , that team 's going to win . &amp;quot;</t>
  </si>
  <si>
    <t>file://conllu/en/teddy-1429.conllu#s49_0</t>
  </si>
  <si>
    <t>50</t>
  </si>
  <si>
    <t>tell</t>
  </si>
  <si>
    <t>You can just tell beforehand .</t>
  </si>
  <si>
    <t>file://conllu/en/teddy-1429.conllu#s50_0</t>
  </si>
  <si>
    <t>51</t>
  </si>
  <si>
    <t>be (be why)</t>
  </si>
  <si>
    <t>And why is that ?</t>
  </si>
  <si>
    <t>file://conllu/en/teddy-1429.conllu#s51_0</t>
  </si>
  <si>
    <t>52</t>
  </si>
  <si>
    <t>Because they have special skills of facilitation .</t>
  </si>
  <si>
    <t>file://conllu/en/teddy-1429.conllu#s52_0</t>
  </si>
  <si>
    <t>53</t>
  </si>
  <si>
    <t>manage</t>
  </si>
  <si>
    <t>They manage the process , they understand the process .</t>
  </si>
  <si>
    <t>file://conllu/en/teddy-1429.conllu#s53_0</t>
  </si>
  <si>
    <t>54</t>
  </si>
  <si>
    <t>improve</t>
  </si>
  <si>
    <t>And any team who manages and pays close attention to work will significantly improve the team 's performance .</t>
  </si>
  <si>
    <t>file://conllu/en/teddy-1429.conllu#s54_0</t>
  </si>
  <si>
    <t>55</t>
  </si>
  <si>
    <t>be (be combination)</t>
  </si>
  <si>
    <t>Specialized skills and facilitation skills are the combination that leads to strong success .</t>
  </si>
  <si>
    <t>file://conllu/en/teddy-1429.conllu#s55_0</t>
  </si>
  <si>
    <t>56</t>
  </si>
  <si>
    <t>If you have 10 teams that typically perform , you 'll get maybe six or so that have standing structures .</t>
  </si>
  <si>
    <t>file://conllu/en/teddy-1429.conllu#s56_0</t>
  </si>
  <si>
    <t>57</t>
  </si>
  <si>
    <t>try</t>
  </si>
  <si>
    <t>And I tried something interesting .</t>
  </si>
  <si>
    <t>file://conllu/en/teddy-1429.conllu#s57_0</t>
  </si>
  <si>
    <t>58</t>
  </si>
  <si>
    <t>once?</t>
  </si>
  <si>
    <t>I thought , let 's up the ante , once .</t>
  </si>
  <si>
    <t>file://conllu/en/teddy-1429.conllu#s58_0</t>
  </si>
  <si>
    <t>59</t>
  </si>
  <si>
    <t>offer</t>
  </si>
  <si>
    <t>So I offered a 10,000 dollar prize of software to the winning team .</t>
  </si>
  <si>
    <t>file://conllu/en/teddy-1429.conllu#s59_0</t>
  </si>
  <si>
    <t>60</t>
  </si>
  <si>
    <t>So what do you think happened to these design students ?</t>
  </si>
  <si>
    <t>file://conllu/en/teddy-1429.conllu#s60_0</t>
  </si>
  <si>
    <t>61</t>
  </si>
  <si>
    <t>be (be what)</t>
  </si>
  <si>
    <t>What was the result ?</t>
  </si>
  <si>
    <t>file://conllu/en/teddy-1429.conllu#s61_0</t>
  </si>
  <si>
    <t>62</t>
  </si>
  <si>
    <t>be (be here)</t>
  </si>
  <si>
    <t>Here 's what happened :</t>
  </si>
  <si>
    <t>file://conllu/en/teddy-1429.conllu#s62_0</t>
  </si>
  <si>
    <t>63</t>
  </si>
  <si>
    <t>Not one team had a standing structure .</t>
  </si>
  <si>
    <t>file://conllu/en/teddy-1429.conllu#s63_0</t>
  </si>
  <si>
    <t>64</t>
  </si>
  <si>
    <t>structure</t>
  </si>
  <si>
    <t>If anyone had built , say , a one inch structure , they would have taken home the prize .</t>
  </si>
  <si>
    <t>file://conllu/en/teddy-1429.conllu#s64_0</t>
  </si>
  <si>
    <t>65</t>
  </si>
  <si>
    <t>be (be interesting)</t>
  </si>
  <si>
    <t>So , is n't that interesting ?</t>
  </si>
  <si>
    <t>file://conllu/en/teddy-1429.conllu#s65_0</t>
  </si>
  <si>
    <t>66</t>
  </si>
  <si>
    <t>That high stakes have a strong impact .</t>
  </si>
  <si>
    <t>file://conllu/en/teddy-1429.conllu#s66_0</t>
  </si>
  <si>
    <t>67</t>
  </si>
  <si>
    <t>We did the exercise again with the same students .</t>
  </si>
  <si>
    <t>file://conllu/en/teddy-1429.conllu#s67_0</t>
  </si>
  <si>
    <t>68</t>
  </si>
  <si>
    <t>What do you think happened then ?</t>
  </si>
  <si>
    <t>file://conllu/en/teddy-1429.conllu#s68_0</t>
  </si>
  <si>
    <t>69</t>
  </si>
  <si>
    <t>So now they understand the value of prototyping .</t>
  </si>
  <si>
    <t>file://conllu/en/teddy-1429.conllu#s69_0</t>
  </si>
  <si>
    <t>70</t>
  </si>
  <si>
    <t>go</t>
  </si>
  <si>
    <t>So the same team went from being the very worst to being among the very best .</t>
  </si>
  <si>
    <t>file://conllu/en/teddy-1429.conllu#s70_0</t>
  </si>
  <si>
    <t>71</t>
  </si>
  <si>
    <t>They produced the tallest structures in the least amount of time .</t>
  </si>
  <si>
    <t>file://conllu/en/teddy-1429.conllu#s71_0</t>
  </si>
  <si>
    <t>72</t>
  </si>
  <si>
    <t>So there 's deep lessons for us about the nature of incentives and success .</t>
  </si>
  <si>
    <t>file://conllu/en/teddy-1429.conllu#s72_0</t>
  </si>
  <si>
    <t>73</t>
  </si>
  <si>
    <t>ask</t>
  </si>
  <si>
    <t>So , you might ask :</t>
  </si>
  <si>
    <t>file://conllu/en/teddy-1429.conllu#s73_0</t>
  </si>
  <si>
    <t>74</t>
  </si>
  <si>
    <t>Why would anyone actually spend time writing a marshmallow challenge ?</t>
  </si>
  <si>
    <t>file://conllu/en/teddy-1429.conllu#s74_0</t>
  </si>
  <si>
    <t>75</t>
  </si>
  <si>
    <t>And the reason is , I help create digital tools and processes to help teams build cars and video games and visual effects .</t>
  </si>
  <si>
    <t>file://conllu/en/teddy-1429.conllu#s75_0</t>
  </si>
  <si>
    <t>76</t>
  </si>
  <si>
    <t>be (be help)</t>
  </si>
  <si>
    <t>And what the marshmallow challenge does is it helps them identify the hidden assumptions .</t>
  </si>
  <si>
    <t>file://conllu/en/teddy-1429.conllu#s76_0</t>
  </si>
  <si>
    <t>77</t>
  </si>
  <si>
    <t>Because , frankly , every project has its own marshmallow , does n't it ?</t>
  </si>
  <si>
    <t>file://conllu/en/teddy-1429.conllu#s77_0</t>
  </si>
  <si>
    <t>78</t>
  </si>
  <si>
    <t>provide</t>
  </si>
  <si>
    <t>The challenge provides a shared experience , a common language , a common stance to build the right prototype .</t>
  </si>
  <si>
    <t>file://conllu/en/teddy-1429.conllu#s78_0</t>
  </si>
  <si>
    <t>79</t>
  </si>
  <si>
    <t>be (be value)</t>
  </si>
  <si>
    <t>And so , this is the value of the experience , of this so simple exercise .</t>
  </si>
  <si>
    <t>file://conllu/en/teddy-1429.conllu#s79_0</t>
  </si>
  <si>
    <t>80</t>
  </si>
  <si>
    <t>want</t>
  </si>
  <si>
    <t>And those of you who are interested may want to go to MarshmallowChallenge.com .</t>
  </si>
  <si>
    <t>file://conllu/en/teddy-1429.conllu#s80_0</t>
  </si>
  <si>
    <t>81</t>
  </si>
  <si>
    <t>be (be blog)</t>
  </si>
  <si>
    <t>It 's a blog that you can look at how to build the marshmallows .</t>
  </si>
  <si>
    <t>file://conllu/en/teddy-1429.conllu#s81_0</t>
  </si>
  <si>
    <t>82</t>
  </si>
  <si>
    <t>There 's step by step instructions on this .</t>
  </si>
  <si>
    <t>file://conllu/en/teddy-1429.conllu#s82_0</t>
  </si>
  <si>
    <t>83</t>
  </si>
  <si>
    <t>There are crazy examples from around the world of how people tweak and adjust the system .</t>
  </si>
  <si>
    <t>file://conllu/en/teddy-1429.conllu#s83_0</t>
  </si>
  <si>
    <t>84</t>
  </si>
  <si>
    <t>There 's world records that are on this as well .</t>
  </si>
  <si>
    <t>file://conllu/en/teddy-1429.conllu#s84_0</t>
  </si>
  <si>
    <t>85</t>
  </si>
  <si>
    <t>believe</t>
  </si>
  <si>
    <t>And the fundamental lesson , I believe , is that design truly is a contact sport .</t>
  </si>
  <si>
    <t>file://conllu/en/teddy-1429.conllu#s85_0</t>
  </si>
  <si>
    <t>86</t>
  </si>
  <si>
    <t>demand</t>
  </si>
  <si>
    <t>It demands that we bring all of our senses to the task , and that we apply the very best of our thinking , our feeling and our doing to the challenge that we have at hand .</t>
  </si>
  <si>
    <t>file://conllu/en/teddy-1429.conllu#s86_0</t>
  </si>
  <si>
    <t>87</t>
  </si>
  <si>
    <t>be (be all)</t>
  </si>
  <si>
    <t>And sometimes , a little prototype of this experience is all that it takes to turn us from an &amp;quot; uh oh &amp;quot; moment to a &amp;quot; ta da &amp;quot; moment .</t>
  </si>
  <si>
    <t>file://conllu/en/teddy-1429.conllu#s87_0</t>
  </si>
  <si>
    <t>88</t>
  </si>
  <si>
    <t>make</t>
  </si>
  <si>
    <t>And that can make a big difference .</t>
  </si>
  <si>
    <t>file://conllu/en/teddy-1429.conllu#s88_0</t>
  </si>
  <si>
    <t>89</t>
  </si>
  <si>
    <t>thank</t>
  </si>
  <si>
    <t>Thank you very much .</t>
  </si>
  <si>
    <t>file://conllu/en/teddy-1429.conllu#s89_0</t>
  </si>
  <si>
    <t>90</t>
  </si>
  <si>
    <t>Applause</t>
  </si>
  <si>
    <t>( Applause )</t>
  </si>
  <si>
    <t>file://conllu/en/teddy-1429.conllu#s90_0</t>
  </si>
  <si>
    <t>WORD</t>
  </si>
  <si>
    <t>GR</t>
  </si>
  <si>
    <t>NP_TYPE</t>
  </si>
  <si>
    <t>REF_AUTO</t>
  </si>
  <si>
    <t>COREF</t>
  </si>
  <si>
    <t>REF</t>
  </si>
  <si>
    <t>IS</t>
  </si>
  <si>
    <t>CB</t>
  </si>
  <si>
    <t>GR_ANTE</t>
  </si>
  <si>
    <t>REF_DIST</t>
  </si>
  <si>
    <t>REF_DIST_ANTE</t>
  </si>
  <si>
    <t># text = Several years ago here at TED, Peter Skillman introduced a design challenge called the marshmallow challenge.</t>
  </si>
  <si>
    <t>Several</t>
  </si>
  <si>
    <t>years</t>
  </si>
  <si>
    <t>other_4</t>
  </si>
  <si>
    <t>indef-np.bare</t>
  </si>
  <si>
    <t>ago</t>
  </si>
  <si>
    <t>here</t>
  </si>
  <si>
    <t>at</t>
  </si>
  <si>
    <t>TED</t>
  </si>
  <si>
    <t>SBJ</t>
  </si>
  <si>
    <t>ne</t>
  </si>
  <si>
    <t>?OLD</t>
  </si>
  <si>
    <t>,</t>
  </si>
  <si>
    <t>Peter</t>
  </si>
  <si>
    <t>other_2</t>
  </si>
  <si>
    <t>Skillman</t>
  </si>
  <si>
    <t>introduced</t>
  </si>
  <si>
    <t>a</t>
  </si>
  <si>
    <t>design</t>
  </si>
  <si>
    <t>challenge</t>
  </si>
  <si>
    <t>SBJ_2</t>
  </si>
  <si>
    <t>indef-np.a</t>
  </si>
  <si>
    <t>called</t>
  </si>
  <si>
    <t>the</t>
  </si>
  <si>
    <t>marshmallow</t>
  </si>
  <si>
    <t>OBJ_2</t>
  </si>
  <si>
    <t>def-np.the</t>
  </si>
  <si>
    <t>.</t>
  </si>
  <si>
    <t># text = And the idea's pretty simple: Teams of four have to build the tallest free-standing structure out of 20 sticks of spaghetti, one yard of tape, one yard of string and a marshmallow.</t>
  </si>
  <si>
    <t>And</t>
  </si>
  <si>
    <t>idea</t>
  </si>
  <si>
    <t>other</t>
  </si>
  <si>
    <t>'s</t>
  </si>
  <si>
    <t>pretty</t>
  </si>
  <si>
    <t>:</t>
  </si>
  <si>
    <t>Teams</t>
  </si>
  <si>
    <t>indef-np.quant</t>
  </si>
  <si>
    <t>of</t>
  </si>
  <si>
    <t>four</t>
  </si>
  <si>
    <t>to</t>
  </si>
  <si>
    <t>build</t>
  </si>
  <si>
    <t>tallest</t>
  </si>
  <si>
    <t>free</t>
  </si>
  <si>
    <t>standing</t>
  </si>
  <si>
    <t>OBJ_3</t>
  </si>
  <si>
    <t>out</t>
  </si>
  <si>
    <t>sticks</t>
  </si>
  <si>
    <t>other_3</t>
  </si>
  <si>
    <t>spaghetti</t>
  </si>
  <si>
    <t>one</t>
  </si>
  <si>
    <t>yard</t>
  </si>
  <si>
    <t>tape</t>
  </si>
  <si>
    <t>string</t>
  </si>
  <si>
    <t>and</t>
  </si>
  <si>
    <t># text = The marshmallow has to be on top.</t>
  </si>
  <si>
    <t>The</t>
  </si>
  <si>
    <t>has</t>
  </si>
  <si>
    <t>on</t>
  </si>
  <si>
    <t>top</t>
  </si>
  <si>
    <t># text = And, though it seems really simple, it's actually pretty hard because it forces people to collaborate very quickly.</t>
  </si>
  <si>
    <t>though</t>
  </si>
  <si>
    <t>it</t>
  </si>
  <si>
    <t>pron.pper</t>
  </si>
  <si>
    <t>seems</t>
  </si>
  <si>
    <t>really</t>
  </si>
  <si>
    <t>actually</t>
  </si>
  <si>
    <t>hard</t>
  </si>
  <si>
    <t>because</t>
  </si>
  <si>
    <t>forces</t>
  </si>
  <si>
    <t>people</t>
  </si>
  <si>
    <t>collaborate</t>
  </si>
  <si>
    <t>very</t>
  </si>
  <si>
    <t>quickly</t>
  </si>
  <si>
    <t># text = And so, I thought this was an interesting idea, and I incorporated it into a design workshop.</t>
  </si>
  <si>
    <t>so</t>
  </si>
  <si>
    <t>I</t>
  </si>
  <si>
    <t>thought</t>
  </si>
  <si>
    <t>this</t>
  </si>
  <si>
    <t>pron.pds</t>
  </si>
  <si>
    <t>was</t>
  </si>
  <si>
    <t>an</t>
  </si>
  <si>
    <t>interesting</t>
  </si>
  <si>
    <t>incorporated</t>
  </si>
  <si>
    <t>into</t>
  </si>
  <si>
    <t>workshop</t>
  </si>
  <si>
    <t># text = And it was a huge success.</t>
  </si>
  <si>
    <t>huge</t>
  </si>
  <si>
    <t>success</t>
  </si>
  <si>
    <t># text = And since then, I've conducted about 70 design workshops across the world with students and designers and architects, even the CTOs of the Fortune 50, and there's something about this exercise that reveals very deep lessons about the nature of collaboration, and I'd like to share some of them with you.</t>
  </si>
  <si>
    <t>since</t>
  </si>
  <si>
    <t>then</t>
  </si>
  <si>
    <t>'ve</t>
  </si>
  <si>
    <t>conducted</t>
  </si>
  <si>
    <t>about</t>
  </si>
  <si>
    <t>workshops</t>
  </si>
  <si>
    <t>across</t>
  </si>
  <si>
    <t>world</t>
  </si>
  <si>
    <t>with</t>
  </si>
  <si>
    <t>students</t>
  </si>
  <si>
    <t>designers</t>
  </si>
  <si>
    <t>architects</t>
  </si>
  <si>
    <t>even</t>
  </si>
  <si>
    <t>CTOs</t>
  </si>
  <si>
    <t>Fortune</t>
  </si>
  <si>
    <t>there</t>
  </si>
  <si>
    <t>something</t>
  </si>
  <si>
    <t>pron</t>
  </si>
  <si>
    <t>exercise</t>
  </si>
  <si>
    <t>def-np.dem</t>
  </si>
  <si>
    <t>that</t>
  </si>
  <si>
    <t>SBJ_5</t>
  </si>
  <si>
    <t>reveals</t>
  </si>
  <si>
    <t>deep</t>
  </si>
  <si>
    <t>lessons</t>
  </si>
  <si>
    <t>OBJ_5</t>
  </si>
  <si>
    <t>nature</t>
  </si>
  <si>
    <t>other_6</t>
  </si>
  <si>
    <t>collaboration</t>
  </si>
  <si>
    <t>other_7</t>
  </si>
  <si>
    <t>'d</t>
  </si>
  <si>
    <t>share</t>
  </si>
  <si>
    <t>some</t>
  </si>
  <si>
    <t>def-np.poss</t>
  </si>
  <si>
    <t>them</t>
  </si>
  <si>
    <t>you</t>
  </si>
  <si>
    <t># text = So, normally, most people begin by orienting themselves to the task.</t>
  </si>
  <si>
    <t>So</t>
  </si>
  <si>
    <t>normally</t>
  </si>
  <si>
    <t>most</t>
  </si>
  <si>
    <t>by</t>
  </si>
  <si>
    <t>orienting</t>
  </si>
  <si>
    <t>themselves</t>
  </si>
  <si>
    <t>task</t>
  </si>
  <si>
    <t># text = They talk about it, they figure out what it's going to look like, they jockey for power.</t>
  </si>
  <si>
    <t>They</t>
  </si>
  <si>
    <t>they</t>
  </si>
  <si>
    <t>figure</t>
  </si>
  <si>
    <t>what</t>
  </si>
  <si>
    <t>pron.pint</t>
  </si>
  <si>
    <t>SBJ_3</t>
  </si>
  <si>
    <t>going</t>
  </si>
  <si>
    <t>look</t>
  </si>
  <si>
    <t>pron.ppos</t>
  </si>
  <si>
    <t>jockey</t>
  </si>
  <si>
    <t>OBJ</t>
  </si>
  <si>
    <t>for</t>
  </si>
  <si>
    <t>power</t>
  </si>
  <si>
    <t># text = Then they spend some time planning, organizing, they sketch and they lay out spaghetti.</t>
  </si>
  <si>
    <t>Then</t>
  </si>
  <si>
    <t>time</t>
  </si>
  <si>
    <t>planning</t>
  </si>
  <si>
    <t>organizing</t>
  </si>
  <si>
    <t>sketch</t>
  </si>
  <si>
    <t>lay</t>
  </si>
  <si>
    <t># text = They spend the majority of their time assembling the sticks into ever-growing structures.</t>
  </si>
  <si>
    <t>majority</t>
  </si>
  <si>
    <t>their</t>
  </si>
  <si>
    <t>assembling</t>
  </si>
  <si>
    <t>ever</t>
  </si>
  <si>
    <t>growing</t>
  </si>
  <si>
    <t>structures</t>
  </si>
  <si>
    <t># text = And then finally, just as they're running out of time, someone takes out the marshmallow, and then they gingerly put it on top, and then they stand back, and -- ta-da!</t>
  </si>
  <si>
    <t>finally</t>
  </si>
  <si>
    <t>just</t>
  </si>
  <si>
    <t>as</t>
  </si>
  <si>
    <t>'re</t>
  </si>
  <si>
    <t>running</t>
  </si>
  <si>
    <t>someone</t>
  </si>
  <si>
    <t>pron.pind</t>
  </si>
  <si>
    <t>takes</t>
  </si>
  <si>
    <t>gingerly</t>
  </si>
  <si>
    <t>stand</t>
  </si>
  <si>
    <t>back</t>
  </si>
  <si>
    <t>ta</t>
  </si>
  <si>
    <t>da</t>
  </si>
  <si>
    <t>!</t>
  </si>
  <si>
    <t># text = -- they admire their work.</t>
  </si>
  <si>
    <t>work</t>
  </si>
  <si>
    <t>--</t>
  </si>
  <si>
    <t># text = But what really happens, most of the time, is that the \"ta-da\" turns into an \"uh-oh,\" because the weight of the marshmallow causes the entire structure to buckle and to collapse.</t>
  </si>
  <si>
    <t>But</t>
  </si>
  <si>
    <t>happens</t>
  </si>
  <si>
    <t>is</t>
  </si>
  <si>
    <t>&amp;quot;</t>
  </si>
  <si>
    <t>turns</t>
  </si>
  <si>
    <t>uh</t>
  </si>
  <si>
    <t>oh</t>
  </si>
  <si>
    <t>weight</t>
  </si>
  <si>
    <t>SBJ_4</t>
  </si>
  <si>
    <t>other_5</t>
  </si>
  <si>
    <t>causes</t>
  </si>
  <si>
    <t>entire</t>
  </si>
  <si>
    <t>OBJ_4</t>
  </si>
  <si>
    <t>buckle</t>
  </si>
  <si>
    <t>collapse</t>
  </si>
  <si>
    <t># text = So there are a number of people who have a lot more "uh-oh" moments than others, and among the worst are recent graduates of business school.</t>
  </si>
  <si>
    <t>are</t>
  </si>
  <si>
    <t>number</t>
  </si>
  <si>
    <t>who</t>
  </si>
  <si>
    <t>lot</t>
  </si>
  <si>
    <t>more</t>
  </si>
  <si>
    <t>moments</t>
  </si>
  <si>
    <t>than</t>
  </si>
  <si>
    <t>others</t>
  </si>
  <si>
    <t>among</t>
  </si>
  <si>
    <t>worst</t>
  </si>
  <si>
    <t>recent</t>
  </si>
  <si>
    <t>graduates</t>
  </si>
  <si>
    <t>business</t>
  </si>
  <si>
    <t>school</t>
  </si>
  <si>
    <t># text = (Laughter)</t>
  </si>
  <si>
    <t>(</t>
  </si>
  <si>
    <t>Laughter</t>
  </si>
  <si>
    <t>)</t>
  </si>
  <si>
    <t># text = They lie, they cheat, they get distracted and they produce really lame structures.</t>
  </si>
  <si>
    <t>cheat</t>
  </si>
  <si>
    <t>distracted</t>
  </si>
  <si>
    <t>lame</t>
  </si>
  <si>
    <t># text = And of course there are teams that have a lot more \"ta-da\" structures, and among the best are recent graduates of kindergarten.</t>
  </si>
  <si>
    <t>course</t>
  </si>
  <si>
    <t>teams</t>
  </si>
  <si>
    <t>kindergarten</t>
  </si>
  <si>
    <t># text = And it's pretty amazing.</t>
  </si>
  <si>
    <t>amazing</t>
  </si>
  <si>
    <t># text = As Peter tells us, not only do they produce the tallest structures, but they're the most interesting structures of them all.</t>
  </si>
  <si>
    <t>As</t>
  </si>
  <si>
    <t>tells</t>
  </si>
  <si>
    <t>us</t>
  </si>
  <si>
    <t>not</t>
  </si>
  <si>
    <t>only</t>
  </si>
  <si>
    <t>but</t>
  </si>
  <si>
    <t>all</t>
  </si>
  <si>
    <t># text = So the question you want to ask is:</t>
  </si>
  <si>
    <t>question</t>
  </si>
  <si>
    <t># text = How come?</t>
  </si>
  <si>
    <t>How</t>
  </si>
  <si>
    <t>?</t>
  </si>
  <si>
    <t># text = Why?</t>
  </si>
  <si>
    <t>Why</t>
  </si>
  <si>
    <t># text = What is it about them?</t>
  </si>
  <si>
    <t>What</t>
  </si>
  <si>
    <t># text = And Peter likes to say that none of the kids spend any time trying to be CEO of Spaghetti, Inc.</t>
  </si>
  <si>
    <t>likes</t>
  </si>
  <si>
    <t>say</t>
  </si>
  <si>
    <t>none</t>
  </si>
  <si>
    <t>kids</t>
  </si>
  <si>
    <t>any</t>
  </si>
  <si>
    <t>trying</t>
  </si>
  <si>
    <t>CEO</t>
  </si>
  <si>
    <t>Spaghetti</t>
  </si>
  <si>
    <t>Inc</t>
  </si>
  <si>
    <t># text = Right?</t>
  </si>
  <si>
    <t>Right</t>
  </si>
  <si>
    <t># text = They don't spend time jockeying for power.</t>
  </si>
  <si>
    <t>n't</t>
  </si>
  <si>
    <t>jockeying</t>
  </si>
  <si>
    <t># text = But there's another reason as well.</t>
  </si>
  <si>
    <t>another</t>
  </si>
  <si>
    <t>reason</t>
  </si>
  <si>
    <t>well</t>
  </si>
  <si>
    <t># text = And the reason is that business students are trained to find the single right plan, right?</t>
  </si>
  <si>
    <t>trained</t>
  </si>
  <si>
    <t>find</t>
  </si>
  <si>
    <t>single</t>
  </si>
  <si>
    <t>plan</t>
  </si>
  <si>
    <t># text = And then they execute on it.</t>
  </si>
  <si>
    <t># text = And then what happens is, when they put the marshmallow on the top, they run out of time and what happens?</t>
  </si>
  <si>
    <t>when</t>
  </si>
  <si>
    <t># text = It's a crisis.</t>
  </si>
  <si>
    <t>It</t>
  </si>
  <si>
    <t>crisis</t>
  </si>
  <si>
    <t># text = Sound familiar?</t>
  </si>
  <si>
    <t>Sound</t>
  </si>
  <si>
    <t>familiar</t>
  </si>
  <si>
    <t># text = Right.</t>
  </si>
  <si>
    <t># text = What kindergarteners do differently is that they start with the marshmallow, and they build prototypes, successive prototypes, always keeping the marshmallow on top, so they have multiple times to fix when they build prototypes along the way.</t>
  </si>
  <si>
    <t>kindergarteners</t>
  </si>
  <si>
    <t>indef-np</t>
  </si>
  <si>
    <t>differently</t>
  </si>
  <si>
    <t>start</t>
  </si>
  <si>
    <t>prototypes</t>
  </si>
  <si>
    <t>successive</t>
  </si>
  <si>
    <t>always</t>
  </si>
  <si>
    <t>keeping</t>
  </si>
  <si>
    <t>multiple</t>
  </si>
  <si>
    <t>times</t>
  </si>
  <si>
    <t>fix</t>
  </si>
  <si>
    <t>along</t>
  </si>
  <si>
    <t>way</t>
  </si>
  <si>
    <t># text = Designers recognize this type of collaboration as the essence of the iterative process.</t>
  </si>
  <si>
    <t>Designers</t>
  </si>
  <si>
    <t>type</t>
  </si>
  <si>
    <t>essence</t>
  </si>
  <si>
    <t>iterative</t>
  </si>
  <si>
    <t>process</t>
  </si>
  <si>
    <t># text = And with each version, kids get instant feedback about what works and what doesn't work.</t>
  </si>
  <si>
    <t>each</t>
  </si>
  <si>
    <t>version</t>
  </si>
  <si>
    <t>instant</t>
  </si>
  <si>
    <t>feedback</t>
  </si>
  <si>
    <t>works</t>
  </si>
  <si>
    <t>does</t>
  </si>
  <si>
    <t># text = So the capacity to play in prototype is really essential, but let's look at how different teams perform.</t>
  </si>
  <si>
    <t>capacity</t>
  </si>
  <si>
    <t>play</t>
  </si>
  <si>
    <t>in</t>
  </si>
  <si>
    <t>prototype</t>
  </si>
  <si>
    <t>essential</t>
  </si>
  <si>
    <t>let</t>
  </si>
  <si>
    <t>how</t>
  </si>
  <si>
    <t>different</t>
  </si>
  <si>
    <t>perform</t>
  </si>
  <si>
    <t># text = So the average for most people is around 20 inches; business schools students, about half of that; lawyers, a little better, but not much better than that, kindergarteners, better than most adults.</t>
  </si>
  <si>
    <t>average</t>
  </si>
  <si>
    <t>around</t>
  </si>
  <si>
    <t>inches</t>
  </si>
  <si>
    <t>;</t>
  </si>
  <si>
    <t>schools</t>
  </si>
  <si>
    <t>half</t>
  </si>
  <si>
    <t>lawyers</t>
  </si>
  <si>
    <t>little</t>
  </si>
  <si>
    <t>better</t>
  </si>
  <si>
    <t>much</t>
  </si>
  <si>
    <t>adults</t>
  </si>
  <si>
    <t># text = Who does the very best?</t>
  </si>
  <si>
    <t>Who</t>
  </si>
  <si>
    <t># text = Architects and engineers, thankfully.</t>
  </si>
  <si>
    <t>Architects</t>
  </si>
  <si>
    <t>engineers</t>
  </si>
  <si>
    <t>thankfully</t>
  </si>
  <si>
    <t># text = Thirty-nine inches is the tallest structure I've seen.</t>
  </si>
  <si>
    <t>Thirty</t>
  </si>
  <si>
    <t>nine</t>
  </si>
  <si>
    <t>seen</t>
  </si>
  <si>
    <t># text = And why is it?</t>
  </si>
  <si>
    <t># text = Because they understand triangles and self-reinforcing geometrical patterns are the key to building stable structures.</t>
  </si>
  <si>
    <t>Because</t>
  </si>
  <si>
    <t>triangles</t>
  </si>
  <si>
    <t>self</t>
  </si>
  <si>
    <t>reinforcing</t>
  </si>
  <si>
    <t>geometrical</t>
  </si>
  <si>
    <t>patterns</t>
  </si>
  <si>
    <t>key</t>
  </si>
  <si>
    <t>building</t>
  </si>
  <si>
    <t>stable</t>
  </si>
  <si>
    <t># text = So CEOs, a little bit better than average, but here's where it gets interesting.</t>
  </si>
  <si>
    <t>bit</t>
  </si>
  <si>
    <t>where</t>
  </si>
  <si>
    <t>gets</t>
  </si>
  <si>
    <t># text = If you put you put an executive admin.</t>
  </si>
  <si>
    <t>If</t>
  </si>
  <si>
    <t>executive</t>
  </si>
  <si>
    <t>admin</t>
  </si>
  <si>
    <t># text = on the team, they get significantly better.</t>
  </si>
  <si>
    <t>team</t>
  </si>
  <si>
    <t>significantly</t>
  </si>
  <si>
    <t># text = It's incredible.</t>
  </si>
  <si>
    <t>incredible</t>
  </si>
  <si>
    <t># text = You know, you look around, you go, "Oh, that team's going to win."</t>
  </si>
  <si>
    <t>You</t>
  </si>
  <si>
    <t>Oh</t>
  </si>
  <si>
    <t>win</t>
  </si>
  <si>
    <t># text = You can just tell beforehand.</t>
  </si>
  <si>
    <t>can</t>
  </si>
  <si>
    <t>beforehand</t>
  </si>
  <si>
    <t># text = And why is that?</t>
  </si>
  <si>
    <t># text = Because they have special skills of facilitation.</t>
  </si>
  <si>
    <t>special</t>
  </si>
  <si>
    <t>skills</t>
  </si>
  <si>
    <t>facilitation</t>
  </si>
  <si>
    <t># text = They manage the process, they understand the process.</t>
  </si>
  <si>
    <t># text = And any team who manages and pays close attention to work will significantly improve the team's performance.</t>
  </si>
  <si>
    <t>manages</t>
  </si>
  <si>
    <t>pays</t>
  </si>
  <si>
    <t>close</t>
  </si>
  <si>
    <t>attention</t>
  </si>
  <si>
    <t>will</t>
  </si>
  <si>
    <t>performance</t>
  </si>
  <si>
    <t># text = Specialized skills and facilitation skills are the combination that leads to strong success.</t>
  </si>
  <si>
    <t>Specialized</t>
  </si>
  <si>
    <t>combination</t>
  </si>
  <si>
    <t>leads</t>
  </si>
  <si>
    <t>strong</t>
  </si>
  <si>
    <t># text = If you have 10 teams that typically perform, you'll get maybe six or so that have standing structures.</t>
  </si>
  <si>
    <t>typically</t>
  </si>
  <si>
    <t>'ll</t>
  </si>
  <si>
    <t>maybe</t>
  </si>
  <si>
    <t>six</t>
  </si>
  <si>
    <t>or</t>
  </si>
  <si>
    <t># text = And I tried something interesting.</t>
  </si>
  <si>
    <t>tried</t>
  </si>
  <si>
    <t># text = I thought, let's up the ante, once.</t>
  </si>
  <si>
    <t>up</t>
  </si>
  <si>
    <t>ante</t>
  </si>
  <si>
    <t>once</t>
  </si>
  <si>
    <t># text = So I offered a 10,000 dollar prize of software to the winning team.</t>
  </si>
  <si>
    <t>offered</t>
  </si>
  <si>
    <t>10,000</t>
  </si>
  <si>
    <t>dollar</t>
  </si>
  <si>
    <t>prize</t>
  </si>
  <si>
    <t>software</t>
  </si>
  <si>
    <t>winning</t>
  </si>
  <si>
    <t># text = So what do you think happened to these design students?</t>
  </si>
  <si>
    <t>happened</t>
  </si>
  <si>
    <t>these</t>
  </si>
  <si>
    <t># text = What was the result?</t>
  </si>
  <si>
    <t>result</t>
  </si>
  <si>
    <t># text = Here's what happened:</t>
  </si>
  <si>
    <t>Here</t>
  </si>
  <si>
    <t>pron.padv</t>
  </si>
  <si>
    <t># text = Not one team had a standing structure.</t>
  </si>
  <si>
    <t>Not</t>
  </si>
  <si>
    <t>had</t>
  </si>
  <si>
    <t># text = If anyone had built, say, a one inch structure, they would have taken home the prize.</t>
  </si>
  <si>
    <t>anyone</t>
  </si>
  <si>
    <t>built</t>
  </si>
  <si>
    <t>inch</t>
  </si>
  <si>
    <t>would</t>
  </si>
  <si>
    <t>taken</t>
  </si>
  <si>
    <t>home</t>
  </si>
  <si>
    <t># text = So, isn't that interesting?</t>
  </si>
  <si>
    <t># text = That high stakes have a strong impact.</t>
  </si>
  <si>
    <t>That</t>
  </si>
  <si>
    <t>high</t>
  </si>
  <si>
    <t>stakes</t>
  </si>
  <si>
    <t>impact</t>
  </si>
  <si>
    <t># text = We did the exercise again with the same students.</t>
  </si>
  <si>
    <t>We</t>
  </si>
  <si>
    <t>did</t>
  </si>
  <si>
    <t>again</t>
  </si>
  <si>
    <t>same</t>
  </si>
  <si>
    <t># text = What do you think happened then?</t>
  </si>
  <si>
    <t># text = So now they understand the value of prototyping.</t>
  </si>
  <si>
    <t>now</t>
  </si>
  <si>
    <t>value</t>
  </si>
  <si>
    <t>prototyping</t>
  </si>
  <si>
    <t># text = So the same team went from being the very worst to being among the very best.</t>
  </si>
  <si>
    <t>went</t>
  </si>
  <si>
    <t>from</t>
  </si>
  <si>
    <t>being</t>
  </si>
  <si>
    <t># text = They produced the tallest structures in the least amount of time.</t>
  </si>
  <si>
    <t>produced</t>
  </si>
  <si>
    <t>least</t>
  </si>
  <si>
    <t>amount</t>
  </si>
  <si>
    <t># text = So there's deep lessons for us about the nature of incentives and success.</t>
  </si>
  <si>
    <t>incentives</t>
  </si>
  <si>
    <t># text = So, you might ask:</t>
  </si>
  <si>
    <t>might</t>
  </si>
  <si>
    <t># text = Why would anyone actually spend time writing a marshmallow challenge?</t>
  </si>
  <si>
    <t>writing</t>
  </si>
  <si>
    <t># text = And the reason is, I help create digital tools and processes to help teams build cars and video games and visual effects.</t>
  </si>
  <si>
    <t>help</t>
  </si>
  <si>
    <t>create</t>
  </si>
  <si>
    <t>digital</t>
  </si>
  <si>
    <t>tools</t>
  </si>
  <si>
    <t>processes</t>
  </si>
  <si>
    <t>SBJ_6</t>
  </si>
  <si>
    <t>cars</t>
  </si>
  <si>
    <t>OBJ_6</t>
  </si>
  <si>
    <t>video</t>
  </si>
  <si>
    <t>games</t>
  </si>
  <si>
    <t>visual</t>
  </si>
  <si>
    <t>effects</t>
  </si>
  <si>
    <t>other_8</t>
  </si>
  <si>
    <t># text = And what the marshmallow challenge does is it helps them identify the hidden assumptions.</t>
  </si>
  <si>
    <t>helps</t>
  </si>
  <si>
    <t>identify</t>
  </si>
  <si>
    <t>hidden</t>
  </si>
  <si>
    <t>assumptions</t>
  </si>
  <si>
    <t># text = Because, frankly, every project has its own marshmallow, doesn't it?</t>
  </si>
  <si>
    <t>frankly</t>
  </si>
  <si>
    <t>every</t>
  </si>
  <si>
    <t>project</t>
  </si>
  <si>
    <t>its</t>
  </si>
  <si>
    <t>own</t>
  </si>
  <si>
    <t># text = The challenge provides a shared experience, a common language, a common stance to build the right prototype.</t>
  </si>
  <si>
    <t>provides</t>
  </si>
  <si>
    <t>shared</t>
  </si>
  <si>
    <t>experience</t>
  </si>
  <si>
    <t>common</t>
  </si>
  <si>
    <t>language</t>
  </si>
  <si>
    <t>stance</t>
  </si>
  <si>
    <t># text = And so, this is the value of the experience, of this so simple exercise.</t>
  </si>
  <si>
    <t># text = And those of you who are interested may want to go to MarshmallowChallenge.com.</t>
  </si>
  <si>
    <t>those</t>
  </si>
  <si>
    <t>interested</t>
  </si>
  <si>
    <t>may</t>
  </si>
  <si>
    <t>MarshmallowChallenge.com</t>
  </si>
  <si>
    <t># text = It's a blog that you can look at how to build the marshmallows.</t>
  </si>
  <si>
    <t>blog</t>
  </si>
  <si>
    <t>marshmallows</t>
  </si>
  <si>
    <t># text = There's step-by-step instructions on this.</t>
  </si>
  <si>
    <t>There</t>
  </si>
  <si>
    <t>step</t>
  </si>
  <si>
    <t>instructions</t>
  </si>
  <si>
    <t># text = There are crazy examples from around the world of how people tweak and adjust the system.</t>
  </si>
  <si>
    <t>crazy</t>
  </si>
  <si>
    <t>examples</t>
  </si>
  <si>
    <t>tweak</t>
  </si>
  <si>
    <t>adjust</t>
  </si>
  <si>
    <t>system</t>
  </si>
  <si>
    <t># text = There's world records that are on this as well.</t>
  </si>
  <si>
    <t>records</t>
  </si>
  <si>
    <t># text = And the fundamental lesson, I believe, is that design truly is a contact sport.</t>
  </si>
  <si>
    <t>fundamental</t>
  </si>
  <si>
    <t>lesson</t>
  </si>
  <si>
    <t>truly</t>
  </si>
  <si>
    <t>contact</t>
  </si>
  <si>
    <t>sport</t>
  </si>
  <si>
    <t># text = It demands that we bring all of our senses to the task, and that we apply the very best of our thinking, our feeling and our doing to the challenge that we have at hand.</t>
  </si>
  <si>
    <t>demands</t>
  </si>
  <si>
    <t>we</t>
  </si>
  <si>
    <t>bring</t>
  </si>
  <si>
    <t>our</t>
  </si>
  <si>
    <t>senses</t>
  </si>
  <si>
    <t>apply</t>
  </si>
  <si>
    <t>thinking</t>
  </si>
  <si>
    <t>feeling</t>
  </si>
  <si>
    <t>doing</t>
  </si>
  <si>
    <t>OBJ_7</t>
  </si>
  <si>
    <t>SBJ_7</t>
  </si>
  <si>
    <t>hand</t>
  </si>
  <si>
    <t># text = And sometimes, a little prototype of this experience is all that it takes to turn us from an \"uh-oh\" moment to a \"ta-da\" moment.</t>
  </si>
  <si>
    <t>sometimes</t>
  </si>
  <si>
    <t>turn</t>
  </si>
  <si>
    <t>moment</t>
  </si>
  <si>
    <t># text = And that can make a big difference.</t>
  </si>
  <si>
    <t>big</t>
  </si>
  <si>
    <t>difference</t>
  </si>
  <si>
    <t># text = Thank you very much.</t>
  </si>
  <si>
    <t>Thank</t>
  </si>
  <si>
    <t># text = (Applause)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</si>
</sst>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91"/>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16</v>
      </c>
      <c r="B3" s="6" t="s">
        <v>17</v>
      </c>
      <c r="C3" s="6" t="s">
        <v>18</v>
      </c>
      <c r="D3" s="7" t="s">
        <v>19</v>
      </c>
      <c r="E3" s="8" t="s">
        <v>20</v>
      </c>
      <c r="F3" s="6" t="s">
        <v>21</v>
      </c>
      <c r="G3" s="9">
        <f>IF(A3=1,"_",IF(C3="_","???",C3))</f>
        <v/>
      </c>
      <c r="H3" s="10" t="s">
        <v>12</v>
      </c>
      <c r="I3" s="11" t="s">
        <v>12</v>
      </c>
      <c r="J3" s="12"/>
    </row>
    <row r="4" spans="1:10" ht="60" customHeight="1">
      <c r="A4" s="6" t="s">
        <v>22</v>
      </c>
      <c r="B4" s="6" t="s">
        <v>22</v>
      </c>
      <c r="C4" s="6" t="s">
        <v>12</v>
      </c>
      <c r="D4" s="7" t="s">
        <v>23</v>
      </c>
      <c r="E4" s="8" t="s">
        <v>24</v>
      </c>
      <c r="F4" s="6" t="s">
        <v>25</v>
      </c>
      <c r="G4" s="9">
        <f>IF(A4=1,"_",IF(C4="_","???",C4))</f>
        <v/>
      </c>
      <c r="H4" s="10" t="s">
        <v>12</v>
      </c>
      <c r="I4" s="11" t="s">
        <v>12</v>
      </c>
      <c r="J4" s="12"/>
    </row>
    <row r="5" spans="1:10" ht="60" customHeight="1">
      <c r="A5" s="6" t="s">
        <v>26</v>
      </c>
      <c r="B5" s="6" t="s">
        <v>11</v>
      </c>
      <c r="C5" s="6" t="s">
        <v>27</v>
      </c>
      <c r="D5" s="7" t="s">
        <v>28</v>
      </c>
      <c r="E5" s="8" t="s">
        <v>29</v>
      </c>
      <c r="F5" s="6" t="s">
        <v>30</v>
      </c>
      <c r="G5" s="9">
        <f>IF(A5=1,"_",IF(C5="_","???",C5))</f>
        <v/>
      </c>
      <c r="H5" s="10" t="s">
        <v>12</v>
      </c>
      <c r="I5" s="11" t="s">
        <v>12</v>
      </c>
      <c r="J5" s="12"/>
    </row>
    <row r="6" spans="1:10" ht="60" customHeight="1">
      <c r="A6" s="6" t="s">
        <v>31</v>
      </c>
      <c r="B6" s="6" t="s">
        <v>31</v>
      </c>
      <c r="C6" s="6" t="s">
        <v>18</v>
      </c>
      <c r="D6" s="7" t="s">
        <v>32</v>
      </c>
      <c r="E6" s="8" t="s">
        <v>33</v>
      </c>
      <c r="F6" s="6" t="s">
        <v>34</v>
      </c>
      <c r="G6" s="9">
        <f>IF(A6=1,"_",IF(C6="_","???",C6))</f>
        <v/>
      </c>
      <c r="H6" s="10" t="s">
        <v>12</v>
      </c>
      <c r="I6" s="11" t="s">
        <v>12</v>
      </c>
      <c r="J6" s="12"/>
    </row>
    <row r="7" spans="1:10" ht="60" customHeight="1">
      <c r="A7" s="6" t="s">
        <v>17</v>
      </c>
      <c r="B7" s="6" t="s">
        <v>22</v>
      </c>
      <c r="C7" s="6" t="s">
        <v>18</v>
      </c>
      <c r="D7" s="7" t="s">
        <v>35</v>
      </c>
      <c r="E7" s="8" t="s">
        <v>36</v>
      </c>
      <c r="F7" s="6" t="s">
        <v>37</v>
      </c>
      <c r="G7" s="9">
        <f>IF(A7=1,"_",IF(C7="_","???",C7))</f>
        <v/>
      </c>
      <c r="H7" s="10" t="s">
        <v>12</v>
      </c>
      <c r="I7" s="11" t="s">
        <v>12</v>
      </c>
      <c r="J7" s="12"/>
    </row>
    <row r="8" spans="1:10" ht="60" customHeight="1">
      <c r="A8" s="6" t="s">
        <v>38</v>
      </c>
      <c r="B8" s="6" t="s">
        <v>38</v>
      </c>
      <c r="C8" s="6" t="s">
        <v>39</v>
      </c>
      <c r="D8" s="7" t="s">
        <v>40</v>
      </c>
      <c r="E8" s="8" t="s">
        <v>41</v>
      </c>
      <c r="F8" s="6" t="s">
        <v>42</v>
      </c>
      <c r="G8" s="9">
        <f>IF(A8=1,"_",IF(C8="_","???",C8))</f>
        <v/>
      </c>
      <c r="H8" s="10" t="s">
        <v>12</v>
      </c>
      <c r="I8" s="11" t="s">
        <v>12</v>
      </c>
      <c r="J8" s="12"/>
    </row>
    <row r="9" spans="1:10" ht="60" customHeight="1">
      <c r="A9" s="6" t="s">
        <v>43</v>
      </c>
      <c r="B9" s="6" t="s">
        <v>38</v>
      </c>
      <c r="C9" s="6" t="s">
        <v>44</v>
      </c>
      <c r="D9" s="7" t="s">
        <v>45</v>
      </c>
      <c r="E9" s="8" t="s">
        <v>46</v>
      </c>
      <c r="F9" s="6" t="s">
        <v>47</v>
      </c>
      <c r="G9" s="9">
        <f>IF(A9=1,"_",IF(C9="_","???",C9))</f>
        <v/>
      </c>
      <c r="H9" s="10" t="s">
        <v>12</v>
      </c>
      <c r="I9" s="11" t="s">
        <v>12</v>
      </c>
      <c r="J9" s="12"/>
    </row>
    <row r="10" spans="1:10" ht="60" customHeight="1">
      <c r="A10" s="6" t="s">
        <v>48</v>
      </c>
      <c r="B10" s="6" t="s">
        <v>16</v>
      </c>
      <c r="C10" s="6" t="s">
        <v>12</v>
      </c>
      <c r="D10" s="7" t="s">
        <v>49</v>
      </c>
      <c r="E10" s="8" t="s">
        <v>50</v>
      </c>
      <c r="F10" s="6" t="s">
        <v>51</v>
      </c>
      <c r="G10" s="9">
        <f>IF(A10=1,"_",IF(C10="_","???",C10))</f>
        <v/>
      </c>
      <c r="H10" s="10" t="s">
        <v>12</v>
      </c>
      <c r="I10" s="11" t="s">
        <v>12</v>
      </c>
      <c r="J10" s="12"/>
    </row>
    <row r="11" spans="1:10" ht="60" customHeight="1">
      <c r="A11" s="6" t="s">
        <v>11</v>
      </c>
      <c r="B11" s="6" t="s">
        <v>22</v>
      </c>
      <c r="C11" s="6" t="s">
        <v>52</v>
      </c>
      <c r="D11" s="7" t="s">
        <v>53</v>
      </c>
      <c r="E11" s="8" t="s">
        <v>54</v>
      </c>
      <c r="F11" s="6" t="s">
        <v>55</v>
      </c>
      <c r="G11" s="9">
        <f>IF(A11=1,"_",IF(C11="_","???",C11))</f>
        <v/>
      </c>
      <c r="H11" s="10" t="s">
        <v>12</v>
      </c>
      <c r="I11" s="11" t="s">
        <v>12</v>
      </c>
      <c r="J11" s="12"/>
    </row>
    <row r="12" spans="1:10" ht="60" customHeight="1">
      <c r="A12" s="6" t="s">
        <v>56</v>
      </c>
      <c r="B12" s="6" t="s">
        <v>16</v>
      </c>
      <c r="C12" s="6" t="s">
        <v>12</v>
      </c>
      <c r="D12" s="7" t="s">
        <v>53</v>
      </c>
      <c r="E12" s="8" t="s">
        <v>57</v>
      </c>
      <c r="F12" s="6" t="s">
        <v>58</v>
      </c>
      <c r="G12" s="9">
        <f>IF(A12=1,"_",IF(C12="_","???",C12))</f>
        <v/>
      </c>
      <c r="H12" s="10" t="s">
        <v>12</v>
      </c>
      <c r="I12" s="11" t="s">
        <v>12</v>
      </c>
      <c r="J12" s="12"/>
    </row>
    <row r="13" spans="1:10" ht="60" customHeight="1">
      <c r="A13" s="6" t="s">
        <v>59</v>
      </c>
      <c r="B13" s="6" t="s">
        <v>48</v>
      </c>
      <c r="C13" s="6" t="s">
        <v>60</v>
      </c>
      <c r="D13" s="7" t="s">
        <v>61</v>
      </c>
      <c r="E13" s="8" t="s">
        <v>62</v>
      </c>
      <c r="F13" s="6" t="s">
        <v>63</v>
      </c>
      <c r="G13" s="9">
        <f>IF(A13=1,"_",IF(C13="_","???",C13))</f>
        <v/>
      </c>
      <c r="H13" s="10" t="s">
        <v>12</v>
      </c>
      <c r="I13" s="11" t="s">
        <v>12</v>
      </c>
      <c r="J13" s="12"/>
    </row>
    <row r="14" spans="1:10" ht="60" customHeight="1">
      <c r="A14" s="6" t="s">
        <v>64</v>
      </c>
      <c r="B14" s="6" t="s">
        <v>22</v>
      </c>
      <c r="C14" s="6" t="s">
        <v>12</v>
      </c>
      <c r="D14" s="7" t="s">
        <v>65</v>
      </c>
      <c r="E14" s="8" t="s">
        <v>66</v>
      </c>
      <c r="F14" s="6" t="s">
        <v>67</v>
      </c>
      <c r="G14" s="9">
        <f>IF(A14=1,"_",IF(C14="_","???",C14))</f>
        <v/>
      </c>
      <c r="H14" s="10" t="s">
        <v>12</v>
      </c>
      <c r="I14" s="11" t="s">
        <v>12</v>
      </c>
      <c r="J14" s="12"/>
    </row>
    <row r="15" spans="1:10" ht="60" customHeight="1">
      <c r="A15" s="6" t="s">
        <v>68</v>
      </c>
      <c r="B15" s="6" t="s">
        <v>26</v>
      </c>
      <c r="C15" s="6" t="s">
        <v>69</v>
      </c>
      <c r="D15" s="7" t="s">
        <v>70</v>
      </c>
      <c r="E15" s="8" t="s">
        <v>71</v>
      </c>
      <c r="F15" s="6" t="s">
        <v>72</v>
      </c>
      <c r="G15" s="9">
        <f>IF(A15=1,"_",IF(C15="_","???",C15))</f>
        <v/>
      </c>
      <c r="H15" s="10" t="s">
        <v>12</v>
      </c>
      <c r="I15" s="11" t="s">
        <v>12</v>
      </c>
      <c r="J15" s="12"/>
    </row>
    <row r="16" spans="1:10" ht="60" customHeight="1">
      <c r="A16" s="6" t="s">
        <v>73</v>
      </c>
      <c r="B16" s="6" t="s">
        <v>22</v>
      </c>
      <c r="C16" s="6" t="s">
        <v>18</v>
      </c>
      <c r="D16" s="7" t="s">
        <v>74</v>
      </c>
      <c r="E16" s="8" t="s">
        <v>75</v>
      </c>
      <c r="F16" s="6" t="s">
        <v>76</v>
      </c>
      <c r="G16" s="9">
        <f>IF(A16=1,"_",IF(C16="_","???",C16))</f>
        <v/>
      </c>
      <c r="H16" s="10" t="s">
        <v>12</v>
      </c>
      <c r="I16" s="11" t="s">
        <v>12</v>
      </c>
      <c r="J16" s="12"/>
    </row>
    <row r="17" spans="1:10" ht="60" customHeight="1">
      <c r="A17" s="6" t="s">
        <v>77</v>
      </c>
      <c r="B17" s="6" t="s">
        <v>16</v>
      </c>
      <c r="C17" s="6" t="s">
        <v>12</v>
      </c>
      <c r="D17" s="7" t="s">
        <v>78</v>
      </c>
      <c r="E17" s="8" t="s">
        <v>79</v>
      </c>
      <c r="F17" s="6" t="s">
        <v>80</v>
      </c>
      <c r="G17" s="9">
        <f>IF(A17=1,"_",IF(C17="_","???",C17))</f>
        <v/>
      </c>
      <c r="H17" s="10" t="s">
        <v>12</v>
      </c>
      <c r="I17" s="11" t="s">
        <v>12</v>
      </c>
      <c r="J17" s="12"/>
    </row>
    <row r="18" spans="1:10" ht="60" customHeight="1">
      <c r="A18" s="6" t="s">
        <v>81</v>
      </c>
      <c r="B18" s="6" t="s">
        <v>16</v>
      </c>
      <c r="C18" s="6" t="s">
        <v>12</v>
      </c>
      <c r="D18" s="7" t="s">
        <v>82</v>
      </c>
      <c r="E18" s="8" t="s">
        <v>83</v>
      </c>
      <c r="F18" s="6" t="s">
        <v>84</v>
      </c>
      <c r="G18" s="9">
        <f>IF(A18=1,"_",IF(C18="_","???",C18))</f>
        <v/>
      </c>
      <c r="H18" s="10" t="s">
        <v>12</v>
      </c>
      <c r="I18" s="11" t="s">
        <v>12</v>
      </c>
      <c r="J18" s="12"/>
    </row>
    <row r="19" spans="1:10" ht="60" customHeight="1">
      <c r="A19" s="6" t="s">
        <v>85</v>
      </c>
      <c r="B19" s="6" t="s">
        <v>31</v>
      </c>
      <c r="C19" s="6" t="s">
        <v>18</v>
      </c>
      <c r="D19" s="7" t="s">
        <v>74</v>
      </c>
      <c r="E19" s="8" t="s">
        <v>86</v>
      </c>
      <c r="F19" s="6" t="s">
        <v>87</v>
      </c>
      <c r="G19" s="9">
        <f>IF(A19=1,"_",IF(C19="_","???",C19))</f>
        <v/>
      </c>
      <c r="H19" s="10" t="s">
        <v>12</v>
      </c>
      <c r="I19" s="11" t="s">
        <v>12</v>
      </c>
      <c r="J19" s="12"/>
    </row>
    <row r="20" spans="1:10" ht="60" customHeight="1">
      <c r="A20" s="6" t="s">
        <v>88</v>
      </c>
      <c r="B20" s="6" t="s">
        <v>22</v>
      </c>
      <c r="C20" s="6" t="s">
        <v>18</v>
      </c>
      <c r="D20" s="7" t="s">
        <v>89</v>
      </c>
      <c r="E20" s="8" t="s">
        <v>90</v>
      </c>
      <c r="F20" s="6" t="s">
        <v>91</v>
      </c>
      <c r="G20" s="9">
        <f>IF(A20=1,"_",IF(C20="_","???",C20))</f>
        <v/>
      </c>
      <c r="H20" s="10" t="s">
        <v>12</v>
      </c>
      <c r="I20" s="11" t="s">
        <v>12</v>
      </c>
      <c r="J20" s="12"/>
    </row>
    <row r="21" spans="1:10" ht="60" customHeight="1">
      <c r="A21" s="6" t="s">
        <v>92</v>
      </c>
      <c r="B21" s="6" t="s">
        <v>11</v>
      </c>
      <c r="C21" s="6" t="s">
        <v>69</v>
      </c>
      <c r="D21" s="7" t="s">
        <v>93</v>
      </c>
      <c r="E21" s="8" t="s">
        <v>94</v>
      </c>
      <c r="F21" s="6" t="s">
        <v>95</v>
      </c>
      <c r="G21" s="9">
        <f>IF(A21=1,"_",IF(C21="_","???",C21))</f>
        <v/>
      </c>
      <c r="H21" s="10" t="s">
        <v>12</v>
      </c>
      <c r="I21" s="11" t="s">
        <v>12</v>
      </c>
      <c r="J21" s="12"/>
    </row>
    <row r="22" spans="1:10" ht="60" customHeight="1">
      <c r="A22" s="6" t="s">
        <v>96</v>
      </c>
      <c r="B22" s="6" t="s">
        <v>43</v>
      </c>
      <c r="C22" s="6" t="s">
        <v>44</v>
      </c>
      <c r="D22" s="7" t="s">
        <v>74</v>
      </c>
      <c r="E22" s="8" t="s">
        <v>97</v>
      </c>
      <c r="F22" s="6" t="s">
        <v>98</v>
      </c>
      <c r="G22" s="9">
        <f>IF(A22=1,"_",IF(C22="_","???",C22))</f>
        <v/>
      </c>
      <c r="H22" s="10" t="s">
        <v>12</v>
      </c>
      <c r="I22" s="11" t="s">
        <v>12</v>
      </c>
      <c r="J22" s="12"/>
    </row>
    <row r="23" spans="1:10" ht="60" customHeight="1">
      <c r="A23" s="6" t="s">
        <v>99</v>
      </c>
      <c r="B23" s="6" t="s">
        <v>16</v>
      </c>
      <c r="C23" s="6" t="s">
        <v>12</v>
      </c>
      <c r="D23" s="7" t="s">
        <v>100</v>
      </c>
      <c r="E23" s="8" t="s">
        <v>101</v>
      </c>
      <c r="F23" s="6" t="s">
        <v>102</v>
      </c>
      <c r="G23" s="9">
        <f>IF(A23=1,"_",IF(C23="_","???",C23))</f>
        <v/>
      </c>
      <c r="H23" s="10" t="s">
        <v>12</v>
      </c>
      <c r="I23" s="11" t="s">
        <v>12</v>
      </c>
      <c r="J23" s="12"/>
    </row>
    <row r="24" spans="1:10" ht="60" customHeight="1">
      <c r="A24" s="6" t="s">
        <v>103</v>
      </c>
      <c r="B24" s="6" t="s">
        <v>10</v>
      </c>
      <c r="C24" s="6" t="s">
        <v>12</v>
      </c>
      <c r="D24" s="7" t="s">
        <v>104</v>
      </c>
      <c r="E24" s="8" t="s">
        <v>105</v>
      </c>
      <c r="F24" s="6" t="s">
        <v>106</v>
      </c>
      <c r="G24" s="9">
        <f>IF(A24=1,"_",IF(C24="_","???",C24))</f>
        <v/>
      </c>
      <c r="H24" s="10" t="s">
        <v>12</v>
      </c>
      <c r="I24" s="11" t="s">
        <v>12</v>
      </c>
      <c r="J24" s="12"/>
    </row>
    <row r="25" spans="1:10" ht="60" customHeight="1">
      <c r="A25" s="6" t="s">
        <v>107</v>
      </c>
      <c r="B25" s="6" t="s">
        <v>16</v>
      </c>
      <c r="C25" s="6" t="s">
        <v>12</v>
      </c>
      <c r="D25" s="7" t="s">
        <v>108</v>
      </c>
      <c r="E25" s="8" t="s">
        <v>109</v>
      </c>
      <c r="F25" s="6" t="s">
        <v>110</v>
      </c>
      <c r="G25" s="9">
        <f>IF(A25=1,"_",IF(C25="_","???",C25))</f>
        <v/>
      </c>
      <c r="H25" s="10" t="s">
        <v>12</v>
      </c>
      <c r="I25" s="11" t="s">
        <v>12</v>
      </c>
      <c r="J25" s="12"/>
    </row>
    <row r="26" spans="1:10" ht="60" customHeight="1">
      <c r="A26" s="6" t="s">
        <v>111</v>
      </c>
      <c r="B26" s="6" t="s">
        <v>22</v>
      </c>
      <c r="C26" s="6" t="s">
        <v>18</v>
      </c>
      <c r="D26" s="7" t="s">
        <v>112</v>
      </c>
      <c r="E26" s="8" t="s">
        <v>113</v>
      </c>
      <c r="F26" s="6" t="s">
        <v>114</v>
      </c>
      <c r="G26" s="9">
        <f>IF(A26=1,"_",IF(C26="_","???",C26))</f>
        <v/>
      </c>
      <c r="H26" s="10" t="s">
        <v>12</v>
      </c>
      <c r="I26" s="11" t="s">
        <v>12</v>
      </c>
      <c r="J26" s="12"/>
    </row>
    <row r="27" spans="1:10" ht="60" customHeight="1">
      <c r="A27" s="6" t="s">
        <v>115</v>
      </c>
      <c r="B27" s="6" t="s">
        <v>10</v>
      </c>
      <c r="C27" s="6" t="s">
        <v>12</v>
      </c>
      <c r="D27" s="7" t="s">
        <v>116</v>
      </c>
      <c r="E27" s="8" t="s">
        <v>117</v>
      </c>
      <c r="F27" s="6" t="s">
        <v>118</v>
      </c>
      <c r="G27" s="9">
        <f>IF(A27=1,"_",IF(C27="_","???",C27))</f>
        <v/>
      </c>
      <c r="H27" s="10" t="s">
        <v>12</v>
      </c>
      <c r="I27" s="11" t="s">
        <v>12</v>
      </c>
      <c r="J27" s="12"/>
    </row>
    <row r="28" spans="1:10" ht="60" customHeight="1">
      <c r="A28" s="6" t="s">
        <v>119</v>
      </c>
      <c r="B28" s="6" t="s">
        <v>26</v>
      </c>
      <c r="C28" s="6" t="s">
        <v>12</v>
      </c>
      <c r="D28" s="7" t="s">
        <v>53</v>
      </c>
      <c r="E28" s="8" t="s">
        <v>120</v>
      </c>
      <c r="F28" s="6" t="s">
        <v>121</v>
      </c>
      <c r="G28" s="9">
        <f>IF(A28=1,"_",IF(C28="_","???",C28))</f>
        <v/>
      </c>
      <c r="H28" s="10" t="s">
        <v>12</v>
      </c>
      <c r="I28" s="11" t="s">
        <v>12</v>
      </c>
      <c r="J28" s="12"/>
    </row>
    <row r="29" spans="1:10" ht="60" customHeight="1">
      <c r="A29" s="6" t="s">
        <v>122</v>
      </c>
      <c r="B29" s="6" t="s">
        <v>22</v>
      </c>
      <c r="C29" s="6" t="s">
        <v>69</v>
      </c>
      <c r="D29" s="7" t="s">
        <v>74</v>
      </c>
      <c r="E29" s="8" t="s">
        <v>123</v>
      </c>
      <c r="F29" s="6" t="s">
        <v>124</v>
      </c>
      <c r="G29" s="9">
        <f>IF(A29=1,"_",IF(C29="_","???",C29))</f>
        <v/>
      </c>
      <c r="H29" s="10" t="s">
        <v>12</v>
      </c>
      <c r="I29" s="11" t="s">
        <v>12</v>
      </c>
      <c r="J29" s="12"/>
    </row>
    <row r="30" spans="1:10" ht="60" customHeight="1">
      <c r="A30" s="6" t="s">
        <v>125</v>
      </c>
      <c r="B30" s="6" t="s">
        <v>26</v>
      </c>
      <c r="C30" s="6" t="s">
        <v>18</v>
      </c>
      <c r="D30" s="7" t="s">
        <v>74</v>
      </c>
      <c r="E30" s="8" t="s">
        <v>126</v>
      </c>
      <c r="F30" s="6" t="s">
        <v>127</v>
      </c>
      <c r="G30" s="9">
        <f>IF(A30=1,"_",IF(C30="_","???",C30))</f>
        <v/>
      </c>
      <c r="H30" s="10" t="s">
        <v>12</v>
      </c>
      <c r="I30" s="11" t="s">
        <v>12</v>
      </c>
      <c r="J30" s="12"/>
    </row>
    <row r="31" spans="1:10" ht="60" customHeight="1">
      <c r="A31" s="6" t="s">
        <v>128</v>
      </c>
      <c r="B31" s="6" t="s">
        <v>26</v>
      </c>
      <c r="C31" s="6" t="s">
        <v>52</v>
      </c>
      <c r="D31" s="7" t="s">
        <v>129</v>
      </c>
      <c r="E31" s="8" t="s">
        <v>130</v>
      </c>
      <c r="F31" s="6" t="s">
        <v>131</v>
      </c>
      <c r="G31" s="9">
        <f>IF(A31=1,"_",IF(C31="_","???",C31))</f>
        <v/>
      </c>
      <c r="H31" s="10" t="s">
        <v>12</v>
      </c>
      <c r="I31" s="11" t="s">
        <v>12</v>
      </c>
      <c r="J31" s="12"/>
    </row>
    <row r="32" spans="1:10" ht="60" customHeight="1">
      <c r="A32" s="6" t="s">
        <v>132</v>
      </c>
      <c r="B32" s="6" t="s">
        <v>31</v>
      </c>
      <c r="C32" s="6" t="s">
        <v>133</v>
      </c>
      <c r="D32" s="7" t="s">
        <v>134</v>
      </c>
      <c r="E32" s="8" t="s">
        <v>135</v>
      </c>
      <c r="F32" s="6" t="s">
        <v>136</v>
      </c>
      <c r="G32" s="9">
        <f>IF(A32=1,"_",IF(C32="_","???",C32))</f>
        <v/>
      </c>
      <c r="H32" s="10" t="s">
        <v>12</v>
      </c>
      <c r="I32" s="11" t="s">
        <v>12</v>
      </c>
      <c r="J32" s="12"/>
    </row>
    <row r="33" spans="1:10" ht="60" customHeight="1">
      <c r="A33" s="6" t="s">
        <v>137</v>
      </c>
      <c r="B33" s="6" t="s">
        <v>16</v>
      </c>
      <c r="C33" s="6" t="s">
        <v>12</v>
      </c>
      <c r="D33" s="7" t="s">
        <v>138</v>
      </c>
      <c r="E33" s="8" t="s">
        <v>139</v>
      </c>
      <c r="F33" s="6" t="s">
        <v>140</v>
      </c>
      <c r="G33" s="9">
        <f>IF(A33=1,"_",IF(C33="_","???",C33))</f>
        <v/>
      </c>
      <c r="H33" s="10" t="s">
        <v>12</v>
      </c>
      <c r="I33" s="11" t="s">
        <v>12</v>
      </c>
      <c r="J33" s="12"/>
    </row>
    <row r="34" spans="1:10" ht="60" customHeight="1">
      <c r="A34" s="6" t="s">
        <v>141</v>
      </c>
      <c r="B34" s="6" t="s">
        <v>10</v>
      </c>
      <c r="C34" s="6" t="s">
        <v>12</v>
      </c>
      <c r="D34" s="7" t="s">
        <v>142</v>
      </c>
      <c r="E34" s="8" t="s">
        <v>143</v>
      </c>
      <c r="F34" s="6" t="s">
        <v>144</v>
      </c>
      <c r="G34" s="9">
        <f>IF(A34=1,"_",IF(C34="_","???",C34))</f>
        <v/>
      </c>
      <c r="H34" s="10" t="s">
        <v>12</v>
      </c>
      <c r="I34" s="11" t="s">
        <v>12</v>
      </c>
      <c r="J34" s="12"/>
    </row>
    <row r="35" spans="1:10" ht="60" customHeight="1">
      <c r="A35" s="6" t="s">
        <v>145</v>
      </c>
      <c r="B35" s="6" t="s">
        <v>10</v>
      </c>
      <c r="C35" s="6" t="s">
        <v>12</v>
      </c>
      <c r="D35" s="7" t="s">
        <v>116</v>
      </c>
      <c r="E35" s="8" t="s">
        <v>146</v>
      </c>
      <c r="F35" s="6" t="s">
        <v>147</v>
      </c>
      <c r="G35" s="9">
        <f>IF(A35=1,"_",IF(C35="_","???",C35))</f>
        <v/>
      </c>
      <c r="H35" s="10" t="s">
        <v>12</v>
      </c>
      <c r="I35" s="11" t="s">
        <v>12</v>
      </c>
      <c r="J35" s="12"/>
    </row>
    <row r="36" spans="1:10" ht="60" customHeight="1">
      <c r="A36" s="6" t="s">
        <v>148</v>
      </c>
      <c r="B36" s="6" t="s">
        <v>22</v>
      </c>
      <c r="C36" s="6" t="s">
        <v>44</v>
      </c>
      <c r="D36" s="7" t="s">
        <v>149</v>
      </c>
      <c r="E36" s="8" t="s">
        <v>150</v>
      </c>
      <c r="F36" s="6" t="s">
        <v>151</v>
      </c>
      <c r="G36" s="9">
        <f>IF(A36=1,"_",IF(C36="_","???",C36))</f>
        <v/>
      </c>
      <c r="H36" s="10" t="s">
        <v>12</v>
      </c>
      <c r="I36" s="11" t="s">
        <v>12</v>
      </c>
      <c r="J36" s="12"/>
    </row>
    <row r="37" spans="1:10" ht="60" customHeight="1">
      <c r="A37" s="6" t="s">
        <v>152</v>
      </c>
      <c r="B37" s="6" t="s">
        <v>16</v>
      </c>
      <c r="C37" s="6" t="s">
        <v>153</v>
      </c>
      <c r="D37" s="7" t="s">
        <v>154</v>
      </c>
      <c r="E37" s="8" t="s">
        <v>155</v>
      </c>
      <c r="F37" s="6" t="s">
        <v>156</v>
      </c>
      <c r="G37" s="9">
        <f>IF(A37=1,"_",IF(C37="_","???",C37))</f>
        <v/>
      </c>
      <c r="H37" s="10" t="s">
        <v>12</v>
      </c>
      <c r="I37" s="11" t="s">
        <v>12</v>
      </c>
      <c r="J37" s="12"/>
    </row>
    <row r="38" spans="1:10" ht="60" customHeight="1">
      <c r="A38" s="6" t="s">
        <v>157</v>
      </c>
      <c r="B38" s="6" t="s">
        <v>38</v>
      </c>
      <c r="C38" s="6" t="s">
        <v>18</v>
      </c>
      <c r="D38" s="7" t="s">
        <v>158</v>
      </c>
      <c r="E38" s="8" t="s">
        <v>159</v>
      </c>
      <c r="F38" s="6" t="s">
        <v>160</v>
      </c>
      <c r="G38" s="9">
        <f>IF(A38=1,"_",IF(C38="_","???",C38))</f>
        <v/>
      </c>
      <c r="H38" s="10" t="s">
        <v>12</v>
      </c>
      <c r="I38" s="11" t="s">
        <v>12</v>
      </c>
      <c r="J38" s="12"/>
    </row>
    <row r="39" spans="1:10" ht="60" customHeight="1">
      <c r="A39" s="6" t="s">
        <v>161</v>
      </c>
      <c r="B39" s="6" t="s">
        <v>43</v>
      </c>
      <c r="C39" s="6" t="s">
        <v>69</v>
      </c>
      <c r="D39" s="7" t="s">
        <v>162</v>
      </c>
      <c r="E39" s="8" t="s">
        <v>163</v>
      </c>
      <c r="F39" s="6" t="s">
        <v>164</v>
      </c>
      <c r="G39" s="9">
        <f>IF(A39=1,"_",IF(C39="_","???",C39))</f>
        <v/>
      </c>
      <c r="H39" s="10" t="s">
        <v>12</v>
      </c>
      <c r="I39" s="11" t="s">
        <v>12</v>
      </c>
      <c r="J39" s="12"/>
    </row>
    <row r="40" spans="1:10" ht="60" customHeight="1">
      <c r="A40" s="6" t="s">
        <v>165</v>
      </c>
      <c r="B40" s="6" t="s">
        <v>38</v>
      </c>
      <c r="C40" s="6" t="s">
        <v>69</v>
      </c>
      <c r="D40" s="7" t="s">
        <v>166</v>
      </c>
      <c r="E40" s="8" t="s">
        <v>167</v>
      </c>
      <c r="F40" s="6" t="s">
        <v>168</v>
      </c>
      <c r="G40" s="9">
        <f>IF(A40=1,"_",IF(C40="_","???",C40))</f>
        <v/>
      </c>
      <c r="H40" s="10" t="s">
        <v>12</v>
      </c>
      <c r="I40" s="11" t="s">
        <v>12</v>
      </c>
      <c r="J40" s="12"/>
    </row>
    <row r="41" spans="1:10" ht="60" customHeight="1">
      <c r="A41" s="6" t="s">
        <v>169</v>
      </c>
      <c r="B41" s="6" t="s">
        <v>31</v>
      </c>
      <c r="C41" s="6" t="s">
        <v>12</v>
      </c>
      <c r="D41" s="7" t="s">
        <v>170</v>
      </c>
      <c r="E41" s="8" t="s">
        <v>171</v>
      </c>
      <c r="F41" s="6" t="s">
        <v>172</v>
      </c>
      <c r="G41" s="9">
        <f>IF(A41=1,"_",IF(C41="_","???",C41))</f>
        <v/>
      </c>
      <c r="H41" s="10" t="s">
        <v>12</v>
      </c>
      <c r="I41" s="11" t="s">
        <v>12</v>
      </c>
      <c r="J41" s="12"/>
    </row>
    <row r="42" spans="1:10" ht="60" customHeight="1">
      <c r="A42" s="6" t="s">
        <v>173</v>
      </c>
      <c r="B42" s="6" t="s">
        <v>10</v>
      </c>
      <c r="C42" s="6" t="s">
        <v>18</v>
      </c>
      <c r="D42" s="7" t="s">
        <v>174</v>
      </c>
      <c r="E42" s="8" t="s">
        <v>175</v>
      </c>
      <c r="F42" s="6" t="s">
        <v>176</v>
      </c>
      <c r="G42" s="9">
        <f>IF(A42=1,"_",IF(C42="_","???",C42))</f>
        <v/>
      </c>
      <c r="H42" s="10" t="s">
        <v>12</v>
      </c>
      <c r="I42" s="11" t="s">
        <v>12</v>
      </c>
      <c r="J42" s="12"/>
    </row>
    <row r="43" spans="1:10" ht="60" customHeight="1">
      <c r="A43" s="6" t="s">
        <v>177</v>
      </c>
      <c r="B43" s="6" t="s">
        <v>31</v>
      </c>
      <c r="C43" s="6" t="s">
        <v>12</v>
      </c>
      <c r="D43" s="7" t="s">
        <v>178</v>
      </c>
      <c r="E43" s="8" t="s">
        <v>179</v>
      </c>
      <c r="F43" s="6" t="s">
        <v>180</v>
      </c>
      <c r="G43" s="9">
        <f>IF(A43=1,"_",IF(C43="_","???",C43))</f>
        <v/>
      </c>
      <c r="H43" s="10" t="s">
        <v>12</v>
      </c>
      <c r="I43" s="11" t="s">
        <v>12</v>
      </c>
      <c r="J43" s="12"/>
    </row>
    <row r="44" spans="1:10" ht="60" customHeight="1">
      <c r="A44" s="6" t="s">
        <v>181</v>
      </c>
      <c r="B44" s="6" t="s">
        <v>16</v>
      </c>
      <c r="C44" s="6" t="s">
        <v>18</v>
      </c>
      <c r="D44" s="7" t="s">
        <v>104</v>
      </c>
      <c r="E44" s="8" t="s">
        <v>182</v>
      </c>
      <c r="F44" s="6" t="s">
        <v>183</v>
      </c>
      <c r="G44" s="9">
        <f>IF(A44=1,"_",IF(C44="_","???",C44))</f>
        <v/>
      </c>
      <c r="H44" s="10" t="s">
        <v>12</v>
      </c>
      <c r="I44" s="11" t="s">
        <v>12</v>
      </c>
      <c r="J44" s="12"/>
    </row>
    <row r="45" spans="1:10" ht="60" customHeight="1">
      <c r="A45" s="6" t="s">
        <v>184</v>
      </c>
      <c r="B45" s="6" t="s">
        <v>22</v>
      </c>
      <c r="C45" s="6" t="s">
        <v>27</v>
      </c>
      <c r="D45" s="7" t="s">
        <v>185</v>
      </c>
      <c r="E45" s="8" t="s">
        <v>186</v>
      </c>
      <c r="F45" s="6" t="s">
        <v>187</v>
      </c>
      <c r="G45" s="9">
        <f>IF(A45=1,"_",IF(C45="_","???",C45))</f>
        <v/>
      </c>
      <c r="H45" s="10" t="s">
        <v>12</v>
      </c>
      <c r="I45" s="11" t="s">
        <v>12</v>
      </c>
      <c r="J45" s="12"/>
    </row>
    <row r="46" spans="1:10" ht="60" customHeight="1">
      <c r="A46" s="6" t="s">
        <v>188</v>
      </c>
      <c r="B46" s="6" t="s">
        <v>16</v>
      </c>
      <c r="C46" s="6" t="s">
        <v>69</v>
      </c>
      <c r="D46" s="7" t="s">
        <v>189</v>
      </c>
      <c r="E46" s="8" t="s">
        <v>190</v>
      </c>
      <c r="F46" s="6" t="s">
        <v>191</v>
      </c>
      <c r="G46" s="9">
        <f>IF(A46=1,"_",IF(C46="_","???",C46))</f>
        <v/>
      </c>
      <c r="H46" s="10" t="s">
        <v>12</v>
      </c>
      <c r="I46" s="11" t="s">
        <v>12</v>
      </c>
      <c r="J46" s="12"/>
    </row>
    <row r="47" spans="1:10" ht="60" customHeight="1">
      <c r="A47" s="6" t="s">
        <v>192</v>
      </c>
      <c r="B47" s="6" t="s">
        <v>31</v>
      </c>
      <c r="C47" s="6" t="s">
        <v>193</v>
      </c>
      <c r="D47" s="7" t="s">
        <v>194</v>
      </c>
      <c r="E47" s="8" t="s">
        <v>195</v>
      </c>
      <c r="F47" s="6" t="s">
        <v>196</v>
      </c>
      <c r="G47" s="9">
        <f>IF(A47=1,"_",IF(C47="_","???",C47))</f>
        <v/>
      </c>
      <c r="H47" s="10" t="s">
        <v>12</v>
      </c>
      <c r="I47" s="11" t="s">
        <v>12</v>
      </c>
      <c r="J47" s="12"/>
    </row>
    <row r="48" spans="1:10" ht="60" customHeight="1">
      <c r="A48" s="6" t="s">
        <v>197</v>
      </c>
      <c r="B48" s="6" t="s">
        <v>17</v>
      </c>
      <c r="C48" s="6" t="s">
        <v>12</v>
      </c>
      <c r="D48" s="7" t="s">
        <v>158</v>
      </c>
      <c r="E48" s="8" t="s">
        <v>198</v>
      </c>
      <c r="F48" s="6" t="s">
        <v>199</v>
      </c>
      <c r="G48" s="9">
        <f>IF(A48=1,"_",IF(C48="_","???",C48))</f>
        <v/>
      </c>
      <c r="H48" s="10" t="s">
        <v>12</v>
      </c>
      <c r="I48" s="11" t="s">
        <v>12</v>
      </c>
      <c r="J48" s="12"/>
    </row>
    <row r="49" spans="1:10" ht="60" customHeight="1">
      <c r="A49" s="6" t="s">
        <v>200</v>
      </c>
      <c r="B49" s="6" t="s">
        <v>16</v>
      </c>
      <c r="C49" s="6" t="s">
        <v>12</v>
      </c>
      <c r="D49" s="7" t="s">
        <v>201</v>
      </c>
      <c r="E49" s="8" t="s">
        <v>202</v>
      </c>
      <c r="F49" s="6" t="s">
        <v>203</v>
      </c>
      <c r="G49" s="9">
        <f>IF(A49=1,"_",IF(C49="_","???",C49))</f>
        <v/>
      </c>
      <c r="H49" s="10" t="s">
        <v>12</v>
      </c>
      <c r="I49" s="11" t="s">
        <v>12</v>
      </c>
      <c r="J49" s="12"/>
    </row>
    <row r="50" spans="1:10" ht="60" customHeight="1">
      <c r="A50" s="6" t="s">
        <v>204</v>
      </c>
      <c r="B50" s="6" t="s">
        <v>16</v>
      </c>
      <c r="C50" s="6" t="s">
        <v>12</v>
      </c>
      <c r="D50" s="7" t="s">
        <v>205</v>
      </c>
      <c r="E50" s="8" t="s">
        <v>206</v>
      </c>
      <c r="F50" s="6" t="s">
        <v>207</v>
      </c>
      <c r="G50" s="9">
        <f>IF(A50=1,"_",IF(C50="_","???",C50))</f>
        <v/>
      </c>
      <c r="H50" s="10" t="s">
        <v>12</v>
      </c>
      <c r="I50" s="11" t="s">
        <v>12</v>
      </c>
      <c r="J50" s="12"/>
    </row>
    <row r="51" spans="1:10" ht="60" customHeight="1">
      <c r="A51" s="6" t="s">
        <v>208</v>
      </c>
      <c r="B51" s="6" t="s">
        <v>26</v>
      </c>
      <c r="C51" s="6" t="s">
        <v>12</v>
      </c>
      <c r="D51" s="7" t="s">
        <v>209</v>
      </c>
      <c r="E51" s="8" t="s">
        <v>210</v>
      </c>
      <c r="F51" s="6" t="s">
        <v>211</v>
      </c>
      <c r="G51" s="9">
        <f>IF(A51=1,"_",IF(C51="_","???",C51))</f>
        <v/>
      </c>
      <c r="H51" s="10" t="s">
        <v>12</v>
      </c>
      <c r="I51" s="11" t="s">
        <v>12</v>
      </c>
      <c r="J51" s="12"/>
    </row>
    <row r="52" spans="1:10" ht="60" customHeight="1">
      <c r="A52" s="6" t="s">
        <v>212</v>
      </c>
      <c r="B52" s="6" t="s">
        <v>22</v>
      </c>
      <c r="C52" s="6" t="s">
        <v>18</v>
      </c>
      <c r="D52" s="7" t="s">
        <v>213</v>
      </c>
      <c r="E52" s="8" t="s">
        <v>214</v>
      </c>
      <c r="F52" s="6" t="s">
        <v>215</v>
      </c>
      <c r="G52" s="9">
        <f>IF(A52=1,"_",IF(C52="_","???",C52))</f>
        <v/>
      </c>
      <c r="H52" s="10" t="s">
        <v>12</v>
      </c>
      <c r="I52" s="11" t="s">
        <v>12</v>
      </c>
      <c r="J52" s="12"/>
    </row>
    <row r="53" spans="1:10" ht="60" customHeight="1">
      <c r="A53" s="6" t="s">
        <v>216</v>
      </c>
      <c r="B53" s="6" t="s">
        <v>22</v>
      </c>
      <c r="C53" s="6" t="s">
        <v>27</v>
      </c>
      <c r="D53" s="7" t="s">
        <v>23</v>
      </c>
      <c r="E53" s="8" t="s">
        <v>217</v>
      </c>
      <c r="F53" s="6" t="s">
        <v>218</v>
      </c>
      <c r="G53" s="9">
        <f>IF(A53=1,"_",IF(C53="_","???",C53))</f>
        <v/>
      </c>
      <c r="H53" s="10" t="s">
        <v>12</v>
      </c>
      <c r="I53" s="11" t="s">
        <v>12</v>
      </c>
      <c r="J53" s="12"/>
    </row>
    <row r="54" spans="1:10" ht="60" customHeight="1">
      <c r="A54" s="6" t="s">
        <v>219</v>
      </c>
      <c r="B54" s="6" t="s">
        <v>16</v>
      </c>
      <c r="C54" s="6" t="s">
        <v>12</v>
      </c>
      <c r="D54" s="7" t="s">
        <v>220</v>
      </c>
      <c r="E54" s="8" t="s">
        <v>221</v>
      </c>
      <c r="F54" s="6" t="s">
        <v>222</v>
      </c>
      <c r="G54" s="9">
        <f>IF(A54=1,"_",IF(C54="_","???",C54))</f>
        <v/>
      </c>
      <c r="H54" s="10" t="s">
        <v>12</v>
      </c>
      <c r="I54" s="11" t="s">
        <v>12</v>
      </c>
      <c r="J54" s="12"/>
    </row>
    <row r="55" spans="1:10" ht="60" customHeight="1">
      <c r="A55" s="6" t="s">
        <v>223</v>
      </c>
      <c r="B55" s="6" t="s">
        <v>68</v>
      </c>
      <c r="C55" s="6" t="s">
        <v>18</v>
      </c>
      <c r="D55" s="7" t="s">
        <v>224</v>
      </c>
      <c r="E55" s="8" t="s">
        <v>225</v>
      </c>
      <c r="F55" s="6" t="s">
        <v>226</v>
      </c>
      <c r="G55" s="9">
        <f>IF(A55=1,"_",IF(C55="_","???",C55))</f>
        <v/>
      </c>
      <c r="H55" s="10" t="s">
        <v>12</v>
      </c>
      <c r="I55" s="11" t="s">
        <v>12</v>
      </c>
      <c r="J55" s="12"/>
    </row>
    <row r="56" spans="1:10" ht="60" customHeight="1">
      <c r="A56" s="6" t="s">
        <v>227</v>
      </c>
      <c r="B56" s="6" t="s">
        <v>17</v>
      </c>
      <c r="C56" s="6" t="s">
        <v>12</v>
      </c>
      <c r="D56" s="7" t="s">
        <v>228</v>
      </c>
      <c r="E56" s="8" t="s">
        <v>229</v>
      </c>
      <c r="F56" s="6" t="s">
        <v>230</v>
      </c>
      <c r="G56" s="9">
        <f>IF(A56=1,"_",IF(C56="_","???",C56))</f>
        <v/>
      </c>
      <c r="H56" s="10" t="s">
        <v>12</v>
      </c>
      <c r="I56" s="11" t="s">
        <v>12</v>
      </c>
      <c r="J56" s="12"/>
    </row>
    <row r="57" spans="1:10" ht="60" customHeight="1">
      <c r="A57" s="6" t="s">
        <v>231</v>
      </c>
      <c r="B57" s="6" t="s">
        <v>59</v>
      </c>
      <c r="C57" s="6" t="s">
        <v>44</v>
      </c>
      <c r="D57" s="7" t="s">
        <v>158</v>
      </c>
      <c r="E57" s="8" t="s">
        <v>232</v>
      </c>
      <c r="F57" s="6" t="s">
        <v>233</v>
      </c>
      <c r="G57" s="9">
        <f>IF(A57=1,"_",IF(C57="_","???",C57))</f>
        <v/>
      </c>
      <c r="H57" s="10" t="s">
        <v>12</v>
      </c>
      <c r="I57" s="11" t="s">
        <v>12</v>
      </c>
      <c r="J57" s="12"/>
    </row>
    <row r="58" spans="1:10" ht="60" customHeight="1">
      <c r="A58" s="6" t="s">
        <v>234</v>
      </c>
      <c r="B58" s="6" t="s">
        <v>22</v>
      </c>
      <c r="C58" s="6" t="s">
        <v>18</v>
      </c>
      <c r="D58" s="7" t="s">
        <v>235</v>
      </c>
      <c r="E58" s="8" t="s">
        <v>236</v>
      </c>
      <c r="F58" s="6" t="s">
        <v>237</v>
      </c>
      <c r="G58" s="9">
        <f>IF(A58=1,"_",IF(C58="_","???",C58))</f>
        <v/>
      </c>
      <c r="H58" s="10" t="s">
        <v>12</v>
      </c>
      <c r="I58" s="11" t="s">
        <v>12</v>
      </c>
      <c r="J58" s="12"/>
    </row>
    <row r="59" spans="1:10" ht="60" customHeight="1">
      <c r="A59" s="6" t="s">
        <v>238</v>
      </c>
      <c r="B59" s="6" t="s">
        <v>16</v>
      </c>
      <c r="C59" s="6" t="s">
        <v>239</v>
      </c>
      <c r="D59" s="7" t="s">
        <v>32</v>
      </c>
      <c r="E59" s="8" t="s">
        <v>240</v>
      </c>
      <c r="F59" s="6" t="s">
        <v>241</v>
      </c>
      <c r="G59" s="9">
        <f>IF(A59=1,"_",IF(C59="_","???",C59))</f>
        <v/>
      </c>
      <c r="H59" s="10" t="s">
        <v>12</v>
      </c>
      <c r="I59" s="11" t="s">
        <v>12</v>
      </c>
      <c r="J59" s="12"/>
    </row>
    <row r="60" spans="1:10" ht="60" customHeight="1">
      <c r="A60" s="6" t="s">
        <v>242</v>
      </c>
      <c r="B60" s="6" t="s">
        <v>22</v>
      </c>
      <c r="C60" s="6" t="s">
        <v>44</v>
      </c>
      <c r="D60" s="7" t="s">
        <v>243</v>
      </c>
      <c r="E60" s="8" t="s">
        <v>244</v>
      </c>
      <c r="F60" s="6" t="s">
        <v>245</v>
      </c>
      <c r="G60" s="9">
        <f>IF(A60=1,"_",IF(C60="_","???",C60))</f>
        <v/>
      </c>
      <c r="H60" s="10" t="s">
        <v>12</v>
      </c>
      <c r="I60" s="11" t="s">
        <v>12</v>
      </c>
      <c r="J60" s="12"/>
    </row>
    <row r="61" spans="1:10" ht="60" customHeight="1">
      <c r="A61" s="6" t="s">
        <v>246</v>
      </c>
      <c r="B61" s="6" t="s">
        <v>31</v>
      </c>
      <c r="C61" s="6" t="s">
        <v>44</v>
      </c>
      <c r="D61" s="7" t="s">
        <v>32</v>
      </c>
      <c r="E61" s="8" t="s">
        <v>247</v>
      </c>
      <c r="F61" s="6" t="s">
        <v>248</v>
      </c>
      <c r="G61" s="9">
        <f>IF(A61=1,"_",IF(C61="_","???",C61))</f>
        <v/>
      </c>
      <c r="H61" s="10" t="s">
        <v>12</v>
      </c>
      <c r="I61" s="11" t="s">
        <v>12</v>
      </c>
      <c r="J61" s="12"/>
    </row>
    <row r="62" spans="1:10" ht="60" customHeight="1">
      <c r="A62" s="6" t="s">
        <v>249</v>
      </c>
      <c r="B62" s="6" t="s">
        <v>16</v>
      </c>
      <c r="C62" s="6" t="s">
        <v>12</v>
      </c>
      <c r="D62" s="7" t="s">
        <v>250</v>
      </c>
      <c r="E62" s="8" t="s">
        <v>251</v>
      </c>
      <c r="F62" s="6" t="s">
        <v>252</v>
      </c>
      <c r="G62" s="9">
        <f>IF(A62=1,"_",IF(C62="_","???",C62))</f>
        <v/>
      </c>
      <c r="H62" s="10" t="s">
        <v>12</v>
      </c>
      <c r="I62" s="11" t="s">
        <v>12</v>
      </c>
      <c r="J62" s="12"/>
    </row>
    <row r="63" spans="1:10" ht="60" customHeight="1">
      <c r="A63" s="6" t="s">
        <v>253</v>
      </c>
      <c r="B63" s="6" t="s">
        <v>16</v>
      </c>
      <c r="C63" s="6" t="s">
        <v>12</v>
      </c>
      <c r="D63" s="7" t="s">
        <v>254</v>
      </c>
      <c r="E63" s="8" t="s">
        <v>255</v>
      </c>
      <c r="F63" s="6" t="s">
        <v>256</v>
      </c>
      <c r="G63" s="9">
        <f>IF(A63=1,"_",IF(C63="_","???",C63))</f>
        <v/>
      </c>
      <c r="H63" s="10" t="s">
        <v>12</v>
      </c>
      <c r="I63" s="11" t="s">
        <v>12</v>
      </c>
      <c r="J63" s="12"/>
    </row>
    <row r="64" spans="1:10" ht="60" customHeight="1">
      <c r="A64" s="6" t="s">
        <v>257</v>
      </c>
      <c r="B64" s="6" t="s">
        <v>26</v>
      </c>
      <c r="C64" s="6" t="s">
        <v>12</v>
      </c>
      <c r="D64" s="7" t="s">
        <v>23</v>
      </c>
      <c r="E64" s="8" t="s">
        <v>258</v>
      </c>
      <c r="F64" s="6" t="s">
        <v>259</v>
      </c>
      <c r="G64" s="9">
        <f>IF(A64=1,"_",IF(C64="_","???",C64))</f>
        <v/>
      </c>
      <c r="H64" s="10" t="s">
        <v>12</v>
      </c>
      <c r="I64" s="11" t="s">
        <v>12</v>
      </c>
      <c r="J64" s="12"/>
    </row>
    <row r="65" spans="1:10" ht="60" customHeight="1">
      <c r="A65" s="6" t="s">
        <v>260</v>
      </c>
      <c r="B65" s="6" t="s">
        <v>56</v>
      </c>
      <c r="C65" s="6" t="s">
        <v>193</v>
      </c>
      <c r="D65" s="7" t="s">
        <v>261</v>
      </c>
      <c r="E65" s="8" t="s">
        <v>262</v>
      </c>
      <c r="F65" s="6" t="s">
        <v>263</v>
      </c>
      <c r="G65" s="9">
        <f>IF(A65=1,"_",IF(C65="_","???",C65))</f>
        <v/>
      </c>
      <c r="H65" s="10" t="s">
        <v>12</v>
      </c>
      <c r="I65" s="11" t="s">
        <v>12</v>
      </c>
      <c r="J65" s="12"/>
    </row>
    <row r="66" spans="1:10" ht="60" customHeight="1">
      <c r="A66" s="6" t="s">
        <v>264</v>
      </c>
      <c r="B66" s="6" t="s">
        <v>22</v>
      </c>
      <c r="C66" s="6" t="s">
        <v>44</v>
      </c>
      <c r="D66" s="7" t="s">
        <v>265</v>
      </c>
      <c r="E66" s="8" t="s">
        <v>266</v>
      </c>
      <c r="F66" s="6" t="s">
        <v>267</v>
      </c>
      <c r="G66" s="9">
        <f>IF(A66=1,"_",IF(C66="_","???",C66))</f>
        <v/>
      </c>
      <c r="H66" s="10" t="s">
        <v>12</v>
      </c>
      <c r="I66" s="11" t="s">
        <v>12</v>
      </c>
      <c r="J66" s="12"/>
    </row>
    <row r="67" spans="1:10" ht="60" customHeight="1">
      <c r="A67" s="6" t="s">
        <v>268</v>
      </c>
      <c r="B67" s="6" t="s">
        <v>26</v>
      </c>
      <c r="C67" s="6" t="s">
        <v>12</v>
      </c>
      <c r="D67" s="7" t="s">
        <v>23</v>
      </c>
      <c r="E67" s="8" t="s">
        <v>269</v>
      </c>
      <c r="F67" s="6" t="s">
        <v>270</v>
      </c>
      <c r="G67" s="9">
        <f>IF(A67=1,"_",IF(C67="_","???",C67))</f>
        <v/>
      </c>
      <c r="H67" s="10" t="s">
        <v>12</v>
      </c>
      <c r="I67" s="11" t="s">
        <v>12</v>
      </c>
      <c r="J67" s="12"/>
    </row>
    <row r="68" spans="1:10" ht="60" customHeight="1">
      <c r="A68" s="6" t="s">
        <v>271</v>
      </c>
      <c r="B68" s="6" t="s">
        <v>16</v>
      </c>
      <c r="C68" s="6" t="s">
        <v>12</v>
      </c>
      <c r="D68" s="7" t="s">
        <v>149</v>
      </c>
      <c r="E68" s="8" t="s">
        <v>272</v>
      </c>
      <c r="F68" s="6" t="s">
        <v>273</v>
      </c>
      <c r="G68" s="9">
        <f>IF(A68=1,"_",IF(C68="_","???",C68))</f>
        <v/>
      </c>
      <c r="H68" s="10" t="s">
        <v>12</v>
      </c>
      <c r="I68" s="11" t="s">
        <v>12</v>
      </c>
      <c r="J68" s="12"/>
    </row>
    <row r="69" spans="1:10" ht="60" customHeight="1">
      <c r="A69" s="6" t="s">
        <v>274</v>
      </c>
      <c r="B69" s="6" t="s">
        <v>26</v>
      </c>
      <c r="C69" s="6" t="s">
        <v>52</v>
      </c>
      <c r="D69" s="7" t="s">
        <v>32</v>
      </c>
      <c r="E69" s="8" t="s">
        <v>275</v>
      </c>
      <c r="F69" s="6" t="s">
        <v>276</v>
      </c>
      <c r="G69" s="9">
        <f>IF(A69=1,"_",IF(C69="_","???",C69))</f>
        <v/>
      </c>
      <c r="H69" s="10" t="s">
        <v>12</v>
      </c>
      <c r="I69" s="11" t="s">
        <v>12</v>
      </c>
      <c r="J69" s="12"/>
    </row>
    <row r="70" spans="1:10" ht="60" customHeight="1">
      <c r="A70" s="6" t="s">
        <v>277</v>
      </c>
      <c r="B70" s="6" t="s">
        <v>26</v>
      </c>
      <c r="C70" s="6" t="s">
        <v>44</v>
      </c>
      <c r="D70" s="7" t="s">
        <v>185</v>
      </c>
      <c r="E70" s="8" t="s">
        <v>278</v>
      </c>
      <c r="F70" s="6" t="s">
        <v>279</v>
      </c>
      <c r="G70" s="9">
        <f>IF(A70=1,"_",IF(C70="_","???",C70))</f>
        <v/>
      </c>
      <c r="H70" s="10" t="s">
        <v>12</v>
      </c>
      <c r="I70" s="11" t="s">
        <v>12</v>
      </c>
      <c r="J70" s="12"/>
    </row>
    <row r="71" spans="1:10" ht="60" customHeight="1">
      <c r="A71" s="6" t="s">
        <v>280</v>
      </c>
      <c r="B71" s="6" t="s">
        <v>31</v>
      </c>
      <c r="C71" s="6" t="s">
        <v>44</v>
      </c>
      <c r="D71" s="7" t="s">
        <v>281</v>
      </c>
      <c r="E71" s="8" t="s">
        <v>282</v>
      </c>
      <c r="F71" s="6" t="s">
        <v>283</v>
      </c>
      <c r="G71" s="9">
        <f>IF(A71=1,"_",IF(C71="_","???",C71))</f>
        <v/>
      </c>
      <c r="H71" s="10" t="s">
        <v>12</v>
      </c>
      <c r="I71" s="11" t="s">
        <v>12</v>
      </c>
      <c r="J71" s="12"/>
    </row>
    <row r="72" spans="1:10" ht="60" customHeight="1">
      <c r="A72" s="6" t="s">
        <v>284</v>
      </c>
      <c r="B72" s="6" t="s">
        <v>16</v>
      </c>
      <c r="C72" s="6" t="s">
        <v>12</v>
      </c>
      <c r="D72" s="7" t="s">
        <v>93</v>
      </c>
      <c r="E72" s="8" t="s">
        <v>285</v>
      </c>
      <c r="F72" s="6" t="s">
        <v>286</v>
      </c>
      <c r="G72" s="9">
        <f>IF(A72=1,"_",IF(C72="_","???",C72))</f>
        <v/>
      </c>
      <c r="H72" s="10" t="s">
        <v>12</v>
      </c>
      <c r="I72" s="11" t="s">
        <v>12</v>
      </c>
      <c r="J72" s="12"/>
    </row>
    <row r="73" spans="1:10" ht="60" customHeight="1">
      <c r="A73" s="6" t="s">
        <v>287</v>
      </c>
      <c r="B73" s="6" t="s">
        <v>22</v>
      </c>
      <c r="C73" s="6" t="s">
        <v>44</v>
      </c>
      <c r="D73" s="7" t="s">
        <v>74</v>
      </c>
      <c r="E73" s="8" t="s">
        <v>288</v>
      </c>
      <c r="F73" s="6" t="s">
        <v>289</v>
      </c>
      <c r="G73" s="9">
        <f>IF(A73=1,"_",IF(C73="_","???",C73))</f>
        <v/>
      </c>
      <c r="H73" s="10" t="s">
        <v>12</v>
      </c>
      <c r="I73" s="11" t="s">
        <v>12</v>
      </c>
      <c r="J73" s="12"/>
    </row>
    <row r="74" spans="1:10" ht="60" customHeight="1">
      <c r="A74" s="6" t="s">
        <v>290</v>
      </c>
      <c r="B74" s="6" t="s">
        <v>31</v>
      </c>
      <c r="C74" s="6" t="s">
        <v>44</v>
      </c>
      <c r="D74" s="7" t="s">
        <v>291</v>
      </c>
      <c r="E74" s="8" t="s">
        <v>292</v>
      </c>
      <c r="F74" s="6" t="s">
        <v>293</v>
      </c>
      <c r="G74" s="9">
        <f>IF(A74=1,"_",IF(C74="_","???",C74))</f>
        <v/>
      </c>
      <c r="H74" s="10" t="s">
        <v>12</v>
      </c>
      <c r="I74" s="11" t="s">
        <v>12</v>
      </c>
      <c r="J74" s="12"/>
    </row>
    <row r="75" spans="1:10" ht="60" customHeight="1">
      <c r="A75" s="6" t="s">
        <v>294</v>
      </c>
      <c r="B75" s="6" t="s">
        <v>31</v>
      </c>
      <c r="C75" s="6" t="s">
        <v>12</v>
      </c>
      <c r="D75" s="7" t="s">
        <v>53</v>
      </c>
      <c r="E75" s="8" t="s">
        <v>295</v>
      </c>
      <c r="F75" s="6" t="s">
        <v>296</v>
      </c>
      <c r="G75" s="9">
        <f>IF(A75=1,"_",IF(C75="_","???",C75))</f>
        <v/>
      </c>
      <c r="H75" s="10" t="s">
        <v>12</v>
      </c>
      <c r="I75" s="11" t="s">
        <v>12</v>
      </c>
      <c r="J75" s="12"/>
    </row>
    <row r="76" spans="1:10" ht="60" customHeight="1">
      <c r="A76" s="6" t="s">
        <v>297</v>
      </c>
      <c r="B76" s="6" t="s">
        <v>26</v>
      </c>
      <c r="C76" s="6" t="s">
        <v>18</v>
      </c>
      <c r="D76" s="7" t="s">
        <v>74</v>
      </c>
      <c r="E76" s="8" t="s">
        <v>298</v>
      </c>
      <c r="F76" s="6" t="s">
        <v>299</v>
      </c>
      <c r="G76" s="9">
        <f>IF(A76=1,"_",IF(C76="_","???",C76))</f>
        <v/>
      </c>
      <c r="H76" s="10" t="s">
        <v>12</v>
      </c>
      <c r="I76" s="11" t="s">
        <v>12</v>
      </c>
      <c r="J76" s="12"/>
    </row>
    <row r="77" spans="1:10" ht="60" customHeight="1">
      <c r="A77" s="6" t="s">
        <v>300</v>
      </c>
      <c r="B77" s="6" t="s">
        <v>38</v>
      </c>
      <c r="C77" s="6" t="s">
        <v>18</v>
      </c>
      <c r="D77" s="7" t="s">
        <v>301</v>
      </c>
      <c r="E77" s="8" t="s">
        <v>302</v>
      </c>
      <c r="F77" s="6" t="s">
        <v>303</v>
      </c>
      <c r="G77" s="9">
        <f>IF(A77=1,"_",IF(C77="_","???",C77))</f>
        <v/>
      </c>
      <c r="H77" s="10" t="s">
        <v>12</v>
      </c>
      <c r="I77" s="11" t="s">
        <v>12</v>
      </c>
      <c r="J77" s="12"/>
    </row>
    <row r="78" spans="1:10" ht="60" customHeight="1">
      <c r="A78" s="6" t="s">
        <v>304</v>
      </c>
      <c r="B78" s="6" t="s">
        <v>38</v>
      </c>
      <c r="C78" s="6" t="s">
        <v>27</v>
      </c>
      <c r="D78" s="7" t="s">
        <v>23</v>
      </c>
      <c r="E78" s="8" t="s">
        <v>305</v>
      </c>
      <c r="F78" s="6" t="s">
        <v>306</v>
      </c>
      <c r="G78" s="9">
        <f>IF(A78=1,"_",IF(C78="_","???",C78))</f>
        <v/>
      </c>
      <c r="H78" s="10" t="s">
        <v>12</v>
      </c>
      <c r="I78" s="11" t="s">
        <v>12</v>
      </c>
      <c r="J78" s="12"/>
    </row>
    <row r="79" spans="1:10" ht="60" customHeight="1">
      <c r="A79" s="6" t="s">
        <v>307</v>
      </c>
      <c r="B79" s="6" t="s">
        <v>22</v>
      </c>
      <c r="C79" s="6" t="s">
        <v>12</v>
      </c>
      <c r="D79" s="7" t="s">
        <v>308</v>
      </c>
      <c r="E79" s="8" t="s">
        <v>309</v>
      </c>
      <c r="F79" s="6" t="s">
        <v>310</v>
      </c>
      <c r="G79" s="9">
        <f>IF(A79=1,"_",IF(C79="_","???",C79))</f>
        <v/>
      </c>
      <c r="H79" s="10" t="s">
        <v>12</v>
      </c>
      <c r="I79" s="11" t="s">
        <v>12</v>
      </c>
      <c r="J79" s="12"/>
    </row>
    <row r="80" spans="1:10" ht="60" customHeight="1">
      <c r="A80" s="6" t="s">
        <v>311</v>
      </c>
      <c r="B80" s="6" t="s">
        <v>31</v>
      </c>
      <c r="C80" s="6" t="s">
        <v>18</v>
      </c>
      <c r="D80" s="7" t="s">
        <v>312</v>
      </c>
      <c r="E80" s="8" t="s">
        <v>313</v>
      </c>
      <c r="F80" s="6" t="s">
        <v>314</v>
      </c>
      <c r="G80" s="9">
        <f>IF(A80=1,"_",IF(C80="_","???",C80))</f>
        <v/>
      </c>
      <c r="H80" s="10" t="s">
        <v>12</v>
      </c>
      <c r="I80" s="11" t="s">
        <v>12</v>
      </c>
      <c r="J80" s="12"/>
    </row>
    <row r="81" spans="1:10" ht="60" customHeight="1">
      <c r="A81" s="6" t="s">
        <v>315</v>
      </c>
      <c r="B81" s="6" t="s">
        <v>48</v>
      </c>
      <c r="C81" s="6" t="s">
        <v>18</v>
      </c>
      <c r="D81" s="7" t="s">
        <v>316</v>
      </c>
      <c r="E81" s="8" t="s">
        <v>317</v>
      </c>
      <c r="F81" s="6" t="s">
        <v>318</v>
      </c>
      <c r="G81" s="9">
        <f>IF(A81=1,"_",IF(C81="_","???",C81))</f>
        <v/>
      </c>
      <c r="H81" s="10" t="s">
        <v>12</v>
      </c>
      <c r="I81" s="11" t="s">
        <v>12</v>
      </c>
      <c r="J81" s="12"/>
    </row>
    <row r="82" spans="1:10" ht="60" customHeight="1">
      <c r="A82" s="6" t="s">
        <v>319</v>
      </c>
      <c r="B82" s="6" t="s">
        <v>16</v>
      </c>
      <c r="C82" s="6" t="s">
        <v>12</v>
      </c>
      <c r="D82" s="7" t="s">
        <v>320</v>
      </c>
      <c r="E82" s="8" t="s">
        <v>321</v>
      </c>
      <c r="F82" s="6" t="s">
        <v>322</v>
      </c>
      <c r="G82" s="9">
        <f>IF(A82=1,"_",IF(C82="_","???",C82))</f>
        <v/>
      </c>
      <c r="H82" s="10" t="s">
        <v>12</v>
      </c>
      <c r="I82" s="11" t="s">
        <v>12</v>
      </c>
      <c r="J82" s="12"/>
    </row>
    <row r="83" spans="1:10" ht="60" customHeight="1">
      <c r="A83" s="6" t="s">
        <v>323</v>
      </c>
      <c r="B83" s="6" t="s">
        <v>16</v>
      </c>
      <c r="C83" s="6" t="s">
        <v>12</v>
      </c>
      <c r="D83" s="7" t="s">
        <v>74</v>
      </c>
      <c r="E83" s="8" t="s">
        <v>324</v>
      </c>
      <c r="F83" s="6" t="s">
        <v>325</v>
      </c>
      <c r="G83" s="9">
        <f>IF(A83=1,"_",IF(C83="_","???",C83))</f>
        <v/>
      </c>
      <c r="H83" s="10" t="s">
        <v>12</v>
      </c>
      <c r="I83" s="11" t="s">
        <v>12</v>
      </c>
      <c r="J83" s="12"/>
    </row>
    <row r="84" spans="1:10" ht="60" customHeight="1">
      <c r="A84" s="6" t="s">
        <v>326</v>
      </c>
      <c r="B84" s="6" t="s">
        <v>16</v>
      </c>
      <c r="C84" s="6" t="s">
        <v>12</v>
      </c>
      <c r="D84" s="7" t="s">
        <v>74</v>
      </c>
      <c r="E84" s="8" t="s">
        <v>327</v>
      </c>
      <c r="F84" s="6" t="s">
        <v>328</v>
      </c>
      <c r="G84" s="9">
        <f>IF(A84=1,"_",IF(C84="_","???",C84))</f>
        <v/>
      </c>
      <c r="H84" s="10" t="s">
        <v>12</v>
      </c>
      <c r="I84" s="11" t="s">
        <v>12</v>
      </c>
      <c r="J84" s="12"/>
    </row>
    <row r="85" spans="1:10" ht="60" customHeight="1">
      <c r="A85" s="6" t="s">
        <v>329</v>
      </c>
      <c r="B85" s="6" t="s">
        <v>16</v>
      </c>
      <c r="C85" s="6" t="s">
        <v>12</v>
      </c>
      <c r="D85" s="7" t="s">
        <v>74</v>
      </c>
      <c r="E85" s="8" t="s">
        <v>330</v>
      </c>
      <c r="F85" s="6" t="s">
        <v>331</v>
      </c>
      <c r="G85" s="9">
        <f>IF(A85=1,"_",IF(C85="_","???",C85))</f>
        <v/>
      </c>
      <c r="H85" s="10" t="s">
        <v>12</v>
      </c>
      <c r="I85" s="11" t="s">
        <v>12</v>
      </c>
      <c r="J85" s="12"/>
    </row>
    <row r="86" spans="1:10" ht="60" customHeight="1">
      <c r="A86" s="6" t="s">
        <v>332</v>
      </c>
      <c r="B86" s="6" t="s">
        <v>38</v>
      </c>
      <c r="C86" s="6" t="s">
        <v>18</v>
      </c>
      <c r="D86" s="7" t="s">
        <v>333</v>
      </c>
      <c r="E86" s="8" t="s">
        <v>334</v>
      </c>
      <c r="F86" s="6" t="s">
        <v>335</v>
      </c>
      <c r="G86" s="9">
        <f>IF(A86=1,"_",IF(C86="_","???",C86))</f>
        <v/>
      </c>
      <c r="H86" s="10" t="s">
        <v>12</v>
      </c>
      <c r="I86" s="11" t="s">
        <v>12</v>
      </c>
      <c r="J86" s="12"/>
    </row>
    <row r="87" spans="1:10" ht="60" customHeight="1">
      <c r="A87" s="6" t="s">
        <v>336</v>
      </c>
      <c r="B87" s="6" t="s">
        <v>16</v>
      </c>
      <c r="C87" s="6" t="s">
        <v>12</v>
      </c>
      <c r="D87" s="7" t="s">
        <v>337</v>
      </c>
      <c r="E87" s="8" t="s">
        <v>338</v>
      </c>
      <c r="F87" s="6" t="s">
        <v>339</v>
      </c>
      <c r="G87" s="9">
        <f>IF(A87=1,"_",IF(C87="_","???",C87))</f>
        <v/>
      </c>
      <c r="H87" s="10" t="s">
        <v>12</v>
      </c>
      <c r="I87" s="11" t="s">
        <v>12</v>
      </c>
      <c r="J87" s="12"/>
    </row>
    <row r="88" spans="1:10" ht="60" customHeight="1">
      <c r="A88" s="6" t="s">
        <v>340</v>
      </c>
      <c r="B88" s="6" t="s">
        <v>11</v>
      </c>
      <c r="C88" s="6" t="s">
        <v>18</v>
      </c>
      <c r="D88" s="7" t="s">
        <v>341</v>
      </c>
      <c r="E88" s="8" t="s">
        <v>342</v>
      </c>
      <c r="F88" s="6" t="s">
        <v>343</v>
      </c>
      <c r="G88" s="9">
        <f>IF(A88=1,"_",IF(C88="_","???",C88))</f>
        <v/>
      </c>
      <c r="H88" s="10" t="s">
        <v>12</v>
      </c>
      <c r="I88" s="11" t="s">
        <v>12</v>
      </c>
      <c r="J88" s="12"/>
    </row>
    <row r="89" spans="1:10" ht="60" customHeight="1">
      <c r="A89" s="6" t="s">
        <v>344</v>
      </c>
      <c r="B89" s="6" t="s">
        <v>26</v>
      </c>
      <c r="C89" s="6" t="s">
        <v>18</v>
      </c>
      <c r="D89" s="7" t="s">
        <v>345</v>
      </c>
      <c r="E89" s="8" t="s">
        <v>346</v>
      </c>
      <c r="F89" s="6" t="s">
        <v>347</v>
      </c>
      <c r="G89" s="9">
        <f>IF(A89=1,"_",IF(C89="_","???",C89))</f>
        <v/>
      </c>
      <c r="H89" s="10" t="s">
        <v>12</v>
      </c>
      <c r="I89" s="11" t="s">
        <v>12</v>
      </c>
      <c r="J89" s="12"/>
    </row>
    <row r="90" spans="1:10" ht="60" customHeight="1">
      <c r="A90" s="6" t="s">
        <v>348</v>
      </c>
      <c r="B90" s="6" t="s">
        <v>10</v>
      </c>
      <c r="C90" s="6" t="s">
        <v>12</v>
      </c>
      <c r="D90" s="7" t="s">
        <v>349</v>
      </c>
      <c r="E90" s="8" t="s">
        <v>350</v>
      </c>
      <c r="F90" s="6" t="s">
        <v>351</v>
      </c>
      <c r="G90" s="9">
        <f>IF(A90=1,"_",IF(C90="_","???",C90))</f>
        <v/>
      </c>
      <c r="H90" s="10" t="s">
        <v>12</v>
      </c>
      <c r="I90" s="11" t="s">
        <v>12</v>
      </c>
      <c r="J90" s="12"/>
    </row>
    <row r="91" spans="1:10" ht="60" customHeight="1">
      <c r="A91" s="6" t="s">
        <v>352</v>
      </c>
      <c r="B91" s="6" t="s">
        <v>16</v>
      </c>
      <c r="C91" s="6" t="s">
        <v>12</v>
      </c>
      <c r="D91" s="7" t="s">
        <v>353</v>
      </c>
      <c r="E91" s="8" t="s">
        <v>354</v>
      </c>
      <c r="F91" s="6" t="s">
        <v>355</v>
      </c>
      <c r="G91" s="9">
        <f>IF(A91=1,"_",IF(C91="_","???",C91))</f>
        <v/>
      </c>
      <c r="H91" s="10" t="s">
        <v>12</v>
      </c>
      <c r="I91" s="11" t="s">
        <v>12</v>
      </c>
      <c r="J91"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518"/>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356</v>
      </c>
      <c r="B1" s="13" t="s">
        <v>357</v>
      </c>
      <c r="C1" s="13" t="s">
        <v>358</v>
      </c>
      <c r="D1" s="13" t="s">
        <v>359</v>
      </c>
      <c r="E1" s="14" t="s">
        <v>360</v>
      </c>
      <c r="F1" s="15" t="s">
        <v>361</v>
      </c>
      <c r="G1" s="16" t="s">
        <v>362</v>
      </c>
      <c r="H1" s="17" t="s">
        <v>363</v>
      </c>
      <c r="I1" s="18" t="s">
        <v>364</v>
      </c>
      <c r="J1" s="18" t="s">
        <v>365</v>
      </c>
      <c r="K1" s="18" t="s">
        <v>366</v>
      </c>
      <c r="L1" s="19" t="s">
        <v>9</v>
      </c>
    </row>
    <row r="2" spans="1:12">
      <c r="A2" s="20" t="s">
        <v>367</v>
      </c>
    </row>
    <row r="3" spans="1:12">
      <c r="A3" s="20" t="s">
        <v>368</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369</v>
      </c>
      <c r="B4" s="27" t="s">
        <v>370</v>
      </c>
      <c r="C4" s="27" t="s">
        <v>371</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372</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373</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374</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375</v>
      </c>
      <c r="B8" s="27" t="s">
        <v>376</v>
      </c>
      <c r="C8" s="27" t="s">
        <v>377</v>
      </c>
      <c r="D8" s="27" t="s">
        <v>378</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379</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380</v>
      </c>
      <c r="B10" s="27" t="s">
        <v>381</v>
      </c>
      <c r="C10" s="27" t="s">
        <v>377</v>
      </c>
      <c r="D10" s="27" t="s">
        <v>378</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382</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383</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384</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385</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386</v>
      </c>
      <c r="B15" s="27" t="s">
        <v>387</v>
      </c>
      <c r="C15" s="27" t="s">
        <v>388</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389</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390</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391</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386</v>
      </c>
      <c r="B19" s="27" t="s">
        <v>392</v>
      </c>
      <c r="C19" s="27" t="s">
        <v>393</v>
      </c>
      <c r="D19" s="27" t="s">
        <v>378</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394</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row>
    <row r="22" spans="1:12">
      <c r="A22" s="20" t="s">
        <v>395</v>
      </c>
    </row>
    <row r="23" spans="1:12">
      <c r="A23" s="20" t="s">
        <v>396</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390</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397</v>
      </c>
      <c r="B25" s="27" t="s">
        <v>398</v>
      </c>
      <c r="C25" s="27" t="s">
        <v>393</v>
      </c>
      <c r="D25" s="27" t="s">
        <v>378</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399</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400</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19</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401</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402</v>
      </c>
      <c r="B30" s="27" t="s">
        <v>387</v>
      </c>
      <c r="C30" s="27" t="s">
        <v>403</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404</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405</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23</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406</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407</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390</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408</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409</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12</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410</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261</v>
      </c>
      <c r="B41" s="27" t="s">
        <v>411</v>
      </c>
      <c r="C41" s="27" t="s">
        <v>393</v>
      </c>
      <c r="D41" s="27" t="s">
        <v>378</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412</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404</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92</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413</v>
      </c>
      <c r="B45" s="27" t="s">
        <v>414</v>
      </c>
      <c r="C45" s="27" t="s">
        <v>403</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404</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415</v>
      </c>
      <c r="B47" s="27" t="s">
        <v>370</v>
      </c>
      <c r="C47" s="27" t="s">
        <v>371</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379</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416</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417</v>
      </c>
      <c r="B50" s="27" t="s">
        <v>381</v>
      </c>
      <c r="C50" s="27" t="s">
        <v>403</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404</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418</v>
      </c>
      <c r="B52" s="27" t="s">
        <v>414</v>
      </c>
      <c r="C52" s="27" t="s">
        <v>371</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379</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416</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417</v>
      </c>
      <c r="B55" s="27" t="s">
        <v>381</v>
      </c>
      <c r="C55" s="27" t="s">
        <v>403</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404</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419</v>
      </c>
      <c r="B57" s="27" t="s">
        <v>414</v>
      </c>
      <c r="C57" s="27" t="s">
        <v>371</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420</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384</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391</v>
      </c>
      <c r="B60" s="27" t="s">
        <v>414</v>
      </c>
      <c r="C60" s="27" t="s">
        <v>388</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394</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row>
    <row r="63" spans="1:12">
      <c r="A63" s="20" t="s">
        <v>421</v>
      </c>
    </row>
    <row r="64" spans="1:12">
      <c r="A64" s="20" t="s">
        <v>422</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391</v>
      </c>
      <c r="B65" s="27" t="s">
        <v>376</v>
      </c>
      <c r="C65" s="27" t="s">
        <v>393</v>
      </c>
      <c r="D65" s="27" t="s">
        <v>378</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423</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406</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74</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424</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425</v>
      </c>
      <c r="B70" s="27" t="s">
        <v>398</v>
      </c>
      <c r="C70" s="27" t="s">
        <v>371</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394</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row>
    <row r="73" spans="1:12">
      <c r="A73" s="20" t="s">
        <v>426</v>
      </c>
    </row>
    <row r="74" spans="1:12">
      <c r="A74" s="20" t="s">
        <v>396</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379</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427</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428</v>
      </c>
      <c r="B77" s="27" t="s">
        <v>387</v>
      </c>
      <c r="C77" s="27" t="s">
        <v>429</v>
      </c>
      <c r="D77" s="27" t="s">
        <v>378</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430</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431</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19</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379</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428</v>
      </c>
      <c r="B82" s="27" t="s">
        <v>376</v>
      </c>
      <c r="C82" s="27" t="s">
        <v>429</v>
      </c>
      <c r="D82" s="27" t="s">
        <v>378</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399</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432</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400</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433</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434</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428</v>
      </c>
      <c r="B88" s="27" t="s">
        <v>387</v>
      </c>
      <c r="C88" s="27" t="s">
        <v>429</v>
      </c>
      <c r="D88" s="27" t="s">
        <v>378</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435</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436</v>
      </c>
      <c r="B90" s="27" t="s">
        <v>392</v>
      </c>
      <c r="C90" s="27" t="s">
        <v>371</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406</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437</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438</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439</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394</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row>
    <row r="97" spans="1:12">
      <c r="A97" s="20" t="s">
        <v>440</v>
      </c>
    </row>
    <row r="98" spans="1:12">
      <c r="A98" s="20" t="s">
        <v>396</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441</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379</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442</v>
      </c>
      <c r="B101" s="27" t="s">
        <v>376</v>
      </c>
      <c r="C101" s="27" t="s">
        <v>429</v>
      </c>
      <c r="D101" s="27" t="s">
        <v>378</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443</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444</v>
      </c>
      <c r="B103" s="27" t="s">
        <v>387</v>
      </c>
      <c r="C103" s="27" t="s">
        <v>445</v>
      </c>
      <c r="D103" s="27" t="s">
        <v>378</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446</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447</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448</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397</v>
      </c>
      <c r="B107" s="27" t="s">
        <v>398</v>
      </c>
      <c r="C107" s="27" t="s">
        <v>388</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379</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420</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442</v>
      </c>
      <c r="B110" s="27" t="s">
        <v>387</v>
      </c>
      <c r="C110" s="27" t="s">
        <v>429</v>
      </c>
      <c r="D110" s="27" t="s">
        <v>378</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449</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428</v>
      </c>
      <c r="B112" s="27" t="s">
        <v>392</v>
      </c>
      <c r="C112" s="27" t="s">
        <v>429</v>
      </c>
      <c r="D112" s="27" t="s">
        <v>378</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450</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384</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385</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451</v>
      </c>
      <c r="B116" s="27" t="s">
        <v>381</v>
      </c>
      <c r="C116" s="27" t="s">
        <v>388</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394</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row>
    <row r="119" spans="1:12">
      <c r="A119" s="20" t="s">
        <v>452</v>
      </c>
    </row>
    <row r="120" spans="1:12">
      <c r="A120" s="20" t="s">
        <v>396</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428</v>
      </c>
      <c r="B121" s="27" t="s">
        <v>376</v>
      </c>
      <c r="C121" s="27" t="s">
        <v>429</v>
      </c>
      <c r="D121" s="27" t="s">
        <v>378</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446</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384</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453</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454</v>
      </c>
      <c r="B125" s="27" t="s">
        <v>398</v>
      </c>
      <c r="C125" s="27" t="s">
        <v>388</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394</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row>
    <row r="128" spans="1:12">
      <c r="A128" s="20" t="s">
        <v>455</v>
      </c>
    </row>
    <row r="129" spans="1:12">
      <c r="A129" s="20" t="s">
        <v>396</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456</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457</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379</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442</v>
      </c>
      <c r="B133" s="27" t="s">
        <v>376</v>
      </c>
      <c r="C133" s="27" t="s">
        <v>429</v>
      </c>
      <c r="D133" s="27" t="s">
        <v>378</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458</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459</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460</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280</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385</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461</v>
      </c>
      <c r="B139" s="27" t="s">
        <v>398</v>
      </c>
      <c r="C139" s="27" t="s">
        <v>403</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462</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390</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463</v>
      </c>
      <c r="B142" s="27" t="s">
        <v>381</v>
      </c>
      <c r="C142" s="27" t="s">
        <v>393</v>
      </c>
      <c r="D142" s="27" t="s">
        <v>378</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464</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465</v>
      </c>
      <c r="B144" s="27" t="s">
        <v>381</v>
      </c>
      <c r="C144" s="27" t="s">
        <v>371</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420</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466</v>
      </c>
      <c r="B146" s="27" t="s">
        <v>414</v>
      </c>
      <c r="C146" s="27" t="s">
        <v>371</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420</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467</v>
      </c>
      <c r="B148" s="27" t="s">
        <v>414</v>
      </c>
      <c r="C148" s="27" t="s">
        <v>371</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379</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468</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390</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469</v>
      </c>
      <c r="B152" s="27" t="s">
        <v>381</v>
      </c>
      <c r="C152" s="27" t="s">
        <v>377</v>
      </c>
      <c r="D152" s="27" t="s">
        <v>378</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404</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390</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470</v>
      </c>
      <c r="B155" s="27" t="s">
        <v>414</v>
      </c>
      <c r="C155" s="27" t="s">
        <v>377</v>
      </c>
      <c r="D155" s="27" t="s">
        <v>378</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208</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379</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420</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471</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399</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472</v>
      </c>
      <c r="B161" s="27" t="s">
        <v>387</v>
      </c>
      <c r="C161" s="27" t="s">
        <v>473</v>
      </c>
      <c r="D161" s="27" t="s">
        <v>378</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460</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444</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474</v>
      </c>
      <c r="B164" s="27" t="s">
        <v>414</v>
      </c>
      <c r="C164" s="27" t="s">
        <v>475</v>
      </c>
      <c r="D164" s="27" t="s">
        <v>378</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476</v>
      </c>
      <c r="B165" s="27" t="s">
        <v>477</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478</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438</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479</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480</v>
      </c>
      <c r="B169" s="27" t="s">
        <v>481</v>
      </c>
      <c r="C169" s="27" t="s">
        <v>371</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460</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390</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482</v>
      </c>
      <c r="B172" s="27" t="s">
        <v>483</v>
      </c>
      <c r="C172" s="27" t="s">
        <v>393</v>
      </c>
      <c r="D172" s="27" t="s">
        <v>378</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404</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484</v>
      </c>
      <c r="B174" s="27" t="s">
        <v>485</v>
      </c>
      <c r="C174" s="27" t="s">
        <v>371</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379</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420</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442</v>
      </c>
      <c r="B177" s="27" t="s">
        <v>387</v>
      </c>
      <c r="C177" s="27" t="s">
        <v>429</v>
      </c>
      <c r="D177" s="27" t="s">
        <v>378</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486</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112</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406</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487</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488</v>
      </c>
      <c r="B182" s="27" t="s">
        <v>411</v>
      </c>
      <c r="C182" s="27" t="s">
        <v>489</v>
      </c>
      <c r="D182" s="27" t="s">
        <v>378</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404</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490</v>
      </c>
      <c r="B184" s="27" t="s">
        <v>370</v>
      </c>
      <c r="C184" s="27" t="s">
        <v>429</v>
      </c>
      <c r="D184" s="27" t="s">
        <v>378</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464</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491</v>
      </c>
      <c r="B186" s="27" t="s">
        <v>414</v>
      </c>
      <c r="C186" s="27" t="s">
        <v>429</v>
      </c>
      <c r="D186" s="27" t="s">
        <v>378</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394</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row>
    <row r="189" spans="1:12">
      <c r="A189" s="20" t="s">
        <v>492</v>
      </c>
    </row>
    <row r="190" spans="1:12">
      <c r="A190" s="20" t="s">
        <v>493</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379</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494</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379</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495</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436</v>
      </c>
      <c r="B195" s="27" t="s">
        <v>376</v>
      </c>
      <c r="C195" s="27" t="s">
        <v>371</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45</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496</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497</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498</v>
      </c>
      <c r="B199" s="27" t="s">
        <v>392</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406</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390</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499</v>
      </c>
      <c r="B202" s="27" t="s">
        <v>381</v>
      </c>
      <c r="C202" s="27" t="s">
        <v>393</v>
      </c>
      <c r="D202" s="27" t="s">
        <v>378</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394</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row>
    <row r="205" spans="1:12">
      <c r="A205" s="20" t="s">
        <v>500</v>
      </c>
    </row>
    <row r="206" spans="1:12">
      <c r="A206" s="20" t="s">
        <v>501</v>
      </c>
      <c r="B206" s="27" t="s">
        <v>376</v>
      </c>
      <c r="C206" s="27" t="s">
        <v>429</v>
      </c>
      <c r="D206" s="27" t="s">
        <v>378</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49</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460</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428</v>
      </c>
      <c r="B209" s="27" t="s">
        <v>398</v>
      </c>
      <c r="C209" s="27" t="s">
        <v>429</v>
      </c>
      <c r="D209" s="27" t="s">
        <v>378</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379</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502</v>
      </c>
      <c r="B211" s="27" t="s">
        <v>387</v>
      </c>
      <c r="C211" s="27" t="s">
        <v>429</v>
      </c>
      <c r="D211" s="27" t="s">
        <v>378</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503</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412</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504</v>
      </c>
      <c r="B214" s="27" t="s">
        <v>411</v>
      </c>
      <c r="C214" s="27" t="s">
        <v>505</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428</v>
      </c>
      <c r="B215" s="27" t="s">
        <v>506</v>
      </c>
      <c r="C215" s="27" t="s">
        <v>429</v>
      </c>
      <c r="D215" s="27" t="s">
        <v>378</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399</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507</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406</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508</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112</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379</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502</v>
      </c>
      <c r="B222" s="27" t="s">
        <v>381</v>
      </c>
      <c r="C222" s="27" t="s">
        <v>509</v>
      </c>
      <c r="D222" s="27" t="s">
        <v>378</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510</v>
      </c>
      <c r="B223" s="27" t="s">
        <v>511</v>
      </c>
      <c r="C223" s="27" t="s">
        <v>489</v>
      </c>
      <c r="D223" s="27" t="s">
        <v>378</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512</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513</v>
      </c>
      <c r="B225" s="27" t="s">
        <v>381</v>
      </c>
      <c r="C225" s="27" t="s">
        <v>371</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394</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row>
    <row r="228" spans="1:12">
      <c r="A228" s="20" t="s">
        <v>514</v>
      </c>
    </row>
    <row r="229" spans="1:12">
      <c r="A229" s="20" t="s">
        <v>515</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502</v>
      </c>
      <c r="B230" s="27" t="s">
        <v>376</v>
      </c>
      <c r="C230" s="27" t="s">
        <v>429</v>
      </c>
      <c r="D230" s="27" t="s">
        <v>378</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53</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488</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516</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517</v>
      </c>
      <c r="B234" s="27" t="s">
        <v>411</v>
      </c>
      <c r="C234" s="27" t="s">
        <v>403</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379</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518</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379</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502</v>
      </c>
      <c r="B238" s="27" t="s">
        <v>387</v>
      </c>
      <c r="C238" s="27" t="s">
        <v>429</v>
      </c>
      <c r="D238" s="27" t="s">
        <v>378</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519</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420</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502</v>
      </c>
      <c r="B241" s="27" t="s">
        <v>387</v>
      </c>
      <c r="C241" s="27" t="s">
        <v>429</v>
      </c>
      <c r="D241" s="27" t="s">
        <v>378</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520</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412</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415</v>
      </c>
      <c r="B244" s="27" t="s">
        <v>392</v>
      </c>
      <c r="C244" s="27" t="s">
        <v>371</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394</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row>
    <row r="247" spans="1:12">
      <c r="A247" s="20" t="s">
        <v>521</v>
      </c>
    </row>
    <row r="248" spans="1:12">
      <c r="A248" s="20" t="s">
        <v>501</v>
      </c>
      <c r="B248" s="27" t="s">
        <v>376</v>
      </c>
      <c r="C248" s="27" t="s">
        <v>429</v>
      </c>
      <c r="D248" s="27" t="s">
        <v>378</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53</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390</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522</v>
      </c>
      <c r="B251" s="27" t="s">
        <v>511</v>
      </c>
      <c r="C251" s="27" t="s">
        <v>489</v>
      </c>
      <c r="D251" s="27" t="s">
        <v>378</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404</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523</v>
      </c>
      <c r="B253" s="27" t="s">
        <v>414</v>
      </c>
      <c r="C253" s="27" t="s">
        <v>509</v>
      </c>
      <c r="D253" s="27" t="s">
        <v>378</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516</v>
      </c>
      <c r="B254" s="27" t="s">
        <v>381</v>
      </c>
      <c r="C254" s="27" t="s">
        <v>489</v>
      </c>
      <c r="D254" s="27" t="s">
        <v>378</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524</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390</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413</v>
      </c>
      <c r="B257" s="27" t="s">
        <v>392</v>
      </c>
      <c r="C257" s="27" t="s">
        <v>393</v>
      </c>
      <c r="D257" s="27" t="s">
        <v>378</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450</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525</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12</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526</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527</v>
      </c>
      <c r="B262" s="27" t="s">
        <v>381</v>
      </c>
      <c r="C262" s="27" t="s">
        <v>371</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394</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row>
    <row r="265" spans="1:12">
      <c r="A265" s="20" t="s">
        <v>528</v>
      </c>
    </row>
    <row r="266" spans="1:12">
      <c r="A266" s="20" t="s">
        <v>396</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457</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529</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379</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530</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531</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502</v>
      </c>
      <c r="B272" s="27" t="s">
        <v>376</v>
      </c>
      <c r="C272" s="27" t="s">
        <v>429</v>
      </c>
      <c r="D272" s="27" t="s">
        <v>378</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532</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533</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412</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404</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516</v>
      </c>
      <c r="B277" s="27" t="s">
        <v>398</v>
      </c>
      <c r="C277" s="27" t="s">
        <v>371</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379</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534</v>
      </c>
      <c r="B279" s="27" t="s">
        <v>387</v>
      </c>
      <c r="C279" s="27" t="s">
        <v>535</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536</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412</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390</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391</v>
      </c>
      <c r="B283" s="27" t="s">
        <v>392</v>
      </c>
      <c r="C283" s="27" t="s">
        <v>393</v>
      </c>
      <c r="D283" s="27" t="s">
        <v>378</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379</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420</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457</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502</v>
      </c>
      <c r="B287" s="27" t="s">
        <v>387</v>
      </c>
      <c r="C287" s="27" t="s">
        <v>429</v>
      </c>
      <c r="D287" s="27" t="s">
        <v>378</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537</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194</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428</v>
      </c>
      <c r="B290" s="27" t="s">
        <v>392</v>
      </c>
      <c r="C290" s="27" t="s">
        <v>429</v>
      </c>
      <c r="D290" s="27" t="s">
        <v>378</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424</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425</v>
      </c>
      <c r="B292" s="27" t="s">
        <v>381</v>
      </c>
      <c r="C292" s="27" t="s">
        <v>371</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379</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420</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457</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502</v>
      </c>
      <c r="B296" s="27" t="s">
        <v>387</v>
      </c>
      <c r="C296" s="27" t="s">
        <v>429</v>
      </c>
      <c r="D296" s="27" t="s">
        <v>378</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538</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539</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379</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420</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12</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540</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12</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541</v>
      </c>
      <c r="B304" s="27" t="s">
        <v>381</v>
      </c>
      <c r="C304" s="27" t="s">
        <v>371</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542</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row>
    <row r="307" spans="1:12">
      <c r="A307" s="20" t="s">
        <v>543</v>
      </c>
    </row>
    <row r="308" spans="1:12">
      <c r="A308" s="20" t="s">
        <v>12</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502</v>
      </c>
      <c r="B309" s="27" t="s">
        <v>376</v>
      </c>
      <c r="C309" s="27" t="s">
        <v>429</v>
      </c>
      <c r="D309" s="27" t="s">
        <v>378</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65</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523</v>
      </c>
      <c r="B311" s="27" t="s">
        <v>381</v>
      </c>
      <c r="C311" s="27" t="s">
        <v>509</v>
      </c>
      <c r="D311" s="27" t="s">
        <v>378</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544</v>
      </c>
      <c r="B312" s="27" t="s">
        <v>511</v>
      </c>
      <c r="C312" s="27" t="s">
        <v>489</v>
      </c>
      <c r="D312" s="27" t="s">
        <v>378</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394</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row>
    <row r="315" spans="1:12">
      <c r="A315" s="20" t="s">
        <v>545</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546</v>
      </c>
    </row>
    <row r="317" spans="1:12">
      <c r="A317" s="20" t="s">
        <v>547</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504</v>
      </c>
      <c r="B318" s="27" t="s">
        <v>376</v>
      </c>
      <c r="C318" s="27" t="s">
        <v>505</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431</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548</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379</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495</v>
      </c>
      <c r="B322" s="27" t="s">
        <v>511</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404</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390</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516</v>
      </c>
      <c r="B325" s="27" t="s">
        <v>381</v>
      </c>
      <c r="C325" s="27" t="s">
        <v>393</v>
      </c>
      <c r="D325" s="27" t="s">
        <v>378</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379</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549</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476</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390</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550</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540</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12</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541</v>
      </c>
      <c r="B333" s="27" t="s">
        <v>506</v>
      </c>
      <c r="C333" s="27" t="s">
        <v>393</v>
      </c>
      <c r="D333" s="27" t="s">
        <v>378</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550</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551</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450</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447</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550</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552</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12</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553</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379</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550</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434</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390</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554</v>
      </c>
      <c r="B346" s="27" t="s">
        <v>555</v>
      </c>
      <c r="C346" s="27" t="s">
        <v>393</v>
      </c>
      <c r="D346" s="27" t="s">
        <v>378</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404</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390</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391</v>
      </c>
      <c r="B349" s="27" t="s">
        <v>556</v>
      </c>
      <c r="C349" s="27" t="s">
        <v>393</v>
      </c>
      <c r="D349" s="27" t="s">
        <v>378</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557</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390</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558</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261</v>
      </c>
      <c r="B353" s="27" t="s">
        <v>559</v>
      </c>
      <c r="C353" s="27" t="s">
        <v>393</v>
      </c>
      <c r="D353" s="27" t="s">
        <v>378</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406</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560</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420</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406</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561</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394</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row>
    <row r="361" spans="1:12">
      <c r="A361" s="20" t="s">
        <v>545</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562</v>
      </c>
    </row>
    <row r="363" spans="1:12">
      <c r="A363" s="20" t="s">
        <v>493</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471</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563</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384</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564</v>
      </c>
      <c r="B367" s="27" t="s">
        <v>376</v>
      </c>
      <c r="C367" s="27" t="s">
        <v>388</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404</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436</v>
      </c>
      <c r="B369" s="27" t="s">
        <v>381</v>
      </c>
      <c r="C369" s="27" t="s">
        <v>371</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565</v>
      </c>
      <c r="B370" s="27" t="s">
        <v>555</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23</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384</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566</v>
      </c>
      <c r="B373" s="27" t="s">
        <v>483</v>
      </c>
      <c r="C373" s="27" t="s">
        <v>388</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567</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550</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552</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12</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553</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550</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568</v>
      </c>
      <c r="B380" s="27" t="s">
        <v>559</v>
      </c>
      <c r="C380" s="27" t="s">
        <v>371</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569</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570</v>
      </c>
      <c r="B382" s="27" t="s">
        <v>556</v>
      </c>
      <c r="C382" s="27" t="s">
        <v>371</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379</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420</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571</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390</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572</v>
      </c>
      <c r="B387" s="27" t="s">
        <v>387</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563</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573</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574</v>
      </c>
      <c r="B390" s="27" t="s">
        <v>398</v>
      </c>
      <c r="C390" s="27" t="s">
        <v>371</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404</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575</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576</v>
      </c>
      <c r="B393" s="27" t="s">
        <v>381</v>
      </c>
      <c r="C393" s="27" t="s">
        <v>371</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394</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row>
    <row r="396" spans="1:12">
      <c r="A396" s="20" t="s">
        <v>577</v>
      </c>
    </row>
    <row r="397" spans="1:12">
      <c r="A397" s="20" t="s">
        <v>578</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579</v>
      </c>
      <c r="B398" s="27" t="s">
        <v>398</v>
      </c>
      <c r="C398" s="27" t="s">
        <v>377</v>
      </c>
      <c r="D398" s="27" t="s">
        <v>378</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580</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row>
    <row r="401" spans="1:12">
      <c r="A401" s="20" t="s">
        <v>581</v>
      </c>
    </row>
    <row r="402" spans="1:12">
      <c r="A402" s="20" t="s">
        <v>501</v>
      </c>
      <c r="B402" s="27" t="s">
        <v>376</v>
      </c>
      <c r="C402" s="27" t="s">
        <v>429</v>
      </c>
      <c r="D402" s="27" t="s">
        <v>378</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82</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379</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502</v>
      </c>
      <c r="B405" s="27" t="s">
        <v>387</v>
      </c>
      <c r="C405" s="27" t="s">
        <v>429</v>
      </c>
      <c r="D405" s="27" t="s">
        <v>378</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582</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379</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502</v>
      </c>
      <c r="B408" s="27" t="s">
        <v>387</v>
      </c>
      <c r="C408" s="27" t="s">
        <v>429</v>
      </c>
      <c r="D408" s="27" t="s">
        <v>378</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158</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583</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420</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502</v>
      </c>
      <c r="B412" s="27" t="s">
        <v>506</v>
      </c>
      <c r="C412" s="27" t="s">
        <v>429</v>
      </c>
      <c r="D412" s="27" t="s">
        <v>378</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93</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431</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584</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527</v>
      </c>
      <c r="B416" s="27" t="s">
        <v>411</v>
      </c>
      <c r="C416" s="27" t="s">
        <v>371</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394</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row>
    <row r="419" spans="1:12">
      <c r="A419" s="20" t="s">
        <v>545</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585</v>
      </c>
    </row>
    <row r="421" spans="1:12">
      <c r="A421" s="20" t="s">
        <v>396</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404</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586</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471</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563</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587</v>
      </c>
      <c r="B426" s="27" t="s">
        <v>376</v>
      </c>
      <c r="C426" s="27" t="s">
        <v>371</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476</v>
      </c>
      <c r="B427" s="27" t="s">
        <v>506</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23</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384</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566</v>
      </c>
      <c r="B430" s="27" t="s">
        <v>556</v>
      </c>
      <c r="C430" s="27" t="s">
        <v>388</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567</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550</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540</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12</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541</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550</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527</v>
      </c>
      <c r="B437" s="27" t="s">
        <v>411</v>
      </c>
      <c r="C437" s="27" t="s">
        <v>371</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379</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420</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571</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390</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170</v>
      </c>
      <c r="B442" s="27" t="s">
        <v>477</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563</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573</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574</v>
      </c>
      <c r="B445" s="27" t="s">
        <v>370</v>
      </c>
      <c r="C445" s="27" t="s">
        <v>371</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404</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588</v>
      </c>
      <c r="B447" s="27" t="s">
        <v>556</v>
      </c>
      <c r="C447" s="27" t="s">
        <v>371</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394</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row>
    <row r="450" spans="1:12">
      <c r="A450" s="20" t="s">
        <v>589</v>
      </c>
    </row>
    <row r="451" spans="1:12">
      <c r="A451" s="20" t="s">
        <v>396</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428</v>
      </c>
      <c r="B452" s="27" t="s">
        <v>376</v>
      </c>
      <c r="C452" s="27" t="s">
        <v>429</v>
      </c>
      <c r="D452" s="27" t="s">
        <v>378</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399</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400</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590</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394</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row>
    <row r="458" spans="1:12">
      <c r="A458" s="20" t="s">
        <v>591</v>
      </c>
    </row>
    <row r="459" spans="1:12">
      <c r="A459" s="20" t="s">
        <v>592</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380</v>
      </c>
      <c r="B460" s="27" t="s">
        <v>387</v>
      </c>
      <c r="C460" s="27" t="s">
        <v>377</v>
      </c>
      <c r="D460" s="27" t="s">
        <v>378</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593</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594</v>
      </c>
      <c r="B462" s="27" t="s">
        <v>392</v>
      </c>
      <c r="C462" s="27" t="s">
        <v>429</v>
      </c>
      <c r="D462" s="27" t="s">
        <v>378</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379</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595</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596</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149</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502</v>
      </c>
      <c r="B467" s="27" t="s">
        <v>376</v>
      </c>
      <c r="C467" s="27" t="s">
        <v>429</v>
      </c>
      <c r="D467" s="27" t="s">
        <v>378</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93</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390</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408</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527</v>
      </c>
      <c r="B471" s="27" t="s">
        <v>511</v>
      </c>
      <c r="C471" s="27" t="s">
        <v>393</v>
      </c>
      <c r="D471" s="27" t="s">
        <v>378</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379</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597</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502</v>
      </c>
      <c r="B474" s="27" t="s">
        <v>387</v>
      </c>
      <c r="C474" s="27" t="s">
        <v>429</v>
      </c>
      <c r="D474" s="27" t="s">
        <v>378</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532</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390</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495</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448</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527</v>
      </c>
      <c r="B479" s="27" t="s">
        <v>398</v>
      </c>
      <c r="C479" s="27" t="s">
        <v>489</v>
      </c>
      <c r="D479" s="27" t="s">
        <v>378</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404</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490</v>
      </c>
      <c r="B481" s="27" t="s">
        <v>381</v>
      </c>
      <c r="C481" s="27" t="s">
        <v>429</v>
      </c>
      <c r="D481" s="27" t="s">
        <v>378</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598</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394</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row>
    <row r="485" spans="1:12">
      <c r="A485" s="20" t="s">
        <v>599</v>
      </c>
    </row>
    <row r="486" spans="1:12">
      <c r="A486" s="20" t="s">
        <v>493</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390</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600</v>
      </c>
      <c r="B488" s="27" t="s">
        <v>376</v>
      </c>
      <c r="C488" s="27" t="s">
        <v>393</v>
      </c>
      <c r="D488" s="27" t="s">
        <v>378</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491</v>
      </c>
      <c r="B489" s="27" t="s">
        <v>506</v>
      </c>
      <c r="C489" s="27" t="s">
        <v>429</v>
      </c>
      <c r="D489" s="27" t="s">
        <v>378</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316</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406</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291</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549</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401</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row>
    <row r="496" spans="1:12">
      <c r="A496" s="20" t="s">
        <v>601</v>
      </c>
    </row>
    <row r="497" spans="1:12">
      <c r="A497" s="20" t="s">
        <v>602</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100</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603</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row>
    <row r="501" spans="1:12">
      <c r="A501" s="20" t="s">
        <v>604</v>
      </c>
    </row>
    <row r="502" spans="1:12">
      <c r="A502" s="20" t="s">
        <v>605</v>
      </c>
      <c r="B502" s="27" t="s">
        <v>398</v>
      </c>
      <c r="C502" s="27" t="s">
        <v>505</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603</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row>
    <row r="505" spans="1:12">
      <c r="A505" s="20" t="s">
        <v>606</v>
      </c>
    </row>
    <row r="506" spans="1:12">
      <c r="A506" s="20" t="s">
        <v>607</v>
      </c>
      <c r="B506" s="27" t="s">
        <v>376</v>
      </c>
      <c r="C506" s="27" t="s">
        <v>505</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549</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428</v>
      </c>
      <c r="B508" s="27" t="s">
        <v>398</v>
      </c>
      <c r="C508" s="27" t="s">
        <v>429</v>
      </c>
      <c r="D508" s="27" t="s">
        <v>378</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460</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490</v>
      </c>
      <c r="B510" s="27" t="s">
        <v>398</v>
      </c>
      <c r="C510" s="27" t="s">
        <v>429</v>
      </c>
      <c r="D510" s="27" t="s">
        <v>378</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603</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row>
    <row r="513" spans="1:12">
      <c r="A513" s="20" t="s">
        <v>608</v>
      </c>
    </row>
    <row r="514" spans="1:12">
      <c r="A514" s="20" t="s">
        <v>396</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380</v>
      </c>
      <c r="B515" s="27" t="s">
        <v>376</v>
      </c>
      <c r="C515" s="27" t="s">
        <v>377</v>
      </c>
      <c r="D515" s="27" t="s">
        <v>378</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609</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406</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610</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476</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611</v>
      </c>
      <c r="B520" s="27" t="s">
        <v>506</v>
      </c>
      <c r="C520" s="27" t="s">
        <v>475</v>
      </c>
      <c r="D520" s="27" t="s">
        <v>378</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404</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390</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612</v>
      </c>
      <c r="B523" s="27" t="s">
        <v>370</v>
      </c>
      <c r="C523" s="27" t="s">
        <v>393</v>
      </c>
      <c r="D523" s="27" t="s">
        <v>378</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53</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613</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516</v>
      </c>
      <c r="B526" s="27" t="s">
        <v>411</v>
      </c>
      <c r="C526" s="27" t="s">
        <v>388</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614</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406</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74</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615</v>
      </c>
      <c r="B530" s="27" t="s">
        <v>370</v>
      </c>
      <c r="C530" s="27" t="s">
        <v>489</v>
      </c>
      <c r="D530" s="27" t="s">
        <v>378</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404</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616</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379</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617</v>
      </c>
      <c r="B534" s="27" t="s">
        <v>556</v>
      </c>
      <c r="C534" s="27" t="s">
        <v>377</v>
      </c>
      <c r="D534" s="27" t="s">
        <v>378</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394</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row>
    <row r="537" spans="1:12">
      <c r="A537" s="20" t="s">
        <v>618</v>
      </c>
    </row>
    <row r="538" spans="1:12">
      <c r="A538" s="20" t="s">
        <v>619</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603</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row>
    <row r="541" spans="1:12">
      <c r="A541" s="20" t="s">
        <v>620</v>
      </c>
    </row>
    <row r="542" spans="1:12">
      <c r="A542" s="20" t="s">
        <v>501</v>
      </c>
      <c r="B542" s="27" t="s">
        <v>376</v>
      </c>
      <c r="C542" s="27" t="s">
        <v>429</v>
      </c>
      <c r="D542" s="27" t="s">
        <v>378</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149</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621</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53</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516</v>
      </c>
      <c r="B546" s="27" t="s">
        <v>511</v>
      </c>
      <c r="C546" s="27" t="s">
        <v>371</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622</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512</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513</v>
      </c>
      <c r="B549" s="27" t="s">
        <v>381</v>
      </c>
      <c r="C549" s="27" t="s">
        <v>371</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394</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row>
    <row r="552" spans="1:12">
      <c r="A552" s="20" t="s">
        <v>623</v>
      </c>
    </row>
    <row r="553" spans="1:12">
      <c r="A553" s="20" t="s">
        <v>547</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471</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399</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624</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625</v>
      </c>
      <c r="B557" s="27" t="s">
        <v>376</v>
      </c>
      <c r="C557" s="27" t="s">
        <v>388</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531</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626</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394</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row>
    <row r="562" spans="1:12">
      <c r="A562" s="20" t="s">
        <v>627</v>
      </c>
    </row>
    <row r="563" spans="1:12">
      <c r="A563" s="20" t="s">
        <v>396</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390</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625</v>
      </c>
      <c r="B565" s="27" t="s">
        <v>376</v>
      </c>
      <c r="C565" s="27" t="s">
        <v>393</v>
      </c>
      <c r="D565" s="27" t="s">
        <v>378</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549</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476</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575</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465</v>
      </c>
      <c r="B569" s="27" t="s">
        <v>387</v>
      </c>
      <c r="C569" s="27" t="s">
        <v>371</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563</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628</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406</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629</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390</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630</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116</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631</v>
      </c>
      <c r="B577" s="27" t="s">
        <v>411</v>
      </c>
      <c r="C577" s="27" t="s">
        <v>393</v>
      </c>
      <c r="D577" s="27" t="s">
        <v>378</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379</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116</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603</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row>
    <row r="582" spans="1:12">
      <c r="A582" s="20" t="s">
        <v>632</v>
      </c>
    </row>
    <row r="583" spans="1:12">
      <c r="A583" s="20" t="s">
        <v>396</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457</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502</v>
      </c>
      <c r="B585" s="27" t="s">
        <v>376</v>
      </c>
      <c r="C585" s="27" t="s">
        <v>429</v>
      </c>
      <c r="D585" s="27" t="s">
        <v>378</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129</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424</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428</v>
      </c>
      <c r="B588" s="27" t="s">
        <v>398</v>
      </c>
      <c r="C588" s="27" t="s">
        <v>429</v>
      </c>
      <c r="D588" s="27" t="s">
        <v>378</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394</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row>
    <row r="591" spans="1:12">
      <c r="A591" s="20" t="s">
        <v>633</v>
      </c>
    </row>
    <row r="592" spans="1:12">
      <c r="A592" s="20" t="s">
        <v>396</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457</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504</v>
      </c>
      <c r="B594" s="27" t="s">
        <v>376</v>
      </c>
      <c r="C594" s="27" t="s">
        <v>505</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548</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549</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379</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634</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502</v>
      </c>
      <c r="B599" s="27" t="s">
        <v>387</v>
      </c>
      <c r="C599" s="27" t="s">
        <v>429</v>
      </c>
      <c r="D599" s="27" t="s">
        <v>378</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194</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390</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391</v>
      </c>
      <c r="B602" s="27" t="s">
        <v>392</v>
      </c>
      <c r="C602" s="27" t="s">
        <v>393</v>
      </c>
      <c r="D602" s="27" t="s">
        <v>378</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424</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390</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425</v>
      </c>
      <c r="B605" s="27" t="s">
        <v>381</v>
      </c>
      <c r="C605" s="27" t="s">
        <v>393</v>
      </c>
      <c r="D605" s="27" t="s">
        <v>378</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379</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502</v>
      </c>
      <c r="B607" s="27" t="s">
        <v>387</v>
      </c>
      <c r="C607" s="27" t="s">
        <v>429</v>
      </c>
      <c r="D607" s="27" t="s">
        <v>378</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61</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412</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404</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516</v>
      </c>
      <c r="B611" s="27" t="s">
        <v>381</v>
      </c>
      <c r="C611" s="27" t="s">
        <v>371</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420</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504</v>
      </c>
      <c r="B613" s="27" t="s">
        <v>506</v>
      </c>
      <c r="C613" s="27" t="s">
        <v>505</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548</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603</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row>
    <row r="617" spans="1:12">
      <c r="A617" s="20" t="s">
        <v>635</v>
      </c>
    </row>
    <row r="618" spans="1:12">
      <c r="A618" s="20" t="s">
        <v>636</v>
      </c>
      <c r="B618" s="27" t="s">
        <v>376</v>
      </c>
      <c r="C618" s="27" t="s">
        <v>429</v>
      </c>
      <c r="D618" s="27" t="s">
        <v>378</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399</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384</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637</v>
      </c>
      <c r="B621" s="27" t="s">
        <v>398</v>
      </c>
      <c r="C621" s="27" t="s">
        <v>388</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394</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row>
    <row r="624" spans="1:12">
      <c r="A624" s="20" t="s">
        <v>638</v>
      </c>
    </row>
    <row r="625" spans="1:12">
      <c r="A625" s="20" t="s">
        <v>639</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640</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603</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row>
    <row r="629" spans="1:12">
      <c r="A629" s="20" t="s">
        <v>641</v>
      </c>
    </row>
    <row r="630" spans="1:12">
      <c r="A630" s="20" t="s">
        <v>619</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394</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row>
    <row r="633" spans="1:12">
      <c r="A633" s="20" t="s">
        <v>642</v>
      </c>
    </row>
    <row r="634" spans="1:12">
      <c r="A634" s="20" t="s">
        <v>607</v>
      </c>
      <c r="B634" s="27" t="s">
        <v>381</v>
      </c>
      <c r="C634" s="27" t="s">
        <v>505</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643</v>
      </c>
      <c r="B635" s="27" t="s">
        <v>376</v>
      </c>
      <c r="C635" s="27" t="s">
        <v>644</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149</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645</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549</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476</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502</v>
      </c>
      <c r="B640" s="27" t="s">
        <v>506</v>
      </c>
      <c r="C640" s="27" t="s">
        <v>429</v>
      </c>
      <c r="D640" s="27" t="s">
        <v>378</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646</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464</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390</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391</v>
      </c>
      <c r="B644" s="27" t="s">
        <v>414</v>
      </c>
      <c r="C644" s="27" t="s">
        <v>393</v>
      </c>
      <c r="D644" s="27" t="s">
        <v>378</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379</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420</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502</v>
      </c>
      <c r="B647" s="27" t="s">
        <v>506</v>
      </c>
      <c r="C647" s="27" t="s">
        <v>429</v>
      </c>
      <c r="D647" s="27" t="s">
        <v>378</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407</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647</v>
      </c>
      <c r="B649" s="27" t="s">
        <v>411</v>
      </c>
      <c r="C649" s="27" t="s">
        <v>371</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379</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648</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647</v>
      </c>
      <c r="B652" s="27" t="s">
        <v>370</v>
      </c>
      <c r="C652" s="27" t="s">
        <v>371</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379</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649</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650</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390</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391</v>
      </c>
      <c r="B657" s="27" t="s">
        <v>392</v>
      </c>
      <c r="C657" s="27" t="s">
        <v>393</v>
      </c>
      <c r="D657" s="27" t="s">
        <v>378</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424</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425</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379</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441</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502</v>
      </c>
      <c r="B662" s="27" t="s">
        <v>387</v>
      </c>
      <c r="C662" s="27" t="s">
        <v>429</v>
      </c>
      <c r="D662" s="27" t="s">
        <v>378</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23</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651</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652</v>
      </c>
      <c r="B665" s="27" t="s">
        <v>392</v>
      </c>
      <c r="C665" s="27" t="s">
        <v>371</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406</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653</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634</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502</v>
      </c>
      <c r="B669" s="27" t="s">
        <v>477</v>
      </c>
      <c r="C669" s="27" t="s">
        <v>429</v>
      </c>
      <c r="D669" s="27" t="s">
        <v>378</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407</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647</v>
      </c>
      <c r="B671" s="27" t="s">
        <v>481</v>
      </c>
      <c r="C671" s="27" t="s">
        <v>371</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654</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390</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655</v>
      </c>
      <c r="B674" s="27" t="s">
        <v>556</v>
      </c>
      <c r="C674" s="27" t="s">
        <v>393</v>
      </c>
      <c r="D674" s="27" t="s">
        <v>378</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394</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row>
    <row r="677" spans="1:12">
      <c r="A677" s="20" t="s">
        <v>656</v>
      </c>
    </row>
    <row r="678" spans="1:12">
      <c r="A678" s="20" t="s">
        <v>657</v>
      </c>
      <c r="B678" s="27" t="s">
        <v>376</v>
      </c>
      <c r="C678" s="27" t="s">
        <v>371</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154</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444</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658</v>
      </c>
      <c r="B681" s="27" t="s">
        <v>511</v>
      </c>
      <c r="C681" s="27" t="s">
        <v>475</v>
      </c>
      <c r="D681" s="27" t="s">
        <v>378</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404</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484</v>
      </c>
      <c r="B683" s="27" t="s">
        <v>381</v>
      </c>
      <c r="C683" s="27" t="s">
        <v>371</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531</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390</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659</v>
      </c>
      <c r="B686" s="27" t="s">
        <v>398</v>
      </c>
      <c r="C686" s="27" t="s">
        <v>393</v>
      </c>
      <c r="D686" s="27" t="s">
        <v>378</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404</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390</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660</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661</v>
      </c>
      <c r="B690" s="27" t="s">
        <v>381</v>
      </c>
      <c r="C690" s="27" t="s">
        <v>393</v>
      </c>
      <c r="D690" s="27" t="s">
        <v>378</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394</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row>
    <row r="693" spans="1:12">
      <c r="A693" s="20" t="s">
        <v>662</v>
      </c>
    </row>
    <row r="694" spans="1:12">
      <c r="A694" s="20" t="s">
        <v>396</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464</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663</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664</v>
      </c>
      <c r="B697" s="27" t="s">
        <v>398</v>
      </c>
      <c r="C697" s="27" t="s">
        <v>644</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379</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612</v>
      </c>
      <c r="B699" s="27" t="s">
        <v>376</v>
      </c>
      <c r="C699" s="27" t="s">
        <v>371</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158</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665</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666</v>
      </c>
      <c r="B702" s="27" t="s">
        <v>511</v>
      </c>
      <c r="C702" s="27" t="s">
        <v>371</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460</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504</v>
      </c>
      <c r="B704" s="27" t="s">
        <v>506</v>
      </c>
      <c r="C704" s="27" t="s">
        <v>505</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667</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420</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504</v>
      </c>
      <c r="B707" s="27" t="s">
        <v>555</v>
      </c>
      <c r="C707" s="27" t="s">
        <v>505</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668</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621</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544</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394</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row>
    <row r="713" spans="1:12">
      <c r="A713" s="20" t="s">
        <v>669</v>
      </c>
    </row>
    <row r="714" spans="1:12">
      <c r="A714" s="20" t="s">
        <v>493</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390</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670</v>
      </c>
      <c r="B716" s="27" t="s">
        <v>376</v>
      </c>
      <c r="C716" s="27" t="s">
        <v>393</v>
      </c>
      <c r="D716" s="27" t="s">
        <v>378</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406</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671</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672</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673</v>
      </c>
      <c r="B720" s="27" t="s">
        <v>414</v>
      </c>
      <c r="C720" s="27" t="s">
        <v>371</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549</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431</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674</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379</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597</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675</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399</v>
      </c>
      <c r="B727" s="27" t="s">
        <v>392</v>
      </c>
      <c r="C727" s="27" t="s">
        <v>429</v>
      </c>
      <c r="D727" s="27" t="s">
        <v>378</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508</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374</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676</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677</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587</v>
      </c>
      <c r="B732" s="27" t="s">
        <v>555</v>
      </c>
      <c r="C732" s="27" t="s">
        <v>371</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678</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394</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row>
    <row r="736" spans="1:12">
      <c r="A736" s="20" t="s">
        <v>679</v>
      </c>
    </row>
    <row r="737" spans="1:12">
      <c r="A737" s="20" t="s">
        <v>493</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390</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680</v>
      </c>
      <c r="B739" s="27" t="s">
        <v>376</v>
      </c>
      <c r="C739" s="27" t="s">
        <v>393</v>
      </c>
      <c r="D739" s="27" t="s">
        <v>378</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512</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495</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436</v>
      </c>
      <c r="B742" s="27" t="s">
        <v>381</v>
      </c>
      <c r="C742" s="27" t="s">
        <v>371</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549</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681</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92</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682</v>
      </c>
      <c r="B746" s="27" t="s">
        <v>398</v>
      </c>
      <c r="C746" s="27" t="s">
        <v>403</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683</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575</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684</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465</v>
      </c>
      <c r="B750" s="27" t="s">
        <v>398</v>
      </c>
      <c r="C750" s="27" t="s">
        <v>371</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379</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460</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685</v>
      </c>
      <c r="B753" s="27" t="s">
        <v>398</v>
      </c>
      <c r="C753" s="27" t="s">
        <v>489</v>
      </c>
      <c r="D753" s="27" t="s">
        <v>378</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404</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476</v>
      </c>
      <c r="B755" s="27" t="s">
        <v>381</v>
      </c>
      <c r="C755" s="27" t="s">
        <v>445</v>
      </c>
      <c r="D755" s="27" t="s">
        <v>378</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683</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686</v>
      </c>
      <c r="B757" s="27" t="s">
        <v>398</v>
      </c>
      <c r="C757" s="27" t="s">
        <v>371</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379</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384</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687</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688</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379</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597</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595</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689</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688</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569</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476</v>
      </c>
      <c r="B768" s="27" t="s">
        <v>381</v>
      </c>
      <c r="C768" s="27" t="s">
        <v>445</v>
      </c>
      <c r="D768" s="27" t="s">
        <v>378</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379</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643</v>
      </c>
      <c r="B770" s="27" t="s">
        <v>414</v>
      </c>
      <c r="C770" s="27" t="s">
        <v>371</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379</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688</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569</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495</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690</v>
      </c>
      <c r="B775" s="27" t="s">
        <v>414</v>
      </c>
      <c r="C775" s="27" t="s">
        <v>371</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394</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row>
    <row r="778" spans="1:12">
      <c r="A778" s="20" t="s">
        <v>691</v>
      </c>
    </row>
    <row r="779" spans="1:12">
      <c r="A779" s="20" t="s">
        <v>692</v>
      </c>
      <c r="B779" s="27" t="s">
        <v>376</v>
      </c>
      <c r="C779" s="27" t="s">
        <v>505</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668</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390</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438</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170</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603</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row>
    <row r="786" spans="1:12">
      <c r="A786" s="20" t="s">
        <v>693</v>
      </c>
    </row>
    <row r="787" spans="1:12">
      <c r="A787" s="20" t="s">
        <v>694</v>
      </c>
      <c r="B787" s="27" t="s">
        <v>398</v>
      </c>
      <c r="C787" s="27" t="s">
        <v>371</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420</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695</v>
      </c>
      <c r="B789" s="27" t="s">
        <v>398</v>
      </c>
      <c r="C789" s="27" t="s">
        <v>371</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379</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696</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394</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row>
    <row r="794" spans="1:12">
      <c r="A794" s="20" t="s">
        <v>697</v>
      </c>
    </row>
    <row r="795" spans="1:12">
      <c r="A795" s="20" t="s">
        <v>698</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12</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699</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682</v>
      </c>
      <c r="B798" s="27" t="s">
        <v>376</v>
      </c>
      <c r="C798" s="27" t="s">
        <v>403</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549</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390</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408</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261</v>
      </c>
      <c r="B802" s="27" t="s">
        <v>398</v>
      </c>
      <c r="C802" s="27" t="s">
        <v>393</v>
      </c>
      <c r="D802" s="27" t="s">
        <v>378</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442</v>
      </c>
      <c r="B803" s="27" t="s">
        <v>387</v>
      </c>
      <c r="C803" s="27" t="s">
        <v>429</v>
      </c>
      <c r="D803" s="27" t="s">
        <v>378</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458</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700</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394</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row>
    <row r="808" spans="1:12">
      <c r="A808" s="20" t="s">
        <v>701</v>
      </c>
    </row>
    <row r="809" spans="1:12">
      <c r="A809" s="20" t="s">
        <v>396</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104</v>
      </c>
      <c r="B810" s="27" t="s">
        <v>398</v>
      </c>
      <c r="C810" s="27" t="s">
        <v>505</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549</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428</v>
      </c>
      <c r="B812" s="27" t="s">
        <v>376</v>
      </c>
      <c r="C812" s="27" t="s">
        <v>429</v>
      </c>
      <c r="D812" s="27" t="s">
        <v>378</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603</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row>
    <row r="815" spans="1:12">
      <c r="A815" s="20" t="s">
        <v>702</v>
      </c>
    </row>
    <row r="816" spans="1:12">
      <c r="A816" s="20" t="s">
        <v>703</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502</v>
      </c>
      <c r="B817" s="27" t="s">
        <v>376</v>
      </c>
      <c r="C817" s="27" t="s">
        <v>429</v>
      </c>
      <c r="D817" s="27" t="s">
        <v>378</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185</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704</v>
      </c>
      <c r="B819" s="27" t="s">
        <v>511</v>
      </c>
      <c r="C819" s="27" t="s">
        <v>371</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420</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705</v>
      </c>
      <c r="B821" s="27" t="s">
        <v>370</v>
      </c>
      <c r="C821" s="27" t="s">
        <v>371</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12</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706</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707</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708</v>
      </c>
      <c r="B825" s="27" t="s">
        <v>381</v>
      </c>
      <c r="C825" s="27" t="s">
        <v>371</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563</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390</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709</v>
      </c>
      <c r="B828" s="27" t="s">
        <v>398</v>
      </c>
      <c r="C828" s="27" t="s">
        <v>393</v>
      </c>
      <c r="D828" s="27" t="s">
        <v>378</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406</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710</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711</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527</v>
      </c>
      <c r="B832" s="27" t="s">
        <v>381</v>
      </c>
      <c r="C832" s="27" t="s">
        <v>371</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394</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row>
    <row r="835" spans="1:12">
      <c r="A835" s="20" t="s">
        <v>712</v>
      </c>
    </row>
    <row r="836" spans="1:12">
      <c r="A836" s="20" t="s">
        <v>493</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189</v>
      </c>
      <c r="B837" s="27" t="s">
        <v>398</v>
      </c>
      <c r="C837" s="27" t="s">
        <v>371</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379</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384</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687</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713</v>
      </c>
      <c r="B841" s="27" t="s">
        <v>381</v>
      </c>
      <c r="C841" s="27" t="s">
        <v>388</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688</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569</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680</v>
      </c>
      <c r="B844" s="27" t="s">
        <v>381</v>
      </c>
      <c r="C844" s="27" t="s">
        <v>371</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379</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597</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373</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399</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714</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428</v>
      </c>
      <c r="B850" s="27" t="s">
        <v>555</v>
      </c>
      <c r="C850" s="27" t="s">
        <v>429</v>
      </c>
      <c r="D850" s="27" t="s">
        <v>378</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715</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448</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394</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row>
    <row r="855" spans="1:12">
      <c r="A855" s="20" t="s">
        <v>716</v>
      </c>
    </row>
    <row r="856" spans="1:12">
      <c r="A856" s="20" t="s">
        <v>717</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491</v>
      </c>
      <c r="B857" s="27" t="s">
        <v>387</v>
      </c>
      <c r="C857" s="27" t="s">
        <v>429</v>
      </c>
      <c r="D857" s="27" t="s">
        <v>378</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194</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491</v>
      </c>
      <c r="B859" s="27" t="s">
        <v>376</v>
      </c>
      <c r="C859" s="27" t="s">
        <v>429</v>
      </c>
      <c r="D859" s="27" t="s">
        <v>378</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194</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447</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718</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719</v>
      </c>
      <c r="B863" s="27" t="s">
        <v>511</v>
      </c>
      <c r="C863" s="27" t="s">
        <v>388</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394</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row>
    <row r="866" spans="1:12">
      <c r="A866" s="20" t="s">
        <v>720</v>
      </c>
    </row>
    <row r="867" spans="1:12">
      <c r="A867" s="20" t="s">
        <v>424</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390</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721</v>
      </c>
      <c r="B869" s="27" t="s">
        <v>398</v>
      </c>
      <c r="C869" s="27" t="s">
        <v>393</v>
      </c>
      <c r="D869" s="27" t="s">
        <v>378</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379</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502</v>
      </c>
      <c r="B871" s="27" t="s">
        <v>376</v>
      </c>
      <c r="C871" s="27" t="s">
        <v>429</v>
      </c>
      <c r="D871" s="27" t="s">
        <v>378</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158</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722</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688</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394</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row>
    <row r="877" spans="1:12">
      <c r="A877" s="20" t="s">
        <v>723</v>
      </c>
    </row>
    <row r="878" spans="1:12">
      <c r="A878" s="20" t="s">
        <v>636</v>
      </c>
      <c r="B878" s="27" t="s">
        <v>376</v>
      </c>
      <c r="C878" s="27" t="s">
        <v>429</v>
      </c>
      <c r="D878" s="27" t="s">
        <v>378</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399</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724</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394</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row>
    <row r="883" spans="1:12">
      <c r="A883" s="20" t="s">
        <v>545</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725</v>
      </c>
    </row>
    <row r="885" spans="1:12">
      <c r="A885" s="20" t="s">
        <v>726</v>
      </c>
      <c r="B885" s="27" t="s">
        <v>376</v>
      </c>
      <c r="C885" s="27" t="s">
        <v>429</v>
      </c>
      <c r="D885" s="27" t="s">
        <v>378</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205</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379</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t="s">
        <v>491</v>
      </c>
      <c r="B888" s="27" t="s">
        <v>387</v>
      </c>
      <c r="C888" s="27" t="s">
        <v>429</v>
      </c>
      <c r="D888" s="27" t="s">
        <v>378</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508</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681</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379</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491</v>
      </c>
      <c r="B892" s="27" t="s">
        <v>387</v>
      </c>
      <c r="C892" s="27" t="s">
        <v>429</v>
      </c>
      <c r="D892" s="27" t="s">
        <v>378</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281</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379</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550</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727</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379</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476</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721</v>
      </c>
      <c r="B899" s="27" t="s">
        <v>387</v>
      </c>
      <c r="C899" s="27" t="s">
        <v>475</v>
      </c>
      <c r="D899" s="27" t="s">
        <v>378</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399</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507</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406</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728</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394</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550</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row>
    <row r="907" spans="1:12">
      <c r="A907" s="20" t="s">
        <v>729</v>
      </c>
    </row>
    <row r="908" spans="1:12">
      <c r="A908" s="20" t="s">
        <v>726</v>
      </c>
      <c r="B908" s="27" t="s">
        <v>376</v>
      </c>
      <c r="C908" s="27" t="s">
        <v>429</v>
      </c>
      <c r="D908" s="27" t="s">
        <v>378</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730</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530</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209</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731</v>
      </c>
      <c r="B912" s="27" t="s">
        <v>511</v>
      </c>
      <c r="C912" s="27" t="s">
        <v>371</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394</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row>
    <row r="915" spans="1:12">
      <c r="A915" s="20" t="s">
        <v>732</v>
      </c>
    </row>
    <row r="916" spans="1:12">
      <c r="A916" s="20" t="s">
        <v>396</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104</v>
      </c>
      <c r="B917" s="27" t="s">
        <v>398</v>
      </c>
      <c r="C917" s="27" t="s">
        <v>505</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549</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476</v>
      </c>
      <c r="B919" s="27" t="s">
        <v>376</v>
      </c>
      <c r="C919" s="27" t="s">
        <v>445</v>
      </c>
      <c r="D919" s="27" t="s">
        <v>378</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603</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row>
    <row r="922" spans="1:12">
      <c r="A922" s="20" t="s">
        <v>733</v>
      </c>
    </row>
    <row r="923" spans="1:12">
      <c r="A923" s="20" t="s">
        <v>703</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502</v>
      </c>
      <c r="B924" s="27" t="s">
        <v>376</v>
      </c>
      <c r="C924" s="27" t="s">
        <v>429</v>
      </c>
      <c r="D924" s="27" t="s">
        <v>378</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23</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734</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735</v>
      </c>
      <c r="B927" s="27" t="s">
        <v>511</v>
      </c>
      <c r="C927" s="27" t="s">
        <v>371</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404</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736</v>
      </c>
      <c r="B929" s="27" t="s">
        <v>381</v>
      </c>
      <c r="C929" s="27" t="s">
        <v>371</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394</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row>
    <row r="932" spans="1:12">
      <c r="A932" s="20" t="s">
        <v>737</v>
      </c>
    </row>
    <row r="933" spans="1:12">
      <c r="A933" s="20" t="s">
        <v>501</v>
      </c>
      <c r="B933" s="27" t="s">
        <v>376</v>
      </c>
      <c r="C933" s="27" t="s">
        <v>429</v>
      </c>
      <c r="D933" s="27" t="s">
        <v>378</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220</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390</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661</v>
      </c>
      <c r="B936" s="27" t="s">
        <v>511</v>
      </c>
      <c r="C936" s="27" t="s">
        <v>393</v>
      </c>
      <c r="D936" s="27" t="s">
        <v>378</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379</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502</v>
      </c>
      <c r="B938" s="27" t="s">
        <v>387</v>
      </c>
      <c r="C938" s="27" t="s">
        <v>429</v>
      </c>
      <c r="D938" s="27" t="s">
        <v>378</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185</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390</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661</v>
      </c>
      <c r="B941" s="27" t="s">
        <v>392</v>
      </c>
      <c r="C941" s="27" t="s">
        <v>393</v>
      </c>
      <c r="D941" s="27" t="s">
        <v>378</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394</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row>
    <row r="944" spans="1:12">
      <c r="A944" s="20" t="s">
        <v>738</v>
      </c>
    </row>
    <row r="945" spans="1:12">
      <c r="A945" s="20" t="s">
        <v>396</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613</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721</v>
      </c>
      <c r="B947" s="27" t="s">
        <v>376</v>
      </c>
      <c r="C947" s="27" t="s">
        <v>388</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565</v>
      </c>
      <c r="B948" s="27" t="s">
        <v>506</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739</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420</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740</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741</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742</v>
      </c>
      <c r="B953" s="27" t="s">
        <v>559</v>
      </c>
      <c r="C953" s="27" t="s">
        <v>371</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406</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544</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743</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t="s">
        <v>722</v>
      </c>
      <c r="E957" s="21">
        <f>IF(D957="?OLD","!!!","")</f>
        <v/>
      </c>
      <c r="F957" s="22" t="str">
        <f>IF(OR(E957="",E957="!!!"),"",IF(NOT(ISNA(VLOOKUP(E957,E$1:E956,1,FALSE()))),"OLD",IF(AND(E957&lt;&gt;"",E957&lt;&gt;"!!!"),"NEW","")))</f>
        <v> </v>
      </c>
      <c r="G957" s="23" t="str">
        <f>IF(OR(E957="",E957="!!!"),"",IF(OR(J957=0,AND(J957=1,K957=1),AND(J957=1,I957="SBJ"),AND(J957=1,I957=0)),"?IN_FOCUS",IF(J957&lt;=2,"?ACTIVATED",IF(J957&lt;&gt;"","?FAMILIAR",IF(F957="NEW",IF(ISNA(VLOOKUP(E957,#REF!,1,FALSE())),"?TYPE_IDENTIFIABLE","?REFERENTIAL"),"_")))))</f>
        <v> </v>
      </c>
      <c r="H957" s="24" t="str">
        <f>IF(J957&lt;&gt;1,"",IF(I957="SBJ","CB","?"))</f>
        <v> </v>
      </c>
      <c r="I957" s="25" t="str">
        <f>IF(OR(E957="",E957="!!!",F957="NEW"),"",INDEX(B956:B$2,-1+SUMPRODUCT(MAX(ROW(E956:E$2)*(E957=E956:E$2)))))</f>
        <v> </v>
      </c>
      <c r="J957" s="25" t="str">
        <f>IF(OR(E957="",E957="!!!",F957="NEW"),"",COUNTBLANK(OFFSET(A$1,,,SUMPRODUCT(MAX(ROW(E$2:E957)*(E957=E$2:E957)))))-COUNTBLANK(OFFSET(A$1,,,SUMPRODUCT(MAX(ROW(E$1:E956)*(E2=E$1:E956))))))</f>
        <v> </v>
      </c>
      <c r="K957" s="25" t="str">
        <f>IF(OR(E957="",E957="!!!",F957="NEW"),"",INDEX(J$1:J956,SUMPRODUCT(MAX(ROW(E$1:E956)*(E957=E$1:E956)))))</f>
        <v> </v>
      </c>
      <c r="L957" s="26"/>
    </row>
    <row r="958" spans="1:12">
      <c r="A958" s="20" t="s">
        <v>224</v>
      </c>
      <c r="E958" s="21">
        <f>IF(D958="?OLD","!!!","")</f>
        <v/>
      </c>
      <c r="F958" s="22" t="str">
        <f>IF(OR(E958="",E958="!!!"),"",IF(NOT(ISNA(VLOOKUP(E958,E$1:E957,1,FALSE()))),"OLD",IF(AND(E958&lt;&gt;"",E958&lt;&gt;"!!!"),"NEW","")))</f>
        <v> </v>
      </c>
      <c r="G958" s="23" t="str">
        <f>IF(OR(E958="",E958="!!!"),"",IF(OR(J958=0,AND(J958=1,K958=1),AND(J958=1,I958="SBJ"),AND(J958=1,I958=0)),"?IN_FOCUS",IF(J958&lt;=2,"?ACTIVATED",IF(J958&lt;&gt;"","?FAMILIAR",IF(F958="NEW",IF(ISNA(VLOOKUP(E958,#REF!,1,FALSE())),"?TYPE_IDENTIFIABLE","?REFERENTIAL"),"_")))))</f>
        <v> </v>
      </c>
      <c r="H958" s="24" t="str">
        <f>IF(J958&lt;&gt;1,"",IF(I958="SBJ","CB","?"))</f>
        <v> </v>
      </c>
      <c r="I958" s="25" t="str">
        <f>IF(OR(E958="",E958="!!!",F958="NEW"),"",INDEX(B957:B$2,-1+SUMPRODUCT(MAX(ROW(E957:E$2)*(E958=E957:E$2)))))</f>
        <v> </v>
      </c>
      <c r="J958" s="25" t="str">
        <f>IF(OR(E958="",E958="!!!",F958="NEW"),"",COUNTBLANK(OFFSET(A$1,,,SUMPRODUCT(MAX(ROW(E$2:E958)*(E958=E$2:E958)))))-COUNTBLANK(OFFSET(A$1,,,SUMPRODUCT(MAX(ROW(E$1:E957)*(E2=E$1:E957))))))</f>
        <v> </v>
      </c>
      <c r="K958" s="25" t="str">
        <f>IF(OR(E958="",E958="!!!",F958="NEW"),"",INDEX(J$1:J957,SUMPRODUCT(MAX(ROW(E$1:E957)*(E958=E$1:E957)))))</f>
        <v> </v>
      </c>
      <c r="L958" s="26"/>
    </row>
    <row r="959" spans="1:12">
      <c r="A959" s="20" t="s">
        <v>390</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721</v>
      </c>
      <c r="B960" s="27" t="s">
        <v>381</v>
      </c>
      <c r="C960" s="27" t="s">
        <v>393</v>
      </c>
      <c r="D960" s="27" t="s">
        <v>378</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399</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744</v>
      </c>
      <c r="B962" s="27" t="s">
        <v>511</v>
      </c>
      <c r="C962" s="27" t="s">
        <v>489</v>
      </c>
      <c r="D962" s="27" t="s">
        <v>378</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t="s">
        <v>394</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row>
    <row r="965" spans="1:12">
      <c r="A965" s="20" t="s">
        <v>745</v>
      </c>
    </row>
    <row r="966" spans="1:12">
      <c r="A966" s="20" t="s">
        <v>746</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735</v>
      </c>
      <c r="B967" s="27" t="s">
        <v>376</v>
      </c>
      <c r="C967" s="27" t="s">
        <v>371</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420</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736</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735</v>
      </c>
      <c r="B970" s="27" t="s">
        <v>381</v>
      </c>
      <c r="C970" s="27" t="s">
        <v>371</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563</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t="s">
        <v>390</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747</v>
      </c>
      <c r="B973" s="27" t="s">
        <v>398</v>
      </c>
      <c r="C973" s="27" t="s">
        <v>393</v>
      </c>
      <c r="D973" s="27" t="s">
        <v>378</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476</v>
      </c>
      <c r="B974" s="27" t="s">
        <v>387</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748</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406</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749</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454</v>
      </c>
      <c r="B978" s="27" t="s">
        <v>381</v>
      </c>
      <c r="C978" s="27" t="s">
        <v>371</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394</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row>
    <row r="981" spans="1:12">
      <c r="A981" s="20" t="s">
        <v>750</v>
      </c>
    </row>
    <row r="982" spans="1:12">
      <c r="A982" s="20" t="s">
        <v>717</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491</v>
      </c>
      <c r="B983" s="27" t="s">
        <v>387</v>
      </c>
      <c r="C983" s="27" t="s">
        <v>429</v>
      </c>
      <c r="D983" s="27" t="s">
        <v>378</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23</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11</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587</v>
      </c>
      <c r="B986" s="27" t="s">
        <v>392</v>
      </c>
      <c r="C986" s="27" t="s">
        <v>403</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476</v>
      </c>
      <c r="B987" s="27" t="s">
        <v>555</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t="s">
        <v>751</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678</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379</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491</v>
      </c>
      <c r="B991" s="27" t="s">
        <v>376</v>
      </c>
      <c r="C991" s="27" t="s">
        <v>429</v>
      </c>
      <c r="D991" s="27" t="s">
        <v>378</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t="s">
        <v>752</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t="s">
        <v>158</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753</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754</v>
      </c>
      <c r="B995" s="27" t="s">
        <v>511</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755</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441</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t="s">
        <v>476</v>
      </c>
      <c r="B998" s="27" t="s">
        <v>506</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23</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410</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527</v>
      </c>
      <c r="B1001" s="27" t="s">
        <v>411</v>
      </c>
      <c r="C1001" s="27" t="s">
        <v>371</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394</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row>
    <row r="1004" spans="1:12">
      <c r="A1004" s="20" t="s">
        <v>756</v>
      </c>
    </row>
    <row r="1005" spans="1:12">
      <c r="A1005" s="20" t="s">
        <v>396</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442</v>
      </c>
      <c r="B1006" s="27" t="s">
        <v>376</v>
      </c>
      <c r="C1006" s="27" t="s">
        <v>429</v>
      </c>
      <c r="D1006" s="27" t="s">
        <v>378</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757</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472</v>
      </c>
      <c r="B1008" s="27" t="s">
        <v>511</v>
      </c>
      <c r="C1008" s="27" t="s">
        <v>473</v>
      </c>
      <c r="D1008" s="27" t="s">
        <v>378</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t="s">
        <v>448</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394</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row>
    <row r="1012" spans="1:12">
      <c r="A1012" s="20" t="s">
        <v>758</v>
      </c>
    </row>
    <row r="1013" spans="1:12">
      <c r="A1013" s="20" t="s">
        <v>442</v>
      </c>
      <c r="B1013" s="27" t="s">
        <v>376</v>
      </c>
      <c r="C1013" s="27" t="s">
        <v>429</v>
      </c>
      <c r="D1013" s="27" t="s">
        <v>378</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443</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t="s">
        <v>379</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t="s">
        <v>675</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t="s">
        <v>399</v>
      </c>
      <c r="B1017" s="27" t="s">
        <v>392</v>
      </c>
      <c r="C1017" s="27" t="s">
        <v>429</v>
      </c>
      <c r="D1017" s="27" t="s">
        <v>378</v>
      </c>
      <c r="E1017" s="21">
        <f>IF(D1017="?OLD","!!!","")</f>
        <v/>
      </c>
      <c r="F1017" s="22" t="str">
        <f>IF(OR(E1017="",E1017="!!!"),"",IF(NOT(ISNA(VLOOKUP(E1017,E$1:E1016,1,FALSE()))),"OLD",IF(AND(E1017&lt;&gt;"",E1017&lt;&gt;"!!!"),"NEW","")))</f>
        <v> </v>
      </c>
      <c r="G1017" s="23" t="str">
        <f>IF(OR(E1017="",E1017="!!!"),"",IF(OR(J1017=0,AND(J1017=1,K1017=1),AND(J1017=1,I1017="SBJ"),AND(J1017=1,I1017=0)),"?IN_FOCUS",IF(J1017&lt;=2,"?ACTIVATED",IF(J1017&lt;&gt;"","?FAMILIAR",IF(F1017="NEW",IF(ISNA(VLOOKUP(E1017,#REF!,1,FALSE())),"?TYPE_IDENTIFIABLE","?REFERENTIAL"),"_")))))</f>
        <v> </v>
      </c>
      <c r="H1017" s="24" t="str">
        <f>IF(J1017&lt;&gt;1,"",IF(I1017="SBJ","CB","?"))</f>
        <v> </v>
      </c>
      <c r="I1017" s="25" t="str">
        <f>IF(OR(E1017="",E1017="!!!",F1017="NEW"),"",INDEX(B1016:B$2,-1+SUMPRODUCT(MAX(ROW(E1016:E$2)*(E1017=E1016:E$2)))))</f>
        <v> </v>
      </c>
      <c r="J1017" s="25" t="str">
        <f>IF(OR(E1017="",E1017="!!!",F1017="NEW"),"",COUNTBLANK(OFFSET(A$1,,,SUMPRODUCT(MAX(ROW(E$2:E1017)*(E1017=E$2:E1017)))))-COUNTBLANK(OFFSET(A$1,,,SUMPRODUCT(MAX(ROW(E$1:E1016)*(E2=E$1:E1016))))))</f>
        <v> </v>
      </c>
      <c r="K1017" s="25" t="str">
        <f>IF(OR(E1017="",E1017="!!!",F1017="NEW"),"",INDEX(J$1:J1016,SUMPRODUCT(MAX(ROW(E$1:E1016)*(E1017=E$1:E1016)))))</f>
        <v> </v>
      </c>
      <c r="L1017" s="26"/>
    </row>
    <row r="1018" spans="1:12">
      <c r="A1018" s="20" t="s">
        <v>759</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t="s">
        <v>390</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760</v>
      </c>
      <c r="B1020" s="27" t="s">
        <v>392</v>
      </c>
      <c r="C1020" s="27" t="s">
        <v>393</v>
      </c>
      <c r="D1020" s="27" t="s">
        <v>378</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379</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761</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t="s">
        <v>394</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row>
    <row r="1025" spans="1:12">
      <c r="A1025" s="20" t="s">
        <v>762</v>
      </c>
    </row>
    <row r="1026" spans="1:12">
      <c r="A1026" s="20" t="s">
        <v>493</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442</v>
      </c>
      <c r="B1027" s="27" t="s">
        <v>376</v>
      </c>
      <c r="C1027" s="27" t="s">
        <v>429</v>
      </c>
      <c r="D1027" s="27" t="s">
        <v>378</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763</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384</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764</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765</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766</v>
      </c>
      <c r="B1032" s="27" t="s">
        <v>511</v>
      </c>
      <c r="C1032" s="27" t="s">
        <v>388</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404</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t="s">
        <v>767</v>
      </c>
      <c r="B1034" s="27" t="s">
        <v>381</v>
      </c>
      <c r="C1034" s="27" t="s">
        <v>371</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t="s">
        <v>406</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t="s">
        <v>390</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768</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t="s">
        <v>721</v>
      </c>
      <c r="B1038" s="27" t="s">
        <v>398</v>
      </c>
      <c r="C1038" s="27" t="s">
        <v>393</v>
      </c>
      <c r="D1038" s="27" t="s">
        <v>378</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394</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row>
    <row r="1041" spans="1:12">
      <c r="A1041" s="20" t="s">
        <v>769</v>
      </c>
    </row>
    <row r="1042" spans="1:12">
      <c r="A1042" s="20" t="s">
        <v>493</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504</v>
      </c>
      <c r="B1043" s="27" t="s">
        <v>511</v>
      </c>
      <c r="C1043" s="27" t="s">
        <v>505</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149</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491</v>
      </c>
      <c r="B1045" s="27" t="s">
        <v>376</v>
      </c>
      <c r="C1045" s="27" t="s">
        <v>429</v>
      </c>
      <c r="D1045" s="27" t="s">
        <v>378</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32</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770</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t="s">
        <v>406</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t="s">
        <v>771</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385</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t="s">
        <v>465</v>
      </c>
      <c r="B1051" s="27" t="s">
        <v>381</v>
      </c>
      <c r="C1051" s="27" t="s">
        <v>475</v>
      </c>
      <c r="D1051" s="27" t="s">
        <v>378</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t="s">
        <v>603</v>
      </c>
      <c r="E1052" s="21">
        <f>IF(D1052="?OLD","!!!","")</f>
        <v/>
      </c>
      <c r="F1052" s="22" t="str">
        <f>IF(OR(E1052="",E1052="!!!"),"",IF(NOT(ISNA(VLOOKUP(E1052,E$1:E1051,1,FALSE()))),"OLD",IF(AND(E1052&lt;&gt;"",E1052&lt;&gt;"!!!"),"NEW","")))</f>
        <v> </v>
      </c>
      <c r="G1052" s="23" t="str">
        <f>IF(OR(E1052="",E1052="!!!"),"",IF(OR(J1052=0,AND(J1052=1,K1052=1),AND(J1052=1,I1052="SBJ"),AND(J1052=1,I1052=0)),"?IN_FOCUS",IF(J1052&lt;=2,"?ACTIVATED",IF(J1052&lt;&gt;"","?FAMILIAR",IF(F1052="NEW",IF(ISNA(VLOOKUP(E1052,#REF!,1,FALSE())),"?TYPE_IDENTIFIABLE","?REFERENTIAL"),"_")))))</f>
        <v> </v>
      </c>
      <c r="H1052" s="24" t="str">
        <f>IF(J1052&lt;&gt;1,"",IF(I1052="SBJ","CB","?"))</f>
        <v> </v>
      </c>
      <c r="I1052" s="25" t="str">
        <f>IF(OR(E1052="",E1052="!!!",F1052="NEW"),"",INDEX(B1051:B$2,-1+SUMPRODUCT(MAX(ROW(E1051:E$2)*(E1052=E1051:E$2)))))</f>
        <v> </v>
      </c>
      <c r="J1052" s="25" t="str">
        <f>IF(OR(E1052="",E1052="!!!",F1052="NEW"),"",COUNTBLANK(OFFSET(A$1,,,SUMPRODUCT(MAX(ROW(E$2:E1052)*(E1052=E$2:E1052)))))-COUNTBLANK(OFFSET(A$1,,,SUMPRODUCT(MAX(ROW(E$1:E1051)*(E2=E$1:E1051))))))</f>
        <v> </v>
      </c>
      <c r="K1052" s="25" t="str">
        <f>IF(OR(E1052="",E1052="!!!",F1052="NEW"),"",INDEX(J$1:J1051,SUMPRODUCT(MAX(ROW(E$1:E1051)*(E1052=E$1:E1051)))))</f>
        <v> </v>
      </c>
      <c r="L1052" s="26"/>
    </row>
    <row r="1053" spans="1:12">
      <c r="A1053" s="20"/>
    </row>
    <row r="1054" spans="1:12">
      <c r="A1054" s="20" t="s">
        <v>772</v>
      </c>
    </row>
    <row r="1055" spans="1:12">
      <c r="A1055" s="20" t="s">
        <v>607</v>
      </c>
      <c r="B1055" s="27" t="s">
        <v>398</v>
      </c>
      <c r="C1055" s="27" t="s">
        <v>505</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t="s">
        <v>446</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t="s">
        <v>390</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t="s">
        <v>773</v>
      </c>
      <c r="B1058" s="27" t="s">
        <v>376</v>
      </c>
      <c r="C1058" s="27" t="s">
        <v>393</v>
      </c>
      <c r="D1058" s="27" t="s">
        <v>378</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603</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row>
    <row r="1061" spans="1:12">
      <c r="A1061" s="20" t="s">
        <v>774</v>
      </c>
    </row>
    <row r="1062" spans="1:12">
      <c r="A1062" s="20" t="s">
        <v>775</v>
      </c>
      <c r="B1062" s="27" t="s">
        <v>398</v>
      </c>
      <c r="C1062" s="27" t="s">
        <v>776</v>
      </c>
      <c r="D1062" s="27" t="s">
        <v>378</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399</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504</v>
      </c>
      <c r="B1064" s="27" t="s">
        <v>387</v>
      </c>
      <c r="C1064" s="27" t="s">
        <v>505</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t="s">
        <v>770</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t="s">
        <v>401</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row>
    <row r="1068" spans="1:12">
      <c r="A1068" s="20" t="s">
        <v>777</v>
      </c>
    </row>
    <row r="1069" spans="1:12">
      <c r="A1069" s="20" t="s">
        <v>778</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416</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721</v>
      </c>
      <c r="B1071" s="27" t="s">
        <v>376</v>
      </c>
      <c r="C1071" s="27" t="s">
        <v>403</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779</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384</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410</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t="s">
        <v>261</v>
      </c>
      <c r="B1075" s="27" t="s">
        <v>511</v>
      </c>
      <c r="C1075" s="27" t="s">
        <v>388</v>
      </c>
      <c r="E1075" s="21">
        <f>IF(D1075="?OLD","!!!","")</f>
        <v/>
      </c>
      <c r="F1075" s="22" t="str">
        <f>IF(OR(E1075="",E1075="!!!"),"",IF(NOT(ISNA(VLOOKUP(E1075,E$1:E1074,1,FALSE()))),"OLD",IF(AND(E1075&lt;&gt;"",E1075&lt;&gt;"!!!"),"NEW","")))</f>
        <v> </v>
      </c>
      <c r="G1075" s="23" t="str">
        <f>IF(OR(E1075="",E1075="!!!"),"",IF(OR(J1075=0,AND(J1075=1,K1075=1),AND(J1075=1,I1075="SBJ"),AND(J1075=1,I1075=0)),"?IN_FOCUS",IF(J1075&lt;=2,"?ACTIVATED",IF(J1075&lt;&gt;"","?FAMILIAR",IF(F1075="NEW",IF(ISNA(VLOOKUP(E1075,#REF!,1,FALSE())),"?TYPE_IDENTIFIABLE","?REFERENTIAL"),"_")))))</f>
        <v> </v>
      </c>
      <c r="H1075" s="24" t="str">
        <f>IF(J1075&lt;&gt;1,"",IF(I1075="SBJ","CB","?"))</f>
        <v> </v>
      </c>
      <c r="I1075" s="25" t="str">
        <f>IF(OR(E1075="",E1075="!!!",F1075="NEW"),"",INDEX(B1074:B$2,-1+SUMPRODUCT(MAX(ROW(E1074:E$2)*(E1075=E1074:E$2)))))</f>
        <v> </v>
      </c>
      <c r="J1075" s="25" t="str">
        <f>IF(OR(E1075="",E1075="!!!",F1075="NEW"),"",COUNTBLANK(OFFSET(A$1,,,SUMPRODUCT(MAX(ROW(E$2:E1075)*(E1075=E$2:E1075)))))-COUNTBLANK(OFFSET(A$1,,,SUMPRODUCT(MAX(ROW(E$1:E1074)*(E2=E$1:E1074))))))</f>
        <v> </v>
      </c>
      <c r="K1075" s="25" t="str">
        <f>IF(OR(E1075="",E1075="!!!",F1075="NEW"),"",INDEX(J$1:J1074,SUMPRODUCT(MAX(ROW(E$1:E1074)*(E1075=E$1:E1074)))))</f>
        <v> </v>
      </c>
      <c r="L1075" s="26"/>
    </row>
    <row r="1076" spans="1:12">
      <c r="A1076" s="20" t="s">
        <v>394</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row>
    <row r="1078" spans="1:12">
      <c r="A1078" s="20" t="s">
        <v>780</v>
      </c>
    </row>
    <row r="1079" spans="1:12">
      <c r="A1079" s="20" t="s">
        <v>717</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781</v>
      </c>
      <c r="B1080" s="27" t="s">
        <v>387</v>
      </c>
      <c r="C1080" s="27" t="s">
        <v>535</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779</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t="s">
        <v>782</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t="s">
        <v>379</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t="s">
        <v>610</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t="s">
        <v>379</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384</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416</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783</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261</v>
      </c>
      <c r="B1089" s="27" t="s">
        <v>398</v>
      </c>
      <c r="C1089" s="27" t="s">
        <v>388</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379</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502</v>
      </c>
      <c r="B1091" s="27" t="s">
        <v>387</v>
      </c>
      <c r="C1091" s="27" t="s">
        <v>429</v>
      </c>
      <c r="D1091" s="27" t="s">
        <v>378</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784</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23</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785</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786</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390</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766</v>
      </c>
      <c r="B1097" s="27" t="s">
        <v>392</v>
      </c>
      <c r="C1097" s="27" t="s">
        <v>393</v>
      </c>
      <c r="D1097" s="27" t="s">
        <v>378</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394</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row>
    <row r="1100" spans="1:12">
      <c r="A1100" s="20" t="s">
        <v>787</v>
      </c>
    </row>
    <row r="1101" spans="1:12">
      <c r="A1101" s="20" t="s">
        <v>493</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379</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t="s">
        <v>549</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621</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t="s">
        <v>476</v>
      </c>
      <c r="E1105" s="21">
        <f>IF(D1105="?OLD","!!!","")</f>
        <v/>
      </c>
      <c r="F1105" s="22" t="str">
        <f>IF(OR(E1105="",E1105="!!!"),"",IF(NOT(ISNA(VLOOKUP(E1105,E$1:E1104,1,FALSE()))),"OLD",IF(AND(E1105&lt;&gt;"",E1105&lt;&gt;"!!!"),"NEW","")))</f>
        <v> </v>
      </c>
      <c r="G1105" s="23" t="str">
        <f>IF(OR(E1105="",E1105="!!!"),"",IF(OR(J1105=0,AND(J1105=1,K1105=1),AND(J1105=1,I1105="SBJ"),AND(J1105=1,I1105=0)),"?IN_FOCUS",IF(J1105&lt;=2,"?ACTIVATED",IF(J1105&lt;&gt;"","?FAMILIAR",IF(F1105="NEW",IF(ISNA(VLOOKUP(E1105,#REF!,1,FALSE())),"?TYPE_IDENTIFIABLE","?REFERENTIAL"),"_")))))</f>
        <v> </v>
      </c>
      <c r="H1105" s="24" t="str">
        <f>IF(J1105&lt;&gt;1,"",IF(I1105="SBJ","CB","?"))</f>
        <v> </v>
      </c>
      <c r="I1105" s="25" t="str">
        <f>IF(OR(E1105="",E1105="!!!",F1105="NEW"),"",INDEX(B1104:B$2,-1+SUMPRODUCT(MAX(ROW(E1104:E$2)*(E1105=E1104:E$2)))))</f>
        <v> </v>
      </c>
      <c r="J1105" s="25" t="str">
        <f>IF(OR(E1105="",E1105="!!!",F1105="NEW"),"",COUNTBLANK(OFFSET(A$1,,,SUMPRODUCT(MAX(ROW(E$2:E1105)*(E1105=E$2:E1105)))))-COUNTBLANK(OFFSET(A$1,,,SUMPRODUCT(MAX(ROW(E$1:E1104)*(E2=E$1:E1104))))))</f>
        <v> </v>
      </c>
      <c r="K1105" s="25" t="str">
        <f>IF(OR(E1105="",E1105="!!!",F1105="NEW"),"",INDEX(J$1:J1104,SUMPRODUCT(MAX(ROW(E$1:E1104)*(E1105=E$1:E1104)))))</f>
        <v> </v>
      </c>
      <c r="L1105" s="26"/>
    </row>
    <row r="1106" spans="1:12">
      <c r="A1106" s="20" t="s">
        <v>448</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603</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row>
    <row r="1109" spans="1:12">
      <c r="A1109" s="20" t="s">
        <v>788</v>
      </c>
    </row>
    <row r="1110" spans="1:12">
      <c r="A1110" s="20" t="s">
        <v>789</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t="s">
        <v>790</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t="s">
        <v>791</v>
      </c>
      <c r="B1112" s="27" t="s">
        <v>376</v>
      </c>
      <c r="C1112" s="27" t="s">
        <v>475</v>
      </c>
      <c r="D1112" s="27" t="s">
        <v>378</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t="s">
        <v>23</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384</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t="s">
        <v>749</v>
      </c>
      <c r="E1115" s="21">
        <f>IF(D1115="?OLD","!!!","")</f>
        <v/>
      </c>
      <c r="F1115" s="22" t="str">
        <f>IF(OR(E1115="",E1115="!!!"),"",IF(NOT(ISNA(VLOOKUP(E1115,E$1:E1114,1,FALSE()))),"OLD",IF(AND(E1115&lt;&gt;"",E1115&lt;&gt;"!!!"),"NEW","")))</f>
        <v> </v>
      </c>
      <c r="G1115" s="23" t="str">
        <f>IF(OR(E1115="",E1115="!!!"),"",IF(OR(J1115=0,AND(J1115=1,K1115=1),AND(J1115=1,I1115="SBJ"),AND(J1115=1,I1115=0)),"?IN_FOCUS",IF(J1115&lt;=2,"?ACTIVATED",IF(J1115&lt;&gt;"","?FAMILIAR",IF(F1115="NEW",IF(ISNA(VLOOKUP(E1115,#REF!,1,FALSE())),"?TYPE_IDENTIFIABLE","?REFERENTIAL"),"_")))))</f>
        <v> </v>
      </c>
      <c r="H1115" s="24" t="str">
        <f>IF(J1115&lt;&gt;1,"",IF(I1115="SBJ","CB","?"))</f>
        <v> </v>
      </c>
      <c r="I1115" s="25" t="str">
        <f>IF(OR(E1115="",E1115="!!!",F1115="NEW"),"",INDEX(B1114:B$2,-1+SUMPRODUCT(MAX(ROW(E1114:E$2)*(E1115=E1114:E$2)))))</f>
        <v> </v>
      </c>
      <c r="J1115" s="25" t="str">
        <f>IF(OR(E1115="",E1115="!!!",F1115="NEW"),"",COUNTBLANK(OFFSET(A$1,,,SUMPRODUCT(MAX(ROW(E$2:E1115)*(E1115=E$2:E1115)))))-COUNTBLANK(OFFSET(A$1,,,SUMPRODUCT(MAX(ROW(E$1:E1114)*(E2=E$1:E1114))))))</f>
        <v> </v>
      </c>
      <c r="K1115" s="25" t="str">
        <f>IF(OR(E1115="",E1115="!!!",F1115="NEW"),"",INDEX(J$1:J1114,SUMPRODUCT(MAX(ROW(E$1:E1114)*(E1115=E$1:E1114)))))</f>
        <v> </v>
      </c>
      <c r="L1115" s="26"/>
    </row>
    <row r="1116" spans="1:12">
      <c r="A1116" s="20" t="s">
        <v>792</v>
      </c>
      <c r="B1116" s="27" t="s">
        <v>511</v>
      </c>
      <c r="C1116" s="27" t="s">
        <v>388</v>
      </c>
      <c r="E1116" s="21">
        <f>IF(D1116="?OLD","!!!","")</f>
        <v/>
      </c>
      <c r="F1116" s="22" t="str">
        <f>IF(OR(E1116="",E1116="!!!"),"",IF(NOT(ISNA(VLOOKUP(E1116,E$1:E1115,1,FALSE()))),"OLD",IF(AND(E1116&lt;&gt;"",E1116&lt;&gt;"!!!"),"NEW","")))</f>
        <v> </v>
      </c>
      <c r="G1116" s="23" t="str">
        <f>IF(OR(E1116="",E1116="!!!"),"",IF(OR(J1116=0,AND(J1116=1,K1116=1),AND(J1116=1,I1116="SBJ"),AND(J1116=1,I1116=0)),"?IN_FOCUS",IF(J1116&lt;=2,"?ACTIVATED",IF(J1116&lt;&gt;"","?FAMILIAR",IF(F1116="NEW",IF(ISNA(VLOOKUP(E1116,#REF!,1,FALSE())),"?TYPE_IDENTIFIABLE","?REFERENTIAL"),"_")))))</f>
        <v> </v>
      </c>
      <c r="H1116" s="24" t="str">
        <f>IF(J1116&lt;&gt;1,"",IF(I1116="SBJ","CB","?"))</f>
        <v> </v>
      </c>
      <c r="I1116" s="25" t="str">
        <f>IF(OR(E1116="",E1116="!!!",F1116="NEW"),"",INDEX(B1115:B$2,-1+SUMPRODUCT(MAX(ROW(E1115:E$2)*(E1116=E1115:E$2)))))</f>
        <v> </v>
      </c>
      <c r="J1116" s="25" t="str">
        <f>IF(OR(E1116="",E1116="!!!",F1116="NEW"),"",COUNTBLANK(OFFSET(A$1,,,SUMPRODUCT(MAX(ROW(E$2:E1116)*(E1116=E$2:E1116)))))-COUNTBLANK(OFFSET(A$1,,,SUMPRODUCT(MAX(ROW(E$1:E1115)*(E2=E$1:E1115))))))</f>
        <v> </v>
      </c>
      <c r="K1116" s="25" t="str">
        <f>IF(OR(E1116="",E1116="!!!",F1116="NEW"),"",INDEX(J$1:J1115,SUMPRODUCT(MAX(ROW(E$1:E1115)*(E1116=E$1:E1115)))))</f>
        <v> </v>
      </c>
      <c r="L1116" s="26"/>
    </row>
    <row r="1117" spans="1:12">
      <c r="A1117" s="20" t="s">
        <v>394</v>
      </c>
      <c r="E1117" s="21">
        <f>IF(D1117="?OLD","!!!","")</f>
        <v/>
      </c>
      <c r="F1117" s="22" t="str">
        <f>IF(OR(E1117="",E1117="!!!"),"",IF(NOT(ISNA(VLOOKUP(E1117,E$1:E1116,1,FALSE()))),"OLD",IF(AND(E1117&lt;&gt;"",E1117&lt;&gt;"!!!"),"NEW","")))</f>
        <v> </v>
      </c>
      <c r="G1117" s="23" t="str">
        <f>IF(OR(E1117="",E1117="!!!"),"",IF(OR(J1117=0,AND(J1117=1,K1117=1),AND(J1117=1,I1117="SBJ"),AND(J1117=1,I1117=0)),"?IN_FOCUS",IF(J1117&lt;=2,"?ACTIVATED",IF(J1117&lt;&gt;"","?FAMILIAR",IF(F1117="NEW",IF(ISNA(VLOOKUP(E1117,#REF!,1,FALSE())),"?TYPE_IDENTIFIABLE","?REFERENTIAL"),"_")))))</f>
        <v> </v>
      </c>
      <c r="H1117" s="24" t="str">
        <f>IF(J1117&lt;&gt;1,"",IF(I1117="SBJ","CB","?"))</f>
        <v> </v>
      </c>
      <c r="I1117" s="25" t="str">
        <f>IF(OR(E1117="",E1117="!!!",F1117="NEW"),"",INDEX(B1116:B$2,-1+SUMPRODUCT(MAX(ROW(E1116:E$2)*(E1117=E1116:E$2)))))</f>
        <v> </v>
      </c>
      <c r="J1117" s="25" t="str">
        <f>IF(OR(E1117="",E1117="!!!",F1117="NEW"),"",COUNTBLANK(OFFSET(A$1,,,SUMPRODUCT(MAX(ROW(E$2:E1117)*(E1117=E$2:E1117)))))-COUNTBLANK(OFFSET(A$1,,,SUMPRODUCT(MAX(ROW(E$1:E1116)*(E2=E$1:E1116))))))</f>
        <v> </v>
      </c>
      <c r="K1117" s="25" t="str">
        <f>IF(OR(E1117="",E1117="!!!",F1117="NEW"),"",INDEX(J$1:J1116,SUMPRODUCT(MAX(ROW(E$1:E1116)*(E1117=E$1:E1116)))))</f>
        <v> </v>
      </c>
      <c r="L1117" s="26"/>
    </row>
    <row r="1118" spans="1:12">
      <c r="A1118" s="20"/>
    </row>
    <row r="1119" spans="1:12">
      <c r="A1119" s="20" t="s">
        <v>793</v>
      </c>
    </row>
    <row r="1120" spans="1:12">
      <c r="A1120" s="20" t="s">
        <v>794</v>
      </c>
      <c r="B1120" s="27" t="s">
        <v>376</v>
      </c>
      <c r="C1120" s="27" t="s">
        <v>429</v>
      </c>
      <c r="D1120" s="27" t="s">
        <v>378</v>
      </c>
      <c r="E1120" s="21">
        <f>IF(D1120="?OLD","!!!","")</f>
        <v/>
      </c>
      <c r="F1120" s="22" t="str">
        <f>IF(OR(E1120="",E1120="!!!"),"",IF(NOT(ISNA(VLOOKUP(E1120,E$1:E1119,1,FALSE()))),"OLD",IF(AND(E1120&lt;&gt;"",E1120&lt;&gt;"!!!"),"NEW","")))</f>
        <v> </v>
      </c>
      <c r="G1120" s="23" t="str">
        <f>IF(OR(E1120="",E1120="!!!"),"",IF(OR(J1120=0,AND(J1120=1,K1120=1),AND(J1120=1,I1120="SBJ"),AND(J1120=1,I1120=0)),"?IN_FOCUS",IF(J1120&lt;=2,"?ACTIVATED",IF(J1120&lt;&gt;"","?FAMILIAR",IF(F1120="NEW",IF(ISNA(VLOOKUP(E1120,#REF!,1,FALSE())),"?TYPE_IDENTIFIABLE","?REFERENTIAL"),"_")))))</f>
        <v> </v>
      </c>
      <c r="H1120" s="24" t="str">
        <f>IF(J1120&lt;&gt;1,"",IF(I1120="SBJ","CB","?"))</f>
        <v> </v>
      </c>
      <c r="I1120" s="25" t="str">
        <f>IF(OR(E1120="",E1120="!!!",F1120="NEW"),"",INDEX(B1119:B$2,-1+SUMPRODUCT(MAX(ROW(E1119:E$2)*(E1120=E1119:E$2)))))</f>
        <v> </v>
      </c>
      <c r="J1120" s="25" t="str">
        <f>IF(OR(E1120="",E1120="!!!",F1120="NEW"),"",COUNTBLANK(OFFSET(A$1,,,SUMPRODUCT(MAX(ROW(E$2:E1120)*(E1120=E$2:E1120)))))-COUNTBLANK(OFFSET(A$1,,,SUMPRODUCT(MAX(ROW(E$1:E1119)*(E2=E$1:E1119))))))</f>
        <v> </v>
      </c>
      <c r="K1120" s="25" t="str">
        <f>IF(OR(E1120="",E1120="!!!",F1120="NEW"),"",INDEX(J$1:J1119,SUMPRODUCT(MAX(ROW(E$1:E1119)*(E1120=E$1:E1119)))))</f>
        <v> </v>
      </c>
      <c r="L1120" s="26"/>
    </row>
    <row r="1121" spans="1:12">
      <c r="A1121" s="20" t="s">
        <v>795</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t="s">
        <v>390</v>
      </c>
      <c r="E1122" s="21">
        <f>IF(D1122="?OLD","!!!","")</f>
        <v/>
      </c>
      <c r="F1122" s="22" t="str">
        <f>IF(OR(E1122="",E1122="!!!"),"",IF(NOT(ISNA(VLOOKUP(E1122,E$1:E1121,1,FALSE()))),"OLD",IF(AND(E1122&lt;&gt;"",E1122&lt;&gt;"!!!"),"NEW","")))</f>
        <v> </v>
      </c>
      <c r="G1122" s="23" t="str">
        <f>IF(OR(E1122="",E1122="!!!"),"",IF(OR(J1122=0,AND(J1122=1,K1122=1),AND(J1122=1,I1122="SBJ"),AND(J1122=1,I1122=0)),"?IN_FOCUS",IF(J1122&lt;=2,"?ACTIVATED",IF(J1122&lt;&gt;"","?FAMILIAR",IF(F1122="NEW",IF(ISNA(VLOOKUP(E1122,#REF!,1,FALSE())),"?TYPE_IDENTIFIABLE","?REFERENTIAL"),"_")))))</f>
        <v> </v>
      </c>
      <c r="H1122" s="24" t="str">
        <f>IF(J1122&lt;&gt;1,"",IF(I1122="SBJ","CB","?"))</f>
        <v> </v>
      </c>
      <c r="I1122" s="25" t="str">
        <f>IF(OR(E1122="",E1122="!!!",F1122="NEW"),"",INDEX(B1121:B$2,-1+SUMPRODUCT(MAX(ROW(E1121:E$2)*(E1122=E1121:E$2)))))</f>
        <v> </v>
      </c>
      <c r="J1122" s="25" t="str">
        <f>IF(OR(E1122="",E1122="!!!",F1122="NEW"),"",COUNTBLANK(OFFSET(A$1,,,SUMPRODUCT(MAX(ROW(E$2:E1122)*(E1122=E$2:E1122)))))-COUNTBLANK(OFFSET(A$1,,,SUMPRODUCT(MAX(ROW(E$1:E1121)*(E2=E$1:E1121))))))</f>
        <v> </v>
      </c>
      <c r="K1122" s="25" t="str">
        <f>IF(OR(E1122="",E1122="!!!",F1122="NEW"),"",INDEX(J$1:J1121,SUMPRODUCT(MAX(ROW(E$1:E1121)*(E1122=E$1:E1121)))))</f>
        <v> </v>
      </c>
      <c r="L1122" s="26"/>
    </row>
    <row r="1123" spans="1:12">
      <c r="A1123" s="20" t="s">
        <v>474</v>
      </c>
      <c r="B1123" s="27" t="s">
        <v>511</v>
      </c>
      <c r="C1123" s="27" t="s">
        <v>393</v>
      </c>
      <c r="D1123" s="27" t="s">
        <v>378</v>
      </c>
      <c r="E1123" s="21">
        <f>IF(D1123="?OLD","!!!","")</f>
        <v/>
      </c>
      <c r="F1123" s="22" t="str">
        <f>IF(OR(E1123="",E1123="!!!"),"",IF(NOT(ISNA(VLOOKUP(E1123,E$1:E1122,1,FALSE()))),"OLD",IF(AND(E1123&lt;&gt;"",E1123&lt;&gt;"!!!"),"NEW","")))</f>
        <v> </v>
      </c>
      <c r="G1123" s="23" t="str">
        <f>IF(OR(E1123="",E1123="!!!"),"",IF(OR(J1123=0,AND(J1123=1,K1123=1),AND(J1123=1,I1123="SBJ"),AND(J1123=1,I1123=0)),"?IN_FOCUS",IF(J1123&lt;=2,"?ACTIVATED",IF(J1123&lt;&gt;"","?FAMILIAR",IF(F1123="NEW",IF(ISNA(VLOOKUP(E1123,#REF!,1,FALSE())),"?TYPE_IDENTIFIABLE","?REFERENTIAL"),"_")))))</f>
        <v> </v>
      </c>
      <c r="H1123" s="24" t="str">
        <f>IF(J1123&lt;&gt;1,"",IF(I1123="SBJ","CB","?"))</f>
        <v> </v>
      </c>
      <c r="I1123" s="25" t="str">
        <f>IF(OR(E1123="",E1123="!!!",F1123="NEW"),"",INDEX(B1122:B$2,-1+SUMPRODUCT(MAX(ROW(E1122:E$2)*(E1123=E1122:E$2)))))</f>
        <v> </v>
      </c>
      <c r="J1123" s="25" t="str">
        <f>IF(OR(E1123="",E1123="!!!",F1123="NEW"),"",COUNTBLANK(OFFSET(A$1,,,SUMPRODUCT(MAX(ROW(E$2:E1123)*(E1123=E$2:E1123)))))-COUNTBLANK(OFFSET(A$1,,,SUMPRODUCT(MAX(ROW(E$1:E1122)*(E2=E$1:E1122))))))</f>
        <v> </v>
      </c>
      <c r="K1123" s="25" t="str">
        <f>IF(OR(E1123="",E1123="!!!",F1123="NEW"),"",INDEX(J$1:J1122,SUMPRODUCT(MAX(ROW(E$1:E1122)*(E1123=E$1:E1122)))))</f>
        <v> </v>
      </c>
      <c r="L1123" s="26"/>
    </row>
    <row r="1124" spans="1:12">
      <c r="A1124" s="20" t="s">
        <v>796</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t="s">
        <v>464</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390</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t="s">
        <v>797</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t="s">
        <v>465</v>
      </c>
      <c r="B1128" s="27" t="s">
        <v>398</v>
      </c>
      <c r="C1128" s="27" t="s">
        <v>393</v>
      </c>
      <c r="D1128" s="27" t="s">
        <v>378</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t="s">
        <v>394</v>
      </c>
      <c r="E1129" s="21">
        <f>IF(D1129="?OLD","!!!","")</f>
        <v/>
      </c>
      <c r="F1129" s="22" t="str">
        <f>IF(OR(E1129="",E1129="!!!"),"",IF(NOT(ISNA(VLOOKUP(E1129,E$1:E1128,1,FALSE()))),"OLD",IF(AND(E1129&lt;&gt;"",E1129&lt;&gt;"!!!"),"NEW","")))</f>
        <v> </v>
      </c>
      <c r="G1129" s="23" t="str">
        <f>IF(OR(E1129="",E1129="!!!"),"",IF(OR(J1129=0,AND(J1129=1,K1129=1),AND(J1129=1,I1129="SBJ"),AND(J1129=1,I1129=0)),"?IN_FOCUS",IF(J1129&lt;=2,"?ACTIVATED",IF(J1129&lt;&gt;"","?FAMILIAR",IF(F1129="NEW",IF(ISNA(VLOOKUP(E1129,#REF!,1,FALSE())),"?TYPE_IDENTIFIABLE","?REFERENTIAL"),"_")))))</f>
        <v> </v>
      </c>
      <c r="H1129" s="24" t="str">
        <f>IF(J1129&lt;&gt;1,"",IF(I1129="SBJ","CB","?"))</f>
        <v> </v>
      </c>
      <c r="I1129" s="25" t="str">
        <f>IF(OR(E1129="",E1129="!!!",F1129="NEW"),"",INDEX(B1128:B$2,-1+SUMPRODUCT(MAX(ROW(E1128:E$2)*(E1129=E1128:E$2)))))</f>
        <v> </v>
      </c>
      <c r="J1129" s="25" t="str">
        <f>IF(OR(E1129="",E1129="!!!",F1129="NEW"),"",COUNTBLANK(OFFSET(A$1,,,SUMPRODUCT(MAX(ROW(E$2:E1129)*(E1129=E$2:E1129)))))-COUNTBLANK(OFFSET(A$1,,,SUMPRODUCT(MAX(ROW(E$1:E1128)*(E2=E$1:E1128))))))</f>
        <v> </v>
      </c>
      <c r="K1129" s="25" t="str">
        <f>IF(OR(E1129="",E1129="!!!",F1129="NEW"),"",INDEX(J$1:J1128,SUMPRODUCT(MAX(ROW(E$1:E1128)*(E1129=E$1:E1128)))))</f>
        <v> </v>
      </c>
      <c r="L1129" s="26"/>
    </row>
    <row r="1130" spans="1:12">
      <c r="A1130" s="20"/>
    </row>
    <row r="1131" spans="1:12">
      <c r="A1131" s="20" t="s">
        <v>798</v>
      </c>
    </row>
    <row r="1132" spans="1:12">
      <c r="A1132" s="20" t="s">
        <v>607</v>
      </c>
      <c r="B1132" s="27" t="s">
        <v>511</v>
      </c>
      <c r="C1132" s="27" t="s">
        <v>505</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149</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t="s">
        <v>491</v>
      </c>
      <c r="B1134" s="27" t="s">
        <v>376</v>
      </c>
      <c r="C1134" s="27" t="s">
        <v>429</v>
      </c>
      <c r="D1134" s="27" t="s">
        <v>378</v>
      </c>
      <c r="E1134" s="21">
        <f>IF(D1134="?OLD","!!!","")</f>
        <v/>
      </c>
      <c r="F1134" s="22" t="str">
        <f>IF(OR(E1134="",E1134="!!!"),"",IF(NOT(ISNA(VLOOKUP(E1134,E$1:E1133,1,FALSE()))),"OLD",IF(AND(E1134&lt;&gt;"",E1134&lt;&gt;"!!!"),"NEW","")))</f>
        <v> </v>
      </c>
      <c r="G1134" s="23" t="str">
        <f>IF(OR(E1134="",E1134="!!!"),"",IF(OR(J1134=0,AND(J1134=1,K1134=1),AND(J1134=1,I1134="SBJ"),AND(J1134=1,I1134=0)),"?IN_FOCUS",IF(J1134&lt;=2,"?ACTIVATED",IF(J1134&lt;&gt;"","?FAMILIAR",IF(F1134="NEW",IF(ISNA(VLOOKUP(E1134,#REF!,1,FALSE())),"?TYPE_IDENTIFIABLE","?REFERENTIAL"),"_")))))</f>
        <v> </v>
      </c>
      <c r="H1134" s="24" t="str">
        <f>IF(J1134&lt;&gt;1,"",IF(I1134="SBJ","CB","?"))</f>
        <v> </v>
      </c>
      <c r="I1134" s="25" t="str">
        <f>IF(OR(E1134="",E1134="!!!",F1134="NEW"),"",INDEX(B1133:B$2,-1+SUMPRODUCT(MAX(ROW(E1133:E$2)*(E1134=E1133:E$2)))))</f>
        <v> </v>
      </c>
      <c r="J1134" s="25" t="str">
        <f>IF(OR(E1134="",E1134="!!!",F1134="NEW"),"",COUNTBLANK(OFFSET(A$1,,,SUMPRODUCT(MAX(ROW(E$2:E1134)*(E1134=E$2:E1134)))))-COUNTBLANK(OFFSET(A$1,,,SUMPRODUCT(MAX(ROW(E$1:E1133)*(E2=E$1:E1133))))))</f>
        <v> </v>
      </c>
      <c r="K1134" s="25" t="str">
        <f>IF(OR(E1134="",E1134="!!!",F1134="NEW"),"",INDEX(J$1:J1133,SUMPRODUCT(MAX(ROW(E$1:E1133)*(E1134=E$1:E1133)))))</f>
        <v> </v>
      </c>
      <c r="L1134" s="26"/>
    </row>
    <row r="1135" spans="1:12">
      <c r="A1135" s="20" t="s">
        <v>32</v>
      </c>
      <c r="E1135" s="21">
        <f>IF(D1135="?OLD","!!!","")</f>
        <v/>
      </c>
      <c r="F1135" s="22" t="str">
        <f>IF(OR(E1135="",E1135="!!!"),"",IF(NOT(ISNA(VLOOKUP(E1135,E$1:E1134,1,FALSE()))),"OLD",IF(AND(E1135&lt;&gt;"",E1135&lt;&gt;"!!!"),"NEW","")))</f>
        <v> </v>
      </c>
      <c r="G1135" s="23" t="str">
        <f>IF(OR(E1135="",E1135="!!!"),"",IF(OR(J1135=0,AND(J1135=1,K1135=1),AND(J1135=1,I1135="SBJ"),AND(J1135=1,I1135=0)),"?IN_FOCUS",IF(J1135&lt;=2,"?ACTIVATED",IF(J1135&lt;&gt;"","?FAMILIAR",IF(F1135="NEW",IF(ISNA(VLOOKUP(E1135,#REF!,1,FALSE())),"?TYPE_IDENTIFIABLE","?REFERENTIAL"),"_")))))</f>
        <v> </v>
      </c>
      <c r="H1135" s="24" t="str">
        <f>IF(J1135&lt;&gt;1,"",IF(I1135="SBJ","CB","?"))</f>
        <v> </v>
      </c>
      <c r="I1135" s="25" t="str">
        <f>IF(OR(E1135="",E1135="!!!",F1135="NEW"),"",INDEX(B1134:B$2,-1+SUMPRODUCT(MAX(ROW(E1134:E$2)*(E1135=E1134:E$2)))))</f>
        <v> </v>
      </c>
      <c r="J1135" s="25" t="str">
        <f>IF(OR(E1135="",E1135="!!!",F1135="NEW"),"",COUNTBLANK(OFFSET(A$1,,,SUMPRODUCT(MAX(ROW(E$2:E1135)*(E1135=E$2:E1135)))))-COUNTBLANK(OFFSET(A$1,,,SUMPRODUCT(MAX(ROW(E$1:E1134)*(E2=E$1:E1134))))))</f>
        <v> </v>
      </c>
      <c r="K1135" s="25" t="str">
        <f>IF(OR(E1135="",E1135="!!!",F1135="NEW"),"",INDEX(J$1:J1134,SUMPRODUCT(MAX(ROW(E$1:E1134)*(E1135=E$1:E1134)))))</f>
        <v> </v>
      </c>
      <c r="L1135" s="26"/>
    </row>
    <row r="1136" spans="1:12">
      <c r="A1136" s="20" t="s">
        <v>770</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457</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603</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row>
    <row r="1140" spans="1:12">
      <c r="A1140" s="20" t="s">
        <v>799</v>
      </c>
    </row>
    <row r="1141" spans="1:12">
      <c r="A1141" s="20" t="s">
        <v>493</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t="s">
        <v>800</v>
      </c>
      <c r="E1142" s="21">
        <f>IF(D1142="?OLD","!!!","")</f>
        <v/>
      </c>
      <c r="F1142" s="22" t="str">
        <f>IF(OR(E1142="",E1142="!!!"),"",IF(NOT(ISNA(VLOOKUP(E1142,E$1:E1141,1,FALSE()))),"OLD",IF(AND(E1142&lt;&gt;"",E1142&lt;&gt;"!!!"),"NEW","")))</f>
        <v> </v>
      </c>
      <c r="G1142" s="23" t="str">
        <f>IF(OR(E1142="",E1142="!!!"),"",IF(OR(J1142=0,AND(J1142=1,K1142=1),AND(J1142=1,I1142="SBJ"),AND(J1142=1,I1142=0)),"?IN_FOCUS",IF(J1142&lt;=2,"?ACTIVATED",IF(J1142&lt;&gt;"","?FAMILIAR",IF(F1142="NEW",IF(ISNA(VLOOKUP(E1142,#REF!,1,FALSE())),"?TYPE_IDENTIFIABLE","?REFERENTIAL"),"_")))))</f>
        <v> </v>
      </c>
      <c r="H1142" s="24" t="str">
        <f>IF(J1142&lt;&gt;1,"",IF(I1142="SBJ","CB","?"))</f>
        <v> </v>
      </c>
      <c r="I1142" s="25" t="str">
        <f>IF(OR(E1142="",E1142="!!!",F1142="NEW"),"",INDEX(B1141:B$2,-1+SUMPRODUCT(MAX(ROW(E1141:E$2)*(E1142=E1141:E$2)))))</f>
        <v> </v>
      </c>
      <c r="J1142" s="25" t="str">
        <f>IF(OR(E1142="",E1142="!!!",F1142="NEW"),"",COUNTBLANK(OFFSET(A$1,,,SUMPRODUCT(MAX(ROW(E$2:E1142)*(E1142=E$2:E1142)))))-COUNTBLANK(OFFSET(A$1,,,SUMPRODUCT(MAX(ROW(E$1:E1141)*(E2=E$1:E1141))))))</f>
        <v> </v>
      </c>
      <c r="K1142" s="25" t="str">
        <f>IF(OR(E1142="",E1142="!!!",F1142="NEW"),"",INDEX(J$1:J1141,SUMPRODUCT(MAX(ROW(E$1:E1141)*(E1142=E$1:E1141)))))</f>
        <v> </v>
      </c>
      <c r="L1142" s="26"/>
    </row>
    <row r="1143" spans="1:12">
      <c r="A1143" s="20" t="s">
        <v>502</v>
      </c>
      <c r="B1143" s="27" t="s">
        <v>376</v>
      </c>
      <c r="C1143" s="27" t="s">
        <v>429</v>
      </c>
      <c r="D1143" s="27" t="s">
        <v>378</v>
      </c>
      <c r="E1143" s="21">
        <f>IF(D1143="?OLD","!!!","")</f>
        <v/>
      </c>
      <c r="F1143" s="22" t="str">
        <f>IF(OR(E1143="",E1143="!!!"),"",IF(NOT(ISNA(VLOOKUP(E1143,E$1:E1142,1,FALSE()))),"OLD",IF(AND(E1143&lt;&gt;"",E1143&lt;&gt;"!!!"),"NEW","")))</f>
        <v> </v>
      </c>
      <c r="G1143" s="23" t="str">
        <f>IF(OR(E1143="",E1143="!!!"),"",IF(OR(J1143=0,AND(J1143=1,K1143=1),AND(J1143=1,I1143="SBJ"),AND(J1143=1,I1143=0)),"?IN_FOCUS",IF(J1143&lt;=2,"?ACTIVATED",IF(J1143&lt;&gt;"","?FAMILIAR",IF(F1143="NEW",IF(ISNA(VLOOKUP(E1143,#REF!,1,FALSE())),"?TYPE_IDENTIFIABLE","?REFERENTIAL"),"_")))))</f>
        <v> </v>
      </c>
      <c r="H1143" s="24" t="str">
        <f>IF(J1143&lt;&gt;1,"",IF(I1143="SBJ","CB","?"))</f>
        <v> </v>
      </c>
      <c r="I1143" s="25" t="str">
        <f>IF(OR(E1143="",E1143="!!!",F1143="NEW"),"",INDEX(B1142:B$2,-1+SUMPRODUCT(MAX(ROW(E1142:E$2)*(E1143=E1142:E$2)))))</f>
        <v> </v>
      </c>
      <c r="J1143" s="25" t="str">
        <f>IF(OR(E1143="",E1143="!!!",F1143="NEW"),"",COUNTBLANK(OFFSET(A$1,,,SUMPRODUCT(MAX(ROW(E$2:E1143)*(E1143=E$2:E1143)))))-COUNTBLANK(OFFSET(A$1,,,SUMPRODUCT(MAX(ROW(E$1:E1142)*(E2=E$1:E1142))))))</f>
        <v> </v>
      </c>
      <c r="K1143" s="25" t="str">
        <f>IF(OR(E1143="",E1143="!!!",F1143="NEW"),"",INDEX(J$1:J1142,SUMPRODUCT(MAX(ROW(E$1:E1142)*(E1143=E$1:E1142)))))</f>
        <v> </v>
      </c>
      <c r="L1143" s="26"/>
    </row>
    <row r="1144" spans="1:12">
      <c r="A1144" s="20" t="s">
        <v>185</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t="s">
        <v>390</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t="s">
        <v>801</v>
      </c>
      <c r="B1146" s="27" t="s">
        <v>511</v>
      </c>
      <c r="C1146" s="27" t="s">
        <v>393</v>
      </c>
      <c r="D1146" s="27" t="s">
        <v>378</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t="s">
        <v>404</v>
      </c>
      <c r="E1147" s="21">
        <f>IF(D1147="?OLD","!!!","")</f>
        <v/>
      </c>
      <c r="F1147" s="22" t="str">
        <f>IF(OR(E1147="",E1147="!!!"),"",IF(NOT(ISNA(VLOOKUP(E1147,E$1:E1146,1,FALSE()))),"OLD",IF(AND(E1147&lt;&gt;"",E1147&lt;&gt;"!!!"),"NEW","")))</f>
        <v> </v>
      </c>
      <c r="G1147" s="23" t="str">
        <f>IF(OR(E1147="",E1147="!!!"),"",IF(OR(J1147=0,AND(J1147=1,K1147=1),AND(J1147=1,I1147="SBJ"),AND(J1147=1,I1147=0)),"?IN_FOCUS",IF(J1147&lt;=2,"?ACTIVATED",IF(J1147&lt;&gt;"","?FAMILIAR",IF(F1147="NEW",IF(ISNA(VLOOKUP(E1147,#REF!,1,FALSE())),"?TYPE_IDENTIFIABLE","?REFERENTIAL"),"_")))))</f>
        <v> </v>
      </c>
      <c r="H1147" s="24" t="str">
        <f>IF(J1147&lt;&gt;1,"",IF(I1147="SBJ","CB","?"))</f>
        <v> </v>
      </c>
      <c r="I1147" s="25" t="str">
        <f>IF(OR(E1147="",E1147="!!!",F1147="NEW"),"",INDEX(B1146:B$2,-1+SUMPRODUCT(MAX(ROW(E1146:E$2)*(E1147=E1146:E$2)))))</f>
        <v> </v>
      </c>
      <c r="J1147" s="25" t="str">
        <f>IF(OR(E1147="",E1147="!!!",F1147="NEW"),"",COUNTBLANK(OFFSET(A$1,,,SUMPRODUCT(MAX(ROW(E$2:E1147)*(E1147=E$2:E1147)))))-COUNTBLANK(OFFSET(A$1,,,SUMPRODUCT(MAX(ROW(E$1:E1146)*(E2=E$1:E1146))))))</f>
        <v> </v>
      </c>
      <c r="K1147" s="25" t="str">
        <f>IF(OR(E1147="",E1147="!!!",F1147="NEW"),"",INDEX(J$1:J1146,SUMPRODUCT(MAX(ROW(E$1:E1146)*(E1147=E$1:E1146)))))</f>
        <v> </v>
      </c>
      <c r="L1147" s="26"/>
    </row>
    <row r="1148" spans="1:12">
      <c r="A1148" s="20" t="s">
        <v>802</v>
      </c>
      <c r="B1148" s="27" t="s">
        <v>381</v>
      </c>
      <c r="C1148" s="27" t="s">
        <v>371</v>
      </c>
      <c r="E1148" s="21">
        <f>IF(D1148="?OLD","!!!","")</f>
        <v/>
      </c>
      <c r="F1148" s="22" t="str">
        <f>IF(OR(E1148="",E1148="!!!"),"",IF(NOT(ISNA(VLOOKUP(E1148,E$1:E1147,1,FALSE()))),"OLD",IF(AND(E1148&lt;&gt;"",E1148&lt;&gt;"!!!"),"NEW","")))</f>
        <v> </v>
      </c>
      <c r="G1148" s="23" t="str">
        <f>IF(OR(E1148="",E1148="!!!"),"",IF(OR(J1148=0,AND(J1148=1,K1148=1),AND(J1148=1,I1148="SBJ"),AND(J1148=1,I1148=0)),"?IN_FOCUS",IF(J1148&lt;=2,"?ACTIVATED",IF(J1148&lt;&gt;"","?FAMILIAR",IF(F1148="NEW",IF(ISNA(VLOOKUP(E1148,#REF!,1,FALSE())),"?TYPE_IDENTIFIABLE","?REFERENTIAL"),"_")))))</f>
        <v> </v>
      </c>
      <c r="H1148" s="24" t="str">
        <f>IF(J1148&lt;&gt;1,"",IF(I1148="SBJ","CB","?"))</f>
        <v> </v>
      </c>
      <c r="I1148" s="25" t="str">
        <f>IF(OR(E1148="",E1148="!!!",F1148="NEW"),"",INDEX(B1147:B$2,-1+SUMPRODUCT(MAX(ROW(E1147:E$2)*(E1148=E1147:E$2)))))</f>
        <v> </v>
      </c>
      <c r="J1148" s="25" t="str">
        <f>IF(OR(E1148="",E1148="!!!",F1148="NEW"),"",COUNTBLANK(OFFSET(A$1,,,SUMPRODUCT(MAX(ROW(E$2:E1148)*(E1148=E$2:E1148)))))-COUNTBLANK(OFFSET(A$1,,,SUMPRODUCT(MAX(ROW(E$1:E1147)*(E2=E$1:E1147))))))</f>
        <v> </v>
      </c>
      <c r="K1148" s="25" t="str">
        <f>IF(OR(E1148="",E1148="!!!",F1148="NEW"),"",INDEX(J$1:J1147,SUMPRODUCT(MAX(ROW(E$1:E1147)*(E1148=E$1:E1147)))))</f>
        <v> </v>
      </c>
      <c r="L1148" s="26"/>
    </row>
    <row r="1149" spans="1:12">
      <c r="A1149" s="20" t="s">
        <v>394</v>
      </c>
      <c r="E1149" s="21">
        <f>IF(D1149="?OLD","!!!","")</f>
        <v/>
      </c>
      <c r="F1149" s="22" t="str">
        <f>IF(OR(E1149="",E1149="!!!"),"",IF(NOT(ISNA(VLOOKUP(E1149,E$1:E1148,1,FALSE()))),"OLD",IF(AND(E1149&lt;&gt;"",E1149&lt;&gt;"!!!"),"NEW","")))</f>
        <v> </v>
      </c>
      <c r="G1149" s="23" t="str">
        <f>IF(OR(E1149="",E1149="!!!"),"",IF(OR(J1149=0,AND(J1149=1,K1149=1),AND(J1149=1,I1149="SBJ"),AND(J1149=1,I1149=0)),"?IN_FOCUS",IF(J1149&lt;=2,"?ACTIVATED",IF(J1149&lt;&gt;"","?FAMILIAR",IF(F1149="NEW",IF(ISNA(VLOOKUP(E1149,#REF!,1,FALSE())),"?TYPE_IDENTIFIABLE","?REFERENTIAL"),"_")))))</f>
        <v> </v>
      </c>
      <c r="H1149" s="24" t="str">
        <f>IF(J1149&lt;&gt;1,"",IF(I1149="SBJ","CB","?"))</f>
        <v> </v>
      </c>
      <c r="I1149" s="25" t="str">
        <f>IF(OR(E1149="",E1149="!!!",F1149="NEW"),"",INDEX(B1148:B$2,-1+SUMPRODUCT(MAX(ROW(E1148:E$2)*(E1149=E1148:E$2)))))</f>
        <v> </v>
      </c>
      <c r="J1149" s="25" t="str">
        <f>IF(OR(E1149="",E1149="!!!",F1149="NEW"),"",COUNTBLANK(OFFSET(A$1,,,SUMPRODUCT(MAX(ROW(E$2:E1149)*(E1149=E$2:E1149)))))-COUNTBLANK(OFFSET(A$1,,,SUMPRODUCT(MAX(ROW(E$1:E1148)*(E2=E$1:E1148))))))</f>
        <v> </v>
      </c>
      <c r="K1149" s="25" t="str">
        <f>IF(OR(E1149="",E1149="!!!",F1149="NEW"),"",INDEX(J$1:J1148,SUMPRODUCT(MAX(ROW(E$1:E1148)*(E1149=E$1:E1148)))))</f>
        <v> </v>
      </c>
      <c r="L1149" s="26"/>
    </row>
    <row r="1150" spans="1:12">
      <c r="A1150" s="20"/>
    </row>
    <row r="1151" spans="1:12">
      <c r="A1151" s="20" t="s">
        <v>803</v>
      </c>
    </row>
    <row r="1152" spans="1:12">
      <c r="A1152" s="20" t="s">
        <v>493</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t="s">
        <v>390</v>
      </c>
      <c r="E1153" s="21">
        <f>IF(D1153="?OLD","!!!","")</f>
        <v/>
      </c>
      <c r="F1153" s="22" t="str">
        <f>IF(OR(E1153="",E1153="!!!"),"",IF(NOT(ISNA(VLOOKUP(E1153,E$1:E1152,1,FALSE()))),"OLD",IF(AND(E1153&lt;&gt;"",E1153&lt;&gt;"!!!"),"NEW","")))</f>
        <v> </v>
      </c>
      <c r="G1153" s="23" t="str">
        <f>IF(OR(E1153="",E1153="!!!"),"",IF(OR(J1153=0,AND(J1153=1,K1153=1),AND(J1153=1,I1153="SBJ"),AND(J1153=1,I1153=0)),"?IN_FOCUS",IF(J1153&lt;=2,"?ACTIVATED",IF(J1153&lt;&gt;"","?FAMILIAR",IF(F1153="NEW",IF(ISNA(VLOOKUP(E1153,#REF!,1,FALSE())),"?TYPE_IDENTIFIABLE","?REFERENTIAL"),"_")))))</f>
        <v> </v>
      </c>
      <c r="H1153" s="24" t="str">
        <f>IF(J1153&lt;&gt;1,"",IF(I1153="SBJ","CB","?"))</f>
        <v> </v>
      </c>
      <c r="I1153" s="25" t="str">
        <f>IF(OR(E1153="",E1153="!!!",F1153="NEW"),"",INDEX(B1152:B$2,-1+SUMPRODUCT(MAX(ROW(E1152:E$2)*(E1153=E1152:E$2)))))</f>
        <v> </v>
      </c>
      <c r="J1153" s="25" t="str">
        <f>IF(OR(E1153="",E1153="!!!",F1153="NEW"),"",COUNTBLANK(OFFSET(A$1,,,SUMPRODUCT(MAX(ROW(E$2:E1153)*(E1153=E$2:E1153)))))-COUNTBLANK(OFFSET(A$1,,,SUMPRODUCT(MAX(ROW(E$1:E1152)*(E2=E$1:E1152))))))</f>
        <v> </v>
      </c>
      <c r="K1153" s="25" t="str">
        <f>IF(OR(E1153="",E1153="!!!",F1153="NEW"),"",INDEX(J$1:J1152,SUMPRODUCT(MAX(ROW(E$1:E1152)*(E1153=E$1:E1152)))))</f>
        <v> </v>
      </c>
      <c r="L1153" s="26"/>
    </row>
    <row r="1154" spans="1:12">
      <c r="A1154" s="20" t="s">
        <v>797</v>
      </c>
      <c r="E1154" s="21">
        <f>IF(D1154="?OLD","!!!","")</f>
        <v/>
      </c>
      <c r="F1154" s="22" t="str">
        <f>IF(OR(E1154="",E1154="!!!"),"",IF(NOT(ISNA(VLOOKUP(E1154,E$1:E1153,1,FALSE()))),"OLD",IF(AND(E1154&lt;&gt;"",E1154&lt;&gt;"!!!"),"NEW","")))</f>
        <v> </v>
      </c>
      <c r="G1154" s="23" t="str">
        <f>IF(OR(E1154="",E1154="!!!"),"",IF(OR(J1154=0,AND(J1154=1,K1154=1),AND(J1154=1,I1154="SBJ"),AND(J1154=1,I1154=0)),"?IN_FOCUS",IF(J1154&lt;=2,"?ACTIVATED",IF(J1154&lt;&gt;"","?FAMILIAR",IF(F1154="NEW",IF(ISNA(VLOOKUP(E1154,#REF!,1,FALSE())),"?TYPE_IDENTIFIABLE","?REFERENTIAL"),"_")))))</f>
        <v> </v>
      </c>
      <c r="H1154" s="24" t="str">
        <f>IF(J1154&lt;&gt;1,"",IF(I1154="SBJ","CB","?"))</f>
        <v> </v>
      </c>
      <c r="I1154" s="25" t="str">
        <f>IF(OR(E1154="",E1154="!!!",F1154="NEW"),"",INDEX(B1153:B$2,-1+SUMPRODUCT(MAX(ROW(E1153:E$2)*(E1154=E1153:E$2)))))</f>
        <v> </v>
      </c>
      <c r="J1154" s="25" t="str">
        <f>IF(OR(E1154="",E1154="!!!",F1154="NEW"),"",COUNTBLANK(OFFSET(A$1,,,SUMPRODUCT(MAX(ROW(E$2:E1154)*(E1154=E$2:E1154)))))-COUNTBLANK(OFFSET(A$1,,,SUMPRODUCT(MAX(ROW(E$1:E1153)*(E2=E$1:E1153))))))</f>
        <v> </v>
      </c>
      <c r="K1154" s="25" t="str">
        <f>IF(OR(E1154="",E1154="!!!",F1154="NEW"),"",INDEX(J$1:J1153,SUMPRODUCT(MAX(ROW(E$1:E1153)*(E1154=E$1:E1153)))))</f>
        <v> </v>
      </c>
      <c r="L1154" s="26"/>
    </row>
    <row r="1155" spans="1:12">
      <c r="A1155" s="20" t="s">
        <v>721</v>
      </c>
      <c r="B1155" s="27" t="s">
        <v>376</v>
      </c>
      <c r="C1155" s="27" t="s">
        <v>393</v>
      </c>
      <c r="D1155" s="27" t="s">
        <v>378</v>
      </c>
      <c r="E1155" s="21">
        <f>IF(D1155="?OLD","!!!","")</f>
        <v/>
      </c>
      <c r="F1155" s="22" t="str">
        <f>IF(OR(E1155="",E1155="!!!"),"",IF(NOT(ISNA(VLOOKUP(E1155,E$1:E1154,1,FALSE()))),"OLD",IF(AND(E1155&lt;&gt;"",E1155&lt;&gt;"!!!"),"NEW","")))</f>
        <v> </v>
      </c>
      <c r="G1155" s="23" t="str">
        <f>IF(OR(E1155="",E1155="!!!"),"",IF(OR(J1155=0,AND(J1155=1,K1155=1),AND(J1155=1,I1155="SBJ"),AND(J1155=1,I1155=0)),"?IN_FOCUS",IF(J1155&lt;=2,"?ACTIVATED",IF(J1155&lt;&gt;"","?FAMILIAR",IF(F1155="NEW",IF(ISNA(VLOOKUP(E1155,#REF!,1,FALSE())),"?TYPE_IDENTIFIABLE","?REFERENTIAL"),"_")))))</f>
        <v> </v>
      </c>
      <c r="H1155" s="24" t="str">
        <f>IF(J1155&lt;&gt;1,"",IF(I1155="SBJ","CB","?"))</f>
        <v> </v>
      </c>
      <c r="I1155" s="25" t="str">
        <f>IF(OR(E1155="",E1155="!!!",F1155="NEW"),"",INDEX(B1154:B$2,-1+SUMPRODUCT(MAX(ROW(E1154:E$2)*(E1155=E1154:E$2)))))</f>
        <v> </v>
      </c>
      <c r="J1155" s="25" t="str">
        <f>IF(OR(E1155="",E1155="!!!",F1155="NEW"),"",COUNTBLANK(OFFSET(A$1,,,SUMPRODUCT(MAX(ROW(E$2:E1155)*(E1155=E$2:E1155)))))-COUNTBLANK(OFFSET(A$1,,,SUMPRODUCT(MAX(ROW(E$1:E1154)*(E2=E$1:E1154))))))</f>
        <v> </v>
      </c>
      <c r="K1155" s="25" t="str">
        <f>IF(OR(E1155="",E1155="!!!",F1155="NEW"),"",INDEX(J$1:J1154,SUMPRODUCT(MAX(ROW(E$1:E1154)*(E1155=E$1:E1154)))))</f>
        <v> </v>
      </c>
      <c r="L1155" s="26"/>
    </row>
    <row r="1156" spans="1:12">
      <c r="A1156" s="20" t="s">
        <v>804</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t="s">
        <v>805</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t="s">
        <v>806</v>
      </c>
      <c r="E1158" s="21">
        <f>IF(D1158="?OLD","!!!","")</f>
        <v/>
      </c>
      <c r="F1158" s="22" t="str">
        <f>IF(OR(E1158="",E1158="!!!"),"",IF(NOT(ISNA(VLOOKUP(E1158,E$1:E1157,1,FALSE()))),"OLD",IF(AND(E1158&lt;&gt;"",E1158&lt;&gt;"!!!"),"NEW","")))</f>
        <v> </v>
      </c>
      <c r="G1158" s="23" t="str">
        <f>IF(OR(E1158="",E1158="!!!"),"",IF(OR(J1158=0,AND(J1158=1,K1158=1),AND(J1158=1,I1158="SBJ"),AND(J1158=1,I1158=0)),"?IN_FOCUS",IF(J1158&lt;=2,"?ACTIVATED",IF(J1158&lt;&gt;"","?FAMILIAR",IF(F1158="NEW",IF(ISNA(VLOOKUP(E1158,#REF!,1,FALSE())),"?TYPE_IDENTIFIABLE","?REFERENTIAL"),"_")))))</f>
        <v> </v>
      </c>
      <c r="H1158" s="24" t="str">
        <f>IF(J1158&lt;&gt;1,"",IF(I1158="SBJ","CB","?"))</f>
        <v> </v>
      </c>
      <c r="I1158" s="25" t="str">
        <f>IF(OR(E1158="",E1158="!!!",F1158="NEW"),"",INDEX(B1157:B$2,-1+SUMPRODUCT(MAX(ROW(E1157:E$2)*(E1158=E1157:E$2)))))</f>
        <v> </v>
      </c>
      <c r="J1158" s="25" t="str">
        <f>IF(OR(E1158="",E1158="!!!",F1158="NEW"),"",COUNTBLANK(OFFSET(A$1,,,SUMPRODUCT(MAX(ROW(E$2:E1158)*(E1158=E$2:E1158)))))-COUNTBLANK(OFFSET(A$1,,,SUMPRODUCT(MAX(ROW(E$1:E1157)*(E2=E$1:E1157))))))</f>
        <v> </v>
      </c>
      <c r="K1158" s="25" t="str">
        <f>IF(OR(E1158="",E1158="!!!",F1158="NEW"),"",INDEX(J$1:J1157,SUMPRODUCT(MAX(ROW(E$1:E1157)*(E1158=E$1:E1157)))))</f>
        <v> </v>
      </c>
      <c r="L1158" s="26"/>
    </row>
    <row r="1159" spans="1:12">
      <c r="A1159" s="20" t="s">
        <v>390</v>
      </c>
      <c r="E1159" s="21">
        <f>IF(D1159="?OLD","!!!","")</f>
        <v/>
      </c>
      <c r="F1159" s="22" t="str">
        <f>IF(OR(E1159="",E1159="!!!"),"",IF(NOT(ISNA(VLOOKUP(E1159,E$1:E1158,1,FALSE()))),"OLD",IF(AND(E1159&lt;&gt;"",E1159&lt;&gt;"!!!"),"NEW","")))</f>
        <v> </v>
      </c>
      <c r="G1159" s="23" t="str">
        <f>IF(OR(E1159="",E1159="!!!"),"",IF(OR(J1159=0,AND(J1159=1,K1159=1),AND(J1159=1,I1159="SBJ"),AND(J1159=1,I1159=0)),"?IN_FOCUS",IF(J1159&lt;=2,"?ACTIVATED",IF(J1159&lt;&gt;"","?FAMILIAR",IF(F1159="NEW",IF(ISNA(VLOOKUP(E1159,#REF!,1,FALSE())),"?TYPE_IDENTIFIABLE","?REFERENTIAL"),"_")))))</f>
        <v> </v>
      </c>
      <c r="H1159" s="24" t="str">
        <f>IF(J1159&lt;&gt;1,"",IF(I1159="SBJ","CB","?"))</f>
        <v> </v>
      </c>
      <c r="I1159" s="25" t="str">
        <f>IF(OR(E1159="",E1159="!!!",F1159="NEW"),"",INDEX(B1158:B$2,-1+SUMPRODUCT(MAX(ROW(E1158:E$2)*(E1159=E1158:E$2)))))</f>
        <v> </v>
      </c>
      <c r="J1159" s="25" t="str">
        <f>IF(OR(E1159="",E1159="!!!",F1159="NEW"),"",COUNTBLANK(OFFSET(A$1,,,SUMPRODUCT(MAX(ROW(E$2:E1159)*(E1159=E$2:E1159)))))-COUNTBLANK(OFFSET(A$1,,,SUMPRODUCT(MAX(ROW(E$1:E1158)*(E2=E$1:E1158))))))</f>
        <v> </v>
      </c>
      <c r="K1159" s="25" t="str">
        <f>IF(OR(E1159="",E1159="!!!",F1159="NEW"),"",INDEX(J$1:J1158,SUMPRODUCT(MAX(ROW(E$1:E1158)*(E1159=E$1:E1158)))))</f>
        <v> </v>
      </c>
      <c r="L1159" s="26"/>
    </row>
    <row r="1160" spans="1:12">
      <c r="A1160" s="20" t="s">
        <v>438</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572</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t="s">
        <v>406</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806</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571</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390</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t="s">
        <v>438</v>
      </c>
      <c r="E1166" s="21">
        <f>IF(D1166="?OLD","!!!","")</f>
        <v/>
      </c>
      <c r="F1166" s="22" t="str">
        <f>IF(OR(E1166="",E1166="!!!"),"",IF(NOT(ISNA(VLOOKUP(E1166,E$1:E1165,1,FALSE()))),"OLD",IF(AND(E1166&lt;&gt;"",E1166&lt;&gt;"!!!"),"NEW","")))</f>
        <v> </v>
      </c>
      <c r="G1166" s="23" t="str">
        <f>IF(OR(E1166="",E1166="!!!"),"",IF(OR(J1166=0,AND(J1166=1,K1166=1),AND(J1166=1,I1166="SBJ"),AND(J1166=1,I1166=0)),"?IN_FOCUS",IF(J1166&lt;=2,"?ACTIVATED",IF(J1166&lt;&gt;"","?FAMILIAR",IF(F1166="NEW",IF(ISNA(VLOOKUP(E1166,#REF!,1,FALSE())),"?TYPE_IDENTIFIABLE","?REFERENTIAL"),"_")))))</f>
        <v> </v>
      </c>
      <c r="H1166" s="24" t="str">
        <f>IF(J1166&lt;&gt;1,"",IF(I1166="SBJ","CB","?"))</f>
        <v> </v>
      </c>
      <c r="I1166" s="25" t="str">
        <f>IF(OR(E1166="",E1166="!!!",F1166="NEW"),"",INDEX(B1165:B$2,-1+SUMPRODUCT(MAX(ROW(E1165:E$2)*(E1166=E1165:E$2)))))</f>
        <v> </v>
      </c>
      <c r="J1166" s="25" t="str">
        <f>IF(OR(E1166="",E1166="!!!",F1166="NEW"),"",COUNTBLANK(OFFSET(A$1,,,SUMPRODUCT(MAX(ROW(E$2:E1166)*(E1166=E$2:E1166)))))-COUNTBLANK(OFFSET(A$1,,,SUMPRODUCT(MAX(ROW(E$1:E1165)*(E2=E$1:E1165))))))</f>
        <v> </v>
      </c>
      <c r="K1166" s="25" t="str">
        <f>IF(OR(E1166="",E1166="!!!",F1166="NEW"),"",INDEX(J$1:J1165,SUMPRODUCT(MAX(ROW(E$1:E1165)*(E1166=E$1:E1165)))))</f>
        <v> </v>
      </c>
      <c r="L1166" s="26"/>
    </row>
    <row r="1167" spans="1:12">
      <c r="A1167" s="20" t="s">
        <v>170</v>
      </c>
      <c r="E1167" s="21">
        <f>IF(D1167="?OLD","!!!","")</f>
        <v/>
      </c>
      <c r="F1167" s="22" t="str">
        <f>IF(OR(E1167="",E1167="!!!"),"",IF(NOT(ISNA(VLOOKUP(E1167,E$1:E1166,1,FALSE()))),"OLD",IF(AND(E1167&lt;&gt;"",E1167&lt;&gt;"!!!"),"NEW","")))</f>
        <v> </v>
      </c>
      <c r="G1167" s="23" t="str">
        <f>IF(OR(E1167="",E1167="!!!"),"",IF(OR(J1167=0,AND(J1167=1,K1167=1),AND(J1167=1,I1167="SBJ"),AND(J1167=1,I1167=0)),"?IN_FOCUS",IF(J1167&lt;=2,"?ACTIVATED",IF(J1167&lt;&gt;"","?FAMILIAR",IF(F1167="NEW",IF(ISNA(VLOOKUP(E1167,#REF!,1,FALSE())),"?TYPE_IDENTIFIABLE","?REFERENTIAL"),"_")))))</f>
        <v> </v>
      </c>
      <c r="H1167" s="24" t="str">
        <f>IF(J1167&lt;&gt;1,"",IF(I1167="SBJ","CB","?"))</f>
        <v> </v>
      </c>
      <c r="I1167" s="25" t="str">
        <f>IF(OR(E1167="",E1167="!!!",F1167="NEW"),"",INDEX(B1166:B$2,-1+SUMPRODUCT(MAX(ROW(E1166:E$2)*(E1167=E1166:E$2)))))</f>
        <v> </v>
      </c>
      <c r="J1167" s="25" t="str">
        <f>IF(OR(E1167="",E1167="!!!",F1167="NEW"),"",COUNTBLANK(OFFSET(A$1,,,SUMPRODUCT(MAX(ROW(E$2:E1167)*(E1167=E$2:E1167)))))-COUNTBLANK(OFFSET(A$1,,,SUMPRODUCT(MAX(ROW(E$1:E1166)*(E2=E$1:E1166))))))</f>
        <v> </v>
      </c>
      <c r="K1167" s="25" t="str">
        <f>IF(OR(E1167="",E1167="!!!",F1167="NEW"),"",INDEX(J$1:J1166,SUMPRODUCT(MAX(ROW(E$1:E1166)*(E1167=E$1:E1166)))))</f>
        <v> </v>
      </c>
      <c r="L1167" s="26"/>
    </row>
    <row r="1168" spans="1:12">
      <c r="A1168" s="20" t="s">
        <v>394</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row>
    <row r="1170" spans="1:12">
      <c r="A1170" s="20" t="s">
        <v>807</v>
      </c>
    </row>
    <row r="1171" spans="1:12">
      <c r="A1171" s="20" t="s">
        <v>501</v>
      </c>
      <c r="B1171" s="27" t="s">
        <v>376</v>
      </c>
      <c r="C1171" s="27" t="s">
        <v>429</v>
      </c>
      <c r="D1171" s="27" t="s">
        <v>378</v>
      </c>
      <c r="E1171" s="21">
        <f>IF(D1171="?OLD","!!!","")</f>
        <v/>
      </c>
      <c r="F1171" s="22" t="str">
        <f>IF(OR(E1171="",E1171="!!!"),"",IF(NOT(ISNA(VLOOKUP(E1171,E$1:E1170,1,FALSE()))),"OLD",IF(AND(E1171&lt;&gt;"",E1171&lt;&gt;"!!!"),"NEW","")))</f>
        <v> </v>
      </c>
      <c r="G1171" s="23" t="str">
        <f>IF(OR(E1171="",E1171="!!!"),"",IF(OR(J1171=0,AND(J1171=1,K1171=1),AND(J1171=1,I1171="SBJ"),AND(J1171=1,I1171=0)),"?IN_FOCUS",IF(J1171&lt;=2,"?ACTIVATED",IF(J1171&lt;&gt;"","?FAMILIAR",IF(F1171="NEW",IF(ISNA(VLOOKUP(E1171,#REF!,1,FALSE())),"?TYPE_IDENTIFIABLE","?REFERENTIAL"),"_")))))</f>
        <v> </v>
      </c>
      <c r="H1171" s="24" t="str">
        <f>IF(J1171&lt;&gt;1,"",IF(I1171="SBJ","CB","?"))</f>
        <v> </v>
      </c>
      <c r="I1171" s="25" t="str">
        <f>IF(OR(E1171="",E1171="!!!",F1171="NEW"),"",INDEX(B1170:B$2,-1+SUMPRODUCT(MAX(ROW(E1170:E$2)*(E1171=E1170:E$2)))))</f>
        <v> </v>
      </c>
      <c r="J1171" s="25" t="str">
        <f>IF(OR(E1171="",E1171="!!!",F1171="NEW"),"",COUNTBLANK(OFFSET(A$1,,,SUMPRODUCT(MAX(ROW(E$2:E1171)*(E1171=E$2:E1171)))))-COUNTBLANK(OFFSET(A$1,,,SUMPRODUCT(MAX(ROW(E$1:E1170)*(E2=E$1:E1170))))))</f>
        <v> </v>
      </c>
      <c r="K1171" s="25" t="str">
        <f>IF(OR(E1171="",E1171="!!!",F1171="NEW"),"",INDEX(J$1:J1170,SUMPRODUCT(MAX(ROW(E$1:E1170)*(E1171=E$1:E1170)))))</f>
        <v> </v>
      </c>
      <c r="L1171" s="26"/>
    </row>
    <row r="1172" spans="1:12">
      <c r="A1172" s="20" t="s">
        <v>808</v>
      </c>
      <c r="E1172" s="21">
        <f>IF(D1172="?OLD","!!!","")</f>
        <v/>
      </c>
      <c r="F1172" s="22" t="str">
        <f>IF(OR(E1172="",E1172="!!!"),"",IF(NOT(ISNA(VLOOKUP(E1172,E$1:E1171,1,FALSE()))),"OLD",IF(AND(E1172&lt;&gt;"",E1172&lt;&gt;"!!!"),"NEW","")))</f>
        <v> </v>
      </c>
      <c r="G1172" s="23" t="str">
        <f>IF(OR(E1172="",E1172="!!!"),"",IF(OR(J1172=0,AND(J1172=1,K1172=1),AND(J1172=1,I1172="SBJ"),AND(J1172=1,I1172=0)),"?IN_FOCUS",IF(J1172&lt;=2,"?ACTIVATED",IF(J1172&lt;&gt;"","?FAMILIAR",IF(F1172="NEW",IF(ISNA(VLOOKUP(E1172,#REF!,1,FALSE())),"?TYPE_IDENTIFIABLE","?REFERENTIAL"),"_")))))</f>
        <v> </v>
      </c>
      <c r="H1172" s="24" t="str">
        <f>IF(J1172&lt;&gt;1,"",IF(I1172="SBJ","CB","?"))</f>
        <v> </v>
      </c>
      <c r="I1172" s="25" t="str">
        <f>IF(OR(E1172="",E1172="!!!",F1172="NEW"),"",INDEX(B1171:B$2,-1+SUMPRODUCT(MAX(ROW(E1171:E$2)*(E1172=E1171:E$2)))))</f>
        <v> </v>
      </c>
      <c r="J1172" s="25" t="str">
        <f>IF(OR(E1172="",E1172="!!!",F1172="NEW"),"",COUNTBLANK(OFFSET(A$1,,,SUMPRODUCT(MAX(ROW(E$2:E1172)*(E1172=E$2:E1172)))))-COUNTBLANK(OFFSET(A$1,,,SUMPRODUCT(MAX(ROW(E$1:E1171)*(E2=E$1:E1171))))))</f>
        <v> </v>
      </c>
      <c r="K1172" s="25" t="str">
        <f>IF(OR(E1172="",E1172="!!!",F1172="NEW"),"",INDEX(J$1:J1171,SUMPRODUCT(MAX(ROW(E$1:E1171)*(E1172=E$1:E1171)))))</f>
        <v> </v>
      </c>
      <c r="L1172" s="26"/>
    </row>
    <row r="1173" spans="1:12">
      <c r="A1173" s="20" t="s">
        <v>390</v>
      </c>
      <c r="E1173" s="21">
        <f>IF(D1173="?OLD","!!!","")</f>
        <v/>
      </c>
      <c r="F1173" s="22" t="str">
        <f>IF(OR(E1173="",E1173="!!!"),"",IF(NOT(ISNA(VLOOKUP(E1173,E$1:E1172,1,FALSE()))),"OLD",IF(AND(E1173&lt;&gt;"",E1173&lt;&gt;"!!!"),"NEW","")))</f>
        <v> </v>
      </c>
      <c r="G1173" s="23" t="str">
        <f>IF(OR(E1173="",E1173="!!!"),"",IF(OR(J1173=0,AND(J1173=1,K1173=1),AND(J1173=1,I1173="SBJ"),AND(J1173=1,I1173=0)),"?IN_FOCUS",IF(J1173&lt;=2,"?ACTIVATED",IF(J1173&lt;&gt;"","?FAMILIAR",IF(F1173="NEW",IF(ISNA(VLOOKUP(E1173,#REF!,1,FALSE())),"?TYPE_IDENTIFIABLE","?REFERENTIAL"),"_")))))</f>
        <v> </v>
      </c>
      <c r="H1173" s="24" t="str">
        <f>IF(J1173&lt;&gt;1,"",IF(I1173="SBJ","CB","?"))</f>
        <v> </v>
      </c>
      <c r="I1173" s="25" t="str">
        <f>IF(OR(E1173="",E1173="!!!",F1173="NEW"),"",INDEX(B1172:B$2,-1+SUMPRODUCT(MAX(ROW(E1172:E$2)*(E1173=E1172:E$2)))))</f>
        <v> </v>
      </c>
      <c r="J1173" s="25" t="str">
        <f>IF(OR(E1173="",E1173="!!!",F1173="NEW"),"",COUNTBLANK(OFFSET(A$1,,,SUMPRODUCT(MAX(ROW(E$2:E1173)*(E1173=E$2:E1173)))))-COUNTBLANK(OFFSET(A$1,,,SUMPRODUCT(MAX(ROW(E$1:E1172)*(E2=E$1:E1172))))))</f>
        <v> </v>
      </c>
      <c r="K1173" s="25" t="str">
        <f>IF(OR(E1173="",E1173="!!!",F1173="NEW"),"",INDEX(J$1:J1172,SUMPRODUCT(MAX(ROW(E$1:E1172)*(E1173=E$1:E1172)))))</f>
        <v> </v>
      </c>
      <c r="L1173" s="26"/>
    </row>
    <row r="1174" spans="1:12">
      <c r="A1174" s="20" t="s">
        <v>408</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t="s">
        <v>527</v>
      </c>
      <c r="B1175" s="27" t="s">
        <v>511</v>
      </c>
      <c r="C1175" s="27" t="s">
        <v>393</v>
      </c>
      <c r="D1175" s="27" t="s">
        <v>378</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672</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390</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t="s">
        <v>809</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t="s">
        <v>810</v>
      </c>
      <c r="B1179" s="27" t="s">
        <v>381</v>
      </c>
      <c r="C1179" s="27" t="s">
        <v>393</v>
      </c>
      <c r="D1179" s="27" t="s">
        <v>378</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t="s">
        <v>404</v>
      </c>
      <c r="E1180" s="21">
        <f>IF(D1180="?OLD","!!!","")</f>
        <v/>
      </c>
      <c r="F1180" s="22" t="str">
        <f>IF(OR(E1180="",E1180="!!!"),"",IF(NOT(ISNA(VLOOKUP(E1180,E$1:E1179,1,FALSE()))),"OLD",IF(AND(E1180&lt;&gt;"",E1180&lt;&gt;"!!!"),"NEW","")))</f>
        <v> </v>
      </c>
      <c r="G1180" s="23" t="str">
        <f>IF(OR(E1180="",E1180="!!!"),"",IF(OR(J1180=0,AND(J1180=1,K1180=1),AND(J1180=1,I1180="SBJ"),AND(J1180=1,I1180=0)),"?IN_FOCUS",IF(J1180&lt;=2,"?ACTIVATED",IF(J1180&lt;&gt;"","?FAMILIAR",IF(F1180="NEW",IF(ISNA(VLOOKUP(E1180,#REF!,1,FALSE())),"?TYPE_IDENTIFIABLE","?REFERENTIAL"),"_")))))</f>
        <v> </v>
      </c>
      <c r="H1180" s="24" t="str">
        <f>IF(J1180&lt;&gt;1,"",IF(I1180="SBJ","CB","?"))</f>
        <v> </v>
      </c>
      <c r="I1180" s="25" t="str">
        <f>IF(OR(E1180="",E1180="!!!",F1180="NEW"),"",INDEX(B1179:B$2,-1+SUMPRODUCT(MAX(ROW(E1179:E$2)*(E1180=E1179:E$2)))))</f>
        <v> </v>
      </c>
      <c r="J1180" s="25" t="str">
        <f>IF(OR(E1180="",E1180="!!!",F1180="NEW"),"",COUNTBLANK(OFFSET(A$1,,,SUMPRODUCT(MAX(ROW(E$2:E1180)*(E1180=E$2:E1180)))))-COUNTBLANK(OFFSET(A$1,,,SUMPRODUCT(MAX(ROW(E$1:E1179)*(E2=E$1:E1179))))))</f>
        <v> </v>
      </c>
      <c r="K1180" s="25" t="str">
        <f>IF(OR(E1180="",E1180="!!!",F1180="NEW"),"",INDEX(J$1:J1179,SUMPRODUCT(MAX(ROW(E$1:E1179)*(E1180=E$1:E1179)))))</f>
        <v> </v>
      </c>
      <c r="L1180" s="26"/>
    </row>
    <row r="1181" spans="1:12">
      <c r="A1181" s="20" t="s">
        <v>516</v>
      </c>
      <c r="B1181" s="27" t="s">
        <v>414</v>
      </c>
      <c r="C1181" s="27" t="s">
        <v>371</v>
      </c>
      <c r="E1181" s="21">
        <f>IF(D1181="?OLD","!!!","")</f>
        <v/>
      </c>
      <c r="F1181" s="22" t="str">
        <f>IF(OR(E1181="",E1181="!!!"),"",IF(NOT(ISNA(VLOOKUP(E1181,E$1:E1180,1,FALSE()))),"OLD",IF(AND(E1181&lt;&gt;"",E1181&lt;&gt;"!!!"),"NEW","")))</f>
        <v> </v>
      </c>
      <c r="G1181" s="23" t="str">
        <f>IF(OR(E1181="",E1181="!!!"),"",IF(OR(J1181=0,AND(J1181=1,K1181=1),AND(J1181=1,I1181="SBJ"),AND(J1181=1,I1181=0)),"?IN_FOCUS",IF(J1181&lt;=2,"?ACTIVATED",IF(J1181&lt;&gt;"","?FAMILIAR",IF(F1181="NEW",IF(ISNA(VLOOKUP(E1181,#REF!,1,FALSE())),"?TYPE_IDENTIFIABLE","?REFERENTIAL"),"_")))))</f>
        <v> </v>
      </c>
      <c r="H1181" s="24" t="str">
        <f>IF(J1181&lt;&gt;1,"",IF(I1181="SBJ","CB","?"))</f>
        <v> </v>
      </c>
      <c r="I1181" s="25" t="str">
        <f>IF(OR(E1181="",E1181="!!!",F1181="NEW"),"",INDEX(B1180:B$2,-1+SUMPRODUCT(MAX(ROW(E1180:E$2)*(E1181=E1180:E$2)))))</f>
        <v> </v>
      </c>
      <c r="J1181" s="25" t="str">
        <f>IF(OR(E1181="",E1181="!!!",F1181="NEW"),"",COUNTBLANK(OFFSET(A$1,,,SUMPRODUCT(MAX(ROW(E$2:E1181)*(E1181=E$2:E1181)))))-COUNTBLANK(OFFSET(A$1,,,SUMPRODUCT(MAX(ROW(E$1:E1180)*(E2=E$1:E1180))))))</f>
        <v> </v>
      </c>
      <c r="K1181" s="25" t="str">
        <f>IF(OR(E1181="",E1181="!!!",F1181="NEW"),"",INDEX(J$1:J1180,SUMPRODUCT(MAX(ROW(E$1:E1180)*(E1181=E$1:E1180)))))</f>
        <v> </v>
      </c>
      <c r="L1181" s="26"/>
    </row>
    <row r="1182" spans="1:12">
      <c r="A1182" s="20" t="s">
        <v>394</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row>
    <row r="1184" spans="1:12">
      <c r="A1184" s="20" t="s">
        <v>811</v>
      </c>
    </row>
    <row r="1185" spans="1:12">
      <c r="A1185" s="20" t="s">
        <v>493</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471</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t="s">
        <v>399</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t="s">
        <v>479</v>
      </c>
      <c r="E1188" s="21">
        <f>IF(D1188="?OLD","!!!","")</f>
        <v/>
      </c>
      <c r="F1188" s="22" t="str">
        <f>IF(OR(E1188="",E1188="!!!"),"",IF(NOT(ISNA(VLOOKUP(E1188,E$1:E1187,1,FALSE()))),"OLD",IF(AND(E1188&lt;&gt;"",E1188&lt;&gt;"!!!"),"NEW","")))</f>
        <v> </v>
      </c>
      <c r="G1188" s="23" t="str">
        <f>IF(OR(E1188="",E1188="!!!"),"",IF(OR(J1188=0,AND(J1188=1,K1188=1),AND(J1188=1,I1188="SBJ"),AND(J1188=1,I1188=0)),"?IN_FOCUS",IF(J1188&lt;=2,"?ACTIVATED",IF(J1188&lt;&gt;"","?FAMILIAR",IF(F1188="NEW",IF(ISNA(VLOOKUP(E1188,#REF!,1,FALSE())),"?TYPE_IDENTIFIABLE","?REFERENTIAL"),"_")))))</f>
        <v> </v>
      </c>
      <c r="H1188" s="24" t="str">
        <f>IF(J1188&lt;&gt;1,"",IF(I1188="SBJ","CB","?"))</f>
        <v> </v>
      </c>
      <c r="I1188" s="25" t="str">
        <f>IF(OR(E1188="",E1188="!!!",F1188="NEW"),"",INDEX(B1187:B$2,-1+SUMPRODUCT(MAX(ROW(E1187:E$2)*(E1188=E1187:E$2)))))</f>
        <v> </v>
      </c>
      <c r="J1188" s="25" t="str">
        <f>IF(OR(E1188="",E1188="!!!",F1188="NEW"),"",COUNTBLANK(OFFSET(A$1,,,SUMPRODUCT(MAX(ROW(E$2:E1188)*(E1188=E$2:E1188)))))-COUNTBLANK(OFFSET(A$1,,,SUMPRODUCT(MAX(ROW(E$1:E1187)*(E2=E$1:E1187))))))</f>
        <v> </v>
      </c>
      <c r="K1188" s="25" t="str">
        <f>IF(OR(E1188="",E1188="!!!",F1188="NEW"),"",INDEX(J$1:J1187,SUMPRODUCT(MAX(ROW(E$1:E1187)*(E1188=E$1:E1187)))))</f>
        <v> </v>
      </c>
      <c r="L1188" s="26"/>
    </row>
    <row r="1189" spans="1:12">
      <c r="A1189" s="20" t="s">
        <v>480</v>
      </c>
      <c r="B1189" s="27" t="s">
        <v>376</v>
      </c>
      <c r="C1189" s="27" t="s">
        <v>371</v>
      </c>
      <c r="E1189" s="21">
        <f>IF(D1189="?OLD","!!!","")</f>
        <v/>
      </c>
      <c r="F1189" s="22" t="str">
        <f>IF(OR(E1189="",E1189="!!!"),"",IF(NOT(ISNA(VLOOKUP(E1189,E$1:E1188,1,FALSE()))),"OLD",IF(AND(E1189&lt;&gt;"",E1189&lt;&gt;"!!!"),"NEW","")))</f>
        <v> </v>
      </c>
      <c r="G1189" s="23" t="str">
        <f>IF(OR(E1189="",E1189="!!!"),"",IF(OR(J1189=0,AND(J1189=1,K1189=1),AND(J1189=1,I1189="SBJ"),AND(J1189=1,I1189=0)),"?IN_FOCUS",IF(J1189&lt;=2,"?ACTIVATED",IF(J1189&lt;&gt;"","?FAMILIAR",IF(F1189="NEW",IF(ISNA(VLOOKUP(E1189,#REF!,1,FALSE())),"?TYPE_IDENTIFIABLE","?REFERENTIAL"),"_")))))</f>
        <v> </v>
      </c>
      <c r="H1189" s="24" t="str">
        <f>IF(J1189&lt;&gt;1,"",IF(I1189="SBJ","CB","?"))</f>
        <v> </v>
      </c>
      <c r="I1189" s="25" t="str">
        <f>IF(OR(E1189="",E1189="!!!",F1189="NEW"),"",INDEX(B1188:B$2,-1+SUMPRODUCT(MAX(ROW(E1188:E$2)*(E1189=E1188:E$2)))))</f>
        <v> </v>
      </c>
      <c r="J1189" s="25" t="str">
        <f>IF(OR(E1189="",E1189="!!!",F1189="NEW"),"",COUNTBLANK(OFFSET(A$1,,,SUMPRODUCT(MAX(ROW(E$2:E1189)*(E1189=E$2:E1189)))))-COUNTBLANK(OFFSET(A$1,,,SUMPRODUCT(MAX(ROW(E$1:E1188)*(E2=E$1:E1188))))))</f>
        <v> </v>
      </c>
      <c r="K1189" s="25" t="str">
        <f>IF(OR(E1189="",E1189="!!!",F1189="NEW"),"",INDEX(J$1:J1188,SUMPRODUCT(MAX(ROW(E$1:E1188)*(E1189=E$1:E1188)))))</f>
        <v> </v>
      </c>
      <c r="L1189" s="26"/>
    </row>
    <row r="1190" spans="1:12">
      <c r="A1190" s="20" t="s">
        <v>512</v>
      </c>
      <c r="E1190" s="21">
        <f>IF(D1190="?OLD","!!!","")</f>
        <v/>
      </c>
      <c r="F1190" s="22" t="str">
        <f>IF(OR(E1190="",E1190="!!!"),"",IF(NOT(ISNA(VLOOKUP(E1190,E$1:E1189,1,FALSE()))),"OLD",IF(AND(E1190&lt;&gt;"",E1190&lt;&gt;"!!!"),"NEW","")))</f>
        <v> </v>
      </c>
      <c r="G1190" s="23" t="str">
        <f>IF(OR(E1190="",E1190="!!!"),"",IF(OR(J1190=0,AND(J1190=1,K1190=1),AND(J1190=1,I1190="SBJ"),AND(J1190=1,I1190=0)),"?IN_FOCUS",IF(J1190&lt;=2,"?ACTIVATED",IF(J1190&lt;&gt;"","?FAMILIAR",IF(F1190="NEW",IF(ISNA(VLOOKUP(E1190,#REF!,1,FALSE())),"?TYPE_IDENTIFIABLE","?REFERENTIAL"),"_")))))</f>
        <v> </v>
      </c>
      <c r="H1190" s="24" t="str">
        <f>IF(J1190&lt;&gt;1,"",IF(I1190="SBJ","CB","?"))</f>
        <v> </v>
      </c>
      <c r="I1190" s="25" t="str">
        <f>IF(OR(E1190="",E1190="!!!",F1190="NEW"),"",INDEX(B1189:B$2,-1+SUMPRODUCT(MAX(ROW(E1189:E$2)*(E1190=E1189:E$2)))))</f>
        <v> </v>
      </c>
      <c r="J1190" s="25" t="str">
        <f>IF(OR(E1190="",E1190="!!!",F1190="NEW"),"",COUNTBLANK(OFFSET(A$1,,,SUMPRODUCT(MAX(ROW(E$2:E1190)*(E1190=E$2:E1190)))))-COUNTBLANK(OFFSET(A$1,,,SUMPRODUCT(MAX(ROW(E$1:E1189)*(E2=E$1:E1189))))))</f>
        <v> </v>
      </c>
      <c r="K1190" s="25" t="str">
        <f>IF(OR(E1190="",E1190="!!!",F1190="NEW"),"",INDEX(J$1:J1189,SUMPRODUCT(MAX(ROW(E$1:E1189)*(E1190=E$1:E1189)))))</f>
        <v> </v>
      </c>
      <c r="L1190" s="26"/>
    </row>
    <row r="1191" spans="1:12">
      <c r="A1191" s="20" t="s">
        <v>594</v>
      </c>
      <c r="B1191" s="27" t="s">
        <v>381</v>
      </c>
      <c r="C1191" s="27" t="s">
        <v>429</v>
      </c>
      <c r="D1191" s="27" t="s">
        <v>378</v>
      </c>
      <c r="E1191" s="21">
        <f>IF(D1191="?OLD","!!!","")</f>
        <v/>
      </c>
      <c r="F1191" s="22" t="str">
        <f>IF(OR(E1191="",E1191="!!!"),"",IF(NOT(ISNA(VLOOKUP(E1191,E$1:E1190,1,FALSE()))),"OLD",IF(AND(E1191&lt;&gt;"",E1191&lt;&gt;"!!!"),"NEW","")))</f>
        <v> </v>
      </c>
      <c r="G1191" s="23" t="str">
        <f>IF(OR(E1191="",E1191="!!!"),"",IF(OR(J1191=0,AND(J1191=1,K1191=1),AND(J1191=1,I1191="SBJ"),AND(J1191=1,I1191=0)),"?IN_FOCUS",IF(J1191&lt;=2,"?ACTIVATED",IF(J1191&lt;&gt;"","?FAMILIAR",IF(F1191="NEW",IF(ISNA(VLOOKUP(E1191,#REF!,1,FALSE())),"?TYPE_IDENTIFIABLE","?REFERENTIAL"),"_")))))</f>
        <v> </v>
      </c>
      <c r="H1191" s="24" t="str">
        <f>IF(J1191&lt;&gt;1,"",IF(I1191="SBJ","CB","?"))</f>
        <v> </v>
      </c>
      <c r="I1191" s="25" t="str">
        <f>IF(OR(E1191="",E1191="!!!",F1191="NEW"),"",INDEX(B1190:B$2,-1+SUMPRODUCT(MAX(ROW(E1190:E$2)*(E1191=E1190:E$2)))))</f>
        <v> </v>
      </c>
      <c r="J1191" s="25" t="str">
        <f>IF(OR(E1191="",E1191="!!!",F1191="NEW"),"",COUNTBLANK(OFFSET(A$1,,,SUMPRODUCT(MAX(ROW(E$2:E1191)*(E1191=E$2:E1191)))))-COUNTBLANK(OFFSET(A$1,,,SUMPRODUCT(MAX(ROW(E$1:E1190)*(E2=E$1:E1190))))))</f>
        <v> </v>
      </c>
      <c r="K1191" s="25" t="str">
        <f>IF(OR(E1191="",E1191="!!!",F1191="NEW"),"",INDEX(J$1:J1190,SUMPRODUCT(MAX(ROW(E$1:E1190)*(E1191=E$1:E1190)))))</f>
        <v> </v>
      </c>
      <c r="L1191" s="26"/>
    </row>
    <row r="1192" spans="1:12">
      <c r="A1192" s="20" t="s">
        <v>460</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t="s">
        <v>390</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t="s">
        <v>482</v>
      </c>
      <c r="B1194" s="27" t="s">
        <v>414</v>
      </c>
      <c r="C1194" s="27" t="s">
        <v>393</v>
      </c>
      <c r="D1194" s="27" t="s">
        <v>378</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t="s">
        <v>404</v>
      </c>
      <c r="E1195" s="21">
        <f>IF(D1195="?OLD","!!!","")</f>
        <v/>
      </c>
      <c r="F1195" s="22" t="str">
        <f>IF(OR(E1195="",E1195="!!!"),"",IF(NOT(ISNA(VLOOKUP(E1195,E$1:E1194,1,FALSE()))),"OLD",IF(AND(E1195&lt;&gt;"",E1195&lt;&gt;"!!!"),"NEW","")))</f>
        <v> </v>
      </c>
      <c r="G1195" s="23" t="str">
        <f>IF(OR(E1195="",E1195="!!!"),"",IF(OR(J1195=0,AND(J1195=1,K1195=1),AND(J1195=1,I1195="SBJ"),AND(J1195=1,I1195=0)),"?IN_FOCUS",IF(J1195&lt;=2,"?ACTIVATED",IF(J1195&lt;&gt;"","?FAMILIAR",IF(F1195="NEW",IF(ISNA(VLOOKUP(E1195,#REF!,1,FALSE())),"?TYPE_IDENTIFIABLE","?REFERENTIAL"),"_")))))</f>
        <v> </v>
      </c>
      <c r="H1195" s="24" t="str">
        <f>IF(J1195&lt;&gt;1,"",IF(I1195="SBJ","CB","?"))</f>
        <v> </v>
      </c>
      <c r="I1195" s="25" t="str">
        <f>IF(OR(E1195="",E1195="!!!",F1195="NEW"),"",INDEX(B1194:B$2,-1+SUMPRODUCT(MAX(ROW(E1194:E$2)*(E1195=E1194:E$2)))))</f>
        <v> </v>
      </c>
      <c r="J1195" s="25" t="str">
        <f>IF(OR(E1195="",E1195="!!!",F1195="NEW"),"",COUNTBLANK(OFFSET(A$1,,,SUMPRODUCT(MAX(ROW(E$2:E1195)*(E1195=E$2:E1195)))))-COUNTBLANK(OFFSET(A$1,,,SUMPRODUCT(MAX(ROW(E$1:E1194)*(E2=E$1:E1194))))))</f>
        <v> </v>
      </c>
      <c r="K1195" s="25" t="str">
        <f>IF(OR(E1195="",E1195="!!!",F1195="NEW"),"",INDEX(J$1:J1194,SUMPRODUCT(MAX(ROW(E$1:E1194)*(E1195=E$1:E1194)))))</f>
        <v> </v>
      </c>
      <c r="L1195" s="26"/>
    </row>
    <row r="1196" spans="1:12">
      <c r="A1196" s="20" t="s">
        <v>812</v>
      </c>
      <c r="B1196" s="27" t="s">
        <v>370</v>
      </c>
      <c r="C1196" s="27" t="s">
        <v>371</v>
      </c>
      <c r="E1196" s="21">
        <f>IF(D1196="?OLD","!!!","")</f>
        <v/>
      </c>
      <c r="F1196" s="22" t="str">
        <f>IF(OR(E1196="",E1196="!!!"),"",IF(NOT(ISNA(VLOOKUP(E1196,E$1:E1195,1,FALSE()))),"OLD",IF(AND(E1196&lt;&gt;"",E1196&lt;&gt;"!!!"),"NEW","")))</f>
        <v> </v>
      </c>
      <c r="G1196" s="23" t="str">
        <f>IF(OR(E1196="",E1196="!!!"),"",IF(OR(J1196=0,AND(J1196=1,K1196=1),AND(J1196=1,I1196="SBJ"),AND(J1196=1,I1196=0)),"?IN_FOCUS",IF(J1196&lt;=2,"?ACTIVATED",IF(J1196&lt;&gt;"","?FAMILIAR",IF(F1196="NEW",IF(ISNA(VLOOKUP(E1196,#REF!,1,FALSE())),"?TYPE_IDENTIFIABLE","?REFERENTIAL"),"_")))))</f>
        <v> </v>
      </c>
      <c r="H1196" s="24" t="str">
        <f>IF(J1196&lt;&gt;1,"",IF(I1196="SBJ","CB","?"))</f>
        <v> </v>
      </c>
      <c r="I1196" s="25" t="str">
        <f>IF(OR(E1196="",E1196="!!!",F1196="NEW"),"",INDEX(B1195:B$2,-1+SUMPRODUCT(MAX(ROW(E1195:E$2)*(E1196=E1195:E$2)))))</f>
        <v> </v>
      </c>
      <c r="J1196" s="25" t="str">
        <f>IF(OR(E1196="",E1196="!!!",F1196="NEW"),"",COUNTBLANK(OFFSET(A$1,,,SUMPRODUCT(MAX(ROW(E$2:E1196)*(E1196=E$2:E1196)))))-COUNTBLANK(OFFSET(A$1,,,SUMPRODUCT(MAX(ROW(E$1:E1195)*(E2=E$1:E1195))))))</f>
        <v> </v>
      </c>
      <c r="K1196" s="25" t="str">
        <f>IF(OR(E1196="",E1196="!!!",F1196="NEW"),"",INDEX(J$1:J1195,SUMPRODUCT(MAX(ROW(E$1:E1195)*(E1196=E$1:E1195)))))</f>
        <v> </v>
      </c>
      <c r="L1196" s="26"/>
    </row>
    <row r="1197" spans="1:12">
      <c r="A1197" s="20" t="s">
        <v>420</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t="s">
        <v>454</v>
      </c>
      <c r="B1198" s="27" t="s">
        <v>556</v>
      </c>
      <c r="C1198" s="27" t="s">
        <v>371</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394</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row>
    <row r="1201" spans="1:12">
      <c r="A1201" s="20" t="s">
        <v>813</v>
      </c>
    </row>
    <row r="1202" spans="1:12">
      <c r="A1202" s="20" t="s">
        <v>493</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t="s">
        <v>379</v>
      </c>
      <c r="E1203" s="21">
        <f>IF(D1203="?OLD","!!!","")</f>
        <v/>
      </c>
      <c r="F1203" s="22" t="str">
        <f>IF(OR(E1203="",E1203="!!!"),"",IF(NOT(ISNA(VLOOKUP(E1203,E$1:E1202,1,FALSE()))),"OLD",IF(AND(E1203&lt;&gt;"",E1203&lt;&gt;"!!!"),"NEW","")))</f>
        <v> </v>
      </c>
      <c r="G1203" s="23" t="str">
        <f>IF(OR(E1203="",E1203="!!!"),"",IF(OR(J1203=0,AND(J1203=1,K1203=1),AND(J1203=1,I1203="SBJ"),AND(J1203=1,I1203=0)),"?IN_FOCUS",IF(J1203&lt;=2,"?ACTIVATED",IF(J1203&lt;&gt;"","?FAMILIAR",IF(F1203="NEW",IF(ISNA(VLOOKUP(E1203,#REF!,1,FALSE())),"?TYPE_IDENTIFIABLE","?REFERENTIAL"),"_")))))</f>
        <v> </v>
      </c>
      <c r="H1203" s="24" t="str">
        <f>IF(J1203&lt;&gt;1,"",IF(I1203="SBJ","CB","?"))</f>
        <v> </v>
      </c>
      <c r="I1203" s="25" t="str">
        <f>IF(OR(E1203="",E1203="!!!",F1203="NEW"),"",INDEX(B1202:B$2,-1+SUMPRODUCT(MAX(ROW(E1202:E$2)*(E1203=E1202:E$2)))))</f>
        <v> </v>
      </c>
      <c r="J1203" s="25" t="str">
        <f>IF(OR(E1203="",E1203="!!!",F1203="NEW"),"",COUNTBLANK(OFFSET(A$1,,,SUMPRODUCT(MAX(ROW(E$2:E1203)*(E1203=E$2:E1203)))))-COUNTBLANK(OFFSET(A$1,,,SUMPRODUCT(MAX(ROW(E$1:E1202)*(E2=E$1:E1202))))))</f>
        <v> </v>
      </c>
      <c r="K1203" s="25" t="str">
        <f>IF(OR(E1203="",E1203="!!!",F1203="NEW"),"",INDEX(J$1:J1202,SUMPRODUCT(MAX(ROW(E$1:E1202)*(E1203=E$1:E1202)))))</f>
        <v> </v>
      </c>
      <c r="L1203" s="26"/>
    </row>
    <row r="1204" spans="1:12">
      <c r="A1204" s="20" t="s">
        <v>491</v>
      </c>
      <c r="B1204" s="27" t="s">
        <v>376</v>
      </c>
      <c r="C1204" s="27" t="s">
        <v>429</v>
      </c>
      <c r="D1204" s="27" t="s">
        <v>378</v>
      </c>
      <c r="E1204" s="21">
        <f>IF(D1204="?OLD","!!!","")</f>
        <v/>
      </c>
      <c r="F1204" s="22" t="str">
        <f>IF(OR(E1204="",E1204="!!!"),"",IF(NOT(ISNA(VLOOKUP(E1204,E$1:E1203,1,FALSE()))),"OLD",IF(AND(E1204&lt;&gt;"",E1204&lt;&gt;"!!!"),"NEW","")))</f>
        <v> </v>
      </c>
      <c r="G1204" s="23" t="str">
        <f>IF(OR(E1204="",E1204="!!!"),"",IF(OR(J1204=0,AND(J1204=1,K1204=1),AND(J1204=1,I1204="SBJ"),AND(J1204=1,I1204=0)),"?IN_FOCUS",IF(J1204&lt;=2,"?ACTIVATED",IF(J1204&lt;&gt;"","?FAMILIAR",IF(F1204="NEW",IF(ISNA(VLOOKUP(E1204,#REF!,1,FALSE())),"?TYPE_IDENTIFIABLE","?REFERENTIAL"),"_")))))</f>
        <v> </v>
      </c>
      <c r="H1204" s="24" t="str">
        <f>IF(J1204&lt;&gt;1,"",IF(I1204="SBJ","CB","?"))</f>
        <v> </v>
      </c>
      <c r="I1204" s="25" t="str">
        <f>IF(OR(E1204="",E1204="!!!",F1204="NEW"),"",INDEX(B1203:B$2,-1+SUMPRODUCT(MAX(ROW(E1203:E$2)*(E1204=E1203:E$2)))))</f>
        <v> </v>
      </c>
      <c r="J1204" s="25" t="str">
        <f>IF(OR(E1204="",E1204="!!!",F1204="NEW"),"",COUNTBLANK(OFFSET(A$1,,,SUMPRODUCT(MAX(ROW(E$2:E1204)*(E1204=E$2:E1204)))))-COUNTBLANK(OFFSET(A$1,,,SUMPRODUCT(MAX(ROW(E$1:E1203)*(E2=E$1:E1203))))))</f>
        <v> </v>
      </c>
      <c r="K1204" s="25" t="str">
        <f>IF(OR(E1204="",E1204="!!!",F1204="NEW"),"",INDEX(J$1:J1203,SUMPRODUCT(MAX(ROW(E$1:E1203)*(E1204=E$1:E1203)))))</f>
        <v> </v>
      </c>
      <c r="L1204" s="26"/>
    </row>
    <row r="1205" spans="1:12">
      <c r="A1205" s="20" t="s">
        <v>814</v>
      </c>
      <c r="E1205" s="21">
        <f>IF(D1205="?OLD","!!!","")</f>
        <v/>
      </c>
      <c r="F1205" s="22" t="str">
        <f>IF(OR(E1205="",E1205="!!!"),"",IF(NOT(ISNA(VLOOKUP(E1205,E$1:E1204,1,FALSE()))),"OLD",IF(AND(E1205&lt;&gt;"",E1205&lt;&gt;"!!!"),"NEW","")))</f>
        <v> </v>
      </c>
      <c r="G1205" s="23" t="str">
        <f>IF(OR(E1205="",E1205="!!!"),"",IF(OR(J1205=0,AND(J1205=1,K1205=1),AND(J1205=1,I1205="SBJ"),AND(J1205=1,I1205=0)),"?IN_FOCUS",IF(J1205&lt;=2,"?ACTIVATED",IF(J1205&lt;&gt;"","?FAMILIAR",IF(F1205="NEW",IF(ISNA(VLOOKUP(E1205,#REF!,1,FALSE())),"?TYPE_IDENTIFIABLE","?REFERENTIAL"),"_")))))</f>
        <v> </v>
      </c>
      <c r="H1205" s="24" t="str">
        <f>IF(J1205&lt;&gt;1,"",IF(I1205="SBJ","CB","?"))</f>
        <v> </v>
      </c>
      <c r="I1205" s="25" t="str">
        <f>IF(OR(E1205="",E1205="!!!",F1205="NEW"),"",INDEX(B1204:B$2,-1+SUMPRODUCT(MAX(ROW(E1204:E$2)*(E1205=E1204:E$2)))))</f>
        <v> </v>
      </c>
      <c r="J1205" s="25" t="str">
        <f>IF(OR(E1205="",E1205="!!!",F1205="NEW"),"",COUNTBLANK(OFFSET(A$1,,,SUMPRODUCT(MAX(ROW(E$2:E1205)*(E1205=E$2:E1205)))))-COUNTBLANK(OFFSET(A$1,,,SUMPRODUCT(MAX(ROW(E$1:E1204)*(E2=E$1:E1204))))))</f>
        <v> </v>
      </c>
      <c r="K1205" s="25" t="str">
        <f>IF(OR(E1205="",E1205="!!!",F1205="NEW"),"",INDEX(J$1:J1204,SUMPRODUCT(MAX(ROW(E$1:E1204)*(E1205=E$1:E1204)))))</f>
        <v> </v>
      </c>
      <c r="L1205" s="26"/>
    </row>
    <row r="1206" spans="1:12">
      <c r="A1206" s="20" t="s">
        <v>291</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401</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row>
    <row r="1209" spans="1:12">
      <c r="A1209" s="20" t="s">
        <v>815</v>
      </c>
    </row>
    <row r="1210" spans="1:12">
      <c r="A1210" s="20" t="s">
        <v>605</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784</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781</v>
      </c>
      <c r="B1212" s="27" t="s">
        <v>376</v>
      </c>
      <c r="C1212" s="27" t="s">
        <v>535</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t="s">
        <v>432</v>
      </c>
      <c r="E1213" s="21">
        <f>IF(D1213="?OLD","!!!","")</f>
        <v/>
      </c>
      <c r="F1213" s="22" t="str">
        <f>IF(OR(E1213="",E1213="!!!"),"",IF(NOT(ISNA(VLOOKUP(E1213,E$1:E1212,1,FALSE()))),"OLD",IF(AND(E1213&lt;&gt;"",E1213&lt;&gt;"!!!"),"NEW","")))</f>
        <v> </v>
      </c>
      <c r="G1213" s="23" t="str">
        <f>IF(OR(E1213="",E1213="!!!"),"",IF(OR(J1213=0,AND(J1213=1,K1213=1),AND(J1213=1,I1213="SBJ"),AND(J1213=1,I1213=0)),"?IN_FOCUS",IF(J1213&lt;=2,"?ACTIVATED",IF(J1213&lt;&gt;"","?FAMILIAR",IF(F1213="NEW",IF(ISNA(VLOOKUP(E1213,#REF!,1,FALSE())),"?TYPE_IDENTIFIABLE","?REFERENTIAL"),"_")))))</f>
        <v> </v>
      </c>
      <c r="H1213" s="24" t="str">
        <f>IF(J1213&lt;&gt;1,"",IF(I1213="SBJ","CB","?"))</f>
        <v> </v>
      </c>
      <c r="I1213" s="25" t="str">
        <f>IF(OR(E1213="",E1213="!!!",F1213="NEW"),"",INDEX(B1212:B$2,-1+SUMPRODUCT(MAX(ROW(E1212:E$2)*(E1213=E1212:E$2)))))</f>
        <v> </v>
      </c>
      <c r="J1213" s="25" t="str">
        <f>IF(OR(E1213="",E1213="!!!",F1213="NEW"),"",COUNTBLANK(OFFSET(A$1,,,SUMPRODUCT(MAX(ROW(E$2:E1213)*(E1213=E$2:E1213)))))-COUNTBLANK(OFFSET(A$1,,,SUMPRODUCT(MAX(ROW(E$1:E1212)*(E2=E$1:E1212))))))</f>
        <v> </v>
      </c>
      <c r="K1213" s="25" t="str">
        <f>IF(OR(E1213="",E1213="!!!",F1213="NEW"),"",INDEX(J$1:J1212,SUMPRODUCT(MAX(ROW(E$1:E1212)*(E1213=E$1:E1212)))))</f>
        <v> </v>
      </c>
      <c r="L1213" s="26"/>
    </row>
    <row r="1214" spans="1:12">
      <c r="A1214" s="20" t="s">
        <v>53</v>
      </c>
      <c r="E1214" s="21">
        <f>IF(D1214="?OLD","!!!","")</f>
        <v/>
      </c>
      <c r="F1214" s="22" t="str">
        <f>IF(OR(E1214="",E1214="!!!"),"",IF(NOT(ISNA(VLOOKUP(E1214,E$1:E1213,1,FALSE()))),"OLD",IF(AND(E1214&lt;&gt;"",E1214&lt;&gt;"!!!"),"NEW","")))</f>
        <v> </v>
      </c>
      <c r="G1214" s="23" t="str">
        <f>IF(OR(E1214="",E1214="!!!"),"",IF(OR(J1214=0,AND(J1214=1,K1214=1),AND(J1214=1,I1214="SBJ"),AND(J1214=1,I1214=0)),"?IN_FOCUS",IF(J1214&lt;=2,"?ACTIVATED",IF(J1214&lt;&gt;"","?FAMILIAR",IF(F1214="NEW",IF(ISNA(VLOOKUP(E1214,#REF!,1,FALSE())),"?TYPE_IDENTIFIABLE","?REFERENTIAL"),"_")))))</f>
        <v> </v>
      </c>
      <c r="H1214" s="24" t="str">
        <f>IF(J1214&lt;&gt;1,"",IF(I1214="SBJ","CB","?"))</f>
        <v> </v>
      </c>
      <c r="I1214" s="25" t="str">
        <f>IF(OR(E1214="",E1214="!!!",F1214="NEW"),"",INDEX(B1213:B$2,-1+SUMPRODUCT(MAX(ROW(E1213:E$2)*(E1214=E1213:E$2)))))</f>
        <v> </v>
      </c>
      <c r="J1214" s="25" t="str">
        <f>IF(OR(E1214="",E1214="!!!",F1214="NEW"),"",COUNTBLANK(OFFSET(A$1,,,SUMPRODUCT(MAX(ROW(E$2:E1214)*(E1214=E$2:E1214)))))-COUNTBLANK(OFFSET(A$1,,,SUMPRODUCT(MAX(ROW(E$1:E1213)*(E2=E$1:E1213))))))</f>
        <v> </v>
      </c>
      <c r="K1214" s="25" t="str">
        <f>IF(OR(E1214="",E1214="!!!",F1214="NEW"),"",INDEX(J$1:J1213,SUMPRODUCT(MAX(ROW(E$1:E1213)*(E1214=E$1:E1213)))))</f>
        <v> </v>
      </c>
      <c r="L1214" s="26"/>
    </row>
    <row r="1215" spans="1:12">
      <c r="A1215" s="20" t="s">
        <v>516</v>
      </c>
      <c r="B1215" s="27" t="s">
        <v>511</v>
      </c>
      <c r="C1215" s="27" t="s">
        <v>371</v>
      </c>
      <c r="E1215" s="21">
        <f>IF(D1215="?OLD","!!!","")</f>
        <v/>
      </c>
      <c r="F1215" s="22" t="str">
        <f>IF(OR(E1215="",E1215="!!!"),"",IF(NOT(ISNA(VLOOKUP(E1215,E$1:E1214,1,FALSE()))),"OLD",IF(AND(E1215&lt;&gt;"",E1215&lt;&gt;"!!!"),"NEW","")))</f>
        <v> </v>
      </c>
      <c r="G1215" s="23" t="str">
        <f>IF(OR(E1215="",E1215="!!!"),"",IF(OR(J1215=0,AND(J1215=1,K1215=1),AND(J1215=1,I1215="SBJ"),AND(J1215=1,I1215=0)),"?IN_FOCUS",IF(J1215&lt;=2,"?ACTIVATED",IF(J1215&lt;&gt;"","?FAMILIAR",IF(F1215="NEW",IF(ISNA(VLOOKUP(E1215,#REF!,1,FALSE())),"?TYPE_IDENTIFIABLE","?REFERENTIAL"),"_")))))</f>
        <v> </v>
      </c>
      <c r="H1215" s="24" t="str">
        <f>IF(J1215&lt;&gt;1,"",IF(I1215="SBJ","CB","?"))</f>
        <v> </v>
      </c>
      <c r="I1215" s="25" t="str">
        <f>IF(OR(E1215="",E1215="!!!",F1215="NEW"),"",INDEX(B1214:B$2,-1+SUMPRODUCT(MAX(ROW(E1214:E$2)*(E1215=E1214:E$2)))))</f>
        <v> </v>
      </c>
      <c r="J1215" s="25" t="str">
        <f>IF(OR(E1215="",E1215="!!!",F1215="NEW"),"",COUNTBLANK(OFFSET(A$1,,,SUMPRODUCT(MAX(ROW(E$2:E1215)*(E1215=E$2:E1215)))))-COUNTBLANK(OFFSET(A$1,,,SUMPRODUCT(MAX(ROW(E$1:E1214)*(E2=E$1:E1214))))))</f>
        <v> </v>
      </c>
      <c r="K1215" s="25" t="str">
        <f>IF(OR(E1215="",E1215="!!!",F1215="NEW"),"",INDEX(J$1:J1214,SUMPRODUCT(MAX(ROW(E$1:E1214)*(E1215=E$1:E1214)))))</f>
        <v> </v>
      </c>
      <c r="L1215" s="26"/>
    </row>
    <row r="1216" spans="1:12">
      <c r="A1216" s="20" t="s">
        <v>816</v>
      </c>
      <c r="E1216" s="21">
        <f>IF(D1216="?OLD","!!!","")</f>
        <v/>
      </c>
      <c r="F1216" s="22" t="str">
        <f>IF(OR(E1216="",E1216="!!!"),"",IF(NOT(ISNA(VLOOKUP(E1216,E$1:E1215,1,FALSE()))),"OLD",IF(AND(E1216&lt;&gt;"",E1216&lt;&gt;"!!!"),"NEW","")))</f>
        <v> </v>
      </c>
      <c r="G1216" s="23" t="str">
        <f>IF(OR(E1216="",E1216="!!!"),"",IF(OR(J1216=0,AND(J1216=1,K1216=1),AND(J1216=1,I1216="SBJ"),AND(J1216=1,I1216=0)),"?IN_FOCUS",IF(J1216&lt;=2,"?ACTIVATED",IF(J1216&lt;&gt;"","?FAMILIAR",IF(F1216="NEW",IF(ISNA(VLOOKUP(E1216,#REF!,1,FALSE())),"?TYPE_IDENTIFIABLE","?REFERENTIAL"),"_")))))</f>
        <v> </v>
      </c>
      <c r="H1216" s="24" t="str">
        <f>IF(J1216&lt;&gt;1,"",IF(I1216="SBJ","CB","?"))</f>
        <v> </v>
      </c>
      <c r="I1216" s="25" t="str">
        <f>IF(OR(E1216="",E1216="!!!",F1216="NEW"),"",INDEX(B1215:B$2,-1+SUMPRODUCT(MAX(ROW(E1215:E$2)*(E1216=E1215:E$2)))))</f>
        <v> </v>
      </c>
      <c r="J1216" s="25" t="str">
        <f>IF(OR(E1216="",E1216="!!!",F1216="NEW"),"",COUNTBLANK(OFFSET(A$1,,,SUMPRODUCT(MAX(ROW(E$2:E1216)*(E1216=E$2:E1216)))))-COUNTBLANK(OFFSET(A$1,,,SUMPRODUCT(MAX(ROW(E$1:E1215)*(E2=E$1:E1215))))))</f>
        <v> </v>
      </c>
      <c r="K1216" s="25" t="str">
        <f>IF(OR(E1216="",E1216="!!!",F1216="NEW"),"",INDEX(J$1:J1215,SUMPRODUCT(MAX(ROW(E$1:E1215)*(E1216=E$1:E1215)))))</f>
        <v> </v>
      </c>
      <c r="L1216" s="26"/>
    </row>
    <row r="1217" spans="1:12">
      <c r="A1217" s="20" t="s">
        <v>384</v>
      </c>
      <c r="E1217" s="21">
        <f>IF(D1217="?OLD","!!!","")</f>
        <v/>
      </c>
      <c r="F1217" s="22" t="str">
        <f>IF(OR(E1217="",E1217="!!!"),"",IF(NOT(ISNA(VLOOKUP(E1217,E$1:E1216,1,FALSE()))),"OLD",IF(AND(E1217&lt;&gt;"",E1217&lt;&gt;"!!!"),"NEW","")))</f>
        <v> </v>
      </c>
      <c r="G1217" s="23" t="str">
        <f>IF(OR(E1217="",E1217="!!!"),"",IF(OR(J1217=0,AND(J1217=1,K1217=1),AND(J1217=1,I1217="SBJ"),AND(J1217=1,I1217=0)),"?IN_FOCUS",IF(J1217&lt;=2,"?ACTIVATED",IF(J1217&lt;&gt;"","?FAMILIAR",IF(F1217="NEW",IF(ISNA(VLOOKUP(E1217,#REF!,1,FALSE())),"?TYPE_IDENTIFIABLE","?REFERENTIAL"),"_")))))</f>
        <v> </v>
      </c>
      <c r="H1217" s="24" t="str">
        <f>IF(J1217&lt;&gt;1,"",IF(I1217="SBJ","CB","?"))</f>
        <v> </v>
      </c>
      <c r="I1217" s="25" t="str">
        <f>IF(OR(E1217="",E1217="!!!",F1217="NEW"),"",INDEX(B1216:B$2,-1+SUMPRODUCT(MAX(ROW(E1216:E$2)*(E1217=E1216:E$2)))))</f>
        <v> </v>
      </c>
      <c r="J1217" s="25" t="str">
        <f>IF(OR(E1217="",E1217="!!!",F1217="NEW"),"",COUNTBLANK(OFFSET(A$1,,,SUMPRODUCT(MAX(ROW(E$2:E1217)*(E1217=E$2:E1217)))))-COUNTBLANK(OFFSET(A$1,,,SUMPRODUCT(MAX(ROW(E$1:E1216)*(E2=E$1:E1216))))))</f>
        <v> </v>
      </c>
      <c r="K1217" s="25" t="str">
        <f>IF(OR(E1217="",E1217="!!!",F1217="NEW"),"",INDEX(J$1:J1216,SUMPRODUCT(MAX(ROW(E$1:E1216)*(E1217=E$1:E1216)))))</f>
        <v> </v>
      </c>
      <c r="L1217" s="26"/>
    </row>
    <row r="1218" spans="1:12">
      <c r="A1218" s="20" t="s">
        <v>391</v>
      </c>
      <c r="E1218" s="21">
        <f>IF(D1218="?OLD","!!!","")</f>
        <v/>
      </c>
      <c r="F1218" s="22" t="str">
        <f>IF(OR(E1218="",E1218="!!!"),"",IF(NOT(ISNA(VLOOKUP(E1218,E$1:E1217,1,FALSE()))),"OLD",IF(AND(E1218&lt;&gt;"",E1218&lt;&gt;"!!!"),"NEW","")))</f>
        <v> </v>
      </c>
      <c r="G1218" s="23" t="str">
        <f>IF(OR(E1218="",E1218="!!!"),"",IF(OR(J1218=0,AND(J1218=1,K1218=1),AND(J1218=1,I1218="SBJ"),AND(J1218=1,I1218=0)),"?IN_FOCUS",IF(J1218&lt;=2,"?ACTIVATED",IF(J1218&lt;&gt;"","?FAMILIAR",IF(F1218="NEW",IF(ISNA(VLOOKUP(E1218,#REF!,1,FALSE())),"?TYPE_IDENTIFIABLE","?REFERENTIAL"),"_")))))</f>
        <v> </v>
      </c>
      <c r="H1218" s="24" t="str">
        <f>IF(J1218&lt;&gt;1,"",IF(I1218="SBJ","CB","?"))</f>
        <v> </v>
      </c>
      <c r="I1218" s="25" t="str">
        <f>IF(OR(E1218="",E1218="!!!",F1218="NEW"),"",INDEX(B1217:B$2,-1+SUMPRODUCT(MAX(ROW(E1217:E$2)*(E1218=E1217:E$2)))))</f>
        <v> </v>
      </c>
      <c r="J1218" s="25" t="str">
        <f>IF(OR(E1218="",E1218="!!!",F1218="NEW"),"",COUNTBLANK(OFFSET(A$1,,,SUMPRODUCT(MAX(ROW(E$2:E1218)*(E1218=E$2:E1218)))))-COUNTBLANK(OFFSET(A$1,,,SUMPRODUCT(MAX(ROW(E$1:E1217)*(E2=E$1:E1217))))))</f>
        <v> </v>
      </c>
      <c r="K1218" s="25" t="str">
        <f>IF(OR(E1218="",E1218="!!!",F1218="NEW"),"",INDEX(J$1:J1217,SUMPRODUCT(MAX(ROW(E$1:E1217)*(E1218=E$1:E1217)))))</f>
        <v> </v>
      </c>
      <c r="L1218" s="26"/>
    </row>
    <row r="1219" spans="1:12">
      <c r="A1219" s="20" t="s">
        <v>386</v>
      </c>
      <c r="B1219" s="27" t="s">
        <v>392</v>
      </c>
      <c r="C1219" s="27" t="s">
        <v>388</v>
      </c>
      <c r="E1219" s="21">
        <f>IF(D1219="?OLD","!!!","")</f>
        <v/>
      </c>
      <c r="F1219" s="22" t="str">
        <f>IF(OR(E1219="",E1219="!!!"),"",IF(NOT(ISNA(VLOOKUP(E1219,E$1:E1218,1,FALSE()))),"OLD",IF(AND(E1219&lt;&gt;"",E1219&lt;&gt;"!!!"),"NEW","")))</f>
        <v> </v>
      </c>
      <c r="G1219" s="23" t="str">
        <f>IF(OR(E1219="",E1219="!!!"),"",IF(OR(J1219=0,AND(J1219=1,K1219=1),AND(J1219=1,I1219="SBJ"),AND(J1219=1,I1219=0)),"?IN_FOCUS",IF(J1219&lt;=2,"?ACTIVATED",IF(J1219&lt;&gt;"","?FAMILIAR",IF(F1219="NEW",IF(ISNA(VLOOKUP(E1219,#REF!,1,FALSE())),"?TYPE_IDENTIFIABLE","?REFERENTIAL"),"_")))))</f>
        <v> </v>
      </c>
      <c r="H1219" s="24" t="str">
        <f>IF(J1219&lt;&gt;1,"",IF(I1219="SBJ","CB","?"))</f>
        <v> </v>
      </c>
      <c r="I1219" s="25" t="str">
        <f>IF(OR(E1219="",E1219="!!!",F1219="NEW"),"",INDEX(B1218:B$2,-1+SUMPRODUCT(MAX(ROW(E1218:E$2)*(E1219=E1218:E$2)))))</f>
        <v> </v>
      </c>
      <c r="J1219" s="25" t="str">
        <f>IF(OR(E1219="",E1219="!!!",F1219="NEW"),"",COUNTBLANK(OFFSET(A$1,,,SUMPRODUCT(MAX(ROW(E$2:E1219)*(E1219=E$2:E1219)))))-COUNTBLANK(OFFSET(A$1,,,SUMPRODUCT(MAX(ROW(E$1:E1218)*(E2=E$1:E1218))))))</f>
        <v> </v>
      </c>
      <c r="K1219" s="25" t="str">
        <f>IF(OR(E1219="",E1219="!!!",F1219="NEW"),"",INDEX(J$1:J1218,SUMPRODUCT(MAX(ROW(E$1:E1218)*(E1219=E$1:E1218)))))</f>
        <v> </v>
      </c>
      <c r="L1219" s="26"/>
    </row>
    <row r="1220" spans="1:12">
      <c r="A1220" s="20" t="s">
        <v>603</v>
      </c>
      <c r="E1220" s="21">
        <f>IF(D1220="?OLD","!!!","")</f>
        <v/>
      </c>
      <c r="F1220" s="22" t="str">
        <f>IF(OR(E1220="",E1220="!!!"),"",IF(NOT(ISNA(VLOOKUP(E1220,E$1:E1219,1,FALSE()))),"OLD",IF(AND(E1220&lt;&gt;"",E1220&lt;&gt;"!!!"),"NEW","")))</f>
        <v> </v>
      </c>
      <c r="G1220" s="23" t="str">
        <f>IF(OR(E1220="",E1220="!!!"),"",IF(OR(J1220=0,AND(J1220=1,K1220=1),AND(J1220=1,I1220="SBJ"),AND(J1220=1,I1220=0)),"?IN_FOCUS",IF(J1220&lt;=2,"?ACTIVATED",IF(J1220&lt;&gt;"","?FAMILIAR",IF(F1220="NEW",IF(ISNA(VLOOKUP(E1220,#REF!,1,FALSE())),"?TYPE_IDENTIFIABLE","?REFERENTIAL"),"_")))))</f>
        <v> </v>
      </c>
      <c r="H1220" s="24" t="str">
        <f>IF(J1220&lt;&gt;1,"",IF(I1220="SBJ","CB","?"))</f>
        <v> </v>
      </c>
      <c r="I1220" s="25" t="str">
        <f>IF(OR(E1220="",E1220="!!!",F1220="NEW"),"",INDEX(B1219:B$2,-1+SUMPRODUCT(MAX(ROW(E1219:E$2)*(E1220=E1219:E$2)))))</f>
        <v> </v>
      </c>
      <c r="J1220" s="25" t="str">
        <f>IF(OR(E1220="",E1220="!!!",F1220="NEW"),"",COUNTBLANK(OFFSET(A$1,,,SUMPRODUCT(MAX(ROW(E$2:E1220)*(E1220=E$2:E1220)))))-COUNTBLANK(OFFSET(A$1,,,SUMPRODUCT(MAX(ROW(E$1:E1219)*(E2=E$1:E1219))))))</f>
        <v> </v>
      </c>
      <c r="K1220" s="25" t="str">
        <f>IF(OR(E1220="",E1220="!!!",F1220="NEW"),"",INDEX(J$1:J1219,SUMPRODUCT(MAX(ROW(E$1:E1219)*(E1220=E$1:E1219)))))</f>
        <v> </v>
      </c>
      <c r="L1220" s="26"/>
    </row>
    <row r="1221" spans="1:12">
      <c r="A1221" s="20"/>
    </row>
    <row r="1222" spans="1:12">
      <c r="A1222" s="20" t="s">
        <v>817</v>
      </c>
    </row>
    <row r="1223" spans="1:12">
      <c r="A1223" s="20" t="s">
        <v>396</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390</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t="s">
        <v>625</v>
      </c>
      <c r="B1225" s="27" t="s">
        <v>376</v>
      </c>
      <c r="C1225" s="27" t="s">
        <v>393</v>
      </c>
      <c r="D1225" s="27" t="s">
        <v>378</v>
      </c>
      <c r="E1225" s="21">
        <f>IF(D1225="?OLD","!!!","")</f>
        <v/>
      </c>
      <c r="F1225" s="22" t="str">
        <f>IF(OR(E1225="",E1225="!!!"),"",IF(NOT(ISNA(VLOOKUP(E1225,E$1:E1224,1,FALSE()))),"OLD",IF(AND(E1225&lt;&gt;"",E1225&lt;&gt;"!!!"),"NEW","")))</f>
        <v> </v>
      </c>
      <c r="G1225" s="23" t="str">
        <f>IF(OR(E1225="",E1225="!!!"),"",IF(OR(J1225=0,AND(J1225=1,K1225=1),AND(J1225=1,I1225="SBJ"),AND(J1225=1,I1225=0)),"?IN_FOCUS",IF(J1225&lt;=2,"?ACTIVATED",IF(J1225&lt;&gt;"","?FAMILIAR",IF(F1225="NEW",IF(ISNA(VLOOKUP(E1225,#REF!,1,FALSE())),"?TYPE_IDENTIFIABLE","?REFERENTIAL"),"_")))))</f>
        <v> </v>
      </c>
      <c r="H1225" s="24" t="str">
        <f>IF(J1225&lt;&gt;1,"",IF(I1225="SBJ","CB","?"))</f>
        <v> </v>
      </c>
      <c r="I1225" s="25" t="str">
        <f>IF(OR(E1225="",E1225="!!!",F1225="NEW"),"",INDEX(B1224:B$2,-1+SUMPRODUCT(MAX(ROW(E1224:E$2)*(E1225=E1224:E$2)))))</f>
        <v> </v>
      </c>
      <c r="J1225" s="25" t="str">
        <f>IF(OR(E1225="",E1225="!!!",F1225="NEW"),"",COUNTBLANK(OFFSET(A$1,,,SUMPRODUCT(MAX(ROW(E$2:E1225)*(E1225=E$2:E1225)))))-COUNTBLANK(OFFSET(A$1,,,SUMPRODUCT(MAX(ROW(E$1:E1224)*(E2=E$1:E1224))))))</f>
        <v> </v>
      </c>
      <c r="K1225" s="25" t="str">
        <f>IF(OR(E1225="",E1225="!!!",F1225="NEW"),"",INDEX(J$1:J1224,SUMPRODUCT(MAX(ROW(E$1:E1224)*(E1225=E$1:E1224)))))</f>
        <v> </v>
      </c>
      <c r="L1225" s="26"/>
    </row>
    <row r="1226" spans="1:12">
      <c r="A1226" s="20" t="s">
        <v>549</v>
      </c>
      <c r="E1226" s="21">
        <f>IF(D1226="?OLD","!!!","")</f>
        <v/>
      </c>
      <c r="F1226" s="22" t="str">
        <f>IF(OR(E1226="",E1226="!!!"),"",IF(NOT(ISNA(VLOOKUP(E1226,E$1:E1225,1,FALSE()))),"OLD",IF(AND(E1226&lt;&gt;"",E1226&lt;&gt;"!!!"),"NEW","")))</f>
        <v> </v>
      </c>
      <c r="G1226" s="23" t="str">
        <f>IF(OR(E1226="",E1226="!!!"),"",IF(OR(J1226=0,AND(J1226=1,K1226=1),AND(J1226=1,I1226="SBJ"),AND(J1226=1,I1226=0)),"?IN_FOCUS",IF(J1226&lt;=2,"?ACTIVATED",IF(J1226&lt;&gt;"","?FAMILIAR",IF(F1226="NEW",IF(ISNA(VLOOKUP(E1226,#REF!,1,FALSE())),"?TYPE_IDENTIFIABLE","?REFERENTIAL"),"_")))))</f>
        <v> </v>
      </c>
      <c r="H1226" s="24" t="str">
        <f>IF(J1226&lt;&gt;1,"",IF(I1226="SBJ","CB","?"))</f>
        <v> </v>
      </c>
      <c r="I1226" s="25" t="str">
        <f>IF(OR(E1226="",E1226="!!!",F1226="NEW"),"",INDEX(B1225:B$2,-1+SUMPRODUCT(MAX(ROW(E1225:E$2)*(E1226=E1225:E$2)))))</f>
        <v> </v>
      </c>
      <c r="J1226" s="25" t="str">
        <f>IF(OR(E1226="",E1226="!!!",F1226="NEW"),"",COUNTBLANK(OFFSET(A$1,,,SUMPRODUCT(MAX(ROW(E$2:E1226)*(E1226=E$2:E1226)))))-COUNTBLANK(OFFSET(A$1,,,SUMPRODUCT(MAX(ROW(E$1:E1225)*(E2=E$1:E1225))))))</f>
        <v> </v>
      </c>
      <c r="K1226" s="25" t="str">
        <f>IF(OR(E1226="",E1226="!!!",F1226="NEW"),"",INDEX(J$1:J1225,SUMPRODUCT(MAX(ROW(E$1:E1225)*(E1226=E$1:E1225)))))</f>
        <v> </v>
      </c>
      <c r="L1226" s="26"/>
    </row>
    <row r="1227" spans="1:12">
      <c r="A1227" s="20" t="s">
        <v>379</v>
      </c>
      <c r="E1227" s="21">
        <f>IF(D1227="?OLD","!!!","")</f>
        <v/>
      </c>
      <c r="F1227" s="22" t="str">
        <f>IF(OR(E1227="",E1227="!!!"),"",IF(NOT(ISNA(VLOOKUP(E1227,E$1:E1226,1,FALSE()))),"OLD",IF(AND(E1227&lt;&gt;"",E1227&lt;&gt;"!!!"),"NEW","")))</f>
        <v> </v>
      </c>
      <c r="G1227" s="23" t="str">
        <f>IF(OR(E1227="",E1227="!!!"),"",IF(OR(J1227=0,AND(J1227=1,K1227=1),AND(J1227=1,I1227="SBJ"),AND(J1227=1,I1227=0)),"?IN_FOCUS",IF(J1227&lt;=2,"?ACTIVATED",IF(J1227&lt;&gt;"","?FAMILIAR",IF(F1227="NEW",IF(ISNA(VLOOKUP(E1227,#REF!,1,FALSE())),"?TYPE_IDENTIFIABLE","?REFERENTIAL"),"_")))))</f>
        <v> </v>
      </c>
      <c r="H1227" s="24" t="str">
        <f>IF(J1227&lt;&gt;1,"",IF(I1227="SBJ","CB","?"))</f>
        <v> </v>
      </c>
      <c r="I1227" s="25" t="str">
        <f>IF(OR(E1227="",E1227="!!!",F1227="NEW"),"",INDEX(B1226:B$2,-1+SUMPRODUCT(MAX(ROW(E1226:E$2)*(E1227=E1226:E$2)))))</f>
        <v> </v>
      </c>
      <c r="J1227" s="25" t="str">
        <f>IF(OR(E1227="",E1227="!!!",F1227="NEW"),"",COUNTBLANK(OFFSET(A$1,,,SUMPRODUCT(MAX(ROW(E$2:E1227)*(E1227=E$2:E1227)))))-COUNTBLANK(OFFSET(A$1,,,SUMPRODUCT(MAX(ROW(E$1:E1226)*(E2=E$1:E1226))))))</f>
        <v> </v>
      </c>
      <c r="K1227" s="25" t="str">
        <f>IF(OR(E1227="",E1227="!!!",F1227="NEW"),"",INDEX(J$1:J1226,SUMPRODUCT(MAX(ROW(E$1:E1226)*(E1227=E$1:E1226)))))</f>
        <v> </v>
      </c>
      <c r="L1227" s="26"/>
    </row>
    <row r="1228" spans="1:12">
      <c r="A1228" s="20" t="s">
        <v>442</v>
      </c>
      <c r="B1228" s="27" t="s">
        <v>387</v>
      </c>
      <c r="C1228" s="27" t="s">
        <v>429</v>
      </c>
      <c r="D1228" s="27" t="s">
        <v>378</v>
      </c>
      <c r="E1228" s="21">
        <f>IF(D1228="?OLD","!!!","")</f>
        <v/>
      </c>
      <c r="F1228" s="22" t="str">
        <f>IF(OR(E1228="",E1228="!!!"),"",IF(NOT(ISNA(VLOOKUP(E1228,E$1:E1227,1,FALSE()))),"OLD",IF(AND(E1228&lt;&gt;"",E1228&lt;&gt;"!!!"),"NEW","")))</f>
        <v> </v>
      </c>
      <c r="G1228" s="23" t="str">
        <f>IF(OR(E1228="",E1228="!!!"),"",IF(OR(J1228=0,AND(J1228=1,K1228=1),AND(J1228=1,I1228="SBJ"),AND(J1228=1,I1228=0)),"?IN_FOCUS",IF(J1228&lt;=2,"?ACTIVATED",IF(J1228&lt;&gt;"","?FAMILIAR",IF(F1228="NEW",IF(ISNA(VLOOKUP(E1228,#REF!,1,FALSE())),"?TYPE_IDENTIFIABLE","?REFERENTIAL"),"_")))))</f>
        <v> </v>
      </c>
      <c r="H1228" s="24" t="str">
        <f>IF(J1228&lt;&gt;1,"",IF(I1228="SBJ","CB","?"))</f>
        <v> </v>
      </c>
      <c r="I1228" s="25" t="str">
        <f>IF(OR(E1228="",E1228="!!!",F1228="NEW"),"",INDEX(B1227:B$2,-1+SUMPRODUCT(MAX(ROW(E1227:E$2)*(E1228=E1227:E$2)))))</f>
        <v> </v>
      </c>
      <c r="J1228" s="25" t="str">
        <f>IF(OR(E1228="",E1228="!!!",F1228="NEW"),"",COUNTBLANK(OFFSET(A$1,,,SUMPRODUCT(MAX(ROW(E$2:E1228)*(E1228=E$2:E1228)))))-COUNTBLANK(OFFSET(A$1,,,SUMPRODUCT(MAX(ROW(E$1:E1227)*(E2=E$1:E1227))))))</f>
        <v> </v>
      </c>
      <c r="K1228" s="25" t="str">
        <f>IF(OR(E1228="",E1228="!!!",F1228="NEW"),"",INDEX(J$1:J1227,SUMPRODUCT(MAX(ROW(E$1:E1227)*(E1228=E$1:E1227)))))</f>
        <v> </v>
      </c>
      <c r="L1228" s="26"/>
    </row>
    <row r="1229" spans="1:12">
      <c r="A1229" s="20" t="s">
        <v>818</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819</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820</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821</v>
      </c>
      <c r="B1232" s="27" t="s">
        <v>411</v>
      </c>
      <c r="C1232" s="27" t="s">
        <v>371</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t="s">
        <v>420</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822</v>
      </c>
      <c r="B1234" s="27" t="s">
        <v>370</v>
      </c>
      <c r="C1234" s="27" t="s">
        <v>371</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t="s">
        <v>406</v>
      </c>
      <c r="E1235" s="21">
        <f>IF(D1235="?OLD","!!!","")</f>
        <v/>
      </c>
      <c r="F1235" s="22" t="str">
        <f>IF(OR(E1235="",E1235="!!!"),"",IF(NOT(ISNA(VLOOKUP(E1235,E$1:E1234,1,FALSE()))),"OLD",IF(AND(E1235&lt;&gt;"",E1235&lt;&gt;"!!!"),"NEW","")))</f>
        <v> </v>
      </c>
      <c r="G1235" s="23" t="str">
        <f>IF(OR(E1235="",E1235="!!!"),"",IF(OR(J1235=0,AND(J1235=1,K1235=1),AND(J1235=1,I1235="SBJ"),AND(J1235=1,I1235=0)),"?IN_FOCUS",IF(J1235&lt;=2,"?ACTIVATED",IF(J1235&lt;&gt;"","?FAMILIAR",IF(F1235="NEW",IF(ISNA(VLOOKUP(E1235,#REF!,1,FALSE())),"?TYPE_IDENTIFIABLE","?REFERENTIAL"),"_")))))</f>
        <v> </v>
      </c>
      <c r="H1235" s="24" t="str">
        <f>IF(J1235&lt;&gt;1,"",IF(I1235="SBJ","CB","?"))</f>
        <v> </v>
      </c>
      <c r="I1235" s="25" t="str">
        <f>IF(OR(E1235="",E1235="!!!",F1235="NEW"),"",INDEX(B1234:B$2,-1+SUMPRODUCT(MAX(ROW(E1234:E$2)*(E1235=E1234:E$2)))))</f>
        <v> </v>
      </c>
      <c r="J1235" s="25" t="str">
        <f>IF(OR(E1235="",E1235="!!!",F1235="NEW"),"",COUNTBLANK(OFFSET(A$1,,,SUMPRODUCT(MAX(ROW(E$2:E1235)*(E1235=E$2:E1235)))))-COUNTBLANK(OFFSET(A$1,,,SUMPRODUCT(MAX(ROW(E$1:E1234)*(E2=E$1:E1234))))))</f>
        <v> </v>
      </c>
      <c r="K1235" s="25" t="str">
        <f>IF(OR(E1235="",E1235="!!!",F1235="NEW"),"",INDEX(J$1:J1234,SUMPRODUCT(MAX(ROW(E$1:E1234)*(E1235=E$1:E1234)))))</f>
        <v> </v>
      </c>
      <c r="L1235" s="26"/>
    </row>
    <row r="1236" spans="1:12">
      <c r="A1236" s="20" t="s">
        <v>818</v>
      </c>
      <c r="E1236" s="21">
        <f>IF(D1236="?OLD","!!!","")</f>
        <v/>
      </c>
      <c r="F1236" s="22" t="str">
        <f>IF(OR(E1236="",E1236="!!!"),"",IF(NOT(ISNA(VLOOKUP(E1236,E$1:E1235,1,FALSE()))),"OLD",IF(AND(E1236&lt;&gt;"",E1236&lt;&gt;"!!!"),"NEW","")))</f>
        <v> </v>
      </c>
      <c r="G1236" s="23" t="str">
        <f>IF(OR(E1236="",E1236="!!!"),"",IF(OR(J1236=0,AND(J1236=1,K1236=1),AND(J1236=1,I1236="SBJ"),AND(J1236=1,I1236=0)),"?IN_FOCUS",IF(J1236&lt;=2,"?ACTIVATED",IF(J1236&lt;&gt;"","?FAMILIAR",IF(F1236="NEW",IF(ISNA(VLOOKUP(E1236,#REF!,1,FALSE())),"?TYPE_IDENTIFIABLE","?REFERENTIAL"),"_")))))</f>
        <v> </v>
      </c>
      <c r="H1236" s="24" t="str">
        <f>IF(J1236&lt;&gt;1,"",IF(I1236="SBJ","CB","?"))</f>
        <v> </v>
      </c>
      <c r="I1236" s="25" t="str">
        <f>IF(OR(E1236="",E1236="!!!",F1236="NEW"),"",INDEX(B1235:B$2,-1+SUMPRODUCT(MAX(ROW(E1235:E$2)*(E1236=E1235:E$2)))))</f>
        <v> </v>
      </c>
      <c r="J1236" s="25" t="str">
        <f>IF(OR(E1236="",E1236="!!!",F1236="NEW"),"",COUNTBLANK(OFFSET(A$1,,,SUMPRODUCT(MAX(ROW(E$2:E1236)*(E1236=E$2:E1236)))))-COUNTBLANK(OFFSET(A$1,,,SUMPRODUCT(MAX(ROW(E$1:E1235)*(E2=E$1:E1235))))))</f>
        <v> </v>
      </c>
      <c r="K1236" s="25" t="str">
        <f>IF(OR(E1236="",E1236="!!!",F1236="NEW"),"",INDEX(J$1:J1235,SUMPRODUCT(MAX(ROW(E$1:E1235)*(E1236=E$1:E1235)))))</f>
        <v> </v>
      </c>
      <c r="L1236" s="26"/>
    </row>
    <row r="1237" spans="1:12">
      <c r="A1237" s="20" t="s">
        <v>587</v>
      </c>
      <c r="B1237" s="27" t="s">
        <v>823</v>
      </c>
      <c r="C1237" s="27" t="s">
        <v>371</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t="s">
        <v>407</v>
      </c>
      <c r="E1238" s="21">
        <f>IF(D1238="?OLD","!!!","")</f>
        <v/>
      </c>
      <c r="F1238" s="22" t="str">
        <f>IF(OR(E1238="",E1238="!!!"),"",IF(NOT(ISNA(VLOOKUP(E1238,E$1:E1237,1,FALSE()))),"OLD",IF(AND(E1238&lt;&gt;"",E1238&lt;&gt;"!!!"),"NEW","")))</f>
        <v> </v>
      </c>
      <c r="G1238" s="23" t="str">
        <f>IF(OR(E1238="",E1238="!!!"),"",IF(OR(J1238=0,AND(J1238=1,K1238=1),AND(J1238=1,I1238="SBJ"),AND(J1238=1,I1238=0)),"?IN_FOCUS",IF(J1238&lt;=2,"?ACTIVATED",IF(J1238&lt;&gt;"","?FAMILIAR",IF(F1238="NEW",IF(ISNA(VLOOKUP(E1238,#REF!,1,FALSE())),"?TYPE_IDENTIFIABLE","?REFERENTIAL"),"_")))))</f>
        <v> </v>
      </c>
      <c r="H1238" s="24" t="str">
        <f>IF(J1238&lt;&gt;1,"",IF(I1238="SBJ","CB","?"))</f>
        <v> </v>
      </c>
      <c r="I1238" s="25" t="str">
        <f>IF(OR(E1238="",E1238="!!!",F1238="NEW"),"",INDEX(B1237:B$2,-1+SUMPRODUCT(MAX(ROW(E1237:E$2)*(E1238=E1237:E$2)))))</f>
        <v> </v>
      </c>
      <c r="J1238" s="25" t="str">
        <f>IF(OR(E1238="",E1238="!!!",F1238="NEW"),"",COUNTBLANK(OFFSET(A$1,,,SUMPRODUCT(MAX(ROW(E$2:E1238)*(E1238=E$2:E1238)))))-COUNTBLANK(OFFSET(A$1,,,SUMPRODUCT(MAX(ROW(E$1:E1237)*(E2=E$1:E1237))))))</f>
        <v> </v>
      </c>
      <c r="K1238" s="25" t="str">
        <f>IF(OR(E1238="",E1238="!!!",F1238="NEW"),"",INDEX(J$1:J1237,SUMPRODUCT(MAX(ROW(E$1:E1237)*(E1238=E$1:E1237)))))</f>
        <v> </v>
      </c>
      <c r="L1238" s="26"/>
    </row>
    <row r="1239" spans="1:12">
      <c r="A1239" s="20" t="s">
        <v>824</v>
      </c>
      <c r="B1239" s="27" t="s">
        <v>825</v>
      </c>
      <c r="C1239" s="27" t="s">
        <v>371</v>
      </c>
      <c r="E1239" s="21">
        <f>IF(D1239="?OLD","!!!","")</f>
        <v/>
      </c>
      <c r="F1239" s="22" t="str">
        <f>IF(OR(E1239="",E1239="!!!"),"",IF(NOT(ISNA(VLOOKUP(E1239,E$1:E1238,1,FALSE()))),"OLD",IF(AND(E1239&lt;&gt;"",E1239&lt;&gt;"!!!"),"NEW","")))</f>
        <v> </v>
      </c>
      <c r="G1239" s="23" t="str">
        <f>IF(OR(E1239="",E1239="!!!"),"",IF(OR(J1239=0,AND(J1239=1,K1239=1),AND(J1239=1,I1239="SBJ"),AND(J1239=1,I1239=0)),"?IN_FOCUS",IF(J1239&lt;=2,"?ACTIVATED",IF(J1239&lt;&gt;"","?FAMILIAR",IF(F1239="NEW",IF(ISNA(VLOOKUP(E1239,#REF!,1,FALSE())),"?TYPE_IDENTIFIABLE","?REFERENTIAL"),"_")))))</f>
        <v> </v>
      </c>
      <c r="H1239" s="24" t="str">
        <f>IF(J1239&lt;&gt;1,"",IF(I1239="SBJ","CB","?"))</f>
        <v> </v>
      </c>
      <c r="I1239" s="25" t="str">
        <f>IF(OR(E1239="",E1239="!!!",F1239="NEW"),"",INDEX(B1238:B$2,-1+SUMPRODUCT(MAX(ROW(E1238:E$2)*(E1239=E1238:E$2)))))</f>
        <v> </v>
      </c>
      <c r="J1239" s="25" t="str">
        <f>IF(OR(E1239="",E1239="!!!",F1239="NEW"),"",COUNTBLANK(OFFSET(A$1,,,SUMPRODUCT(MAX(ROW(E$2:E1239)*(E1239=E$2:E1239)))))-COUNTBLANK(OFFSET(A$1,,,SUMPRODUCT(MAX(ROW(E$1:E1238)*(E2=E$1:E1238))))))</f>
        <v> </v>
      </c>
      <c r="K1239" s="25" t="str">
        <f>IF(OR(E1239="",E1239="!!!",F1239="NEW"),"",INDEX(J$1:J1238,SUMPRODUCT(MAX(ROW(E$1:E1238)*(E1239=E$1:E1238)))))</f>
        <v> </v>
      </c>
      <c r="L1239" s="26"/>
    </row>
    <row r="1240" spans="1:12">
      <c r="A1240" s="20" t="s">
        <v>420</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826</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827</v>
      </c>
      <c r="B1242" s="27" t="s">
        <v>485</v>
      </c>
      <c r="C1242" s="27" t="s">
        <v>371</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t="s">
        <v>420</v>
      </c>
      <c r="E1243" s="21">
        <f>IF(D1243="?OLD","!!!","")</f>
        <v/>
      </c>
      <c r="F1243" s="22" t="str">
        <f>IF(OR(E1243="",E1243="!!!"),"",IF(NOT(ISNA(VLOOKUP(E1243,E$1:E1242,1,FALSE()))),"OLD",IF(AND(E1243&lt;&gt;"",E1243&lt;&gt;"!!!"),"NEW","")))</f>
        <v> </v>
      </c>
      <c r="G1243" s="23" t="str">
        <f>IF(OR(E1243="",E1243="!!!"),"",IF(OR(J1243=0,AND(J1243=1,K1243=1),AND(J1243=1,I1243="SBJ"),AND(J1243=1,I1243=0)),"?IN_FOCUS",IF(J1243&lt;=2,"?ACTIVATED",IF(J1243&lt;&gt;"","?FAMILIAR",IF(F1243="NEW",IF(ISNA(VLOOKUP(E1243,#REF!,1,FALSE())),"?TYPE_IDENTIFIABLE","?REFERENTIAL"),"_")))))</f>
        <v> </v>
      </c>
      <c r="H1243" s="24" t="str">
        <f>IF(J1243&lt;&gt;1,"",IF(I1243="SBJ","CB","?"))</f>
        <v> </v>
      </c>
      <c r="I1243" s="25" t="str">
        <f>IF(OR(E1243="",E1243="!!!",F1243="NEW"),"",INDEX(B1242:B$2,-1+SUMPRODUCT(MAX(ROW(E1242:E$2)*(E1243=E1242:E$2)))))</f>
        <v> </v>
      </c>
      <c r="J1243" s="25" t="str">
        <f>IF(OR(E1243="",E1243="!!!",F1243="NEW"),"",COUNTBLANK(OFFSET(A$1,,,SUMPRODUCT(MAX(ROW(E$2:E1243)*(E1243=E$2:E1243)))))-COUNTBLANK(OFFSET(A$1,,,SUMPRODUCT(MAX(ROW(E$1:E1242)*(E2=E$1:E1242))))))</f>
        <v> </v>
      </c>
      <c r="K1243" s="25" t="str">
        <f>IF(OR(E1243="",E1243="!!!",F1243="NEW"),"",INDEX(J$1:J1242,SUMPRODUCT(MAX(ROW(E$1:E1242)*(E1243=E$1:E1242)))))</f>
        <v> </v>
      </c>
      <c r="L1243" s="26"/>
    </row>
    <row r="1244" spans="1:12">
      <c r="A1244" s="20" t="s">
        <v>828</v>
      </c>
      <c r="E1244" s="21">
        <f>IF(D1244="?OLD","!!!","")</f>
        <v/>
      </c>
      <c r="F1244" s="22" t="str">
        <f>IF(OR(E1244="",E1244="!!!"),"",IF(NOT(ISNA(VLOOKUP(E1244,E$1:E1243,1,FALSE()))),"OLD",IF(AND(E1244&lt;&gt;"",E1244&lt;&gt;"!!!"),"NEW","")))</f>
        <v> </v>
      </c>
      <c r="G1244" s="23" t="str">
        <f>IF(OR(E1244="",E1244="!!!"),"",IF(OR(J1244=0,AND(J1244=1,K1244=1),AND(J1244=1,I1244="SBJ"),AND(J1244=1,I1244=0)),"?IN_FOCUS",IF(J1244&lt;=2,"?ACTIVATED",IF(J1244&lt;&gt;"","?FAMILIAR",IF(F1244="NEW",IF(ISNA(VLOOKUP(E1244,#REF!,1,FALSE())),"?TYPE_IDENTIFIABLE","?REFERENTIAL"),"_")))))</f>
        <v> </v>
      </c>
      <c r="H1244" s="24" t="str">
        <f>IF(J1244&lt;&gt;1,"",IF(I1244="SBJ","CB","?"))</f>
        <v> </v>
      </c>
      <c r="I1244" s="25" t="str">
        <f>IF(OR(E1244="",E1244="!!!",F1244="NEW"),"",INDEX(B1243:B$2,-1+SUMPRODUCT(MAX(ROW(E1243:E$2)*(E1244=E1243:E$2)))))</f>
        <v> </v>
      </c>
      <c r="J1244" s="25" t="str">
        <f>IF(OR(E1244="",E1244="!!!",F1244="NEW"),"",COUNTBLANK(OFFSET(A$1,,,SUMPRODUCT(MAX(ROW(E$2:E1244)*(E1244=E$2:E1244)))))-COUNTBLANK(OFFSET(A$1,,,SUMPRODUCT(MAX(ROW(E$1:E1243)*(E2=E$1:E1243))))))</f>
        <v> </v>
      </c>
      <c r="K1244" s="25" t="str">
        <f>IF(OR(E1244="",E1244="!!!",F1244="NEW"),"",INDEX(J$1:J1243,SUMPRODUCT(MAX(ROW(E$1:E1243)*(E1244=E$1:E1243)))))</f>
        <v> </v>
      </c>
      <c r="L1244" s="26"/>
    </row>
    <row r="1245" spans="1:12">
      <c r="A1245" s="20" t="s">
        <v>829</v>
      </c>
      <c r="B1245" s="27" t="s">
        <v>830</v>
      </c>
      <c r="C1245" s="27" t="s">
        <v>371</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t="s">
        <v>394</v>
      </c>
      <c r="E1246" s="21">
        <f>IF(D1246="?OLD","!!!","")</f>
        <v/>
      </c>
      <c r="F1246" s="22" t="str">
        <f>IF(OR(E1246="",E1246="!!!"),"",IF(NOT(ISNA(VLOOKUP(E1246,E$1:E1245,1,FALSE()))),"OLD",IF(AND(E1246&lt;&gt;"",E1246&lt;&gt;"!!!"),"NEW","")))</f>
        <v> </v>
      </c>
      <c r="G1246" s="23" t="str">
        <f>IF(OR(E1246="",E1246="!!!"),"",IF(OR(J1246=0,AND(J1246=1,K1246=1),AND(J1246=1,I1246="SBJ"),AND(J1246=1,I1246=0)),"?IN_FOCUS",IF(J1246&lt;=2,"?ACTIVATED",IF(J1246&lt;&gt;"","?FAMILIAR",IF(F1246="NEW",IF(ISNA(VLOOKUP(E1246,#REF!,1,FALSE())),"?TYPE_IDENTIFIABLE","?REFERENTIAL"),"_")))))</f>
        <v> </v>
      </c>
      <c r="H1246" s="24" t="str">
        <f>IF(J1246&lt;&gt;1,"",IF(I1246="SBJ","CB","?"))</f>
        <v> </v>
      </c>
      <c r="I1246" s="25" t="str">
        <f>IF(OR(E1246="",E1246="!!!",F1246="NEW"),"",INDEX(B1245:B$2,-1+SUMPRODUCT(MAX(ROW(E1245:E$2)*(E1246=E1245:E$2)))))</f>
        <v> </v>
      </c>
      <c r="J1246" s="25" t="str">
        <f>IF(OR(E1246="",E1246="!!!",F1246="NEW"),"",COUNTBLANK(OFFSET(A$1,,,SUMPRODUCT(MAX(ROW(E$2:E1246)*(E1246=E$2:E1246)))))-COUNTBLANK(OFFSET(A$1,,,SUMPRODUCT(MAX(ROW(E$1:E1245)*(E2=E$1:E1245))))))</f>
        <v> </v>
      </c>
      <c r="K1246" s="25" t="str">
        <f>IF(OR(E1246="",E1246="!!!",F1246="NEW"),"",INDEX(J$1:J1245,SUMPRODUCT(MAX(ROW(E$1:E1245)*(E1246=E$1:E1245)))))</f>
        <v> </v>
      </c>
      <c r="L1246" s="26"/>
    </row>
    <row r="1247" spans="1:12">
      <c r="A1247" s="20"/>
    </row>
    <row r="1248" spans="1:12">
      <c r="A1248" s="20" t="s">
        <v>831</v>
      </c>
    </row>
    <row r="1249" spans="1:12">
      <c r="A1249" s="20" t="s">
        <v>396</v>
      </c>
      <c r="E1249" s="21">
        <f>IF(D1249="?OLD","!!!","")</f>
        <v/>
      </c>
      <c r="F1249" s="22" t="str">
        <f>IF(OR(E1249="",E1249="!!!"),"",IF(NOT(ISNA(VLOOKUP(E1249,E$1:E1248,1,FALSE()))),"OLD",IF(AND(E1249&lt;&gt;"",E1249&lt;&gt;"!!!"),"NEW","")))</f>
        <v> </v>
      </c>
      <c r="G1249" s="23" t="str">
        <f>IF(OR(E1249="",E1249="!!!"),"",IF(OR(J1249=0,AND(J1249=1,K1249=1),AND(J1249=1,I1249="SBJ"),AND(J1249=1,I1249=0)),"?IN_FOCUS",IF(J1249&lt;=2,"?ACTIVATED",IF(J1249&lt;&gt;"","?FAMILIAR",IF(F1249="NEW",IF(ISNA(VLOOKUP(E1249,#REF!,1,FALSE())),"?TYPE_IDENTIFIABLE","?REFERENTIAL"),"_")))))</f>
        <v> </v>
      </c>
      <c r="H1249" s="24" t="str">
        <f>IF(J1249&lt;&gt;1,"",IF(I1249="SBJ","CB","?"))</f>
        <v> </v>
      </c>
      <c r="I1249" s="25" t="str">
        <f>IF(OR(E1249="",E1249="!!!",F1249="NEW"),"",INDEX(B1248:B$2,-1+SUMPRODUCT(MAX(ROW(E1248:E$2)*(E1249=E1248:E$2)))))</f>
        <v> </v>
      </c>
      <c r="J1249" s="25" t="str">
        <f>IF(OR(E1249="",E1249="!!!",F1249="NEW"),"",COUNTBLANK(OFFSET(A$1,,,SUMPRODUCT(MAX(ROW(E$2:E1249)*(E1249=E$2:E1249)))))-COUNTBLANK(OFFSET(A$1,,,SUMPRODUCT(MAX(ROW(E$1:E1248)*(E2=E$1:E1248))))))</f>
        <v> </v>
      </c>
      <c r="K1249" s="25" t="str">
        <f>IF(OR(E1249="",E1249="!!!",F1249="NEW"),"",INDEX(J$1:J1248,SUMPRODUCT(MAX(ROW(E$1:E1248)*(E1249=E$1:E1248)))))</f>
        <v> </v>
      </c>
      <c r="L1249" s="26"/>
    </row>
    <row r="1250" spans="1:12">
      <c r="A1250" s="20" t="s">
        <v>504</v>
      </c>
      <c r="B1250" s="27" t="s">
        <v>376</v>
      </c>
      <c r="C1250" s="27" t="s">
        <v>505</v>
      </c>
      <c r="E1250" s="21">
        <f>IF(D1250="?OLD","!!!","")</f>
        <v/>
      </c>
      <c r="F1250" s="22" t="str">
        <f>IF(OR(E1250="",E1250="!!!"),"",IF(NOT(ISNA(VLOOKUP(E1250,E$1:E1249,1,FALSE()))),"OLD",IF(AND(E1250&lt;&gt;"",E1250&lt;&gt;"!!!"),"NEW","")))</f>
        <v> </v>
      </c>
      <c r="G1250" s="23" t="str">
        <f>IF(OR(E1250="",E1250="!!!"),"",IF(OR(J1250=0,AND(J1250=1,K1250=1),AND(J1250=1,I1250="SBJ"),AND(J1250=1,I1250=0)),"?IN_FOCUS",IF(J1250&lt;=2,"?ACTIVATED",IF(J1250&lt;&gt;"","?FAMILIAR",IF(F1250="NEW",IF(ISNA(VLOOKUP(E1250,#REF!,1,FALSE())),"?TYPE_IDENTIFIABLE","?REFERENTIAL"),"_")))))</f>
        <v> </v>
      </c>
      <c r="H1250" s="24" t="str">
        <f>IF(J1250&lt;&gt;1,"",IF(I1250="SBJ","CB","?"))</f>
        <v> </v>
      </c>
      <c r="I1250" s="25" t="str">
        <f>IF(OR(E1250="",E1250="!!!",F1250="NEW"),"",INDEX(B1249:B$2,-1+SUMPRODUCT(MAX(ROW(E1249:E$2)*(E1250=E1249:E$2)))))</f>
        <v> </v>
      </c>
      <c r="J1250" s="25" t="str">
        <f>IF(OR(E1250="",E1250="!!!",F1250="NEW"),"",COUNTBLANK(OFFSET(A$1,,,SUMPRODUCT(MAX(ROW(E$2:E1250)*(E1250=E$2:E1250)))))-COUNTBLANK(OFFSET(A$1,,,SUMPRODUCT(MAX(ROW(E$1:E1249)*(E2=E$1:E1249))))))</f>
        <v> </v>
      </c>
      <c r="K1250" s="25" t="str">
        <f>IF(OR(E1250="",E1250="!!!",F1250="NEW"),"",INDEX(J$1:J1249,SUMPRODUCT(MAX(ROW(E$1:E1249)*(E1250=E$1:E1249)))))</f>
        <v> </v>
      </c>
      <c r="L1250" s="26"/>
    </row>
    <row r="1251" spans="1:12">
      <c r="A1251" s="20" t="s">
        <v>390</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t="s">
        <v>391</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t="s">
        <v>386</v>
      </c>
      <c r="B1253" s="27" t="s">
        <v>506</v>
      </c>
      <c r="C1253" s="27" t="s">
        <v>393</v>
      </c>
      <c r="D1253" s="27" t="s">
        <v>378</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t="s">
        <v>668</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t="s">
        <v>549</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428</v>
      </c>
      <c r="B1256" s="27" t="s">
        <v>376</v>
      </c>
      <c r="C1256" s="27" t="s">
        <v>429</v>
      </c>
      <c r="D1256" s="27" t="s">
        <v>378</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832</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490</v>
      </c>
      <c r="B1258" s="27" t="s">
        <v>511</v>
      </c>
      <c r="C1258" s="27" t="s">
        <v>429</v>
      </c>
      <c r="D1258" s="27" t="s">
        <v>378</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833</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390</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t="s">
        <v>834</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t="s">
        <v>835</v>
      </c>
      <c r="B1262" s="27" t="s">
        <v>392</v>
      </c>
      <c r="C1262" s="27" t="s">
        <v>393</v>
      </c>
      <c r="D1262" s="27" t="s">
        <v>378</v>
      </c>
      <c r="E1262" s="21">
        <f>IF(D1262="?OLD","!!!","")</f>
        <v/>
      </c>
      <c r="F1262" s="22" t="str">
        <f>IF(OR(E1262="",E1262="!!!"),"",IF(NOT(ISNA(VLOOKUP(E1262,E$1:E1261,1,FALSE()))),"OLD",IF(AND(E1262&lt;&gt;"",E1262&lt;&gt;"!!!"),"NEW","")))</f>
        <v> </v>
      </c>
      <c r="G1262" s="23" t="str">
        <f>IF(OR(E1262="",E1262="!!!"),"",IF(OR(J1262=0,AND(J1262=1,K1262=1),AND(J1262=1,I1262="SBJ"),AND(J1262=1,I1262=0)),"?IN_FOCUS",IF(J1262&lt;=2,"?ACTIVATED",IF(J1262&lt;&gt;"","?FAMILIAR",IF(F1262="NEW",IF(ISNA(VLOOKUP(E1262,#REF!,1,FALSE())),"?TYPE_IDENTIFIABLE","?REFERENTIAL"),"_")))))</f>
        <v> </v>
      </c>
      <c r="H1262" s="24" t="str">
        <f>IF(J1262&lt;&gt;1,"",IF(I1262="SBJ","CB","?"))</f>
        <v> </v>
      </c>
      <c r="I1262" s="25" t="str">
        <f>IF(OR(E1262="",E1262="!!!",F1262="NEW"),"",INDEX(B1261:B$2,-1+SUMPRODUCT(MAX(ROW(E1261:E$2)*(E1262=E1261:E$2)))))</f>
        <v> </v>
      </c>
      <c r="J1262" s="25" t="str">
        <f>IF(OR(E1262="",E1262="!!!",F1262="NEW"),"",COUNTBLANK(OFFSET(A$1,,,SUMPRODUCT(MAX(ROW(E$2:E1262)*(E1262=E$2:E1262)))))-COUNTBLANK(OFFSET(A$1,,,SUMPRODUCT(MAX(ROW(E$1:E1261)*(E2=E$1:E1261))))))</f>
        <v> </v>
      </c>
      <c r="K1262" s="25" t="str">
        <f>IF(OR(E1262="",E1262="!!!",F1262="NEW"),"",INDEX(J$1:J1261,SUMPRODUCT(MAX(ROW(E$1:E1261)*(E1262=E$1:E1261)))))</f>
        <v> </v>
      </c>
      <c r="L1262" s="26"/>
    </row>
    <row r="1263" spans="1:12">
      <c r="A1263" s="20" t="s">
        <v>394</v>
      </c>
      <c r="E1263" s="21">
        <f>IF(D1263="?OLD","!!!","")</f>
        <v/>
      </c>
      <c r="F1263" s="22" t="str">
        <f>IF(OR(E1263="",E1263="!!!"),"",IF(NOT(ISNA(VLOOKUP(E1263,E$1:E1262,1,FALSE()))),"OLD",IF(AND(E1263&lt;&gt;"",E1263&lt;&gt;"!!!"),"NEW","")))</f>
        <v> </v>
      </c>
      <c r="G1263" s="23" t="str">
        <f>IF(OR(E1263="",E1263="!!!"),"",IF(OR(J1263=0,AND(J1263=1,K1263=1),AND(J1263=1,I1263="SBJ"),AND(J1263=1,I1263=0)),"?IN_FOCUS",IF(J1263&lt;=2,"?ACTIVATED",IF(J1263&lt;&gt;"","?FAMILIAR",IF(F1263="NEW",IF(ISNA(VLOOKUP(E1263,#REF!,1,FALSE())),"?TYPE_IDENTIFIABLE","?REFERENTIAL"),"_")))))</f>
        <v> </v>
      </c>
      <c r="H1263" s="24" t="str">
        <f>IF(J1263&lt;&gt;1,"",IF(I1263="SBJ","CB","?"))</f>
        <v> </v>
      </c>
      <c r="I1263" s="25" t="str">
        <f>IF(OR(E1263="",E1263="!!!",F1263="NEW"),"",INDEX(B1262:B$2,-1+SUMPRODUCT(MAX(ROW(E1262:E$2)*(E1263=E1262:E$2)))))</f>
        <v> </v>
      </c>
      <c r="J1263" s="25" t="str">
        <f>IF(OR(E1263="",E1263="!!!",F1263="NEW"),"",COUNTBLANK(OFFSET(A$1,,,SUMPRODUCT(MAX(ROW(E$2:E1263)*(E1263=E$2:E1263)))))-COUNTBLANK(OFFSET(A$1,,,SUMPRODUCT(MAX(ROW(E$1:E1262)*(E2=E$1:E1262))))))</f>
        <v> </v>
      </c>
      <c r="K1263" s="25" t="str">
        <f>IF(OR(E1263="",E1263="!!!",F1263="NEW"),"",INDEX(J$1:J1262,SUMPRODUCT(MAX(ROW(E$1:E1262)*(E1263=E$1:E1262)))))</f>
        <v> </v>
      </c>
      <c r="L1263" s="26"/>
    </row>
    <row r="1264" spans="1:12">
      <c r="A1264" s="20"/>
    </row>
    <row r="1265" spans="1:12">
      <c r="A1265" s="20" t="s">
        <v>836</v>
      </c>
    </row>
    <row r="1266" spans="1:12">
      <c r="A1266" s="20" t="s">
        <v>703</v>
      </c>
      <c r="E1266" s="21">
        <f>IF(D1266="?OLD","!!!","")</f>
        <v/>
      </c>
      <c r="F1266" s="22" t="str">
        <f>IF(OR(E1266="",E1266="!!!"),"",IF(NOT(ISNA(VLOOKUP(E1266,E$1:E1265,1,FALSE()))),"OLD",IF(AND(E1266&lt;&gt;"",E1266&lt;&gt;"!!!"),"NEW","")))</f>
        <v> </v>
      </c>
      <c r="G1266" s="23" t="str">
        <f>IF(OR(E1266="",E1266="!!!"),"",IF(OR(J1266=0,AND(J1266=1,K1266=1),AND(J1266=1,I1266="SBJ"),AND(J1266=1,I1266=0)),"?IN_FOCUS",IF(J1266&lt;=2,"?ACTIVATED",IF(J1266&lt;&gt;"","?FAMILIAR",IF(F1266="NEW",IF(ISNA(VLOOKUP(E1266,#REF!,1,FALSE())),"?TYPE_IDENTIFIABLE","?REFERENTIAL"),"_")))))</f>
        <v> </v>
      </c>
      <c r="H1266" s="24" t="str">
        <f>IF(J1266&lt;&gt;1,"",IF(I1266="SBJ","CB","?"))</f>
        <v> </v>
      </c>
      <c r="I1266" s="25" t="str">
        <f>IF(OR(E1266="",E1266="!!!",F1266="NEW"),"",INDEX(B1265:B$2,-1+SUMPRODUCT(MAX(ROW(E1265:E$2)*(E1266=E1265:E$2)))))</f>
        <v> </v>
      </c>
      <c r="J1266" s="25" t="str">
        <f>IF(OR(E1266="",E1266="!!!",F1266="NEW"),"",COUNTBLANK(OFFSET(A$1,,,SUMPRODUCT(MAX(ROW(E$2:E1266)*(E1266=E$2:E1266)))))-COUNTBLANK(OFFSET(A$1,,,SUMPRODUCT(MAX(ROW(E$1:E1265)*(E2=E$1:E1265))))))</f>
        <v> </v>
      </c>
      <c r="K1266" s="25" t="str">
        <f>IF(OR(E1266="",E1266="!!!",F1266="NEW"),"",INDEX(J$1:J1265,SUMPRODUCT(MAX(ROW(E$1:E1265)*(E1266=E$1:E1265)))))</f>
        <v> </v>
      </c>
      <c r="L1266" s="26"/>
    </row>
    <row r="1267" spans="1:12">
      <c r="A1267" s="20" t="s">
        <v>379</v>
      </c>
      <c r="E1267" s="21">
        <f>IF(D1267="?OLD","!!!","")</f>
        <v/>
      </c>
      <c r="F1267" s="22" t="str">
        <f>IF(OR(E1267="",E1267="!!!"),"",IF(NOT(ISNA(VLOOKUP(E1267,E$1:E1266,1,FALSE()))),"OLD",IF(AND(E1267&lt;&gt;"",E1267&lt;&gt;"!!!"),"NEW","")))</f>
        <v> </v>
      </c>
      <c r="G1267" s="23" t="str">
        <f>IF(OR(E1267="",E1267="!!!"),"",IF(OR(J1267=0,AND(J1267=1,K1267=1),AND(J1267=1,I1267="SBJ"),AND(J1267=1,I1267=0)),"?IN_FOCUS",IF(J1267&lt;=2,"?ACTIVATED",IF(J1267&lt;&gt;"","?FAMILIAR",IF(F1267="NEW",IF(ISNA(VLOOKUP(E1267,#REF!,1,FALSE())),"?TYPE_IDENTIFIABLE","?REFERENTIAL"),"_")))))</f>
        <v> </v>
      </c>
      <c r="H1267" s="24" t="str">
        <f>IF(J1267&lt;&gt;1,"",IF(I1267="SBJ","CB","?"))</f>
        <v> </v>
      </c>
      <c r="I1267" s="25" t="str">
        <f>IF(OR(E1267="",E1267="!!!",F1267="NEW"),"",INDEX(B1266:B$2,-1+SUMPRODUCT(MAX(ROW(E1266:E$2)*(E1267=E1266:E$2)))))</f>
        <v> </v>
      </c>
      <c r="J1267" s="25" t="str">
        <f>IF(OR(E1267="",E1267="!!!",F1267="NEW"),"",COUNTBLANK(OFFSET(A$1,,,SUMPRODUCT(MAX(ROW(E$2:E1267)*(E1267=E$2:E1267)))))-COUNTBLANK(OFFSET(A$1,,,SUMPRODUCT(MAX(ROW(E$1:E1266)*(E2=E$1:E1266))))))</f>
        <v> </v>
      </c>
      <c r="K1267" s="25" t="str">
        <f>IF(OR(E1267="",E1267="!!!",F1267="NEW"),"",INDEX(J$1:J1266,SUMPRODUCT(MAX(ROW(E$1:E1266)*(E1267=E$1:E1266)))))</f>
        <v> </v>
      </c>
      <c r="L1267" s="26"/>
    </row>
    <row r="1268" spans="1:12">
      <c r="A1268" s="20" t="s">
        <v>837</v>
      </c>
      <c r="E1268" s="21">
        <f>IF(D1268="?OLD","!!!","")</f>
        <v/>
      </c>
      <c r="F1268" s="22" t="str">
        <f>IF(OR(E1268="",E1268="!!!"),"",IF(NOT(ISNA(VLOOKUP(E1268,E$1:E1267,1,FALSE()))),"OLD",IF(AND(E1268&lt;&gt;"",E1268&lt;&gt;"!!!"),"NEW","")))</f>
        <v> </v>
      </c>
      <c r="G1268" s="23" t="str">
        <f>IF(OR(E1268="",E1268="!!!"),"",IF(OR(J1268=0,AND(J1268=1,K1268=1),AND(J1268=1,I1268="SBJ"),AND(J1268=1,I1268=0)),"?IN_FOCUS",IF(J1268&lt;=2,"?ACTIVATED",IF(J1268&lt;&gt;"","?FAMILIAR",IF(F1268="NEW",IF(ISNA(VLOOKUP(E1268,#REF!,1,FALSE())),"?TYPE_IDENTIFIABLE","?REFERENTIAL"),"_")))))</f>
        <v> </v>
      </c>
      <c r="H1268" s="24" t="str">
        <f>IF(J1268&lt;&gt;1,"",IF(I1268="SBJ","CB","?"))</f>
        <v> </v>
      </c>
      <c r="I1268" s="25" t="str">
        <f>IF(OR(E1268="",E1268="!!!",F1268="NEW"),"",INDEX(B1267:B$2,-1+SUMPRODUCT(MAX(ROW(E1267:E$2)*(E1268=E1267:E$2)))))</f>
        <v> </v>
      </c>
      <c r="J1268" s="25" t="str">
        <f>IF(OR(E1268="",E1268="!!!",F1268="NEW"),"",COUNTBLANK(OFFSET(A$1,,,SUMPRODUCT(MAX(ROW(E$2:E1268)*(E1268=E$2:E1268)))))-COUNTBLANK(OFFSET(A$1,,,SUMPRODUCT(MAX(ROW(E$1:E1267)*(E2=E$1:E1267))))))</f>
        <v> </v>
      </c>
      <c r="K1268" s="25" t="str">
        <f>IF(OR(E1268="",E1268="!!!",F1268="NEW"),"",INDEX(J$1:J1267,SUMPRODUCT(MAX(ROW(E$1:E1267)*(E1268=E$1:E1267)))))</f>
        <v> </v>
      </c>
      <c r="L1268" s="26"/>
    </row>
    <row r="1269" spans="1:12">
      <c r="A1269" s="20" t="s">
        <v>379</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t="s">
        <v>838</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839</v>
      </c>
      <c r="B1271" s="27" t="s">
        <v>376</v>
      </c>
      <c r="C1271" s="27" t="s">
        <v>644</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423</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t="s">
        <v>840</v>
      </c>
      <c r="B1273" s="27" t="s">
        <v>381</v>
      </c>
      <c r="C1273" s="27" t="s">
        <v>509</v>
      </c>
      <c r="D1273" s="27" t="s">
        <v>378</v>
      </c>
      <c r="E1273" s="21">
        <f>IF(D1273="?OLD","!!!","")</f>
        <v/>
      </c>
      <c r="F1273" s="22" t="str">
        <f>IF(OR(E1273="",E1273="!!!"),"",IF(NOT(ISNA(VLOOKUP(E1273,E$1:E1272,1,FALSE()))),"OLD",IF(AND(E1273&lt;&gt;"",E1273&lt;&gt;"!!!"),"NEW","")))</f>
        <v> </v>
      </c>
      <c r="G1273" s="23" t="str">
        <f>IF(OR(E1273="",E1273="!!!"),"",IF(OR(J1273=0,AND(J1273=1,K1273=1),AND(J1273=1,I1273="SBJ"),AND(J1273=1,I1273=0)),"?IN_FOCUS",IF(J1273&lt;=2,"?ACTIVATED",IF(J1273&lt;&gt;"","?FAMILIAR",IF(F1273="NEW",IF(ISNA(VLOOKUP(E1273,#REF!,1,FALSE())),"?TYPE_IDENTIFIABLE","?REFERENTIAL"),"_")))))</f>
        <v> </v>
      </c>
      <c r="H1273" s="24" t="str">
        <f>IF(J1273&lt;&gt;1,"",IF(I1273="SBJ","CB","?"))</f>
        <v> </v>
      </c>
      <c r="I1273" s="25" t="str">
        <f>IF(OR(E1273="",E1273="!!!",F1273="NEW"),"",INDEX(B1272:B$2,-1+SUMPRODUCT(MAX(ROW(E1272:E$2)*(E1273=E1272:E$2)))))</f>
        <v> </v>
      </c>
      <c r="J1273" s="25" t="str">
        <f>IF(OR(E1273="",E1273="!!!",F1273="NEW"),"",COUNTBLANK(OFFSET(A$1,,,SUMPRODUCT(MAX(ROW(E$2:E1273)*(E1273=E$2:E1273)))))-COUNTBLANK(OFFSET(A$1,,,SUMPRODUCT(MAX(ROW(E$1:E1272)*(E2=E$1:E1272))))))</f>
        <v> </v>
      </c>
      <c r="K1273" s="25" t="str">
        <f>IF(OR(E1273="",E1273="!!!",F1273="NEW"),"",INDEX(J$1:J1272,SUMPRODUCT(MAX(ROW(E$1:E1272)*(E1273=E$1:E1272)))))</f>
        <v> </v>
      </c>
      <c r="L1273" s="26"/>
    </row>
    <row r="1274" spans="1:12">
      <c r="A1274" s="20" t="s">
        <v>841</v>
      </c>
      <c r="E1274" s="21">
        <f>IF(D1274="?OLD","!!!","")</f>
        <v/>
      </c>
      <c r="F1274" s="22" t="str">
        <f>IF(OR(E1274="",E1274="!!!"),"",IF(NOT(ISNA(VLOOKUP(E1274,E$1:E1273,1,FALSE()))),"OLD",IF(AND(E1274&lt;&gt;"",E1274&lt;&gt;"!!!"),"NEW","")))</f>
        <v> </v>
      </c>
      <c r="G1274" s="23" t="str">
        <f>IF(OR(E1274="",E1274="!!!"),"",IF(OR(J1274=0,AND(J1274=1,K1274=1),AND(J1274=1,I1274="SBJ"),AND(J1274=1,I1274=0)),"?IN_FOCUS",IF(J1274&lt;=2,"?ACTIVATED",IF(J1274&lt;&gt;"","?FAMILIAR",IF(F1274="NEW",IF(ISNA(VLOOKUP(E1274,#REF!,1,FALSE())),"?TYPE_IDENTIFIABLE","?REFERENTIAL"),"_")))))</f>
        <v> </v>
      </c>
      <c r="H1274" s="24" t="str">
        <f>IF(J1274&lt;&gt;1,"",IF(I1274="SBJ","CB","?"))</f>
        <v> </v>
      </c>
      <c r="I1274" s="25" t="str">
        <f>IF(OR(E1274="",E1274="!!!",F1274="NEW"),"",INDEX(B1273:B$2,-1+SUMPRODUCT(MAX(ROW(E1273:E$2)*(E1274=E1273:E$2)))))</f>
        <v> </v>
      </c>
      <c r="J1274" s="25" t="str">
        <f>IF(OR(E1274="",E1274="!!!",F1274="NEW"),"",COUNTBLANK(OFFSET(A$1,,,SUMPRODUCT(MAX(ROW(E$2:E1274)*(E1274=E$2:E1274)))))-COUNTBLANK(OFFSET(A$1,,,SUMPRODUCT(MAX(ROW(E$1:E1273)*(E2=E$1:E1273))))))</f>
        <v> </v>
      </c>
      <c r="K1274" s="25" t="str">
        <f>IF(OR(E1274="",E1274="!!!",F1274="NEW"),"",INDEX(J$1:J1273,SUMPRODUCT(MAX(ROW(E$1:E1273)*(E1274=E$1:E1273)))))</f>
        <v> </v>
      </c>
      <c r="L1274" s="26"/>
    </row>
    <row r="1275" spans="1:12">
      <c r="A1275" s="20" t="s">
        <v>391</v>
      </c>
      <c r="B1275" s="27" t="s">
        <v>511</v>
      </c>
      <c r="C1275" s="27" t="s">
        <v>489</v>
      </c>
      <c r="D1275" s="27" t="s">
        <v>378</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t="s">
        <v>379</v>
      </c>
      <c r="E1276" s="21">
        <f>IF(D1276="?OLD","!!!","")</f>
        <v/>
      </c>
      <c r="F1276" s="22" t="str">
        <f>IF(OR(E1276="",E1276="!!!"),"",IF(NOT(ISNA(VLOOKUP(E1276,E$1:E1275,1,FALSE()))),"OLD",IF(AND(E1276&lt;&gt;"",E1276&lt;&gt;"!!!"),"NEW","")))</f>
        <v> </v>
      </c>
      <c r="G1276" s="23" t="str">
        <f>IF(OR(E1276="",E1276="!!!"),"",IF(OR(J1276=0,AND(J1276=1,K1276=1),AND(J1276=1,I1276="SBJ"),AND(J1276=1,I1276=0)),"?IN_FOCUS",IF(J1276&lt;=2,"?ACTIVATED",IF(J1276&lt;&gt;"","?FAMILIAR",IF(F1276="NEW",IF(ISNA(VLOOKUP(E1276,#REF!,1,FALSE())),"?TYPE_IDENTIFIABLE","?REFERENTIAL"),"_")))))</f>
        <v> </v>
      </c>
      <c r="H1276" s="24" t="str">
        <f>IF(J1276&lt;&gt;1,"",IF(I1276="SBJ","CB","?"))</f>
        <v> </v>
      </c>
      <c r="I1276" s="25" t="str">
        <f>IF(OR(E1276="",E1276="!!!",F1276="NEW"),"",INDEX(B1275:B$2,-1+SUMPRODUCT(MAX(ROW(E1275:E$2)*(E1276=E1275:E$2)))))</f>
        <v> </v>
      </c>
      <c r="J1276" s="25" t="str">
        <f>IF(OR(E1276="",E1276="!!!",F1276="NEW"),"",COUNTBLANK(OFFSET(A$1,,,SUMPRODUCT(MAX(ROW(E$2:E1276)*(E1276=E$2:E1276)))))-COUNTBLANK(OFFSET(A$1,,,SUMPRODUCT(MAX(ROW(E$1:E1275)*(E2=E$1:E1275))))))</f>
        <v> </v>
      </c>
      <c r="K1276" s="25" t="str">
        <f>IF(OR(E1276="",E1276="!!!",F1276="NEW"),"",INDEX(J$1:J1275,SUMPRODUCT(MAX(ROW(E$1:E1275)*(E1276=E$1:E1275)))))</f>
        <v> </v>
      </c>
      <c r="L1276" s="26"/>
    </row>
    <row r="1277" spans="1:12">
      <c r="A1277" s="20" t="s">
        <v>668</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t="s">
        <v>621</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t="s">
        <v>428</v>
      </c>
      <c r="B1279" s="27" t="s">
        <v>398</v>
      </c>
      <c r="C1279" s="27" t="s">
        <v>429</v>
      </c>
      <c r="D1279" s="27" t="s">
        <v>378</v>
      </c>
      <c r="E1279" s="21">
        <f>IF(D1279="?OLD","!!!","")</f>
        <v/>
      </c>
      <c r="F1279" s="22" t="str">
        <f>IF(OR(E1279="",E1279="!!!"),"",IF(NOT(ISNA(VLOOKUP(E1279,E$1:E1278,1,FALSE()))),"OLD",IF(AND(E1279&lt;&gt;"",E1279&lt;&gt;"!!!"),"NEW","")))</f>
        <v> </v>
      </c>
      <c r="G1279" s="23" t="str">
        <f>IF(OR(E1279="",E1279="!!!"),"",IF(OR(J1279=0,AND(J1279=1,K1279=1),AND(J1279=1,I1279="SBJ"),AND(J1279=1,I1279=0)),"?IN_FOCUS",IF(J1279&lt;=2,"?ACTIVATED",IF(J1279&lt;&gt;"","?FAMILIAR",IF(F1279="NEW",IF(ISNA(VLOOKUP(E1279,#REF!,1,FALSE())),"?TYPE_IDENTIFIABLE","?REFERENTIAL"),"_")))))</f>
        <v> </v>
      </c>
      <c r="H1279" s="24" t="str">
        <f>IF(J1279&lt;&gt;1,"",IF(I1279="SBJ","CB","?"))</f>
        <v> </v>
      </c>
      <c r="I1279" s="25" t="str">
        <f>IF(OR(E1279="",E1279="!!!",F1279="NEW"),"",INDEX(B1278:B$2,-1+SUMPRODUCT(MAX(ROW(E1278:E$2)*(E1279=E1278:E$2)))))</f>
        <v> </v>
      </c>
      <c r="J1279" s="25" t="str">
        <f>IF(OR(E1279="",E1279="!!!",F1279="NEW"),"",COUNTBLANK(OFFSET(A$1,,,SUMPRODUCT(MAX(ROW(E$2:E1279)*(E1279=E$2:E1279)))))-COUNTBLANK(OFFSET(A$1,,,SUMPRODUCT(MAX(ROW(E$1:E1278)*(E2=E$1:E1278))))))</f>
        <v> </v>
      </c>
      <c r="K1279" s="25" t="str">
        <f>IF(OR(E1279="",E1279="!!!",F1279="NEW"),"",INDEX(J$1:J1278,SUMPRODUCT(MAX(ROW(E$1:E1278)*(E1279=E$1:E1278)))))</f>
        <v> </v>
      </c>
      <c r="L1279" s="26"/>
    </row>
    <row r="1280" spans="1:12">
      <c r="A1280" s="20" t="s">
        <v>603</v>
      </c>
      <c r="E1280" s="21">
        <f>IF(D1280="?OLD","!!!","")</f>
        <v/>
      </c>
      <c r="F1280" s="22" t="str">
        <f>IF(OR(E1280="",E1280="!!!"),"",IF(NOT(ISNA(VLOOKUP(E1280,E$1:E1279,1,FALSE()))),"OLD",IF(AND(E1280&lt;&gt;"",E1280&lt;&gt;"!!!"),"NEW","")))</f>
        <v> </v>
      </c>
      <c r="G1280" s="23" t="str">
        <f>IF(OR(E1280="",E1280="!!!"),"",IF(OR(J1280=0,AND(J1280=1,K1280=1),AND(J1280=1,I1280="SBJ"),AND(J1280=1,I1280=0)),"?IN_FOCUS",IF(J1280&lt;=2,"?ACTIVATED",IF(J1280&lt;&gt;"","?FAMILIAR",IF(F1280="NEW",IF(ISNA(VLOOKUP(E1280,#REF!,1,FALSE())),"?TYPE_IDENTIFIABLE","?REFERENTIAL"),"_")))))</f>
        <v> </v>
      </c>
      <c r="H1280" s="24" t="str">
        <f>IF(J1280&lt;&gt;1,"",IF(I1280="SBJ","CB","?"))</f>
        <v> </v>
      </c>
      <c r="I1280" s="25" t="str">
        <f>IF(OR(E1280="",E1280="!!!",F1280="NEW"),"",INDEX(B1279:B$2,-1+SUMPRODUCT(MAX(ROW(E1279:E$2)*(E1280=E1279:E$2)))))</f>
        <v> </v>
      </c>
      <c r="J1280" s="25" t="str">
        <f>IF(OR(E1280="",E1280="!!!",F1280="NEW"),"",COUNTBLANK(OFFSET(A$1,,,SUMPRODUCT(MAX(ROW(E$2:E1280)*(E1280=E$2:E1280)))))-COUNTBLANK(OFFSET(A$1,,,SUMPRODUCT(MAX(ROW(E$1:E1279)*(E2=E$1:E1279))))))</f>
        <v> </v>
      </c>
      <c r="K1280" s="25" t="str">
        <f>IF(OR(E1280="",E1280="!!!",F1280="NEW"),"",INDEX(J$1:J1279,SUMPRODUCT(MAX(ROW(E$1:E1279)*(E1280=E$1:E1279)))))</f>
        <v> </v>
      </c>
      <c r="L1280" s="26"/>
    </row>
    <row r="1281" spans="1:12">
      <c r="A1281" s="20"/>
    </row>
    <row r="1282" spans="1:12">
      <c r="A1282" s="20" t="s">
        <v>842</v>
      </c>
    </row>
    <row r="1283" spans="1:12">
      <c r="A1283" s="20" t="s">
        <v>422</v>
      </c>
      <c r="E1283" s="21">
        <f>IF(D1283="?OLD","!!!","")</f>
        <v/>
      </c>
      <c r="F1283" s="22" t="str">
        <f>IF(OR(E1283="",E1283="!!!"),"",IF(NOT(ISNA(VLOOKUP(E1283,E$1:E1282,1,FALSE()))),"OLD",IF(AND(E1283&lt;&gt;"",E1283&lt;&gt;"!!!"),"NEW","")))</f>
        <v> </v>
      </c>
      <c r="G1283" s="23" t="str">
        <f>IF(OR(E1283="",E1283="!!!"),"",IF(OR(J1283=0,AND(J1283=1,K1283=1),AND(J1283=1,I1283="SBJ"),AND(J1283=1,I1283=0)),"?IN_FOCUS",IF(J1283&lt;=2,"?ACTIVATED",IF(J1283&lt;&gt;"","?FAMILIAR",IF(F1283="NEW",IF(ISNA(VLOOKUP(E1283,#REF!,1,FALSE())),"?TYPE_IDENTIFIABLE","?REFERENTIAL"),"_")))))</f>
        <v> </v>
      </c>
      <c r="H1283" s="24" t="str">
        <f>IF(J1283&lt;&gt;1,"",IF(I1283="SBJ","CB","?"))</f>
        <v> </v>
      </c>
      <c r="I1283" s="25" t="str">
        <f>IF(OR(E1283="",E1283="!!!",F1283="NEW"),"",INDEX(B1282:B$2,-1+SUMPRODUCT(MAX(ROW(E1282:E$2)*(E1283=E1282:E$2)))))</f>
        <v> </v>
      </c>
      <c r="J1283" s="25" t="str">
        <f>IF(OR(E1283="",E1283="!!!",F1283="NEW"),"",COUNTBLANK(OFFSET(A$1,,,SUMPRODUCT(MAX(ROW(E$2:E1283)*(E1283=E$2:E1283)))))-COUNTBLANK(OFFSET(A$1,,,SUMPRODUCT(MAX(ROW(E$1:E1282)*(E2=E$1:E1282))))))</f>
        <v> </v>
      </c>
      <c r="K1283" s="25" t="str">
        <f>IF(OR(E1283="",E1283="!!!",F1283="NEW"),"",INDEX(J$1:J1282,SUMPRODUCT(MAX(ROW(E$1:E1282)*(E1283=E$1:E1282)))))</f>
        <v> </v>
      </c>
      <c r="L1283" s="26"/>
    </row>
    <row r="1284" spans="1:12">
      <c r="A1284" s="20" t="s">
        <v>386</v>
      </c>
      <c r="B1284" s="27" t="s">
        <v>376</v>
      </c>
      <c r="C1284" s="27" t="s">
        <v>393</v>
      </c>
      <c r="D1284" s="27" t="s">
        <v>378</v>
      </c>
      <c r="E1284" s="21">
        <f>IF(D1284="?OLD","!!!","")</f>
        <v/>
      </c>
      <c r="F1284" s="22" t="str">
        <f>IF(OR(E1284="",E1284="!!!"),"",IF(NOT(ISNA(VLOOKUP(E1284,E$1:E1283,1,FALSE()))),"OLD",IF(AND(E1284&lt;&gt;"",E1284&lt;&gt;"!!!"),"NEW","")))</f>
        <v> </v>
      </c>
      <c r="G1284" s="23" t="str">
        <f>IF(OR(E1284="",E1284="!!!"),"",IF(OR(J1284=0,AND(J1284=1,K1284=1),AND(J1284=1,I1284="SBJ"),AND(J1284=1,I1284=0)),"?IN_FOCUS",IF(J1284&lt;=2,"?ACTIVATED",IF(J1284&lt;&gt;"","?FAMILIAR",IF(F1284="NEW",IF(ISNA(VLOOKUP(E1284,#REF!,1,FALSE())),"?TYPE_IDENTIFIABLE","?REFERENTIAL"),"_")))))</f>
        <v> </v>
      </c>
      <c r="H1284" s="24" t="str">
        <f>IF(J1284&lt;&gt;1,"",IF(I1284="SBJ","CB","?"))</f>
        <v> </v>
      </c>
      <c r="I1284" s="25" t="str">
        <f>IF(OR(E1284="",E1284="!!!",F1284="NEW"),"",INDEX(B1283:B$2,-1+SUMPRODUCT(MAX(ROW(E1283:E$2)*(E1284=E1283:E$2)))))</f>
        <v> </v>
      </c>
      <c r="J1284" s="25" t="str">
        <f>IF(OR(E1284="",E1284="!!!",F1284="NEW"),"",COUNTBLANK(OFFSET(A$1,,,SUMPRODUCT(MAX(ROW(E$2:E1284)*(E1284=E$2:E1284)))))-COUNTBLANK(OFFSET(A$1,,,SUMPRODUCT(MAX(ROW(E$1:E1283)*(E2=E$1:E1283))))))</f>
        <v> </v>
      </c>
      <c r="K1284" s="25" t="str">
        <f>IF(OR(E1284="",E1284="!!!",F1284="NEW"),"",INDEX(J$1:J1283,SUMPRODUCT(MAX(ROW(E$1:E1283)*(E1284=E$1:E1283)))))</f>
        <v> </v>
      </c>
      <c r="L1284" s="26"/>
    </row>
    <row r="1285" spans="1:12">
      <c r="A1285" s="20" t="s">
        <v>843</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t="s">
        <v>384</v>
      </c>
      <c r="E1286" s="21">
        <f>IF(D1286="?OLD","!!!","")</f>
        <v/>
      </c>
      <c r="F1286" s="22" t="str">
        <f>IF(OR(E1286="",E1286="!!!"),"",IF(NOT(ISNA(VLOOKUP(E1286,E$1:E1285,1,FALSE()))),"OLD",IF(AND(E1286&lt;&gt;"",E1286&lt;&gt;"!!!"),"NEW","")))</f>
        <v> </v>
      </c>
      <c r="G1286" s="23" t="str">
        <f>IF(OR(E1286="",E1286="!!!"),"",IF(OR(J1286=0,AND(J1286=1,K1286=1),AND(J1286=1,I1286="SBJ"),AND(J1286=1,I1286=0)),"?IN_FOCUS",IF(J1286&lt;=2,"?ACTIVATED",IF(J1286&lt;&gt;"","?FAMILIAR",IF(F1286="NEW",IF(ISNA(VLOOKUP(E1286,#REF!,1,FALSE())),"?TYPE_IDENTIFIABLE","?REFERENTIAL"),"_")))))</f>
        <v> </v>
      </c>
      <c r="H1286" s="24" t="str">
        <f>IF(J1286&lt;&gt;1,"",IF(I1286="SBJ","CB","?"))</f>
        <v> </v>
      </c>
      <c r="I1286" s="25" t="str">
        <f>IF(OR(E1286="",E1286="!!!",F1286="NEW"),"",INDEX(B1285:B$2,-1+SUMPRODUCT(MAX(ROW(E1285:E$2)*(E1286=E1285:E$2)))))</f>
        <v> </v>
      </c>
      <c r="J1286" s="25" t="str">
        <f>IF(OR(E1286="",E1286="!!!",F1286="NEW"),"",COUNTBLANK(OFFSET(A$1,,,SUMPRODUCT(MAX(ROW(E$2:E1286)*(E1286=E$2:E1286)))))-COUNTBLANK(OFFSET(A$1,,,SUMPRODUCT(MAX(ROW(E$1:E1285)*(E2=E$1:E1285))))))</f>
        <v> </v>
      </c>
      <c r="K1286" s="25" t="str">
        <f>IF(OR(E1286="",E1286="!!!",F1286="NEW"),"",INDEX(J$1:J1285,SUMPRODUCT(MAX(ROW(E$1:E1285)*(E1286=E$1:E1285)))))</f>
        <v> </v>
      </c>
      <c r="L1286" s="26"/>
    </row>
    <row r="1287" spans="1:12">
      <c r="A1287" s="20" t="s">
        <v>844</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t="s">
        <v>845</v>
      </c>
      <c r="B1288" s="27" t="s">
        <v>511</v>
      </c>
      <c r="C1288" s="27" t="s">
        <v>388</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379</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t="s">
        <v>384</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t="s">
        <v>846</v>
      </c>
      <c r="E1291" s="21">
        <f>IF(D1291="?OLD","!!!","")</f>
        <v/>
      </c>
      <c r="F1291" s="22" t="str">
        <f>IF(OR(E1291="",E1291="!!!"),"",IF(NOT(ISNA(VLOOKUP(E1291,E$1:E1290,1,FALSE()))),"OLD",IF(AND(E1291&lt;&gt;"",E1291&lt;&gt;"!!!"),"NEW","")))</f>
        <v> </v>
      </c>
      <c r="G1291" s="23" t="str">
        <f>IF(OR(E1291="",E1291="!!!"),"",IF(OR(J1291=0,AND(J1291=1,K1291=1),AND(J1291=1,I1291="SBJ"),AND(J1291=1,I1291=0)),"?IN_FOCUS",IF(J1291&lt;=2,"?ACTIVATED",IF(J1291&lt;&gt;"","?FAMILIAR",IF(F1291="NEW",IF(ISNA(VLOOKUP(E1291,#REF!,1,FALSE())),"?TYPE_IDENTIFIABLE","?REFERENTIAL"),"_")))))</f>
        <v> </v>
      </c>
      <c r="H1291" s="24" t="str">
        <f>IF(J1291&lt;&gt;1,"",IF(I1291="SBJ","CB","?"))</f>
        <v> </v>
      </c>
      <c r="I1291" s="25" t="str">
        <f>IF(OR(E1291="",E1291="!!!",F1291="NEW"),"",INDEX(B1290:B$2,-1+SUMPRODUCT(MAX(ROW(E1290:E$2)*(E1291=E1290:E$2)))))</f>
        <v> </v>
      </c>
      <c r="J1291" s="25" t="str">
        <f>IF(OR(E1291="",E1291="!!!",F1291="NEW"),"",COUNTBLANK(OFFSET(A$1,,,SUMPRODUCT(MAX(ROW(E$2:E1291)*(E1291=E$2:E1291)))))-COUNTBLANK(OFFSET(A$1,,,SUMPRODUCT(MAX(ROW(E$1:E1290)*(E2=E$1:E1290))))))</f>
        <v> </v>
      </c>
      <c r="K1291" s="25" t="str">
        <f>IF(OR(E1291="",E1291="!!!",F1291="NEW"),"",INDEX(J$1:J1290,SUMPRODUCT(MAX(ROW(E$1:E1290)*(E1291=E$1:E1290)))))</f>
        <v> </v>
      </c>
      <c r="L1291" s="26"/>
    </row>
    <row r="1292" spans="1:12">
      <c r="A1292" s="20" t="s">
        <v>847</v>
      </c>
      <c r="B1292" s="27" t="s">
        <v>381</v>
      </c>
      <c r="C1292" s="27" t="s">
        <v>388</v>
      </c>
      <c r="E1292" s="21">
        <f>IF(D1292="?OLD","!!!","")</f>
        <v/>
      </c>
      <c r="F1292" s="22" t="str">
        <f>IF(OR(E1292="",E1292="!!!"),"",IF(NOT(ISNA(VLOOKUP(E1292,E$1:E1291,1,FALSE()))),"OLD",IF(AND(E1292&lt;&gt;"",E1292&lt;&gt;"!!!"),"NEW","")))</f>
        <v> </v>
      </c>
      <c r="G1292" s="23" t="str">
        <f>IF(OR(E1292="",E1292="!!!"),"",IF(OR(J1292=0,AND(J1292=1,K1292=1),AND(J1292=1,I1292="SBJ"),AND(J1292=1,I1292=0)),"?IN_FOCUS",IF(J1292&lt;=2,"?ACTIVATED",IF(J1292&lt;&gt;"","?FAMILIAR",IF(F1292="NEW",IF(ISNA(VLOOKUP(E1292,#REF!,1,FALSE())),"?TYPE_IDENTIFIABLE","?REFERENTIAL"),"_")))))</f>
        <v> </v>
      </c>
      <c r="H1292" s="24" t="str">
        <f>IF(J1292&lt;&gt;1,"",IF(I1292="SBJ","CB","?"))</f>
        <v> </v>
      </c>
      <c r="I1292" s="25" t="str">
        <f>IF(OR(E1292="",E1292="!!!",F1292="NEW"),"",INDEX(B1291:B$2,-1+SUMPRODUCT(MAX(ROW(E1291:E$2)*(E1292=E1291:E$2)))))</f>
        <v> </v>
      </c>
      <c r="J1292" s="25" t="str">
        <f>IF(OR(E1292="",E1292="!!!",F1292="NEW"),"",COUNTBLANK(OFFSET(A$1,,,SUMPRODUCT(MAX(ROW(E$2:E1292)*(E1292=E$2:E1292)))))-COUNTBLANK(OFFSET(A$1,,,SUMPRODUCT(MAX(ROW(E$1:E1291)*(E2=E$1:E1291))))))</f>
        <v> </v>
      </c>
      <c r="K1292" s="25" t="str">
        <f>IF(OR(E1292="",E1292="!!!",F1292="NEW"),"",INDEX(J$1:J1291,SUMPRODUCT(MAX(ROW(E$1:E1291)*(E1292=E$1:E1291)))))</f>
        <v> </v>
      </c>
      <c r="L1292" s="26"/>
    </row>
    <row r="1293" spans="1:12">
      <c r="A1293" s="20" t="s">
        <v>379</v>
      </c>
      <c r="E1293" s="21">
        <f>IF(D1293="?OLD","!!!","")</f>
        <v/>
      </c>
      <c r="F1293" s="22" t="str">
        <f>IF(OR(E1293="",E1293="!!!"),"",IF(NOT(ISNA(VLOOKUP(E1293,E$1:E1292,1,FALSE()))),"OLD",IF(AND(E1293&lt;&gt;"",E1293&lt;&gt;"!!!"),"NEW","")))</f>
        <v> </v>
      </c>
      <c r="G1293" s="23" t="str">
        <f>IF(OR(E1293="",E1293="!!!"),"",IF(OR(J1293=0,AND(J1293=1,K1293=1),AND(J1293=1,I1293="SBJ"),AND(J1293=1,I1293=0)),"?IN_FOCUS",IF(J1293&lt;=2,"?ACTIVATED",IF(J1293&lt;&gt;"","?FAMILIAR",IF(F1293="NEW",IF(ISNA(VLOOKUP(E1293,#REF!,1,FALSE())),"?TYPE_IDENTIFIABLE","?REFERENTIAL"),"_")))))</f>
        <v> </v>
      </c>
      <c r="H1293" s="24" t="str">
        <f>IF(J1293&lt;&gt;1,"",IF(I1293="SBJ","CB","?"))</f>
        <v> </v>
      </c>
      <c r="I1293" s="25" t="str">
        <f>IF(OR(E1293="",E1293="!!!",F1293="NEW"),"",INDEX(B1292:B$2,-1+SUMPRODUCT(MAX(ROW(E1292:E$2)*(E1293=E1292:E$2)))))</f>
        <v> </v>
      </c>
      <c r="J1293" s="25" t="str">
        <f>IF(OR(E1293="",E1293="!!!",F1293="NEW"),"",COUNTBLANK(OFFSET(A$1,,,SUMPRODUCT(MAX(ROW(E$2:E1293)*(E1293=E$2:E1293)))))-COUNTBLANK(OFFSET(A$1,,,SUMPRODUCT(MAX(ROW(E$1:E1292)*(E2=E$1:E1292))))))</f>
        <v> </v>
      </c>
      <c r="K1293" s="25" t="str">
        <f>IF(OR(E1293="",E1293="!!!",F1293="NEW"),"",INDEX(J$1:J1292,SUMPRODUCT(MAX(ROW(E$1:E1292)*(E1293=E$1:E1292)))))</f>
        <v> </v>
      </c>
      <c r="L1293" s="26"/>
    </row>
    <row r="1294" spans="1:12">
      <c r="A1294" s="20" t="s">
        <v>384</v>
      </c>
      <c r="E1294" s="21">
        <f>IF(D1294="?OLD","!!!","")</f>
        <v/>
      </c>
      <c r="F1294" s="22" t="str">
        <f>IF(OR(E1294="",E1294="!!!"),"",IF(NOT(ISNA(VLOOKUP(E1294,E$1:E1293,1,FALSE()))),"OLD",IF(AND(E1294&lt;&gt;"",E1294&lt;&gt;"!!!"),"NEW","")))</f>
        <v> </v>
      </c>
      <c r="G1294" s="23" t="str">
        <f>IF(OR(E1294="",E1294="!!!"),"",IF(OR(J1294=0,AND(J1294=1,K1294=1),AND(J1294=1,I1294="SBJ"),AND(J1294=1,I1294=0)),"?IN_FOCUS",IF(J1294&lt;=2,"?ACTIVATED",IF(J1294&lt;&gt;"","?FAMILIAR",IF(F1294="NEW",IF(ISNA(VLOOKUP(E1294,#REF!,1,FALSE())),"?TYPE_IDENTIFIABLE","?REFERENTIAL"),"_")))))</f>
        <v> </v>
      </c>
      <c r="H1294" s="24" t="str">
        <f>IF(J1294&lt;&gt;1,"",IF(I1294="SBJ","CB","?"))</f>
        <v> </v>
      </c>
      <c r="I1294" s="25" t="str">
        <f>IF(OR(E1294="",E1294="!!!",F1294="NEW"),"",INDEX(B1293:B$2,-1+SUMPRODUCT(MAX(ROW(E1293:E$2)*(E1294=E1293:E$2)))))</f>
        <v> </v>
      </c>
      <c r="J1294" s="25" t="str">
        <f>IF(OR(E1294="",E1294="!!!",F1294="NEW"),"",COUNTBLANK(OFFSET(A$1,,,SUMPRODUCT(MAX(ROW(E$2:E1294)*(E1294=E$2:E1294)))))-COUNTBLANK(OFFSET(A$1,,,SUMPRODUCT(MAX(ROW(E$1:E1293)*(E2=E$1:E1293))))))</f>
        <v> </v>
      </c>
      <c r="K1294" s="25" t="str">
        <f>IF(OR(E1294="",E1294="!!!",F1294="NEW"),"",INDEX(J$1:J1293,SUMPRODUCT(MAX(ROW(E$1:E1293)*(E1294=E$1:E1293)))))</f>
        <v> </v>
      </c>
      <c r="L1294" s="26"/>
    </row>
    <row r="1295" spans="1:12">
      <c r="A1295" s="20" t="s">
        <v>846</v>
      </c>
      <c r="E1295" s="21">
        <f>IF(D1295="?OLD","!!!","")</f>
        <v/>
      </c>
      <c r="F1295" s="22" t="str">
        <f>IF(OR(E1295="",E1295="!!!"),"",IF(NOT(ISNA(VLOOKUP(E1295,E$1:E1294,1,FALSE()))),"OLD",IF(AND(E1295&lt;&gt;"",E1295&lt;&gt;"!!!"),"NEW","")))</f>
        <v> </v>
      </c>
      <c r="G1295" s="23" t="str">
        <f>IF(OR(E1295="",E1295="!!!"),"",IF(OR(J1295=0,AND(J1295=1,K1295=1),AND(J1295=1,I1295="SBJ"),AND(J1295=1,I1295=0)),"?IN_FOCUS",IF(J1295&lt;=2,"?ACTIVATED",IF(J1295&lt;&gt;"","?FAMILIAR",IF(F1295="NEW",IF(ISNA(VLOOKUP(E1295,#REF!,1,FALSE())),"?TYPE_IDENTIFIABLE","?REFERENTIAL"),"_")))))</f>
        <v> </v>
      </c>
      <c r="H1295" s="24" t="str">
        <f>IF(J1295&lt;&gt;1,"",IF(I1295="SBJ","CB","?"))</f>
        <v> </v>
      </c>
      <c r="I1295" s="25" t="str">
        <f>IF(OR(E1295="",E1295="!!!",F1295="NEW"),"",INDEX(B1294:B$2,-1+SUMPRODUCT(MAX(ROW(E1294:E$2)*(E1295=E1294:E$2)))))</f>
        <v> </v>
      </c>
      <c r="J1295" s="25" t="str">
        <f>IF(OR(E1295="",E1295="!!!",F1295="NEW"),"",COUNTBLANK(OFFSET(A$1,,,SUMPRODUCT(MAX(ROW(E$2:E1295)*(E1295=E$2:E1295)))))-COUNTBLANK(OFFSET(A$1,,,SUMPRODUCT(MAX(ROW(E$1:E1294)*(E2=E$1:E1294))))))</f>
        <v> </v>
      </c>
      <c r="K1295" s="25" t="str">
        <f>IF(OR(E1295="",E1295="!!!",F1295="NEW"),"",INDEX(J$1:J1294,SUMPRODUCT(MAX(ROW(E$1:E1294)*(E1295=E$1:E1294)))))</f>
        <v> </v>
      </c>
      <c r="L1295" s="26"/>
    </row>
    <row r="1296" spans="1:12">
      <c r="A1296" s="20" t="s">
        <v>848</v>
      </c>
      <c r="B1296" s="27" t="s">
        <v>414</v>
      </c>
      <c r="C1296" s="27" t="s">
        <v>388</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t="s">
        <v>406</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t="s">
        <v>407</v>
      </c>
      <c r="E1298" s="21">
        <f>IF(D1298="?OLD","!!!","")</f>
        <v/>
      </c>
      <c r="F1298" s="22" t="str">
        <f>IF(OR(E1298="",E1298="!!!"),"",IF(NOT(ISNA(VLOOKUP(E1298,E$1:E1297,1,FALSE()))),"OLD",IF(AND(E1298&lt;&gt;"",E1298&lt;&gt;"!!!"),"NEW","")))</f>
        <v> </v>
      </c>
      <c r="G1298" s="23" t="str">
        <f>IF(OR(E1298="",E1298="!!!"),"",IF(OR(J1298=0,AND(J1298=1,K1298=1),AND(J1298=1,I1298="SBJ"),AND(J1298=1,I1298=0)),"?IN_FOCUS",IF(J1298&lt;=2,"?ACTIVATED",IF(J1298&lt;&gt;"","?FAMILIAR",IF(F1298="NEW",IF(ISNA(VLOOKUP(E1298,#REF!,1,FALSE())),"?TYPE_IDENTIFIABLE","?REFERENTIAL"),"_")))))</f>
        <v> </v>
      </c>
      <c r="H1298" s="24" t="str">
        <f>IF(J1298&lt;&gt;1,"",IF(I1298="SBJ","CB","?"))</f>
        <v> </v>
      </c>
      <c r="I1298" s="25" t="str">
        <f>IF(OR(E1298="",E1298="!!!",F1298="NEW"),"",INDEX(B1297:B$2,-1+SUMPRODUCT(MAX(ROW(E1297:E$2)*(E1298=E1297:E$2)))))</f>
        <v> </v>
      </c>
      <c r="J1298" s="25" t="str">
        <f>IF(OR(E1298="",E1298="!!!",F1298="NEW"),"",COUNTBLANK(OFFSET(A$1,,,SUMPRODUCT(MAX(ROW(E$2:E1298)*(E1298=E$2:E1298)))))-COUNTBLANK(OFFSET(A$1,,,SUMPRODUCT(MAX(ROW(E$1:E1297)*(E2=E$1:E1297))))))</f>
        <v> </v>
      </c>
      <c r="K1298" s="25" t="str">
        <f>IF(OR(E1298="",E1298="!!!",F1298="NEW"),"",INDEX(J$1:J1297,SUMPRODUCT(MAX(ROW(E$1:E1297)*(E1298=E$1:E1297)))))</f>
        <v> </v>
      </c>
      <c r="L1298" s="26"/>
    </row>
    <row r="1299" spans="1:12">
      <c r="A1299" s="20" t="s">
        <v>390</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116</v>
      </c>
      <c r="E1300" s="21">
        <f>IF(D1300="?OLD","!!!","")</f>
        <v/>
      </c>
      <c r="F1300" s="22" t="str">
        <f>IF(OR(E1300="",E1300="!!!"),"",IF(NOT(ISNA(VLOOKUP(E1300,E$1:E1299,1,FALSE()))),"OLD",IF(AND(E1300&lt;&gt;"",E1300&lt;&gt;"!!!"),"NEW","")))</f>
        <v> </v>
      </c>
      <c r="G1300" s="23" t="str">
        <f>IF(OR(E1300="",E1300="!!!"),"",IF(OR(J1300=0,AND(J1300=1,K1300=1),AND(J1300=1,I1300="SBJ"),AND(J1300=1,I1300=0)),"?IN_FOCUS",IF(J1300&lt;=2,"?ACTIVATED",IF(J1300&lt;&gt;"","?FAMILIAR",IF(F1300="NEW",IF(ISNA(VLOOKUP(E1300,#REF!,1,FALSE())),"?TYPE_IDENTIFIABLE","?REFERENTIAL"),"_")))))</f>
        <v> </v>
      </c>
      <c r="H1300" s="24" t="str">
        <f>IF(J1300&lt;&gt;1,"",IF(I1300="SBJ","CB","?"))</f>
        <v> </v>
      </c>
      <c r="I1300" s="25" t="str">
        <f>IF(OR(E1300="",E1300="!!!",F1300="NEW"),"",INDEX(B1299:B$2,-1+SUMPRODUCT(MAX(ROW(E1299:E$2)*(E1300=E1299:E$2)))))</f>
        <v> </v>
      </c>
      <c r="J1300" s="25" t="str">
        <f>IF(OR(E1300="",E1300="!!!",F1300="NEW"),"",COUNTBLANK(OFFSET(A$1,,,SUMPRODUCT(MAX(ROW(E$2:E1300)*(E1300=E$2:E1300)))))-COUNTBLANK(OFFSET(A$1,,,SUMPRODUCT(MAX(ROW(E$1:E1299)*(E2=E$1:E1299))))))</f>
        <v> </v>
      </c>
      <c r="K1300" s="25" t="str">
        <f>IF(OR(E1300="",E1300="!!!",F1300="NEW"),"",INDEX(J$1:J1299,SUMPRODUCT(MAX(ROW(E$1:E1299)*(E1300=E$1:E1299)))))</f>
        <v> </v>
      </c>
      <c r="L1300" s="26"/>
    </row>
    <row r="1301" spans="1:12">
      <c r="A1301" s="20" t="s">
        <v>673</v>
      </c>
      <c r="B1301" s="27" t="s">
        <v>481</v>
      </c>
      <c r="C1301" s="27" t="s">
        <v>393</v>
      </c>
      <c r="D1301" s="27" t="s">
        <v>378</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t="s">
        <v>394</v>
      </c>
      <c r="E1302" s="21">
        <f>IF(D1302="?OLD","!!!","")</f>
        <v/>
      </c>
      <c r="F1302" s="22" t="str">
        <f>IF(OR(E1302="",E1302="!!!"),"",IF(NOT(ISNA(VLOOKUP(E1302,E$1:E1301,1,FALSE()))),"OLD",IF(AND(E1302&lt;&gt;"",E1302&lt;&gt;"!!!"),"NEW","")))</f>
        <v> </v>
      </c>
      <c r="G1302" s="23" t="str">
        <f>IF(OR(E1302="",E1302="!!!"),"",IF(OR(J1302=0,AND(J1302=1,K1302=1),AND(J1302=1,I1302="SBJ"),AND(J1302=1,I1302=0)),"?IN_FOCUS",IF(J1302&lt;=2,"?ACTIVATED",IF(J1302&lt;&gt;"","?FAMILIAR",IF(F1302="NEW",IF(ISNA(VLOOKUP(E1302,#REF!,1,FALSE())),"?TYPE_IDENTIFIABLE","?REFERENTIAL"),"_")))))</f>
        <v> </v>
      </c>
      <c r="H1302" s="24" t="str">
        <f>IF(J1302&lt;&gt;1,"",IF(I1302="SBJ","CB","?"))</f>
        <v> </v>
      </c>
      <c r="I1302" s="25" t="str">
        <f>IF(OR(E1302="",E1302="!!!",F1302="NEW"),"",INDEX(B1301:B$2,-1+SUMPRODUCT(MAX(ROW(E1301:E$2)*(E1302=E1301:E$2)))))</f>
        <v> </v>
      </c>
      <c r="J1302" s="25" t="str">
        <f>IF(OR(E1302="",E1302="!!!",F1302="NEW"),"",COUNTBLANK(OFFSET(A$1,,,SUMPRODUCT(MAX(ROW(E$2:E1302)*(E1302=E$2:E1302)))))-COUNTBLANK(OFFSET(A$1,,,SUMPRODUCT(MAX(ROW(E$1:E1301)*(E2=E$1:E1301))))))</f>
        <v> </v>
      </c>
      <c r="K1302" s="25" t="str">
        <f>IF(OR(E1302="",E1302="!!!",F1302="NEW"),"",INDEX(J$1:J1301,SUMPRODUCT(MAX(ROW(E$1:E1301)*(E1302=E$1:E1301)))))</f>
        <v> </v>
      </c>
      <c r="L1302" s="26"/>
    </row>
    <row r="1303" spans="1:12">
      <c r="A1303" s="20"/>
    </row>
    <row r="1304" spans="1:12">
      <c r="A1304" s="20" t="s">
        <v>849</v>
      </c>
    </row>
    <row r="1305" spans="1:12">
      <c r="A1305" s="20" t="s">
        <v>396</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441</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t="s">
        <v>379</v>
      </c>
      <c r="E1307" s="21">
        <f>IF(D1307="?OLD","!!!","")</f>
        <v/>
      </c>
      <c r="F1307" s="22" t="str">
        <f>IF(OR(E1307="",E1307="!!!"),"",IF(NOT(ISNA(VLOOKUP(E1307,E$1:E1306,1,FALSE()))),"OLD",IF(AND(E1307&lt;&gt;"",E1307&lt;&gt;"!!!"),"NEW","")))</f>
        <v> </v>
      </c>
      <c r="G1307" s="23" t="str">
        <f>IF(OR(E1307="",E1307="!!!"),"",IF(OR(J1307=0,AND(J1307=1,K1307=1),AND(J1307=1,I1307="SBJ"),AND(J1307=1,I1307=0)),"?IN_FOCUS",IF(J1307&lt;=2,"?ACTIVATED",IF(J1307&lt;&gt;"","?FAMILIAR",IF(F1307="NEW",IF(ISNA(VLOOKUP(E1307,#REF!,1,FALSE())),"?TYPE_IDENTIFIABLE","?REFERENTIAL"),"_")))))</f>
        <v> </v>
      </c>
      <c r="H1307" s="24" t="str">
        <f>IF(J1307&lt;&gt;1,"",IF(I1307="SBJ","CB","?"))</f>
        <v> </v>
      </c>
      <c r="I1307" s="25" t="str">
        <f>IF(OR(E1307="",E1307="!!!",F1307="NEW"),"",INDEX(B1306:B$2,-1+SUMPRODUCT(MAX(ROW(E1306:E$2)*(E1307=E1306:E$2)))))</f>
        <v> </v>
      </c>
      <c r="J1307" s="25" t="str">
        <f>IF(OR(E1307="",E1307="!!!",F1307="NEW"),"",COUNTBLANK(OFFSET(A$1,,,SUMPRODUCT(MAX(ROW(E$2:E1307)*(E1307=E$2:E1307)))))-COUNTBLANK(OFFSET(A$1,,,SUMPRODUCT(MAX(ROW(E$1:E1306)*(E2=E$1:E1306))))))</f>
        <v> </v>
      </c>
      <c r="K1307" s="25" t="str">
        <f>IF(OR(E1307="",E1307="!!!",F1307="NEW"),"",INDEX(J$1:J1306,SUMPRODUCT(MAX(ROW(E$1:E1306)*(E1307=E$1:E1306)))))</f>
        <v> </v>
      </c>
      <c r="L1307" s="26"/>
    </row>
    <row r="1308" spans="1:12">
      <c r="A1308" s="20" t="s">
        <v>444</v>
      </c>
      <c r="B1308" s="27" t="s">
        <v>376</v>
      </c>
      <c r="C1308" s="27" t="s">
        <v>445</v>
      </c>
      <c r="D1308" s="27" t="s">
        <v>378</v>
      </c>
      <c r="E1308" s="21">
        <f>IF(D1308="?OLD","!!!","")</f>
        <v/>
      </c>
      <c r="F1308" s="22" t="str">
        <f>IF(OR(E1308="",E1308="!!!"),"",IF(NOT(ISNA(VLOOKUP(E1308,E$1:E1307,1,FALSE()))),"OLD",IF(AND(E1308&lt;&gt;"",E1308&lt;&gt;"!!!"),"NEW","")))</f>
        <v> </v>
      </c>
      <c r="G1308" s="23" t="str">
        <f>IF(OR(E1308="",E1308="!!!"),"",IF(OR(J1308=0,AND(J1308=1,K1308=1),AND(J1308=1,I1308="SBJ"),AND(J1308=1,I1308=0)),"?IN_FOCUS",IF(J1308&lt;=2,"?ACTIVATED",IF(J1308&lt;&gt;"","?FAMILIAR",IF(F1308="NEW",IF(ISNA(VLOOKUP(E1308,#REF!,1,FALSE())),"?TYPE_IDENTIFIABLE","?REFERENTIAL"),"_")))))</f>
        <v> </v>
      </c>
      <c r="H1308" s="24" t="str">
        <f>IF(J1308&lt;&gt;1,"",IF(I1308="SBJ","CB","?"))</f>
        <v> </v>
      </c>
      <c r="I1308" s="25" t="str">
        <f>IF(OR(E1308="",E1308="!!!",F1308="NEW"),"",INDEX(B1307:B$2,-1+SUMPRODUCT(MAX(ROW(E1307:E$2)*(E1308=E1307:E$2)))))</f>
        <v> </v>
      </c>
      <c r="J1308" s="25" t="str">
        <f>IF(OR(E1308="",E1308="!!!",F1308="NEW"),"",COUNTBLANK(OFFSET(A$1,,,SUMPRODUCT(MAX(ROW(E$2:E1308)*(E1308=E$2:E1308)))))-COUNTBLANK(OFFSET(A$1,,,SUMPRODUCT(MAX(ROW(E$1:E1307)*(E2=E$1:E1307))))))</f>
        <v> </v>
      </c>
      <c r="K1308" s="25" t="str">
        <f>IF(OR(E1308="",E1308="!!!",F1308="NEW"),"",INDEX(J$1:J1307,SUMPRODUCT(MAX(ROW(E$1:E1307)*(E1308=E$1:E1307)))))</f>
        <v> </v>
      </c>
      <c r="L1308" s="26"/>
    </row>
    <row r="1309" spans="1:12">
      <c r="A1309" s="20" t="s">
        <v>549</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t="s">
        <v>390</v>
      </c>
      <c r="E1310" s="21">
        <f>IF(D1310="?OLD","!!!","")</f>
        <v/>
      </c>
      <c r="F1310" s="22" t="str">
        <f>IF(OR(E1310="",E1310="!!!"),"",IF(NOT(ISNA(VLOOKUP(E1310,E$1:E1309,1,FALSE()))),"OLD",IF(AND(E1310&lt;&gt;"",E1310&lt;&gt;"!!!"),"NEW","")))</f>
        <v> </v>
      </c>
      <c r="G1310" s="23" t="str">
        <f>IF(OR(E1310="",E1310="!!!"),"",IF(OR(J1310=0,AND(J1310=1,K1310=1),AND(J1310=1,I1310="SBJ"),AND(J1310=1,I1310=0)),"?IN_FOCUS",IF(J1310&lt;=2,"?ACTIVATED",IF(J1310&lt;&gt;"","?FAMILIAR",IF(F1310="NEW",IF(ISNA(VLOOKUP(E1310,#REF!,1,FALSE())),"?TYPE_IDENTIFIABLE","?REFERENTIAL"),"_")))))</f>
        <v> </v>
      </c>
      <c r="H1310" s="24" t="str">
        <f>IF(J1310&lt;&gt;1,"",IF(I1310="SBJ","CB","?"))</f>
        <v> </v>
      </c>
      <c r="I1310" s="25" t="str">
        <f>IF(OR(E1310="",E1310="!!!",F1310="NEW"),"",INDEX(B1309:B$2,-1+SUMPRODUCT(MAX(ROW(E1309:E$2)*(E1310=E1309:E$2)))))</f>
        <v> </v>
      </c>
      <c r="J1310" s="25" t="str">
        <f>IF(OR(E1310="",E1310="!!!",F1310="NEW"),"",COUNTBLANK(OFFSET(A$1,,,SUMPRODUCT(MAX(ROW(E$2:E1310)*(E1310=E$2:E1310)))))-COUNTBLANK(OFFSET(A$1,,,SUMPRODUCT(MAX(ROW(E$1:E1309)*(E2=E$1:E1309))))))</f>
        <v> </v>
      </c>
      <c r="K1310" s="25" t="str">
        <f>IF(OR(E1310="",E1310="!!!",F1310="NEW"),"",INDEX(J$1:J1309,SUMPRODUCT(MAX(ROW(E$1:E1309)*(E1310=E$1:E1309)))))</f>
        <v> </v>
      </c>
      <c r="L1310" s="26"/>
    </row>
    <row r="1311" spans="1:12">
      <c r="A1311" s="20" t="s">
        <v>801</v>
      </c>
      <c r="B1311" s="27" t="s">
        <v>398</v>
      </c>
      <c r="C1311" s="27" t="s">
        <v>489</v>
      </c>
      <c r="D1311" s="27" t="s">
        <v>378</v>
      </c>
      <c r="E1311" s="21">
        <f>IF(D1311="?OLD","!!!","")</f>
        <v/>
      </c>
      <c r="F1311" s="22" t="str">
        <f>IF(OR(E1311="",E1311="!!!"),"",IF(NOT(ISNA(VLOOKUP(E1311,E$1:E1310,1,FALSE()))),"OLD",IF(AND(E1311&lt;&gt;"",E1311&lt;&gt;"!!!"),"NEW","")))</f>
        <v> </v>
      </c>
      <c r="G1311" s="23" t="str">
        <f>IF(OR(E1311="",E1311="!!!"),"",IF(OR(J1311=0,AND(J1311=1,K1311=1),AND(J1311=1,I1311="SBJ"),AND(J1311=1,I1311=0)),"?IN_FOCUS",IF(J1311&lt;=2,"?ACTIVATED",IF(J1311&lt;&gt;"","?FAMILIAR",IF(F1311="NEW",IF(ISNA(VLOOKUP(E1311,#REF!,1,FALSE())),"?TYPE_IDENTIFIABLE","?REFERENTIAL"),"_")))))</f>
        <v> </v>
      </c>
      <c r="H1311" s="24" t="str">
        <f>IF(J1311&lt;&gt;1,"",IF(I1311="SBJ","CB","?"))</f>
        <v> </v>
      </c>
      <c r="I1311" s="25" t="str">
        <f>IF(OR(E1311="",E1311="!!!",F1311="NEW"),"",INDEX(B1310:B$2,-1+SUMPRODUCT(MAX(ROW(E1310:E$2)*(E1311=E1310:E$2)))))</f>
        <v> </v>
      </c>
      <c r="J1311" s="25" t="str">
        <f>IF(OR(E1311="",E1311="!!!",F1311="NEW"),"",COUNTBLANK(OFFSET(A$1,,,SUMPRODUCT(MAX(ROW(E$2:E1311)*(E1311=E$2:E1311)))))-COUNTBLANK(OFFSET(A$1,,,SUMPRODUCT(MAX(ROW(E$1:E1310)*(E2=E$1:E1310))))))</f>
        <v> </v>
      </c>
      <c r="K1311" s="25" t="str">
        <f>IF(OR(E1311="",E1311="!!!",F1311="NEW"),"",INDEX(J$1:J1310,SUMPRODUCT(MAX(ROW(E$1:E1310)*(E1311=E$1:E1310)))))</f>
        <v> </v>
      </c>
      <c r="L1311" s="26"/>
    </row>
    <row r="1312" spans="1:12">
      <c r="A1312" s="20" t="s">
        <v>404</v>
      </c>
      <c r="E1312" s="21">
        <f>IF(D1312="?OLD","!!!","")</f>
        <v/>
      </c>
      <c r="F1312" s="22" t="str">
        <f>IF(OR(E1312="",E1312="!!!"),"",IF(NOT(ISNA(VLOOKUP(E1312,E$1:E1311,1,FALSE()))),"OLD",IF(AND(E1312&lt;&gt;"",E1312&lt;&gt;"!!!"),"NEW","")))</f>
        <v> </v>
      </c>
      <c r="G1312" s="23" t="str">
        <f>IF(OR(E1312="",E1312="!!!"),"",IF(OR(J1312=0,AND(J1312=1,K1312=1),AND(J1312=1,I1312="SBJ"),AND(J1312=1,I1312=0)),"?IN_FOCUS",IF(J1312&lt;=2,"?ACTIVATED",IF(J1312&lt;&gt;"","?FAMILIAR",IF(F1312="NEW",IF(ISNA(VLOOKUP(E1312,#REF!,1,FALSE())),"?TYPE_IDENTIFIABLE","?REFERENTIAL"),"_")))))</f>
        <v> </v>
      </c>
      <c r="H1312" s="24" t="str">
        <f>IF(J1312&lt;&gt;1,"",IF(I1312="SBJ","CB","?"))</f>
        <v> </v>
      </c>
      <c r="I1312" s="25" t="str">
        <f>IF(OR(E1312="",E1312="!!!",F1312="NEW"),"",INDEX(B1311:B$2,-1+SUMPRODUCT(MAX(ROW(E1311:E$2)*(E1312=E1311:E$2)))))</f>
        <v> </v>
      </c>
      <c r="J1312" s="25" t="str">
        <f>IF(OR(E1312="",E1312="!!!",F1312="NEW"),"",COUNTBLANK(OFFSET(A$1,,,SUMPRODUCT(MAX(ROW(E$2:E1312)*(E1312=E$2:E1312)))))-COUNTBLANK(OFFSET(A$1,,,SUMPRODUCT(MAX(ROW(E$1:E1311)*(E2=E$1:E1311))))))</f>
        <v> </v>
      </c>
      <c r="K1312" s="25" t="str">
        <f>IF(OR(E1312="",E1312="!!!",F1312="NEW"),"",INDEX(J$1:J1311,SUMPRODUCT(MAX(ROW(E$1:E1311)*(E1312=E$1:E1311)))))</f>
        <v> </v>
      </c>
      <c r="L1312" s="26"/>
    </row>
    <row r="1313" spans="1:12">
      <c r="A1313" s="20" t="s">
        <v>390</v>
      </c>
      <c r="E1313" s="21">
        <f>IF(D1313="?OLD","!!!","")</f>
        <v/>
      </c>
      <c r="F1313" s="22" t="str">
        <f>IF(OR(E1313="",E1313="!!!"),"",IF(NOT(ISNA(VLOOKUP(E1313,E$1:E1312,1,FALSE()))),"OLD",IF(AND(E1313&lt;&gt;"",E1313&lt;&gt;"!!!"),"NEW","")))</f>
        <v> </v>
      </c>
      <c r="G1313" s="23" t="str">
        <f>IF(OR(E1313="",E1313="!!!"),"",IF(OR(J1313=0,AND(J1313=1,K1313=1),AND(J1313=1,I1313="SBJ"),AND(J1313=1,I1313=0)),"?IN_FOCUS",IF(J1313&lt;=2,"?ACTIVATED",IF(J1313&lt;&gt;"","?FAMILIAR",IF(F1313="NEW",IF(ISNA(VLOOKUP(E1313,#REF!,1,FALSE())),"?TYPE_IDENTIFIABLE","?REFERENTIAL"),"_")))))</f>
        <v> </v>
      </c>
      <c r="H1313" s="24" t="str">
        <f>IF(J1313&lt;&gt;1,"",IF(I1313="SBJ","CB","?"))</f>
        <v> </v>
      </c>
      <c r="I1313" s="25" t="str">
        <f>IF(OR(E1313="",E1313="!!!",F1313="NEW"),"",INDEX(B1312:B$2,-1+SUMPRODUCT(MAX(ROW(E1312:E$2)*(E1313=E1312:E$2)))))</f>
        <v> </v>
      </c>
      <c r="J1313" s="25" t="str">
        <f>IF(OR(E1313="",E1313="!!!",F1313="NEW"),"",COUNTBLANK(OFFSET(A$1,,,SUMPRODUCT(MAX(ROW(E$2:E1313)*(E1313=E$2:E1313)))))-COUNTBLANK(OFFSET(A$1,,,SUMPRODUCT(MAX(ROW(E$1:E1312)*(E2=E$1:E1312))))))</f>
        <v> </v>
      </c>
      <c r="K1313" s="25" t="str">
        <f>IF(OR(E1313="",E1313="!!!",F1313="NEW"),"",INDEX(J$1:J1312,SUMPRODUCT(MAX(ROW(E$1:E1312)*(E1313=E$1:E1312)))))</f>
        <v> </v>
      </c>
      <c r="L1313" s="26"/>
    </row>
    <row r="1314" spans="1:12">
      <c r="A1314" s="20" t="s">
        <v>845</v>
      </c>
      <c r="B1314" s="27" t="s">
        <v>398</v>
      </c>
      <c r="C1314" s="27" t="s">
        <v>393</v>
      </c>
      <c r="D1314" s="27" t="s">
        <v>378</v>
      </c>
      <c r="E1314" s="21">
        <f>IF(D1314="?OLD","!!!","")</f>
        <v/>
      </c>
      <c r="F1314" s="22" t="str">
        <f>IF(OR(E1314="",E1314="!!!"),"",IF(NOT(ISNA(VLOOKUP(E1314,E$1:E1313,1,FALSE()))),"OLD",IF(AND(E1314&lt;&gt;"",E1314&lt;&gt;"!!!"),"NEW","")))</f>
        <v> </v>
      </c>
      <c r="G1314" s="23" t="str">
        <f>IF(OR(E1314="",E1314="!!!"),"",IF(OR(J1314=0,AND(J1314=1,K1314=1),AND(J1314=1,I1314="SBJ"),AND(J1314=1,I1314=0)),"?IN_FOCUS",IF(J1314&lt;=2,"?ACTIVATED",IF(J1314&lt;&gt;"","?FAMILIAR",IF(F1314="NEW",IF(ISNA(VLOOKUP(E1314,#REF!,1,FALSE())),"?TYPE_IDENTIFIABLE","?REFERENTIAL"),"_")))))</f>
        <v> </v>
      </c>
      <c r="H1314" s="24" t="str">
        <f>IF(J1314&lt;&gt;1,"",IF(I1314="SBJ","CB","?"))</f>
        <v> </v>
      </c>
      <c r="I1314" s="25" t="str">
        <f>IF(OR(E1314="",E1314="!!!",F1314="NEW"),"",INDEX(B1313:B$2,-1+SUMPRODUCT(MAX(ROW(E1313:E$2)*(E1314=E1313:E$2)))))</f>
        <v> </v>
      </c>
      <c r="J1314" s="25" t="str">
        <f>IF(OR(E1314="",E1314="!!!",F1314="NEW"),"",COUNTBLANK(OFFSET(A$1,,,SUMPRODUCT(MAX(ROW(E$2:E1314)*(E1314=E$2:E1314)))))-COUNTBLANK(OFFSET(A$1,,,SUMPRODUCT(MAX(ROW(E$1:E1313)*(E2=E$1:E1313))))))</f>
        <v> </v>
      </c>
      <c r="K1314" s="25" t="str">
        <f>IF(OR(E1314="",E1314="!!!",F1314="NEW"),"",INDEX(J$1:J1313,SUMPRODUCT(MAX(ROW(E$1:E1313)*(E1314=E$1:E1313)))))</f>
        <v> </v>
      </c>
      <c r="L1314" s="26"/>
    </row>
    <row r="1315" spans="1:12">
      <c r="A1315" s="20" t="s">
        <v>379</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t="s">
        <v>404</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t="s">
        <v>444</v>
      </c>
      <c r="B1317" s="27" t="s">
        <v>398</v>
      </c>
      <c r="C1317" s="27" t="s">
        <v>445</v>
      </c>
      <c r="D1317" s="27" t="s">
        <v>378</v>
      </c>
      <c r="E1317" s="21">
        <f>IF(D1317="?OLD","!!!","")</f>
        <v/>
      </c>
      <c r="F1317" s="22" t="str">
        <f>IF(OR(E1317="",E1317="!!!"),"",IF(NOT(ISNA(VLOOKUP(E1317,E$1:E1316,1,FALSE()))),"OLD",IF(AND(E1317&lt;&gt;"",E1317&lt;&gt;"!!!"),"NEW","")))</f>
        <v> </v>
      </c>
      <c r="G1317" s="23" t="str">
        <f>IF(OR(E1317="",E1317="!!!"),"",IF(OR(J1317=0,AND(J1317=1,K1317=1),AND(J1317=1,I1317="SBJ"),AND(J1317=1,I1317=0)),"?IN_FOCUS",IF(J1317&lt;=2,"?ACTIVATED",IF(J1317&lt;&gt;"","?FAMILIAR",IF(F1317="NEW",IF(ISNA(VLOOKUP(E1317,#REF!,1,FALSE())),"?TYPE_IDENTIFIABLE","?REFERENTIAL"),"_")))))</f>
        <v> </v>
      </c>
      <c r="H1317" s="24" t="str">
        <f>IF(J1317&lt;&gt;1,"",IF(I1317="SBJ","CB","?"))</f>
        <v> </v>
      </c>
      <c r="I1317" s="25" t="str">
        <f>IF(OR(E1317="",E1317="!!!",F1317="NEW"),"",INDEX(B1316:B$2,-1+SUMPRODUCT(MAX(ROW(E1316:E$2)*(E1317=E1316:E$2)))))</f>
        <v> </v>
      </c>
      <c r="J1317" s="25" t="str">
        <f>IF(OR(E1317="",E1317="!!!",F1317="NEW"),"",COUNTBLANK(OFFSET(A$1,,,SUMPRODUCT(MAX(ROW(E$2:E1317)*(E1317=E$2:E1317)))))-COUNTBLANK(OFFSET(A$1,,,SUMPRODUCT(MAX(ROW(E$1:E1316)*(E2=E$1:E1316))))))</f>
        <v> </v>
      </c>
      <c r="K1317" s="25" t="str">
        <f>IF(OR(E1317="",E1317="!!!",F1317="NEW"),"",INDEX(J$1:J1316,SUMPRODUCT(MAX(ROW(E$1:E1316)*(E1317=E$1:E1316)))))</f>
        <v> </v>
      </c>
      <c r="L1317" s="26"/>
    </row>
    <row r="1318" spans="1:12">
      <c r="A1318" s="20" t="s">
        <v>441</v>
      </c>
      <c r="E1318" s="21">
        <f>IF(D1318="?OLD","!!!","")</f>
        <v/>
      </c>
      <c r="F1318" s="22" t="str">
        <f>IF(OR(E1318="",E1318="!!!"),"",IF(NOT(ISNA(VLOOKUP(E1318,E$1:E1317,1,FALSE()))),"OLD",IF(AND(E1318&lt;&gt;"",E1318&lt;&gt;"!!!"),"NEW","")))</f>
        <v> </v>
      </c>
      <c r="G1318" s="23" t="str">
        <f>IF(OR(E1318="",E1318="!!!"),"",IF(OR(J1318=0,AND(J1318=1,K1318=1),AND(J1318=1,I1318="SBJ"),AND(J1318=1,I1318=0)),"?IN_FOCUS",IF(J1318&lt;=2,"?ACTIVATED",IF(J1318&lt;&gt;"","?FAMILIAR",IF(F1318="NEW",IF(ISNA(VLOOKUP(E1318,#REF!,1,FALSE())),"?TYPE_IDENTIFIABLE","?REFERENTIAL"),"_")))))</f>
        <v> </v>
      </c>
      <c r="H1318" s="24" t="str">
        <f>IF(J1318&lt;&gt;1,"",IF(I1318="SBJ","CB","?"))</f>
        <v> </v>
      </c>
      <c r="I1318" s="25" t="str">
        <f>IF(OR(E1318="",E1318="!!!",F1318="NEW"),"",INDEX(B1317:B$2,-1+SUMPRODUCT(MAX(ROW(E1317:E$2)*(E1318=E1317:E$2)))))</f>
        <v> </v>
      </c>
      <c r="J1318" s="25" t="str">
        <f>IF(OR(E1318="",E1318="!!!",F1318="NEW"),"",COUNTBLANK(OFFSET(A$1,,,SUMPRODUCT(MAX(ROW(E$2:E1318)*(E1318=E$2:E1318)))))-COUNTBLANK(OFFSET(A$1,,,SUMPRODUCT(MAX(ROW(E$1:E1317)*(E2=E$1:E1317))))))</f>
        <v> </v>
      </c>
      <c r="K1318" s="25" t="str">
        <f>IF(OR(E1318="",E1318="!!!",F1318="NEW"),"",INDEX(J$1:J1317,SUMPRODUCT(MAX(ROW(E$1:E1317)*(E1318=E$1:E1317)))))</f>
        <v> </v>
      </c>
      <c r="L1318" s="26"/>
    </row>
    <row r="1319" spans="1:12">
      <c r="A1319" s="20" t="s">
        <v>19</v>
      </c>
      <c r="E1319" s="21">
        <f>IF(D1319="?OLD","!!!","")</f>
        <v/>
      </c>
      <c r="F1319" s="22" t="str">
        <f>IF(OR(E1319="",E1319="!!!"),"",IF(NOT(ISNA(VLOOKUP(E1319,E$1:E1318,1,FALSE()))),"OLD",IF(AND(E1319&lt;&gt;"",E1319&lt;&gt;"!!!"),"NEW","")))</f>
        <v> </v>
      </c>
      <c r="G1319" s="23" t="str">
        <f>IF(OR(E1319="",E1319="!!!"),"",IF(OR(J1319=0,AND(J1319=1,K1319=1),AND(J1319=1,I1319="SBJ"),AND(J1319=1,I1319=0)),"?IN_FOCUS",IF(J1319&lt;=2,"?ACTIVATED",IF(J1319&lt;&gt;"","?FAMILIAR",IF(F1319="NEW",IF(ISNA(VLOOKUP(E1319,#REF!,1,FALSE())),"?TYPE_IDENTIFIABLE","?REFERENTIAL"),"_")))))</f>
        <v> </v>
      </c>
      <c r="H1319" s="24" t="str">
        <f>IF(J1319&lt;&gt;1,"",IF(I1319="SBJ","CB","?"))</f>
        <v> </v>
      </c>
      <c r="I1319" s="25" t="str">
        <f>IF(OR(E1319="",E1319="!!!",F1319="NEW"),"",INDEX(B1318:B$2,-1+SUMPRODUCT(MAX(ROW(E1318:E$2)*(E1319=E1318:E$2)))))</f>
        <v> </v>
      </c>
      <c r="J1319" s="25" t="str">
        <f>IF(OR(E1319="",E1319="!!!",F1319="NEW"),"",COUNTBLANK(OFFSET(A$1,,,SUMPRODUCT(MAX(ROW(E$2:E1319)*(E1319=E$2:E1319)))))-COUNTBLANK(OFFSET(A$1,,,SUMPRODUCT(MAX(ROW(E$1:E1318)*(E2=E$1:E1318))))))</f>
        <v> </v>
      </c>
      <c r="K1319" s="25" t="str">
        <f>IF(OR(E1319="",E1319="!!!",F1319="NEW"),"",INDEX(J$1:J1318,SUMPRODUCT(MAX(ROW(E$1:E1318)*(E1319=E$1:E1318)))))</f>
        <v> </v>
      </c>
      <c r="L1319" s="26"/>
    </row>
    <row r="1320" spans="1:12">
      <c r="A1320" s="20" t="s">
        <v>474</v>
      </c>
      <c r="B1320" s="27" t="s">
        <v>398</v>
      </c>
      <c r="C1320" s="27" t="s">
        <v>371</v>
      </c>
      <c r="E1320" s="21">
        <f>IF(D1320="?OLD","!!!","")</f>
        <v/>
      </c>
      <c r="F1320" s="22" t="str">
        <f>IF(OR(E1320="",E1320="!!!"),"",IF(NOT(ISNA(VLOOKUP(E1320,E$1:E1319,1,FALSE()))),"OLD",IF(AND(E1320&lt;&gt;"",E1320&lt;&gt;"!!!"),"NEW","")))</f>
        <v> </v>
      </c>
      <c r="G1320" s="23" t="str">
        <f>IF(OR(E1320="",E1320="!!!"),"",IF(OR(J1320=0,AND(J1320=1,K1320=1),AND(J1320=1,I1320="SBJ"),AND(J1320=1,I1320=0)),"?IN_FOCUS",IF(J1320&lt;=2,"?ACTIVATED",IF(J1320&lt;&gt;"","?FAMILIAR",IF(F1320="NEW",IF(ISNA(VLOOKUP(E1320,#REF!,1,FALSE())),"?TYPE_IDENTIFIABLE","?REFERENTIAL"),"_")))))</f>
        <v> </v>
      </c>
      <c r="H1320" s="24" t="str">
        <f>IF(J1320&lt;&gt;1,"",IF(I1320="SBJ","CB","?"))</f>
        <v> </v>
      </c>
      <c r="I1320" s="25" t="str">
        <f>IF(OR(E1320="",E1320="!!!",F1320="NEW"),"",INDEX(B1319:B$2,-1+SUMPRODUCT(MAX(ROW(E1319:E$2)*(E1320=E1319:E$2)))))</f>
        <v> </v>
      </c>
      <c r="J1320" s="25" t="str">
        <f>IF(OR(E1320="",E1320="!!!",F1320="NEW"),"",COUNTBLANK(OFFSET(A$1,,,SUMPRODUCT(MAX(ROW(E$2:E1320)*(E1320=E$2:E1320)))))-COUNTBLANK(OFFSET(A$1,,,SUMPRODUCT(MAX(ROW(E$1:E1319)*(E2=E$1:E1319))))))</f>
        <v> </v>
      </c>
      <c r="K1320" s="25" t="str">
        <f>IF(OR(E1320="",E1320="!!!",F1320="NEW"),"",INDEX(J$1:J1319,SUMPRODUCT(MAX(ROW(E$1:E1319)*(E1320=E$1:E1319)))))</f>
        <v> </v>
      </c>
      <c r="L1320" s="26"/>
    </row>
    <row r="1321" spans="1:12">
      <c r="A1321" s="20" t="s">
        <v>394</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row>
    <row r="1323" spans="1:12">
      <c r="A1323" s="20" t="s">
        <v>850</v>
      </c>
    </row>
    <row r="1324" spans="1:12">
      <c r="A1324" s="20" t="s">
        <v>396</v>
      </c>
      <c r="E1324" s="21">
        <f>IF(D1324="?OLD","!!!","")</f>
        <v/>
      </c>
      <c r="F1324" s="22" t="str">
        <f>IF(OR(E1324="",E1324="!!!"),"",IF(NOT(ISNA(VLOOKUP(E1324,E$1:E1323,1,FALSE()))),"OLD",IF(AND(E1324&lt;&gt;"",E1324&lt;&gt;"!!!"),"NEW","")))</f>
        <v> </v>
      </c>
      <c r="G1324" s="23" t="str">
        <f>IF(OR(E1324="",E1324="!!!"),"",IF(OR(J1324=0,AND(J1324=1,K1324=1),AND(J1324=1,I1324="SBJ"),AND(J1324=1,I1324=0)),"?IN_FOCUS",IF(J1324&lt;=2,"?ACTIVATED",IF(J1324&lt;&gt;"","?FAMILIAR",IF(F1324="NEW",IF(ISNA(VLOOKUP(E1324,#REF!,1,FALSE())),"?TYPE_IDENTIFIABLE","?REFERENTIAL"),"_")))))</f>
        <v> </v>
      </c>
      <c r="H1324" s="24" t="str">
        <f>IF(J1324&lt;&gt;1,"",IF(I1324="SBJ","CB","?"))</f>
        <v> </v>
      </c>
      <c r="I1324" s="25" t="str">
        <f>IF(OR(E1324="",E1324="!!!",F1324="NEW"),"",INDEX(B1323:B$2,-1+SUMPRODUCT(MAX(ROW(E1323:E$2)*(E1324=E1323:E$2)))))</f>
        <v> </v>
      </c>
      <c r="J1324" s="25" t="str">
        <f>IF(OR(E1324="",E1324="!!!",F1324="NEW"),"",COUNTBLANK(OFFSET(A$1,,,SUMPRODUCT(MAX(ROW(E$2:E1324)*(E1324=E$2:E1324)))))-COUNTBLANK(OFFSET(A$1,,,SUMPRODUCT(MAX(ROW(E$1:E1323)*(E2=E$1:E1323))))))</f>
        <v> </v>
      </c>
      <c r="K1324" s="25" t="str">
        <f>IF(OR(E1324="",E1324="!!!",F1324="NEW"),"",INDEX(J$1:J1323,SUMPRODUCT(MAX(ROW(E$1:E1323)*(E1324=E$1:E1323)))))</f>
        <v> </v>
      </c>
      <c r="L1324" s="26"/>
    </row>
    <row r="1325" spans="1:12">
      <c r="A1325" s="20" t="s">
        <v>851</v>
      </c>
      <c r="B1325" s="27" t="s">
        <v>376</v>
      </c>
      <c r="C1325" s="27" t="s">
        <v>445</v>
      </c>
      <c r="D1325" s="27" t="s">
        <v>378</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404</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t="s">
        <v>491</v>
      </c>
      <c r="B1327" s="27" t="s">
        <v>381</v>
      </c>
      <c r="C1327" s="27" t="s">
        <v>429</v>
      </c>
      <c r="D1327" s="27" t="s">
        <v>378</v>
      </c>
      <c r="E1327" s="21">
        <f>IF(D1327="?OLD","!!!","")</f>
        <v/>
      </c>
      <c r="F1327" s="22" t="str">
        <f>IF(OR(E1327="",E1327="!!!"),"",IF(NOT(ISNA(VLOOKUP(E1327,E$1:E1326,1,FALSE()))),"OLD",IF(AND(E1327&lt;&gt;"",E1327&lt;&gt;"!!!"),"NEW","")))</f>
        <v> </v>
      </c>
      <c r="G1327" s="23" t="str">
        <f>IF(OR(E1327="",E1327="!!!"),"",IF(OR(J1327=0,AND(J1327=1,K1327=1),AND(J1327=1,I1327="SBJ"),AND(J1327=1,I1327=0)),"?IN_FOCUS",IF(J1327&lt;=2,"?ACTIVATED",IF(J1327&lt;&gt;"","?FAMILIAR",IF(F1327="NEW",IF(ISNA(VLOOKUP(E1327,#REF!,1,FALSE())),"?TYPE_IDENTIFIABLE","?REFERENTIAL"),"_")))))</f>
        <v> </v>
      </c>
      <c r="H1327" s="24" t="str">
        <f>IF(J1327&lt;&gt;1,"",IF(I1327="SBJ","CB","?"))</f>
        <v> </v>
      </c>
      <c r="I1327" s="25" t="str">
        <f>IF(OR(E1327="",E1327="!!!",F1327="NEW"),"",INDEX(B1326:B$2,-1+SUMPRODUCT(MAX(ROW(E1326:E$2)*(E1327=E1326:E$2)))))</f>
        <v> </v>
      </c>
      <c r="J1327" s="25" t="str">
        <f>IF(OR(E1327="",E1327="!!!",F1327="NEW"),"",COUNTBLANK(OFFSET(A$1,,,SUMPRODUCT(MAX(ROW(E$2:E1327)*(E1327=E$2:E1327)))))-COUNTBLANK(OFFSET(A$1,,,SUMPRODUCT(MAX(ROW(E$1:E1326)*(E2=E$1:E1326))))))</f>
        <v> </v>
      </c>
      <c r="K1327" s="25" t="str">
        <f>IF(OR(E1327="",E1327="!!!",F1327="NEW"),"",INDEX(J$1:J1326,SUMPRODUCT(MAX(ROW(E$1:E1326)*(E1327=E$1:E1326)))))</f>
        <v> </v>
      </c>
      <c r="L1327" s="26"/>
    </row>
    <row r="1328" spans="1:12">
      <c r="A1328" s="20" t="s">
        <v>565</v>
      </c>
      <c r="B1328" s="27" t="s">
        <v>506</v>
      </c>
      <c r="E1328" s="21">
        <f>IF(D1328="?OLD","!!!","")</f>
        <v/>
      </c>
      <c r="F1328" s="22" t="str">
        <f>IF(OR(E1328="",E1328="!!!"),"",IF(NOT(ISNA(VLOOKUP(E1328,E$1:E1327,1,FALSE()))),"OLD",IF(AND(E1328&lt;&gt;"",E1328&lt;&gt;"!!!"),"NEW","")))</f>
        <v> </v>
      </c>
      <c r="G1328" s="23" t="str">
        <f>IF(OR(E1328="",E1328="!!!"),"",IF(OR(J1328=0,AND(J1328=1,K1328=1),AND(J1328=1,I1328="SBJ"),AND(J1328=1,I1328=0)),"?IN_FOCUS",IF(J1328&lt;=2,"?ACTIVATED",IF(J1328&lt;&gt;"","?FAMILIAR",IF(F1328="NEW",IF(ISNA(VLOOKUP(E1328,#REF!,1,FALSE())),"?TYPE_IDENTIFIABLE","?REFERENTIAL"),"_")))))</f>
        <v> </v>
      </c>
      <c r="H1328" s="24" t="str">
        <f>IF(J1328&lt;&gt;1,"",IF(I1328="SBJ","CB","?"))</f>
        <v> </v>
      </c>
      <c r="I1328" s="25" t="str">
        <f>IF(OR(E1328="",E1328="!!!",F1328="NEW"),"",INDEX(B1327:B$2,-1+SUMPRODUCT(MAX(ROW(E1327:E$2)*(E1328=E1327:E$2)))))</f>
        <v> </v>
      </c>
      <c r="J1328" s="25" t="str">
        <f>IF(OR(E1328="",E1328="!!!",F1328="NEW"),"",COUNTBLANK(OFFSET(A$1,,,SUMPRODUCT(MAX(ROW(E$2:E1328)*(E1328=E$2:E1328)))))-COUNTBLANK(OFFSET(A$1,,,SUMPRODUCT(MAX(ROW(E$1:E1327)*(E2=E$1:E1327))))))</f>
        <v> </v>
      </c>
      <c r="K1328" s="25" t="str">
        <f>IF(OR(E1328="",E1328="!!!",F1328="NEW"),"",INDEX(J$1:J1327,SUMPRODUCT(MAX(ROW(E$1:E1327)*(E1328=E$1:E1327)))))</f>
        <v> </v>
      </c>
      <c r="L1328" s="26"/>
    </row>
    <row r="1329" spans="1:12">
      <c r="A1329" s="20" t="s">
        <v>563</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t="s">
        <v>852</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t="s">
        <v>853</v>
      </c>
      <c r="E1331" s="21">
        <f>IF(D1331="?OLD","!!!","")</f>
        <v/>
      </c>
      <c r="F1331" s="22" t="str">
        <f>IF(OR(E1331="",E1331="!!!"),"",IF(NOT(ISNA(VLOOKUP(E1331,E$1:E1330,1,FALSE()))),"OLD",IF(AND(E1331&lt;&gt;"",E1331&lt;&gt;"!!!"),"NEW","")))</f>
        <v> </v>
      </c>
      <c r="G1331" s="23" t="str">
        <f>IF(OR(E1331="",E1331="!!!"),"",IF(OR(J1331=0,AND(J1331=1,K1331=1),AND(J1331=1,I1331="SBJ"),AND(J1331=1,I1331=0)),"?IN_FOCUS",IF(J1331&lt;=2,"?ACTIVATED",IF(J1331&lt;&gt;"","?FAMILIAR",IF(F1331="NEW",IF(ISNA(VLOOKUP(E1331,#REF!,1,FALSE())),"?TYPE_IDENTIFIABLE","?REFERENTIAL"),"_")))))</f>
        <v> </v>
      </c>
      <c r="H1331" s="24" t="str">
        <f>IF(J1331&lt;&gt;1,"",IF(I1331="SBJ","CB","?"))</f>
        <v> </v>
      </c>
      <c r="I1331" s="25" t="str">
        <f>IF(OR(E1331="",E1331="!!!",F1331="NEW"),"",INDEX(B1330:B$2,-1+SUMPRODUCT(MAX(ROW(E1330:E$2)*(E1331=E1330:E$2)))))</f>
        <v> </v>
      </c>
      <c r="J1331" s="25" t="str">
        <f>IF(OR(E1331="",E1331="!!!",F1331="NEW"),"",COUNTBLANK(OFFSET(A$1,,,SUMPRODUCT(MAX(ROW(E$2:E1331)*(E1331=E$2:E1331)))))-COUNTBLANK(OFFSET(A$1,,,SUMPRODUCT(MAX(ROW(E$1:E1330)*(E2=E$1:E1330))))))</f>
        <v> </v>
      </c>
      <c r="K1331" s="25" t="str">
        <f>IF(OR(E1331="",E1331="!!!",F1331="NEW"),"",INDEX(J$1:J1330,SUMPRODUCT(MAX(ROW(E$1:E1330)*(E1331=E$1:E1330)))))</f>
        <v> </v>
      </c>
      <c r="L1331" s="26"/>
    </row>
    <row r="1332" spans="1:12">
      <c r="A1332" s="20" t="s">
        <v>316</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t="s">
        <v>406</v>
      </c>
      <c r="E1333" s="21">
        <f>IF(D1333="?OLD","!!!","")</f>
        <v/>
      </c>
      <c r="F1333" s="22" t="str">
        <f>IF(OR(E1333="",E1333="!!!"),"",IF(NOT(ISNA(VLOOKUP(E1333,E$1:E1332,1,FALSE()))),"OLD",IF(AND(E1333&lt;&gt;"",E1333&lt;&gt;"!!!"),"NEW","")))</f>
        <v> </v>
      </c>
      <c r="G1333" s="23" t="str">
        <f>IF(OR(E1333="",E1333="!!!"),"",IF(OR(J1333=0,AND(J1333=1,K1333=1),AND(J1333=1,I1333="SBJ"),AND(J1333=1,I1333=0)),"?IN_FOCUS",IF(J1333&lt;=2,"?ACTIVATED",IF(J1333&lt;&gt;"","?FAMILIAR",IF(F1333="NEW",IF(ISNA(VLOOKUP(E1333,#REF!,1,FALSE())),"?TYPE_IDENTIFIABLE","?REFERENTIAL"),"_")))))</f>
        <v> </v>
      </c>
      <c r="H1333" s="24" t="str">
        <f>IF(J1333&lt;&gt;1,"",IF(I1333="SBJ","CB","?"))</f>
        <v> </v>
      </c>
      <c r="I1333" s="25" t="str">
        <f>IF(OR(E1333="",E1333="!!!",F1333="NEW"),"",INDEX(B1332:B$2,-1+SUMPRODUCT(MAX(ROW(E1332:E$2)*(E1333=E1332:E$2)))))</f>
        <v> </v>
      </c>
      <c r="J1333" s="25" t="str">
        <f>IF(OR(E1333="",E1333="!!!",F1333="NEW"),"",COUNTBLANK(OFFSET(A$1,,,SUMPRODUCT(MAX(ROW(E$2:E1333)*(E1333=E$2:E1333)))))-COUNTBLANK(OFFSET(A$1,,,SUMPRODUCT(MAX(ROW(E$1:E1332)*(E2=E$1:E1332))))))</f>
        <v> </v>
      </c>
      <c r="K1333" s="25" t="str">
        <f>IF(OR(E1333="",E1333="!!!",F1333="NEW"),"",INDEX(J$1:J1332,SUMPRODUCT(MAX(ROW(E$1:E1332)*(E1333=E$1:E1332)))))</f>
        <v> </v>
      </c>
      <c r="L1333" s="26"/>
    </row>
    <row r="1334" spans="1:12">
      <c r="A1334" s="20" t="s">
        <v>281</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t="s">
        <v>406</v>
      </c>
      <c r="E1335" s="21">
        <f>IF(D1335="?OLD","!!!","")</f>
        <v/>
      </c>
      <c r="F1335" s="22" t="str">
        <f>IF(OR(E1335="",E1335="!!!"),"",IF(NOT(ISNA(VLOOKUP(E1335,E$1:E1334,1,FALSE()))),"OLD",IF(AND(E1335&lt;&gt;"",E1335&lt;&gt;"!!!"),"NEW","")))</f>
        <v> </v>
      </c>
      <c r="G1335" s="23" t="str">
        <f>IF(OR(E1335="",E1335="!!!"),"",IF(OR(J1335=0,AND(J1335=1,K1335=1),AND(J1335=1,I1335="SBJ"),AND(J1335=1,I1335=0)),"?IN_FOCUS",IF(J1335&lt;=2,"?ACTIVATED",IF(J1335&lt;&gt;"","?FAMILIAR",IF(F1335="NEW",IF(ISNA(VLOOKUP(E1335,#REF!,1,FALSE())),"?TYPE_IDENTIFIABLE","?REFERENTIAL"),"_")))))</f>
        <v> </v>
      </c>
      <c r="H1335" s="24" t="str">
        <f>IF(J1335&lt;&gt;1,"",IF(I1335="SBJ","CB","?"))</f>
        <v> </v>
      </c>
      <c r="I1335" s="25" t="str">
        <f>IF(OR(E1335="",E1335="!!!",F1335="NEW"),"",INDEX(B1334:B$2,-1+SUMPRODUCT(MAX(ROW(E1334:E$2)*(E1335=E1334:E$2)))))</f>
        <v> </v>
      </c>
      <c r="J1335" s="25" t="str">
        <f>IF(OR(E1335="",E1335="!!!",F1335="NEW"),"",COUNTBLANK(OFFSET(A$1,,,SUMPRODUCT(MAX(ROW(E$2:E1335)*(E1335=E$2:E1335)))))-COUNTBLANK(OFFSET(A$1,,,SUMPRODUCT(MAX(ROW(E$1:E1334)*(E2=E$1:E1334))))))</f>
        <v> </v>
      </c>
      <c r="K1335" s="25" t="str">
        <f>IF(OR(E1335="",E1335="!!!",F1335="NEW"),"",INDEX(J$1:J1334,SUMPRODUCT(MAX(ROW(E$1:E1334)*(E1335=E$1:E1334)))))</f>
        <v> </v>
      </c>
      <c r="L1335" s="26"/>
    </row>
    <row r="1336" spans="1:12">
      <c r="A1336" s="20" t="s">
        <v>854</v>
      </c>
      <c r="B1336" s="27" t="s">
        <v>381</v>
      </c>
      <c r="C1336" s="27" t="s">
        <v>377</v>
      </c>
      <c r="D1336" s="27" t="s">
        <v>378</v>
      </c>
      <c r="E1336" s="21">
        <f>IF(D1336="?OLD","!!!","")</f>
        <v/>
      </c>
      <c r="F1336" s="22" t="str">
        <f>IF(OR(E1336="",E1336="!!!"),"",IF(NOT(ISNA(VLOOKUP(E1336,E$1:E1335,1,FALSE()))),"OLD",IF(AND(E1336&lt;&gt;"",E1336&lt;&gt;"!!!"),"NEW","")))</f>
        <v> </v>
      </c>
      <c r="G1336" s="23" t="str">
        <f>IF(OR(E1336="",E1336="!!!"),"",IF(OR(J1336=0,AND(J1336=1,K1336=1),AND(J1336=1,I1336="SBJ"),AND(J1336=1,I1336=0)),"?IN_FOCUS",IF(J1336&lt;=2,"?ACTIVATED",IF(J1336&lt;&gt;"","?FAMILIAR",IF(F1336="NEW",IF(ISNA(VLOOKUP(E1336,#REF!,1,FALSE())),"?TYPE_IDENTIFIABLE","?REFERENTIAL"),"_")))))</f>
        <v> </v>
      </c>
      <c r="H1336" s="24" t="str">
        <f>IF(J1336&lt;&gt;1,"",IF(I1336="SBJ","CB","?"))</f>
        <v> </v>
      </c>
      <c r="I1336" s="25" t="str">
        <f>IF(OR(E1336="",E1336="!!!",F1336="NEW"),"",INDEX(B1335:B$2,-1+SUMPRODUCT(MAX(ROW(E1335:E$2)*(E1336=E1335:E$2)))))</f>
        <v> </v>
      </c>
      <c r="J1336" s="25" t="str">
        <f>IF(OR(E1336="",E1336="!!!",F1336="NEW"),"",COUNTBLANK(OFFSET(A$1,,,SUMPRODUCT(MAX(ROW(E$2:E1336)*(E1336=E$2:E1336)))))-COUNTBLANK(OFFSET(A$1,,,SUMPRODUCT(MAX(ROW(E$1:E1335)*(E2=E$1:E1335))))))</f>
        <v> </v>
      </c>
      <c r="K1336" s="25" t="str">
        <f>IF(OR(E1336="",E1336="!!!",F1336="NEW"),"",INDEX(J$1:J1335,SUMPRODUCT(MAX(ROW(E$1:E1335)*(E1336=E$1:E1335)))))</f>
        <v> </v>
      </c>
      <c r="L1336" s="26"/>
    </row>
    <row r="1337" spans="1:12">
      <c r="A1337" s="20" t="s">
        <v>394</v>
      </c>
      <c r="E1337" s="21">
        <f>IF(D1337="?OLD","!!!","")</f>
        <v/>
      </c>
      <c r="F1337" s="22" t="str">
        <f>IF(OR(E1337="",E1337="!!!"),"",IF(NOT(ISNA(VLOOKUP(E1337,E$1:E1336,1,FALSE()))),"OLD",IF(AND(E1337&lt;&gt;"",E1337&lt;&gt;"!!!"),"NEW","")))</f>
        <v> </v>
      </c>
      <c r="G1337" s="23" t="str">
        <f>IF(OR(E1337="",E1337="!!!"),"",IF(OR(J1337=0,AND(J1337=1,K1337=1),AND(J1337=1,I1337="SBJ"),AND(J1337=1,I1337=0)),"?IN_FOCUS",IF(J1337&lt;=2,"?ACTIVATED",IF(J1337&lt;&gt;"","?FAMILIAR",IF(F1337="NEW",IF(ISNA(VLOOKUP(E1337,#REF!,1,FALSE())),"?TYPE_IDENTIFIABLE","?REFERENTIAL"),"_")))))</f>
        <v> </v>
      </c>
      <c r="H1337" s="24" t="str">
        <f>IF(J1337&lt;&gt;1,"",IF(I1337="SBJ","CB","?"))</f>
        <v> </v>
      </c>
      <c r="I1337" s="25" t="str">
        <f>IF(OR(E1337="",E1337="!!!",F1337="NEW"),"",INDEX(B1336:B$2,-1+SUMPRODUCT(MAX(ROW(E1336:E$2)*(E1337=E1336:E$2)))))</f>
        <v> </v>
      </c>
      <c r="J1337" s="25" t="str">
        <f>IF(OR(E1337="",E1337="!!!",F1337="NEW"),"",COUNTBLANK(OFFSET(A$1,,,SUMPRODUCT(MAX(ROW(E$2:E1337)*(E1337=E$2:E1337)))))-COUNTBLANK(OFFSET(A$1,,,SUMPRODUCT(MAX(ROW(E$1:E1336)*(E2=E$1:E1336))))))</f>
        <v> </v>
      </c>
      <c r="K1337" s="25" t="str">
        <f>IF(OR(E1337="",E1337="!!!",F1337="NEW"),"",INDEX(J$1:J1336,SUMPRODUCT(MAX(ROW(E$1:E1336)*(E1337=E$1:E1336)))))</f>
        <v> </v>
      </c>
      <c r="L1337" s="26"/>
    </row>
    <row r="1338" spans="1:12">
      <c r="A1338" s="20"/>
    </row>
    <row r="1339" spans="1:12">
      <c r="A1339" s="20" t="s">
        <v>855</v>
      </c>
    </row>
    <row r="1340" spans="1:12">
      <c r="A1340" s="20" t="s">
        <v>636</v>
      </c>
      <c r="B1340" s="27" t="s">
        <v>376</v>
      </c>
      <c r="C1340" s="27" t="s">
        <v>429</v>
      </c>
      <c r="D1340" s="27" t="s">
        <v>378</v>
      </c>
      <c r="E1340" s="21">
        <f>IF(D1340="?OLD","!!!","")</f>
        <v/>
      </c>
      <c r="F1340" s="22" t="str">
        <f>IF(OR(E1340="",E1340="!!!"),"",IF(NOT(ISNA(VLOOKUP(E1340,E$1:E1339,1,FALSE()))),"OLD",IF(AND(E1340&lt;&gt;"",E1340&lt;&gt;"!!!"),"NEW","")))</f>
        <v> </v>
      </c>
      <c r="G1340" s="23" t="str">
        <f>IF(OR(E1340="",E1340="!!!"),"",IF(OR(J1340=0,AND(J1340=1,K1340=1),AND(J1340=1,I1340="SBJ"),AND(J1340=1,I1340=0)),"?IN_FOCUS",IF(J1340&lt;=2,"?ACTIVATED",IF(J1340&lt;&gt;"","?FAMILIAR",IF(F1340="NEW",IF(ISNA(VLOOKUP(E1340,#REF!,1,FALSE())),"?TYPE_IDENTIFIABLE","?REFERENTIAL"),"_")))))</f>
        <v> </v>
      </c>
      <c r="H1340" s="24" t="str">
        <f>IF(J1340&lt;&gt;1,"",IF(I1340="SBJ","CB","?"))</f>
        <v> </v>
      </c>
      <c r="I1340" s="25" t="str">
        <f>IF(OR(E1340="",E1340="!!!",F1340="NEW"),"",INDEX(B1339:B$2,-1+SUMPRODUCT(MAX(ROW(E1339:E$2)*(E1340=E1339:E$2)))))</f>
        <v> </v>
      </c>
      <c r="J1340" s="25" t="str">
        <f>IF(OR(E1340="",E1340="!!!",F1340="NEW"),"",COUNTBLANK(OFFSET(A$1,,,SUMPRODUCT(MAX(ROW(E$2:E1340)*(E1340=E$2:E1340)))))-COUNTBLANK(OFFSET(A$1,,,SUMPRODUCT(MAX(ROW(E$1:E1339)*(E2=E$1:E1339))))))</f>
        <v> </v>
      </c>
      <c r="K1340" s="25" t="str">
        <f>IF(OR(E1340="",E1340="!!!",F1340="NEW"),"",INDEX(J$1:J1339,SUMPRODUCT(MAX(ROW(E$1:E1339)*(E1340=E$1:E1339)))))</f>
        <v> </v>
      </c>
      <c r="L1340" s="26"/>
    </row>
    <row r="1341" spans="1:12">
      <c r="A1341" s="20" t="s">
        <v>399</v>
      </c>
      <c r="E1341" s="21">
        <f>IF(D1341="?OLD","!!!","")</f>
        <v/>
      </c>
      <c r="F1341" s="22" t="str">
        <f>IF(OR(E1341="",E1341="!!!"),"",IF(NOT(ISNA(VLOOKUP(E1341,E$1:E1340,1,FALSE()))),"OLD",IF(AND(E1341&lt;&gt;"",E1341&lt;&gt;"!!!"),"NEW","")))</f>
        <v> </v>
      </c>
      <c r="G1341" s="23" t="str">
        <f>IF(OR(E1341="",E1341="!!!"),"",IF(OR(J1341=0,AND(J1341=1,K1341=1),AND(J1341=1,I1341="SBJ"),AND(J1341=1,I1341=0)),"?IN_FOCUS",IF(J1341&lt;=2,"?ACTIVATED",IF(J1341&lt;&gt;"","?FAMILIAR",IF(F1341="NEW",IF(ISNA(VLOOKUP(E1341,#REF!,1,FALSE())),"?TYPE_IDENTIFIABLE","?REFERENTIAL"),"_")))))</f>
        <v> </v>
      </c>
      <c r="H1341" s="24" t="str">
        <f>IF(J1341&lt;&gt;1,"",IF(I1341="SBJ","CB","?"))</f>
        <v> </v>
      </c>
      <c r="I1341" s="25" t="str">
        <f>IF(OR(E1341="",E1341="!!!",F1341="NEW"),"",INDEX(B1340:B$2,-1+SUMPRODUCT(MAX(ROW(E1340:E$2)*(E1341=E1340:E$2)))))</f>
        <v> </v>
      </c>
      <c r="J1341" s="25" t="str">
        <f>IF(OR(E1341="",E1341="!!!",F1341="NEW"),"",COUNTBLANK(OFFSET(A$1,,,SUMPRODUCT(MAX(ROW(E$2:E1341)*(E1341=E$2:E1341)))))-COUNTBLANK(OFFSET(A$1,,,SUMPRODUCT(MAX(ROW(E$1:E1340)*(E2=E$1:E1340))))))</f>
        <v> </v>
      </c>
      <c r="K1341" s="25" t="str">
        <f>IF(OR(E1341="",E1341="!!!",F1341="NEW"),"",INDEX(J$1:J1340,SUMPRODUCT(MAX(ROW(E$1:E1340)*(E1341=E$1:E1340)))))</f>
        <v> </v>
      </c>
      <c r="L1341" s="26"/>
    </row>
    <row r="1342" spans="1:12">
      <c r="A1342" s="20" t="s">
        <v>384</v>
      </c>
      <c r="E1342" s="21">
        <f>IF(D1342="?OLD","!!!","")</f>
        <v/>
      </c>
      <c r="F1342" s="22" t="str">
        <f>IF(OR(E1342="",E1342="!!!"),"",IF(NOT(ISNA(VLOOKUP(E1342,E$1:E1341,1,FALSE()))),"OLD",IF(AND(E1342&lt;&gt;"",E1342&lt;&gt;"!!!"),"NEW","")))</f>
        <v> </v>
      </c>
      <c r="G1342" s="23" t="str">
        <f>IF(OR(E1342="",E1342="!!!"),"",IF(OR(J1342=0,AND(J1342=1,K1342=1),AND(J1342=1,I1342="SBJ"),AND(J1342=1,I1342=0)),"?IN_FOCUS",IF(J1342&lt;=2,"?ACTIVATED",IF(J1342&lt;&gt;"","?FAMILIAR",IF(F1342="NEW",IF(ISNA(VLOOKUP(E1342,#REF!,1,FALSE())),"?TYPE_IDENTIFIABLE","?REFERENTIAL"),"_")))))</f>
        <v> </v>
      </c>
      <c r="H1342" s="24" t="str">
        <f>IF(J1342&lt;&gt;1,"",IF(I1342="SBJ","CB","?"))</f>
        <v> </v>
      </c>
      <c r="I1342" s="25" t="str">
        <f>IF(OR(E1342="",E1342="!!!",F1342="NEW"),"",INDEX(B1341:B$2,-1+SUMPRODUCT(MAX(ROW(E1341:E$2)*(E1342=E1341:E$2)))))</f>
        <v> </v>
      </c>
      <c r="J1342" s="25" t="str">
        <f>IF(OR(E1342="",E1342="!!!",F1342="NEW"),"",COUNTBLANK(OFFSET(A$1,,,SUMPRODUCT(MAX(ROW(E$2:E1342)*(E1342=E$2:E1342)))))-COUNTBLANK(OFFSET(A$1,,,SUMPRODUCT(MAX(ROW(E$1:E1341)*(E2=E$1:E1341))))))</f>
        <v> </v>
      </c>
      <c r="K1342" s="25" t="str">
        <f>IF(OR(E1342="",E1342="!!!",F1342="NEW"),"",INDEX(J$1:J1341,SUMPRODUCT(MAX(ROW(E$1:E1341)*(E1342=E$1:E1341)))))</f>
        <v> </v>
      </c>
      <c r="L1342" s="26"/>
    </row>
    <row r="1343" spans="1:12">
      <c r="A1343" s="20" t="s">
        <v>856</v>
      </c>
      <c r="B1343" s="27" t="s">
        <v>398</v>
      </c>
      <c r="C1343" s="27" t="s">
        <v>388</v>
      </c>
      <c r="E1343" s="21">
        <f>IF(D1343="?OLD","!!!","")</f>
        <v/>
      </c>
      <c r="F1343" s="22" t="str">
        <f>IF(OR(E1343="",E1343="!!!"),"",IF(NOT(ISNA(VLOOKUP(E1343,E$1:E1342,1,FALSE()))),"OLD",IF(AND(E1343&lt;&gt;"",E1343&lt;&gt;"!!!"),"NEW","")))</f>
        <v> </v>
      </c>
      <c r="G1343" s="23" t="str">
        <f>IF(OR(E1343="",E1343="!!!"),"",IF(OR(J1343=0,AND(J1343=1,K1343=1),AND(J1343=1,I1343="SBJ"),AND(J1343=1,I1343=0)),"?IN_FOCUS",IF(J1343&lt;=2,"?ACTIVATED",IF(J1343&lt;&gt;"","?FAMILIAR",IF(F1343="NEW",IF(ISNA(VLOOKUP(E1343,#REF!,1,FALSE())),"?TYPE_IDENTIFIABLE","?REFERENTIAL"),"_")))))</f>
        <v> </v>
      </c>
      <c r="H1343" s="24" t="str">
        <f>IF(J1343&lt;&gt;1,"",IF(I1343="SBJ","CB","?"))</f>
        <v> </v>
      </c>
      <c r="I1343" s="25" t="str">
        <f>IF(OR(E1343="",E1343="!!!",F1343="NEW"),"",INDEX(B1342:B$2,-1+SUMPRODUCT(MAX(ROW(E1342:E$2)*(E1343=E1342:E$2)))))</f>
        <v> </v>
      </c>
      <c r="J1343" s="25" t="str">
        <f>IF(OR(E1343="",E1343="!!!",F1343="NEW"),"",COUNTBLANK(OFFSET(A$1,,,SUMPRODUCT(MAX(ROW(E$2:E1343)*(E1343=E$2:E1343)))))-COUNTBLANK(OFFSET(A$1,,,SUMPRODUCT(MAX(ROW(E$1:E1342)*(E2=E$1:E1342))))))</f>
        <v> </v>
      </c>
      <c r="K1343" s="25" t="str">
        <f>IF(OR(E1343="",E1343="!!!",F1343="NEW"),"",INDEX(J$1:J1342,SUMPRODUCT(MAX(ROW(E$1:E1342)*(E1343=E$1:E1342)))))</f>
        <v> </v>
      </c>
      <c r="L1343" s="26"/>
    </row>
    <row r="1344" spans="1:12">
      <c r="A1344" s="20" t="s">
        <v>476</v>
      </c>
      <c r="B1344" s="27" t="s">
        <v>392</v>
      </c>
      <c r="E1344" s="21">
        <f>IF(D1344="?OLD","!!!","")</f>
        <v/>
      </c>
      <c r="F1344" s="22" t="str">
        <f>IF(OR(E1344="",E1344="!!!"),"",IF(NOT(ISNA(VLOOKUP(E1344,E$1:E1343,1,FALSE()))),"OLD",IF(AND(E1344&lt;&gt;"",E1344&lt;&gt;"!!!"),"NEW","")))</f>
        <v> </v>
      </c>
      <c r="G1344" s="23" t="str">
        <f>IF(OR(E1344="",E1344="!!!"),"",IF(OR(J1344=0,AND(J1344=1,K1344=1),AND(J1344=1,I1344="SBJ"),AND(J1344=1,I1344=0)),"?IN_FOCUS",IF(J1344&lt;=2,"?ACTIVATED",IF(J1344&lt;&gt;"","?FAMILIAR",IF(F1344="NEW",IF(ISNA(VLOOKUP(E1344,#REF!,1,FALSE())),"?TYPE_IDENTIFIABLE","?REFERENTIAL"),"_")))))</f>
        <v> </v>
      </c>
      <c r="H1344" s="24" t="str">
        <f>IF(J1344&lt;&gt;1,"",IF(I1344="SBJ","CB","?"))</f>
        <v> </v>
      </c>
      <c r="I1344" s="25" t="str">
        <f>IF(OR(E1344="",E1344="!!!",F1344="NEW"),"",INDEX(B1343:B$2,-1+SUMPRODUCT(MAX(ROW(E1343:E$2)*(E1344=E1343:E$2)))))</f>
        <v> </v>
      </c>
      <c r="J1344" s="25" t="str">
        <f>IF(OR(E1344="",E1344="!!!",F1344="NEW"),"",COUNTBLANK(OFFSET(A$1,,,SUMPRODUCT(MAX(ROW(E$2:E1344)*(E1344=E$2:E1344)))))-COUNTBLANK(OFFSET(A$1,,,SUMPRODUCT(MAX(ROW(E$1:E1343)*(E2=E$1:E1343))))))</f>
        <v> </v>
      </c>
      <c r="K1344" s="25" t="str">
        <f>IF(OR(E1344="",E1344="!!!",F1344="NEW"),"",INDEX(J$1:J1343,SUMPRODUCT(MAX(ROW(E$1:E1343)*(E1344=E$1:E1343)))))</f>
        <v> </v>
      </c>
      <c r="L1344" s="26"/>
    </row>
    <row r="1345" spans="1:12">
      <c r="A1345" s="20" t="s">
        <v>491</v>
      </c>
      <c r="B1345" s="27" t="s">
        <v>387</v>
      </c>
      <c r="C1345" s="27" t="s">
        <v>429</v>
      </c>
      <c r="D1345" s="27" t="s">
        <v>378</v>
      </c>
      <c r="E1345" s="21">
        <f>IF(D1345="?OLD","!!!","")</f>
        <v/>
      </c>
      <c r="F1345" s="22" t="str">
        <f>IF(OR(E1345="",E1345="!!!"),"",IF(NOT(ISNA(VLOOKUP(E1345,E$1:E1344,1,FALSE()))),"OLD",IF(AND(E1345&lt;&gt;"",E1345&lt;&gt;"!!!"),"NEW","")))</f>
        <v> </v>
      </c>
      <c r="G1345" s="23" t="str">
        <f>IF(OR(E1345="",E1345="!!!"),"",IF(OR(J1345=0,AND(J1345=1,K1345=1),AND(J1345=1,I1345="SBJ"),AND(J1345=1,I1345=0)),"?IN_FOCUS",IF(J1345&lt;=2,"?ACTIVATED",IF(J1345&lt;&gt;"","?FAMILIAR",IF(F1345="NEW",IF(ISNA(VLOOKUP(E1345,#REF!,1,FALSE())),"?TYPE_IDENTIFIABLE","?REFERENTIAL"),"_")))))</f>
        <v> </v>
      </c>
      <c r="H1345" s="24" t="str">
        <f>IF(J1345&lt;&gt;1,"",IF(I1345="SBJ","CB","?"))</f>
        <v> </v>
      </c>
      <c r="I1345" s="25" t="str">
        <f>IF(OR(E1345="",E1345="!!!",F1345="NEW"),"",INDEX(B1344:B$2,-1+SUMPRODUCT(MAX(ROW(E1344:E$2)*(E1345=E1344:E$2)))))</f>
        <v> </v>
      </c>
      <c r="J1345" s="25" t="str">
        <f>IF(OR(E1345="",E1345="!!!",F1345="NEW"),"",COUNTBLANK(OFFSET(A$1,,,SUMPRODUCT(MAX(ROW(E$2:E1345)*(E1345=E$2:E1345)))))-COUNTBLANK(OFFSET(A$1,,,SUMPRODUCT(MAX(ROW(E$1:E1344)*(E2=E$1:E1344))))))</f>
        <v> </v>
      </c>
      <c r="K1345" s="25" t="str">
        <f>IF(OR(E1345="",E1345="!!!",F1345="NEW"),"",INDEX(J$1:J1344,SUMPRODUCT(MAX(ROW(E$1:E1344)*(E1345=E$1:E1344)))))</f>
        <v> </v>
      </c>
      <c r="L1345" s="26"/>
    </row>
    <row r="1346" spans="1:12">
      <c r="A1346" s="20" t="s">
        <v>730</v>
      </c>
      <c r="E1346" s="21">
        <f>IF(D1346="?OLD","!!!","")</f>
        <v/>
      </c>
      <c r="F1346" s="22" t="str">
        <f>IF(OR(E1346="",E1346="!!!"),"",IF(NOT(ISNA(VLOOKUP(E1346,E$1:E1345,1,FALSE()))),"OLD",IF(AND(E1346&lt;&gt;"",E1346&lt;&gt;"!!!"),"NEW","")))</f>
        <v> </v>
      </c>
      <c r="G1346" s="23" t="str">
        <f>IF(OR(E1346="",E1346="!!!"),"",IF(OR(J1346=0,AND(J1346=1,K1346=1),AND(J1346=1,I1346="SBJ"),AND(J1346=1,I1346=0)),"?IN_FOCUS",IF(J1346&lt;=2,"?ACTIVATED",IF(J1346&lt;&gt;"","?FAMILIAR",IF(F1346="NEW",IF(ISNA(VLOOKUP(E1346,#REF!,1,FALSE())),"?TYPE_IDENTIFIABLE","?REFERENTIAL"),"_")))))</f>
        <v> </v>
      </c>
      <c r="H1346" s="24" t="str">
        <f>IF(J1346&lt;&gt;1,"",IF(I1346="SBJ","CB","?"))</f>
        <v> </v>
      </c>
      <c r="I1346" s="25" t="str">
        <f>IF(OR(E1346="",E1346="!!!",F1346="NEW"),"",INDEX(B1345:B$2,-1+SUMPRODUCT(MAX(ROW(E1345:E$2)*(E1346=E1345:E$2)))))</f>
        <v> </v>
      </c>
      <c r="J1346" s="25" t="str">
        <f>IF(OR(E1346="",E1346="!!!",F1346="NEW"),"",COUNTBLANK(OFFSET(A$1,,,SUMPRODUCT(MAX(ROW(E$2:E1346)*(E1346=E$2:E1346)))))-COUNTBLANK(OFFSET(A$1,,,SUMPRODUCT(MAX(ROW(E$1:E1345)*(E2=E$1:E1345))))))</f>
        <v> </v>
      </c>
      <c r="K1346" s="25" t="str">
        <f>IF(OR(E1346="",E1346="!!!",F1346="NEW"),"",INDEX(J$1:J1345,SUMPRODUCT(MAX(ROW(E$1:E1345)*(E1346=E$1:E1345)))))</f>
        <v> </v>
      </c>
      <c r="L1346" s="26"/>
    </row>
    <row r="1347" spans="1:12">
      <c r="A1347" s="20" t="s">
        <v>508</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t="s">
        <v>374</v>
      </c>
      <c r="E1348" s="21">
        <f>IF(D1348="?OLD","!!!","")</f>
        <v/>
      </c>
      <c r="F1348" s="22" t="str">
        <f>IF(OR(E1348="",E1348="!!!"),"",IF(NOT(ISNA(VLOOKUP(E1348,E$1:E1347,1,FALSE()))),"OLD",IF(AND(E1348&lt;&gt;"",E1348&lt;&gt;"!!!"),"NEW","")))</f>
        <v> </v>
      </c>
      <c r="G1348" s="23" t="str">
        <f>IF(OR(E1348="",E1348="!!!"),"",IF(OR(J1348=0,AND(J1348=1,K1348=1),AND(J1348=1,I1348="SBJ"),AND(J1348=1,I1348=0)),"?IN_FOCUS",IF(J1348&lt;=2,"?ACTIVATED",IF(J1348&lt;&gt;"","?FAMILIAR",IF(F1348="NEW",IF(ISNA(VLOOKUP(E1348,#REF!,1,FALSE())),"?TYPE_IDENTIFIABLE","?REFERENTIAL"),"_")))))</f>
        <v> </v>
      </c>
      <c r="H1348" s="24" t="str">
        <f>IF(J1348&lt;&gt;1,"",IF(I1348="SBJ","CB","?"))</f>
        <v> </v>
      </c>
      <c r="I1348" s="25" t="str">
        <f>IF(OR(E1348="",E1348="!!!",F1348="NEW"),"",INDEX(B1347:B$2,-1+SUMPRODUCT(MAX(ROW(E1347:E$2)*(E1348=E1347:E$2)))))</f>
        <v> </v>
      </c>
      <c r="J1348" s="25" t="str">
        <f>IF(OR(E1348="",E1348="!!!",F1348="NEW"),"",COUNTBLANK(OFFSET(A$1,,,SUMPRODUCT(MAX(ROW(E$2:E1348)*(E1348=E$2:E1348)))))-COUNTBLANK(OFFSET(A$1,,,SUMPRODUCT(MAX(ROW(E$1:E1347)*(E2=E$1:E1347))))))</f>
        <v> </v>
      </c>
      <c r="K1348" s="25" t="str">
        <f>IF(OR(E1348="",E1348="!!!",F1348="NEW"),"",INDEX(J$1:J1347,SUMPRODUCT(MAX(ROW(E$1:E1347)*(E1348=E$1:E1347)))))</f>
        <v> </v>
      </c>
      <c r="L1348" s="26"/>
    </row>
    <row r="1349" spans="1:12">
      <c r="A1349" s="20" t="s">
        <v>676</v>
      </c>
      <c r="E1349" s="21">
        <f>IF(D1349="?OLD","!!!","")</f>
        <v/>
      </c>
      <c r="F1349" s="22" t="str">
        <f>IF(OR(E1349="",E1349="!!!"),"",IF(NOT(ISNA(VLOOKUP(E1349,E$1:E1348,1,FALSE()))),"OLD",IF(AND(E1349&lt;&gt;"",E1349&lt;&gt;"!!!"),"NEW","")))</f>
        <v> </v>
      </c>
      <c r="G1349" s="23" t="str">
        <f>IF(OR(E1349="",E1349="!!!"),"",IF(OR(J1349=0,AND(J1349=1,K1349=1),AND(J1349=1,I1349="SBJ"),AND(J1349=1,I1349=0)),"?IN_FOCUS",IF(J1349&lt;=2,"?ACTIVATED",IF(J1349&lt;&gt;"","?FAMILIAR",IF(F1349="NEW",IF(ISNA(VLOOKUP(E1349,#REF!,1,FALSE())),"?TYPE_IDENTIFIABLE","?REFERENTIAL"),"_")))))</f>
        <v> </v>
      </c>
      <c r="H1349" s="24" t="str">
        <f>IF(J1349&lt;&gt;1,"",IF(I1349="SBJ","CB","?"))</f>
        <v> </v>
      </c>
      <c r="I1349" s="25" t="str">
        <f>IF(OR(E1349="",E1349="!!!",F1349="NEW"),"",INDEX(B1348:B$2,-1+SUMPRODUCT(MAX(ROW(E1348:E$2)*(E1349=E1348:E$2)))))</f>
        <v> </v>
      </c>
      <c r="J1349" s="25" t="str">
        <f>IF(OR(E1349="",E1349="!!!",F1349="NEW"),"",COUNTBLANK(OFFSET(A$1,,,SUMPRODUCT(MAX(ROW(E$2:E1349)*(E1349=E$2:E1349)))))-COUNTBLANK(OFFSET(A$1,,,SUMPRODUCT(MAX(ROW(E$1:E1348)*(E2=E$1:E1348))))))</f>
        <v> </v>
      </c>
      <c r="K1349" s="25" t="str">
        <f>IF(OR(E1349="",E1349="!!!",F1349="NEW"),"",INDEX(J$1:J1348,SUMPRODUCT(MAX(ROW(E$1:E1348)*(E1349=E$1:E1348)))))</f>
        <v> </v>
      </c>
      <c r="L1349" s="26"/>
    </row>
    <row r="1350" spans="1:12">
      <c r="A1350" s="20" t="s">
        <v>406</v>
      </c>
      <c r="E1350" s="21">
        <f>IF(D1350="?OLD","!!!","")</f>
        <v/>
      </c>
      <c r="F1350" s="22" t="str">
        <f>IF(OR(E1350="",E1350="!!!"),"",IF(NOT(ISNA(VLOOKUP(E1350,E$1:E1349,1,FALSE()))),"OLD",IF(AND(E1350&lt;&gt;"",E1350&lt;&gt;"!!!"),"NEW","")))</f>
        <v> </v>
      </c>
      <c r="G1350" s="23" t="str">
        <f>IF(OR(E1350="",E1350="!!!"),"",IF(OR(J1350=0,AND(J1350=1,K1350=1),AND(J1350=1,I1350="SBJ"),AND(J1350=1,I1350=0)),"?IN_FOCUS",IF(J1350&lt;=2,"?ACTIVATED",IF(J1350&lt;&gt;"","?FAMILIAR",IF(F1350="NEW",IF(ISNA(VLOOKUP(E1350,#REF!,1,FALSE())),"?TYPE_IDENTIFIABLE","?REFERENTIAL"),"_")))))</f>
        <v> </v>
      </c>
      <c r="H1350" s="24" t="str">
        <f>IF(J1350&lt;&gt;1,"",IF(I1350="SBJ","CB","?"))</f>
        <v> </v>
      </c>
      <c r="I1350" s="25" t="str">
        <f>IF(OR(E1350="",E1350="!!!",F1350="NEW"),"",INDEX(B1349:B$2,-1+SUMPRODUCT(MAX(ROW(E1349:E$2)*(E1350=E1349:E$2)))))</f>
        <v> </v>
      </c>
      <c r="J1350" s="25" t="str">
        <f>IF(OR(E1350="",E1350="!!!",F1350="NEW"),"",COUNTBLANK(OFFSET(A$1,,,SUMPRODUCT(MAX(ROW(E$2:E1350)*(E1350=E$2:E1350)))))-COUNTBLANK(OFFSET(A$1,,,SUMPRODUCT(MAX(ROW(E$1:E1349)*(E2=E$1:E1349))))))</f>
        <v> </v>
      </c>
      <c r="K1350" s="25" t="str">
        <f>IF(OR(E1350="",E1350="!!!",F1350="NEW"),"",INDEX(J$1:J1349,SUMPRODUCT(MAX(ROW(E$1:E1349)*(E1350=E$1:E1349)))))</f>
        <v> </v>
      </c>
      <c r="L1350" s="26"/>
    </row>
    <row r="1351" spans="1:12">
      <c r="A1351" s="20" t="s">
        <v>407</v>
      </c>
      <c r="E1351" s="21">
        <f>IF(D1351="?OLD","!!!","")</f>
        <v/>
      </c>
      <c r="F1351" s="22" t="str">
        <f>IF(OR(E1351="",E1351="!!!"),"",IF(NOT(ISNA(VLOOKUP(E1351,E$1:E1350,1,FALSE()))),"OLD",IF(AND(E1351&lt;&gt;"",E1351&lt;&gt;"!!!"),"NEW","")))</f>
        <v> </v>
      </c>
      <c r="G1351" s="23" t="str">
        <f>IF(OR(E1351="",E1351="!!!"),"",IF(OR(J1351=0,AND(J1351=1,K1351=1),AND(J1351=1,I1351="SBJ"),AND(J1351=1,I1351=0)),"?IN_FOCUS",IF(J1351&lt;=2,"?ACTIVATED",IF(J1351&lt;&gt;"","?FAMILIAR",IF(F1351="NEW",IF(ISNA(VLOOKUP(E1351,#REF!,1,FALSE())),"?TYPE_IDENTIFIABLE","?REFERENTIAL"),"_")))))</f>
        <v> </v>
      </c>
      <c r="H1351" s="24" t="str">
        <f>IF(J1351&lt;&gt;1,"",IF(I1351="SBJ","CB","?"))</f>
        <v> </v>
      </c>
      <c r="I1351" s="25" t="str">
        <f>IF(OR(E1351="",E1351="!!!",F1351="NEW"),"",INDEX(B1350:B$2,-1+SUMPRODUCT(MAX(ROW(E1350:E$2)*(E1351=E1350:E$2)))))</f>
        <v> </v>
      </c>
      <c r="J1351" s="25" t="str">
        <f>IF(OR(E1351="",E1351="!!!",F1351="NEW"),"",COUNTBLANK(OFFSET(A$1,,,SUMPRODUCT(MAX(ROW(E$2:E1351)*(E1351=E$2:E1351)))))-COUNTBLANK(OFFSET(A$1,,,SUMPRODUCT(MAX(ROW(E$1:E1350)*(E2=E$1:E1350))))))</f>
        <v> </v>
      </c>
      <c r="K1351" s="25" t="str">
        <f>IF(OR(E1351="",E1351="!!!",F1351="NEW"),"",INDEX(J$1:J1350,SUMPRODUCT(MAX(ROW(E$1:E1350)*(E1351=E$1:E1350)))))</f>
        <v> </v>
      </c>
      <c r="L1351" s="26"/>
    </row>
    <row r="1352" spans="1:12">
      <c r="A1352" s="20" t="s">
        <v>390</v>
      </c>
      <c r="E1352" s="21">
        <f>IF(D1352="?OLD","!!!","")</f>
        <v/>
      </c>
      <c r="F1352" s="22" t="str">
        <f>IF(OR(E1352="",E1352="!!!"),"",IF(NOT(ISNA(VLOOKUP(E1352,E$1:E1351,1,FALSE()))),"OLD",IF(AND(E1352&lt;&gt;"",E1352&lt;&gt;"!!!"),"NEW","")))</f>
        <v> </v>
      </c>
      <c r="G1352" s="23" t="str">
        <f>IF(OR(E1352="",E1352="!!!"),"",IF(OR(J1352=0,AND(J1352=1,K1352=1),AND(J1352=1,I1352="SBJ"),AND(J1352=1,I1352=0)),"?IN_FOCUS",IF(J1352&lt;=2,"?ACTIVATED",IF(J1352&lt;&gt;"","?FAMILIAR",IF(F1352="NEW",IF(ISNA(VLOOKUP(E1352,#REF!,1,FALSE())),"?TYPE_IDENTIFIABLE","?REFERENTIAL"),"_")))))</f>
        <v> </v>
      </c>
      <c r="H1352" s="24" t="str">
        <f>IF(J1352&lt;&gt;1,"",IF(I1352="SBJ","CB","?"))</f>
        <v> </v>
      </c>
      <c r="I1352" s="25" t="str">
        <f>IF(OR(E1352="",E1352="!!!",F1352="NEW"),"",INDEX(B1351:B$2,-1+SUMPRODUCT(MAX(ROW(E1351:E$2)*(E1352=E1351:E$2)))))</f>
        <v> </v>
      </c>
      <c r="J1352" s="25" t="str">
        <f>IF(OR(E1352="",E1352="!!!",F1352="NEW"),"",COUNTBLANK(OFFSET(A$1,,,SUMPRODUCT(MAX(ROW(E$2:E1352)*(E1352=E$2:E1352)))))-COUNTBLANK(OFFSET(A$1,,,SUMPRODUCT(MAX(ROW(E$1:E1351)*(E2=E$1:E1351))))))</f>
        <v> </v>
      </c>
      <c r="K1352" s="25" t="str">
        <f>IF(OR(E1352="",E1352="!!!",F1352="NEW"),"",INDEX(J$1:J1351,SUMPRODUCT(MAX(ROW(E$1:E1351)*(E1352=E$1:E1351)))))</f>
        <v> </v>
      </c>
      <c r="L1352" s="26"/>
    </row>
    <row r="1353" spans="1:12">
      <c r="A1353" s="20" t="s">
        <v>857</v>
      </c>
      <c r="B1353" s="27" t="s">
        <v>411</v>
      </c>
      <c r="C1353" s="27" t="s">
        <v>393</v>
      </c>
      <c r="D1353" s="27" t="s">
        <v>378</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394</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row>
    <row r="1356" spans="1:12">
      <c r="A1356" s="20" t="s">
        <v>858</v>
      </c>
    </row>
    <row r="1357" spans="1:12">
      <c r="A1357" s="20" t="s">
        <v>859</v>
      </c>
      <c r="E1357" s="21">
        <f>IF(D1357="?OLD","!!!","")</f>
        <v/>
      </c>
      <c r="F1357" s="22" t="str">
        <f>IF(OR(E1357="",E1357="!!!"),"",IF(NOT(ISNA(VLOOKUP(E1357,E$1:E1356,1,FALSE()))),"OLD",IF(AND(E1357&lt;&gt;"",E1357&lt;&gt;"!!!"),"NEW","")))</f>
        <v> </v>
      </c>
      <c r="G1357" s="23" t="str">
        <f>IF(OR(E1357="",E1357="!!!"),"",IF(OR(J1357=0,AND(J1357=1,K1357=1),AND(J1357=1,I1357="SBJ"),AND(J1357=1,I1357=0)),"?IN_FOCUS",IF(J1357&lt;=2,"?ACTIVATED",IF(J1357&lt;&gt;"","?FAMILIAR",IF(F1357="NEW",IF(ISNA(VLOOKUP(E1357,#REF!,1,FALSE())),"?TYPE_IDENTIFIABLE","?REFERENTIAL"),"_")))))</f>
        <v> </v>
      </c>
      <c r="H1357" s="24" t="str">
        <f>IF(J1357&lt;&gt;1,"",IF(I1357="SBJ","CB","?"))</f>
        <v> </v>
      </c>
      <c r="I1357" s="25" t="str">
        <f>IF(OR(E1357="",E1357="!!!",F1357="NEW"),"",INDEX(B1356:B$2,-1+SUMPRODUCT(MAX(ROW(E1356:E$2)*(E1357=E1356:E$2)))))</f>
        <v> </v>
      </c>
      <c r="J1357" s="25" t="str">
        <f>IF(OR(E1357="",E1357="!!!",F1357="NEW"),"",COUNTBLANK(OFFSET(A$1,,,SUMPRODUCT(MAX(ROW(E$2:E1357)*(E1357=E$2:E1357)))))-COUNTBLANK(OFFSET(A$1,,,SUMPRODUCT(MAX(ROW(E$1:E1356)*(E2=E$1:E1356))))))</f>
        <v> </v>
      </c>
      <c r="K1357" s="25" t="str">
        <f>IF(OR(E1357="",E1357="!!!",F1357="NEW"),"",INDEX(J$1:J1356,SUMPRODUCT(MAX(ROW(E$1:E1356)*(E1357=E$1:E1356)))))</f>
        <v> </v>
      </c>
      <c r="L1357" s="26"/>
    </row>
    <row r="1358" spans="1:12">
      <c r="A1358" s="20" t="s">
        <v>399</v>
      </c>
      <c r="E1358" s="21">
        <f>IF(D1358="?OLD","!!!","")</f>
        <v/>
      </c>
      <c r="F1358" s="22" t="str">
        <f>IF(OR(E1358="",E1358="!!!"),"",IF(NOT(ISNA(VLOOKUP(E1358,E$1:E1357,1,FALSE()))),"OLD",IF(AND(E1358&lt;&gt;"",E1358&lt;&gt;"!!!"),"NEW","")))</f>
        <v> </v>
      </c>
      <c r="G1358" s="23" t="str">
        <f>IF(OR(E1358="",E1358="!!!"),"",IF(OR(J1358=0,AND(J1358=1,K1358=1),AND(J1358=1,I1358="SBJ"),AND(J1358=1,I1358=0)),"?IN_FOCUS",IF(J1358&lt;=2,"?ACTIVATED",IF(J1358&lt;&gt;"","?FAMILIAR",IF(F1358="NEW",IF(ISNA(VLOOKUP(E1358,#REF!,1,FALSE())),"?TYPE_IDENTIFIABLE","?REFERENTIAL"),"_")))))</f>
        <v> </v>
      </c>
      <c r="H1358" s="24" t="str">
        <f>IF(J1358&lt;&gt;1,"",IF(I1358="SBJ","CB","?"))</f>
        <v> </v>
      </c>
      <c r="I1358" s="25" t="str">
        <f>IF(OR(E1358="",E1358="!!!",F1358="NEW"),"",INDEX(B1357:B$2,-1+SUMPRODUCT(MAX(ROW(E1357:E$2)*(E1358=E1357:E$2)))))</f>
        <v> </v>
      </c>
      <c r="J1358" s="25" t="str">
        <f>IF(OR(E1358="",E1358="!!!",F1358="NEW"),"",COUNTBLANK(OFFSET(A$1,,,SUMPRODUCT(MAX(ROW(E$2:E1358)*(E1358=E$2:E1358)))))-COUNTBLANK(OFFSET(A$1,,,SUMPRODUCT(MAX(ROW(E$1:E1357)*(E2=E$1:E1357))))))</f>
        <v> </v>
      </c>
      <c r="K1358" s="25" t="str">
        <f>IF(OR(E1358="",E1358="!!!",F1358="NEW"),"",INDEX(J$1:J1357,SUMPRODUCT(MAX(ROW(E$1:E1357)*(E1358=E$1:E1357)))))</f>
        <v> </v>
      </c>
      <c r="L1358" s="26"/>
    </row>
    <row r="1359" spans="1:12">
      <c r="A1359" s="20" t="s">
        <v>860</v>
      </c>
      <c r="E1359" s="21">
        <f>IF(D1359="?OLD","!!!","")</f>
        <v/>
      </c>
      <c r="F1359" s="22" t="str">
        <f>IF(OR(E1359="",E1359="!!!"),"",IF(NOT(ISNA(VLOOKUP(E1359,E$1:E1358,1,FALSE()))),"OLD",IF(AND(E1359&lt;&gt;"",E1359&lt;&gt;"!!!"),"NEW","")))</f>
        <v> </v>
      </c>
      <c r="G1359" s="23" t="str">
        <f>IF(OR(E1359="",E1359="!!!"),"",IF(OR(J1359=0,AND(J1359=1,K1359=1),AND(J1359=1,I1359="SBJ"),AND(J1359=1,I1359=0)),"?IN_FOCUS",IF(J1359&lt;=2,"?ACTIVATED",IF(J1359&lt;&gt;"","?FAMILIAR",IF(F1359="NEW",IF(ISNA(VLOOKUP(E1359,#REF!,1,FALSE())),"?TYPE_IDENTIFIABLE","?REFERENTIAL"),"_")))))</f>
        <v> </v>
      </c>
      <c r="H1359" s="24" t="str">
        <f>IF(J1359&lt;&gt;1,"",IF(I1359="SBJ","CB","?"))</f>
        <v> </v>
      </c>
      <c r="I1359" s="25" t="str">
        <f>IF(OR(E1359="",E1359="!!!",F1359="NEW"),"",INDEX(B1358:B$2,-1+SUMPRODUCT(MAX(ROW(E1358:E$2)*(E1359=E1358:E$2)))))</f>
        <v> </v>
      </c>
      <c r="J1359" s="25" t="str">
        <f>IF(OR(E1359="",E1359="!!!",F1359="NEW"),"",COUNTBLANK(OFFSET(A$1,,,SUMPRODUCT(MAX(ROW(E$2:E1359)*(E1359=E$2:E1359)))))-COUNTBLANK(OFFSET(A$1,,,SUMPRODUCT(MAX(ROW(E$1:E1358)*(E2=E$1:E1358))))))</f>
        <v> </v>
      </c>
      <c r="K1359" s="25" t="str">
        <f>IF(OR(E1359="",E1359="!!!",F1359="NEW"),"",INDEX(J$1:J1358,SUMPRODUCT(MAX(ROW(E$1:E1358)*(E1359=E$1:E1358)))))</f>
        <v> </v>
      </c>
      <c r="L1359" s="26"/>
    </row>
    <row r="1360" spans="1:12">
      <c r="A1360" s="20" t="s">
        <v>12</v>
      </c>
      <c r="E1360" s="21">
        <f>IF(D1360="?OLD","!!!","")</f>
        <v/>
      </c>
      <c r="F1360" s="22" t="str">
        <f>IF(OR(E1360="",E1360="!!!"),"",IF(NOT(ISNA(VLOOKUP(E1360,E$1:E1359,1,FALSE()))),"OLD",IF(AND(E1360&lt;&gt;"",E1360&lt;&gt;"!!!"),"NEW","")))</f>
        <v> </v>
      </c>
      <c r="G1360" s="23" t="str">
        <f>IF(OR(E1360="",E1360="!!!"),"",IF(OR(J1360=0,AND(J1360=1,K1360=1),AND(J1360=1,I1360="SBJ"),AND(J1360=1,I1360=0)),"?IN_FOCUS",IF(J1360&lt;=2,"?ACTIVATED",IF(J1360&lt;&gt;"","?FAMILIAR",IF(F1360="NEW",IF(ISNA(VLOOKUP(E1360,#REF!,1,FALSE())),"?TYPE_IDENTIFIABLE","?REFERENTIAL"),"_")))))</f>
        <v> </v>
      </c>
      <c r="H1360" s="24" t="str">
        <f>IF(J1360&lt;&gt;1,"",IF(I1360="SBJ","CB","?"))</f>
        <v> </v>
      </c>
      <c r="I1360" s="25" t="str">
        <f>IF(OR(E1360="",E1360="!!!",F1360="NEW"),"",INDEX(B1359:B$2,-1+SUMPRODUCT(MAX(ROW(E1359:E$2)*(E1360=E1359:E$2)))))</f>
        <v> </v>
      </c>
      <c r="J1360" s="25" t="str">
        <f>IF(OR(E1360="",E1360="!!!",F1360="NEW"),"",COUNTBLANK(OFFSET(A$1,,,SUMPRODUCT(MAX(ROW(E$2:E1360)*(E1360=E$2:E1360)))))-COUNTBLANK(OFFSET(A$1,,,SUMPRODUCT(MAX(ROW(E$1:E1359)*(E2=E$1:E1359))))))</f>
        <v> </v>
      </c>
      <c r="K1360" s="25" t="str">
        <f>IF(OR(E1360="",E1360="!!!",F1360="NEW"),"",INDEX(J$1:J1359,SUMPRODUCT(MAX(ROW(E$1:E1359)*(E1360=E$1:E1359)))))</f>
        <v> </v>
      </c>
      <c r="L1360" s="26"/>
    </row>
    <row r="1361" spans="1:12">
      <c r="A1361" s="20" t="s">
        <v>496</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t="s">
        <v>12</v>
      </c>
      <c r="E1362" s="21">
        <f>IF(D1362="?OLD","!!!","")</f>
        <v/>
      </c>
      <c r="F1362" s="22" t="str">
        <f>IF(OR(E1362="",E1362="!!!"),"",IF(NOT(ISNA(VLOOKUP(E1362,E$1:E1361,1,FALSE()))),"OLD",IF(AND(E1362&lt;&gt;"",E1362&lt;&gt;"!!!"),"NEW","")))</f>
        <v> </v>
      </c>
      <c r="G1362" s="23" t="str">
        <f>IF(OR(E1362="",E1362="!!!"),"",IF(OR(J1362=0,AND(J1362=1,K1362=1),AND(J1362=1,I1362="SBJ"),AND(J1362=1,I1362=0)),"?IN_FOCUS",IF(J1362&lt;=2,"?ACTIVATED",IF(J1362&lt;&gt;"","?FAMILIAR",IF(F1362="NEW",IF(ISNA(VLOOKUP(E1362,#REF!,1,FALSE())),"?TYPE_IDENTIFIABLE","?REFERENTIAL"),"_")))))</f>
        <v> </v>
      </c>
      <c r="H1362" s="24" t="str">
        <f>IF(J1362&lt;&gt;1,"",IF(I1362="SBJ","CB","?"))</f>
        <v> </v>
      </c>
      <c r="I1362" s="25" t="str">
        <f>IF(OR(E1362="",E1362="!!!",F1362="NEW"),"",INDEX(B1361:B$2,-1+SUMPRODUCT(MAX(ROW(E1361:E$2)*(E1362=E1361:E$2)))))</f>
        <v> </v>
      </c>
      <c r="J1362" s="25" t="str">
        <f>IF(OR(E1362="",E1362="!!!",F1362="NEW"),"",COUNTBLANK(OFFSET(A$1,,,SUMPRODUCT(MAX(ROW(E$2:E1362)*(E1362=E$2:E1362)))))-COUNTBLANK(OFFSET(A$1,,,SUMPRODUCT(MAX(ROW(E$1:E1361)*(E2=E$1:E1361))))))</f>
        <v> </v>
      </c>
      <c r="K1362" s="25" t="str">
        <f>IF(OR(E1362="",E1362="!!!",F1362="NEW"),"",INDEX(J$1:J1361,SUMPRODUCT(MAX(ROW(E$1:E1361)*(E1362=E$1:E1361)))))</f>
        <v> </v>
      </c>
      <c r="L1362" s="26"/>
    </row>
    <row r="1363" spans="1:12">
      <c r="A1363" s="20" t="s">
        <v>860</v>
      </c>
      <c r="B1363" s="27" t="s">
        <v>414</v>
      </c>
      <c r="C1363" s="27" t="s">
        <v>371</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861</v>
      </c>
      <c r="B1364" s="27" t="s">
        <v>376</v>
      </c>
      <c r="C1364" s="27" t="s">
        <v>371</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t="s">
        <v>424</v>
      </c>
      <c r="E1365" s="21">
        <f>IF(D1365="?OLD","!!!","")</f>
        <v/>
      </c>
      <c r="F1365" s="22" t="str">
        <f>IF(OR(E1365="",E1365="!!!"),"",IF(NOT(ISNA(VLOOKUP(E1365,E$1:E1364,1,FALSE()))),"OLD",IF(AND(E1365&lt;&gt;"",E1365&lt;&gt;"!!!"),"NEW","")))</f>
        <v> </v>
      </c>
      <c r="G1365" s="23" t="str">
        <f>IF(OR(E1365="",E1365="!!!"),"",IF(OR(J1365=0,AND(J1365=1,K1365=1),AND(J1365=1,I1365="SBJ"),AND(J1365=1,I1365=0)),"?IN_FOCUS",IF(J1365&lt;=2,"?ACTIVATED",IF(J1365&lt;&gt;"","?FAMILIAR",IF(F1365="NEW",IF(ISNA(VLOOKUP(E1365,#REF!,1,FALSE())),"?TYPE_IDENTIFIABLE","?REFERENTIAL"),"_")))))</f>
        <v> </v>
      </c>
      <c r="H1365" s="24" t="str">
        <f>IF(J1365&lt;&gt;1,"",IF(I1365="SBJ","CB","?"))</f>
        <v> </v>
      </c>
      <c r="I1365" s="25" t="str">
        <f>IF(OR(E1365="",E1365="!!!",F1365="NEW"),"",INDEX(B1364:B$2,-1+SUMPRODUCT(MAX(ROW(E1364:E$2)*(E1365=E1364:E$2)))))</f>
        <v> </v>
      </c>
      <c r="J1365" s="25" t="str">
        <f>IF(OR(E1365="",E1365="!!!",F1365="NEW"),"",COUNTBLANK(OFFSET(A$1,,,SUMPRODUCT(MAX(ROW(E$2:E1365)*(E1365=E$2:E1365)))))-COUNTBLANK(OFFSET(A$1,,,SUMPRODUCT(MAX(ROW(E$1:E1364)*(E2=E$1:E1364))))))</f>
        <v> </v>
      </c>
      <c r="K1365" s="25" t="str">
        <f>IF(OR(E1365="",E1365="!!!",F1365="NEW"),"",INDEX(J$1:J1364,SUMPRODUCT(MAX(ROW(E$1:E1364)*(E1365=E$1:E1364)))))</f>
        <v> </v>
      </c>
      <c r="L1365" s="26"/>
    </row>
    <row r="1366" spans="1:12">
      <c r="A1366" s="20" t="s">
        <v>444</v>
      </c>
      <c r="B1366" s="27" t="s">
        <v>398</v>
      </c>
      <c r="C1366" s="27" t="s">
        <v>445</v>
      </c>
      <c r="D1366" s="27" t="s">
        <v>378</v>
      </c>
      <c r="E1366" s="21">
        <f>IF(D1366="?OLD","!!!","")</f>
        <v/>
      </c>
      <c r="F1366" s="22" t="str">
        <f>IF(OR(E1366="",E1366="!!!"),"",IF(NOT(ISNA(VLOOKUP(E1366,E$1:E1365,1,FALSE()))),"OLD",IF(AND(E1366&lt;&gt;"",E1366&lt;&gt;"!!!"),"NEW","")))</f>
        <v> </v>
      </c>
      <c r="G1366" s="23" t="str">
        <f>IF(OR(E1366="",E1366="!!!"),"",IF(OR(J1366=0,AND(J1366=1,K1366=1),AND(J1366=1,I1366="SBJ"),AND(J1366=1,I1366=0)),"?IN_FOCUS",IF(J1366&lt;=2,"?ACTIVATED",IF(J1366&lt;&gt;"","?FAMILIAR",IF(F1366="NEW",IF(ISNA(VLOOKUP(E1366,#REF!,1,FALSE())),"?TYPE_IDENTIFIABLE","?REFERENTIAL"),"_")))))</f>
        <v> </v>
      </c>
      <c r="H1366" s="24" t="str">
        <f>IF(J1366&lt;&gt;1,"",IF(I1366="SBJ","CB","?"))</f>
        <v> </v>
      </c>
      <c r="I1366" s="25" t="str">
        <f>IF(OR(E1366="",E1366="!!!",F1366="NEW"),"",INDEX(B1365:B$2,-1+SUMPRODUCT(MAX(ROW(E1365:E$2)*(E1366=E1365:E$2)))))</f>
        <v> </v>
      </c>
      <c r="J1366" s="25" t="str">
        <f>IF(OR(E1366="",E1366="!!!",F1366="NEW"),"",COUNTBLANK(OFFSET(A$1,,,SUMPRODUCT(MAX(ROW(E$2:E1366)*(E1366=E$2:E1366)))))-COUNTBLANK(OFFSET(A$1,,,SUMPRODUCT(MAX(ROW(E$1:E1365)*(E2=E$1:E1365))))))</f>
        <v> </v>
      </c>
      <c r="K1366" s="25" t="str">
        <f>IF(OR(E1366="",E1366="!!!",F1366="NEW"),"",INDEX(J$1:J1365,SUMPRODUCT(MAX(ROW(E$1:E1365)*(E1366=E$1:E1365)))))</f>
        <v> </v>
      </c>
      <c r="L1366" s="26"/>
    </row>
    <row r="1367" spans="1:12">
      <c r="A1367" s="20" t="s">
        <v>394</v>
      </c>
      <c r="E1367" s="21">
        <f>IF(D1367="?OLD","!!!","")</f>
        <v/>
      </c>
      <c r="F1367" s="22" t="str">
        <f>IF(OR(E1367="",E1367="!!!"),"",IF(NOT(ISNA(VLOOKUP(E1367,E$1:E1366,1,FALSE()))),"OLD",IF(AND(E1367&lt;&gt;"",E1367&lt;&gt;"!!!"),"NEW","")))</f>
        <v> </v>
      </c>
      <c r="G1367" s="23" t="str">
        <f>IF(OR(E1367="",E1367="!!!"),"",IF(OR(J1367=0,AND(J1367=1,K1367=1),AND(J1367=1,I1367="SBJ"),AND(J1367=1,I1367=0)),"?IN_FOCUS",IF(J1367&lt;=2,"?ACTIVATED",IF(J1367&lt;&gt;"","?FAMILIAR",IF(F1367="NEW",IF(ISNA(VLOOKUP(E1367,#REF!,1,FALSE())),"?TYPE_IDENTIFIABLE","?REFERENTIAL"),"_")))))</f>
        <v> </v>
      </c>
      <c r="H1367" s="24" t="str">
        <f>IF(J1367&lt;&gt;1,"",IF(I1367="SBJ","CB","?"))</f>
        <v> </v>
      </c>
      <c r="I1367" s="25" t="str">
        <f>IF(OR(E1367="",E1367="!!!",F1367="NEW"),"",INDEX(B1366:B$2,-1+SUMPRODUCT(MAX(ROW(E1366:E$2)*(E1367=E1366:E$2)))))</f>
        <v> </v>
      </c>
      <c r="J1367" s="25" t="str">
        <f>IF(OR(E1367="",E1367="!!!",F1367="NEW"),"",COUNTBLANK(OFFSET(A$1,,,SUMPRODUCT(MAX(ROW(E$2:E1367)*(E1367=E$2:E1367)))))-COUNTBLANK(OFFSET(A$1,,,SUMPRODUCT(MAX(ROW(E$1:E1366)*(E2=E$1:E1366))))))</f>
        <v> </v>
      </c>
      <c r="K1367" s="25" t="str">
        <f>IF(OR(E1367="",E1367="!!!",F1367="NEW"),"",INDEX(J$1:J1366,SUMPRODUCT(MAX(ROW(E$1:E1366)*(E1367=E$1:E1366)))))</f>
        <v> </v>
      </c>
      <c r="L1367" s="26"/>
    </row>
    <row r="1368" spans="1:12">
      <c r="A1368" s="20"/>
    </row>
    <row r="1369" spans="1:12">
      <c r="A1369" s="20" t="s">
        <v>862</v>
      </c>
    </row>
    <row r="1370" spans="1:12">
      <c r="A1370" s="20" t="s">
        <v>859</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t="s">
        <v>563</v>
      </c>
      <c r="E1371" s="21">
        <f>IF(D1371="?OLD","!!!","")</f>
        <v/>
      </c>
      <c r="F1371" s="22" t="str">
        <f>IF(OR(E1371="",E1371="!!!"),"",IF(NOT(ISNA(VLOOKUP(E1371,E$1:E1370,1,FALSE()))),"OLD",IF(AND(E1371&lt;&gt;"",E1371&lt;&gt;"!!!"),"NEW","")))</f>
        <v> </v>
      </c>
      <c r="G1371" s="23" t="str">
        <f>IF(OR(E1371="",E1371="!!!"),"",IF(OR(J1371=0,AND(J1371=1,K1371=1),AND(J1371=1,I1371="SBJ"),AND(J1371=1,I1371=0)),"?IN_FOCUS",IF(J1371&lt;=2,"?ACTIVATED",IF(J1371&lt;&gt;"","?FAMILIAR",IF(F1371="NEW",IF(ISNA(VLOOKUP(E1371,#REF!,1,FALSE())),"?TYPE_IDENTIFIABLE","?REFERENTIAL"),"_")))))</f>
        <v> </v>
      </c>
      <c r="H1371" s="24" t="str">
        <f>IF(J1371&lt;&gt;1,"",IF(I1371="SBJ","CB","?"))</f>
        <v> </v>
      </c>
      <c r="I1371" s="25" t="str">
        <f>IF(OR(E1371="",E1371="!!!",F1371="NEW"),"",INDEX(B1370:B$2,-1+SUMPRODUCT(MAX(ROW(E1370:E$2)*(E1371=E1370:E$2)))))</f>
        <v> </v>
      </c>
      <c r="J1371" s="25" t="str">
        <f>IF(OR(E1371="",E1371="!!!",F1371="NEW"),"",COUNTBLANK(OFFSET(A$1,,,SUMPRODUCT(MAX(ROW(E$2:E1371)*(E1371=E$2:E1371)))))-COUNTBLANK(OFFSET(A$1,,,SUMPRODUCT(MAX(ROW(E$1:E1370)*(E2=E$1:E1370))))))</f>
        <v> </v>
      </c>
      <c r="K1371" s="25" t="str">
        <f>IF(OR(E1371="",E1371="!!!",F1371="NEW"),"",INDEX(J$1:J1370,SUMPRODUCT(MAX(ROW(E$1:E1370)*(E1371=E$1:E1370)))))</f>
        <v> </v>
      </c>
      <c r="L1371" s="26"/>
    </row>
    <row r="1372" spans="1:12">
      <c r="A1372" s="20" t="s">
        <v>863</v>
      </c>
      <c r="E1372" s="21">
        <f>IF(D1372="?OLD","!!!","")</f>
        <v/>
      </c>
      <c r="F1372" s="22" t="str">
        <f>IF(OR(E1372="",E1372="!!!"),"",IF(NOT(ISNA(VLOOKUP(E1372,E$1:E1371,1,FALSE()))),"OLD",IF(AND(E1372&lt;&gt;"",E1372&lt;&gt;"!!!"),"NEW","")))</f>
        <v> </v>
      </c>
      <c r="G1372" s="23" t="str">
        <f>IF(OR(E1372="",E1372="!!!"),"",IF(OR(J1372=0,AND(J1372=1,K1372=1),AND(J1372=1,I1372="SBJ"),AND(J1372=1,I1372=0)),"?IN_FOCUS",IF(J1372&lt;=2,"?ACTIVATED",IF(J1372&lt;&gt;"","?FAMILIAR",IF(F1372="NEW",IF(ISNA(VLOOKUP(E1372,#REF!,1,FALSE())),"?TYPE_IDENTIFIABLE","?REFERENTIAL"),"_")))))</f>
        <v> </v>
      </c>
      <c r="H1372" s="24" t="str">
        <f>IF(J1372&lt;&gt;1,"",IF(I1372="SBJ","CB","?"))</f>
        <v> </v>
      </c>
      <c r="I1372" s="25" t="str">
        <f>IF(OR(E1372="",E1372="!!!",F1372="NEW"),"",INDEX(B1371:B$2,-1+SUMPRODUCT(MAX(ROW(E1371:E$2)*(E1372=E1371:E$2)))))</f>
        <v> </v>
      </c>
      <c r="J1372" s="25" t="str">
        <f>IF(OR(E1372="",E1372="!!!",F1372="NEW"),"",COUNTBLANK(OFFSET(A$1,,,SUMPRODUCT(MAX(ROW(E$2:E1372)*(E1372=E$2:E1372)))))-COUNTBLANK(OFFSET(A$1,,,SUMPRODUCT(MAX(ROW(E$1:E1371)*(E2=E$1:E1371))))))</f>
        <v> </v>
      </c>
      <c r="K1372" s="25" t="str">
        <f>IF(OR(E1372="",E1372="!!!",F1372="NEW"),"",INDEX(J$1:J1371,SUMPRODUCT(MAX(ROW(E$1:E1371)*(E1372=E$1:E1371)))))</f>
        <v> </v>
      </c>
      <c r="L1372" s="26"/>
    </row>
    <row r="1373" spans="1:12">
      <c r="A1373" s="20" t="s">
        <v>864</v>
      </c>
      <c r="B1373" s="27" t="s">
        <v>376</v>
      </c>
      <c r="C1373" s="27" t="s">
        <v>371</v>
      </c>
      <c r="E1373" s="21">
        <f>IF(D1373="?OLD","!!!","")</f>
        <v/>
      </c>
      <c r="F1373" s="22" t="str">
        <f>IF(OR(E1373="",E1373="!!!"),"",IF(NOT(ISNA(VLOOKUP(E1373,E$1:E1372,1,FALSE()))),"OLD",IF(AND(E1373&lt;&gt;"",E1373&lt;&gt;"!!!"),"NEW","")))</f>
        <v> </v>
      </c>
      <c r="G1373" s="23" t="str">
        <f>IF(OR(E1373="",E1373="!!!"),"",IF(OR(J1373=0,AND(J1373=1,K1373=1),AND(J1373=1,I1373="SBJ"),AND(J1373=1,I1373=0)),"?IN_FOCUS",IF(J1373&lt;=2,"?ACTIVATED",IF(J1373&lt;&gt;"","?FAMILIAR",IF(F1373="NEW",IF(ISNA(VLOOKUP(E1373,#REF!,1,FALSE())),"?TYPE_IDENTIFIABLE","?REFERENTIAL"),"_")))))</f>
        <v> </v>
      </c>
      <c r="H1373" s="24" t="str">
        <f>IF(J1373&lt;&gt;1,"",IF(I1373="SBJ","CB","?"))</f>
        <v> </v>
      </c>
      <c r="I1373" s="25" t="str">
        <f>IF(OR(E1373="",E1373="!!!",F1373="NEW"),"",INDEX(B1372:B$2,-1+SUMPRODUCT(MAX(ROW(E1372:E$2)*(E1373=E1372:E$2)))))</f>
        <v> </v>
      </c>
      <c r="J1373" s="25" t="str">
        <f>IF(OR(E1373="",E1373="!!!",F1373="NEW"),"",COUNTBLANK(OFFSET(A$1,,,SUMPRODUCT(MAX(ROW(E$2:E1373)*(E1373=E$2:E1373)))))-COUNTBLANK(OFFSET(A$1,,,SUMPRODUCT(MAX(ROW(E$1:E1372)*(E2=E$1:E1372))))))</f>
        <v> </v>
      </c>
      <c r="K1373" s="25" t="str">
        <f>IF(OR(E1373="",E1373="!!!",F1373="NEW"),"",INDEX(J$1:J1372,SUMPRODUCT(MAX(ROW(E$1:E1372)*(E1373=E$1:E1372)))))</f>
        <v> </v>
      </c>
      <c r="L1373" s="26"/>
    </row>
    <row r="1374" spans="1:12">
      <c r="A1374" s="20" t="s">
        <v>805</v>
      </c>
      <c r="E1374" s="21">
        <f>IF(D1374="?OLD","!!!","")</f>
        <v/>
      </c>
      <c r="F1374" s="22" t="str">
        <f>IF(OR(E1374="",E1374="!!!"),"",IF(NOT(ISNA(VLOOKUP(E1374,E$1:E1373,1,FALSE()))),"OLD",IF(AND(E1374&lt;&gt;"",E1374&lt;&gt;"!!!"),"NEW","")))</f>
        <v> </v>
      </c>
      <c r="G1374" s="23" t="str">
        <f>IF(OR(E1374="",E1374="!!!"),"",IF(OR(J1374=0,AND(J1374=1,K1374=1),AND(J1374=1,I1374="SBJ"),AND(J1374=1,I1374=0)),"?IN_FOCUS",IF(J1374&lt;=2,"?ACTIVATED",IF(J1374&lt;&gt;"","?FAMILIAR",IF(F1374="NEW",IF(ISNA(VLOOKUP(E1374,#REF!,1,FALSE())),"?TYPE_IDENTIFIABLE","?REFERENTIAL"),"_")))))</f>
        <v> </v>
      </c>
      <c r="H1374" s="24" t="str">
        <f>IF(J1374&lt;&gt;1,"",IF(I1374="SBJ","CB","?"))</f>
        <v> </v>
      </c>
      <c r="I1374" s="25" t="str">
        <f>IF(OR(E1374="",E1374="!!!",F1374="NEW"),"",INDEX(B1373:B$2,-1+SUMPRODUCT(MAX(ROW(E1373:E$2)*(E1374=E1373:E$2)))))</f>
        <v> </v>
      </c>
      <c r="J1374" s="25" t="str">
        <f>IF(OR(E1374="",E1374="!!!",F1374="NEW"),"",COUNTBLANK(OFFSET(A$1,,,SUMPRODUCT(MAX(ROW(E$2:E1374)*(E1374=E$2:E1374)))))-COUNTBLANK(OFFSET(A$1,,,SUMPRODUCT(MAX(ROW(E$1:E1373)*(E2=E$1:E1373))))))</f>
        <v> </v>
      </c>
      <c r="K1374" s="25" t="str">
        <f>IF(OR(E1374="",E1374="!!!",F1374="NEW"),"",INDEX(J$1:J1373,SUMPRODUCT(MAX(ROW(E$1:E1373)*(E1374=E$1:E1373)))))</f>
        <v> </v>
      </c>
      <c r="L1374" s="26"/>
    </row>
    <row r="1375" spans="1:12">
      <c r="A1375" s="20" t="s">
        <v>681</v>
      </c>
      <c r="E1375" s="21">
        <f>IF(D1375="?OLD","!!!","")</f>
        <v/>
      </c>
      <c r="F1375" s="22" t="str">
        <f>IF(OR(E1375="",E1375="!!!"),"",IF(NOT(ISNA(VLOOKUP(E1375,E$1:E1374,1,FALSE()))),"OLD",IF(AND(E1375&lt;&gt;"",E1375&lt;&gt;"!!!"),"NEW","")))</f>
        <v> </v>
      </c>
      <c r="G1375" s="23" t="str">
        <f>IF(OR(E1375="",E1375="!!!"),"",IF(OR(J1375=0,AND(J1375=1,K1375=1),AND(J1375=1,I1375="SBJ"),AND(J1375=1,I1375=0)),"?IN_FOCUS",IF(J1375&lt;=2,"?ACTIVATED",IF(J1375&lt;&gt;"","?FAMILIAR",IF(F1375="NEW",IF(ISNA(VLOOKUP(E1375,#REF!,1,FALSE())),"?TYPE_IDENTIFIABLE","?REFERENTIAL"),"_")))))</f>
        <v> </v>
      </c>
      <c r="H1375" s="24" t="str">
        <f>IF(J1375&lt;&gt;1,"",IF(I1375="SBJ","CB","?"))</f>
        <v> </v>
      </c>
      <c r="I1375" s="25" t="str">
        <f>IF(OR(E1375="",E1375="!!!",F1375="NEW"),"",INDEX(B1374:B$2,-1+SUMPRODUCT(MAX(ROW(E1374:E$2)*(E1375=E1374:E$2)))))</f>
        <v> </v>
      </c>
      <c r="J1375" s="25" t="str">
        <f>IF(OR(E1375="",E1375="!!!",F1375="NEW"),"",COUNTBLANK(OFFSET(A$1,,,SUMPRODUCT(MAX(ROW(E$2:E1375)*(E1375=E$2:E1375)))))-COUNTBLANK(OFFSET(A$1,,,SUMPRODUCT(MAX(ROW(E$1:E1374)*(E2=E$1:E1374))))))</f>
        <v> </v>
      </c>
      <c r="K1375" s="25" t="str">
        <f>IF(OR(E1375="",E1375="!!!",F1375="NEW"),"",INDEX(J$1:J1374,SUMPRODUCT(MAX(ROW(E$1:E1374)*(E1375=E$1:E1374)))))</f>
        <v> </v>
      </c>
      <c r="L1375" s="26"/>
    </row>
    <row r="1376" spans="1:12">
      <c r="A1376" s="20" t="s">
        <v>390</v>
      </c>
      <c r="E1376" s="21">
        <f>IF(D1376="?OLD","!!!","")</f>
        <v/>
      </c>
      <c r="F1376" s="22" t="str">
        <f>IF(OR(E1376="",E1376="!!!"),"",IF(NOT(ISNA(VLOOKUP(E1376,E$1:E1375,1,FALSE()))),"OLD",IF(AND(E1376&lt;&gt;"",E1376&lt;&gt;"!!!"),"NEW","")))</f>
        <v> </v>
      </c>
      <c r="G1376" s="23" t="str">
        <f>IF(OR(E1376="",E1376="!!!"),"",IF(OR(J1376=0,AND(J1376=1,K1376=1),AND(J1376=1,I1376="SBJ"),AND(J1376=1,I1376=0)),"?IN_FOCUS",IF(J1376&lt;=2,"?ACTIVATED",IF(J1376&lt;&gt;"","?FAMILIAR",IF(F1376="NEW",IF(ISNA(VLOOKUP(E1376,#REF!,1,FALSE())),"?TYPE_IDENTIFIABLE","?REFERENTIAL"),"_")))))</f>
        <v> </v>
      </c>
      <c r="H1376" s="24" t="str">
        <f>IF(J1376&lt;&gt;1,"",IF(I1376="SBJ","CB","?"))</f>
        <v> </v>
      </c>
      <c r="I1376" s="25" t="str">
        <f>IF(OR(E1376="",E1376="!!!",F1376="NEW"),"",INDEX(B1375:B$2,-1+SUMPRODUCT(MAX(ROW(E1375:E$2)*(E1376=E1375:E$2)))))</f>
        <v> </v>
      </c>
      <c r="J1376" s="25" t="str">
        <f>IF(OR(E1376="",E1376="!!!",F1376="NEW"),"",COUNTBLANK(OFFSET(A$1,,,SUMPRODUCT(MAX(ROW(E$2:E1376)*(E1376=E$2:E1376)))))-COUNTBLANK(OFFSET(A$1,,,SUMPRODUCT(MAX(ROW(E$1:E1375)*(E2=E$1:E1375))))))</f>
        <v> </v>
      </c>
      <c r="K1376" s="25" t="str">
        <f>IF(OR(E1376="",E1376="!!!",F1376="NEW"),"",INDEX(J$1:J1375,SUMPRODUCT(MAX(ROW(E$1:E1375)*(E1376=E$1:E1375)))))</f>
        <v> </v>
      </c>
      <c r="L1376" s="26"/>
    </row>
    <row r="1377" spans="1:12">
      <c r="A1377" s="20" t="s">
        <v>463</v>
      </c>
      <c r="B1377" s="27" t="s">
        <v>398</v>
      </c>
      <c r="C1377" s="27" t="s">
        <v>393</v>
      </c>
      <c r="D1377" s="27" t="s">
        <v>378</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404</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t="s">
        <v>676</v>
      </c>
      <c r="E1379" s="21">
        <f>IF(D1379="?OLD","!!!","")</f>
        <v/>
      </c>
      <c r="F1379" s="22" t="str">
        <f>IF(OR(E1379="",E1379="!!!"),"",IF(NOT(ISNA(VLOOKUP(E1379,E$1:E1378,1,FALSE()))),"OLD",IF(AND(E1379&lt;&gt;"",E1379&lt;&gt;"!!!"),"NEW","")))</f>
        <v> </v>
      </c>
      <c r="G1379" s="23" t="str">
        <f>IF(OR(E1379="",E1379="!!!"),"",IF(OR(J1379=0,AND(J1379=1,K1379=1),AND(J1379=1,I1379="SBJ"),AND(J1379=1,I1379=0)),"?IN_FOCUS",IF(J1379&lt;=2,"?ACTIVATED",IF(J1379&lt;&gt;"","?FAMILIAR",IF(F1379="NEW",IF(ISNA(VLOOKUP(E1379,#REF!,1,FALSE())),"?TYPE_IDENTIFIABLE","?REFERENTIAL"),"_")))))</f>
        <v> </v>
      </c>
      <c r="H1379" s="24" t="str">
        <f>IF(J1379&lt;&gt;1,"",IF(I1379="SBJ","CB","?"))</f>
        <v> </v>
      </c>
      <c r="I1379" s="25" t="str">
        <f>IF(OR(E1379="",E1379="!!!",F1379="NEW"),"",INDEX(B1378:B$2,-1+SUMPRODUCT(MAX(ROW(E1378:E$2)*(E1379=E1378:E$2)))))</f>
        <v> </v>
      </c>
      <c r="J1379" s="25" t="str">
        <f>IF(OR(E1379="",E1379="!!!",F1379="NEW"),"",COUNTBLANK(OFFSET(A$1,,,SUMPRODUCT(MAX(ROW(E$2:E1379)*(E1379=E$2:E1379)))))-COUNTBLANK(OFFSET(A$1,,,SUMPRODUCT(MAX(ROW(E$1:E1378)*(E2=E$1:E1378))))))</f>
        <v> </v>
      </c>
      <c r="K1379" s="25" t="str">
        <f>IF(OR(E1379="",E1379="!!!",F1379="NEW"),"",INDEX(J$1:J1378,SUMPRODUCT(MAX(ROW(E$1:E1378)*(E1379=E$1:E1378)))))</f>
        <v> </v>
      </c>
      <c r="L1379" s="26"/>
    </row>
    <row r="1380" spans="1:12">
      <c r="A1380" s="20" t="s">
        <v>436</v>
      </c>
      <c r="B1380" s="27" t="s">
        <v>506</v>
      </c>
      <c r="C1380" s="27" t="s">
        <v>371</v>
      </c>
      <c r="E1380" s="21">
        <f>IF(D1380="?OLD","!!!","")</f>
        <v/>
      </c>
      <c r="F1380" s="22" t="str">
        <f>IF(OR(E1380="",E1380="!!!"),"",IF(NOT(ISNA(VLOOKUP(E1380,E$1:E1379,1,FALSE()))),"OLD",IF(AND(E1380&lt;&gt;"",E1380&lt;&gt;"!!!"),"NEW","")))</f>
        <v> </v>
      </c>
      <c r="G1380" s="23" t="str">
        <f>IF(OR(E1380="",E1380="!!!"),"",IF(OR(J1380=0,AND(J1380=1,K1380=1),AND(J1380=1,I1380="SBJ"),AND(J1380=1,I1380=0)),"?IN_FOCUS",IF(J1380&lt;=2,"?ACTIVATED",IF(J1380&lt;&gt;"","?FAMILIAR",IF(F1380="NEW",IF(ISNA(VLOOKUP(E1380,#REF!,1,FALSE())),"?TYPE_IDENTIFIABLE","?REFERENTIAL"),"_")))))</f>
        <v> </v>
      </c>
      <c r="H1380" s="24" t="str">
        <f>IF(J1380&lt;&gt;1,"",IF(I1380="SBJ","CB","?"))</f>
        <v> </v>
      </c>
      <c r="I1380" s="25" t="str">
        <f>IF(OR(E1380="",E1380="!!!",F1380="NEW"),"",INDEX(B1379:B$2,-1+SUMPRODUCT(MAX(ROW(E1379:E$2)*(E1380=E1379:E$2)))))</f>
        <v> </v>
      </c>
      <c r="J1380" s="25" t="str">
        <f>IF(OR(E1380="",E1380="!!!",F1380="NEW"),"",COUNTBLANK(OFFSET(A$1,,,SUMPRODUCT(MAX(ROW(E$2:E1380)*(E1380=E$2:E1380)))))-COUNTBLANK(OFFSET(A$1,,,SUMPRODUCT(MAX(ROW(E$1:E1379)*(E2=E$1:E1379))))))</f>
        <v> </v>
      </c>
      <c r="K1380" s="25" t="str">
        <f>IF(OR(E1380="",E1380="!!!",F1380="NEW"),"",INDEX(J$1:J1379,SUMPRODUCT(MAX(ROW(E$1:E1379)*(E1380=E$1:E1379)))))</f>
        <v> </v>
      </c>
      <c r="L1380" s="26"/>
    </row>
    <row r="1381" spans="1:12">
      <c r="A1381" s="20" t="s">
        <v>865</v>
      </c>
      <c r="E1381" s="21">
        <f>IF(D1381="?OLD","!!!","")</f>
        <v/>
      </c>
      <c r="F1381" s="22" t="str">
        <f>IF(OR(E1381="",E1381="!!!"),"",IF(NOT(ISNA(VLOOKUP(E1381,E$1:E1380,1,FALSE()))),"OLD",IF(AND(E1381&lt;&gt;"",E1381&lt;&gt;"!!!"),"NEW","")))</f>
        <v> </v>
      </c>
      <c r="G1381" s="23" t="str">
        <f>IF(OR(E1381="",E1381="!!!"),"",IF(OR(J1381=0,AND(J1381=1,K1381=1),AND(J1381=1,I1381="SBJ"),AND(J1381=1,I1381=0)),"?IN_FOCUS",IF(J1381&lt;=2,"?ACTIVATED",IF(J1381&lt;&gt;"","?FAMILIAR",IF(F1381="NEW",IF(ISNA(VLOOKUP(E1381,#REF!,1,FALSE())),"?TYPE_IDENTIFIABLE","?REFERENTIAL"),"_")))))</f>
        <v> </v>
      </c>
      <c r="H1381" s="24" t="str">
        <f>IF(J1381&lt;&gt;1,"",IF(I1381="SBJ","CB","?"))</f>
        <v> </v>
      </c>
      <c r="I1381" s="25" t="str">
        <f>IF(OR(E1381="",E1381="!!!",F1381="NEW"),"",INDEX(B1380:B$2,-1+SUMPRODUCT(MAX(ROW(E1380:E$2)*(E1381=E1380:E$2)))))</f>
        <v> </v>
      </c>
      <c r="J1381" s="25" t="str">
        <f>IF(OR(E1381="",E1381="!!!",F1381="NEW"),"",COUNTBLANK(OFFSET(A$1,,,SUMPRODUCT(MAX(ROW(E$2:E1381)*(E1381=E$2:E1381)))))-COUNTBLANK(OFFSET(A$1,,,SUMPRODUCT(MAX(ROW(E$1:E1380)*(E2=E$1:E1380))))))</f>
        <v> </v>
      </c>
      <c r="K1381" s="25" t="str">
        <f>IF(OR(E1381="",E1381="!!!",F1381="NEW"),"",INDEX(J$1:J1380,SUMPRODUCT(MAX(ROW(E$1:E1380)*(E1381=E$1:E1380)))))</f>
        <v> </v>
      </c>
      <c r="L1381" s="26"/>
    </row>
    <row r="1382" spans="1:12">
      <c r="A1382" s="20" t="s">
        <v>420</v>
      </c>
      <c r="E1382" s="21">
        <f>IF(D1382="?OLD","!!!","")</f>
        <v/>
      </c>
      <c r="F1382" s="22" t="str">
        <f>IF(OR(E1382="",E1382="!!!"),"",IF(NOT(ISNA(VLOOKUP(E1382,E$1:E1381,1,FALSE()))),"OLD",IF(AND(E1382&lt;&gt;"",E1382&lt;&gt;"!!!"),"NEW","")))</f>
        <v> </v>
      </c>
      <c r="G1382" s="23" t="str">
        <f>IF(OR(E1382="",E1382="!!!"),"",IF(OR(J1382=0,AND(J1382=1,K1382=1),AND(J1382=1,I1382="SBJ"),AND(J1382=1,I1382=0)),"?IN_FOCUS",IF(J1382&lt;=2,"?ACTIVATED",IF(J1382&lt;&gt;"","?FAMILIAR",IF(F1382="NEW",IF(ISNA(VLOOKUP(E1382,#REF!,1,FALSE())),"?TYPE_IDENTIFIABLE","?REFERENTIAL"),"_")))))</f>
        <v> </v>
      </c>
      <c r="H1382" s="24" t="str">
        <f>IF(J1382&lt;&gt;1,"",IF(I1382="SBJ","CB","?"))</f>
        <v> </v>
      </c>
      <c r="I1382" s="25" t="str">
        <f>IF(OR(E1382="",E1382="!!!",F1382="NEW"),"",INDEX(B1381:B$2,-1+SUMPRODUCT(MAX(ROW(E1381:E$2)*(E1382=E1381:E$2)))))</f>
        <v> </v>
      </c>
      <c r="J1382" s="25" t="str">
        <f>IF(OR(E1382="",E1382="!!!",F1382="NEW"),"",COUNTBLANK(OFFSET(A$1,,,SUMPRODUCT(MAX(ROW(E$2:E1382)*(E1382=E$2:E1382)))))-COUNTBLANK(OFFSET(A$1,,,SUMPRODUCT(MAX(ROW(E$1:E1381)*(E2=E$1:E1381))))))</f>
        <v> </v>
      </c>
      <c r="K1382" s="25" t="str">
        <f>IF(OR(E1382="",E1382="!!!",F1382="NEW"),"",INDEX(J$1:J1381,SUMPRODUCT(MAX(ROW(E$1:E1381)*(E1382=E$1:E1381)))))</f>
        <v> </v>
      </c>
      <c r="L1382" s="26"/>
    </row>
    <row r="1383" spans="1:12">
      <c r="A1383" s="20" t="s">
        <v>866</v>
      </c>
      <c r="E1383" s="21">
        <f>IF(D1383="?OLD","!!!","")</f>
        <v/>
      </c>
      <c r="F1383" s="22" t="str">
        <f>IF(OR(E1383="",E1383="!!!"),"",IF(NOT(ISNA(VLOOKUP(E1383,E$1:E1382,1,FALSE()))),"OLD",IF(AND(E1383&lt;&gt;"",E1383&lt;&gt;"!!!"),"NEW","")))</f>
        <v> </v>
      </c>
      <c r="G1383" s="23" t="str">
        <f>IF(OR(E1383="",E1383="!!!"),"",IF(OR(J1383=0,AND(J1383=1,K1383=1),AND(J1383=1,I1383="SBJ"),AND(J1383=1,I1383=0)),"?IN_FOCUS",IF(J1383&lt;=2,"?ACTIVATED",IF(J1383&lt;&gt;"","?FAMILIAR",IF(F1383="NEW",IF(ISNA(VLOOKUP(E1383,#REF!,1,FALSE())),"?TYPE_IDENTIFIABLE","?REFERENTIAL"),"_")))))</f>
        <v> </v>
      </c>
      <c r="H1383" s="24" t="str">
        <f>IF(J1383&lt;&gt;1,"",IF(I1383="SBJ","CB","?"))</f>
        <v> </v>
      </c>
      <c r="I1383" s="25" t="str">
        <f>IF(OR(E1383="",E1383="!!!",F1383="NEW"),"",INDEX(B1382:B$2,-1+SUMPRODUCT(MAX(ROW(E1382:E$2)*(E1383=E1382:E$2)))))</f>
        <v> </v>
      </c>
      <c r="J1383" s="25" t="str">
        <f>IF(OR(E1383="",E1383="!!!",F1383="NEW"),"",COUNTBLANK(OFFSET(A$1,,,SUMPRODUCT(MAX(ROW(E$2:E1383)*(E1383=E$2:E1383)))))-COUNTBLANK(OFFSET(A$1,,,SUMPRODUCT(MAX(ROW(E$1:E1382)*(E2=E$1:E1382))))))</f>
        <v> </v>
      </c>
      <c r="K1383" s="25" t="str">
        <f>IF(OR(E1383="",E1383="!!!",F1383="NEW"),"",INDEX(J$1:J1382,SUMPRODUCT(MAX(ROW(E$1:E1382)*(E1383=E$1:E1382)))))</f>
        <v> </v>
      </c>
      <c r="L1383" s="26"/>
    </row>
    <row r="1384" spans="1:12">
      <c r="A1384" s="20" t="s">
        <v>390</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t="s">
        <v>867</v>
      </c>
      <c r="B1385" s="27" t="s">
        <v>559</v>
      </c>
      <c r="C1385" s="27" t="s">
        <v>393</v>
      </c>
      <c r="D1385" s="27" t="s">
        <v>378</v>
      </c>
      <c r="E1385" s="21">
        <f>IF(D1385="?OLD","!!!","")</f>
        <v/>
      </c>
      <c r="F1385" s="22" t="str">
        <f>IF(OR(E1385="",E1385="!!!"),"",IF(NOT(ISNA(VLOOKUP(E1385,E$1:E1384,1,FALSE()))),"OLD",IF(AND(E1385&lt;&gt;"",E1385&lt;&gt;"!!!"),"NEW","")))</f>
        <v> </v>
      </c>
      <c r="G1385" s="23" t="str">
        <f>IF(OR(E1385="",E1385="!!!"),"",IF(OR(J1385=0,AND(J1385=1,K1385=1),AND(J1385=1,I1385="SBJ"),AND(J1385=1,I1385=0)),"?IN_FOCUS",IF(J1385&lt;=2,"?ACTIVATED",IF(J1385&lt;&gt;"","?FAMILIAR",IF(F1385="NEW",IF(ISNA(VLOOKUP(E1385,#REF!,1,FALSE())),"?TYPE_IDENTIFIABLE","?REFERENTIAL"),"_")))))</f>
        <v> </v>
      </c>
      <c r="H1385" s="24" t="str">
        <f>IF(J1385&lt;&gt;1,"",IF(I1385="SBJ","CB","?"))</f>
        <v> </v>
      </c>
      <c r="I1385" s="25" t="str">
        <f>IF(OR(E1385="",E1385="!!!",F1385="NEW"),"",INDEX(B1384:B$2,-1+SUMPRODUCT(MAX(ROW(E1384:E$2)*(E1385=E1384:E$2)))))</f>
        <v> </v>
      </c>
      <c r="J1385" s="25" t="str">
        <f>IF(OR(E1385="",E1385="!!!",F1385="NEW"),"",COUNTBLANK(OFFSET(A$1,,,SUMPRODUCT(MAX(ROW(E$2:E1385)*(E1385=E$2:E1385)))))-COUNTBLANK(OFFSET(A$1,,,SUMPRODUCT(MAX(ROW(E$1:E1384)*(E2=E$1:E1384))))))</f>
        <v> </v>
      </c>
      <c r="K1385" s="25" t="str">
        <f>IF(OR(E1385="",E1385="!!!",F1385="NEW"),"",INDEX(J$1:J1384,SUMPRODUCT(MAX(ROW(E$1:E1384)*(E1385=E$1:E1384)))))</f>
        <v> </v>
      </c>
      <c r="L1385" s="26"/>
    </row>
    <row r="1386" spans="1:12">
      <c r="A1386" s="20" t="s">
        <v>394</v>
      </c>
      <c r="E1386" s="21">
        <f>IF(D1386="?OLD","!!!","")</f>
        <v/>
      </c>
      <c r="F1386" s="22" t="str">
        <f>IF(OR(E1386="",E1386="!!!"),"",IF(NOT(ISNA(VLOOKUP(E1386,E$1:E1385,1,FALSE()))),"OLD",IF(AND(E1386&lt;&gt;"",E1386&lt;&gt;"!!!"),"NEW","")))</f>
        <v> </v>
      </c>
      <c r="G1386" s="23" t="str">
        <f>IF(OR(E1386="",E1386="!!!"),"",IF(OR(J1386=0,AND(J1386=1,K1386=1),AND(J1386=1,I1386="SBJ"),AND(J1386=1,I1386=0)),"?IN_FOCUS",IF(J1386&lt;=2,"?ACTIVATED",IF(J1386&lt;&gt;"","?FAMILIAR",IF(F1386="NEW",IF(ISNA(VLOOKUP(E1386,#REF!,1,FALSE())),"?TYPE_IDENTIFIABLE","?REFERENTIAL"),"_")))))</f>
        <v> </v>
      </c>
      <c r="H1386" s="24" t="str">
        <f>IF(J1386&lt;&gt;1,"",IF(I1386="SBJ","CB","?"))</f>
        <v> </v>
      </c>
      <c r="I1386" s="25" t="str">
        <f>IF(OR(E1386="",E1386="!!!",F1386="NEW"),"",INDEX(B1385:B$2,-1+SUMPRODUCT(MAX(ROW(E1385:E$2)*(E1386=E1385:E$2)))))</f>
        <v> </v>
      </c>
      <c r="J1386" s="25" t="str">
        <f>IF(OR(E1386="",E1386="!!!",F1386="NEW"),"",COUNTBLANK(OFFSET(A$1,,,SUMPRODUCT(MAX(ROW(E$2:E1386)*(E1386=E$2:E1386)))))-COUNTBLANK(OFFSET(A$1,,,SUMPRODUCT(MAX(ROW(E$1:E1385)*(E2=E$1:E1385))))))</f>
        <v> </v>
      </c>
      <c r="K1386" s="25" t="str">
        <f>IF(OR(E1386="",E1386="!!!",F1386="NEW"),"",INDEX(J$1:J1385,SUMPRODUCT(MAX(ROW(E$1:E1385)*(E1386=E$1:E1385)))))</f>
        <v> </v>
      </c>
      <c r="L1386" s="26"/>
    </row>
    <row r="1387" spans="1:12">
      <c r="A1387" s="20"/>
    </row>
    <row r="1388" spans="1:12">
      <c r="A1388" s="20" t="s">
        <v>868</v>
      </c>
    </row>
    <row r="1389" spans="1:12">
      <c r="A1389" s="20" t="s">
        <v>859</v>
      </c>
      <c r="E1389" s="21">
        <f>IF(D1389="?OLD","!!!","")</f>
        <v/>
      </c>
      <c r="F1389" s="22" t="str">
        <f>IF(OR(E1389="",E1389="!!!"),"",IF(NOT(ISNA(VLOOKUP(E1389,E$1:E1388,1,FALSE()))),"OLD",IF(AND(E1389&lt;&gt;"",E1389&lt;&gt;"!!!"),"NEW","")))</f>
        <v> </v>
      </c>
      <c r="G1389" s="23" t="str">
        <f>IF(OR(E1389="",E1389="!!!"),"",IF(OR(J1389=0,AND(J1389=1,K1389=1),AND(J1389=1,I1389="SBJ"),AND(J1389=1,I1389=0)),"?IN_FOCUS",IF(J1389&lt;=2,"?ACTIVATED",IF(J1389&lt;&gt;"","?FAMILIAR",IF(F1389="NEW",IF(ISNA(VLOOKUP(E1389,#REF!,1,FALSE())),"?TYPE_IDENTIFIABLE","?REFERENTIAL"),"_")))))</f>
        <v> </v>
      </c>
      <c r="H1389" s="24" t="str">
        <f>IF(J1389&lt;&gt;1,"",IF(I1389="SBJ","CB","?"))</f>
        <v> </v>
      </c>
      <c r="I1389" s="25" t="str">
        <f>IF(OR(E1389="",E1389="!!!",F1389="NEW"),"",INDEX(B1388:B$2,-1+SUMPRODUCT(MAX(ROW(E1388:E$2)*(E1389=E1388:E$2)))))</f>
        <v> </v>
      </c>
      <c r="J1389" s="25" t="str">
        <f>IF(OR(E1389="",E1389="!!!",F1389="NEW"),"",COUNTBLANK(OFFSET(A$1,,,SUMPRODUCT(MAX(ROW(E$2:E1389)*(E1389=E$2:E1389)))))-COUNTBLANK(OFFSET(A$1,,,SUMPRODUCT(MAX(ROW(E$1:E1388)*(E2=E$1:E1388))))))</f>
        <v> </v>
      </c>
      <c r="K1389" s="25" t="str">
        <f>IF(OR(E1389="",E1389="!!!",F1389="NEW"),"",INDEX(J$1:J1388,SUMPRODUCT(MAX(ROW(E$1:E1388)*(E1389=E$1:E1388)))))</f>
        <v> </v>
      </c>
      <c r="L1389" s="26"/>
    </row>
    <row r="1390" spans="1:12">
      <c r="A1390" s="20" t="s">
        <v>399</v>
      </c>
      <c r="E1390" s="21">
        <f>IF(D1390="?OLD","!!!","")</f>
        <v/>
      </c>
      <c r="F1390" s="22" t="str">
        <f>IF(OR(E1390="",E1390="!!!"),"",IF(NOT(ISNA(VLOOKUP(E1390,E$1:E1389,1,FALSE()))),"OLD",IF(AND(E1390&lt;&gt;"",E1390&lt;&gt;"!!!"),"NEW","")))</f>
        <v> </v>
      </c>
      <c r="G1390" s="23" t="str">
        <f>IF(OR(E1390="",E1390="!!!"),"",IF(OR(J1390=0,AND(J1390=1,K1390=1),AND(J1390=1,I1390="SBJ"),AND(J1390=1,I1390=0)),"?IN_FOCUS",IF(J1390&lt;=2,"?ACTIVATED",IF(J1390&lt;&gt;"","?FAMILIAR",IF(F1390="NEW",IF(ISNA(VLOOKUP(E1390,#REF!,1,FALSE())),"?TYPE_IDENTIFIABLE","?REFERENTIAL"),"_")))))</f>
        <v> </v>
      </c>
      <c r="H1390" s="24" t="str">
        <f>IF(J1390&lt;&gt;1,"",IF(I1390="SBJ","CB","?"))</f>
        <v> </v>
      </c>
      <c r="I1390" s="25" t="str">
        <f>IF(OR(E1390="",E1390="!!!",F1390="NEW"),"",INDEX(B1389:B$2,-1+SUMPRODUCT(MAX(ROW(E1389:E$2)*(E1390=E1389:E$2)))))</f>
        <v> </v>
      </c>
      <c r="J1390" s="25" t="str">
        <f>IF(OR(E1390="",E1390="!!!",F1390="NEW"),"",COUNTBLANK(OFFSET(A$1,,,SUMPRODUCT(MAX(ROW(E$2:E1390)*(E1390=E$2:E1390)))))-COUNTBLANK(OFFSET(A$1,,,SUMPRODUCT(MAX(ROW(E$1:E1389)*(E2=E$1:E1389))))))</f>
        <v> </v>
      </c>
      <c r="K1390" s="25" t="str">
        <f>IF(OR(E1390="",E1390="!!!",F1390="NEW"),"",INDEX(J$1:J1389,SUMPRODUCT(MAX(ROW(E$1:E1389)*(E1390=E$1:E1389)))))</f>
        <v> </v>
      </c>
      <c r="L1390" s="26"/>
    </row>
    <row r="1391" spans="1:12">
      <c r="A1391" s="20" t="s">
        <v>463</v>
      </c>
      <c r="E1391" s="21">
        <f>IF(D1391="?OLD","!!!","")</f>
        <v/>
      </c>
      <c r="F1391" s="22" t="str">
        <f>IF(OR(E1391="",E1391="!!!"),"",IF(NOT(ISNA(VLOOKUP(E1391,E$1:E1390,1,FALSE()))),"OLD",IF(AND(E1391&lt;&gt;"",E1391&lt;&gt;"!!!"),"NEW","")))</f>
        <v> </v>
      </c>
      <c r="G1391" s="23" t="str">
        <f>IF(OR(E1391="",E1391="!!!"),"",IF(OR(J1391=0,AND(J1391=1,K1391=1),AND(J1391=1,I1391="SBJ"),AND(J1391=1,I1391=0)),"?IN_FOCUS",IF(J1391&lt;=2,"?ACTIVATED",IF(J1391&lt;&gt;"","?FAMILIAR",IF(F1391="NEW",IF(ISNA(VLOOKUP(E1391,#REF!,1,FALSE())),"?TYPE_IDENTIFIABLE","?REFERENTIAL"),"_")))))</f>
        <v> </v>
      </c>
      <c r="H1391" s="24" t="str">
        <f>IF(J1391&lt;&gt;1,"",IF(I1391="SBJ","CB","?"))</f>
        <v> </v>
      </c>
      <c r="I1391" s="25" t="str">
        <f>IF(OR(E1391="",E1391="!!!",F1391="NEW"),"",INDEX(B1390:B$2,-1+SUMPRODUCT(MAX(ROW(E1390:E$2)*(E1391=E1390:E$2)))))</f>
        <v> </v>
      </c>
      <c r="J1391" s="25" t="str">
        <f>IF(OR(E1391="",E1391="!!!",F1391="NEW"),"",COUNTBLANK(OFFSET(A$1,,,SUMPRODUCT(MAX(ROW(E$2:E1391)*(E1391=E$2:E1391)))))-COUNTBLANK(OFFSET(A$1,,,SUMPRODUCT(MAX(ROW(E$1:E1390)*(E2=E$1:E1390))))))</f>
        <v> </v>
      </c>
      <c r="K1391" s="25" t="str">
        <f>IF(OR(E1391="",E1391="!!!",F1391="NEW"),"",INDEX(J$1:J1390,SUMPRODUCT(MAX(ROW(E$1:E1390)*(E1391=E$1:E1390)))))</f>
        <v> </v>
      </c>
      <c r="L1391" s="26"/>
    </row>
    <row r="1392" spans="1:12">
      <c r="A1392" s="20" t="s">
        <v>869</v>
      </c>
      <c r="B1392" s="27" t="s">
        <v>376</v>
      </c>
      <c r="C1392" s="27" t="s">
        <v>371</v>
      </c>
      <c r="E1392" s="21">
        <f>IF(D1392="?OLD","!!!","")</f>
        <v/>
      </c>
      <c r="F1392" s="22" t="str">
        <f>IF(OR(E1392="",E1392="!!!"),"",IF(NOT(ISNA(VLOOKUP(E1392,E$1:E1391,1,FALSE()))),"OLD",IF(AND(E1392&lt;&gt;"",E1392&lt;&gt;"!!!"),"NEW","")))</f>
        <v> </v>
      </c>
      <c r="G1392" s="23" t="str">
        <f>IF(OR(E1392="",E1392="!!!"),"",IF(OR(J1392=0,AND(J1392=1,K1392=1),AND(J1392=1,I1392="SBJ"),AND(J1392=1,I1392=0)),"?IN_FOCUS",IF(J1392&lt;=2,"?ACTIVATED",IF(J1392&lt;&gt;"","?FAMILIAR",IF(F1392="NEW",IF(ISNA(VLOOKUP(E1392,#REF!,1,FALSE())),"?TYPE_IDENTIFIABLE","?REFERENTIAL"),"_")))))</f>
        <v> </v>
      </c>
      <c r="H1392" s="24" t="str">
        <f>IF(J1392&lt;&gt;1,"",IF(I1392="SBJ","CB","?"))</f>
        <v> </v>
      </c>
      <c r="I1392" s="25" t="str">
        <f>IF(OR(E1392="",E1392="!!!",F1392="NEW"),"",INDEX(B1391:B$2,-1+SUMPRODUCT(MAX(ROW(E1391:E$2)*(E1392=E1391:E$2)))))</f>
        <v> </v>
      </c>
      <c r="J1392" s="25" t="str">
        <f>IF(OR(E1392="",E1392="!!!",F1392="NEW"),"",COUNTBLANK(OFFSET(A$1,,,SUMPRODUCT(MAX(ROW(E$2:E1392)*(E1392=E$2:E1392)))))-COUNTBLANK(OFFSET(A$1,,,SUMPRODUCT(MAX(ROW(E$1:E1391)*(E2=E$1:E1391))))))</f>
        <v> </v>
      </c>
      <c r="K1392" s="25" t="str">
        <f>IF(OR(E1392="",E1392="!!!",F1392="NEW"),"",INDEX(J$1:J1391,SUMPRODUCT(MAX(ROW(E$1:E1391)*(E1392=E$1:E1391)))))</f>
        <v> </v>
      </c>
      <c r="L1392" s="26"/>
    </row>
    <row r="1393" spans="1:12">
      <c r="A1393" s="20" t="s">
        <v>476</v>
      </c>
      <c r="B1393" s="27" t="s">
        <v>506</v>
      </c>
      <c r="E1393" s="21">
        <f>IF(D1393="?OLD","!!!","")</f>
        <v/>
      </c>
      <c r="F1393" s="22" t="str">
        <f>IF(OR(E1393="",E1393="!!!"),"",IF(NOT(ISNA(VLOOKUP(E1393,E$1:E1392,1,FALSE()))),"OLD",IF(AND(E1393&lt;&gt;"",E1393&lt;&gt;"!!!"),"NEW","")))</f>
        <v> </v>
      </c>
      <c r="G1393" s="23" t="str">
        <f>IF(OR(E1393="",E1393="!!!"),"",IF(OR(J1393=0,AND(J1393=1,K1393=1),AND(J1393=1,I1393="SBJ"),AND(J1393=1,I1393=0)),"?IN_FOCUS",IF(J1393&lt;=2,"?ACTIVATED",IF(J1393&lt;&gt;"","?FAMILIAR",IF(F1393="NEW",IF(ISNA(VLOOKUP(E1393,#REF!,1,FALSE())),"?TYPE_IDENTIFIABLE","?REFERENTIAL"),"_")))))</f>
        <v> </v>
      </c>
      <c r="H1393" s="24" t="str">
        <f>IF(J1393&lt;&gt;1,"",IF(I1393="SBJ","CB","?"))</f>
        <v> </v>
      </c>
      <c r="I1393" s="25" t="str">
        <f>IF(OR(E1393="",E1393="!!!",F1393="NEW"),"",INDEX(B1392:B$2,-1+SUMPRODUCT(MAX(ROW(E1392:E$2)*(E1393=E1392:E$2)))))</f>
        <v> </v>
      </c>
      <c r="J1393" s="25" t="str">
        <f>IF(OR(E1393="",E1393="!!!",F1393="NEW"),"",COUNTBLANK(OFFSET(A$1,,,SUMPRODUCT(MAX(ROW(E$2:E1393)*(E1393=E$2:E1393)))))-COUNTBLANK(OFFSET(A$1,,,SUMPRODUCT(MAX(ROW(E$1:E1392)*(E2=E$1:E1392))))))</f>
        <v> </v>
      </c>
      <c r="K1393" s="25" t="str">
        <f>IF(OR(E1393="",E1393="!!!",F1393="NEW"),"",INDEX(J$1:J1392,SUMPRODUCT(MAX(ROW(E$1:E1392)*(E1393=E$1:E1392)))))</f>
        <v> </v>
      </c>
      <c r="L1393" s="26"/>
    </row>
    <row r="1394" spans="1:12">
      <c r="A1394" s="20" t="s">
        <v>563</v>
      </c>
      <c r="E1394" s="21">
        <f>IF(D1394="?OLD","!!!","")</f>
        <v/>
      </c>
      <c r="F1394" s="22" t="str">
        <f>IF(OR(E1394="",E1394="!!!"),"",IF(NOT(ISNA(VLOOKUP(E1394,E$1:E1393,1,FALSE()))),"OLD",IF(AND(E1394&lt;&gt;"",E1394&lt;&gt;"!!!"),"NEW","")))</f>
        <v> </v>
      </c>
      <c r="G1394" s="23" t="str">
        <f>IF(OR(E1394="",E1394="!!!"),"",IF(OR(J1394=0,AND(J1394=1,K1394=1),AND(J1394=1,I1394="SBJ"),AND(J1394=1,I1394=0)),"?IN_FOCUS",IF(J1394&lt;=2,"?ACTIVATED",IF(J1394&lt;&gt;"","?FAMILIAR",IF(F1394="NEW",IF(ISNA(VLOOKUP(E1394,#REF!,1,FALSE())),"?TYPE_IDENTIFIABLE","?REFERENTIAL"),"_")))))</f>
        <v> </v>
      </c>
      <c r="H1394" s="24" t="str">
        <f>IF(J1394&lt;&gt;1,"",IF(I1394="SBJ","CB","?"))</f>
        <v> </v>
      </c>
      <c r="I1394" s="25" t="str">
        <f>IF(OR(E1394="",E1394="!!!",F1394="NEW"),"",INDEX(B1393:B$2,-1+SUMPRODUCT(MAX(ROW(E1393:E$2)*(E1394=E1393:E$2)))))</f>
        <v> </v>
      </c>
      <c r="J1394" s="25" t="str">
        <f>IF(OR(E1394="",E1394="!!!",F1394="NEW"),"",COUNTBLANK(OFFSET(A$1,,,SUMPRODUCT(MAX(ROW(E$2:E1394)*(E1394=E$2:E1394)))))-COUNTBLANK(OFFSET(A$1,,,SUMPRODUCT(MAX(ROW(E$1:E1393)*(E2=E$1:E1393))))))</f>
        <v> </v>
      </c>
      <c r="K1394" s="25" t="str">
        <f>IF(OR(E1394="",E1394="!!!",F1394="NEW"),"",INDEX(J$1:J1393,SUMPRODUCT(MAX(ROW(E$1:E1393)*(E1394=E$1:E1393)))))</f>
        <v> </v>
      </c>
      <c r="L1394" s="26"/>
    </row>
    <row r="1395" spans="1:12">
      <c r="A1395" s="20" t="s">
        <v>424</v>
      </c>
      <c r="E1395" s="21">
        <f>IF(D1395="?OLD","!!!","")</f>
        <v/>
      </c>
      <c r="F1395" s="22" t="str">
        <f>IF(OR(E1395="",E1395="!!!"),"",IF(NOT(ISNA(VLOOKUP(E1395,E$1:E1394,1,FALSE()))),"OLD",IF(AND(E1395&lt;&gt;"",E1395&lt;&gt;"!!!"),"NEW","")))</f>
        <v> </v>
      </c>
      <c r="G1395" s="23" t="str">
        <f>IF(OR(E1395="",E1395="!!!"),"",IF(OR(J1395=0,AND(J1395=1,K1395=1),AND(J1395=1,I1395="SBJ"),AND(J1395=1,I1395=0)),"?IN_FOCUS",IF(J1395&lt;=2,"?ACTIVATED",IF(J1395&lt;&gt;"","?FAMILIAR",IF(F1395="NEW",IF(ISNA(VLOOKUP(E1395,#REF!,1,FALSE())),"?TYPE_IDENTIFIABLE","?REFERENTIAL"),"_")))))</f>
        <v> </v>
      </c>
      <c r="H1395" s="24" t="str">
        <f>IF(J1395&lt;&gt;1,"",IF(I1395="SBJ","CB","?"))</f>
        <v> </v>
      </c>
      <c r="I1395" s="25" t="str">
        <f>IF(OR(E1395="",E1395="!!!",F1395="NEW"),"",INDEX(B1394:B$2,-1+SUMPRODUCT(MAX(ROW(E1394:E$2)*(E1395=E1394:E$2)))))</f>
        <v> </v>
      </c>
      <c r="J1395" s="25" t="str">
        <f>IF(OR(E1395="",E1395="!!!",F1395="NEW"),"",COUNTBLANK(OFFSET(A$1,,,SUMPRODUCT(MAX(ROW(E$2:E1395)*(E1395=E$2:E1395)))))-COUNTBLANK(OFFSET(A$1,,,SUMPRODUCT(MAX(ROW(E$1:E1394)*(E2=E$1:E1394))))))</f>
        <v> </v>
      </c>
      <c r="K1395" s="25" t="str">
        <f>IF(OR(E1395="",E1395="!!!",F1395="NEW"),"",INDEX(J$1:J1394,SUMPRODUCT(MAX(ROW(E$1:E1394)*(E1395=E$1:E1394)))))</f>
        <v> </v>
      </c>
      <c r="L1395" s="26"/>
    </row>
    <row r="1396" spans="1:12">
      <c r="A1396" s="20" t="s">
        <v>444</v>
      </c>
      <c r="B1396" s="27" t="s">
        <v>381</v>
      </c>
      <c r="C1396" s="27" t="s">
        <v>445</v>
      </c>
      <c r="D1396" s="27" t="s">
        <v>378</v>
      </c>
      <c r="E1396" s="21">
        <f>IF(D1396="?OLD","!!!","")</f>
        <v/>
      </c>
      <c r="F1396" s="22" t="str">
        <f>IF(OR(E1396="",E1396="!!!"),"",IF(NOT(ISNA(VLOOKUP(E1396,E$1:E1395,1,FALSE()))),"OLD",IF(AND(E1396&lt;&gt;"",E1396&lt;&gt;"!!!"),"NEW","")))</f>
        <v> </v>
      </c>
      <c r="G1396" s="23" t="str">
        <f>IF(OR(E1396="",E1396="!!!"),"",IF(OR(J1396=0,AND(J1396=1,K1396=1),AND(J1396=1,I1396="SBJ"),AND(J1396=1,I1396=0)),"?IN_FOCUS",IF(J1396&lt;=2,"?ACTIVATED",IF(J1396&lt;&gt;"","?FAMILIAR",IF(F1396="NEW",IF(ISNA(VLOOKUP(E1396,#REF!,1,FALSE())),"?TYPE_IDENTIFIABLE","?REFERENTIAL"),"_")))))</f>
        <v> </v>
      </c>
      <c r="H1396" s="24" t="str">
        <f>IF(J1396&lt;&gt;1,"",IF(I1396="SBJ","CB","?"))</f>
        <v> </v>
      </c>
      <c r="I1396" s="25" t="str">
        <f>IF(OR(E1396="",E1396="!!!",F1396="NEW"),"",INDEX(B1395:B$2,-1+SUMPRODUCT(MAX(ROW(E1395:E$2)*(E1396=E1395:E$2)))))</f>
        <v> </v>
      </c>
      <c r="J1396" s="25" t="str">
        <f>IF(OR(E1396="",E1396="!!!",F1396="NEW"),"",COUNTBLANK(OFFSET(A$1,,,SUMPRODUCT(MAX(ROW(E$2:E1396)*(E1396=E$2:E1396)))))-COUNTBLANK(OFFSET(A$1,,,SUMPRODUCT(MAX(ROW(E$1:E1395)*(E2=E$1:E1395))))))</f>
        <v> </v>
      </c>
      <c r="K1396" s="25" t="str">
        <f>IF(OR(E1396="",E1396="!!!",F1396="NEW"),"",INDEX(J$1:J1395,SUMPRODUCT(MAX(ROW(E$1:E1395)*(E1396=E$1:E1395)))))</f>
        <v> </v>
      </c>
      <c r="L1396" s="26"/>
    </row>
    <row r="1397" spans="1:12">
      <c r="A1397" s="20" t="s">
        <v>531</v>
      </c>
      <c r="E1397" s="21">
        <f>IF(D1397="?OLD","!!!","")</f>
        <v/>
      </c>
      <c r="F1397" s="22" t="str">
        <f>IF(OR(E1397="",E1397="!!!"),"",IF(NOT(ISNA(VLOOKUP(E1397,E$1:E1396,1,FALSE()))),"OLD",IF(AND(E1397&lt;&gt;"",E1397&lt;&gt;"!!!"),"NEW","")))</f>
        <v> </v>
      </c>
      <c r="G1397" s="23" t="str">
        <f>IF(OR(E1397="",E1397="!!!"),"",IF(OR(J1397=0,AND(J1397=1,K1397=1),AND(J1397=1,I1397="SBJ"),AND(J1397=1,I1397=0)),"?IN_FOCUS",IF(J1397&lt;=2,"?ACTIVATED",IF(J1397&lt;&gt;"","?FAMILIAR",IF(F1397="NEW",IF(ISNA(VLOOKUP(E1397,#REF!,1,FALSE())),"?TYPE_IDENTIFIABLE","?REFERENTIAL"),"_")))))</f>
        <v> </v>
      </c>
      <c r="H1397" s="24" t="str">
        <f>IF(J1397&lt;&gt;1,"",IF(I1397="SBJ","CB","?"))</f>
        <v> </v>
      </c>
      <c r="I1397" s="25" t="str">
        <f>IF(OR(E1397="",E1397="!!!",F1397="NEW"),"",INDEX(B1396:B$2,-1+SUMPRODUCT(MAX(ROW(E1396:E$2)*(E1397=E1396:E$2)))))</f>
        <v> </v>
      </c>
      <c r="J1397" s="25" t="str">
        <f>IF(OR(E1397="",E1397="!!!",F1397="NEW"),"",COUNTBLANK(OFFSET(A$1,,,SUMPRODUCT(MAX(ROW(E$2:E1397)*(E1397=E$2:E1397)))))-COUNTBLANK(OFFSET(A$1,,,SUMPRODUCT(MAX(ROW(E$1:E1396)*(E2=E$1:E1396))))))</f>
        <v> </v>
      </c>
      <c r="K1397" s="25" t="str">
        <f>IF(OR(E1397="",E1397="!!!",F1397="NEW"),"",INDEX(J$1:J1396,SUMPRODUCT(MAX(ROW(E$1:E1396)*(E1397=E$1:E1396)))))</f>
        <v> </v>
      </c>
      <c r="L1397" s="26"/>
    </row>
    <row r="1398" spans="1:12">
      <c r="A1398" s="20" t="s">
        <v>626</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t="s">
        <v>394</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row>
    <row r="1401" spans="1:12">
      <c r="A1401" s="20" t="s">
        <v>870</v>
      </c>
    </row>
    <row r="1402" spans="1:12">
      <c r="A1402" s="20" t="s">
        <v>396</v>
      </c>
      <c r="E1402" s="21">
        <f>IF(D1402="?OLD","!!!","")</f>
        <v/>
      </c>
      <c r="F1402" s="22" t="str">
        <f>IF(OR(E1402="",E1402="!!!"),"",IF(NOT(ISNA(VLOOKUP(E1402,E$1:E1401,1,FALSE()))),"OLD",IF(AND(E1402&lt;&gt;"",E1402&lt;&gt;"!!!"),"NEW","")))</f>
        <v> </v>
      </c>
      <c r="G1402" s="23" t="str">
        <f>IF(OR(E1402="",E1402="!!!"),"",IF(OR(J1402=0,AND(J1402=1,K1402=1),AND(J1402=1,I1402="SBJ"),AND(J1402=1,I1402=0)),"?IN_FOCUS",IF(J1402&lt;=2,"?ACTIVATED",IF(J1402&lt;&gt;"","?FAMILIAR",IF(F1402="NEW",IF(ISNA(VLOOKUP(E1402,#REF!,1,FALSE())),"?TYPE_IDENTIFIABLE","?REFERENTIAL"),"_")))))</f>
        <v> </v>
      </c>
      <c r="H1402" s="24" t="str">
        <f>IF(J1402&lt;&gt;1,"",IF(I1402="SBJ","CB","?"))</f>
        <v> </v>
      </c>
      <c r="I1402" s="25" t="str">
        <f>IF(OR(E1402="",E1402="!!!",F1402="NEW"),"",INDEX(B1401:B$2,-1+SUMPRODUCT(MAX(ROW(E1401:E$2)*(E1402=E1401:E$2)))))</f>
        <v> </v>
      </c>
      <c r="J1402" s="25" t="str">
        <f>IF(OR(E1402="",E1402="!!!",F1402="NEW"),"",COUNTBLANK(OFFSET(A$1,,,SUMPRODUCT(MAX(ROW(E$2:E1402)*(E1402=E$2:E1402)))))-COUNTBLANK(OFFSET(A$1,,,SUMPRODUCT(MAX(ROW(E$1:E1401)*(E2=E$1:E1401))))))</f>
        <v> </v>
      </c>
      <c r="K1402" s="25" t="str">
        <f>IF(OR(E1402="",E1402="!!!",F1402="NEW"),"",INDEX(J$1:J1401,SUMPRODUCT(MAX(ROW(E$1:E1401)*(E1402=E$1:E1401)))))</f>
        <v> </v>
      </c>
      <c r="L1402" s="26"/>
    </row>
    <row r="1403" spans="1:12">
      <c r="A1403" s="20" t="s">
        <v>390</v>
      </c>
      <c r="E1403" s="21">
        <f>IF(D1403="?OLD","!!!","")</f>
        <v/>
      </c>
      <c r="F1403" s="22" t="str">
        <f>IF(OR(E1403="",E1403="!!!"),"",IF(NOT(ISNA(VLOOKUP(E1403,E$1:E1402,1,FALSE()))),"OLD",IF(AND(E1403&lt;&gt;"",E1403&lt;&gt;"!!!"),"NEW","")))</f>
        <v> </v>
      </c>
      <c r="G1403" s="23" t="str">
        <f>IF(OR(E1403="",E1403="!!!"),"",IF(OR(J1403=0,AND(J1403=1,K1403=1),AND(J1403=1,I1403="SBJ"),AND(J1403=1,I1403=0)),"?IN_FOCUS",IF(J1403&lt;=2,"?ACTIVATED",IF(J1403&lt;&gt;"","?FAMILIAR",IF(F1403="NEW",IF(ISNA(VLOOKUP(E1403,#REF!,1,FALSE())),"?TYPE_IDENTIFIABLE","?REFERENTIAL"),"_")))))</f>
        <v> </v>
      </c>
      <c r="H1403" s="24" t="str">
        <f>IF(J1403&lt;&gt;1,"",IF(I1403="SBJ","CB","?"))</f>
        <v> </v>
      </c>
      <c r="I1403" s="25" t="str">
        <f>IF(OR(E1403="",E1403="!!!",F1403="NEW"),"",INDEX(B1402:B$2,-1+SUMPRODUCT(MAX(ROW(E1402:E$2)*(E1403=E1402:E$2)))))</f>
        <v> </v>
      </c>
      <c r="J1403" s="25" t="str">
        <f>IF(OR(E1403="",E1403="!!!",F1403="NEW"),"",COUNTBLANK(OFFSET(A$1,,,SUMPRODUCT(MAX(ROW(E$2:E1403)*(E1403=E$2:E1403)))))-COUNTBLANK(OFFSET(A$1,,,SUMPRODUCT(MAX(ROW(E$1:E1402)*(E2=E$1:E1402))))))</f>
        <v> </v>
      </c>
      <c r="K1403" s="25" t="str">
        <f>IF(OR(E1403="",E1403="!!!",F1403="NEW"),"",INDEX(J$1:J1402,SUMPRODUCT(MAX(ROW(E$1:E1402)*(E1403=E$1:E1402)))))</f>
        <v> </v>
      </c>
      <c r="L1403" s="26"/>
    </row>
    <row r="1404" spans="1:12">
      <c r="A1404" s="20" t="s">
        <v>871</v>
      </c>
      <c r="E1404" s="21">
        <f>IF(D1404="?OLD","!!!","")</f>
        <v/>
      </c>
      <c r="F1404" s="22" t="str">
        <f>IF(OR(E1404="",E1404="!!!"),"",IF(NOT(ISNA(VLOOKUP(E1404,E$1:E1403,1,FALSE()))),"OLD",IF(AND(E1404&lt;&gt;"",E1404&lt;&gt;"!!!"),"NEW","")))</f>
        <v> </v>
      </c>
      <c r="G1404" s="23" t="str">
        <f>IF(OR(E1404="",E1404="!!!"),"",IF(OR(J1404=0,AND(J1404=1,K1404=1),AND(J1404=1,I1404="SBJ"),AND(J1404=1,I1404=0)),"?IN_FOCUS",IF(J1404&lt;=2,"?ACTIVATED",IF(J1404&lt;&gt;"","?FAMILIAR",IF(F1404="NEW",IF(ISNA(VLOOKUP(E1404,#REF!,1,FALSE())),"?TYPE_IDENTIFIABLE","?REFERENTIAL"),"_")))))</f>
        <v> </v>
      </c>
      <c r="H1404" s="24" t="str">
        <f>IF(J1404&lt;&gt;1,"",IF(I1404="SBJ","CB","?"))</f>
        <v> </v>
      </c>
      <c r="I1404" s="25" t="str">
        <f>IF(OR(E1404="",E1404="!!!",F1404="NEW"),"",INDEX(B1403:B$2,-1+SUMPRODUCT(MAX(ROW(E1403:E$2)*(E1404=E1403:E$2)))))</f>
        <v> </v>
      </c>
      <c r="J1404" s="25" t="str">
        <f>IF(OR(E1404="",E1404="!!!",F1404="NEW"),"",COUNTBLANK(OFFSET(A$1,,,SUMPRODUCT(MAX(ROW(E$2:E1404)*(E1404=E$2:E1404)))))-COUNTBLANK(OFFSET(A$1,,,SUMPRODUCT(MAX(ROW(E$1:E1403)*(E2=E$1:E1403))))))</f>
        <v> </v>
      </c>
      <c r="K1404" s="25" t="str">
        <f>IF(OR(E1404="",E1404="!!!",F1404="NEW"),"",INDEX(J$1:J1403,SUMPRODUCT(MAX(ROW(E$1:E1403)*(E1404=E$1:E1403)))))</f>
        <v> </v>
      </c>
      <c r="L1404" s="26"/>
    </row>
    <row r="1405" spans="1:12">
      <c r="A1405" s="20" t="s">
        <v>872</v>
      </c>
      <c r="B1405" s="27" t="s">
        <v>398</v>
      </c>
      <c r="C1405" s="27" t="s">
        <v>393</v>
      </c>
      <c r="D1405" s="27" t="s">
        <v>378</v>
      </c>
      <c r="E1405" s="21">
        <f>IF(D1405="?OLD","!!!","")</f>
        <v/>
      </c>
      <c r="F1405" s="22" t="str">
        <f>IF(OR(E1405="",E1405="!!!"),"",IF(NOT(ISNA(VLOOKUP(E1405,E$1:E1404,1,FALSE()))),"OLD",IF(AND(E1405&lt;&gt;"",E1405&lt;&gt;"!!!"),"NEW","")))</f>
        <v> </v>
      </c>
      <c r="G1405" s="23" t="str">
        <f>IF(OR(E1405="",E1405="!!!"),"",IF(OR(J1405=0,AND(J1405=1,K1405=1),AND(J1405=1,I1405="SBJ"),AND(J1405=1,I1405=0)),"?IN_FOCUS",IF(J1405&lt;=2,"?ACTIVATED",IF(J1405&lt;&gt;"","?FAMILIAR",IF(F1405="NEW",IF(ISNA(VLOOKUP(E1405,#REF!,1,FALSE())),"?TYPE_IDENTIFIABLE","?REFERENTIAL"),"_")))))</f>
        <v> </v>
      </c>
      <c r="H1405" s="24" t="str">
        <f>IF(J1405&lt;&gt;1,"",IF(I1405="SBJ","CB","?"))</f>
        <v> </v>
      </c>
      <c r="I1405" s="25" t="str">
        <f>IF(OR(E1405="",E1405="!!!",F1405="NEW"),"",INDEX(B1404:B$2,-1+SUMPRODUCT(MAX(ROW(E1404:E$2)*(E1405=E1404:E$2)))))</f>
        <v> </v>
      </c>
      <c r="J1405" s="25" t="str">
        <f>IF(OR(E1405="",E1405="!!!",F1405="NEW"),"",COUNTBLANK(OFFSET(A$1,,,SUMPRODUCT(MAX(ROW(E$2:E1405)*(E1405=E$2:E1405)))))-COUNTBLANK(OFFSET(A$1,,,SUMPRODUCT(MAX(ROW(E$1:E1404)*(E2=E$1:E1404))))))</f>
        <v> </v>
      </c>
      <c r="K1405" s="25" t="str">
        <f>IF(OR(E1405="",E1405="!!!",F1405="NEW"),"",INDEX(J$1:J1404,SUMPRODUCT(MAX(ROW(E$1:E1404)*(E1405=E$1:E1404)))))</f>
        <v> </v>
      </c>
      <c r="L1405" s="26"/>
    </row>
    <row r="1406" spans="1:12">
      <c r="A1406" s="20" t="s">
        <v>379</v>
      </c>
      <c r="E1406" s="21">
        <f>IF(D1406="?OLD","!!!","")</f>
        <v/>
      </c>
      <c r="F1406" s="22" t="str">
        <f>IF(OR(E1406="",E1406="!!!"),"",IF(NOT(ISNA(VLOOKUP(E1406,E$1:E1405,1,FALSE()))),"OLD",IF(AND(E1406&lt;&gt;"",E1406&lt;&gt;"!!!"),"NEW","")))</f>
        <v> </v>
      </c>
      <c r="G1406" s="23" t="str">
        <f>IF(OR(E1406="",E1406="!!!"),"",IF(OR(J1406=0,AND(J1406=1,K1406=1),AND(J1406=1,I1406="SBJ"),AND(J1406=1,I1406=0)),"?IN_FOCUS",IF(J1406&lt;=2,"?ACTIVATED",IF(J1406&lt;&gt;"","?FAMILIAR",IF(F1406="NEW",IF(ISNA(VLOOKUP(E1406,#REF!,1,FALSE())),"?TYPE_IDENTIFIABLE","?REFERENTIAL"),"_")))))</f>
        <v> </v>
      </c>
      <c r="H1406" s="24" t="str">
        <f>IF(J1406&lt;&gt;1,"",IF(I1406="SBJ","CB","?"))</f>
        <v> </v>
      </c>
      <c r="I1406" s="25" t="str">
        <f>IF(OR(E1406="",E1406="!!!",F1406="NEW"),"",INDEX(B1405:B$2,-1+SUMPRODUCT(MAX(ROW(E1405:E$2)*(E1406=E1405:E$2)))))</f>
        <v> </v>
      </c>
      <c r="J1406" s="25" t="str">
        <f>IF(OR(E1406="",E1406="!!!",F1406="NEW"),"",COUNTBLANK(OFFSET(A$1,,,SUMPRODUCT(MAX(ROW(E$2:E1406)*(E1406=E$2:E1406)))))-COUNTBLANK(OFFSET(A$1,,,SUMPRODUCT(MAX(ROW(E$1:E1405)*(E2=E$1:E1405))))))</f>
        <v> </v>
      </c>
      <c r="K1406" s="25" t="str">
        <f>IF(OR(E1406="",E1406="!!!",F1406="NEW"),"",INDEX(J$1:J1405,SUMPRODUCT(MAX(ROW(E$1:E1405)*(E1406=E$1:E1405)))))</f>
        <v> </v>
      </c>
      <c r="L1406" s="26"/>
    </row>
    <row r="1407" spans="1:12">
      <c r="A1407" s="20" t="s">
        <v>442</v>
      </c>
      <c r="B1407" s="27" t="s">
        <v>376</v>
      </c>
      <c r="C1407" s="27" t="s">
        <v>429</v>
      </c>
      <c r="D1407" s="27" t="s">
        <v>378</v>
      </c>
      <c r="E1407" s="21">
        <f>IF(D1407="?OLD","!!!","")</f>
        <v/>
      </c>
      <c r="F1407" s="22" t="str">
        <f>IF(OR(E1407="",E1407="!!!"),"",IF(NOT(ISNA(VLOOKUP(E1407,E$1:E1406,1,FALSE()))),"OLD",IF(AND(E1407&lt;&gt;"",E1407&lt;&gt;"!!!"),"NEW","")))</f>
        <v> </v>
      </c>
      <c r="G1407" s="23" t="str">
        <f>IF(OR(E1407="",E1407="!!!"),"",IF(OR(J1407=0,AND(J1407=1,K1407=1),AND(J1407=1,I1407="SBJ"),AND(J1407=1,I1407=0)),"?IN_FOCUS",IF(J1407&lt;=2,"?ACTIVATED",IF(J1407&lt;&gt;"","?FAMILIAR",IF(F1407="NEW",IF(ISNA(VLOOKUP(E1407,#REF!,1,FALSE())),"?TYPE_IDENTIFIABLE","?REFERENTIAL"),"_")))))</f>
        <v> </v>
      </c>
      <c r="H1407" s="24" t="str">
        <f>IF(J1407&lt;&gt;1,"",IF(I1407="SBJ","CB","?"))</f>
        <v> </v>
      </c>
      <c r="I1407" s="25" t="str">
        <f>IF(OR(E1407="",E1407="!!!",F1407="NEW"),"",INDEX(B1406:B$2,-1+SUMPRODUCT(MAX(ROW(E1406:E$2)*(E1407=E1406:E$2)))))</f>
        <v> </v>
      </c>
      <c r="J1407" s="25" t="str">
        <f>IF(OR(E1407="",E1407="!!!",F1407="NEW"),"",COUNTBLANK(OFFSET(A$1,,,SUMPRODUCT(MAX(ROW(E$2:E1407)*(E1407=E$2:E1407)))))-COUNTBLANK(OFFSET(A$1,,,SUMPRODUCT(MAX(ROW(E$1:E1406)*(E2=E$1:E1406))))))</f>
        <v> </v>
      </c>
      <c r="K1407" s="25" t="str">
        <f>IF(OR(E1407="",E1407="!!!",F1407="NEW"),"",INDEX(J$1:J1406,SUMPRODUCT(MAX(ROW(E$1:E1406)*(E1407=E$1:E1406)))))</f>
        <v> </v>
      </c>
      <c r="L1407" s="26"/>
    </row>
    <row r="1408" spans="1:12">
      <c r="A1408" s="20" t="s">
        <v>333</v>
      </c>
      <c r="E1408" s="21">
        <f>IF(D1408="?OLD","!!!","")</f>
        <v/>
      </c>
      <c r="F1408" s="22" t="str">
        <f>IF(OR(E1408="",E1408="!!!"),"",IF(NOT(ISNA(VLOOKUP(E1408,E$1:E1407,1,FALSE()))),"OLD",IF(AND(E1408&lt;&gt;"",E1408&lt;&gt;"!!!"),"NEW","")))</f>
        <v> </v>
      </c>
      <c r="G1408" s="23" t="str">
        <f>IF(OR(E1408="",E1408="!!!"),"",IF(OR(J1408=0,AND(J1408=1,K1408=1),AND(J1408=1,I1408="SBJ"),AND(J1408=1,I1408=0)),"?IN_FOCUS",IF(J1408&lt;=2,"?ACTIVATED",IF(J1408&lt;&gt;"","?FAMILIAR",IF(F1408="NEW",IF(ISNA(VLOOKUP(E1408,#REF!,1,FALSE())),"?TYPE_IDENTIFIABLE","?REFERENTIAL"),"_")))))</f>
        <v> </v>
      </c>
      <c r="H1408" s="24" t="str">
        <f>IF(J1408&lt;&gt;1,"",IF(I1408="SBJ","CB","?"))</f>
        <v> </v>
      </c>
      <c r="I1408" s="25" t="str">
        <f>IF(OR(E1408="",E1408="!!!",F1408="NEW"),"",INDEX(B1407:B$2,-1+SUMPRODUCT(MAX(ROW(E1407:E$2)*(E1408=E1407:E$2)))))</f>
        <v> </v>
      </c>
      <c r="J1408" s="25" t="str">
        <f>IF(OR(E1408="",E1408="!!!",F1408="NEW"),"",COUNTBLANK(OFFSET(A$1,,,SUMPRODUCT(MAX(ROW(E$2:E1408)*(E1408=E$2:E1408)))))-COUNTBLANK(OFFSET(A$1,,,SUMPRODUCT(MAX(ROW(E$1:E1407)*(E2=E$1:E1407))))))</f>
        <v> </v>
      </c>
      <c r="K1408" s="25" t="str">
        <f>IF(OR(E1408="",E1408="!!!",F1408="NEW"),"",INDEX(J$1:J1407,SUMPRODUCT(MAX(ROW(E$1:E1407)*(E1408=E$1:E1407)))))</f>
        <v> </v>
      </c>
      <c r="L1408" s="26"/>
    </row>
    <row r="1409" spans="1:12">
      <c r="A1409" s="20" t="s">
        <v>379</v>
      </c>
      <c r="E1409" s="21">
        <f>IF(D1409="?OLD","!!!","")</f>
        <v/>
      </c>
      <c r="F1409" s="22" t="str">
        <f>IF(OR(E1409="",E1409="!!!"),"",IF(NOT(ISNA(VLOOKUP(E1409,E$1:E1408,1,FALSE()))),"OLD",IF(AND(E1409&lt;&gt;"",E1409&lt;&gt;"!!!"),"NEW","")))</f>
        <v> </v>
      </c>
      <c r="G1409" s="23" t="str">
        <f>IF(OR(E1409="",E1409="!!!"),"",IF(OR(J1409=0,AND(J1409=1,K1409=1),AND(J1409=1,I1409="SBJ"),AND(J1409=1,I1409=0)),"?IN_FOCUS",IF(J1409&lt;=2,"?ACTIVATED",IF(J1409&lt;&gt;"","?FAMILIAR",IF(F1409="NEW",IF(ISNA(VLOOKUP(E1409,#REF!,1,FALSE())),"?TYPE_IDENTIFIABLE","?REFERENTIAL"),"_")))))</f>
        <v> </v>
      </c>
      <c r="H1409" s="24" t="str">
        <f>IF(J1409&lt;&gt;1,"",IF(I1409="SBJ","CB","?"))</f>
        <v> </v>
      </c>
      <c r="I1409" s="25" t="str">
        <f>IF(OR(E1409="",E1409="!!!",F1409="NEW"),"",INDEX(B1408:B$2,-1+SUMPRODUCT(MAX(ROW(E1408:E$2)*(E1409=E1408:E$2)))))</f>
        <v> </v>
      </c>
      <c r="J1409" s="25" t="str">
        <f>IF(OR(E1409="",E1409="!!!",F1409="NEW"),"",COUNTBLANK(OFFSET(A$1,,,SUMPRODUCT(MAX(ROW(E$2:E1409)*(E1409=E$2:E1409)))))-COUNTBLANK(OFFSET(A$1,,,SUMPRODUCT(MAX(ROW(E$1:E1408)*(E2=E$1:E1408))))))</f>
        <v> </v>
      </c>
      <c r="K1409" s="25" t="str">
        <f>IF(OR(E1409="",E1409="!!!",F1409="NEW"),"",INDEX(J$1:J1408,SUMPRODUCT(MAX(ROW(E$1:E1408)*(E1409=E$1:E1408)))))</f>
        <v> </v>
      </c>
      <c r="L1409" s="26"/>
    </row>
    <row r="1410" spans="1:12">
      <c r="A1410" s="20" t="s">
        <v>549</v>
      </c>
      <c r="E1410" s="21">
        <f>IF(D1410="?OLD","!!!","")</f>
        <v/>
      </c>
      <c r="F1410" s="22" t="str">
        <f>IF(OR(E1410="",E1410="!!!"),"",IF(NOT(ISNA(VLOOKUP(E1410,E$1:E1409,1,FALSE()))),"OLD",IF(AND(E1410&lt;&gt;"",E1410&lt;&gt;"!!!"),"NEW","")))</f>
        <v> </v>
      </c>
      <c r="G1410" s="23" t="str">
        <f>IF(OR(E1410="",E1410="!!!"),"",IF(OR(J1410=0,AND(J1410=1,K1410=1),AND(J1410=1,I1410="SBJ"),AND(J1410=1,I1410=0)),"?IN_FOCUS",IF(J1410&lt;=2,"?ACTIVATED",IF(J1410&lt;&gt;"","?FAMILIAR",IF(F1410="NEW",IF(ISNA(VLOOKUP(E1410,#REF!,1,FALSE())),"?TYPE_IDENTIFIABLE","?REFERENTIAL"),"_")))))</f>
        <v> </v>
      </c>
      <c r="H1410" s="24" t="str">
        <f>IF(J1410&lt;&gt;1,"",IF(I1410="SBJ","CB","?"))</f>
        <v> </v>
      </c>
      <c r="I1410" s="25" t="str">
        <f>IF(OR(E1410="",E1410="!!!",F1410="NEW"),"",INDEX(B1409:B$2,-1+SUMPRODUCT(MAX(ROW(E1409:E$2)*(E1410=E1409:E$2)))))</f>
        <v> </v>
      </c>
      <c r="J1410" s="25" t="str">
        <f>IF(OR(E1410="",E1410="!!!",F1410="NEW"),"",COUNTBLANK(OFFSET(A$1,,,SUMPRODUCT(MAX(ROW(E$2:E1410)*(E1410=E$2:E1410)))))-COUNTBLANK(OFFSET(A$1,,,SUMPRODUCT(MAX(ROW(E$1:E1409)*(E2=E$1:E1409))))))</f>
        <v> </v>
      </c>
      <c r="K1410" s="25" t="str">
        <f>IF(OR(E1410="",E1410="!!!",F1410="NEW"),"",INDEX(J$1:J1409,SUMPRODUCT(MAX(ROW(E$1:E1409)*(E1410=E$1:E1409)))))</f>
        <v> </v>
      </c>
      <c r="L1410" s="26"/>
    </row>
    <row r="1411" spans="1:12">
      <c r="A1411" s="20" t="s">
        <v>476</v>
      </c>
      <c r="E1411" s="21">
        <f>IF(D1411="?OLD","!!!","")</f>
        <v/>
      </c>
      <c r="F1411" s="22" t="str">
        <f>IF(OR(E1411="",E1411="!!!"),"",IF(NOT(ISNA(VLOOKUP(E1411,E$1:E1410,1,FALSE()))),"OLD",IF(AND(E1411&lt;&gt;"",E1411&lt;&gt;"!!!"),"NEW","")))</f>
        <v> </v>
      </c>
      <c r="G1411" s="23" t="str">
        <f>IF(OR(E1411="",E1411="!!!"),"",IF(OR(J1411=0,AND(J1411=1,K1411=1),AND(J1411=1,I1411="SBJ"),AND(J1411=1,I1411=0)),"?IN_FOCUS",IF(J1411&lt;=2,"?ACTIVATED",IF(J1411&lt;&gt;"","?FAMILIAR",IF(F1411="NEW",IF(ISNA(VLOOKUP(E1411,#REF!,1,FALSE())),"?TYPE_IDENTIFIABLE","?REFERENTIAL"),"_")))))</f>
        <v> </v>
      </c>
      <c r="H1411" s="24" t="str">
        <f>IF(J1411&lt;&gt;1,"",IF(I1411="SBJ","CB","?"))</f>
        <v> </v>
      </c>
      <c r="I1411" s="25" t="str">
        <f>IF(OR(E1411="",E1411="!!!",F1411="NEW"),"",INDEX(B1410:B$2,-1+SUMPRODUCT(MAX(ROW(E1410:E$2)*(E1411=E1410:E$2)))))</f>
        <v> </v>
      </c>
      <c r="J1411" s="25" t="str">
        <f>IF(OR(E1411="",E1411="!!!",F1411="NEW"),"",COUNTBLANK(OFFSET(A$1,,,SUMPRODUCT(MAX(ROW(E$2:E1411)*(E1411=E$2:E1411)))))-COUNTBLANK(OFFSET(A$1,,,SUMPRODUCT(MAX(ROW(E$1:E1410)*(E2=E$1:E1410))))))</f>
        <v> </v>
      </c>
      <c r="K1411" s="25" t="str">
        <f>IF(OR(E1411="",E1411="!!!",F1411="NEW"),"",INDEX(J$1:J1410,SUMPRODUCT(MAX(ROW(E$1:E1410)*(E1411=E$1:E1410)))))</f>
        <v> </v>
      </c>
      <c r="L1411" s="26"/>
    </row>
    <row r="1412" spans="1:12">
      <c r="A1412" s="20" t="s">
        <v>385</v>
      </c>
      <c r="B1412" s="27" t="s">
        <v>387</v>
      </c>
      <c r="C1412" s="27" t="s">
        <v>475</v>
      </c>
      <c r="D1412" s="27" t="s">
        <v>378</v>
      </c>
      <c r="E1412" s="21">
        <f>IF(D1412="?OLD","!!!","")</f>
        <v/>
      </c>
      <c r="F1412" s="22" t="str">
        <f>IF(OR(E1412="",E1412="!!!"),"",IF(NOT(ISNA(VLOOKUP(E1412,E$1:E1411,1,FALSE()))),"OLD",IF(AND(E1412&lt;&gt;"",E1412&lt;&gt;"!!!"),"NEW","")))</f>
        <v> </v>
      </c>
      <c r="G1412" s="23" t="str">
        <f>IF(OR(E1412="",E1412="!!!"),"",IF(OR(J1412=0,AND(J1412=1,K1412=1),AND(J1412=1,I1412="SBJ"),AND(J1412=1,I1412=0)),"?IN_FOCUS",IF(J1412&lt;=2,"?ACTIVATED",IF(J1412&lt;&gt;"","?FAMILIAR",IF(F1412="NEW",IF(ISNA(VLOOKUP(E1412,#REF!,1,FALSE())),"?TYPE_IDENTIFIABLE","?REFERENTIAL"),"_")))))</f>
        <v> </v>
      </c>
      <c r="H1412" s="24" t="str">
        <f>IF(J1412&lt;&gt;1,"",IF(I1412="SBJ","CB","?"))</f>
        <v> </v>
      </c>
      <c r="I1412" s="25" t="str">
        <f>IF(OR(E1412="",E1412="!!!",F1412="NEW"),"",INDEX(B1411:B$2,-1+SUMPRODUCT(MAX(ROW(E1411:E$2)*(E1412=E1411:E$2)))))</f>
        <v> </v>
      </c>
      <c r="J1412" s="25" t="str">
        <f>IF(OR(E1412="",E1412="!!!",F1412="NEW"),"",COUNTBLANK(OFFSET(A$1,,,SUMPRODUCT(MAX(ROW(E$2:E1412)*(E1412=E$2:E1412)))))-COUNTBLANK(OFFSET(A$1,,,SUMPRODUCT(MAX(ROW(E$1:E1411)*(E2=E$1:E1411))))))</f>
        <v> </v>
      </c>
      <c r="K1412" s="25" t="str">
        <f>IF(OR(E1412="",E1412="!!!",F1412="NEW"),"",INDEX(J$1:J1411,SUMPRODUCT(MAX(ROW(E$1:E1411)*(E1412=E$1:E1411)))))</f>
        <v> </v>
      </c>
      <c r="L1412" s="26"/>
    </row>
    <row r="1413" spans="1:12">
      <c r="A1413" s="20" t="s">
        <v>873</v>
      </c>
      <c r="E1413" s="21">
        <f>IF(D1413="?OLD","!!!","")</f>
        <v/>
      </c>
      <c r="F1413" s="22" t="str">
        <f>IF(OR(E1413="",E1413="!!!"),"",IF(NOT(ISNA(VLOOKUP(E1413,E$1:E1412,1,FALSE()))),"OLD",IF(AND(E1413&lt;&gt;"",E1413&lt;&gt;"!!!"),"NEW","")))</f>
        <v> </v>
      </c>
      <c r="G1413" s="23" t="str">
        <f>IF(OR(E1413="",E1413="!!!"),"",IF(OR(J1413=0,AND(J1413=1,K1413=1),AND(J1413=1,I1413="SBJ"),AND(J1413=1,I1413=0)),"?IN_FOCUS",IF(J1413&lt;=2,"?ACTIVATED",IF(J1413&lt;&gt;"","?FAMILIAR",IF(F1413="NEW",IF(ISNA(VLOOKUP(E1413,#REF!,1,FALSE())),"?TYPE_IDENTIFIABLE","?REFERENTIAL"),"_")))))</f>
        <v> </v>
      </c>
      <c r="H1413" s="24" t="str">
        <f>IF(J1413&lt;&gt;1,"",IF(I1413="SBJ","CB","?"))</f>
        <v> </v>
      </c>
      <c r="I1413" s="25" t="str">
        <f>IF(OR(E1413="",E1413="!!!",F1413="NEW"),"",INDEX(B1412:B$2,-1+SUMPRODUCT(MAX(ROW(E1412:E$2)*(E1413=E1412:E$2)))))</f>
        <v> </v>
      </c>
      <c r="J1413" s="25" t="str">
        <f>IF(OR(E1413="",E1413="!!!",F1413="NEW"),"",COUNTBLANK(OFFSET(A$1,,,SUMPRODUCT(MAX(ROW(E$2:E1413)*(E1413=E$2:E1413)))))-COUNTBLANK(OFFSET(A$1,,,SUMPRODUCT(MAX(ROW(E$1:E1412)*(E2=E$1:E1412))))))</f>
        <v> </v>
      </c>
      <c r="K1413" s="25" t="str">
        <f>IF(OR(E1413="",E1413="!!!",F1413="NEW"),"",INDEX(J$1:J1412,SUMPRODUCT(MAX(ROW(E$1:E1412)*(E1413=E$1:E1412)))))</f>
        <v> </v>
      </c>
      <c r="L1413" s="26"/>
    </row>
    <row r="1414" spans="1:12">
      <c r="A1414" s="20" t="s">
        <v>549</v>
      </c>
      <c r="E1414" s="21">
        <f>IF(D1414="?OLD","!!!","")</f>
        <v/>
      </c>
      <c r="F1414" s="22" t="str">
        <f>IF(OR(E1414="",E1414="!!!"),"",IF(NOT(ISNA(VLOOKUP(E1414,E$1:E1413,1,FALSE()))),"OLD",IF(AND(E1414&lt;&gt;"",E1414&lt;&gt;"!!!"),"NEW","")))</f>
        <v> </v>
      </c>
      <c r="G1414" s="23" t="str">
        <f>IF(OR(E1414="",E1414="!!!"),"",IF(OR(J1414=0,AND(J1414=1,K1414=1),AND(J1414=1,I1414="SBJ"),AND(J1414=1,I1414=0)),"?IN_FOCUS",IF(J1414&lt;=2,"?ACTIVATED",IF(J1414&lt;&gt;"","?FAMILIAR",IF(F1414="NEW",IF(ISNA(VLOOKUP(E1414,#REF!,1,FALSE())),"?TYPE_IDENTIFIABLE","?REFERENTIAL"),"_")))))</f>
        <v> </v>
      </c>
      <c r="H1414" s="24" t="str">
        <f>IF(J1414&lt;&gt;1,"",IF(I1414="SBJ","CB","?"))</f>
        <v> </v>
      </c>
      <c r="I1414" s="25" t="str">
        <f>IF(OR(E1414="",E1414="!!!",F1414="NEW"),"",INDEX(B1413:B$2,-1+SUMPRODUCT(MAX(ROW(E1413:E$2)*(E1414=E1413:E$2)))))</f>
        <v> </v>
      </c>
      <c r="J1414" s="25" t="str">
        <f>IF(OR(E1414="",E1414="!!!",F1414="NEW"),"",COUNTBLANK(OFFSET(A$1,,,SUMPRODUCT(MAX(ROW(E$2:E1414)*(E1414=E$2:E1414)))))-COUNTBLANK(OFFSET(A$1,,,SUMPRODUCT(MAX(ROW(E$1:E1413)*(E2=E$1:E1413))))))</f>
        <v> </v>
      </c>
      <c r="K1414" s="25" t="str">
        <f>IF(OR(E1414="",E1414="!!!",F1414="NEW"),"",INDEX(J$1:J1413,SUMPRODUCT(MAX(ROW(E$1:E1413)*(E1414=E$1:E1413)))))</f>
        <v> </v>
      </c>
      <c r="L1414" s="26"/>
    </row>
    <row r="1415" spans="1:12">
      <c r="A1415" s="20" t="s">
        <v>384</v>
      </c>
      <c r="E1415" s="21">
        <f>IF(D1415="?OLD","!!!","")</f>
        <v/>
      </c>
      <c r="F1415" s="22" t="str">
        <f>IF(OR(E1415="",E1415="!!!"),"",IF(NOT(ISNA(VLOOKUP(E1415,E$1:E1414,1,FALSE()))),"OLD",IF(AND(E1415&lt;&gt;"",E1415&lt;&gt;"!!!"),"NEW","")))</f>
        <v> </v>
      </c>
      <c r="G1415" s="23" t="str">
        <f>IF(OR(E1415="",E1415="!!!"),"",IF(OR(J1415=0,AND(J1415=1,K1415=1),AND(J1415=1,I1415="SBJ"),AND(J1415=1,I1415=0)),"?IN_FOCUS",IF(J1415&lt;=2,"?ACTIVATED",IF(J1415&lt;&gt;"","?FAMILIAR",IF(F1415="NEW",IF(ISNA(VLOOKUP(E1415,#REF!,1,FALSE())),"?TYPE_IDENTIFIABLE","?REFERENTIAL"),"_")))))</f>
        <v> </v>
      </c>
      <c r="H1415" s="24" t="str">
        <f>IF(J1415&lt;&gt;1,"",IF(I1415="SBJ","CB","?"))</f>
        <v> </v>
      </c>
      <c r="I1415" s="25" t="str">
        <f>IF(OR(E1415="",E1415="!!!",F1415="NEW"),"",INDEX(B1414:B$2,-1+SUMPRODUCT(MAX(ROW(E1414:E$2)*(E1415=E1414:E$2)))))</f>
        <v> </v>
      </c>
      <c r="J1415" s="25" t="str">
        <f>IF(OR(E1415="",E1415="!!!",F1415="NEW"),"",COUNTBLANK(OFFSET(A$1,,,SUMPRODUCT(MAX(ROW(E$2:E1415)*(E1415=E$2:E1415)))))-COUNTBLANK(OFFSET(A$1,,,SUMPRODUCT(MAX(ROW(E$1:E1414)*(E2=E$1:E1414))))))</f>
        <v> </v>
      </c>
      <c r="K1415" s="25" t="str">
        <f>IF(OR(E1415="",E1415="!!!",F1415="NEW"),"",INDEX(J$1:J1414,SUMPRODUCT(MAX(ROW(E$1:E1414)*(E1415=E$1:E1414)))))</f>
        <v> </v>
      </c>
      <c r="L1415" s="26"/>
    </row>
    <row r="1416" spans="1:12">
      <c r="A1416" s="20" t="s">
        <v>874</v>
      </c>
      <c r="E1416" s="21">
        <f>IF(D1416="?OLD","!!!","")</f>
        <v/>
      </c>
      <c r="F1416" s="22" t="str">
        <f>IF(OR(E1416="",E1416="!!!"),"",IF(NOT(ISNA(VLOOKUP(E1416,E$1:E1415,1,FALSE()))),"OLD",IF(AND(E1416&lt;&gt;"",E1416&lt;&gt;"!!!"),"NEW","")))</f>
        <v> </v>
      </c>
      <c r="G1416" s="23" t="str">
        <f>IF(OR(E1416="",E1416="!!!"),"",IF(OR(J1416=0,AND(J1416=1,K1416=1),AND(J1416=1,I1416="SBJ"),AND(J1416=1,I1416=0)),"?IN_FOCUS",IF(J1416&lt;=2,"?ACTIVATED",IF(J1416&lt;&gt;"","?FAMILIAR",IF(F1416="NEW",IF(ISNA(VLOOKUP(E1416,#REF!,1,FALSE())),"?TYPE_IDENTIFIABLE","?REFERENTIAL"),"_")))))</f>
        <v> </v>
      </c>
      <c r="H1416" s="24" t="str">
        <f>IF(J1416&lt;&gt;1,"",IF(I1416="SBJ","CB","?"))</f>
        <v> </v>
      </c>
      <c r="I1416" s="25" t="str">
        <f>IF(OR(E1416="",E1416="!!!",F1416="NEW"),"",INDEX(B1415:B$2,-1+SUMPRODUCT(MAX(ROW(E1415:E$2)*(E1416=E1415:E$2)))))</f>
        <v> </v>
      </c>
      <c r="J1416" s="25" t="str">
        <f>IF(OR(E1416="",E1416="!!!",F1416="NEW"),"",COUNTBLANK(OFFSET(A$1,,,SUMPRODUCT(MAX(ROW(E$2:E1416)*(E1416=E$2:E1416)))))-COUNTBLANK(OFFSET(A$1,,,SUMPRODUCT(MAX(ROW(E$1:E1415)*(E2=E$1:E1415))))))</f>
        <v> </v>
      </c>
      <c r="K1416" s="25" t="str">
        <f>IF(OR(E1416="",E1416="!!!",F1416="NEW"),"",INDEX(J$1:J1415,SUMPRODUCT(MAX(ROW(E$1:E1415)*(E1416=E$1:E1415)))))</f>
        <v> </v>
      </c>
      <c r="L1416" s="26"/>
    </row>
    <row r="1417" spans="1:12">
      <c r="A1417" s="20" t="s">
        <v>875</v>
      </c>
      <c r="B1417" s="27" t="s">
        <v>398</v>
      </c>
      <c r="C1417" s="27" t="s">
        <v>388</v>
      </c>
      <c r="E1417" s="21">
        <f>IF(D1417="?OLD","!!!","")</f>
        <v/>
      </c>
      <c r="F1417" s="22" t="str">
        <f>IF(OR(E1417="",E1417="!!!"),"",IF(NOT(ISNA(VLOOKUP(E1417,E$1:E1416,1,FALSE()))),"OLD",IF(AND(E1417&lt;&gt;"",E1417&lt;&gt;"!!!"),"NEW","")))</f>
        <v> </v>
      </c>
      <c r="G1417" s="23" t="str">
        <f>IF(OR(E1417="",E1417="!!!"),"",IF(OR(J1417=0,AND(J1417=1,K1417=1),AND(J1417=1,I1417="SBJ"),AND(J1417=1,I1417=0)),"?IN_FOCUS",IF(J1417&lt;=2,"?ACTIVATED",IF(J1417&lt;&gt;"","?FAMILIAR",IF(F1417="NEW",IF(ISNA(VLOOKUP(E1417,#REF!,1,FALSE())),"?TYPE_IDENTIFIABLE","?REFERENTIAL"),"_")))))</f>
        <v> </v>
      </c>
      <c r="H1417" s="24" t="str">
        <f>IF(J1417&lt;&gt;1,"",IF(I1417="SBJ","CB","?"))</f>
        <v> </v>
      </c>
      <c r="I1417" s="25" t="str">
        <f>IF(OR(E1417="",E1417="!!!",F1417="NEW"),"",INDEX(B1416:B$2,-1+SUMPRODUCT(MAX(ROW(E1416:E$2)*(E1417=E1416:E$2)))))</f>
        <v> </v>
      </c>
      <c r="J1417" s="25" t="str">
        <f>IF(OR(E1417="",E1417="!!!",F1417="NEW"),"",COUNTBLANK(OFFSET(A$1,,,SUMPRODUCT(MAX(ROW(E$2:E1417)*(E1417=E$2:E1417)))))-COUNTBLANK(OFFSET(A$1,,,SUMPRODUCT(MAX(ROW(E$1:E1416)*(E2=E$1:E1416))))))</f>
        <v> </v>
      </c>
      <c r="K1417" s="25" t="str">
        <f>IF(OR(E1417="",E1417="!!!",F1417="NEW"),"",INDEX(J$1:J1416,SUMPRODUCT(MAX(ROW(E$1:E1416)*(E1417=E$1:E1416)))))</f>
        <v> </v>
      </c>
      <c r="L1417" s="26"/>
    </row>
    <row r="1418" spans="1:12">
      <c r="A1418" s="20" t="s">
        <v>394</v>
      </c>
      <c r="E1418" s="21">
        <f>IF(D1418="?OLD","!!!","")</f>
        <v/>
      </c>
      <c r="F1418" s="22" t="str">
        <f>IF(OR(E1418="",E1418="!!!"),"",IF(NOT(ISNA(VLOOKUP(E1418,E$1:E1417,1,FALSE()))),"OLD",IF(AND(E1418&lt;&gt;"",E1418&lt;&gt;"!!!"),"NEW","")))</f>
        <v> </v>
      </c>
      <c r="G1418" s="23" t="str">
        <f>IF(OR(E1418="",E1418="!!!"),"",IF(OR(J1418=0,AND(J1418=1,K1418=1),AND(J1418=1,I1418="SBJ"),AND(J1418=1,I1418=0)),"?IN_FOCUS",IF(J1418&lt;=2,"?ACTIVATED",IF(J1418&lt;&gt;"","?FAMILIAR",IF(F1418="NEW",IF(ISNA(VLOOKUP(E1418,#REF!,1,FALSE())),"?TYPE_IDENTIFIABLE","?REFERENTIAL"),"_")))))</f>
        <v> </v>
      </c>
      <c r="H1418" s="24" t="str">
        <f>IF(J1418&lt;&gt;1,"",IF(I1418="SBJ","CB","?"))</f>
        <v> </v>
      </c>
      <c r="I1418" s="25" t="str">
        <f>IF(OR(E1418="",E1418="!!!",F1418="NEW"),"",INDEX(B1417:B$2,-1+SUMPRODUCT(MAX(ROW(E1417:E$2)*(E1418=E1417:E$2)))))</f>
        <v> </v>
      </c>
      <c r="J1418" s="25" t="str">
        <f>IF(OR(E1418="",E1418="!!!",F1418="NEW"),"",COUNTBLANK(OFFSET(A$1,,,SUMPRODUCT(MAX(ROW(E$2:E1418)*(E1418=E$2:E1418)))))-COUNTBLANK(OFFSET(A$1,,,SUMPRODUCT(MAX(ROW(E$1:E1417)*(E2=E$1:E1417))))))</f>
        <v> </v>
      </c>
      <c r="K1418" s="25" t="str">
        <f>IF(OR(E1418="",E1418="!!!",F1418="NEW"),"",INDEX(J$1:J1417,SUMPRODUCT(MAX(ROW(E$1:E1417)*(E1418=E$1:E1417)))))</f>
        <v> </v>
      </c>
      <c r="L1418" s="26"/>
    </row>
    <row r="1419" spans="1:12">
      <c r="A1419" s="20"/>
    </row>
    <row r="1420" spans="1:12">
      <c r="A1420" s="20" t="s">
        <v>876</v>
      </c>
    </row>
    <row r="1421" spans="1:12">
      <c r="A1421" s="20" t="s">
        <v>636</v>
      </c>
      <c r="E1421" s="21">
        <f>IF(D1421="?OLD","!!!","")</f>
        <v/>
      </c>
      <c r="F1421" s="22" t="str">
        <f>IF(OR(E1421="",E1421="!!!"),"",IF(NOT(ISNA(VLOOKUP(E1421,E$1:E1420,1,FALSE()))),"OLD",IF(AND(E1421&lt;&gt;"",E1421&lt;&gt;"!!!"),"NEW","")))</f>
        <v> </v>
      </c>
      <c r="G1421" s="23" t="str">
        <f>IF(OR(E1421="",E1421="!!!"),"",IF(OR(J1421=0,AND(J1421=1,K1421=1),AND(J1421=1,I1421="SBJ"),AND(J1421=1,I1421=0)),"?IN_FOCUS",IF(J1421&lt;=2,"?ACTIVATED",IF(J1421&lt;&gt;"","?FAMILIAR",IF(F1421="NEW",IF(ISNA(VLOOKUP(E1421,#REF!,1,FALSE())),"?TYPE_IDENTIFIABLE","?REFERENTIAL"),"_")))))</f>
        <v> </v>
      </c>
      <c r="H1421" s="24" t="str">
        <f>IF(J1421&lt;&gt;1,"",IF(I1421="SBJ","CB","?"))</f>
        <v> </v>
      </c>
      <c r="I1421" s="25" t="str">
        <f>IF(OR(E1421="",E1421="!!!",F1421="NEW"),"",INDEX(B1420:B$2,-1+SUMPRODUCT(MAX(ROW(E1420:E$2)*(E1421=E1420:E$2)))))</f>
        <v> </v>
      </c>
      <c r="J1421" s="25" t="str">
        <f>IF(OR(E1421="",E1421="!!!",F1421="NEW"),"",COUNTBLANK(OFFSET(A$1,,,SUMPRODUCT(MAX(ROW(E$2:E1421)*(E1421=E$2:E1421)))))-COUNTBLANK(OFFSET(A$1,,,SUMPRODUCT(MAX(ROW(E$1:E1420)*(E2=E$1:E1420))))))</f>
        <v> </v>
      </c>
      <c r="K1421" s="25" t="str">
        <f>IF(OR(E1421="",E1421="!!!",F1421="NEW"),"",INDEX(J$1:J1420,SUMPRODUCT(MAX(ROW(E$1:E1420)*(E1421=E$1:E1420)))))</f>
        <v> </v>
      </c>
      <c r="L1421" s="26"/>
    </row>
    <row r="1422" spans="1:12">
      <c r="A1422" s="20" t="s">
        <v>877</v>
      </c>
      <c r="E1422" s="21">
        <f>IF(D1422="?OLD","!!!","")</f>
        <v/>
      </c>
      <c r="F1422" s="22" t="str">
        <f>IF(OR(E1422="",E1422="!!!"),"",IF(NOT(ISNA(VLOOKUP(E1422,E$1:E1421,1,FALSE()))),"OLD",IF(AND(E1422&lt;&gt;"",E1422&lt;&gt;"!!!"),"NEW","")))</f>
        <v> </v>
      </c>
      <c r="G1422" s="23" t="str">
        <f>IF(OR(E1422="",E1422="!!!"),"",IF(OR(J1422=0,AND(J1422=1,K1422=1),AND(J1422=1,I1422="SBJ"),AND(J1422=1,I1422=0)),"?IN_FOCUS",IF(J1422&lt;=2,"?ACTIVATED",IF(J1422&lt;&gt;"","?FAMILIAR",IF(F1422="NEW",IF(ISNA(VLOOKUP(E1422,#REF!,1,FALSE())),"?TYPE_IDENTIFIABLE","?REFERENTIAL"),"_")))))</f>
        <v> </v>
      </c>
      <c r="H1422" s="24" t="str">
        <f>IF(J1422&lt;&gt;1,"",IF(I1422="SBJ","CB","?"))</f>
        <v> </v>
      </c>
      <c r="I1422" s="25" t="str">
        <f>IF(OR(E1422="",E1422="!!!",F1422="NEW"),"",INDEX(B1421:B$2,-1+SUMPRODUCT(MAX(ROW(E1421:E$2)*(E1422=E1421:E$2)))))</f>
        <v> </v>
      </c>
      <c r="J1422" s="25" t="str">
        <f>IF(OR(E1422="",E1422="!!!",F1422="NEW"),"",COUNTBLANK(OFFSET(A$1,,,SUMPRODUCT(MAX(ROW(E$2:E1422)*(E1422=E$2:E1422)))))-COUNTBLANK(OFFSET(A$1,,,SUMPRODUCT(MAX(ROW(E$1:E1421)*(E2=E$1:E1421))))))</f>
        <v> </v>
      </c>
      <c r="K1422" s="25" t="str">
        <f>IF(OR(E1422="",E1422="!!!",F1422="NEW"),"",INDEX(J$1:J1421,SUMPRODUCT(MAX(ROW(E$1:E1421)*(E1422=E$1:E1421)))))</f>
        <v> </v>
      </c>
      <c r="L1422" s="26"/>
    </row>
    <row r="1423" spans="1:12">
      <c r="A1423" s="20" t="s">
        <v>476</v>
      </c>
      <c r="E1423" s="21">
        <f>IF(D1423="?OLD","!!!","")</f>
        <v/>
      </c>
      <c r="F1423" s="22" t="str">
        <f>IF(OR(E1423="",E1423="!!!"),"",IF(NOT(ISNA(VLOOKUP(E1423,E$1:E1422,1,FALSE()))),"OLD",IF(AND(E1423&lt;&gt;"",E1423&lt;&gt;"!!!"),"NEW","")))</f>
        <v> </v>
      </c>
      <c r="G1423" s="23" t="str">
        <f>IF(OR(E1423="",E1423="!!!"),"",IF(OR(J1423=0,AND(J1423=1,K1423=1),AND(J1423=1,I1423="SBJ"),AND(J1423=1,I1423=0)),"?IN_FOCUS",IF(J1423&lt;=2,"?ACTIVATED",IF(J1423&lt;&gt;"","?FAMILIAR",IF(F1423="NEW",IF(ISNA(VLOOKUP(E1423,#REF!,1,FALSE())),"?TYPE_IDENTIFIABLE","?REFERENTIAL"),"_")))))</f>
        <v> </v>
      </c>
      <c r="H1423" s="24" t="str">
        <f>IF(J1423&lt;&gt;1,"",IF(I1423="SBJ","CB","?"))</f>
        <v> </v>
      </c>
      <c r="I1423" s="25" t="str">
        <f>IF(OR(E1423="",E1423="!!!",F1423="NEW"),"",INDEX(B1422:B$2,-1+SUMPRODUCT(MAX(ROW(E1422:E$2)*(E1423=E1422:E$2)))))</f>
        <v> </v>
      </c>
      <c r="J1423" s="25" t="str">
        <f>IF(OR(E1423="",E1423="!!!",F1423="NEW"),"",COUNTBLANK(OFFSET(A$1,,,SUMPRODUCT(MAX(ROW(E$2:E1423)*(E1423=E$2:E1423)))))-COUNTBLANK(OFFSET(A$1,,,SUMPRODUCT(MAX(ROW(E$1:E1422)*(E2=E$1:E1422))))))</f>
        <v> </v>
      </c>
      <c r="K1423" s="25" t="str">
        <f>IF(OR(E1423="",E1423="!!!",F1423="NEW"),"",INDEX(J$1:J1422,SUMPRODUCT(MAX(ROW(E$1:E1422)*(E1423=E$1:E1422)))))</f>
        <v> </v>
      </c>
      <c r="L1423" s="26"/>
    </row>
    <row r="1424" spans="1:12">
      <c r="A1424" s="20" t="s">
        <v>878</v>
      </c>
      <c r="B1424" s="27" t="s">
        <v>387</v>
      </c>
      <c r="C1424" s="27" t="s">
        <v>429</v>
      </c>
      <c r="D1424" s="27" t="s">
        <v>378</v>
      </c>
      <c r="E1424" s="21">
        <f>IF(D1424="?OLD","!!!","")</f>
        <v/>
      </c>
      <c r="F1424" s="22" t="str">
        <f>IF(OR(E1424="",E1424="!!!"),"",IF(NOT(ISNA(VLOOKUP(E1424,E$1:E1423,1,FALSE()))),"OLD",IF(AND(E1424&lt;&gt;"",E1424&lt;&gt;"!!!"),"NEW","")))</f>
        <v> </v>
      </c>
      <c r="G1424" s="23" t="str">
        <f>IF(OR(E1424="",E1424="!!!"),"",IF(OR(J1424=0,AND(J1424=1,K1424=1),AND(J1424=1,I1424="SBJ"),AND(J1424=1,I1424=0)),"?IN_FOCUS",IF(J1424&lt;=2,"?ACTIVATED",IF(J1424&lt;&gt;"","?FAMILIAR",IF(F1424="NEW",IF(ISNA(VLOOKUP(E1424,#REF!,1,FALSE())),"?TYPE_IDENTIFIABLE","?REFERENTIAL"),"_")))))</f>
        <v> </v>
      </c>
      <c r="H1424" s="24" t="str">
        <f>IF(J1424&lt;&gt;1,"",IF(I1424="SBJ","CB","?"))</f>
        <v> </v>
      </c>
      <c r="I1424" s="25" t="str">
        <f>IF(OR(E1424="",E1424="!!!",F1424="NEW"),"",INDEX(B1423:B$2,-1+SUMPRODUCT(MAX(ROW(E1423:E$2)*(E1424=E1423:E$2)))))</f>
        <v> </v>
      </c>
      <c r="J1424" s="25" t="str">
        <f>IF(OR(E1424="",E1424="!!!",F1424="NEW"),"",COUNTBLANK(OFFSET(A$1,,,SUMPRODUCT(MAX(ROW(E$2:E1424)*(E1424=E$2:E1424)))))-COUNTBLANK(OFFSET(A$1,,,SUMPRODUCT(MAX(ROW(E$1:E1423)*(E2=E$1:E1423))))))</f>
        <v> </v>
      </c>
      <c r="K1424" s="25" t="str">
        <f>IF(OR(E1424="",E1424="!!!",F1424="NEW"),"",INDEX(J$1:J1423,SUMPRODUCT(MAX(ROW(E$1:E1423)*(E1424=E$1:E1423)))))</f>
        <v> </v>
      </c>
      <c r="L1424" s="26"/>
    </row>
    <row r="1425" spans="1:12">
      <c r="A1425" s="20" t="s">
        <v>879</v>
      </c>
      <c r="E1425" s="21">
        <f>IF(D1425="?OLD","!!!","")</f>
        <v/>
      </c>
      <c r="F1425" s="22" t="str">
        <f>IF(OR(E1425="",E1425="!!!"),"",IF(NOT(ISNA(VLOOKUP(E1425,E$1:E1424,1,FALSE()))),"OLD",IF(AND(E1425&lt;&gt;"",E1425&lt;&gt;"!!!"),"NEW","")))</f>
        <v> </v>
      </c>
      <c r="G1425" s="23" t="str">
        <f>IF(OR(E1425="",E1425="!!!"),"",IF(OR(J1425=0,AND(J1425=1,K1425=1),AND(J1425=1,I1425="SBJ"),AND(J1425=1,I1425=0)),"?IN_FOCUS",IF(J1425&lt;=2,"?ACTIVATED",IF(J1425&lt;&gt;"","?FAMILIAR",IF(F1425="NEW",IF(ISNA(VLOOKUP(E1425,#REF!,1,FALSE())),"?TYPE_IDENTIFIABLE","?REFERENTIAL"),"_")))))</f>
        <v> </v>
      </c>
      <c r="H1425" s="24" t="str">
        <f>IF(J1425&lt;&gt;1,"",IF(I1425="SBJ","CB","?"))</f>
        <v> </v>
      </c>
      <c r="I1425" s="25" t="str">
        <f>IF(OR(E1425="",E1425="!!!",F1425="NEW"),"",INDEX(B1424:B$2,-1+SUMPRODUCT(MAX(ROW(E1424:E$2)*(E1425=E1424:E$2)))))</f>
        <v> </v>
      </c>
      <c r="J1425" s="25" t="str">
        <f>IF(OR(E1425="",E1425="!!!",F1425="NEW"),"",COUNTBLANK(OFFSET(A$1,,,SUMPRODUCT(MAX(ROW(E$2:E1425)*(E1425=E$2:E1425)))))-COUNTBLANK(OFFSET(A$1,,,SUMPRODUCT(MAX(ROW(E$1:E1424)*(E2=E$1:E1424))))))</f>
        <v> </v>
      </c>
      <c r="K1425" s="25" t="str">
        <f>IF(OR(E1425="",E1425="!!!",F1425="NEW"),"",INDEX(J$1:J1424,SUMPRODUCT(MAX(ROW(E$1:E1424)*(E1425=E$1:E1424)))))</f>
        <v> </v>
      </c>
      <c r="L1425" s="26"/>
    </row>
    <row r="1426" spans="1:12">
      <c r="A1426" s="20" t="s">
        <v>598</v>
      </c>
      <c r="B1426" s="27" t="s">
        <v>392</v>
      </c>
      <c r="C1426" s="27" t="s">
        <v>489</v>
      </c>
      <c r="D1426" s="27" t="s">
        <v>378</v>
      </c>
      <c r="E1426" s="21">
        <f>IF(D1426="?OLD","!!!","")</f>
        <v/>
      </c>
      <c r="F1426" s="22" t="str">
        <f>IF(OR(E1426="",E1426="!!!"),"",IF(NOT(ISNA(VLOOKUP(E1426,E$1:E1425,1,FALSE()))),"OLD",IF(AND(E1426&lt;&gt;"",E1426&lt;&gt;"!!!"),"NEW","")))</f>
        <v> </v>
      </c>
      <c r="G1426" s="23" t="str">
        <f>IF(OR(E1426="",E1426="!!!"),"",IF(OR(J1426=0,AND(J1426=1,K1426=1),AND(J1426=1,I1426="SBJ"),AND(J1426=1,I1426=0)),"?IN_FOCUS",IF(J1426&lt;=2,"?ACTIVATED",IF(J1426&lt;&gt;"","?FAMILIAR",IF(F1426="NEW",IF(ISNA(VLOOKUP(E1426,#REF!,1,FALSE())),"?TYPE_IDENTIFIABLE","?REFERENTIAL"),"_")))))</f>
        <v> </v>
      </c>
      <c r="H1426" s="24" t="str">
        <f>IF(J1426&lt;&gt;1,"",IF(I1426="SBJ","CB","?"))</f>
        <v> </v>
      </c>
      <c r="I1426" s="25" t="str">
        <f>IF(OR(E1426="",E1426="!!!",F1426="NEW"),"",INDEX(B1425:B$2,-1+SUMPRODUCT(MAX(ROW(E1425:E$2)*(E1426=E1425:E$2)))))</f>
        <v> </v>
      </c>
      <c r="J1426" s="25" t="str">
        <f>IF(OR(E1426="",E1426="!!!",F1426="NEW"),"",COUNTBLANK(OFFSET(A$1,,,SUMPRODUCT(MAX(ROW(E$2:E1426)*(E1426=E$2:E1426)))))-COUNTBLANK(OFFSET(A$1,,,SUMPRODUCT(MAX(ROW(E$1:E1425)*(E2=E$1:E1425))))))</f>
        <v> </v>
      </c>
      <c r="K1426" s="25" t="str">
        <f>IF(OR(E1426="",E1426="!!!",F1426="NEW"),"",INDEX(J$1:J1425,SUMPRODUCT(MAX(ROW(E$1:E1425)*(E1426=E$1:E1425)))))</f>
        <v> </v>
      </c>
      <c r="L1426" s="26"/>
    </row>
    <row r="1427" spans="1:12">
      <c r="A1427" s="20" t="s">
        <v>404</v>
      </c>
      <c r="E1427" s="21">
        <f>IF(D1427="?OLD","!!!","")</f>
        <v/>
      </c>
      <c r="F1427" s="22" t="str">
        <f>IF(OR(E1427="",E1427="!!!"),"",IF(NOT(ISNA(VLOOKUP(E1427,E$1:E1426,1,FALSE()))),"OLD",IF(AND(E1427&lt;&gt;"",E1427&lt;&gt;"!!!"),"NEW","")))</f>
        <v> </v>
      </c>
      <c r="G1427" s="23" t="str">
        <f>IF(OR(E1427="",E1427="!!!"),"",IF(OR(J1427=0,AND(J1427=1,K1427=1),AND(J1427=1,I1427="SBJ"),AND(J1427=1,I1427=0)),"?IN_FOCUS",IF(J1427&lt;=2,"?ACTIVATED",IF(J1427&lt;&gt;"","?FAMILIAR",IF(F1427="NEW",IF(ISNA(VLOOKUP(E1427,#REF!,1,FALSE())),"?TYPE_IDENTIFIABLE","?REFERENTIAL"),"_")))))</f>
        <v> </v>
      </c>
      <c r="H1427" s="24" t="str">
        <f>IF(J1427&lt;&gt;1,"",IF(I1427="SBJ","CB","?"))</f>
        <v> </v>
      </c>
      <c r="I1427" s="25" t="str">
        <f>IF(OR(E1427="",E1427="!!!",F1427="NEW"),"",INDEX(B1426:B$2,-1+SUMPRODUCT(MAX(ROW(E1426:E$2)*(E1427=E1426:E$2)))))</f>
        <v> </v>
      </c>
      <c r="J1427" s="25" t="str">
        <f>IF(OR(E1427="",E1427="!!!",F1427="NEW"),"",COUNTBLANK(OFFSET(A$1,,,SUMPRODUCT(MAX(ROW(E$2:E1427)*(E1427=E$2:E1427)))))-COUNTBLANK(OFFSET(A$1,,,SUMPRODUCT(MAX(ROW(E$1:E1426)*(E2=E$1:E1426))))))</f>
        <v> </v>
      </c>
      <c r="K1427" s="25" t="str">
        <f>IF(OR(E1427="",E1427="!!!",F1427="NEW"),"",INDEX(J$1:J1426,SUMPRODUCT(MAX(ROW(E$1:E1426)*(E1427=E$1:E1426)))))</f>
        <v> </v>
      </c>
      <c r="L1427" s="26"/>
    </row>
    <row r="1428" spans="1:12">
      <c r="A1428" s="20" t="s">
        <v>880</v>
      </c>
      <c r="B1428" s="27" t="s">
        <v>370</v>
      </c>
      <c r="C1428" s="27" t="s">
        <v>509</v>
      </c>
      <c r="D1428" s="27" t="s">
        <v>378</v>
      </c>
      <c r="E1428" s="21">
        <f>IF(D1428="?OLD","!!!","")</f>
        <v/>
      </c>
      <c r="F1428" s="22" t="str">
        <f>IF(OR(E1428="",E1428="!!!"),"",IF(NOT(ISNA(VLOOKUP(E1428,E$1:E1427,1,FALSE()))),"OLD",IF(AND(E1428&lt;&gt;"",E1428&lt;&gt;"!!!"),"NEW","")))</f>
        <v> </v>
      </c>
      <c r="G1428" s="23" t="str">
        <f>IF(OR(E1428="",E1428="!!!"),"",IF(OR(J1428=0,AND(J1428=1,K1428=1),AND(J1428=1,I1428="SBJ"),AND(J1428=1,I1428=0)),"?IN_FOCUS",IF(J1428&lt;=2,"?ACTIVATED",IF(J1428&lt;&gt;"","?FAMILIAR",IF(F1428="NEW",IF(ISNA(VLOOKUP(E1428,#REF!,1,FALSE())),"?TYPE_IDENTIFIABLE","?REFERENTIAL"),"_")))))</f>
        <v> </v>
      </c>
      <c r="H1428" s="24" t="str">
        <f>IF(J1428&lt;&gt;1,"",IF(I1428="SBJ","CB","?"))</f>
        <v> </v>
      </c>
      <c r="I1428" s="25" t="str">
        <f>IF(OR(E1428="",E1428="!!!",F1428="NEW"),"",INDEX(B1427:B$2,-1+SUMPRODUCT(MAX(ROW(E1427:E$2)*(E1428=E1427:E$2)))))</f>
        <v> </v>
      </c>
      <c r="J1428" s="25" t="str">
        <f>IF(OR(E1428="",E1428="!!!",F1428="NEW"),"",COUNTBLANK(OFFSET(A$1,,,SUMPRODUCT(MAX(ROW(E$2:E1428)*(E1428=E$2:E1428)))))-COUNTBLANK(OFFSET(A$1,,,SUMPRODUCT(MAX(ROW(E$1:E1427)*(E2=E$1:E1427))))))</f>
        <v> </v>
      </c>
      <c r="K1428" s="25" t="str">
        <f>IF(OR(E1428="",E1428="!!!",F1428="NEW"),"",INDEX(J$1:J1427,SUMPRODUCT(MAX(ROW(E$1:E1427)*(E1428=E$1:E1427)))))</f>
        <v> </v>
      </c>
      <c r="L1428" s="26"/>
    </row>
    <row r="1429" spans="1:12">
      <c r="A1429" s="20" t="s">
        <v>881</v>
      </c>
      <c r="B1429" s="27" t="s">
        <v>414</v>
      </c>
      <c r="C1429" s="27" t="s">
        <v>489</v>
      </c>
      <c r="D1429" s="27" t="s">
        <v>378</v>
      </c>
      <c r="E1429" s="21">
        <f>IF(D1429="?OLD","!!!","")</f>
        <v/>
      </c>
      <c r="F1429" s="22" t="str">
        <f>IF(OR(E1429="",E1429="!!!"),"",IF(NOT(ISNA(VLOOKUP(E1429,E$1:E1428,1,FALSE()))),"OLD",IF(AND(E1429&lt;&gt;"",E1429&lt;&gt;"!!!"),"NEW","")))</f>
        <v> </v>
      </c>
      <c r="G1429" s="23" t="str">
        <f>IF(OR(E1429="",E1429="!!!"),"",IF(OR(J1429=0,AND(J1429=1,K1429=1),AND(J1429=1,I1429="SBJ"),AND(J1429=1,I1429=0)),"?IN_FOCUS",IF(J1429&lt;=2,"?ACTIVATED",IF(J1429&lt;&gt;"","?FAMILIAR",IF(F1429="NEW",IF(ISNA(VLOOKUP(E1429,#REF!,1,FALSE())),"?TYPE_IDENTIFIABLE","?REFERENTIAL"),"_")))))</f>
        <v> </v>
      </c>
      <c r="H1429" s="24" t="str">
        <f>IF(J1429&lt;&gt;1,"",IF(I1429="SBJ","CB","?"))</f>
        <v> </v>
      </c>
      <c r="I1429" s="25" t="str">
        <f>IF(OR(E1429="",E1429="!!!",F1429="NEW"),"",INDEX(B1428:B$2,-1+SUMPRODUCT(MAX(ROW(E1428:E$2)*(E1429=E1428:E$2)))))</f>
        <v> </v>
      </c>
      <c r="J1429" s="25" t="str">
        <f>IF(OR(E1429="",E1429="!!!",F1429="NEW"),"",COUNTBLANK(OFFSET(A$1,,,SUMPRODUCT(MAX(ROW(E$2:E1429)*(E1429=E$2:E1429)))))-COUNTBLANK(OFFSET(A$1,,,SUMPRODUCT(MAX(ROW(E$1:E1428)*(E2=E$1:E1428))))))</f>
        <v> </v>
      </c>
      <c r="K1429" s="25" t="str">
        <f>IF(OR(E1429="",E1429="!!!",F1429="NEW"),"",INDEX(J$1:J1428,SUMPRODUCT(MAX(ROW(E$1:E1428)*(E1429=E$1:E1428)))))</f>
        <v> </v>
      </c>
      <c r="L1429" s="26"/>
    </row>
    <row r="1430" spans="1:12">
      <c r="A1430" s="20" t="s">
        <v>406</v>
      </c>
      <c r="E1430" s="21">
        <f>IF(D1430="?OLD","!!!","")</f>
        <v/>
      </c>
      <c r="F1430" s="22" t="str">
        <f>IF(OR(E1430="",E1430="!!!"),"",IF(NOT(ISNA(VLOOKUP(E1430,E$1:E1429,1,FALSE()))),"OLD",IF(AND(E1430&lt;&gt;"",E1430&lt;&gt;"!!!"),"NEW","")))</f>
        <v> </v>
      </c>
      <c r="G1430" s="23" t="str">
        <f>IF(OR(E1430="",E1430="!!!"),"",IF(OR(J1430=0,AND(J1430=1,K1430=1),AND(J1430=1,I1430="SBJ"),AND(J1430=1,I1430=0)),"?IN_FOCUS",IF(J1430&lt;=2,"?ACTIVATED",IF(J1430&lt;&gt;"","?FAMILIAR",IF(F1430="NEW",IF(ISNA(VLOOKUP(E1430,#REF!,1,FALSE())),"?TYPE_IDENTIFIABLE","?REFERENTIAL"),"_")))))</f>
        <v> </v>
      </c>
      <c r="H1430" s="24" t="str">
        <f>IF(J1430&lt;&gt;1,"",IF(I1430="SBJ","CB","?"))</f>
        <v> </v>
      </c>
      <c r="I1430" s="25" t="str">
        <f>IF(OR(E1430="",E1430="!!!",F1430="NEW"),"",INDEX(B1429:B$2,-1+SUMPRODUCT(MAX(ROW(E1429:E$2)*(E1430=E1429:E$2)))))</f>
        <v> </v>
      </c>
      <c r="J1430" s="25" t="str">
        <f>IF(OR(E1430="",E1430="!!!",F1430="NEW"),"",COUNTBLANK(OFFSET(A$1,,,SUMPRODUCT(MAX(ROW(E$2:E1430)*(E1430=E$2:E1430)))))-COUNTBLANK(OFFSET(A$1,,,SUMPRODUCT(MAX(ROW(E$1:E1429)*(E2=E$1:E1429))))))</f>
        <v> </v>
      </c>
      <c r="K1430" s="25" t="str">
        <f>IF(OR(E1430="",E1430="!!!",F1430="NEW"),"",INDEX(J$1:J1429,SUMPRODUCT(MAX(ROW(E$1:E1429)*(E1430=E$1:E1429)))))</f>
        <v> </v>
      </c>
      <c r="L1430" s="26"/>
    </row>
    <row r="1431" spans="1:12">
      <c r="A1431" s="20" t="s">
        <v>390</v>
      </c>
      <c r="E1431" s="21">
        <f>IF(D1431="?OLD","!!!","")</f>
        <v/>
      </c>
      <c r="F1431" s="22" t="str">
        <f>IF(OR(E1431="",E1431="!!!"),"",IF(NOT(ISNA(VLOOKUP(E1431,E$1:E1430,1,FALSE()))),"OLD",IF(AND(E1431&lt;&gt;"",E1431&lt;&gt;"!!!"),"NEW","")))</f>
        <v> </v>
      </c>
      <c r="G1431" s="23" t="str">
        <f>IF(OR(E1431="",E1431="!!!"),"",IF(OR(J1431=0,AND(J1431=1,K1431=1),AND(J1431=1,I1431="SBJ"),AND(J1431=1,I1431=0)),"?IN_FOCUS",IF(J1431&lt;=2,"?ACTIVATED",IF(J1431&lt;&gt;"","?FAMILIAR",IF(F1431="NEW",IF(ISNA(VLOOKUP(E1431,#REF!,1,FALSE())),"?TYPE_IDENTIFIABLE","?REFERENTIAL"),"_")))))</f>
        <v> </v>
      </c>
      <c r="H1431" s="24" t="str">
        <f>IF(J1431&lt;&gt;1,"",IF(I1431="SBJ","CB","?"))</f>
        <v> </v>
      </c>
      <c r="I1431" s="25" t="str">
        <f>IF(OR(E1431="",E1431="!!!",F1431="NEW"),"",INDEX(B1430:B$2,-1+SUMPRODUCT(MAX(ROW(E1430:E$2)*(E1431=E1430:E$2)))))</f>
        <v> </v>
      </c>
      <c r="J1431" s="25" t="str">
        <f>IF(OR(E1431="",E1431="!!!",F1431="NEW"),"",COUNTBLANK(OFFSET(A$1,,,SUMPRODUCT(MAX(ROW(E$2:E1431)*(E1431=E$2:E1431)))))-COUNTBLANK(OFFSET(A$1,,,SUMPRODUCT(MAX(ROW(E$1:E1430)*(E2=E$1:E1430))))))</f>
        <v> </v>
      </c>
      <c r="K1431" s="25" t="str">
        <f>IF(OR(E1431="",E1431="!!!",F1431="NEW"),"",INDEX(J$1:J1430,SUMPRODUCT(MAX(ROW(E$1:E1430)*(E1431=E$1:E1430)))))</f>
        <v> </v>
      </c>
      <c r="L1431" s="26"/>
    </row>
    <row r="1432" spans="1:12">
      <c r="A1432" s="20" t="s">
        <v>499</v>
      </c>
      <c r="B1432" s="27" t="s">
        <v>381</v>
      </c>
      <c r="C1432" s="27" t="s">
        <v>393</v>
      </c>
      <c r="D1432" s="27" t="s">
        <v>378</v>
      </c>
      <c r="E1432" s="21">
        <f>IF(D1432="?OLD","!!!","")</f>
        <v/>
      </c>
      <c r="F1432" s="22" t="str">
        <f>IF(OR(E1432="",E1432="!!!"),"",IF(NOT(ISNA(VLOOKUP(E1432,E$1:E1431,1,FALSE()))),"OLD",IF(AND(E1432&lt;&gt;"",E1432&lt;&gt;"!!!"),"NEW","")))</f>
        <v> </v>
      </c>
      <c r="G1432" s="23" t="str">
        <f>IF(OR(E1432="",E1432="!!!"),"",IF(OR(J1432=0,AND(J1432=1,K1432=1),AND(J1432=1,I1432="SBJ"),AND(J1432=1,I1432=0)),"?IN_FOCUS",IF(J1432&lt;=2,"?ACTIVATED",IF(J1432&lt;&gt;"","?FAMILIAR",IF(F1432="NEW",IF(ISNA(VLOOKUP(E1432,#REF!,1,FALSE())),"?TYPE_IDENTIFIABLE","?REFERENTIAL"),"_")))))</f>
        <v> </v>
      </c>
      <c r="H1432" s="24" t="str">
        <f>IF(J1432&lt;&gt;1,"",IF(I1432="SBJ","CB","?"))</f>
        <v> </v>
      </c>
      <c r="I1432" s="25" t="str">
        <f>IF(OR(E1432="",E1432="!!!",F1432="NEW"),"",INDEX(B1431:B$2,-1+SUMPRODUCT(MAX(ROW(E1431:E$2)*(E1432=E1431:E$2)))))</f>
        <v> </v>
      </c>
      <c r="J1432" s="25" t="str">
        <f>IF(OR(E1432="",E1432="!!!",F1432="NEW"),"",COUNTBLANK(OFFSET(A$1,,,SUMPRODUCT(MAX(ROW(E$2:E1432)*(E1432=E$2:E1432)))))-COUNTBLANK(OFFSET(A$1,,,SUMPRODUCT(MAX(ROW(E$1:E1431)*(E2=E$1:E1431))))))</f>
        <v> </v>
      </c>
      <c r="K1432" s="25" t="str">
        <f>IF(OR(E1432="",E1432="!!!",F1432="NEW"),"",INDEX(J$1:J1431,SUMPRODUCT(MAX(ROW(E$1:E1431)*(E1432=E$1:E1431)))))</f>
        <v> </v>
      </c>
      <c r="L1432" s="26"/>
    </row>
    <row r="1433" spans="1:12">
      <c r="A1433" s="20" t="s">
        <v>379</v>
      </c>
      <c r="E1433" s="21">
        <f>IF(D1433="?OLD","!!!","")</f>
        <v/>
      </c>
      <c r="F1433" s="22" t="str">
        <f>IF(OR(E1433="",E1433="!!!"),"",IF(NOT(ISNA(VLOOKUP(E1433,E$1:E1432,1,FALSE()))),"OLD",IF(AND(E1433&lt;&gt;"",E1433&lt;&gt;"!!!"),"NEW","")))</f>
        <v> </v>
      </c>
      <c r="G1433" s="23" t="str">
        <f>IF(OR(E1433="",E1433="!!!"),"",IF(OR(J1433=0,AND(J1433=1,K1433=1),AND(J1433=1,I1433="SBJ"),AND(J1433=1,I1433=0)),"?IN_FOCUS",IF(J1433&lt;=2,"?ACTIVATED",IF(J1433&lt;&gt;"","?FAMILIAR",IF(F1433="NEW",IF(ISNA(VLOOKUP(E1433,#REF!,1,FALSE())),"?TYPE_IDENTIFIABLE","?REFERENTIAL"),"_")))))</f>
        <v> </v>
      </c>
      <c r="H1433" s="24" t="str">
        <f>IF(J1433&lt;&gt;1,"",IF(I1433="SBJ","CB","?"))</f>
        <v> </v>
      </c>
      <c r="I1433" s="25" t="str">
        <f>IF(OR(E1433="",E1433="!!!",F1433="NEW"),"",INDEX(B1432:B$2,-1+SUMPRODUCT(MAX(ROW(E1432:E$2)*(E1433=E1432:E$2)))))</f>
        <v> </v>
      </c>
      <c r="J1433" s="25" t="str">
        <f>IF(OR(E1433="",E1433="!!!",F1433="NEW"),"",COUNTBLANK(OFFSET(A$1,,,SUMPRODUCT(MAX(ROW(E$2:E1433)*(E1433=E$2:E1433)))))-COUNTBLANK(OFFSET(A$1,,,SUMPRODUCT(MAX(ROW(E$1:E1432)*(E2=E$1:E1432))))))</f>
        <v> </v>
      </c>
      <c r="K1433" s="25" t="str">
        <f>IF(OR(E1433="",E1433="!!!",F1433="NEW"),"",INDEX(J$1:J1432,SUMPRODUCT(MAX(ROW(E$1:E1432)*(E1433=E$1:E1432)))))</f>
        <v> </v>
      </c>
      <c r="L1433" s="26"/>
    </row>
    <row r="1434" spans="1:12">
      <c r="A1434" s="20" t="s">
        <v>420</v>
      </c>
      <c r="E1434" s="21">
        <f>IF(D1434="?OLD","!!!","")</f>
        <v/>
      </c>
      <c r="F1434" s="22" t="str">
        <f>IF(OR(E1434="",E1434="!!!"),"",IF(NOT(ISNA(VLOOKUP(E1434,E$1:E1433,1,FALSE()))),"OLD",IF(AND(E1434&lt;&gt;"",E1434&lt;&gt;"!!!"),"NEW","")))</f>
        <v> </v>
      </c>
      <c r="G1434" s="23" t="str">
        <f>IF(OR(E1434="",E1434="!!!"),"",IF(OR(J1434=0,AND(J1434=1,K1434=1),AND(J1434=1,I1434="SBJ"),AND(J1434=1,I1434=0)),"?IN_FOCUS",IF(J1434&lt;=2,"?ACTIVATED",IF(J1434&lt;&gt;"","?FAMILIAR",IF(F1434="NEW",IF(ISNA(VLOOKUP(E1434,#REF!,1,FALSE())),"?TYPE_IDENTIFIABLE","?REFERENTIAL"),"_")))))</f>
        <v> </v>
      </c>
      <c r="H1434" s="24" t="str">
        <f>IF(J1434&lt;&gt;1,"",IF(I1434="SBJ","CB","?"))</f>
        <v> </v>
      </c>
      <c r="I1434" s="25" t="str">
        <f>IF(OR(E1434="",E1434="!!!",F1434="NEW"),"",INDEX(B1433:B$2,-1+SUMPRODUCT(MAX(ROW(E1433:E$2)*(E1434=E1433:E$2)))))</f>
        <v> </v>
      </c>
      <c r="J1434" s="25" t="str">
        <f>IF(OR(E1434="",E1434="!!!",F1434="NEW"),"",COUNTBLANK(OFFSET(A$1,,,SUMPRODUCT(MAX(ROW(E$2:E1434)*(E1434=E$2:E1434)))))-COUNTBLANK(OFFSET(A$1,,,SUMPRODUCT(MAX(ROW(E$1:E1433)*(E2=E$1:E1433))))))</f>
        <v> </v>
      </c>
      <c r="K1434" s="25" t="str">
        <f>IF(OR(E1434="",E1434="!!!",F1434="NEW"),"",INDEX(J$1:J1433,SUMPRODUCT(MAX(ROW(E$1:E1433)*(E1434=E$1:E1433)))))</f>
        <v> </v>
      </c>
      <c r="L1434" s="26"/>
    </row>
    <row r="1435" spans="1:12">
      <c r="A1435" s="20" t="s">
        <v>476</v>
      </c>
      <c r="E1435" s="21">
        <f>IF(D1435="?OLD","!!!","")</f>
        <v/>
      </c>
      <c r="F1435" s="22" t="str">
        <f>IF(OR(E1435="",E1435="!!!"),"",IF(NOT(ISNA(VLOOKUP(E1435,E$1:E1434,1,FALSE()))),"OLD",IF(AND(E1435&lt;&gt;"",E1435&lt;&gt;"!!!"),"NEW","")))</f>
        <v> </v>
      </c>
      <c r="G1435" s="23" t="str">
        <f>IF(OR(E1435="",E1435="!!!"),"",IF(OR(J1435=0,AND(J1435=1,K1435=1),AND(J1435=1,I1435="SBJ"),AND(J1435=1,I1435=0)),"?IN_FOCUS",IF(J1435&lt;=2,"?ACTIVATED",IF(J1435&lt;&gt;"","?FAMILIAR",IF(F1435="NEW",IF(ISNA(VLOOKUP(E1435,#REF!,1,FALSE())),"?TYPE_IDENTIFIABLE","?REFERENTIAL"),"_")))))</f>
        <v> </v>
      </c>
      <c r="H1435" s="24" t="str">
        <f>IF(J1435&lt;&gt;1,"",IF(I1435="SBJ","CB","?"))</f>
        <v> </v>
      </c>
      <c r="I1435" s="25" t="str">
        <f>IF(OR(E1435="",E1435="!!!",F1435="NEW"),"",INDEX(B1434:B$2,-1+SUMPRODUCT(MAX(ROW(E1434:E$2)*(E1435=E1434:E$2)))))</f>
        <v> </v>
      </c>
      <c r="J1435" s="25" t="str">
        <f>IF(OR(E1435="",E1435="!!!",F1435="NEW"),"",COUNTBLANK(OFFSET(A$1,,,SUMPRODUCT(MAX(ROW(E$2:E1435)*(E1435=E$2:E1435)))))-COUNTBLANK(OFFSET(A$1,,,SUMPRODUCT(MAX(ROW(E$1:E1434)*(E2=E$1:E1434))))))</f>
        <v> </v>
      </c>
      <c r="K1435" s="25" t="str">
        <f>IF(OR(E1435="",E1435="!!!",F1435="NEW"),"",INDEX(J$1:J1434,SUMPRODUCT(MAX(ROW(E$1:E1434)*(E1435=E$1:E1434)))))</f>
        <v> </v>
      </c>
      <c r="L1435" s="26"/>
    </row>
    <row r="1436" spans="1:12">
      <c r="A1436" s="20" t="s">
        <v>878</v>
      </c>
      <c r="B1436" s="27" t="s">
        <v>506</v>
      </c>
      <c r="C1436" s="27" t="s">
        <v>429</v>
      </c>
      <c r="D1436" s="27" t="s">
        <v>378</v>
      </c>
      <c r="E1436" s="21">
        <f>IF(D1436="?OLD","!!!","")</f>
        <v/>
      </c>
      <c r="F1436" s="22" t="str">
        <f>IF(OR(E1436="",E1436="!!!"),"",IF(NOT(ISNA(VLOOKUP(E1436,E$1:E1435,1,FALSE()))),"OLD",IF(AND(E1436&lt;&gt;"",E1436&lt;&gt;"!!!"),"NEW","")))</f>
        <v> </v>
      </c>
      <c r="G1436" s="23" t="str">
        <f>IF(OR(E1436="",E1436="!!!"),"",IF(OR(J1436=0,AND(J1436=1,K1436=1),AND(J1436=1,I1436="SBJ"),AND(J1436=1,I1436=0)),"?IN_FOCUS",IF(J1436&lt;=2,"?ACTIVATED",IF(J1436&lt;&gt;"","?FAMILIAR",IF(F1436="NEW",IF(ISNA(VLOOKUP(E1436,#REF!,1,FALSE())),"?TYPE_IDENTIFIABLE","?REFERENTIAL"),"_")))))</f>
        <v> </v>
      </c>
      <c r="H1436" s="24" t="str">
        <f>IF(J1436&lt;&gt;1,"",IF(I1436="SBJ","CB","?"))</f>
        <v> </v>
      </c>
      <c r="I1436" s="25" t="str">
        <f>IF(OR(E1436="",E1436="!!!",F1436="NEW"),"",INDEX(B1435:B$2,-1+SUMPRODUCT(MAX(ROW(E1435:E$2)*(E1436=E1435:E$2)))))</f>
        <v> </v>
      </c>
      <c r="J1436" s="25" t="str">
        <f>IF(OR(E1436="",E1436="!!!",F1436="NEW"),"",COUNTBLANK(OFFSET(A$1,,,SUMPRODUCT(MAX(ROW(E$2:E1436)*(E1436=E$2:E1436)))))-COUNTBLANK(OFFSET(A$1,,,SUMPRODUCT(MAX(ROW(E$1:E1435)*(E2=E$1:E1435))))))</f>
        <v> </v>
      </c>
      <c r="K1436" s="25" t="str">
        <f>IF(OR(E1436="",E1436="!!!",F1436="NEW"),"",INDEX(J$1:J1435,SUMPRODUCT(MAX(ROW(E$1:E1435)*(E1436=E$1:E1435)))))</f>
        <v> </v>
      </c>
      <c r="L1436" s="26"/>
    </row>
    <row r="1437" spans="1:12">
      <c r="A1437" s="20" t="s">
        <v>882</v>
      </c>
      <c r="E1437" s="21">
        <f>IF(D1437="?OLD","!!!","")</f>
        <v/>
      </c>
      <c r="F1437" s="22" t="str">
        <f>IF(OR(E1437="",E1437="!!!"),"",IF(NOT(ISNA(VLOOKUP(E1437,E$1:E1436,1,FALSE()))),"OLD",IF(AND(E1437&lt;&gt;"",E1437&lt;&gt;"!!!"),"NEW","")))</f>
        <v> </v>
      </c>
      <c r="G1437" s="23" t="str">
        <f>IF(OR(E1437="",E1437="!!!"),"",IF(OR(J1437=0,AND(J1437=1,K1437=1),AND(J1437=1,I1437="SBJ"),AND(J1437=1,I1437=0)),"?IN_FOCUS",IF(J1437&lt;=2,"?ACTIVATED",IF(J1437&lt;&gt;"","?FAMILIAR",IF(F1437="NEW",IF(ISNA(VLOOKUP(E1437,#REF!,1,FALSE())),"?TYPE_IDENTIFIABLE","?REFERENTIAL"),"_")))))</f>
        <v> </v>
      </c>
      <c r="H1437" s="24" t="str">
        <f>IF(J1437&lt;&gt;1,"",IF(I1437="SBJ","CB","?"))</f>
        <v> </v>
      </c>
      <c r="I1437" s="25" t="str">
        <f>IF(OR(E1437="",E1437="!!!",F1437="NEW"),"",INDEX(B1436:B$2,-1+SUMPRODUCT(MAX(ROW(E1436:E$2)*(E1437=E1436:E$2)))))</f>
        <v> </v>
      </c>
      <c r="J1437" s="25" t="str">
        <f>IF(OR(E1437="",E1437="!!!",F1437="NEW"),"",COUNTBLANK(OFFSET(A$1,,,SUMPRODUCT(MAX(ROW(E$2:E1437)*(E1437=E$2:E1437)))))-COUNTBLANK(OFFSET(A$1,,,SUMPRODUCT(MAX(ROW(E$1:E1436)*(E2=E$1:E1436))))))</f>
        <v> </v>
      </c>
      <c r="K1437" s="25" t="str">
        <f>IF(OR(E1437="",E1437="!!!",F1437="NEW"),"",INDEX(J$1:J1436,SUMPRODUCT(MAX(ROW(E$1:E1436)*(E1437=E$1:E1436)))))</f>
        <v> </v>
      </c>
      <c r="L1437" s="26"/>
    </row>
    <row r="1438" spans="1:12">
      <c r="A1438" s="20" t="s">
        <v>390</v>
      </c>
      <c r="E1438" s="21">
        <f>IF(D1438="?OLD","!!!","")</f>
        <v/>
      </c>
      <c r="F1438" s="22" t="str">
        <f>IF(OR(E1438="",E1438="!!!"),"",IF(NOT(ISNA(VLOOKUP(E1438,E$1:E1437,1,FALSE()))),"OLD",IF(AND(E1438&lt;&gt;"",E1438&lt;&gt;"!!!"),"NEW","")))</f>
        <v> </v>
      </c>
      <c r="G1438" s="23" t="str">
        <f>IF(OR(E1438="",E1438="!!!"),"",IF(OR(J1438=0,AND(J1438=1,K1438=1),AND(J1438=1,I1438="SBJ"),AND(J1438=1,I1438=0)),"?IN_FOCUS",IF(J1438&lt;=2,"?ACTIVATED",IF(J1438&lt;&gt;"","?FAMILIAR",IF(F1438="NEW",IF(ISNA(VLOOKUP(E1438,#REF!,1,FALSE())),"?TYPE_IDENTIFIABLE","?REFERENTIAL"),"_")))))</f>
        <v> </v>
      </c>
      <c r="H1438" s="24" t="str">
        <f>IF(J1438&lt;&gt;1,"",IF(I1438="SBJ","CB","?"))</f>
        <v> </v>
      </c>
      <c r="I1438" s="25" t="str">
        <f>IF(OR(E1438="",E1438="!!!",F1438="NEW"),"",INDEX(B1437:B$2,-1+SUMPRODUCT(MAX(ROW(E1437:E$2)*(E1438=E1437:E$2)))))</f>
        <v> </v>
      </c>
      <c r="J1438" s="25" t="str">
        <f>IF(OR(E1438="",E1438="!!!",F1438="NEW"),"",COUNTBLANK(OFFSET(A$1,,,SUMPRODUCT(MAX(ROW(E$2:E1438)*(E1438=E$2:E1438)))))-COUNTBLANK(OFFSET(A$1,,,SUMPRODUCT(MAX(ROW(E$1:E1437)*(E2=E$1:E1437))))))</f>
        <v> </v>
      </c>
      <c r="K1438" s="25" t="str">
        <f>IF(OR(E1438="",E1438="!!!",F1438="NEW"),"",INDEX(J$1:J1437,SUMPRODUCT(MAX(ROW(E$1:E1437)*(E1438=E$1:E1437)))))</f>
        <v> </v>
      </c>
      <c r="L1438" s="26"/>
    </row>
    <row r="1439" spans="1:12">
      <c r="A1439" s="20" t="s">
        <v>438</v>
      </c>
      <c r="E1439" s="21">
        <f>IF(D1439="?OLD","!!!","")</f>
        <v/>
      </c>
      <c r="F1439" s="22" t="str">
        <f>IF(OR(E1439="",E1439="!!!"),"",IF(NOT(ISNA(VLOOKUP(E1439,E$1:E1438,1,FALSE()))),"OLD",IF(AND(E1439&lt;&gt;"",E1439&lt;&gt;"!!!"),"NEW","")))</f>
        <v> </v>
      </c>
      <c r="G1439" s="23" t="str">
        <f>IF(OR(E1439="",E1439="!!!"),"",IF(OR(J1439=0,AND(J1439=1,K1439=1),AND(J1439=1,I1439="SBJ"),AND(J1439=1,I1439=0)),"?IN_FOCUS",IF(J1439&lt;=2,"?ACTIVATED",IF(J1439&lt;&gt;"","?FAMILIAR",IF(F1439="NEW",IF(ISNA(VLOOKUP(E1439,#REF!,1,FALSE())),"?TYPE_IDENTIFIABLE","?REFERENTIAL"),"_")))))</f>
        <v> </v>
      </c>
      <c r="H1439" s="24" t="str">
        <f>IF(J1439&lt;&gt;1,"",IF(I1439="SBJ","CB","?"))</f>
        <v> </v>
      </c>
      <c r="I1439" s="25" t="str">
        <f>IF(OR(E1439="",E1439="!!!",F1439="NEW"),"",INDEX(B1438:B$2,-1+SUMPRODUCT(MAX(ROW(E1438:E$2)*(E1439=E1438:E$2)))))</f>
        <v> </v>
      </c>
      <c r="J1439" s="25" t="str">
        <f>IF(OR(E1439="",E1439="!!!",F1439="NEW"),"",COUNTBLANK(OFFSET(A$1,,,SUMPRODUCT(MAX(ROW(E$2:E1439)*(E1439=E$2:E1439)))))-COUNTBLANK(OFFSET(A$1,,,SUMPRODUCT(MAX(ROW(E$1:E1438)*(E2=E$1:E1438))))))</f>
        <v> </v>
      </c>
      <c r="K1439" s="25" t="str">
        <f>IF(OR(E1439="",E1439="!!!",F1439="NEW"),"",INDEX(J$1:J1438,SUMPRODUCT(MAX(ROW(E$1:E1438)*(E1439=E$1:E1438)))))</f>
        <v> </v>
      </c>
      <c r="L1439" s="26"/>
    </row>
    <row r="1440" spans="1:12">
      <c r="A1440" s="20" t="s">
        <v>170</v>
      </c>
      <c r="B1440" s="27" t="s">
        <v>411</v>
      </c>
      <c r="E1440" s="21">
        <f>IF(D1440="?OLD","!!!","")</f>
        <v/>
      </c>
      <c r="F1440" s="22" t="str">
        <f>IF(OR(E1440="",E1440="!!!"),"",IF(NOT(ISNA(VLOOKUP(E1440,E$1:E1439,1,FALSE()))),"OLD",IF(AND(E1440&lt;&gt;"",E1440&lt;&gt;"!!!"),"NEW","")))</f>
        <v> </v>
      </c>
      <c r="G1440" s="23" t="str">
        <f>IF(OR(E1440="",E1440="!!!"),"",IF(OR(J1440=0,AND(J1440=1,K1440=1),AND(J1440=1,I1440="SBJ"),AND(J1440=1,I1440=0)),"?IN_FOCUS",IF(J1440&lt;=2,"?ACTIVATED",IF(J1440&lt;&gt;"","?FAMILIAR",IF(F1440="NEW",IF(ISNA(VLOOKUP(E1440,#REF!,1,FALSE())),"?TYPE_IDENTIFIABLE","?REFERENTIAL"),"_")))))</f>
        <v> </v>
      </c>
      <c r="H1440" s="24" t="str">
        <f>IF(J1440&lt;&gt;1,"",IF(I1440="SBJ","CB","?"))</f>
        <v> </v>
      </c>
      <c r="I1440" s="25" t="str">
        <f>IF(OR(E1440="",E1440="!!!",F1440="NEW"),"",INDEX(B1439:B$2,-1+SUMPRODUCT(MAX(ROW(E1439:E$2)*(E1440=E1439:E$2)))))</f>
        <v> </v>
      </c>
      <c r="J1440" s="25" t="str">
        <f>IF(OR(E1440="",E1440="!!!",F1440="NEW"),"",COUNTBLANK(OFFSET(A$1,,,SUMPRODUCT(MAX(ROW(E$2:E1440)*(E1440=E$2:E1440)))))-COUNTBLANK(OFFSET(A$1,,,SUMPRODUCT(MAX(ROW(E$1:E1439)*(E2=E$1:E1439))))))</f>
        <v> </v>
      </c>
      <c r="K1440" s="25" t="str">
        <f>IF(OR(E1440="",E1440="!!!",F1440="NEW"),"",INDEX(J$1:J1439,SUMPRODUCT(MAX(ROW(E$1:E1439)*(E1440=E$1:E1439)))))</f>
        <v> </v>
      </c>
      <c r="L1440" s="26"/>
    </row>
    <row r="1441" spans="1:12">
      <c r="A1441" s="20" t="s">
        <v>404</v>
      </c>
      <c r="E1441" s="21">
        <f>IF(D1441="?OLD","!!!","")</f>
        <v/>
      </c>
      <c r="F1441" s="22" t="str">
        <f>IF(OR(E1441="",E1441="!!!"),"",IF(NOT(ISNA(VLOOKUP(E1441,E$1:E1440,1,FALSE()))),"OLD",IF(AND(E1441&lt;&gt;"",E1441&lt;&gt;"!!!"),"NEW","")))</f>
        <v> </v>
      </c>
      <c r="G1441" s="23" t="str">
        <f>IF(OR(E1441="",E1441="!!!"),"",IF(OR(J1441=0,AND(J1441=1,K1441=1),AND(J1441=1,I1441="SBJ"),AND(J1441=1,I1441=0)),"?IN_FOCUS",IF(J1441&lt;=2,"?ACTIVATED",IF(J1441&lt;&gt;"","?FAMILIAR",IF(F1441="NEW",IF(ISNA(VLOOKUP(E1441,#REF!,1,FALSE())),"?TYPE_IDENTIFIABLE","?REFERENTIAL"),"_")))))</f>
        <v> </v>
      </c>
      <c r="H1441" s="24" t="str">
        <f>IF(J1441&lt;&gt;1,"",IF(I1441="SBJ","CB","?"))</f>
        <v> </v>
      </c>
      <c r="I1441" s="25" t="str">
        <f>IF(OR(E1441="",E1441="!!!",F1441="NEW"),"",INDEX(B1440:B$2,-1+SUMPRODUCT(MAX(ROW(E1440:E$2)*(E1441=E1440:E$2)))))</f>
        <v> </v>
      </c>
      <c r="J1441" s="25" t="str">
        <f>IF(OR(E1441="",E1441="!!!",F1441="NEW"),"",COUNTBLANK(OFFSET(A$1,,,SUMPRODUCT(MAX(ROW(E$2:E1441)*(E1441=E$2:E1441)))))-COUNTBLANK(OFFSET(A$1,,,SUMPRODUCT(MAX(ROW(E$1:E1440)*(E2=E$1:E1440))))))</f>
        <v> </v>
      </c>
      <c r="K1441" s="25" t="str">
        <f>IF(OR(E1441="",E1441="!!!",F1441="NEW"),"",INDEX(J$1:J1440,SUMPRODUCT(MAX(ROW(E$1:E1440)*(E1441=E$1:E1440)))))</f>
        <v> </v>
      </c>
      <c r="L1441" s="26"/>
    </row>
    <row r="1442" spans="1:12">
      <c r="A1442" s="20" t="s">
        <v>880</v>
      </c>
      <c r="B1442" s="27" t="s">
        <v>556</v>
      </c>
      <c r="C1442" s="27" t="s">
        <v>509</v>
      </c>
      <c r="D1442" s="27" t="s">
        <v>378</v>
      </c>
      <c r="E1442" s="21">
        <f>IF(D1442="?OLD","!!!","")</f>
        <v/>
      </c>
      <c r="F1442" s="22" t="str">
        <f>IF(OR(E1442="",E1442="!!!"),"",IF(NOT(ISNA(VLOOKUP(E1442,E$1:E1441,1,FALSE()))),"OLD",IF(AND(E1442&lt;&gt;"",E1442&lt;&gt;"!!!"),"NEW","")))</f>
        <v> </v>
      </c>
      <c r="G1442" s="23" t="str">
        <f>IF(OR(E1442="",E1442="!!!"),"",IF(OR(J1442=0,AND(J1442=1,K1442=1),AND(J1442=1,I1442="SBJ"),AND(J1442=1,I1442=0)),"?IN_FOCUS",IF(J1442&lt;=2,"?ACTIVATED",IF(J1442&lt;&gt;"","?FAMILIAR",IF(F1442="NEW",IF(ISNA(VLOOKUP(E1442,#REF!,1,FALSE())),"?TYPE_IDENTIFIABLE","?REFERENTIAL"),"_")))))</f>
        <v> </v>
      </c>
      <c r="H1442" s="24" t="str">
        <f>IF(J1442&lt;&gt;1,"",IF(I1442="SBJ","CB","?"))</f>
        <v> </v>
      </c>
      <c r="I1442" s="25" t="str">
        <f>IF(OR(E1442="",E1442="!!!",F1442="NEW"),"",INDEX(B1441:B$2,-1+SUMPRODUCT(MAX(ROW(E1441:E$2)*(E1442=E1441:E$2)))))</f>
        <v> </v>
      </c>
      <c r="J1442" s="25" t="str">
        <f>IF(OR(E1442="",E1442="!!!",F1442="NEW"),"",COUNTBLANK(OFFSET(A$1,,,SUMPRODUCT(MAX(ROW(E$2:E1442)*(E1442=E$2:E1442)))))-COUNTBLANK(OFFSET(A$1,,,SUMPRODUCT(MAX(ROW(E$1:E1441)*(E2=E$1:E1441))))))</f>
        <v> </v>
      </c>
      <c r="K1442" s="25" t="str">
        <f>IF(OR(E1442="",E1442="!!!",F1442="NEW"),"",INDEX(J$1:J1441,SUMPRODUCT(MAX(ROW(E$1:E1441)*(E1442=E$1:E1441)))))</f>
        <v> </v>
      </c>
      <c r="L1442" s="26"/>
    </row>
    <row r="1443" spans="1:12">
      <c r="A1443" s="20" t="s">
        <v>883</v>
      </c>
      <c r="B1443" s="27" t="s">
        <v>370</v>
      </c>
      <c r="C1443" s="27" t="s">
        <v>489</v>
      </c>
      <c r="D1443" s="27" t="s">
        <v>378</v>
      </c>
      <c r="E1443" s="21">
        <f>IF(D1443="?OLD","!!!","")</f>
        <v/>
      </c>
      <c r="F1443" s="22" t="str">
        <f>IF(OR(E1443="",E1443="!!!"),"",IF(NOT(ISNA(VLOOKUP(E1443,E$1:E1442,1,FALSE()))),"OLD",IF(AND(E1443&lt;&gt;"",E1443&lt;&gt;"!!!"),"NEW","")))</f>
        <v> </v>
      </c>
      <c r="G1443" s="23" t="str">
        <f>IF(OR(E1443="",E1443="!!!"),"",IF(OR(J1443=0,AND(J1443=1,K1443=1),AND(J1443=1,I1443="SBJ"),AND(J1443=1,I1443=0)),"?IN_FOCUS",IF(J1443&lt;=2,"?ACTIVATED",IF(J1443&lt;&gt;"","?FAMILIAR",IF(F1443="NEW",IF(ISNA(VLOOKUP(E1443,#REF!,1,FALSE())),"?TYPE_IDENTIFIABLE","?REFERENTIAL"),"_")))))</f>
        <v> </v>
      </c>
      <c r="H1443" s="24" t="str">
        <f>IF(J1443&lt;&gt;1,"",IF(I1443="SBJ","CB","?"))</f>
        <v> </v>
      </c>
      <c r="I1443" s="25" t="str">
        <f>IF(OR(E1443="",E1443="!!!",F1443="NEW"),"",INDEX(B1442:B$2,-1+SUMPRODUCT(MAX(ROW(E1442:E$2)*(E1443=E1442:E$2)))))</f>
        <v> </v>
      </c>
      <c r="J1443" s="25" t="str">
        <f>IF(OR(E1443="",E1443="!!!",F1443="NEW"),"",COUNTBLANK(OFFSET(A$1,,,SUMPRODUCT(MAX(ROW(E$2:E1443)*(E1443=E$2:E1443)))))-COUNTBLANK(OFFSET(A$1,,,SUMPRODUCT(MAX(ROW(E$1:E1442)*(E2=E$1:E1442))))))</f>
        <v> </v>
      </c>
      <c r="K1443" s="25" t="str">
        <f>IF(OR(E1443="",E1443="!!!",F1443="NEW"),"",INDEX(J$1:J1442,SUMPRODUCT(MAX(ROW(E$1:E1442)*(E1443=E$1:E1442)))))</f>
        <v> </v>
      </c>
      <c r="L1443" s="26"/>
    </row>
    <row r="1444" spans="1:12">
      <c r="A1444" s="20" t="s">
        <v>379</v>
      </c>
      <c r="E1444" s="21">
        <f>IF(D1444="?OLD","!!!","")</f>
        <v/>
      </c>
      <c r="F1444" s="22" t="str">
        <f>IF(OR(E1444="",E1444="!!!"),"",IF(NOT(ISNA(VLOOKUP(E1444,E$1:E1443,1,FALSE()))),"OLD",IF(AND(E1444&lt;&gt;"",E1444&lt;&gt;"!!!"),"NEW","")))</f>
        <v> </v>
      </c>
      <c r="G1444" s="23" t="str">
        <f>IF(OR(E1444="",E1444="!!!"),"",IF(OR(J1444=0,AND(J1444=1,K1444=1),AND(J1444=1,I1444="SBJ"),AND(J1444=1,I1444=0)),"?IN_FOCUS",IF(J1444&lt;=2,"?ACTIVATED",IF(J1444&lt;&gt;"","?FAMILIAR",IF(F1444="NEW",IF(ISNA(VLOOKUP(E1444,#REF!,1,FALSE())),"?TYPE_IDENTIFIABLE","?REFERENTIAL"),"_")))))</f>
        <v> </v>
      </c>
      <c r="H1444" s="24" t="str">
        <f>IF(J1444&lt;&gt;1,"",IF(I1444="SBJ","CB","?"))</f>
        <v> </v>
      </c>
      <c r="I1444" s="25" t="str">
        <f>IF(OR(E1444="",E1444="!!!",F1444="NEW"),"",INDEX(B1443:B$2,-1+SUMPRODUCT(MAX(ROW(E1443:E$2)*(E1444=E1443:E$2)))))</f>
        <v> </v>
      </c>
      <c r="J1444" s="25" t="str">
        <f>IF(OR(E1444="",E1444="!!!",F1444="NEW"),"",COUNTBLANK(OFFSET(A$1,,,SUMPRODUCT(MAX(ROW(E$2:E1444)*(E1444=E$2:E1444)))))-COUNTBLANK(OFFSET(A$1,,,SUMPRODUCT(MAX(ROW(E$1:E1443)*(E2=E$1:E1443))))))</f>
        <v> </v>
      </c>
      <c r="K1444" s="25" t="str">
        <f>IF(OR(E1444="",E1444="!!!",F1444="NEW"),"",INDEX(J$1:J1443,SUMPRODUCT(MAX(ROW(E$1:E1443)*(E1444=E$1:E1443)))))</f>
        <v> </v>
      </c>
      <c r="L1444" s="26"/>
    </row>
    <row r="1445" spans="1:12">
      <c r="A1445" s="20" t="s">
        <v>880</v>
      </c>
      <c r="B1445" s="27" t="s">
        <v>370</v>
      </c>
      <c r="C1445" s="27" t="s">
        <v>509</v>
      </c>
      <c r="D1445" s="27" t="s">
        <v>378</v>
      </c>
      <c r="E1445" s="21">
        <f>IF(D1445="?OLD","!!!","")</f>
        <v/>
      </c>
      <c r="F1445" s="22" t="str">
        <f>IF(OR(E1445="",E1445="!!!"),"",IF(NOT(ISNA(VLOOKUP(E1445,E$1:E1444,1,FALSE()))),"OLD",IF(AND(E1445&lt;&gt;"",E1445&lt;&gt;"!!!"),"NEW","")))</f>
        <v> </v>
      </c>
      <c r="G1445" s="23" t="str">
        <f>IF(OR(E1445="",E1445="!!!"),"",IF(OR(J1445=0,AND(J1445=1,K1445=1),AND(J1445=1,I1445="SBJ"),AND(J1445=1,I1445=0)),"?IN_FOCUS",IF(J1445&lt;=2,"?ACTIVATED",IF(J1445&lt;&gt;"","?FAMILIAR",IF(F1445="NEW",IF(ISNA(VLOOKUP(E1445,#REF!,1,FALSE())),"?TYPE_IDENTIFIABLE","?REFERENTIAL"),"_")))))</f>
        <v> </v>
      </c>
      <c r="H1445" s="24" t="str">
        <f>IF(J1445&lt;&gt;1,"",IF(I1445="SBJ","CB","?"))</f>
        <v> </v>
      </c>
      <c r="I1445" s="25" t="str">
        <f>IF(OR(E1445="",E1445="!!!",F1445="NEW"),"",INDEX(B1444:B$2,-1+SUMPRODUCT(MAX(ROW(E1444:E$2)*(E1445=E1444:E$2)))))</f>
        <v> </v>
      </c>
      <c r="J1445" s="25" t="str">
        <f>IF(OR(E1445="",E1445="!!!",F1445="NEW"),"",COUNTBLANK(OFFSET(A$1,,,SUMPRODUCT(MAX(ROW(E$2:E1445)*(E1445=E$2:E1445)))))-COUNTBLANK(OFFSET(A$1,,,SUMPRODUCT(MAX(ROW(E$1:E1444)*(E2=E$1:E1444))))))</f>
        <v> </v>
      </c>
      <c r="K1445" s="25" t="str">
        <f>IF(OR(E1445="",E1445="!!!",F1445="NEW"),"",INDEX(J$1:J1444,SUMPRODUCT(MAX(ROW(E$1:E1444)*(E1445=E$1:E1444)))))</f>
        <v> </v>
      </c>
      <c r="L1445" s="26"/>
    </row>
    <row r="1446" spans="1:12">
      <c r="A1446" s="20" t="s">
        <v>884</v>
      </c>
      <c r="B1446" s="27" t="s">
        <v>414</v>
      </c>
      <c r="C1446" s="27" t="s">
        <v>489</v>
      </c>
      <c r="D1446" s="27" t="s">
        <v>378</v>
      </c>
      <c r="E1446" s="21">
        <f>IF(D1446="?OLD","!!!","")</f>
        <v/>
      </c>
      <c r="F1446" s="22" t="str">
        <f>IF(OR(E1446="",E1446="!!!"),"",IF(NOT(ISNA(VLOOKUP(E1446,E$1:E1445,1,FALSE()))),"OLD",IF(AND(E1446&lt;&gt;"",E1446&lt;&gt;"!!!"),"NEW","")))</f>
        <v> </v>
      </c>
      <c r="G1446" s="23" t="str">
        <f>IF(OR(E1446="",E1446="!!!"),"",IF(OR(J1446=0,AND(J1446=1,K1446=1),AND(J1446=1,I1446="SBJ"),AND(J1446=1,I1446=0)),"?IN_FOCUS",IF(J1446&lt;=2,"?ACTIVATED",IF(J1446&lt;&gt;"","?FAMILIAR",IF(F1446="NEW",IF(ISNA(VLOOKUP(E1446,#REF!,1,FALSE())),"?TYPE_IDENTIFIABLE","?REFERENTIAL"),"_")))))</f>
        <v> </v>
      </c>
      <c r="H1446" s="24" t="str">
        <f>IF(J1446&lt;&gt;1,"",IF(I1446="SBJ","CB","?"))</f>
        <v> </v>
      </c>
      <c r="I1446" s="25" t="str">
        <f>IF(OR(E1446="",E1446="!!!",F1446="NEW"),"",INDEX(B1445:B$2,-1+SUMPRODUCT(MAX(ROW(E1445:E$2)*(E1446=E1445:E$2)))))</f>
        <v> </v>
      </c>
      <c r="J1446" s="25" t="str">
        <f>IF(OR(E1446="",E1446="!!!",F1446="NEW"),"",COUNTBLANK(OFFSET(A$1,,,SUMPRODUCT(MAX(ROW(E$2:E1446)*(E1446=E$2:E1446)))))-COUNTBLANK(OFFSET(A$1,,,SUMPRODUCT(MAX(ROW(E$1:E1445)*(E2=E$1:E1445))))))</f>
        <v> </v>
      </c>
      <c r="K1446" s="25" t="str">
        <f>IF(OR(E1446="",E1446="!!!",F1446="NEW"),"",INDEX(J$1:J1445,SUMPRODUCT(MAX(ROW(E$1:E1445)*(E1446=E$1:E1445)))))</f>
        <v> </v>
      </c>
      <c r="L1446" s="26"/>
    </row>
    <row r="1447" spans="1:12">
      <c r="A1447" s="20" t="s">
        <v>420</v>
      </c>
      <c r="E1447" s="21">
        <f>IF(D1447="?OLD","!!!","")</f>
        <v/>
      </c>
      <c r="F1447" s="22" t="str">
        <f>IF(OR(E1447="",E1447="!!!"),"",IF(NOT(ISNA(VLOOKUP(E1447,E$1:E1446,1,FALSE()))),"OLD",IF(AND(E1447&lt;&gt;"",E1447&lt;&gt;"!!!"),"NEW","")))</f>
        <v> </v>
      </c>
      <c r="G1447" s="23" t="str">
        <f>IF(OR(E1447="",E1447="!!!"),"",IF(OR(J1447=0,AND(J1447=1,K1447=1),AND(J1447=1,I1447="SBJ"),AND(J1447=1,I1447=0)),"?IN_FOCUS",IF(J1447&lt;=2,"?ACTIVATED",IF(J1447&lt;&gt;"","?FAMILIAR",IF(F1447="NEW",IF(ISNA(VLOOKUP(E1447,#REF!,1,FALSE())),"?TYPE_IDENTIFIABLE","?REFERENTIAL"),"_")))))</f>
        <v> </v>
      </c>
      <c r="H1447" s="24" t="str">
        <f>IF(J1447&lt;&gt;1,"",IF(I1447="SBJ","CB","?"))</f>
        <v> </v>
      </c>
      <c r="I1447" s="25" t="str">
        <f>IF(OR(E1447="",E1447="!!!",F1447="NEW"),"",INDEX(B1446:B$2,-1+SUMPRODUCT(MAX(ROW(E1446:E$2)*(E1447=E1446:E$2)))))</f>
        <v> </v>
      </c>
      <c r="J1447" s="25" t="str">
        <f>IF(OR(E1447="",E1447="!!!",F1447="NEW"),"",COUNTBLANK(OFFSET(A$1,,,SUMPRODUCT(MAX(ROW(E$2:E1447)*(E1447=E$2:E1447)))))-COUNTBLANK(OFFSET(A$1,,,SUMPRODUCT(MAX(ROW(E$1:E1446)*(E2=E$1:E1446))))))</f>
        <v> </v>
      </c>
      <c r="K1447" s="25" t="str">
        <f>IF(OR(E1447="",E1447="!!!",F1447="NEW"),"",INDEX(J$1:J1446,SUMPRODUCT(MAX(ROW(E$1:E1446)*(E1447=E$1:E1446)))))</f>
        <v> </v>
      </c>
      <c r="L1447" s="26"/>
    </row>
    <row r="1448" spans="1:12">
      <c r="A1448" s="20" t="s">
        <v>880</v>
      </c>
      <c r="B1448" s="27" t="s">
        <v>477</v>
      </c>
      <c r="C1448" s="27" t="s">
        <v>429</v>
      </c>
      <c r="D1448" s="27" t="s">
        <v>378</v>
      </c>
      <c r="E1448" s="21">
        <f>IF(D1448="?OLD","!!!","")</f>
        <v/>
      </c>
      <c r="F1448" s="22" t="str">
        <f>IF(OR(E1448="",E1448="!!!"),"",IF(NOT(ISNA(VLOOKUP(E1448,E$1:E1447,1,FALSE()))),"OLD",IF(AND(E1448&lt;&gt;"",E1448&lt;&gt;"!!!"),"NEW","")))</f>
        <v> </v>
      </c>
      <c r="G1448" s="23" t="str">
        <f>IF(OR(E1448="",E1448="!!!"),"",IF(OR(J1448=0,AND(J1448=1,K1448=1),AND(J1448=1,I1448="SBJ"),AND(J1448=1,I1448=0)),"?IN_FOCUS",IF(J1448&lt;=2,"?ACTIVATED",IF(J1448&lt;&gt;"","?FAMILIAR",IF(F1448="NEW",IF(ISNA(VLOOKUP(E1448,#REF!,1,FALSE())),"?TYPE_IDENTIFIABLE","?REFERENTIAL"),"_")))))</f>
        <v> </v>
      </c>
      <c r="H1448" s="24" t="str">
        <f>IF(J1448&lt;&gt;1,"",IF(I1448="SBJ","CB","?"))</f>
        <v> </v>
      </c>
      <c r="I1448" s="25" t="str">
        <f>IF(OR(E1448="",E1448="!!!",F1448="NEW"),"",INDEX(B1447:B$2,-1+SUMPRODUCT(MAX(ROW(E1447:E$2)*(E1448=E1447:E$2)))))</f>
        <v> </v>
      </c>
      <c r="J1448" s="25" t="str">
        <f>IF(OR(E1448="",E1448="!!!",F1448="NEW"),"",COUNTBLANK(OFFSET(A$1,,,SUMPRODUCT(MAX(ROW(E$2:E1448)*(E1448=E$2:E1448)))))-COUNTBLANK(OFFSET(A$1,,,SUMPRODUCT(MAX(ROW(E$1:E1447)*(E2=E$1:E1447))))))</f>
        <v> </v>
      </c>
      <c r="K1448" s="25" t="str">
        <f>IF(OR(E1448="",E1448="!!!",F1448="NEW"),"",INDEX(J$1:J1447,SUMPRODUCT(MAX(ROW(E$1:E1447)*(E1448=E$1:E1447)))))</f>
        <v> </v>
      </c>
      <c r="L1448" s="26"/>
    </row>
    <row r="1449" spans="1:12">
      <c r="A1449" s="20" t="s">
        <v>885</v>
      </c>
      <c r="E1449" s="21">
        <f>IF(D1449="?OLD","!!!","")</f>
        <v/>
      </c>
      <c r="F1449" s="22" t="str">
        <f>IF(OR(E1449="",E1449="!!!"),"",IF(NOT(ISNA(VLOOKUP(E1449,E$1:E1448,1,FALSE()))),"OLD",IF(AND(E1449&lt;&gt;"",E1449&lt;&gt;"!!!"),"NEW","")))</f>
        <v> </v>
      </c>
      <c r="G1449" s="23" t="str">
        <f>IF(OR(E1449="",E1449="!!!"),"",IF(OR(J1449=0,AND(J1449=1,K1449=1),AND(J1449=1,I1449="SBJ"),AND(J1449=1,I1449=0)),"?IN_FOCUS",IF(J1449&lt;=2,"?ACTIVATED",IF(J1449&lt;&gt;"","?FAMILIAR",IF(F1449="NEW",IF(ISNA(VLOOKUP(E1449,#REF!,1,FALSE())),"?TYPE_IDENTIFIABLE","?REFERENTIAL"),"_")))))</f>
        <v> </v>
      </c>
      <c r="H1449" s="24" t="str">
        <f>IF(J1449&lt;&gt;1,"",IF(I1449="SBJ","CB","?"))</f>
        <v> </v>
      </c>
      <c r="I1449" s="25" t="str">
        <f>IF(OR(E1449="",E1449="!!!",F1449="NEW"),"",INDEX(B1448:B$2,-1+SUMPRODUCT(MAX(ROW(E1448:E$2)*(E1449=E1448:E$2)))))</f>
        <v> </v>
      </c>
      <c r="J1449" s="25" t="str">
        <f>IF(OR(E1449="",E1449="!!!",F1449="NEW"),"",COUNTBLANK(OFFSET(A$1,,,SUMPRODUCT(MAX(ROW(E$2:E1449)*(E1449=E$2:E1449)))))-COUNTBLANK(OFFSET(A$1,,,SUMPRODUCT(MAX(ROW(E$1:E1448)*(E2=E$1:E1448))))))</f>
        <v> </v>
      </c>
      <c r="K1449" s="25" t="str">
        <f>IF(OR(E1449="",E1449="!!!",F1449="NEW"),"",INDEX(J$1:J1448,SUMPRODUCT(MAX(ROW(E$1:E1448)*(E1449=E$1:E1448)))))</f>
        <v> </v>
      </c>
      <c r="L1449" s="26"/>
    </row>
    <row r="1450" spans="1:12">
      <c r="A1450" s="20" t="s">
        <v>406</v>
      </c>
      <c r="E1450" s="21">
        <f>IF(D1450="?OLD","!!!","")</f>
        <v/>
      </c>
      <c r="F1450" s="22" t="str">
        <f>IF(OR(E1450="",E1450="!!!"),"",IF(NOT(ISNA(VLOOKUP(E1450,E$1:E1449,1,FALSE()))),"OLD",IF(AND(E1450&lt;&gt;"",E1450&lt;&gt;"!!!"),"NEW","")))</f>
        <v> </v>
      </c>
      <c r="G1450" s="23" t="str">
        <f>IF(OR(E1450="",E1450="!!!"),"",IF(OR(J1450=0,AND(J1450=1,K1450=1),AND(J1450=1,I1450="SBJ"),AND(J1450=1,I1450=0)),"?IN_FOCUS",IF(J1450&lt;=2,"?ACTIVATED",IF(J1450&lt;&gt;"","?FAMILIAR",IF(F1450="NEW",IF(ISNA(VLOOKUP(E1450,#REF!,1,FALSE())),"?TYPE_IDENTIFIABLE","?REFERENTIAL"),"_")))))</f>
        <v> </v>
      </c>
      <c r="H1450" s="24" t="str">
        <f>IF(J1450&lt;&gt;1,"",IF(I1450="SBJ","CB","?"))</f>
        <v> </v>
      </c>
      <c r="I1450" s="25" t="str">
        <f>IF(OR(E1450="",E1450="!!!",F1450="NEW"),"",INDEX(B1449:B$2,-1+SUMPRODUCT(MAX(ROW(E1449:E$2)*(E1450=E1449:E$2)))))</f>
        <v> </v>
      </c>
      <c r="J1450" s="25" t="str">
        <f>IF(OR(E1450="",E1450="!!!",F1450="NEW"),"",COUNTBLANK(OFFSET(A$1,,,SUMPRODUCT(MAX(ROW(E$2:E1450)*(E1450=E$2:E1450)))))-COUNTBLANK(OFFSET(A$1,,,SUMPRODUCT(MAX(ROW(E$1:E1449)*(E2=E$1:E1449))))))</f>
        <v> </v>
      </c>
      <c r="K1450" s="25" t="str">
        <f>IF(OR(E1450="",E1450="!!!",F1450="NEW"),"",INDEX(J$1:J1449,SUMPRODUCT(MAX(ROW(E$1:E1449)*(E1450=E$1:E1449)))))</f>
        <v> </v>
      </c>
      <c r="L1450" s="26"/>
    </row>
    <row r="1451" spans="1:12">
      <c r="A1451" s="20" t="s">
        <v>390</v>
      </c>
      <c r="E1451" s="21">
        <f>IF(D1451="?OLD","!!!","")</f>
        <v/>
      </c>
      <c r="F1451" s="22" t="str">
        <f>IF(OR(E1451="",E1451="!!!"),"",IF(NOT(ISNA(VLOOKUP(E1451,E$1:E1450,1,FALSE()))),"OLD",IF(AND(E1451&lt;&gt;"",E1451&lt;&gt;"!!!"),"NEW","")))</f>
        <v> </v>
      </c>
      <c r="G1451" s="23" t="str">
        <f>IF(OR(E1451="",E1451="!!!"),"",IF(OR(J1451=0,AND(J1451=1,K1451=1),AND(J1451=1,I1451="SBJ"),AND(J1451=1,I1451=0)),"?IN_FOCUS",IF(J1451&lt;=2,"?ACTIVATED",IF(J1451&lt;&gt;"","?FAMILIAR",IF(F1451="NEW",IF(ISNA(VLOOKUP(E1451,#REF!,1,FALSE())),"?TYPE_IDENTIFIABLE","?REFERENTIAL"),"_")))))</f>
        <v> </v>
      </c>
      <c r="H1451" s="24" t="str">
        <f>IF(J1451&lt;&gt;1,"",IF(I1451="SBJ","CB","?"))</f>
        <v> </v>
      </c>
      <c r="I1451" s="25" t="str">
        <f>IF(OR(E1451="",E1451="!!!",F1451="NEW"),"",INDEX(B1450:B$2,-1+SUMPRODUCT(MAX(ROW(E1450:E$2)*(E1451=E1450:E$2)))))</f>
        <v> </v>
      </c>
      <c r="J1451" s="25" t="str">
        <f>IF(OR(E1451="",E1451="!!!",F1451="NEW"),"",COUNTBLANK(OFFSET(A$1,,,SUMPRODUCT(MAX(ROW(E$2:E1451)*(E1451=E$2:E1451)))))-COUNTBLANK(OFFSET(A$1,,,SUMPRODUCT(MAX(ROW(E$1:E1450)*(E2=E$1:E1450))))))</f>
        <v> </v>
      </c>
      <c r="K1451" s="25" t="str">
        <f>IF(OR(E1451="",E1451="!!!",F1451="NEW"),"",INDEX(J$1:J1450,SUMPRODUCT(MAX(ROW(E$1:E1450)*(E1451=E$1:E1450)))))</f>
        <v> </v>
      </c>
      <c r="L1451" s="26"/>
    </row>
    <row r="1452" spans="1:12">
      <c r="A1452" s="20" t="s">
        <v>386</v>
      </c>
      <c r="B1452" s="27" t="s">
        <v>556</v>
      </c>
      <c r="C1452" s="27" t="s">
        <v>393</v>
      </c>
      <c r="D1452" s="27" t="s">
        <v>378</v>
      </c>
      <c r="E1452" s="21">
        <f>IF(D1452="?OLD","!!!","")</f>
        <v/>
      </c>
      <c r="F1452" s="22" t="str">
        <f>IF(OR(E1452="",E1452="!!!"),"",IF(NOT(ISNA(VLOOKUP(E1452,E$1:E1451,1,FALSE()))),"OLD",IF(AND(E1452&lt;&gt;"",E1452&lt;&gt;"!!!"),"NEW","")))</f>
        <v> </v>
      </c>
      <c r="G1452" s="23" t="str">
        <f>IF(OR(E1452="",E1452="!!!"),"",IF(OR(J1452=0,AND(J1452=1,K1452=1),AND(J1452=1,I1452="SBJ"),AND(J1452=1,I1452=0)),"?IN_FOCUS",IF(J1452&lt;=2,"?ACTIVATED",IF(J1452&lt;&gt;"","?FAMILIAR",IF(F1452="NEW",IF(ISNA(VLOOKUP(E1452,#REF!,1,FALSE())),"?TYPE_IDENTIFIABLE","?REFERENTIAL"),"_")))))</f>
        <v> </v>
      </c>
      <c r="H1452" s="24" t="str">
        <f>IF(J1452&lt;&gt;1,"",IF(I1452="SBJ","CB","?"))</f>
        <v> </v>
      </c>
      <c r="I1452" s="25" t="str">
        <f>IF(OR(E1452="",E1452="!!!",F1452="NEW"),"",INDEX(B1451:B$2,-1+SUMPRODUCT(MAX(ROW(E1451:E$2)*(E1452=E1451:E$2)))))</f>
        <v> </v>
      </c>
      <c r="J1452" s="25" t="str">
        <f>IF(OR(E1452="",E1452="!!!",F1452="NEW"),"",COUNTBLANK(OFFSET(A$1,,,SUMPRODUCT(MAX(ROW(E$2:E1452)*(E1452=E$2:E1452)))))-COUNTBLANK(OFFSET(A$1,,,SUMPRODUCT(MAX(ROW(E$1:E1451)*(E2=E$1:E1451))))))</f>
        <v> </v>
      </c>
      <c r="K1452" s="25" t="str">
        <f>IF(OR(E1452="",E1452="!!!",F1452="NEW"),"",INDEX(J$1:J1451,SUMPRODUCT(MAX(ROW(E$1:E1451)*(E1452=E$1:E1451)))))</f>
        <v> </v>
      </c>
      <c r="L1452" s="26"/>
    </row>
    <row r="1453" spans="1:12">
      <c r="A1453" s="20" t="s">
        <v>476</v>
      </c>
      <c r="B1453" s="27" t="s">
        <v>886</v>
      </c>
      <c r="E1453" s="21">
        <f>IF(D1453="?OLD","!!!","")</f>
        <v/>
      </c>
      <c r="F1453" s="22" t="str">
        <f>IF(OR(E1453="",E1453="!!!"),"",IF(NOT(ISNA(VLOOKUP(E1453,E$1:E1452,1,FALSE()))),"OLD",IF(AND(E1453&lt;&gt;"",E1453&lt;&gt;"!!!"),"NEW","")))</f>
        <v> </v>
      </c>
      <c r="G1453" s="23" t="str">
        <f>IF(OR(E1453="",E1453="!!!"),"",IF(OR(J1453=0,AND(J1453=1,K1453=1),AND(J1453=1,I1453="SBJ"),AND(J1453=1,I1453=0)),"?IN_FOCUS",IF(J1453&lt;=2,"?ACTIVATED",IF(J1453&lt;&gt;"","?FAMILIAR",IF(F1453="NEW",IF(ISNA(VLOOKUP(E1453,#REF!,1,FALSE())),"?TYPE_IDENTIFIABLE","?REFERENTIAL"),"_")))))</f>
        <v> </v>
      </c>
      <c r="H1453" s="24" t="str">
        <f>IF(J1453&lt;&gt;1,"",IF(I1453="SBJ","CB","?"))</f>
        <v> </v>
      </c>
      <c r="I1453" s="25" t="str">
        <f>IF(OR(E1453="",E1453="!!!",F1453="NEW"),"",INDEX(B1452:B$2,-1+SUMPRODUCT(MAX(ROW(E1452:E$2)*(E1453=E1452:E$2)))))</f>
        <v> </v>
      </c>
      <c r="J1453" s="25" t="str">
        <f>IF(OR(E1453="",E1453="!!!",F1453="NEW"),"",COUNTBLANK(OFFSET(A$1,,,SUMPRODUCT(MAX(ROW(E$2:E1453)*(E1453=E$2:E1453)))))-COUNTBLANK(OFFSET(A$1,,,SUMPRODUCT(MAX(ROW(E$1:E1452)*(E2=E$1:E1452))))))</f>
        <v> </v>
      </c>
      <c r="K1453" s="25" t="str">
        <f>IF(OR(E1453="",E1453="!!!",F1453="NEW"),"",INDEX(J$1:J1452,SUMPRODUCT(MAX(ROW(E$1:E1452)*(E1453=E$1:E1452)))))</f>
        <v> </v>
      </c>
      <c r="L1453" s="26"/>
    </row>
    <row r="1454" spans="1:12">
      <c r="A1454" s="20" t="s">
        <v>878</v>
      </c>
      <c r="B1454" s="27" t="s">
        <v>887</v>
      </c>
      <c r="C1454" s="27" t="s">
        <v>429</v>
      </c>
      <c r="D1454" s="27" t="s">
        <v>378</v>
      </c>
      <c r="E1454" s="21">
        <f>IF(D1454="?OLD","!!!","")</f>
        <v/>
      </c>
      <c r="F1454" s="22" t="str">
        <f>IF(OR(E1454="",E1454="!!!"),"",IF(NOT(ISNA(VLOOKUP(E1454,E$1:E1453,1,FALSE()))),"OLD",IF(AND(E1454&lt;&gt;"",E1454&lt;&gt;"!!!"),"NEW","")))</f>
        <v> </v>
      </c>
      <c r="G1454" s="23" t="str">
        <f>IF(OR(E1454="",E1454="!!!"),"",IF(OR(J1454=0,AND(J1454=1,K1454=1),AND(J1454=1,I1454="SBJ"),AND(J1454=1,I1454=0)),"?IN_FOCUS",IF(J1454&lt;=2,"?ACTIVATED",IF(J1454&lt;&gt;"","?FAMILIAR",IF(F1454="NEW",IF(ISNA(VLOOKUP(E1454,#REF!,1,FALSE())),"?TYPE_IDENTIFIABLE","?REFERENTIAL"),"_")))))</f>
        <v> </v>
      </c>
      <c r="H1454" s="24" t="str">
        <f>IF(J1454&lt;&gt;1,"",IF(I1454="SBJ","CB","?"))</f>
        <v> </v>
      </c>
      <c r="I1454" s="25" t="str">
        <f>IF(OR(E1454="",E1454="!!!",F1454="NEW"),"",INDEX(B1453:B$2,-1+SUMPRODUCT(MAX(ROW(E1453:E$2)*(E1454=E1453:E$2)))))</f>
        <v> </v>
      </c>
      <c r="J1454" s="25" t="str">
        <f>IF(OR(E1454="",E1454="!!!",F1454="NEW"),"",COUNTBLANK(OFFSET(A$1,,,SUMPRODUCT(MAX(ROW(E$2:E1454)*(E1454=E$2:E1454)))))-COUNTBLANK(OFFSET(A$1,,,SUMPRODUCT(MAX(ROW(E$1:E1453)*(E2=E$1:E1453))))))</f>
        <v> </v>
      </c>
      <c r="K1454" s="25" t="str">
        <f>IF(OR(E1454="",E1454="!!!",F1454="NEW"),"",INDEX(J$1:J1453,SUMPRODUCT(MAX(ROW(E$1:E1453)*(E1454=E$1:E1453)))))</f>
        <v> </v>
      </c>
      <c r="L1454" s="26"/>
    </row>
    <row r="1455" spans="1:12">
      <c r="A1455" s="20" t="s">
        <v>23</v>
      </c>
      <c r="E1455" s="21">
        <f>IF(D1455="?OLD","!!!","")</f>
        <v/>
      </c>
      <c r="F1455" s="22" t="str">
        <f>IF(OR(E1455="",E1455="!!!"),"",IF(NOT(ISNA(VLOOKUP(E1455,E$1:E1454,1,FALSE()))),"OLD",IF(AND(E1455&lt;&gt;"",E1455&lt;&gt;"!!!"),"NEW","")))</f>
        <v> </v>
      </c>
      <c r="G1455" s="23" t="str">
        <f>IF(OR(E1455="",E1455="!!!"),"",IF(OR(J1455=0,AND(J1455=1,K1455=1),AND(J1455=1,I1455="SBJ"),AND(J1455=1,I1455=0)),"?IN_FOCUS",IF(J1455&lt;=2,"?ACTIVATED",IF(J1455&lt;&gt;"","?FAMILIAR",IF(F1455="NEW",IF(ISNA(VLOOKUP(E1455,#REF!,1,FALSE())),"?TYPE_IDENTIFIABLE","?REFERENTIAL"),"_")))))</f>
        <v> </v>
      </c>
      <c r="H1455" s="24" t="str">
        <f>IF(J1455&lt;&gt;1,"",IF(I1455="SBJ","CB","?"))</f>
        <v> </v>
      </c>
      <c r="I1455" s="25" t="str">
        <f>IF(OR(E1455="",E1455="!!!",F1455="NEW"),"",INDEX(B1454:B$2,-1+SUMPRODUCT(MAX(ROW(E1454:E$2)*(E1455=E1454:E$2)))))</f>
        <v> </v>
      </c>
      <c r="J1455" s="25" t="str">
        <f>IF(OR(E1455="",E1455="!!!",F1455="NEW"),"",COUNTBLANK(OFFSET(A$1,,,SUMPRODUCT(MAX(ROW(E$2:E1455)*(E1455=E$2:E1455)))))-COUNTBLANK(OFFSET(A$1,,,SUMPRODUCT(MAX(ROW(E$1:E1454)*(E2=E$1:E1454))))))</f>
        <v> </v>
      </c>
      <c r="K1455" s="25" t="str">
        <f>IF(OR(E1455="",E1455="!!!",F1455="NEW"),"",INDEX(J$1:J1454,SUMPRODUCT(MAX(ROW(E$1:E1454)*(E1455=E$1:E1454)))))</f>
        <v> </v>
      </c>
      <c r="L1455" s="26"/>
    </row>
    <row r="1456" spans="1:12">
      <c r="A1456" s="20" t="s">
        <v>374</v>
      </c>
      <c r="E1456" s="21">
        <f>IF(D1456="?OLD","!!!","")</f>
        <v/>
      </c>
      <c r="F1456" s="22" t="str">
        <f>IF(OR(E1456="",E1456="!!!"),"",IF(NOT(ISNA(VLOOKUP(E1456,E$1:E1455,1,FALSE()))),"OLD",IF(AND(E1456&lt;&gt;"",E1456&lt;&gt;"!!!"),"NEW","")))</f>
        <v> </v>
      </c>
      <c r="G1456" s="23" t="str">
        <f>IF(OR(E1456="",E1456="!!!"),"",IF(OR(J1456=0,AND(J1456=1,K1456=1),AND(J1456=1,I1456="SBJ"),AND(J1456=1,I1456=0)),"?IN_FOCUS",IF(J1456&lt;=2,"?ACTIVATED",IF(J1456&lt;&gt;"","?FAMILIAR",IF(F1456="NEW",IF(ISNA(VLOOKUP(E1456,#REF!,1,FALSE())),"?TYPE_IDENTIFIABLE","?REFERENTIAL"),"_")))))</f>
        <v> </v>
      </c>
      <c r="H1456" s="24" t="str">
        <f>IF(J1456&lt;&gt;1,"",IF(I1456="SBJ","CB","?"))</f>
        <v> </v>
      </c>
      <c r="I1456" s="25" t="str">
        <f>IF(OR(E1456="",E1456="!!!",F1456="NEW"),"",INDEX(B1455:B$2,-1+SUMPRODUCT(MAX(ROW(E1455:E$2)*(E1456=E1455:E$2)))))</f>
        <v> </v>
      </c>
      <c r="J1456" s="25" t="str">
        <f>IF(OR(E1456="",E1456="!!!",F1456="NEW"),"",COUNTBLANK(OFFSET(A$1,,,SUMPRODUCT(MAX(ROW(E$2:E1456)*(E1456=E$2:E1456)))))-COUNTBLANK(OFFSET(A$1,,,SUMPRODUCT(MAX(ROW(E$1:E1455)*(E2=E$1:E1455))))))</f>
        <v> </v>
      </c>
      <c r="K1456" s="25" t="str">
        <f>IF(OR(E1456="",E1456="!!!",F1456="NEW"),"",INDEX(J$1:J1455,SUMPRODUCT(MAX(ROW(E$1:E1455)*(E1456=E$1:E1455)))))</f>
        <v> </v>
      </c>
      <c r="L1456" s="26"/>
    </row>
    <row r="1457" spans="1:12">
      <c r="A1457" s="20" t="s">
        <v>888</v>
      </c>
      <c r="B1457" s="27" t="s">
        <v>485</v>
      </c>
      <c r="C1457" s="27" t="s">
        <v>371</v>
      </c>
      <c r="E1457" s="21">
        <f>IF(D1457="?OLD","!!!","")</f>
        <v/>
      </c>
      <c r="F1457" s="22" t="str">
        <f>IF(OR(E1457="",E1457="!!!"),"",IF(NOT(ISNA(VLOOKUP(E1457,E$1:E1456,1,FALSE()))),"OLD",IF(AND(E1457&lt;&gt;"",E1457&lt;&gt;"!!!"),"NEW","")))</f>
        <v> </v>
      </c>
      <c r="G1457" s="23" t="str">
        <f>IF(OR(E1457="",E1457="!!!"),"",IF(OR(J1457=0,AND(J1457=1,K1457=1),AND(J1457=1,I1457="SBJ"),AND(J1457=1,I1457=0)),"?IN_FOCUS",IF(J1457&lt;=2,"?ACTIVATED",IF(J1457&lt;&gt;"","?FAMILIAR",IF(F1457="NEW",IF(ISNA(VLOOKUP(E1457,#REF!,1,FALSE())),"?TYPE_IDENTIFIABLE","?REFERENTIAL"),"_")))))</f>
        <v> </v>
      </c>
      <c r="H1457" s="24" t="str">
        <f>IF(J1457&lt;&gt;1,"",IF(I1457="SBJ","CB","?"))</f>
        <v> </v>
      </c>
      <c r="I1457" s="25" t="str">
        <f>IF(OR(E1457="",E1457="!!!",F1457="NEW"),"",INDEX(B1456:B$2,-1+SUMPRODUCT(MAX(ROW(E1456:E$2)*(E1457=E1456:E$2)))))</f>
        <v> </v>
      </c>
      <c r="J1457" s="25" t="str">
        <f>IF(OR(E1457="",E1457="!!!",F1457="NEW"),"",COUNTBLANK(OFFSET(A$1,,,SUMPRODUCT(MAX(ROW(E$2:E1457)*(E1457=E$2:E1457)))))-COUNTBLANK(OFFSET(A$1,,,SUMPRODUCT(MAX(ROW(E$1:E1456)*(E2=E$1:E1456))))))</f>
        <v> </v>
      </c>
      <c r="K1457" s="25" t="str">
        <f>IF(OR(E1457="",E1457="!!!",F1457="NEW"),"",INDEX(J$1:J1456,SUMPRODUCT(MAX(ROW(E$1:E1456)*(E1457=E$1:E1456)))))</f>
        <v> </v>
      </c>
      <c r="L1457" s="26"/>
    </row>
    <row r="1458" spans="1:12">
      <c r="A1458" s="20" t="s">
        <v>394</v>
      </c>
      <c r="E1458" s="21">
        <f>IF(D1458="?OLD","!!!","")</f>
        <v/>
      </c>
      <c r="F1458" s="22" t="str">
        <f>IF(OR(E1458="",E1458="!!!"),"",IF(NOT(ISNA(VLOOKUP(E1458,E$1:E1457,1,FALSE()))),"OLD",IF(AND(E1458&lt;&gt;"",E1458&lt;&gt;"!!!"),"NEW","")))</f>
        <v> </v>
      </c>
      <c r="G1458" s="23" t="str">
        <f>IF(OR(E1458="",E1458="!!!"),"",IF(OR(J1458=0,AND(J1458=1,K1458=1),AND(J1458=1,I1458="SBJ"),AND(J1458=1,I1458=0)),"?IN_FOCUS",IF(J1458&lt;=2,"?ACTIVATED",IF(J1458&lt;&gt;"","?FAMILIAR",IF(F1458="NEW",IF(ISNA(VLOOKUP(E1458,#REF!,1,FALSE())),"?TYPE_IDENTIFIABLE","?REFERENTIAL"),"_")))))</f>
        <v> </v>
      </c>
      <c r="H1458" s="24" t="str">
        <f>IF(J1458&lt;&gt;1,"",IF(I1458="SBJ","CB","?"))</f>
        <v> </v>
      </c>
      <c r="I1458" s="25" t="str">
        <f>IF(OR(E1458="",E1458="!!!",F1458="NEW"),"",INDEX(B1457:B$2,-1+SUMPRODUCT(MAX(ROW(E1457:E$2)*(E1458=E1457:E$2)))))</f>
        <v> </v>
      </c>
      <c r="J1458" s="25" t="str">
        <f>IF(OR(E1458="",E1458="!!!",F1458="NEW"),"",COUNTBLANK(OFFSET(A$1,,,SUMPRODUCT(MAX(ROW(E$2:E1458)*(E1458=E$2:E1458)))))-COUNTBLANK(OFFSET(A$1,,,SUMPRODUCT(MAX(ROW(E$1:E1457)*(E2=E$1:E1457))))))</f>
        <v> </v>
      </c>
      <c r="K1458" s="25" t="str">
        <f>IF(OR(E1458="",E1458="!!!",F1458="NEW"),"",INDEX(J$1:J1457,SUMPRODUCT(MAX(ROW(E$1:E1457)*(E1458=E$1:E1457)))))</f>
        <v> </v>
      </c>
      <c r="L1458" s="26"/>
    </row>
    <row r="1459" spans="1:12">
      <c r="A1459" s="20"/>
    </row>
    <row r="1460" spans="1:12">
      <c r="A1460" s="20" t="s">
        <v>545</v>
      </c>
      <c r="E1460" s="21">
        <f>IF(D1460="?OLD","!!!","")</f>
        <v/>
      </c>
      <c r="F1460" s="22" t="str">
        <f>IF(OR(E1460="",E1460="!!!"),"",IF(NOT(ISNA(VLOOKUP(E1460,E$1:E1459,1,FALSE()))),"OLD",IF(AND(E1460&lt;&gt;"",E1460&lt;&gt;"!!!"),"NEW","")))</f>
        <v> </v>
      </c>
      <c r="G1460" s="23" t="str">
        <f>IF(OR(E1460="",E1460="!!!"),"",IF(OR(J1460=0,AND(J1460=1,K1460=1),AND(J1460=1,I1460="SBJ"),AND(J1460=1,I1460=0)),"?IN_FOCUS",IF(J1460&lt;=2,"?ACTIVATED",IF(J1460&lt;&gt;"","?FAMILIAR",IF(F1460="NEW",IF(ISNA(VLOOKUP(E1460,#REF!,1,FALSE())),"?TYPE_IDENTIFIABLE","?REFERENTIAL"),"_")))))</f>
        <v> </v>
      </c>
      <c r="H1460" s="24" t="str">
        <f>IF(J1460&lt;&gt;1,"",IF(I1460="SBJ","CB","?"))</f>
        <v> </v>
      </c>
      <c r="I1460" s="25" t="str">
        <f>IF(OR(E1460="",E1460="!!!",F1460="NEW"),"",INDEX(B1459:B$2,-1+SUMPRODUCT(MAX(ROW(E1459:E$2)*(E1460=E1459:E$2)))))</f>
        <v> </v>
      </c>
      <c r="J1460" s="25" t="str">
        <f>IF(OR(E1460="",E1460="!!!",F1460="NEW"),"",COUNTBLANK(OFFSET(A$1,,,SUMPRODUCT(MAX(ROW(E$2:E1460)*(E1460=E$2:E1460)))))-COUNTBLANK(OFFSET(A$1,,,SUMPRODUCT(MAX(ROW(E$1:E1459)*(E2=E$1:E1459))))))</f>
        <v> </v>
      </c>
      <c r="K1460" s="25" t="str">
        <f>IF(OR(E1460="",E1460="!!!",F1460="NEW"),"",INDEX(J$1:J1459,SUMPRODUCT(MAX(ROW(E$1:E1459)*(E1460=E$1:E1459)))))</f>
        <v> </v>
      </c>
      <c r="L1460" s="26"/>
    </row>
    <row r="1461" spans="1:12">
      <c r="A1461" s="20" t="s">
        <v>889</v>
      </c>
    </row>
    <row r="1462" spans="1:12">
      <c r="A1462" s="20" t="s">
        <v>396</v>
      </c>
      <c r="E1462" s="21">
        <f>IF(D1462="?OLD","!!!","")</f>
        <v/>
      </c>
      <c r="F1462" s="22" t="str">
        <f>IF(OR(E1462="",E1462="!!!"),"",IF(NOT(ISNA(VLOOKUP(E1462,E$1:E1461,1,FALSE()))),"OLD",IF(AND(E1462&lt;&gt;"",E1462&lt;&gt;"!!!"),"NEW","")))</f>
        <v> </v>
      </c>
      <c r="G1462" s="23" t="str">
        <f>IF(OR(E1462="",E1462="!!!"),"",IF(OR(J1462=0,AND(J1462=1,K1462=1),AND(J1462=1,I1462="SBJ"),AND(J1462=1,I1462=0)),"?IN_FOCUS",IF(J1462&lt;=2,"?ACTIVATED",IF(J1462&lt;&gt;"","?FAMILIAR",IF(F1462="NEW",IF(ISNA(VLOOKUP(E1462,#REF!,1,FALSE())),"?TYPE_IDENTIFIABLE","?REFERENTIAL"),"_")))))</f>
        <v> </v>
      </c>
      <c r="H1462" s="24" t="str">
        <f>IF(J1462&lt;&gt;1,"",IF(I1462="SBJ","CB","?"))</f>
        <v> </v>
      </c>
      <c r="I1462" s="25" t="str">
        <f>IF(OR(E1462="",E1462="!!!",F1462="NEW"),"",INDEX(B1461:B$2,-1+SUMPRODUCT(MAX(ROW(E1461:E$2)*(E1462=E1461:E$2)))))</f>
        <v> </v>
      </c>
      <c r="J1462" s="25" t="str">
        <f>IF(OR(E1462="",E1462="!!!",F1462="NEW"),"",COUNTBLANK(OFFSET(A$1,,,SUMPRODUCT(MAX(ROW(E$2:E1462)*(E1462=E$2:E1462)))))-COUNTBLANK(OFFSET(A$1,,,SUMPRODUCT(MAX(ROW(E$1:E1461)*(E2=E$1:E1461))))))</f>
        <v> </v>
      </c>
      <c r="K1462" s="25" t="str">
        <f>IF(OR(E1462="",E1462="!!!",F1462="NEW"),"",INDEX(J$1:J1461,SUMPRODUCT(MAX(ROW(E$1:E1461)*(E1462=E$1:E1461)))))</f>
        <v> </v>
      </c>
      <c r="L1462" s="26"/>
    </row>
    <row r="1463" spans="1:12">
      <c r="A1463" s="20" t="s">
        <v>890</v>
      </c>
      <c r="E1463" s="21">
        <f>IF(D1463="?OLD","!!!","")</f>
        <v/>
      </c>
      <c r="F1463" s="22" t="str">
        <f>IF(OR(E1463="",E1463="!!!"),"",IF(NOT(ISNA(VLOOKUP(E1463,E$1:E1462,1,FALSE()))),"OLD",IF(AND(E1463&lt;&gt;"",E1463&lt;&gt;"!!!"),"NEW","")))</f>
        <v> </v>
      </c>
      <c r="G1463" s="23" t="str">
        <f>IF(OR(E1463="",E1463="!!!"),"",IF(OR(J1463=0,AND(J1463=1,K1463=1),AND(J1463=1,I1463="SBJ"),AND(J1463=1,I1463=0)),"?IN_FOCUS",IF(J1463&lt;=2,"?ACTIVATED",IF(J1463&lt;&gt;"","?FAMILIAR",IF(F1463="NEW",IF(ISNA(VLOOKUP(E1463,#REF!,1,FALSE())),"?TYPE_IDENTIFIABLE","?REFERENTIAL"),"_")))))</f>
        <v> </v>
      </c>
      <c r="H1463" s="24" t="str">
        <f>IF(J1463&lt;&gt;1,"",IF(I1463="SBJ","CB","?"))</f>
        <v> </v>
      </c>
      <c r="I1463" s="25" t="str">
        <f>IF(OR(E1463="",E1463="!!!",F1463="NEW"),"",INDEX(B1462:B$2,-1+SUMPRODUCT(MAX(ROW(E1462:E$2)*(E1463=E1462:E$2)))))</f>
        <v> </v>
      </c>
      <c r="J1463" s="25" t="str">
        <f>IF(OR(E1463="",E1463="!!!",F1463="NEW"),"",COUNTBLANK(OFFSET(A$1,,,SUMPRODUCT(MAX(ROW(E$2:E1463)*(E1463=E$2:E1463)))))-COUNTBLANK(OFFSET(A$1,,,SUMPRODUCT(MAX(ROW(E$1:E1462)*(E2=E$1:E1462))))))</f>
        <v> </v>
      </c>
      <c r="K1463" s="25" t="str">
        <f>IF(OR(E1463="",E1463="!!!",F1463="NEW"),"",INDEX(J$1:J1462,SUMPRODUCT(MAX(ROW(E$1:E1462)*(E1463=E$1:E1462)))))</f>
        <v> </v>
      </c>
      <c r="L1463" s="26"/>
    </row>
    <row r="1464" spans="1:12">
      <c r="A1464" s="20" t="s">
        <v>379</v>
      </c>
      <c r="E1464" s="21">
        <f>IF(D1464="?OLD","!!!","")</f>
        <v/>
      </c>
      <c r="F1464" s="22" t="str">
        <f>IF(OR(E1464="",E1464="!!!"),"",IF(NOT(ISNA(VLOOKUP(E1464,E$1:E1463,1,FALSE()))),"OLD",IF(AND(E1464&lt;&gt;"",E1464&lt;&gt;"!!!"),"NEW","")))</f>
        <v> </v>
      </c>
      <c r="G1464" s="23" t="str">
        <f>IF(OR(E1464="",E1464="!!!"),"",IF(OR(J1464=0,AND(J1464=1,K1464=1),AND(J1464=1,I1464="SBJ"),AND(J1464=1,I1464=0)),"?IN_FOCUS",IF(J1464&lt;=2,"?ACTIVATED",IF(J1464&lt;&gt;"","?FAMILIAR",IF(F1464="NEW",IF(ISNA(VLOOKUP(E1464,#REF!,1,FALSE())),"?TYPE_IDENTIFIABLE","?REFERENTIAL"),"_")))))</f>
        <v> </v>
      </c>
      <c r="H1464" s="24" t="str">
        <f>IF(J1464&lt;&gt;1,"",IF(I1464="SBJ","CB","?"))</f>
        <v> </v>
      </c>
      <c r="I1464" s="25" t="str">
        <f>IF(OR(E1464="",E1464="!!!",F1464="NEW"),"",INDEX(B1463:B$2,-1+SUMPRODUCT(MAX(ROW(E1463:E$2)*(E1464=E1463:E$2)))))</f>
        <v> </v>
      </c>
      <c r="J1464" s="25" t="str">
        <f>IF(OR(E1464="",E1464="!!!",F1464="NEW"),"",COUNTBLANK(OFFSET(A$1,,,SUMPRODUCT(MAX(ROW(E$2:E1464)*(E1464=E$2:E1464)))))-COUNTBLANK(OFFSET(A$1,,,SUMPRODUCT(MAX(ROW(E$1:E1463)*(E2=E$1:E1463))))))</f>
        <v> </v>
      </c>
      <c r="K1464" s="25" t="str">
        <f>IF(OR(E1464="",E1464="!!!",F1464="NEW"),"",INDEX(J$1:J1463,SUMPRODUCT(MAX(ROW(E$1:E1463)*(E1464=E$1:E1463)))))</f>
        <v> </v>
      </c>
      <c r="L1464" s="26"/>
    </row>
    <row r="1465" spans="1:12">
      <c r="A1465" s="20" t="s">
        <v>384</v>
      </c>
      <c r="E1465" s="21">
        <f>IF(D1465="?OLD","!!!","")</f>
        <v/>
      </c>
      <c r="F1465" s="22" t="str">
        <f>IF(OR(E1465="",E1465="!!!"),"",IF(NOT(ISNA(VLOOKUP(E1465,E$1:E1464,1,FALSE()))),"OLD",IF(AND(E1465&lt;&gt;"",E1465&lt;&gt;"!!!"),"NEW","")))</f>
        <v> </v>
      </c>
      <c r="G1465" s="23" t="str">
        <f>IF(OR(E1465="",E1465="!!!"),"",IF(OR(J1465=0,AND(J1465=1,K1465=1),AND(J1465=1,I1465="SBJ"),AND(J1465=1,I1465=0)),"?IN_FOCUS",IF(J1465&lt;=2,"?ACTIVATED",IF(J1465&lt;&gt;"","?FAMILIAR",IF(F1465="NEW",IF(ISNA(VLOOKUP(E1465,#REF!,1,FALSE())),"?TYPE_IDENTIFIABLE","?REFERENTIAL"),"_")))))</f>
        <v> </v>
      </c>
      <c r="H1465" s="24" t="str">
        <f>IF(J1465&lt;&gt;1,"",IF(I1465="SBJ","CB","?"))</f>
        <v> </v>
      </c>
      <c r="I1465" s="25" t="str">
        <f>IF(OR(E1465="",E1465="!!!",F1465="NEW"),"",INDEX(B1464:B$2,-1+SUMPRODUCT(MAX(ROW(E1464:E$2)*(E1465=E1464:E$2)))))</f>
        <v> </v>
      </c>
      <c r="J1465" s="25" t="str">
        <f>IF(OR(E1465="",E1465="!!!",F1465="NEW"),"",COUNTBLANK(OFFSET(A$1,,,SUMPRODUCT(MAX(ROW(E$2:E1465)*(E1465=E$2:E1465)))))-COUNTBLANK(OFFSET(A$1,,,SUMPRODUCT(MAX(ROW(E$1:E1464)*(E2=E$1:E1464))))))</f>
        <v> </v>
      </c>
      <c r="K1465" s="25" t="str">
        <f>IF(OR(E1465="",E1465="!!!",F1465="NEW"),"",INDEX(J$1:J1464,SUMPRODUCT(MAX(ROW(E$1:E1464)*(E1465=E$1:E1464)))))</f>
        <v> </v>
      </c>
      <c r="L1465" s="26"/>
    </row>
    <row r="1466" spans="1:12">
      <c r="A1466" s="20" t="s">
        <v>687</v>
      </c>
      <c r="E1466" s="21">
        <f>IF(D1466="?OLD","!!!","")</f>
        <v/>
      </c>
      <c r="F1466" s="22" t="str">
        <f>IF(OR(E1466="",E1466="!!!"),"",IF(NOT(ISNA(VLOOKUP(E1466,E$1:E1465,1,FALSE()))),"OLD",IF(AND(E1466&lt;&gt;"",E1466&lt;&gt;"!!!"),"NEW","")))</f>
        <v> </v>
      </c>
      <c r="G1466" s="23" t="str">
        <f>IF(OR(E1466="",E1466="!!!"),"",IF(OR(J1466=0,AND(J1466=1,K1466=1),AND(J1466=1,I1466="SBJ"),AND(J1466=1,I1466=0)),"?IN_FOCUS",IF(J1466&lt;=2,"?ACTIVATED",IF(J1466&lt;&gt;"","?FAMILIAR",IF(F1466="NEW",IF(ISNA(VLOOKUP(E1466,#REF!,1,FALSE())),"?TYPE_IDENTIFIABLE","?REFERENTIAL"),"_")))))</f>
        <v> </v>
      </c>
      <c r="H1466" s="24" t="str">
        <f>IF(J1466&lt;&gt;1,"",IF(I1466="SBJ","CB","?"))</f>
        <v> </v>
      </c>
      <c r="I1466" s="25" t="str">
        <f>IF(OR(E1466="",E1466="!!!",F1466="NEW"),"",INDEX(B1465:B$2,-1+SUMPRODUCT(MAX(ROW(E1465:E$2)*(E1466=E1465:E$2)))))</f>
        <v> </v>
      </c>
      <c r="J1466" s="25" t="str">
        <f>IF(OR(E1466="",E1466="!!!",F1466="NEW"),"",COUNTBLANK(OFFSET(A$1,,,SUMPRODUCT(MAX(ROW(E$2:E1466)*(E1466=E$2:E1466)))))-COUNTBLANK(OFFSET(A$1,,,SUMPRODUCT(MAX(ROW(E$1:E1465)*(E2=E$1:E1465))))))</f>
        <v> </v>
      </c>
      <c r="K1466" s="25" t="str">
        <f>IF(OR(E1466="",E1466="!!!",F1466="NEW"),"",INDEX(J$1:J1465,SUMPRODUCT(MAX(ROW(E$1:E1465)*(E1466=E$1:E1465)))))</f>
        <v> </v>
      </c>
      <c r="L1466" s="26"/>
    </row>
    <row r="1467" spans="1:12">
      <c r="A1467" s="20" t="s">
        <v>673</v>
      </c>
      <c r="B1467" s="27" t="s">
        <v>376</v>
      </c>
      <c r="C1467" s="27" t="s">
        <v>489</v>
      </c>
      <c r="D1467" s="27" t="s">
        <v>378</v>
      </c>
      <c r="E1467" s="21">
        <f>IF(D1467="?OLD","!!!","")</f>
        <v/>
      </c>
      <c r="F1467" s="22" t="str">
        <f>IF(OR(E1467="",E1467="!!!"),"",IF(NOT(ISNA(VLOOKUP(E1467,E$1:E1466,1,FALSE()))),"OLD",IF(AND(E1467&lt;&gt;"",E1467&lt;&gt;"!!!"),"NEW","")))</f>
        <v> </v>
      </c>
      <c r="G1467" s="23" t="str">
        <f>IF(OR(E1467="",E1467="!!!"),"",IF(OR(J1467=0,AND(J1467=1,K1467=1),AND(J1467=1,I1467="SBJ"),AND(J1467=1,I1467=0)),"?IN_FOCUS",IF(J1467&lt;=2,"?ACTIVATED",IF(J1467&lt;&gt;"","?FAMILIAR",IF(F1467="NEW",IF(ISNA(VLOOKUP(E1467,#REF!,1,FALSE())),"?TYPE_IDENTIFIABLE","?REFERENTIAL"),"_")))))</f>
        <v> </v>
      </c>
      <c r="H1467" s="24" t="str">
        <f>IF(J1467&lt;&gt;1,"",IF(I1467="SBJ","CB","?"))</f>
        <v> </v>
      </c>
      <c r="I1467" s="25" t="str">
        <f>IF(OR(E1467="",E1467="!!!",F1467="NEW"),"",INDEX(B1466:B$2,-1+SUMPRODUCT(MAX(ROW(E1466:E$2)*(E1467=E1466:E$2)))))</f>
        <v> </v>
      </c>
      <c r="J1467" s="25" t="str">
        <f>IF(OR(E1467="",E1467="!!!",F1467="NEW"),"",COUNTBLANK(OFFSET(A$1,,,SUMPRODUCT(MAX(ROW(E$2:E1467)*(E1467=E$2:E1467)))))-COUNTBLANK(OFFSET(A$1,,,SUMPRODUCT(MAX(ROW(E$1:E1466)*(E2=E$1:E1466))))))</f>
        <v> </v>
      </c>
      <c r="K1467" s="25" t="str">
        <f>IF(OR(E1467="",E1467="!!!",F1467="NEW"),"",INDEX(J$1:J1466,SUMPRODUCT(MAX(ROW(E$1:E1466)*(E1467=E$1:E1466)))))</f>
        <v> </v>
      </c>
      <c r="L1467" s="26"/>
    </row>
    <row r="1468" spans="1:12">
      <c r="A1468" s="20" t="s">
        <v>404</v>
      </c>
      <c r="E1468" s="21">
        <f>IF(D1468="?OLD","!!!","")</f>
        <v/>
      </c>
      <c r="F1468" s="22" t="str">
        <f>IF(OR(E1468="",E1468="!!!"),"",IF(NOT(ISNA(VLOOKUP(E1468,E$1:E1467,1,FALSE()))),"OLD",IF(AND(E1468&lt;&gt;"",E1468&lt;&gt;"!!!"),"NEW","")))</f>
        <v> </v>
      </c>
      <c r="G1468" s="23" t="str">
        <f>IF(OR(E1468="",E1468="!!!"),"",IF(OR(J1468=0,AND(J1468=1,K1468=1),AND(J1468=1,I1468="SBJ"),AND(J1468=1,I1468=0)),"?IN_FOCUS",IF(J1468&lt;=2,"?ACTIVATED",IF(J1468&lt;&gt;"","?FAMILIAR",IF(F1468="NEW",IF(ISNA(VLOOKUP(E1468,#REF!,1,FALSE())),"?TYPE_IDENTIFIABLE","?REFERENTIAL"),"_")))))</f>
        <v> </v>
      </c>
      <c r="H1468" s="24" t="str">
        <f>IF(J1468&lt;&gt;1,"",IF(I1468="SBJ","CB","?"))</f>
        <v> </v>
      </c>
      <c r="I1468" s="25" t="str">
        <f>IF(OR(E1468="",E1468="!!!",F1468="NEW"),"",INDEX(B1467:B$2,-1+SUMPRODUCT(MAX(ROW(E1467:E$2)*(E1468=E1467:E$2)))))</f>
        <v> </v>
      </c>
      <c r="J1468" s="25" t="str">
        <f>IF(OR(E1468="",E1468="!!!",F1468="NEW"),"",COUNTBLANK(OFFSET(A$1,,,SUMPRODUCT(MAX(ROW(E$2:E1468)*(E1468=E$2:E1468)))))-COUNTBLANK(OFFSET(A$1,,,SUMPRODUCT(MAX(ROW(E$1:E1467)*(E2=E$1:E1467))))))</f>
        <v> </v>
      </c>
      <c r="K1468" s="25" t="str">
        <f>IF(OR(E1468="",E1468="!!!",F1468="NEW"),"",INDEX(J$1:J1467,SUMPRODUCT(MAX(ROW(E$1:E1467)*(E1468=E$1:E1467)))))</f>
        <v> </v>
      </c>
      <c r="L1468" s="26"/>
    </row>
    <row r="1469" spans="1:12">
      <c r="A1469" s="20" t="s">
        <v>444</v>
      </c>
      <c r="E1469" s="21">
        <f>IF(D1469="?OLD","!!!","")</f>
        <v/>
      </c>
      <c r="F1469" s="22" t="str">
        <f>IF(OR(E1469="",E1469="!!!"),"",IF(NOT(ISNA(VLOOKUP(E1469,E$1:E1468,1,FALSE()))),"OLD",IF(AND(E1469&lt;&gt;"",E1469&lt;&gt;"!!!"),"NEW","")))</f>
        <v> </v>
      </c>
      <c r="G1469" s="23" t="str">
        <f>IF(OR(E1469="",E1469="!!!"),"",IF(OR(J1469=0,AND(J1469=1,K1469=1),AND(J1469=1,I1469="SBJ"),AND(J1469=1,I1469=0)),"?IN_FOCUS",IF(J1469&lt;=2,"?ACTIVATED",IF(J1469&lt;&gt;"","?FAMILIAR",IF(F1469="NEW",IF(ISNA(VLOOKUP(E1469,#REF!,1,FALSE())),"?TYPE_IDENTIFIABLE","?REFERENTIAL"),"_")))))</f>
        <v> </v>
      </c>
      <c r="H1469" s="24" t="str">
        <f>IF(J1469&lt;&gt;1,"",IF(I1469="SBJ","CB","?"))</f>
        <v> </v>
      </c>
      <c r="I1469" s="25" t="str">
        <f>IF(OR(E1469="",E1469="!!!",F1469="NEW"),"",INDEX(B1468:B$2,-1+SUMPRODUCT(MAX(ROW(E1468:E$2)*(E1469=E1468:E$2)))))</f>
        <v> </v>
      </c>
      <c r="J1469" s="25" t="str">
        <f>IF(OR(E1469="",E1469="!!!",F1469="NEW"),"",COUNTBLANK(OFFSET(A$1,,,SUMPRODUCT(MAX(ROW(E$2:E1469)*(E1469=E$2:E1469)))))-COUNTBLANK(OFFSET(A$1,,,SUMPRODUCT(MAX(ROW(E$1:E1468)*(E2=E$1:E1468))))))</f>
        <v> </v>
      </c>
      <c r="K1469" s="25" t="str">
        <f>IF(OR(E1469="",E1469="!!!",F1469="NEW"),"",INDEX(J$1:J1468,SUMPRODUCT(MAX(ROW(E$1:E1468)*(E1469=E$1:E1468)))))</f>
        <v> </v>
      </c>
      <c r="L1469" s="26"/>
    </row>
    <row r="1470" spans="1:12">
      <c r="A1470" s="20" t="s">
        <v>845</v>
      </c>
      <c r="B1470" s="27" t="s">
        <v>381</v>
      </c>
      <c r="C1470" s="27" t="s">
        <v>475</v>
      </c>
      <c r="D1470" s="27" t="s">
        <v>378</v>
      </c>
      <c r="E1470" s="21">
        <f>IF(D1470="?OLD","!!!","")</f>
        <v/>
      </c>
      <c r="F1470" s="22" t="str">
        <f>IF(OR(E1470="",E1470="!!!"),"",IF(NOT(ISNA(VLOOKUP(E1470,E$1:E1469,1,FALSE()))),"OLD",IF(AND(E1470&lt;&gt;"",E1470&lt;&gt;"!!!"),"NEW","")))</f>
        <v> </v>
      </c>
      <c r="G1470" s="23" t="str">
        <f>IF(OR(E1470="",E1470="!!!"),"",IF(OR(J1470=0,AND(J1470=1,K1470=1),AND(J1470=1,I1470="SBJ"),AND(J1470=1,I1470=0)),"?IN_FOCUS",IF(J1470&lt;=2,"?ACTIVATED",IF(J1470&lt;&gt;"","?FAMILIAR",IF(F1470="NEW",IF(ISNA(VLOOKUP(E1470,#REF!,1,FALSE())),"?TYPE_IDENTIFIABLE","?REFERENTIAL"),"_")))))</f>
        <v> </v>
      </c>
      <c r="H1470" s="24" t="str">
        <f>IF(J1470&lt;&gt;1,"",IF(I1470="SBJ","CB","?"))</f>
        <v> </v>
      </c>
      <c r="I1470" s="25" t="str">
        <f>IF(OR(E1470="",E1470="!!!",F1470="NEW"),"",INDEX(B1469:B$2,-1+SUMPRODUCT(MAX(ROW(E1469:E$2)*(E1470=E1469:E$2)))))</f>
        <v> </v>
      </c>
      <c r="J1470" s="25" t="str">
        <f>IF(OR(E1470="",E1470="!!!",F1470="NEW"),"",COUNTBLANK(OFFSET(A$1,,,SUMPRODUCT(MAX(ROW(E$2:E1470)*(E1470=E$2:E1470)))))-COUNTBLANK(OFFSET(A$1,,,SUMPRODUCT(MAX(ROW(E$1:E1469)*(E2=E$1:E1469))))))</f>
        <v> </v>
      </c>
      <c r="K1470" s="25" t="str">
        <f>IF(OR(E1470="",E1470="!!!",F1470="NEW"),"",INDEX(J$1:J1469,SUMPRODUCT(MAX(ROW(E$1:E1469)*(E1470=E$1:E1469)))))</f>
        <v> </v>
      </c>
      <c r="L1470" s="26"/>
    </row>
    <row r="1471" spans="1:12">
      <c r="A1471" s="20" t="s">
        <v>549</v>
      </c>
      <c r="E1471" s="21">
        <f>IF(D1471="?OLD","!!!","")</f>
        <v/>
      </c>
      <c r="F1471" s="22" t="str">
        <f>IF(OR(E1471="",E1471="!!!"),"",IF(NOT(ISNA(VLOOKUP(E1471,E$1:E1470,1,FALSE()))),"OLD",IF(AND(E1471&lt;&gt;"",E1471&lt;&gt;"!!!"),"NEW","")))</f>
        <v> </v>
      </c>
      <c r="G1471" s="23" t="str">
        <f>IF(OR(E1471="",E1471="!!!"),"",IF(OR(J1471=0,AND(J1471=1,K1471=1),AND(J1471=1,I1471="SBJ"),AND(J1471=1,I1471=0)),"?IN_FOCUS",IF(J1471&lt;=2,"?ACTIVATED",IF(J1471&lt;&gt;"","?FAMILIAR",IF(F1471="NEW",IF(ISNA(VLOOKUP(E1471,#REF!,1,FALSE())),"?TYPE_IDENTIFIABLE","?REFERENTIAL"),"_")))))</f>
        <v> </v>
      </c>
      <c r="H1471" s="24" t="str">
        <f>IF(J1471&lt;&gt;1,"",IF(I1471="SBJ","CB","?"))</f>
        <v> </v>
      </c>
      <c r="I1471" s="25" t="str">
        <f>IF(OR(E1471="",E1471="!!!",F1471="NEW"),"",INDEX(B1470:B$2,-1+SUMPRODUCT(MAX(ROW(E1470:E$2)*(E1471=E1470:E$2)))))</f>
        <v> </v>
      </c>
      <c r="J1471" s="25" t="str">
        <f>IF(OR(E1471="",E1471="!!!",F1471="NEW"),"",COUNTBLANK(OFFSET(A$1,,,SUMPRODUCT(MAX(ROW(E$2:E1471)*(E1471=E$2:E1471)))))-COUNTBLANK(OFFSET(A$1,,,SUMPRODUCT(MAX(ROW(E$1:E1470)*(E2=E$1:E1470))))))</f>
        <v> </v>
      </c>
      <c r="K1471" s="25" t="str">
        <f>IF(OR(E1471="",E1471="!!!",F1471="NEW"),"",INDEX(J$1:J1470,SUMPRODUCT(MAX(ROW(E$1:E1470)*(E1471=E$1:E1470)))))</f>
        <v> </v>
      </c>
      <c r="L1471" s="26"/>
    </row>
    <row r="1472" spans="1:12">
      <c r="A1472" s="20" t="s">
        <v>598</v>
      </c>
      <c r="E1472" s="21">
        <f>IF(D1472="?OLD","!!!","")</f>
        <v/>
      </c>
      <c r="F1472" s="22" t="str">
        <f>IF(OR(E1472="",E1472="!!!"),"",IF(NOT(ISNA(VLOOKUP(E1472,E$1:E1471,1,FALSE()))),"OLD",IF(AND(E1472&lt;&gt;"",E1472&lt;&gt;"!!!"),"NEW","")))</f>
        <v> </v>
      </c>
      <c r="G1472" s="23" t="str">
        <f>IF(OR(E1472="",E1472="!!!"),"",IF(OR(J1472=0,AND(J1472=1,K1472=1),AND(J1472=1,I1472="SBJ"),AND(J1472=1,I1472=0)),"?IN_FOCUS",IF(J1472&lt;=2,"?ACTIVATED",IF(J1472&lt;&gt;"","?FAMILIAR",IF(F1472="NEW",IF(ISNA(VLOOKUP(E1472,#REF!,1,FALSE())),"?TYPE_IDENTIFIABLE","?REFERENTIAL"),"_")))))</f>
        <v> </v>
      </c>
      <c r="H1472" s="24" t="str">
        <f>IF(J1472&lt;&gt;1,"",IF(I1472="SBJ","CB","?"))</f>
        <v> </v>
      </c>
      <c r="I1472" s="25" t="str">
        <f>IF(OR(E1472="",E1472="!!!",F1472="NEW"),"",INDEX(B1471:B$2,-1+SUMPRODUCT(MAX(ROW(E1471:E$2)*(E1472=E1471:E$2)))))</f>
        <v> </v>
      </c>
      <c r="J1472" s="25" t="str">
        <f>IF(OR(E1472="",E1472="!!!",F1472="NEW"),"",COUNTBLANK(OFFSET(A$1,,,SUMPRODUCT(MAX(ROW(E$2:E1472)*(E1472=E$2:E1472)))))-COUNTBLANK(OFFSET(A$1,,,SUMPRODUCT(MAX(ROW(E$1:E1471)*(E2=E$1:E1471))))))</f>
        <v> </v>
      </c>
      <c r="K1472" s="25" t="str">
        <f>IF(OR(E1472="",E1472="!!!",F1472="NEW"),"",INDEX(J$1:J1471,SUMPRODUCT(MAX(ROW(E$1:E1471)*(E1472=E$1:E1471)))))</f>
        <v> </v>
      </c>
      <c r="L1472" s="26"/>
    </row>
    <row r="1473" spans="1:12">
      <c r="A1473" s="20" t="s">
        <v>476</v>
      </c>
      <c r="E1473" s="21">
        <f>IF(D1473="?OLD","!!!","")</f>
        <v/>
      </c>
      <c r="F1473" s="22" t="str">
        <f>IF(OR(E1473="",E1473="!!!"),"",IF(NOT(ISNA(VLOOKUP(E1473,E$1:E1472,1,FALSE()))),"OLD",IF(AND(E1473&lt;&gt;"",E1473&lt;&gt;"!!!"),"NEW","")))</f>
        <v> </v>
      </c>
      <c r="G1473" s="23" t="str">
        <f>IF(OR(E1473="",E1473="!!!"),"",IF(OR(J1473=0,AND(J1473=1,K1473=1),AND(J1473=1,I1473="SBJ"),AND(J1473=1,I1473=0)),"?IN_FOCUS",IF(J1473&lt;=2,"?ACTIVATED",IF(J1473&lt;&gt;"","?FAMILIAR",IF(F1473="NEW",IF(ISNA(VLOOKUP(E1473,#REF!,1,FALSE())),"?TYPE_IDENTIFIABLE","?REFERENTIAL"),"_")))))</f>
        <v> </v>
      </c>
      <c r="H1473" s="24" t="str">
        <f>IF(J1473&lt;&gt;1,"",IF(I1473="SBJ","CB","?"))</f>
        <v> </v>
      </c>
      <c r="I1473" s="25" t="str">
        <f>IF(OR(E1473="",E1473="!!!",F1473="NEW"),"",INDEX(B1472:B$2,-1+SUMPRODUCT(MAX(ROW(E1472:E$2)*(E1473=E1472:E$2)))))</f>
        <v> </v>
      </c>
      <c r="J1473" s="25" t="str">
        <f>IF(OR(E1473="",E1473="!!!",F1473="NEW"),"",COUNTBLANK(OFFSET(A$1,,,SUMPRODUCT(MAX(ROW(E$2:E1473)*(E1473=E$2:E1473)))))-COUNTBLANK(OFFSET(A$1,,,SUMPRODUCT(MAX(ROW(E$1:E1472)*(E2=E$1:E1472))))))</f>
        <v> </v>
      </c>
      <c r="K1473" s="25" t="str">
        <f>IF(OR(E1473="",E1473="!!!",F1473="NEW"),"",INDEX(J$1:J1472,SUMPRODUCT(MAX(ROW(E$1:E1472)*(E1473=E$1:E1472)))))</f>
        <v> </v>
      </c>
      <c r="L1473" s="26"/>
    </row>
    <row r="1474" spans="1:12">
      <c r="A1474" s="20" t="s">
        <v>428</v>
      </c>
      <c r="E1474" s="21">
        <f>IF(D1474="?OLD","!!!","")</f>
        <v/>
      </c>
      <c r="F1474" s="22" t="str">
        <f>IF(OR(E1474="",E1474="!!!"),"",IF(NOT(ISNA(VLOOKUP(E1474,E$1:E1473,1,FALSE()))),"OLD",IF(AND(E1474&lt;&gt;"",E1474&lt;&gt;"!!!"),"NEW","")))</f>
        <v> </v>
      </c>
      <c r="G1474" s="23" t="str">
        <f>IF(OR(E1474="",E1474="!!!"),"",IF(OR(J1474=0,AND(J1474=1,K1474=1),AND(J1474=1,I1474="SBJ"),AND(J1474=1,I1474=0)),"?IN_FOCUS",IF(J1474&lt;=2,"?ACTIVATED",IF(J1474&lt;&gt;"","?FAMILIAR",IF(F1474="NEW",IF(ISNA(VLOOKUP(E1474,#REF!,1,FALSE())),"?TYPE_IDENTIFIABLE","?REFERENTIAL"),"_")))))</f>
        <v> </v>
      </c>
      <c r="H1474" s="24" t="str">
        <f>IF(J1474&lt;&gt;1,"",IF(I1474="SBJ","CB","?"))</f>
        <v> </v>
      </c>
      <c r="I1474" s="25" t="str">
        <f>IF(OR(E1474="",E1474="!!!",F1474="NEW"),"",INDEX(B1473:B$2,-1+SUMPRODUCT(MAX(ROW(E1473:E$2)*(E1474=E1473:E$2)))))</f>
        <v> </v>
      </c>
      <c r="J1474" s="25" t="str">
        <f>IF(OR(E1474="",E1474="!!!",F1474="NEW"),"",COUNTBLANK(OFFSET(A$1,,,SUMPRODUCT(MAX(ROW(E$2:E1474)*(E1474=E$2:E1474)))))-COUNTBLANK(OFFSET(A$1,,,SUMPRODUCT(MAX(ROW(E$1:E1473)*(E2=E$1:E1473))))))</f>
        <v> </v>
      </c>
      <c r="K1474" s="25" t="str">
        <f>IF(OR(E1474="",E1474="!!!",F1474="NEW"),"",INDEX(J$1:J1473,SUMPRODUCT(MAX(ROW(E$1:E1473)*(E1474=E$1:E1473)))))</f>
        <v> </v>
      </c>
      <c r="L1474" s="26"/>
    </row>
    <row r="1475" spans="1:12">
      <c r="A1475" s="20" t="s">
        <v>536</v>
      </c>
      <c r="E1475" s="21">
        <f>IF(D1475="?OLD","!!!","")</f>
        <v/>
      </c>
      <c r="F1475" s="22" t="str">
        <f>IF(OR(E1475="",E1475="!!!"),"",IF(NOT(ISNA(VLOOKUP(E1475,E$1:E1474,1,FALSE()))),"OLD",IF(AND(E1475&lt;&gt;"",E1475&lt;&gt;"!!!"),"NEW","")))</f>
        <v> </v>
      </c>
      <c r="G1475" s="23" t="str">
        <f>IF(OR(E1475="",E1475="!!!"),"",IF(OR(J1475=0,AND(J1475=1,K1475=1),AND(J1475=1,I1475="SBJ"),AND(J1475=1,I1475=0)),"?IN_FOCUS",IF(J1475&lt;=2,"?ACTIVATED",IF(J1475&lt;&gt;"","?FAMILIAR",IF(F1475="NEW",IF(ISNA(VLOOKUP(E1475,#REF!,1,FALSE())),"?TYPE_IDENTIFIABLE","?REFERENTIAL"),"_")))))</f>
        <v> </v>
      </c>
      <c r="H1475" s="24" t="str">
        <f>IF(J1475&lt;&gt;1,"",IF(I1475="SBJ","CB","?"))</f>
        <v> </v>
      </c>
      <c r="I1475" s="25" t="str">
        <f>IF(OR(E1475="",E1475="!!!",F1475="NEW"),"",INDEX(B1474:B$2,-1+SUMPRODUCT(MAX(ROW(E1474:E$2)*(E1475=E1474:E$2)))))</f>
        <v> </v>
      </c>
      <c r="J1475" s="25" t="str">
        <f>IF(OR(E1475="",E1475="!!!",F1475="NEW"),"",COUNTBLANK(OFFSET(A$1,,,SUMPRODUCT(MAX(ROW(E$2:E1475)*(E1475=E$2:E1475)))))-COUNTBLANK(OFFSET(A$1,,,SUMPRODUCT(MAX(ROW(E$1:E1474)*(E2=E$1:E1474))))))</f>
        <v> </v>
      </c>
      <c r="K1475" s="25" t="str">
        <f>IF(OR(E1475="",E1475="!!!",F1475="NEW"),"",INDEX(J$1:J1474,SUMPRODUCT(MAX(ROW(E$1:E1474)*(E1475=E$1:E1474)))))</f>
        <v> </v>
      </c>
      <c r="L1475" s="26"/>
    </row>
    <row r="1476" spans="1:12">
      <c r="A1476" s="20" t="s">
        <v>406</v>
      </c>
      <c r="E1476" s="21">
        <f>IF(D1476="?OLD","!!!","")</f>
        <v/>
      </c>
      <c r="F1476" s="22" t="str">
        <f>IF(OR(E1476="",E1476="!!!"),"",IF(NOT(ISNA(VLOOKUP(E1476,E$1:E1475,1,FALSE()))),"OLD",IF(AND(E1476&lt;&gt;"",E1476&lt;&gt;"!!!"),"NEW","")))</f>
        <v> </v>
      </c>
      <c r="G1476" s="23" t="str">
        <f>IF(OR(E1476="",E1476="!!!"),"",IF(OR(J1476=0,AND(J1476=1,K1476=1),AND(J1476=1,I1476="SBJ"),AND(J1476=1,I1476=0)),"?IN_FOCUS",IF(J1476&lt;=2,"?ACTIVATED",IF(J1476&lt;&gt;"","?FAMILIAR",IF(F1476="NEW",IF(ISNA(VLOOKUP(E1476,#REF!,1,FALSE())),"?TYPE_IDENTIFIABLE","?REFERENTIAL"),"_")))))</f>
        <v> </v>
      </c>
      <c r="H1476" s="24" t="str">
        <f>IF(J1476&lt;&gt;1,"",IF(I1476="SBJ","CB","?"))</f>
        <v> </v>
      </c>
      <c r="I1476" s="25" t="str">
        <f>IF(OR(E1476="",E1476="!!!",F1476="NEW"),"",INDEX(B1475:B$2,-1+SUMPRODUCT(MAX(ROW(E1475:E$2)*(E1476=E1475:E$2)))))</f>
        <v> </v>
      </c>
      <c r="J1476" s="25" t="str">
        <f>IF(OR(E1476="",E1476="!!!",F1476="NEW"),"",COUNTBLANK(OFFSET(A$1,,,SUMPRODUCT(MAX(ROW(E$2:E1476)*(E1476=E$2:E1476)))))-COUNTBLANK(OFFSET(A$1,,,SUMPRODUCT(MAX(ROW(E$1:E1475)*(E2=E$1:E1475))))))</f>
        <v> </v>
      </c>
      <c r="K1476" s="25" t="str">
        <f>IF(OR(E1476="",E1476="!!!",F1476="NEW"),"",INDEX(J$1:J1475,SUMPRODUCT(MAX(ROW(E$1:E1475)*(E1476=E$1:E1475)))))</f>
        <v> </v>
      </c>
      <c r="L1476" s="26"/>
    </row>
    <row r="1477" spans="1:12">
      <c r="A1477" s="20" t="s">
        <v>891</v>
      </c>
      <c r="E1477" s="21">
        <f>IF(D1477="?OLD","!!!","")</f>
        <v/>
      </c>
      <c r="F1477" s="22" t="str">
        <f>IF(OR(E1477="",E1477="!!!"),"",IF(NOT(ISNA(VLOOKUP(E1477,E$1:E1476,1,FALSE()))),"OLD",IF(AND(E1477&lt;&gt;"",E1477&lt;&gt;"!!!"),"NEW","")))</f>
        <v> </v>
      </c>
      <c r="G1477" s="23" t="str">
        <f>IF(OR(E1477="",E1477="!!!"),"",IF(OR(J1477=0,AND(J1477=1,K1477=1),AND(J1477=1,I1477="SBJ"),AND(J1477=1,I1477=0)),"?IN_FOCUS",IF(J1477&lt;=2,"?ACTIVATED",IF(J1477&lt;&gt;"","?FAMILIAR",IF(F1477="NEW",IF(ISNA(VLOOKUP(E1477,#REF!,1,FALSE())),"?TYPE_IDENTIFIABLE","?REFERENTIAL"),"_")))))</f>
        <v> </v>
      </c>
      <c r="H1477" s="24" t="str">
        <f>IF(J1477&lt;&gt;1,"",IF(I1477="SBJ","CB","?"))</f>
        <v> </v>
      </c>
      <c r="I1477" s="25" t="str">
        <f>IF(OR(E1477="",E1477="!!!",F1477="NEW"),"",INDEX(B1476:B$2,-1+SUMPRODUCT(MAX(ROW(E1476:E$2)*(E1477=E1476:E$2)))))</f>
        <v> </v>
      </c>
      <c r="J1477" s="25" t="str">
        <f>IF(OR(E1477="",E1477="!!!",F1477="NEW"),"",COUNTBLANK(OFFSET(A$1,,,SUMPRODUCT(MAX(ROW(E$2:E1477)*(E1477=E$2:E1477)))))-COUNTBLANK(OFFSET(A$1,,,SUMPRODUCT(MAX(ROW(E$1:E1476)*(E2=E$1:E1476))))))</f>
        <v> </v>
      </c>
      <c r="K1477" s="25" t="str">
        <f>IF(OR(E1477="",E1477="!!!",F1477="NEW"),"",INDEX(J$1:J1476,SUMPRODUCT(MAX(ROW(E$1:E1476)*(E1477=E$1:E1476)))))</f>
        <v> </v>
      </c>
      <c r="L1477" s="26"/>
    </row>
    <row r="1478" spans="1:12">
      <c r="A1478" s="20" t="s">
        <v>594</v>
      </c>
      <c r="B1478" s="27" t="s">
        <v>411</v>
      </c>
      <c r="C1478" s="27" t="s">
        <v>429</v>
      </c>
      <c r="D1478" s="27" t="s">
        <v>378</v>
      </c>
      <c r="E1478" s="21">
        <f>IF(D1478="?OLD","!!!","")</f>
        <v/>
      </c>
      <c r="F1478" s="22" t="str">
        <f>IF(OR(E1478="",E1478="!!!"),"",IF(NOT(ISNA(VLOOKUP(E1478,E$1:E1477,1,FALSE()))),"OLD",IF(AND(E1478&lt;&gt;"",E1478&lt;&gt;"!!!"),"NEW","")))</f>
        <v> </v>
      </c>
      <c r="G1478" s="23" t="str">
        <f>IF(OR(E1478="",E1478="!!!"),"",IF(OR(J1478=0,AND(J1478=1,K1478=1),AND(J1478=1,I1478="SBJ"),AND(J1478=1,I1478=0)),"?IN_FOCUS",IF(J1478&lt;=2,"?ACTIVATED",IF(J1478&lt;&gt;"","?FAMILIAR",IF(F1478="NEW",IF(ISNA(VLOOKUP(E1478,#REF!,1,FALSE())),"?TYPE_IDENTIFIABLE","?REFERENTIAL"),"_")))))</f>
        <v> </v>
      </c>
      <c r="H1478" s="24" t="str">
        <f>IF(J1478&lt;&gt;1,"",IF(I1478="SBJ","CB","?"))</f>
        <v> </v>
      </c>
      <c r="I1478" s="25" t="str">
        <f>IF(OR(E1478="",E1478="!!!",F1478="NEW"),"",INDEX(B1477:B$2,-1+SUMPRODUCT(MAX(ROW(E1477:E$2)*(E1478=E1477:E$2)))))</f>
        <v> </v>
      </c>
      <c r="J1478" s="25" t="str">
        <f>IF(OR(E1478="",E1478="!!!",F1478="NEW"),"",COUNTBLANK(OFFSET(A$1,,,SUMPRODUCT(MAX(ROW(E$2:E1478)*(E1478=E$2:E1478)))))-COUNTBLANK(OFFSET(A$1,,,SUMPRODUCT(MAX(ROW(E$1:E1477)*(E2=E$1:E1477))))))</f>
        <v> </v>
      </c>
      <c r="K1478" s="25" t="str">
        <f>IF(OR(E1478="",E1478="!!!",F1478="NEW"),"",INDEX(J$1:J1477,SUMPRODUCT(MAX(ROW(E$1:E1477)*(E1478=E$1:E1477)))))</f>
        <v> </v>
      </c>
      <c r="L1478" s="26"/>
    </row>
    <row r="1479" spans="1:12">
      <c r="A1479" s="20" t="s">
        <v>805</v>
      </c>
      <c r="E1479" s="21">
        <f>IF(D1479="?OLD","!!!","")</f>
        <v/>
      </c>
      <c r="F1479" s="22" t="str">
        <f>IF(OR(E1479="",E1479="!!!"),"",IF(NOT(ISNA(VLOOKUP(E1479,E$1:E1478,1,FALSE()))),"OLD",IF(AND(E1479&lt;&gt;"",E1479&lt;&gt;"!!!"),"NEW","")))</f>
        <v> </v>
      </c>
      <c r="G1479" s="23" t="str">
        <f>IF(OR(E1479="",E1479="!!!"),"",IF(OR(J1479=0,AND(J1479=1,K1479=1),AND(J1479=1,I1479="SBJ"),AND(J1479=1,I1479=0)),"?IN_FOCUS",IF(J1479&lt;=2,"?ACTIVATED",IF(J1479&lt;&gt;"","?FAMILIAR",IF(F1479="NEW",IF(ISNA(VLOOKUP(E1479,#REF!,1,FALSE())),"?TYPE_IDENTIFIABLE","?REFERENTIAL"),"_")))))</f>
        <v> </v>
      </c>
      <c r="H1479" s="24" t="str">
        <f>IF(J1479&lt;&gt;1,"",IF(I1479="SBJ","CB","?"))</f>
        <v> </v>
      </c>
      <c r="I1479" s="25" t="str">
        <f>IF(OR(E1479="",E1479="!!!",F1479="NEW"),"",INDEX(B1478:B$2,-1+SUMPRODUCT(MAX(ROW(E1478:E$2)*(E1479=E1478:E$2)))))</f>
        <v> </v>
      </c>
      <c r="J1479" s="25" t="str">
        <f>IF(OR(E1479="",E1479="!!!",F1479="NEW"),"",COUNTBLANK(OFFSET(A$1,,,SUMPRODUCT(MAX(ROW(E$2:E1479)*(E1479=E$2:E1479)))))-COUNTBLANK(OFFSET(A$1,,,SUMPRODUCT(MAX(ROW(E$1:E1478)*(E2=E$1:E1478))))))</f>
        <v> </v>
      </c>
      <c r="K1479" s="25" t="str">
        <f>IF(OR(E1479="",E1479="!!!",F1479="NEW"),"",INDEX(J$1:J1478,SUMPRODUCT(MAX(ROW(E$1:E1478)*(E1479=E$1:E1478)))))</f>
        <v> </v>
      </c>
      <c r="L1479" s="26"/>
    </row>
    <row r="1480" spans="1:12">
      <c r="A1480" s="20" t="s">
        <v>447</v>
      </c>
      <c r="E1480" s="21">
        <f>IF(D1480="?OLD","!!!","")</f>
        <v/>
      </c>
      <c r="F1480" s="22" t="str">
        <f>IF(OR(E1480="",E1480="!!!"),"",IF(NOT(ISNA(VLOOKUP(E1480,E$1:E1479,1,FALSE()))),"OLD",IF(AND(E1480&lt;&gt;"",E1480&lt;&gt;"!!!"),"NEW","")))</f>
        <v> </v>
      </c>
      <c r="G1480" s="23" t="str">
        <f>IF(OR(E1480="",E1480="!!!"),"",IF(OR(J1480=0,AND(J1480=1,K1480=1),AND(J1480=1,I1480="SBJ"),AND(J1480=1,I1480=0)),"?IN_FOCUS",IF(J1480&lt;=2,"?ACTIVATED",IF(J1480&lt;&gt;"","?FAMILIAR",IF(F1480="NEW",IF(ISNA(VLOOKUP(E1480,#REF!,1,FALSE())),"?TYPE_IDENTIFIABLE","?REFERENTIAL"),"_")))))</f>
        <v> </v>
      </c>
      <c r="H1480" s="24" t="str">
        <f>IF(J1480&lt;&gt;1,"",IF(I1480="SBJ","CB","?"))</f>
        <v> </v>
      </c>
      <c r="I1480" s="25" t="str">
        <f>IF(OR(E1480="",E1480="!!!",F1480="NEW"),"",INDEX(B1479:B$2,-1+SUMPRODUCT(MAX(ROW(E1479:E$2)*(E1480=E1479:E$2)))))</f>
        <v> </v>
      </c>
      <c r="J1480" s="25" t="str">
        <f>IF(OR(E1480="",E1480="!!!",F1480="NEW"),"",COUNTBLANK(OFFSET(A$1,,,SUMPRODUCT(MAX(ROW(E$2:E1480)*(E1480=E$2:E1480)))))-COUNTBLANK(OFFSET(A$1,,,SUMPRODUCT(MAX(ROW(E$1:E1479)*(E2=E$1:E1479))))))</f>
        <v> </v>
      </c>
      <c r="K1480" s="25" t="str">
        <f>IF(OR(E1480="",E1480="!!!",F1480="NEW"),"",INDEX(J$1:J1479,SUMPRODUCT(MAX(ROW(E$1:E1479)*(E1480=E$1:E1479)))))</f>
        <v> </v>
      </c>
      <c r="L1480" s="26"/>
    </row>
    <row r="1481" spans="1:12">
      <c r="A1481" s="20" t="s">
        <v>550</v>
      </c>
      <c r="E1481" s="21">
        <f>IF(D1481="?OLD","!!!","")</f>
        <v/>
      </c>
      <c r="F1481" s="22" t="str">
        <f>IF(OR(E1481="",E1481="!!!"),"",IF(NOT(ISNA(VLOOKUP(E1481,E$1:E1480,1,FALSE()))),"OLD",IF(AND(E1481&lt;&gt;"",E1481&lt;&gt;"!!!"),"NEW","")))</f>
        <v> </v>
      </c>
      <c r="G1481" s="23" t="str">
        <f>IF(OR(E1481="",E1481="!!!"),"",IF(OR(J1481=0,AND(J1481=1,K1481=1),AND(J1481=1,I1481="SBJ"),AND(J1481=1,I1481=0)),"?IN_FOCUS",IF(J1481&lt;=2,"?ACTIVATED",IF(J1481&lt;&gt;"","?FAMILIAR",IF(F1481="NEW",IF(ISNA(VLOOKUP(E1481,#REF!,1,FALSE())),"?TYPE_IDENTIFIABLE","?REFERENTIAL"),"_")))))</f>
        <v> </v>
      </c>
      <c r="H1481" s="24" t="str">
        <f>IF(J1481&lt;&gt;1,"",IF(I1481="SBJ","CB","?"))</f>
        <v> </v>
      </c>
      <c r="I1481" s="25" t="str">
        <f>IF(OR(E1481="",E1481="!!!",F1481="NEW"),"",INDEX(B1480:B$2,-1+SUMPRODUCT(MAX(ROW(E1480:E$2)*(E1481=E1480:E$2)))))</f>
        <v> </v>
      </c>
      <c r="J1481" s="25" t="str">
        <f>IF(OR(E1481="",E1481="!!!",F1481="NEW"),"",COUNTBLANK(OFFSET(A$1,,,SUMPRODUCT(MAX(ROW(E$2:E1481)*(E1481=E$2:E1481)))))-COUNTBLANK(OFFSET(A$1,,,SUMPRODUCT(MAX(ROW(E$1:E1480)*(E2=E$1:E1480))))))</f>
        <v> </v>
      </c>
      <c r="K1481" s="25" t="str">
        <f>IF(OR(E1481="",E1481="!!!",F1481="NEW"),"",INDEX(J$1:J1480,SUMPRODUCT(MAX(ROW(E$1:E1480)*(E1481=E$1:E1480)))))</f>
        <v> </v>
      </c>
      <c r="L1481" s="26"/>
    </row>
    <row r="1482" spans="1:12">
      <c r="A1482" s="20" t="s">
        <v>552</v>
      </c>
      <c r="E1482" s="21">
        <f>IF(D1482="?OLD","!!!","")</f>
        <v/>
      </c>
      <c r="F1482" s="22" t="str">
        <f>IF(OR(E1482="",E1482="!!!"),"",IF(NOT(ISNA(VLOOKUP(E1482,E$1:E1481,1,FALSE()))),"OLD",IF(AND(E1482&lt;&gt;"",E1482&lt;&gt;"!!!"),"NEW","")))</f>
        <v> </v>
      </c>
      <c r="G1482" s="23" t="str">
        <f>IF(OR(E1482="",E1482="!!!"),"",IF(OR(J1482=0,AND(J1482=1,K1482=1),AND(J1482=1,I1482="SBJ"),AND(J1482=1,I1482=0)),"?IN_FOCUS",IF(J1482&lt;=2,"?ACTIVATED",IF(J1482&lt;&gt;"","?FAMILIAR",IF(F1482="NEW",IF(ISNA(VLOOKUP(E1482,#REF!,1,FALSE())),"?TYPE_IDENTIFIABLE","?REFERENTIAL"),"_")))))</f>
        <v> </v>
      </c>
      <c r="H1482" s="24" t="str">
        <f>IF(J1482&lt;&gt;1,"",IF(I1482="SBJ","CB","?"))</f>
        <v> </v>
      </c>
      <c r="I1482" s="25" t="str">
        <f>IF(OR(E1482="",E1482="!!!",F1482="NEW"),"",INDEX(B1481:B$2,-1+SUMPRODUCT(MAX(ROW(E1481:E$2)*(E1482=E1481:E$2)))))</f>
        <v> </v>
      </c>
      <c r="J1482" s="25" t="str">
        <f>IF(OR(E1482="",E1482="!!!",F1482="NEW"),"",COUNTBLANK(OFFSET(A$1,,,SUMPRODUCT(MAX(ROW(E$2:E1482)*(E1482=E$2:E1482)))))-COUNTBLANK(OFFSET(A$1,,,SUMPRODUCT(MAX(ROW(E$1:E1481)*(E2=E$1:E1481))))))</f>
        <v> </v>
      </c>
      <c r="K1482" s="25" t="str">
        <f>IF(OR(E1482="",E1482="!!!",F1482="NEW"),"",INDEX(J$1:J1481,SUMPRODUCT(MAX(ROW(E$1:E1481)*(E1482=E$1:E1481)))))</f>
        <v> </v>
      </c>
      <c r="L1482" s="26"/>
    </row>
    <row r="1483" spans="1:12">
      <c r="A1483" s="20" t="s">
        <v>12</v>
      </c>
      <c r="E1483" s="21">
        <f>IF(D1483="?OLD","!!!","")</f>
        <v/>
      </c>
      <c r="F1483" s="22" t="str">
        <f>IF(OR(E1483="",E1483="!!!"),"",IF(NOT(ISNA(VLOOKUP(E1483,E$1:E1482,1,FALSE()))),"OLD",IF(AND(E1483&lt;&gt;"",E1483&lt;&gt;"!!!"),"NEW","")))</f>
        <v> </v>
      </c>
      <c r="G1483" s="23" t="str">
        <f>IF(OR(E1483="",E1483="!!!"),"",IF(OR(J1483=0,AND(J1483=1,K1483=1),AND(J1483=1,I1483="SBJ"),AND(J1483=1,I1483=0)),"?IN_FOCUS",IF(J1483&lt;=2,"?ACTIVATED",IF(J1483&lt;&gt;"","?FAMILIAR",IF(F1483="NEW",IF(ISNA(VLOOKUP(E1483,#REF!,1,FALSE())),"?TYPE_IDENTIFIABLE","?REFERENTIAL"),"_")))))</f>
        <v> </v>
      </c>
      <c r="H1483" s="24" t="str">
        <f>IF(J1483&lt;&gt;1,"",IF(I1483="SBJ","CB","?"))</f>
        <v> </v>
      </c>
      <c r="I1483" s="25" t="str">
        <f>IF(OR(E1483="",E1483="!!!",F1483="NEW"),"",INDEX(B1482:B$2,-1+SUMPRODUCT(MAX(ROW(E1482:E$2)*(E1483=E1482:E$2)))))</f>
        <v> </v>
      </c>
      <c r="J1483" s="25" t="str">
        <f>IF(OR(E1483="",E1483="!!!",F1483="NEW"),"",COUNTBLANK(OFFSET(A$1,,,SUMPRODUCT(MAX(ROW(E$2:E1483)*(E1483=E$2:E1483)))))-COUNTBLANK(OFFSET(A$1,,,SUMPRODUCT(MAX(ROW(E$1:E1482)*(E2=E$1:E1482))))))</f>
        <v> </v>
      </c>
      <c r="K1483" s="25" t="str">
        <f>IF(OR(E1483="",E1483="!!!",F1483="NEW"),"",INDEX(J$1:J1482,SUMPRODUCT(MAX(ROW(E$1:E1482)*(E1483=E$1:E1482)))))</f>
        <v> </v>
      </c>
      <c r="L1483" s="26"/>
    </row>
    <row r="1484" spans="1:12">
      <c r="A1484" s="20" t="s">
        <v>553</v>
      </c>
      <c r="E1484" s="21">
        <f>IF(D1484="?OLD","!!!","")</f>
        <v/>
      </c>
      <c r="F1484" s="22" t="str">
        <f>IF(OR(E1484="",E1484="!!!"),"",IF(NOT(ISNA(VLOOKUP(E1484,E$1:E1483,1,FALSE()))),"OLD",IF(AND(E1484&lt;&gt;"",E1484&lt;&gt;"!!!"),"NEW","")))</f>
        <v> </v>
      </c>
      <c r="G1484" s="23" t="str">
        <f>IF(OR(E1484="",E1484="!!!"),"",IF(OR(J1484=0,AND(J1484=1,K1484=1),AND(J1484=1,I1484="SBJ"),AND(J1484=1,I1484=0)),"?IN_FOCUS",IF(J1484&lt;=2,"?ACTIVATED",IF(J1484&lt;&gt;"","?FAMILIAR",IF(F1484="NEW",IF(ISNA(VLOOKUP(E1484,#REF!,1,FALSE())),"?TYPE_IDENTIFIABLE","?REFERENTIAL"),"_")))))</f>
        <v> </v>
      </c>
      <c r="H1484" s="24" t="str">
        <f>IF(J1484&lt;&gt;1,"",IF(I1484="SBJ","CB","?"))</f>
        <v> </v>
      </c>
      <c r="I1484" s="25" t="str">
        <f>IF(OR(E1484="",E1484="!!!",F1484="NEW"),"",INDEX(B1483:B$2,-1+SUMPRODUCT(MAX(ROW(E1483:E$2)*(E1484=E1483:E$2)))))</f>
        <v> </v>
      </c>
      <c r="J1484" s="25" t="str">
        <f>IF(OR(E1484="",E1484="!!!",F1484="NEW"),"",COUNTBLANK(OFFSET(A$1,,,SUMPRODUCT(MAX(ROW(E$2:E1484)*(E1484=E$2:E1484)))))-COUNTBLANK(OFFSET(A$1,,,SUMPRODUCT(MAX(ROW(E$1:E1483)*(E2=E$1:E1483))))))</f>
        <v> </v>
      </c>
      <c r="K1484" s="25" t="str">
        <f>IF(OR(E1484="",E1484="!!!",F1484="NEW"),"",INDEX(J$1:J1483,SUMPRODUCT(MAX(ROW(E$1:E1483)*(E1484=E$1:E1483)))))</f>
        <v> </v>
      </c>
      <c r="L1484" s="26"/>
    </row>
    <row r="1485" spans="1:12">
      <c r="A1485" s="20" t="s">
        <v>550</v>
      </c>
      <c r="E1485" s="21">
        <f>IF(D1485="?OLD","!!!","")</f>
        <v/>
      </c>
      <c r="F1485" s="22" t="str">
        <f>IF(OR(E1485="",E1485="!!!"),"",IF(NOT(ISNA(VLOOKUP(E1485,E$1:E1484,1,FALSE()))),"OLD",IF(AND(E1485&lt;&gt;"",E1485&lt;&gt;"!!!"),"NEW","")))</f>
        <v> </v>
      </c>
      <c r="G1485" s="23" t="str">
        <f>IF(OR(E1485="",E1485="!!!"),"",IF(OR(J1485=0,AND(J1485=1,K1485=1),AND(J1485=1,I1485="SBJ"),AND(J1485=1,I1485=0)),"?IN_FOCUS",IF(J1485&lt;=2,"?ACTIVATED",IF(J1485&lt;&gt;"","?FAMILIAR",IF(F1485="NEW",IF(ISNA(VLOOKUP(E1485,#REF!,1,FALSE())),"?TYPE_IDENTIFIABLE","?REFERENTIAL"),"_")))))</f>
        <v> </v>
      </c>
      <c r="H1485" s="24" t="str">
        <f>IF(J1485&lt;&gt;1,"",IF(I1485="SBJ","CB","?"))</f>
        <v> </v>
      </c>
      <c r="I1485" s="25" t="str">
        <f>IF(OR(E1485="",E1485="!!!",F1485="NEW"),"",INDEX(B1484:B$2,-1+SUMPRODUCT(MAX(ROW(E1484:E$2)*(E1485=E1484:E$2)))))</f>
        <v> </v>
      </c>
      <c r="J1485" s="25" t="str">
        <f>IF(OR(E1485="",E1485="!!!",F1485="NEW"),"",COUNTBLANK(OFFSET(A$1,,,SUMPRODUCT(MAX(ROW(E$2:E1485)*(E1485=E$2:E1485)))))-COUNTBLANK(OFFSET(A$1,,,SUMPRODUCT(MAX(ROW(E$1:E1484)*(E2=E$1:E1484))))))</f>
        <v> </v>
      </c>
      <c r="K1485" s="25" t="str">
        <f>IF(OR(E1485="",E1485="!!!",F1485="NEW"),"",INDEX(J$1:J1484,SUMPRODUCT(MAX(ROW(E$1:E1484)*(E1485=E$1:E1484)))))</f>
        <v> </v>
      </c>
      <c r="L1485" s="26"/>
    </row>
    <row r="1486" spans="1:12">
      <c r="A1486" s="20" t="s">
        <v>892</v>
      </c>
      <c r="B1486" s="27" t="s">
        <v>414</v>
      </c>
      <c r="C1486" s="27" t="s">
        <v>388</v>
      </c>
      <c r="E1486" s="21">
        <f>IF(D1486="?OLD","!!!","")</f>
        <v/>
      </c>
      <c r="F1486" s="22" t="str">
        <f>IF(OR(E1486="",E1486="!!!"),"",IF(NOT(ISNA(VLOOKUP(E1486,E$1:E1485,1,FALSE()))),"OLD",IF(AND(E1486&lt;&gt;"",E1486&lt;&gt;"!!!"),"NEW","")))</f>
        <v> </v>
      </c>
      <c r="G1486" s="23" t="str">
        <f>IF(OR(E1486="",E1486="!!!"),"",IF(OR(J1486=0,AND(J1486=1,K1486=1),AND(J1486=1,I1486="SBJ"),AND(J1486=1,I1486=0)),"?IN_FOCUS",IF(J1486&lt;=2,"?ACTIVATED",IF(J1486&lt;&gt;"","?FAMILIAR",IF(F1486="NEW",IF(ISNA(VLOOKUP(E1486,#REF!,1,FALSE())),"?TYPE_IDENTIFIABLE","?REFERENTIAL"),"_")))))</f>
        <v> </v>
      </c>
      <c r="H1486" s="24" t="str">
        <f>IF(J1486&lt;&gt;1,"",IF(I1486="SBJ","CB","?"))</f>
        <v> </v>
      </c>
      <c r="I1486" s="25" t="str">
        <f>IF(OR(E1486="",E1486="!!!",F1486="NEW"),"",INDEX(B1485:B$2,-1+SUMPRODUCT(MAX(ROW(E1485:E$2)*(E1486=E1485:E$2)))))</f>
        <v> </v>
      </c>
      <c r="J1486" s="25" t="str">
        <f>IF(OR(E1486="",E1486="!!!",F1486="NEW"),"",COUNTBLANK(OFFSET(A$1,,,SUMPRODUCT(MAX(ROW(E$2:E1486)*(E1486=E$2:E1486)))))-COUNTBLANK(OFFSET(A$1,,,SUMPRODUCT(MAX(ROW(E$1:E1485)*(E2=E$1:E1485))))))</f>
        <v> </v>
      </c>
      <c r="K1486" s="25" t="str">
        <f>IF(OR(E1486="",E1486="!!!",F1486="NEW"),"",INDEX(J$1:J1485,SUMPRODUCT(MAX(ROW(E$1:E1485)*(E1486=E$1:E1485)))))</f>
        <v> </v>
      </c>
      <c r="L1486" s="26"/>
    </row>
    <row r="1487" spans="1:12">
      <c r="A1487" s="20" t="s">
        <v>406</v>
      </c>
      <c r="E1487" s="21">
        <f>IF(D1487="?OLD","!!!","")</f>
        <v/>
      </c>
      <c r="F1487" s="22" t="str">
        <f>IF(OR(E1487="",E1487="!!!"),"",IF(NOT(ISNA(VLOOKUP(E1487,E$1:E1486,1,FALSE()))),"OLD",IF(AND(E1487&lt;&gt;"",E1487&lt;&gt;"!!!"),"NEW","")))</f>
        <v> </v>
      </c>
      <c r="G1487" s="23" t="str">
        <f>IF(OR(E1487="",E1487="!!!"),"",IF(OR(J1487=0,AND(J1487=1,K1487=1),AND(J1487=1,I1487="SBJ"),AND(J1487=1,I1487=0)),"?IN_FOCUS",IF(J1487&lt;=2,"?ACTIVATED",IF(J1487&lt;&gt;"","?FAMILIAR",IF(F1487="NEW",IF(ISNA(VLOOKUP(E1487,#REF!,1,FALSE())),"?TYPE_IDENTIFIABLE","?REFERENTIAL"),"_")))))</f>
        <v> </v>
      </c>
      <c r="H1487" s="24" t="str">
        <f>IF(J1487&lt;&gt;1,"",IF(I1487="SBJ","CB","?"))</f>
        <v> </v>
      </c>
      <c r="I1487" s="25" t="str">
        <f>IF(OR(E1487="",E1487="!!!",F1487="NEW"),"",INDEX(B1486:B$2,-1+SUMPRODUCT(MAX(ROW(E1486:E$2)*(E1487=E1486:E$2)))))</f>
        <v> </v>
      </c>
      <c r="J1487" s="25" t="str">
        <f>IF(OR(E1487="",E1487="!!!",F1487="NEW"),"",COUNTBLANK(OFFSET(A$1,,,SUMPRODUCT(MAX(ROW(E$2:E1487)*(E1487=E$2:E1487)))))-COUNTBLANK(OFFSET(A$1,,,SUMPRODUCT(MAX(ROW(E$1:E1486)*(E2=E$1:E1486))))))</f>
        <v> </v>
      </c>
      <c r="K1487" s="25" t="str">
        <f>IF(OR(E1487="",E1487="!!!",F1487="NEW"),"",INDEX(J$1:J1486,SUMPRODUCT(MAX(ROW(E$1:E1486)*(E1487=E$1:E1486)))))</f>
        <v> </v>
      </c>
      <c r="L1487" s="26"/>
    </row>
    <row r="1488" spans="1:12">
      <c r="A1488" s="20" t="s">
        <v>384</v>
      </c>
      <c r="E1488" s="21">
        <f>IF(D1488="?OLD","!!!","")</f>
        <v/>
      </c>
      <c r="F1488" s="22" t="str">
        <f>IF(OR(E1488="",E1488="!!!"),"",IF(NOT(ISNA(VLOOKUP(E1488,E$1:E1487,1,FALSE()))),"OLD",IF(AND(E1488&lt;&gt;"",E1488&lt;&gt;"!!!"),"NEW","")))</f>
        <v> </v>
      </c>
      <c r="G1488" s="23" t="str">
        <f>IF(OR(E1488="",E1488="!!!"),"",IF(OR(J1488=0,AND(J1488=1,K1488=1),AND(J1488=1,I1488="SBJ"),AND(J1488=1,I1488=0)),"?IN_FOCUS",IF(J1488&lt;=2,"?ACTIVATED",IF(J1488&lt;&gt;"","?FAMILIAR",IF(F1488="NEW",IF(ISNA(VLOOKUP(E1488,#REF!,1,FALSE())),"?TYPE_IDENTIFIABLE","?REFERENTIAL"),"_")))))</f>
        <v> </v>
      </c>
      <c r="H1488" s="24" t="str">
        <f>IF(J1488&lt;&gt;1,"",IF(I1488="SBJ","CB","?"))</f>
        <v> </v>
      </c>
      <c r="I1488" s="25" t="str">
        <f>IF(OR(E1488="",E1488="!!!",F1488="NEW"),"",INDEX(B1487:B$2,-1+SUMPRODUCT(MAX(ROW(E1487:E$2)*(E1488=E1487:E$2)))))</f>
        <v> </v>
      </c>
      <c r="J1488" s="25" t="str">
        <f>IF(OR(E1488="",E1488="!!!",F1488="NEW"),"",COUNTBLANK(OFFSET(A$1,,,SUMPRODUCT(MAX(ROW(E$2:E1488)*(E1488=E$2:E1488)))))-COUNTBLANK(OFFSET(A$1,,,SUMPRODUCT(MAX(ROW(E$1:E1487)*(E2=E$1:E1487))))))</f>
        <v> </v>
      </c>
      <c r="K1488" s="25" t="str">
        <f>IF(OR(E1488="",E1488="!!!",F1488="NEW"),"",INDEX(J$1:J1487,SUMPRODUCT(MAX(ROW(E$1:E1487)*(E1488=E$1:E1487)))))</f>
        <v> </v>
      </c>
      <c r="L1488" s="26"/>
    </row>
    <row r="1489" spans="1:12">
      <c r="A1489" s="20" t="s">
        <v>550</v>
      </c>
      <c r="E1489" s="21">
        <f>IF(D1489="?OLD","!!!","")</f>
        <v/>
      </c>
      <c r="F1489" s="22" t="str">
        <f>IF(OR(E1489="",E1489="!!!"),"",IF(NOT(ISNA(VLOOKUP(E1489,E$1:E1488,1,FALSE()))),"OLD",IF(AND(E1489&lt;&gt;"",E1489&lt;&gt;"!!!"),"NEW","")))</f>
        <v> </v>
      </c>
      <c r="G1489" s="23" t="str">
        <f>IF(OR(E1489="",E1489="!!!"),"",IF(OR(J1489=0,AND(J1489=1,K1489=1),AND(J1489=1,I1489="SBJ"),AND(J1489=1,I1489=0)),"?IN_FOCUS",IF(J1489&lt;=2,"?ACTIVATED",IF(J1489&lt;&gt;"","?FAMILIAR",IF(F1489="NEW",IF(ISNA(VLOOKUP(E1489,#REF!,1,FALSE())),"?TYPE_IDENTIFIABLE","?REFERENTIAL"),"_")))))</f>
        <v> </v>
      </c>
      <c r="H1489" s="24" t="str">
        <f>IF(J1489&lt;&gt;1,"",IF(I1489="SBJ","CB","?"))</f>
        <v> </v>
      </c>
      <c r="I1489" s="25" t="str">
        <f>IF(OR(E1489="",E1489="!!!",F1489="NEW"),"",INDEX(B1488:B$2,-1+SUMPRODUCT(MAX(ROW(E1488:E$2)*(E1489=E1488:E$2)))))</f>
        <v> </v>
      </c>
      <c r="J1489" s="25" t="str">
        <f>IF(OR(E1489="",E1489="!!!",F1489="NEW"),"",COUNTBLANK(OFFSET(A$1,,,SUMPRODUCT(MAX(ROW(E$2:E1489)*(E1489=E$2:E1489)))))-COUNTBLANK(OFFSET(A$1,,,SUMPRODUCT(MAX(ROW(E$1:E1488)*(E2=E$1:E1488))))))</f>
        <v> </v>
      </c>
      <c r="K1489" s="25" t="str">
        <f>IF(OR(E1489="",E1489="!!!",F1489="NEW"),"",INDEX(J$1:J1488,SUMPRODUCT(MAX(ROW(E$1:E1488)*(E1489=E$1:E1488)))))</f>
        <v> </v>
      </c>
      <c r="L1489" s="26"/>
    </row>
    <row r="1490" spans="1:12">
      <c r="A1490" s="20" t="s">
        <v>540</v>
      </c>
      <c r="E1490" s="21">
        <f>IF(D1490="?OLD","!!!","")</f>
        <v/>
      </c>
      <c r="F1490" s="22" t="str">
        <f>IF(OR(E1490="",E1490="!!!"),"",IF(NOT(ISNA(VLOOKUP(E1490,E$1:E1489,1,FALSE()))),"OLD",IF(AND(E1490&lt;&gt;"",E1490&lt;&gt;"!!!"),"NEW","")))</f>
        <v> </v>
      </c>
      <c r="G1490" s="23" t="str">
        <f>IF(OR(E1490="",E1490="!!!"),"",IF(OR(J1490=0,AND(J1490=1,K1490=1),AND(J1490=1,I1490="SBJ"),AND(J1490=1,I1490=0)),"?IN_FOCUS",IF(J1490&lt;=2,"?ACTIVATED",IF(J1490&lt;&gt;"","?FAMILIAR",IF(F1490="NEW",IF(ISNA(VLOOKUP(E1490,#REF!,1,FALSE())),"?TYPE_IDENTIFIABLE","?REFERENTIAL"),"_")))))</f>
        <v> </v>
      </c>
      <c r="H1490" s="24" t="str">
        <f>IF(J1490&lt;&gt;1,"",IF(I1490="SBJ","CB","?"))</f>
        <v> </v>
      </c>
      <c r="I1490" s="25" t="str">
        <f>IF(OR(E1490="",E1490="!!!",F1490="NEW"),"",INDEX(B1489:B$2,-1+SUMPRODUCT(MAX(ROW(E1489:E$2)*(E1490=E1489:E$2)))))</f>
        <v> </v>
      </c>
      <c r="J1490" s="25" t="str">
        <f>IF(OR(E1490="",E1490="!!!",F1490="NEW"),"",COUNTBLANK(OFFSET(A$1,,,SUMPRODUCT(MAX(ROW(E$2:E1490)*(E1490=E$2:E1490)))))-COUNTBLANK(OFFSET(A$1,,,SUMPRODUCT(MAX(ROW(E$1:E1489)*(E2=E$1:E1489))))))</f>
        <v> </v>
      </c>
      <c r="K1490" s="25" t="str">
        <f>IF(OR(E1490="",E1490="!!!",F1490="NEW"),"",INDEX(J$1:J1489,SUMPRODUCT(MAX(ROW(E$1:E1489)*(E1490=E$1:E1489)))))</f>
        <v> </v>
      </c>
      <c r="L1490" s="26"/>
    </row>
    <row r="1491" spans="1:12">
      <c r="A1491" s="20" t="s">
        <v>12</v>
      </c>
      <c r="E1491" s="21">
        <f>IF(D1491="?OLD","!!!","")</f>
        <v/>
      </c>
      <c r="F1491" s="22" t="str">
        <f>IF(OR(E1491="",E1491="!!!"),"",IF(NOT(ISNA(VLOOKUP(E1491,E$1:E1490,1,FALSE()))),"OLD",IF(AND(E1491&lt;&gt;"",E1491&lt;&gt;"!!!"),"NEW","")))</f>
        <v> </v>
      </c>
      <c r="G1491" s="23" t="str">
        <f>IF(OR(E1491="",E1491="!!!"),"",IF(OR(J1491=0,AND(J1491=1,K1491=1),AND(J1491=1,I1491="SBJ"),AND(J1491=1,I1491=0)),"?IN_FOCUS",IF(J1491&lt;=2,"?ACTIVATED",IF(J1491&lt;&gt;"","?FAMILIAR",IF(F1491="NEW",IF(ISNA(VLOOKUP(E1491,#REF!,1,FALSE())),"?TYPE_IDENTIFIABLE","?REFERENTIAL"),"_")))))</f>
        <v> </v>
      </c>
      <c r="H1491" s="24" t="str">
        <f>IF(J1491&lt;&gt;1,"",IF(I1491="SBJ","CB","?"))</f>
        <v> </v>
      </c>
      <c r="I1491" s="25" t="str">
        <f>IF(OR(E1491="",E1491="!!!",F1491="NEW"),"",INDEX(B1490:B$2,-1+SUMPRODUCT(MAX(ROW(E1490:E$2)*(E1491=E1490:E$2)))))</f>
        <v> </v>
      </c>
      <c r="J1491" s="25" t="str">
        <f>IF(OR(E1491="",E1491="!!!",F1491="NEW"),"",COUNTBLANK(OFFSET(A$1,,,SUMPRODUCT(MAX(ROW(E$2:E1491)*(E1491=E$2:E1491)))))-COUNTBLANK(OFFSET(A$1,,,SUMPRODUCT(MAX(ROW(E$1:E1490)*(E2=E$1:E1490))))))</f>
        <v> </v>
      </c>
      <c r="K1491" s="25" t="str">
        <f>IF(OR(E1491="",E1491="!!!",F1491="NEW"),"",INDEX(J$1:J1490,SUMPRODUCT(MAX(ROW(E$1:E1490)*(E1491=E$1:E1490)))))</f>
        <v> </v>
      </c>
      <c r="L1491" s="26"/>
    </row>
    <row r="1492" spans="1:12">
      <c r="A1492" s="20" t="s">
        <v>541</v>
      </c>
      <c r="E1492" s="21">
        <f>IF(D1492="?OLD","!!!","")</f>
        <v/>
      </c>
      <c r="F1492" s="22" t="str">
        <f>IF(OR(E1492="",E1492="!!!"),"",IF(NOT(ISNA(VLOOKUP(E1492,E$1:E1491,1,FALSE()))),"OLD",IF(AND(E1492&lt;&gt;"",E1492&lt;&gt;"!!!"),"NEW","")))</f>
        <v> </v>
      </c>
      <c r="G1492" s="23" t="str">
        <f>IF(OR(E1492="",E1492="!!!"),"",IF(OR(J1492=0,AND(J1492=1,K1492=1),AND(J1492=1,I1492="SBJ"),AND(J1492=1,I1492=0)),"?IN_FOCUS",IF(J1492&lt;=2,"?ACTIVATED",IF(J1492&lt;&gt;"","?FAMILIAR",IF(F1492="NEW",IF(ISNA(VLOOKUP(E1492,#REF!,1,FALSE())),"?TYPE_IDENTIFIABLE","?REFERENTIAL"),"_")))))</f>
        <v> </v>
      </c>
      <c r="H1492" s="24" t="str">
        <f>IF(J1492&lt;&gt;1,"",IF(I1492="SBJ","CB","?"))</f>
        <v> </v>
      </c>
      <c r="I1492" s="25" t="str">
        <f>IF(OR(E1492="",E1492="!!!",F1492="NEW"),"",INDEX(B1491:B$2,-1+SUMPRODUCT(MAX(ROW(E1491:E$2)*(E1492=E1491:E$2)))))</f>
        <v> </v>
      </c>
      <c r="J1492" s="25" t="str">
        <f>IF(OR(E1492="",E1492="!!!",F1492="NEW"),"",COUNTBLANK(OFFSET(A$1,,,SUMPRODUCT(MAX(ROW(E$2:E1492)*(E1492=E$2:E1492)))))-COUNTBLANK(OFFSET(A$1,,,SUMPRODUCT(MAX(ROW(E$1:E1491)*(E2=E$1:E1491))))))</f>
        <v> </v>
      </c>
      <c r="K1492" s="25" t="str">
        <f>IF(OR(E1492="",E1492="!!!",F1492="NEW"),"",INDEX(J$1:J1491,SUMPRODUCT(MAX(ROW(E$1:E1491)*(E1492=E$1:E1491)))))</f>
        <v> </v>
      </c>
      <c r="L1492" s="26"/>
    </row>
    <row r="1493" spans="1:12">
      <c r="A1493" s="20" t="s">
        <v>550</v>
      </c>
      <c r="E1493" s="21">
        <f>IF(D1493="?OLD","!!!","")</f>
        <v/>
      </c>
      <c r="F1493" s="22" t="str">
        <f>IF(OR(E1493="",E1493="!!!"),"",IF(NOT(ISNA(VLOOKUP(E1493,E$1:E1492,1,FALSE()))),"OLD",IF(AND(E1493&lt;&gt;"",E1493&lt;&gt;"!!!"),"NEW","")))</f>
        <v> </v>
      </c>
      <c r="G1493" s="23" t="str">
        <f>IF(OR(E1493="",E1493="!!!"),"",IF(OR(J1493=0,AND(J1493=1,K1493=1),AND(J1493=1,I1493="SBJ"),AND(J1493=1,I1493=0)),"?IN_FOCUS",IF(J1493&lt;=2,"?ACTIVATED",IF(J1493&lt;&gt;"","?FAMILIAR",IF(F1493="NEW",IF(ISNA(VLOOKUP(E1493,#REF!,1,FALSE())),"?TYPE_IDENTIFIABLE","?REFERENTIAL"),"_")))))</f>
        <v> </v>
      </c>
      <c r="H1493" s="24" t="str">
        <f>IF(J1493&lt;&gt;1,"",IF(I1493="SBJ","CB","?"))</f>
        <v> </v>
      </c>
      <c r="I1493" s="25" t="str">
        <f>IF(OR(E1493="",E1493="!!!",F1493="NEW"),"",INDEX(B1492:B$2,-1+SUMPRODUCT(MAX(ROW(E1492:E$2)*(E1493=E1492:E$2)))))</f>
        <v> </v>
      </c>
      <c r="J1493" s="25" t="str">
        <f>IF(OR(E1493="",E1493="!!!",F1493="NEW"),"",COUNTBLANK(OFFSET(A$1,,,SUMPRODUCT(MAX(ROW(E$2:E1493)*(E1493=E$2:E1493)))))-COUNTBLANK(OFFSET(A$1,,,SUMPRODUCT(MAX(ROW(E$1:E1492)*(E2=E$1:E1492))))))</f>
        <v> </v>
      </c>
      <c r="K1493" s="25" t="str">
        <f>IF(OR(E1493="",E1493="!!!",F1493="NEW"),"",INDEX(J$1:J1492,SUMPRODUCT(MAX(ROW(E$1:E1492)*(E1493=E$1:E1492)))))</f>
        <v> </v>
      </c>
      <c r="L1493" s="26"/>
    </row>
    <row r="1494" spans="1:12">
      <c r="A1494" s="20" t="s">
        <v>892</v>
      </c>
      <c r="B1494" s="27" t="s">
        <v>414</v>
      </c>
      <c r="C1494" s="27" t="s">
        <v>388</v>
      </c>
      <c r="E1494" s="21">
        <f>IF(D1494="?OLD","!!!","")</f>
        <v/>
      </c>
      <c r="F1494" s="22" t="str">
        <f>IF(OR(E1494="",E1494="!!!"),"",IF(NOT(ISNA(VLOOKUP(E1494,E$1:E1493,1,FALSE()))),"OLD",IF(AND(E1494&lt;&gt;"",E1494&lt;&gt;"!!!"),"NEW","")))</f>
        <v> </v>
      </c>
      <c r="G1494" s="23" t="str">
        <f>IF(OR(E1494="",E1494="!!!"),"",IF(OR(J1494=0,AND(J1494=1,K1494=1),AND(J1494=1,I1494="SBJ"),AND(J1494=1,I1494=0)),"?IN_FOCUS",IF(J1494&lt;=2,"?ACTIVATED",IF(J1494&lt;&gt;"","?FAMILIAR",IF(F1494="NEW",IF(ISNA(VLOOKUP(E1494,#REF!,1,FALSE())),"?TYPE_IDENTIFIABLE","?REFERENTIAL"),"_")))))</f>
        <v> </v>
      </c>
      <c r="H1494" s="24" t="str">
        <f>IF(J1494&lt;&gt;1,"",IF(I1494="SBJ","CB","?"))</f>
        <v> </v>
      </c>
      <c r="I1494" s="25" t="str">
        <f>IF(OR(E1494="",E1494="!!!",F1494="NEW"),"",INDEX(B1493:B$2,-1+SUMPRODUCT(MAX(ROW(E1493:E$2)*(E1494=E1493:E$2)))))</f>
        <v> </v>
      </c>
      <c r="J1494" s="25" t="str">
        <f>IF(OR(E1494="",E1494="!!!",F1494="NEW"),"",COUNTBLANK(OFFSET(A$1,,,SUMPRODUCT(MAX(ROW(E$2:E1494)*(E1494=E$2:E1494)))))-COUNTBLANK(OFFSET(A$1,,,SUMPRODUCT(MAX(ROW(E$1:E1493)*(E2=E$1:E1493))))))</f>
        <v> </v>
      </c>
      <c r="K1494" s="25" t="str">
        <f>IF(OR(E1494="",E1494="!!!",F1494="NEW"),"",INDEX(J$1:J1493,SUMPRODUCT(MAX(ROW(E$1:E1493)*(E1494=E$1:E1493)))))</f>
        <v> </v>
      </c>
      <c r="L1494" s="26"/>
    </row>
    <row r="1495" spans="1:12">
      <c r="A1495" s="20" t="s">
        <v>394</v>
      </c>
      <c r="E1495" s="21">
        <f>IF(D1495="?OLD","!!!","")</f>
        <v/>
      </c>
      <c r="F1495" s="22" t="str">
        <f>IF(OR(E1495="",E1495="!!!"),"",IF(NOT(ISNA(VLOOKUP(E1495,E$1:E1494,1,FALSE()))),"OLD",IF(AND(E1495&lt;&gt;"",E1495&lt;&gt;"!!!"),"NEW","")))</f>
        <v> </v>
      </c>
      <c r="G1495" s="23" t="str">
        <f>IF(OR(E1495="",E1495="!!!"),"",IF(OR(J1495=0,AND(J1495=1,K1495=1),AND(J1495=1,I1495="SBJ"),AND(J1495=1,I1495=0)),"?IN_FOCUS",IF(J1495&lt;=2,"?ACTIVATED",IF(J1495&lt;&gt;"","?FAMILIAR",IF(F1495="NEW",IF(ISNA(VLOOKUP(E1495,#REF!,1,FALSE())),"?TYPE_IDENTIFIABLE","?REFERENTIAL"),"_")))))</f>
        <v> </v>
      </c>
      <c r="H1495" s="24" t="str">
        <f>IF(J1495&lt;&gt;1,"",IF(I1495="SBJ","CB","?"))</f>
        <v> </v>
      </c>
      <c r="I1495" s="25" t="str">
        <f>IF(OR(E1495="",E1495="!!!",F1495="NEW"),"",INDEX(B1494:B$2,-1+SUMPRODUCT(MAX(ROW(E1494:E$2)*(E1495=E1494:E$2)))))</f>
        <v> </v>
      </c>
      <c r="J1495" s="25" t="str">
        <f>IF(OR(E1495="",E1495="!!!",F1495="NEW"),"",COUNTBLANK(OFFSET(A$1,,,SUMPRODUCT(MAX(ROW(E$2:E1495)*(E1495=E$2:E1495)))))-COUNTBLANK(OFFSET(A$1,,,SUMPRODUCT(MAX(ROW(E$1:E1494)*(E2=E$1:E1494))))))</f>
        <v> </v>
      </c>
      <c r="K1495" s="25" t="str">
        <f>IF(OR(E1495="",E1495="!!!",F1495="NEW"),"",INDEX(J$1:J1494,SUMPRODUCT(MAX(ROW(E$1:E1494)*(E1495=E$1:E1494)))))</f>
        <v> </v>
      </c>
      <c r="L1495" s="26"/>
    </row>
    <row r="1496" spans="1:12">
      <c r="A1496" s="20"/>
    </row>
    <row r="1497" spans="1:12">
      <c r="A1497" s="20" t="s">
        <v>893</v>
      </c>
    </row>
    <row r="1498" spans="1:12">
      <c r="A1498" s="20" t="s">
        <v>396</v>
      </c>
      <c r="E1498" s="21">
        <f>IF(D1498="?OLD","!!!","")</f>
        <v/>
      </c>
      <c r="F1498" s="22" t="str">
        <f>IF(OR(E1498="",E1498="!!!"),"",IF(NOT(ISNA(VLOOKUP(E1498,E$1:E1497,1,FALSE()))),"OLD",IF(AND(E1498&lt;&gt;"",E1498&lt;&gt;"!!!"),"NEW","")))</f>
        <v> </v>
      </c>
      <c r="G1498" s="23" t="str">
        <f>IF(OR(E1498="",E1498="!!!"),"",IF(OR(J1498=0,AND(J1498=1,K1498=1),AND(J1498=1,I1498="SBJ"),AND(J1498=1,I1498=0)),"?IN_FOCUS",IF(J1498&lt;=2,"?ACTIVATED",IF(J1498&lt;&gt;"","?FAMILIAR",IF(F1498="NEW",IF(ISNA(VLOOKUP(E1498,#REF!,1,FALSE())),"?TYPE_IDENTIFIABLE","?REFERENTIAL"),"_")))))</f>
        <v> </v>
      </c>
      <c r="H1498" s="24" t="str">
        <f>IF(J1498&lt;&gt;1,"",IF(I1498="SBJ","CB","?"))</f>
        <v> </v>
      </c>
      <c r="I1498" s="25" t="str">
        <f>IF(OR(E1498="",E1498="!!!",F1498="NEW"),"",INDEX(B1497:B$2,-1+SUMPRODUCT(MAX(ROW(E1497:E$2)*(E1498=E1497:E$2)))))</f>
        <v> </v>
      </c>
      <c r="J1498" s="25" t="str">
        <f>IF(OR(E1498="",E1498="!!!",F1498="NEW"),"",COUNTBLANK(OFFSET(A$1,,,SUMPRODUCT(MAX(ROW(E$2:E1498)*(E1498=E$2:E1498)))))-COUNTBLANK(OFFSET(A$1,,,SUMPRODUCT(MAX(ROW(E$1:E1497)*(E2=E$1:E1497))))))</f>
        <v> </v>
      </c>
      <c r="K1498" s="25" t="str">
        <f>IF(OR(E1498="",E1498="!!!",F1498="NEW"),"",INDEX(J$1:J1497,SUMPRODUCT(MAX(ROW(E$1:E1497)*(E1498=E$1:E1497)))))</f>
        <v> </v>
      </c>
      <c r="L1498" s="26"/>
    </row>
    <row r="1499" spans="1:12">
      <c r="A1499" s="20" t="s">
        <v>476</v>
      </c>
      <c r="B1499" s="27" t="s">
        <v>376</v>
      </c>
      <c r="C1499" s="27" t="s">
        <v>445</v>
      </c>
      <c r="D1499" s="27" t="s">
        <v>378</v>
      </c>
      <c r="E1499" s="21">
        <f>IF(D1499="?OLD","!!!","")</f>
        <v/>
      </c>
      <c r="F1499" s="22" t="str">
        <f>IF(OR(E1499="",E1499="!!!"),"",IF(NOT(ISNA(VLOOKUP(E1499,E$1:E1498,1,FALSE()))),"OLD",IF(AND(E1499&lt;&gt;"",E1499&lt;&gt;"!!!"),"NEW","")))</f>
        <v> </v>
      </c>
      <c r="G1499" s="23" t="str">
        <f>IF(OR(E1499="",E1499="!!!"),"",IF(OR(J1499=0,AND(J1499=1,K1499=1),AND(J1499=1,I1499="SBJ"),AND(J1499=1,I1499=0)),"?IN_FOCUS",IF(J1499&lt;=2,"?ACTIVATED",IF(J1499&lt;&gt;"","?FAMILIAR",IF(F1499="NEW",IF(ISNA(VLOOKUP(E1499,#REF!,1,FALSE())),"?TYPE_IDENTIFIABLE","?REFERENTIAL"),"_")))))</f>
        <v> </v>
      </c>
      <c r="H1499" s="24" t="str">
        <f>IF(J1499&lt;&gt;1,"",IF(I1499="SBJ","CB","?"))</f>
        <v> </v>
      </c>
      <c r="I1499" s="25" t="str">
        <f>IF(OR(E1499="",E1499="!!!",F1499="NEW"),"",INDEX(B1498:B$2,-1+SUMPRODUCT(MAX(ROW(E1498:E$2)*(E1499=E1498:E$2)))))</f>
        <v> </v>
      </c>
      <c r="J1499" s="25" t="str">
        <f>IF(OR(E1499="",E1499="!!!",F1499="NEW"),"",COUNTBLANK(OFFSET(A$1,,,SUMPRODUCT(MAX(ROW(E$2:E1499)*(E1499=E$2:E1499)))))-COUNTBLANK(OFFSET(A$1,,,SUMPRODUCT(MAX(ROW(E$1:E1498)*(E2=E$1:E1498))))))</f>
        <v> </v>
      </c>
      <c r="K1499" s="25" t="str">
        <f>IF(OR(E1499="",E1499="!!!",F1499="NEW"),"",INDEX(J$1:J1498,SUMPRODUCT(MAX(ROW(E$1:E1498)*(E1499=E$1:E1498)))))</f>
        <v> </v>
      </c>
      <c r="L1499" s="26"/>
    </row>
    <row r="1500" spans="1:12">
      <c r="A1500" s="20" t="s">
        <v>730</v>
      </c>
      <c r="E1500" s="21">
        <f>IF(D1500="?OLD","!!!","")</f>
        <v/>
      </c>
      <c r="F1500" s="22" t="str">
        <f>IF(OR(E1500="",E1500="!!!"),"",IF(NOT(ISNA(VLOOKUP(E1500,E$1:E1499,1,FALSE()))),"OLD",IF(AND(E1500&lt;&gt;"",E1500&lt;&gt;"!!!"),"NEW","")))</f>
        <v> </v>
      </c>
      <c r="G1500" s="23" t="str">
        <f>IF(OR(E1500="",E1500="!!!"),"",IF(OR(J1500=0,AND(J1500=1,K1500=1),AND(J1500=1,I1500="SBJ"),AND(J1500=1,I1500=0)),"?IN_FOCUS",IF(J1500&lt;=2,"?ACTIVATED",IF(J1500&lt;&gt;"","?FAMILIAR",IF(F1500="NEW",IF(ISNA(VLOOKUP(E1500,#REF!,1,FALSE())),"?TYPE_IDENTIFIABLE","?REFERENTIAL"),"_")))))</f>
        <v> </v>
      </c>
      <c r="H1500" s="24" t="str">
        <f>IF(J1500&lt;&gt;1,"",IF(I1500="SBJ","CB","?"))</f>
        <v> </v>
      </c>
      <c r="I1500" s="25" t="str">
        <f>IF(OR(E1500="",E1500="!!!",F1500="NEW"),"",INDEX(B1499:B$2,-1+SUMPRODUCT(MAX(ROW(E1499:E$2)*(E1500=E1499:E$2)))))</f>
        <v> </v>
      </c>
      <c r="J1500" s="25" t="str">
        <f>IF(OR(E1500="",E1500="!!!",F1500="NEW"),"",COUNTBLANK(OFFSET(A$1,,,SUMPRODUCT(MAX(ROW(E$2:E1500)*(E1500=E$2:E1500)))))-COUNTBLANK(OFFSET(A$1,,,SUMPRODUCT(MAX(ROW(E$1:E1499)*(E2=E$1:E1499))))))</f>
        <v> </v>
      </c>
      <c r="K1500" s="25" t="str">
        <f>IF(OR(E1500="",E1500="!!!",F1500="NEW"),"",INDEX(J$1:J1499,SUMPRODUCT(MAX(ROW(E$1:E1499)*(E1500=E$1:E1499)))))</f>
        <v> </v>
      </c>
      <c r="L1500" s="26"/>
    </row>
    <row r="1501" spans="1:12">
      <c r="A1501" s="20" t="s">
        <v>345</v>
      </c>
      <c r="E1501" s="21">
        <f>IF(D1501="?OLD","!!!","")</f>
        <v/>
      </c>
      <c r="F1501" s="22" t="str">
        <f>IF(OR(E1501="",E1501="!!!"),"",IF(NOT(ISNA(VLOOKUP(E1501,E$1:E1500,1,FALSE()))),"OLD",IF(AND(E1501&lt;&gt;"",E1501&lt;&gt;"!!!"),"NEW","")))</f>
        <v> </v>
      </c>
      <c r="G1501" s="23" t="str">
        <f>IF(OR(E1501="",E1501="!!!"),"",IF(OR(J1501=0,AND(J1501=1,K1501=1),AND(J1501=1,I1501="SBJ"),AND(J1501=1,I1501=0)),"?IN_FOCUS",IF(J1501&lt;=2,"?ACTIVATED",IF(J1501&lt;&gt;"","?FAMILIAR",IF(F1501="NEW",IF(ISNA(VLOOKUP(E1501,#REF!,1,FALSE())),"?TYPE_IDENTIFIABLE","?REFERENTIAL"),"_")))))</f>
        <v> </v>
      </c>
      <c r="H1501" s="24" t="str">
        <f>IF(J1501&lt;&gt;1,"",IF(I1501="SBJ","CB","?"))</f>
        <v> </v>
      </c>
      <c r="I1501" s="25" t="str">
        <f>IF(OR(E1501="",E1501="!!!",F1501="NEW"),"",INDEX(B1500:B$2,-1+SUMPRODUCT(MAX(ROW(E1500:E$2)*(E1501=E1500:E$2)))))</f>
        <v> </v>
      </c>
      <c r="J1501" s="25" t="str">
        <f>IF(OR(E1501="",E1501="!!!",F1501="NEW"),"",COUNTBLANK(OFFSET(A$1,,,SUMPRODUCT(MAX(ROW(E$2:E1501)*(E1501=E$2:E1501)))))-COUNTBLANK(OFFSET(A$1,,,SUMPRODUCT(MAX(ROW(E$1:E1500)*(E2=E$1:E1500))))))</f>
        <v> </v>
      </c>
      <c r="K1501" s="25" t="str">
        <f>IF(OR(E1501="",E1501="!!!",F1501="NEW"),"",INDEX(J$1:J1500,SUMPRODUCT(MAX(ROW(E$1:E1500)*(E1501=E$1:E1500)))))</f>
        <v> </v>
      </c>
      <c r="L1501" s="26"/>
    </row>
    <row r="1502" spans="1:12">
      <c r="A1502" s="20" t="s">
        <v>384</v>
      </c>
      <c r="E1502" s="21">
        <f>IF(D1502="?OLD","!!!","")</f>
        <v/>
      </c>
      <c r="F1502" s="22" t="str">
        <f>IF(OR(E1502="",E1502="!!!"),"",IF(NOT(ISNA(VLOOKUP(E1502,E$1:E1501,1,FALSE()))),"OLD",IF(AND(E1502&lt;&gt;"",E1502&lt;&gt;"!!!"),"NEW","")))</f>
        <v> </v>
      </c>
      <c r="G1502" s="23" t="str">
        <f>IF(OR(E1502="",E1502="!!!"),"",IF(OR(J1502=0,AND(J1502=1,K1502=1),AND(J1502=1,I1502="SBJ"),AND(J1502=1,I1502=0)),"?IN_FOCUS",IF(J1502&lt;=2,"?ACTIVATED",IF(J1502&lt;&gt;"","?FAMILIAR",IF(F1502="NEW",IF(ISNA(VLOOKUP(E1502,#REF!,1,FALSE())),"?TYPE_IDENTIFIABLE","?REFERENTIAL"),"_")))))</f>
        <v> </v>
      </c>
      <c r="H1502" s="24" t="str">
        <f>IF(J1502&lt;&gt;1,"",IF(I1502="SBJ","CB","?"))</f>
        <v> </v>
      </c>
      <c r="I1502" s="25" t="str">
        <f>IF(OR(E1502="",E1502="!!!",F1502="NEW"),"",INDEX(B1501:B$2,-1+SUMPRODUCT(MAX(ROW(E1501:E$2)*(E1502=E1501:E$2)))))</f>
        <v> </v>
      </c>
      <c r="J1502" s="25" t="str">
        <f>IF(OR(E1502="",E1502="!!!",F1502="NEW"),"",COUNTBLANK(OFFSET(A$1,,,SUMPRODUCT(MAX(ROW(E$2:E1502)*(E1502=E$2:E1502)))))-COUNTBLANK(OFFSET(A$1,,,SUMPRODUCT(MAX(ROW(E$1:E1501)*(E2=E$1:E1501))))))</f>
        <v> </v>
      </c>
      <c r="K1502" s="25" t="str">
        <f>IF(OR(E1502="",E1502="!!!",F1502="NEW"),"",INDEX(J$1:J1501,SUMPRODUCT(MAX(ROW(E$1:E1501)*(E1502=E$1:E1501)))))</f>
        <v> </v>
      </c>
      <c r="L1502" s="26"/>
    </row>
    <row r="1503" spans="1:12">
      <c r="A1503" s="20" t="s">
        <v>894</v>
      </c>
      <c r="E1503" s="21">
        <f>IF(D1503="?OLD","!!!","")</f>
        <v/>
      </c>
      <c r="F1503" s="22" t="str">
        <f>IF(OR(E1503="",E1503="!!!"),"",IF(NOT(ISNA(VLOOKUP(E1503,E$1:E1502,1,FALSE()))),"OLD",IF(AND(E1503&lt;&gt;"",E1503&lt;&gt;"!!!"),"NEW","")))</f>
        <v> </v>
      </c>
      <c r="G1503" s="23" t="str">
        <f>IF(OR(E1503="",E1503="!!!"),"",IF(OR(J1503=0,AND(J1503=1,K1503=1),AND(J1503=1,I1503="SBJ"),AND(J1503=1,I1503=0)),"?IN_FOCUS",IF(J1503&lt;=2,"?ACTIVATED",IF(J1503&lt;&gt;"","?FAMILIAR",IF(F1503="NEW",IF(ISNA(VLOOKUP(E1503,#REF!,1,FALSE())),"?TYPE_IDENTIFIABLE","?REFERENTIAL"),"_")))))</f>
        <v> </v>
      </c>
      <c r="H1503" s="24" t="str">
        <f>IF(J1503&lt;&gt;1,"",IF(I1503="SBJ","CB","?"))</f>
        <v> </v>
      </c>
      <c r="I1503" s="25" t="str">
        <f>IF(OR(E1503="",E1503="!!!",F1503="NEW"),"",INDEX(B1502:B$2,-1+SUMPRODUCT(MAX(ROW(E1502:E$2)*(E1503=E1502:E$2)))))</f>
        <v> </v>
      </c>
      <c r="J1503" s="25" t="str">
        <f>IF(OR(E1503="",E1503="!!!",F1503="NEW"),"",COUNTBLANK(OFFSET(A$1,,,SUMPRODUCT(MAX(ROW(E$2:E1503)*(E1503=E$2:E1503)))))-COUNTBLANK(OFFSET(A$1,,,SUMPRODUCT(MAX(ROW(E$1:E1502)*(E2=E$1:E1502))))))</f>
        <v> </v>
      </c>
      <c r="K1503" s="25" t="str">
        <f>IF(OR(E1503="",E1503="!!!",F1503="NEW"),"",INDEX(J$1:J1502,SUMPRODUCT(MAX(ROW(E$1:E1502)*(E1503=E$1:E1502)))))</f>
        <v> </v>
      </c>
      <c r="L1503" s="26"/>
    </row>
    <row r="1504" spans="1:12">
      <c r="A1504" s="20" t="s">
        <v>895</v>
      </c>
      <c r="B1504" s="27" t="s">
        <v>511</v>
      </c>
      <c r="C1504" s="27" t="s">
        <v>388</v>
      </c>
      <c r="E1504" s="21">
        <f>IF(D1504="?OLD","!!!","")</f>
        <v/>
      </c>
      <c r="F1504" s="22" t="str">
        <f>IF(OR(E1504="",E1504="!!!"),"",IF(NOT(ISNA(VLOOKUP(E1504,E$1:E1503,1,FALSE()))),"OLD",IF(AND(E1504&lt;&gt;"",E1504&lt;&gt;"!!!"),"NEW","")))</f>
        <v> </v>
      </c>
      <c r="G1504" s="23" t="str">
        <f>IF(OR(E1504="",E1504="!!!"),"",IF(OR(J1504=0,AND(J1504=1,K1504=1),AND(J1504=1,I1504="SBJ"),AND(J1504=1,I1504=0)),"?IN_FOCUS",IF(J1504&lt;=2,"?ACTIVATED",IF(J1504&lt;&gt;"","?FAMILIAR",IF(F1504="NEW",IF(ISNA(VLOOKUP(E1504,#REF!,1,FALSE())),"?TYPE_IDENTIFIABLE","?REFERENTIAL"),"_")))))</f>
        <v> </v>
      </c>
      <c r="H1504" s="24" t="str">
        <f>IF(J1504&lt;&gt;1,"",IF(I1504="SBJ","CB","?"))</f>
        <v> </v>
      </c>
      <c r="I1504" s="25" t="str">
        <f>IF(OR(E1504="",E1504="!!!",F1504="NEW"),"",INDEX(B1503:B$2,-1+SUMPRODUCT(MAX(ROW(E1503:E$2)*(E1504=E1503:E$2)))))</f>
        <v> </v>
      </c>
      <c r="J1504" s="25" t="str">
        <f>IF(OR(E1504="",E1504="!!!",F1504="NEW"),"",COUNTBLANK(OFFSET(A$1,,,SUMPRODUCT(MAX(ROW(E$2:E1504)*(E1504=E$2:E1504)))))-COUNTBLANK(OFFSET(A$1,,,SUMPRODUCT(MAX(ROW(E$1:E1503)*(E2=E$1:E1503))))))</f>
        <v> </v>
      </c>
      <c r="K1504" s="25" t="str">
        <f>IF(OR(E1504="",E1504="!!!",F1504="NEW"),"",INDEX(J$1:J1503,SUMPRODUCT(MAX(ROW(E$1:E1503)*(E1504=E$1:E1503)))))</f>
        <v> </v>
      </c>
      <c r="L1504" s="26"/>
    </row>
    <row r="1505" spans="1:12">
      <c r="A1505" s="20" t="s">
        <v>394</v>
      </c>
      <c r="E1505" s="21">
        <f>IF(D1505="?OLD","!!!","")</f>
        <v/>
      </c>
      <c r="F1505" s="22" t="str">
        <f>IF(OR(E1505="",E1505="!!!"),"",IF(NOT(ISNA(VLOOKUP(E1505,E$1:E1504,1,FALSE()))),"OLD",IF(AND(E1505&lt;&gt;"",E1505&lt;&gt;"!!!"),"NEW","")))</f>
        <v> </v>
      </c>
      <c r="G1505" s="23" t="str">
        <f>IF(OR(E1505="",E1505="!!!"),"",IF(OR(J1505=0,AND(J1505=1,K1505=1),AND(J1505=1,I1505="SBJ"),AND(J1505=1,I1505=0)),"?IN_FOCUS",IF(J1505&lt;=2,"?ACTIVATED",IF(J1505&lt;&gt;"","?FAMILIAR",IF(F1505="NEW",IF(ISNA(VLOOKUP(E1505,#REF!,1,FALSE())),"?TYPE_IDENTIFIABLE","?REFERENTIAL"),"_")))))</f>
        <v> </v>
      </c>
      <c r="H1505" s="24" t="str">
        <f>IF(J1505&lt;&gt;1,"",IF(I1505="SBJ","CB","?"))</f>
        <v> </v>
      </c>
      <c r="I1505" s="25" t="str">
        <f>IF(OR(E1505="",E1505="!!!",F1505="NEW"),"",INDEX(B1504:B$2,-1+SUMPRODUCT(MAX(ROW(E1504:E$2)*(E1505=E1504:E$2)))))</f>
        <v> </v>
      </c>
      <c r="J1505" s="25" t="str">
        <f>IF(OR(E1505="",E1505="!!!",F1505="NEW"),"",COUNTBLANK(OFFSET(A$1,,,SUMPRODUCT(MAX(ROW(E$2:E1505)*(E1505=E$2:E1505)))))-COUNTBLANK(OFFSET(A$1,,,SUMPRODUCT(MAX(ROW(E$1:E1504)*(E2=E$1:E1504))))))</f>
        <v> </v>
      </c>
      <c r="K1505" s="25" t="str">
        <f>IF(OR(E1505="",E1505="!!!",F1505="NEW"),"",INDEX(J$1:J1504,SUMPRODUCT(MAX(ROW(E$1:E1504)*(E1505=E$1:E1504)))))</f>
        <v> </v>
      </c>
      <c r="L1505" s="26"/>
    </row>
    <row r="1506" spans="1:12">
      <c r="A1506" s="20"/>
    </row>
    <row r="1507" spans="1:12">
      <c r="A1507" s="20" t="s">
        <v>896</v>
      </c>
    </row>
    <row r="1508" spans="1:12">
      <c r="A1508" s="20" t="s">
        <v>897</v>
      </c>
      <c r="E1508" s="21">
        <f>IF(D1508="?OLD","!!!","")</f>
        <v/>
      </c>
      <c r="F1508" s="22" t="str">
        <f>IF(OR(E1508="",E1508="!!!"),"",IF(NOT(ISNA(VLOOKUP(E1508,E$1:E1507,1,FALSE()))),"OLD",IF(AND(E1508&lt;&gt;"",E1508&lt;&gt;"!!!"),"NEW","")))</f>
        <v> </v>
      </c>
      <c r="G1508" s="23" t="str">
        <f>IF(OR(E1508="",E1508="!!!"),"",IF(OR(J1508=0,AND(J1508=1,K1508=1),AND(J1508=1,I1508="SBJ"),AND(J1508=1,I1508=0)),"?IN_FOCUS",IF(J1508&lt;=2,"?ACTIVATED",IF(J1508&lt;&gt;"","?FAMILIAR",IF(F1508="NEW",IF(ISNA(VLOOKUP(E1508,#REF!,1,FALSE())),"?TYPE_IDENTIFIABLE","?REFERENTIAL"),"_")))))</f>
        <v> </v>
      </c>
      <c r="H1508" s="24" t="str">
        <f>IF(J1508&lt;&gt;1,"",IF(I1508="SBJ","CB","?"))</f>
        <v> </v>
      </c>
      <c r="I1508" s="25" t="str">
        <f>IF(OR(E1508="",E1508="!!!",F1508="NEW"),"",INDEX(B1507:B$2,-1+SUMPRODUCT(MAX(ROW(E1507:E$2)*(E1508=E1507:E$2)))))</f>
        <v> </v>
      </c>
      <c r="J1508" s="25" t="str">
        <f>IF(OR(E1508="",E1508="!!!",F1508="NEW"),"",COUNTBLANK(OFFSET(A$1,,,SUMPRODUCT(MAX(ROW(E$2:E1508)*(E1508=E$2:E1508)))))-COUNTBLANK(OFFSET(A$1,,,SUMPRODUCT(MAX(ROW(E$1:E1507)*(E2=E$1:E1507))))))</f>
        <v> </v>
      </c>
      <c r="K1508" s="25" t="str">
        <f>IF(OR(E1508="",E1508="!!!",F1508="NEW"),"",INDEX(J$1:J1507,SUMPRODUCT(MAX(ROW(E$1:E1507)*(E1508=E$1:E1507)))))</f>
        <v> </v>
      </c>
      <c r="L1508" s="26"/>
    </row>
    <row r="1509" spans="1:12">
      <c r="A1509" s="20" t="s">
        <v>491</v>
      </c>
      <c r="B1509" s="27" t="s">
        <v>511</v>
      </c>
      <c r="C1509" s="27" t="s">
        <v>429</v>
      </c>
      <c r="D1509" s="27" t="s">
        <v>378</v>
      </c>
      <c r="E1509" s="21">
        <f>IF(D1509="?OLD","!!!","")</f>
        <v/>
      </c>
      <c r="F1509" s="22" t="str">
        <f>IF(OR(E1509="",E1509="!!!"),"",IF(NOT(ISNA(VLOOKUP(E1509,E$1:E1508,1,FALSE()))),"OLD",IF(AND(E1509&lt;&gt;"",E1509&lt;&gt;"!!!"),"NEW","")))</f>
        <v> </v>
      </c>
      <c r="G1509" s="23" t="str">
        <f>IF(OR(E1509="",E1509="!!!"),"",IF(OR(J1509=0,AND(J1509=1,K1509=1),AND(J1509=1,I1509="SBJ"),AND(J1509=1,I1509=0)),"?IN_FOCUS",IF(J1509&lt;=2,"?ACTIVATED",IF(J1509&lt;&gt;"","?FAMILIAR",IF(F1509="NEW",IF(ISNA(VLOOKUP(E1509,#REF!,1,FALSE())),"?TYPE_IDENTIFIABLE","?REFERENTIAL"),"_")))))</f>
        <v> </v>
      </c>
      <c r="H1509" s="24" t="str">
        <f>IF(J1509&lt;&gt;1,"",IF(I1509="SBJ","CB","?"))</f>
        <v> </v>
      </c>
      <c r="I1509" s="25" t="str">
        <f>IF(OR(E1509="",E1509="!!!",F1509="NEW"),"",INDEX(B1508:B$2,-1+SUMPRODUCT(MAX(ROW(E1508:E$2)*(E1509=E1508:E$2)))))</f>
        <v> </v>
      </c>
      <c r="J1509" s="25" t="str">
        <f>IF(OR(E1509="",E1509="!!!",F1509="NEW"),"",COUNTBLANK(OFFSET(A$1,,,SUMPRODUCT(MAX(ROW(E$2:E1509)*(E1509=E$2:E1509)))))-COUNTBLANK(OFFSET(A$1,,,SUMPRODUCT(MAX(ROW(E$1:E1508)*(E2=E$1:E1508))))))</f>
        <v> </v>
      </c>
      <c r="K1509" s="25" t="str">
        <f>IF(OR(E1509="",E1509="!!!",F1509="NEW"),"",INDEX(J$1:J1508,SUMPRODUCT(MAX(ROW(E$1:E1508)*(E1509=E$1:E1508)))))</f>
        <v> </v>
      </c>
      <c r="L1509" s="26"/>
    </row>
    <row r="1510" spans="1:12">
      <c r="A1510" s="20" t="s">
        <v>438</v>
      </c>
      <c r="E1510" s="21">
        <f>IF(D1510="?OLD","!!!","")</f>
        <v/>
      </c>
      <c r="F1510" s="22" t="str">
        <f>IF(OR(E1510="",E1510="!!!"),"",IF(NOT(ISNA(VLOOKUP(E1510,E$1:E1509,1,FALSE()))),"OLD",IF(AND(E1510&lt;&gt;"",E1510&lt;&gt;"!!!"),"NEW","")))</f>
        <v> </v>
      </c>
      <c r="G1510" s="23" t="str">
        <f>IF(OR(E1510="",E1510="!!!"),"",IF(OR(J1510=0,AND(J1510=1,K1510=1),AND(J1510=1,I1510="SBJ"),AND(J1510=1,I1510=0)),"?IN_FOCUS",IF(J1510&lt;=2,"?ACTIVATED",IF(J1510&lt;&gt;"","?FAMILIAR",IF(F1510="NEW",IF(ISNA(VLOOKUP(E1510,#REF!,1,FALSE())),"?TYPE_IDENTIFIABLE","?REFERENTIAL"),"_")))))</f>
        <v> </v>
      </c>
      <c r="H1510" s="24" t="str">
        <f>IF(J1510&lt;&gt;1,"",IF(I1510="SBJ","CB","?"))</f>
        <v> </v>
      </c>
      <c r="I1510" s="25" t="str">
        <f>IF(OR(E1510="",E1510="!!!",F1510="NEW"),"",INDEX(B1509:B$2,-1+SUMPRODUCT(MAX(ROW(E1509:E$2)*(E1510=E1509:E$2)))))</f>
        <v> </v>
      </c>
      <c r="J1510" s="25" t="str">
        <f>IF(OR(E1510="",E1510="!!!",F1510="NEW"),"",COUNTBLANK(OFFSET(A$1,,,SUMPRODUCT(MAX(ROW(E$2:E1510)*(E1510=E$2:E1510)))))-COUNTBLANK(OFFSET(A$1,,,SUMPRODUCT(MAX(ROW(E$1:E1509)*(E2=E$1:E1509))))))</f>
        <v> </v>
      </c>
      <c r="K1510" s="25" t="str">
        <f>IF(OR(E1510="",E1510="!!!",F1510="NEW"),"",INDEX(J$1:J1509,SUMPRODUCT(MAX(ROW(E$1:E1509)*(E1510=E$1:E1509)))))</f>
        <v> </v>
      </c>
      <c r="L1510" s="26"/>
    </row>
    <row r="1511" spans="1:12">
      <c r="A1511" s="20" t="s">
        <v>689</v>
      </c>
      <c r="E1511" s="21">
        <f>IF(D1511="?OLD","!!!","")</f>
        <v/>
      </c>
      <c r="F1511" s="22" t="str">
        <f>IF(OR(E1511="",E1511="!!!"),"",IF(NOT(ISNA(VLOOKUP(E1511,E$1:E1510,1,FALSE()))),"OLD",IF(AND(E1511&lt;&gt;"",E1511&lt;&gt;"!!!"),"NEW","")))</f>
        <v> </v>
      </c>
      <c r="G1511" s="23" t="str">
        <f>IF(OR(E1511="",E1511="!!!"),"",IF(OR(J1511=0,AND(J1511=1,K1511=1),AND(J1511=1,I1511="SBJ"),AND(J1511=1,I1511=0)),"?IN_FOCUS",IF(J1511&lt;=2,"?ACTIVATED",IF(J1511&lt;&gt;"","?FAMILIAR",IF(F1511="NEW",IF(ISNA(VLOOKUP(E1511,#REF!,1,FALSE())),"?TYPE_IDENTIFIABLE","?REFERENTIAL"),"_")))))</f>
        <v> </v>
      </c>
      <c r="H1511" s="24" t="str">
        <f>IF(J1511&lt;&gt;1,"",IF(I1511="SBJ","CB","?"))</f>
        <v> </v>
      </c>
      <c r="I1511" s="25" t="str">
        <f>IF(OR(E1511="",E1511="!!!",F1511="NEW"),"",INDEX(B1510:B$2,-1+SUMPRODUCT(MAX(ROW(E1510:E$2)*(E1511=E1510:E$2)))))</f>
        <v> </v>
      </c>
      <c r="J1511" s="25" t="str">
        <f>IF(OR(E1511="",E1511="!!!",F1511="NEW"),"",COUNTBLANK(OFFSET(A$1,,,SUMPRODUCT(MAX(ROW(E$2:E1511)*(E1511=E$2:E1511)))))-COUNTBLANK(OFFSET(A$1,,,SUMPRODUCT(MAX(ROW(E$1:E1510)*(E2=E$1:E1510))))))</f>
        <v> </v>
      </c>
      <c r="K1511" s="25" t="str">
        <f>IF(OR(E1511="",E1511="!!!",F1511="NEW"),"",INDEX(J$1:J1510,SUMPRODUCT(MAX(ROW(E$1:E1510)*(E1511=E$1:E1510)))))</f>
        <v> </v>
      </c>
      <c r="L1511" s="26"/>
    </row>
    <row r="1512" spans="1:12">
      <c r="A1512" s="20" t="s">
        <v>394</v>
      </c>
      <c r="E1512" s="21">
        <f>IF(D1512="?OLD","!!!","")</f>
        <v/>
      </c>
      <c r="F1512" s="22" t="str">
        <f>IF(OR(E1512="",E1512="!!!"),"",IF(NOT(ISNA(VLOOKUP(E1512,E$1:E1511,1,FALSE()))),"OLD",IF(AND(E1512&lt;&gt;"",E1512&lt;&gt;"!!!"),"NEW","")))</f>
        <v> </v>
      </c>
      <c r="G1512" s="23" t="str">
        <f>IF(OR(E1512="",E1512="!!!"),"",IF(OR(J1512=0,AND(J1512=1,K1512=1),AND(J1512=1,I1512="SBJ"),AND(J1512=1,I1512=0)),"?IN_FOCUS",IF(J1512&lt;=2,"?ACTIVATED",IF(J1512&lt;&gt;"","?FAMILIAR",IF(F1512="NEW",IF(ISNA(VLOOKUP(E1512,#REF!,1,FALSE())),"?TYPE_IDENTIFIABLE","?REFERENTIAL"),"_")))))</f>
        <v> </v>
      </c>
      <c r="H1512" s="24" t="str">
        <f>IF(J1512&lt;&gt;1,"",IF(I1512="SBJ","CB","?"))</f>
        <v> </v>
      </c>
      <c r="I1512" s="25" t="str">
        <f>IF(OR(E1512="",E1512="!!!",F1512="NEW"),"",INDEX(B1511:B$2,-1+SUMPRODUCT(MAX(ROW(E1511:E$2)*(E1512=E1511:E$2)))))</f>
        <v> </v>
      </c>
      <c r="J1512" s="25" t="str">
        <f>IF(OR(E1512="",E1512="!!!",F1512="NEW"),"",COUNTBLANK(OFFSET(A$1,,,SUMPRODUCT(MAX(ROW(E$2:E1512)*(E1512=E$2:E1512)))))-COUNTBLANK(OFFSET(A$1,,,SUMPRODUCT(MAX(ROW(E$1:E1511)*(E2=E$1:E1511))))))</f>
        <v> </v>
      </c>
      <c r="K1512" s="25" t="str">
        <f>IF(OR(E1512="",E1512="!!!",F1512="NEW"),"",INDEX(J$1:J1511,SUMPRODUCT(MAX(ROW(E$1:E1511)*(E1512=E$1:E1511)))))</f>
        <v> </v>
      </c>
      <c r="L1512" s="26"/>
    </row>
    <row r="1513" spans="1:12">
      <c r="A1513" s="20"/>
    </row>
    <row r="1514" spans="1:12">
      <c r="A1514" s="20" t="s">
        <v>898</v>
      </c>
    </row>
    <row r="1515" spans="1:12">
      <c r="A1515" s="20" t="s">
        <v>578</v>
      </c>
      <c r="E1515" s="21">
        <f>IF(D1515="?OLD","!!!","")</f>
        <v/>
      </c>
      <c r="F1515" s="22" t="str">
        <f>IF(OR(E1515="",E1515="!!!"),"",IF(NOT(ISNA(VLOOKUP(E1515,E$1:E1514,1,FALSE()))),"OLD",IF(AND(E1515&lt;&gt;"",E1515&lt;&gt;"!!!"),"NEW","")))</f>
        <v> </v>
      </c>
      <c r="G1515" s="23" t="str">
        <f>IF(OR(E1515="",E1515="!!!"),"",IF(OR(J1515=0,AND(J1515=1,K1515=1),AND(J1515=1,I1515="SBJ"),AND(J1515=1,I1515=0)),"?IN_FOCUS",IF(J1515&lt;=2,"?ACTIVATED",IF(J1515&lt;&gt;"","?FAMILIAR",IF(F1515="NEW",IF(ISNA(VLOOKUP(E1515,#REF!,1,FALSE())),"?TYPE_IDENTIFIABLE","?REFERENTIAL"),"_")))))</f>
        <v> </v>
      </c>
      <c r="H1515" s="24" t="str">
        <f>IF(J1515&lt;&gt;1,"",IF(I1515="SBJ","CB","?"))</f>
        <v> </v>
      </c>
      <c r="I1515" s="25" t="str">
        <f>IF(OR(E1515="",E1515="!!!",F1515="NEW"),"",INDEX(B1514:B$2,-1+SUMPRODUCT(MAX(ROW(E1514:E$2)*(E1515=E1514:E$2)))))</f>
        <v> </v>
      </c>
      <c r="J1515" s="25" t="str">
        <f>IF(OR(E1515="",E1515="!!!",F1515="NEW"),"",COUNTBLANK(OFFSET(A$1,,,SUMPRODUCT(MAX(ROW(E$2:E1515)*(E1515=E$2:E1515)))))-COUNTBLANK(OFFSET(A$1,,,SUMPRODUCT(MAX(ROW(E$1:E1514)*(E2=E$1:E1514))))))</f>
        <v> </v>
      </c>
      <c r="K1515" s="25" t="str">
        <f>IF(OR(E1515="",E1515="!!!",F1515="NEW"),"",INDEX(J$1:J1514,SUMPRODUCT(MAX(ROW(E$1:E1514)*(E1515=E$1:E1514)))))</f>
        <v> </v>
      </c>
      <c r="L1515" s="26"/>
    </row>
    <row r="1516" spans="1:12">
      <c r="A1516" s="20" t="s">
        <v>353</v>
      </c>
      <c r="B1516" s="27" t="s">
        <v>398</v>
      </c>
      <c r="C1516" s="27" t="s">
        <v>377</v>
      </c>
      <c r="D1516" s="27" t="s">
        <v>378</v>
      </c>
      <c r="E1516" s="21">
        <f>IF(D1516="?OLD","!!!","")</f>
        <v/>
      </c>
      <c r="F1516" s="22" t="str">
        <f>IF(OR(E1516="",E1516="!!!"),"",IF(NOT(ISNA(VLOOKUP(E1516,E$1:E1515,1,FALSE()))),"OLD",IF(AND(E1516&lt;&gt;"",E1516&lt;&gt;"!!!"),"NEW","")))</f>
        <v> </v>
      </c>
      <c r="G1516" s="23" t="str">
        <f>IF(OR(E1516="",E1516="!!!"),"",IF(OR(J1516=0,AND(J1516=1,K1516=1),AND(J1516=1,I1516="SBJ"),AND(J1516=1,I1516=0)),"?IN_FOCUS",IF(J1516&lt;=2,"?ACTIVATED",IF(J1516&lt;&gt;"","?FAMILIAR",IF(F1516="NEW",IF(ISNA(VLOOKUP(E1516,#REF!,1,FALSE())),"?TYPE_IDENTIFIABLE","?REFERENTIAL"),"_")))))</f>
        <v> </v>
      </c>
      <c r="H1516" s="24" t="str">
        <f>IF(J1516&lt;&gt;1,"",IF(I1516="SBJ","CB","?"))</f>
        <v> </v>
      </c>
      <c r="I1516" s="25" t="str">
        <f>IF(OR(E1516="",E1516="!!!",F1516="NEW"),"",INDEX(B1515:B$2,-1+SUMPRODUCT(MAX(ROW(E1515:E$2)*(E1516=E1515:E$2)))))</f>
        <v> </v>
      </c>
      <c r="J1516" s="25" t="str">
        <f>IF(OR(E1516="",E1516="!!!",F1516="NEW"),"",COUNTBLANK(OFFSET(A$1,,,SUMPRODUCT(MAX(ROW(E$2:E1516)*(E1516=E$2:E1516)))))-COUNTBLANK(OFFSET(A$1,,,SUMPRODUCT(MAX(ROW(E$1:E1515)*(E2=E$1:E1515))))))</f>
        <v> </v>
      </c>
      <c r="K1516" s="25" t="str">
        <f>IF(OR(E1516="",E1516="!!!",F1516="NEW"),"",INDEX(J$1:J1515,SUMPRODUCT(MAX(ROW(E$1:E1515)*(E1516=E$1:E1515)))))</f>
        <v> </v>
      </c>
      <c r="L1516" s="26"/>
    </row>
    <row r="1517" spans="1:12">
      <c r="A1517" s="20" t="s">
        <v>580</v>
      </c>
      <c r="E1517" s="21">
        <f>IF(D1517="?OLD","!!!","")</f>
        <v/>
      </c>
      <c r="F1517" s="22" t="str">
        <f>IF(OR(E1517="",E1517="!!!"),"",IF(NOT(ISNA(VLOOKUP(E1517,E$1:E1516,1,FALSE()))),"OLD",IF(AND(E1517&lt;&gt;"",E1517&lt;&gt;"!!!"),"NEW","")))</f>
        <v> </v>
      </c>
      <c r="G1517" s="23" t="str">
        <f>IF(OR(E1517="",E1517="!!!"),"",IF(OR(J1517=0,AND(J1517=1,K1517=1),AND(J1517=1,I1517="SBJ"),AND(J1517=1,I1517=0)),"?IN_FOCUS",IF(J1517&lt;=2,"?ACTIVATED",IF(J1517&lt;&gt;"","?FAMILIAR",IF(F1517="NEW",IF(ISNA(VLOOKUP(E1517,#REF!,1,FALSE())),"?TYPE_IDENTIFIABLE","?REFERENTIAL"),"_")))))</f>
        <v> </v>
      </c>
      <c r="H1517" s="24" t="str">
        <f>IF(J1517&lt;&gt;1,"",IF(I1517="SBJ","CB","?"))</f>
        <v> </v>
      </c>
      <c r="I1517" s="25" t="str">
        <f>IF(OR(E1517="",E1517="!!!",F1517="NEW"),"",INDEX(B1516:B$2,-1+SUMPRODUCT(MAX(ROW(E1516:E$2)*(E1517=E1516:E$2)))))</f>
        <v> </v>
      </c>
      <c r="J1517" s="25" t="str">
        <f>IF(OR(E1517="",E1517="!!!",F1517="NEW"),"",COUNTBLANK(OFFSET(A$1,,,SUMPRODUCT(MAX(ROW(E$2:E1517)*(E1517=E$2:E1517)))))-COUNTBLANK(OFFSET(A$1,,,SUMPRODUCT(MAX(ROW(E$1:E1516)*(E2=E$1:E1516))))))</f>
        <v> </v>
      </c>
      <c r="K1517" s="25" t="str">
        <f>IF(OR(E1517="",E1517="!!!",F1517="NEW"),"",INDEX(J$1:J1516,SUMPRODUCT(MAX(ROW(E$1:E1516)*(E1517=E$1:E1516)))))</f>
        <v> </v>
      </c>
      <c r="L1517" s="26"/>
    </row>
    <row r="1518" spans="1:12">
      <c r="A1518"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2024-05-20T13:17:32Z</dcterms:created>
  <dcterms:modified xsi:type="dcterms:W3CDTF">2024-05-20T13:17:32Z</dcterms:modified>
</cp:coreProperties>
</file>