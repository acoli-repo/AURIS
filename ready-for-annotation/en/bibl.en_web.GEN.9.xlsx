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<sst xmlns="http://schemas.openxmlformats.org/spreadsheetml/2006/main" count="1835" uniqueCount="459">
  <si>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</si>
  <si>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</si>
  <si>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</si>
  <si>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</si>
  <si>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</si>
  <si>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</si>
  <si>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</si>
  <si>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</si>
  <si>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</si>
  <si>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</si>
  <si>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</si>
  <si>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</si>
  <si>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and?</t>
  </si>
  <si>
    <t>bless</t>
  </si>
  <si>
    <t>God blessed Noah and his sons , and said to them , &amp;quot; Be fruitful , and multiply , and replenish the earth .</t>
  </si>
  <si>
    <t>file://conllu/en/bibl.en_web.GEN.9.conllu#s1_0</t>
  </si>
  <si>
    <t>_</t>
  </si>
  <si>
    <t>11</t>
  </si>
  <si>
    <t>be (be animal)</t>
  </si>
  <si>
    <t>The fear of you and the dread of you will be on every animal of the earth , and on every bird of the sky .</t>
  </si>
  <si>
    <t>file://conllu/en/bibl.en_web.GEN.9.conllu#s2_0</t>
  </si>
  <si>
    <t>3</t>
  </si>
  <si>
    <t>everything</t>
  </si>
  <si>
    <t>Everything that the ground teems with , and all the fish of the sea are delivered into your hand .</t>
  </si>
  <si>
    <t>file://conllu/en/bibl.en_web.GEN.9.conllu#s3_0</t>
  </si>
  <si>
    <t>4</t>
  </si>
  <si>
    <t>7</t>
  </si>
  <si>
    <t>for?</t>
  </si>
  <si>
    <t>be (be food)</t>
  </si>
  <si>
    <t>Every moving thing that lives will be food for you .</t>
  </si>
  <si>
    <t>file://conllu/en/bibl.en_web.GEN.9.conllu#s4_0</t>
  </si>
  <si>
    <t>5</t>
  </si>
  <si>
    <t>8</t>
  </si>
  <si>
    <t>as?</t>
  </si>
  <si>
    <t>give</t>
  </si>
  <si>
    <t>As the green herb , I have given everything to you .</t>
  </si>
  <si>
    <t>file://conllu/en/bibl.en_web.GEN.9.conllu#s5_0</t>
  </si>
  <si>
    <t>6</t>
  </si>
  <si>
    <t>but?</t>
  </si>
  <si>
    <t>flesh</t>
  </si>
  <si>
    <t>But flesh with its life , it s blood , you shall not eat .</t>
  </si>
  <si>
    <t>file://conllu/en/bibl.en_web.GEN.9.conllu#s6_0</t>
  </si>
  <si>
    <t>require</t>
  </si>
  <si>
    <t>I will surely require your blood of your lives .</t>
  </si>
  <si>
    <t>file://conllu/en/bibl.en_web.GEN.9.conllu#s7_0</t>
  </si>
  <si>
    <t>9</t>
  </si>
  <si>
    <t>At the hand of every animal I will require it .</t>
  </si>
  <si>
    <t>file://conllu/en/bibl.en_web.GEN.9.conllu#s8_0</t>
  </si>
  <si>
    <t>19</t>
  </si>
  <si>
    <t>At the hand of man , even at the hand of every man 's brother , I will require the life of man .</t>
  </si>
  <si>
    <t>file://conllu/en/bibl.en_web.GEN.9.conllu#s9_0</t>
  </si>
  <si>
    <t>10</t>
  </si>
  <si>
    <t>shed</t>
  </si>
  <si>
    <t>Whoever sheds man 's blood , his blood will be shed by man , for God made man in his own image .</t>
  </si>
  <si>
    <t>file://conllu/en/bibl.en_web.GEN.9.conllu#s10_0</t>
  </si>
  <si>
    <t>be (be fruitful)</t>
  </si>
  <si>
    <t>Be fruitful and multiply .</t>
  </si>
  <si>
    <t>file://conllu/en/bibl.en_web.GEN.9.conllu#s11_0</t>
  </si>
  <si>
    <t>12</t>
  </si>
  <si>
    <t>bring</t>
  </si>
  <si>
    <t>Bring forth abundantly in the earth , and multiply in it . &amp;quot;</t>
  </si>
  <si>
    <t>file://conllu/en/bibl.en_web.GEN.9.conllu#s12_0</t>
  </si>
  <si>
    <t>13</t>
  </si>
  <si>
    <t>say (say speak)</t>
  </si>
  <si>
    <t>God spoke to Noah and to his sons with him , saying ,</t>
  </si>
  <si>
    <t>file://conllu/en/bibl.en_web.GEN.9.conllu#s13_0</t>
  </si>
  <si>
    <t>14</t>
  </si>
  <si>
    <t>establish</t>
  </si>
  <si>
    <t>&amp;quot; As for me , behold , I establish my covenant with you , and with your offspring after you ,</t>
  </si>
  <si>
    <t>file://conllu/en/bibl.en_web.GEN.9.conllu#s14_0</t>
  </si>
  <si>
    <t>15</t>
  </si>
  <si>
    <t>creature</t>
  </si>
  <si>
    <t>and with every living creature that is with you : the birds , the livestock , and every animal of the earth with you , of all that go out of the ship , even every animal of the earth .</t>
  </si>
  <si>
    <t>file://conllu/en/bibl.en_web.GEN.9.conllu#s15_0</t>
  </si>
  <si>
    <t>16</t>
  </si>
  <si>
    <t>I will establish my covenant with you : all flesh will not be cut off any more by the waters of the flood , neither will there ever again be a flood to destroy the earth . &amp;quot;</t>
  </si>
  <si>
    <t>file://conllu/en/bibl.en_web.GEN.9.conllu#s16_0</t>
  </si>
  <si>
    <t>17</t>
  </si>
  <si>
    <t>say</t>
  </si>
  <si>
    <t>God said , &amp;quot; This is the token of the covenant which I make between me and you and every living creature that is with you , for perpetual generations :</t>
  </si>
  <si>
    <t>file://conllu/en/bibl.en_web.GEN.9.conllu#s17_0</t>
  </si>
  <si>
    <t>18</t>
  </si>
  <si>
    <t>set</t>
  </si>
  <si>
    <t>I set my rainbow in the cloud , and it will be for a sign of a covenant between me and the earth .</t>
  </si>
  <si>
    <t>file://conllu/en/bibl.en_web.GEN.9.conllu#s18_0</t>
  </si>
  <si>
    <t>when?</t>
  </si>
  <si>
    <t>happen</t>
  </si>
  <si>
    <t>It will happen , when I bring a cloud over the earth , that the rainbow will be seen in the cloud ,</t>
  </si>
  <si>
    <t>file://conllu/en/bibl.en_web.GEN.9.conllu#s19_0</t>
  </si>
  <si>
    <t>20</t>
  </si>
  <si>
    <t>remember</t>
  </si>
  <si>
    <t>and I will remember my covenant , which is between me and you and every living creature of all flesh , and the waters will no more become a flood to destroy all flesh .</t>
  </si>
  <si>
    <t>file://conllu/en/bibl.en_web.GEN.9.conllu#s20_0</t>
  </si>
  <si>
    <t>21</t>
  </si>
  <si>
    <t>be (be cloud)</t>
  </si>
  <si>
    <t>The rainbow will be in the cloud .</t>
  </si>
  <si>
    <t>file://conllu/en/bibl.en_web.GEN.9.conllu#s21_0</t>
  </si>
  <si>
    <t>22</t>
  </si>
  <si>
    <t>look</t>
  </si>
  <si>
    <t>I will look at it , that I may remember the everlasting covenant between God and every living creature of all flesh that is on the earth . &amp;quot;</t>
  </si>
  <si>
    <t>file://conllu/en/bibl.en_web.GEN.9.conllu#s22_0</t>
  </si>
  <si>
    <t>23</t>
  </si>
  <si>
    <t>God said to Noah , &amp;quot; This is the token of the covenant which I have established between me and all flesh that is on the earth . &amp;quot;</t>
  </si>
  <si>
    <t>file://conllu/en/bibl.en_web.GEN.9.conllu#s23_0</t>
  </si>
  <si>
    <t>24</t>
  </si>
  <si>
    <t>be (be Shem)</t>
  </si>
  <si>
    <t>The sons of Noah who went forth from the ship were Shem , Ham , and Japheth .</t>
  </si>
  <si>
    <t>file://conllu/en/bibl.en_web.GEN.9.conllu#s24_0</t>
  </si>
  <si>
    <t>25</t>
  </si>
  <si>
    <t>be (be father)</t>
  </si>
  <si>
    <t>Ham is the father of Canaan .</t>
  </si>
  <si>
    <t>file://conllu/en/bibl.en_web.GEN.9.conllu#s25_0</t>
  </si>
  <si>
    <t>26</t>
  </si>
  <si>
    <t>be (be son)</t>
  </si>
  <si>
    <t>These three were the sons of Noah , and from these , the whole earth was populated .</t>
  </si>
  <si>
    <t>file://conllu/en/bibl.en_web.GEN.9.conllu#s26_0</t>
  </si>
  <si>
    <t>27</t>
  </si>
  <si>
    <t>begin</t>
  </si>
  <si>
    <t>Noah began to be a farmer , and planted a vineyard .</t>
  </si>
  <si>
    <t>file://conllu/en/bibl.en_web.GEN.9.conllu#s27_0</t>
  </si>
  <si>
    <t>28</t>
  </si>
  <si>
    <t>drank</t>
  </si>
  <si>
    <t>He drank of the wine and got drunk .</t>
  </si>
  <si>
    <t>file://conllu/en/bibl.en_web.GEN.9.conllu#s28_0</t>
  </si>
  <si>
    <t>29</t>
  </si>
  <si>
    <t>uncovered</t>
  </si>
  <si>
    <t>He was uncovered within his tent .</t>
  </si>
  <si>
    <t>file://conllu/en/bibl.en_web.GEN.9.conllu#s29_0</t>
  </si>
  <si>
    <t>30</t>
  </si>
  <si>
    <t>tell (tell see)</t>
  </si>
  <si>
    <t>Ham , the father of Canaan , saw the nakedness of his father , and told his two brothers outside .</t>
  </si>
  <si>
    <t>file://conllu/en/bibl.en_web.GEN.9.conllu#s30_0</t>
  </si>
  <si>
    <t>31</t>
  </si>
  <si>
    <t>take</t>
  </si>
  <si>
    <t>Shem and Japheth took a garment , and laid it on both their shoulders , went in backwards , and covered the nakedness of their father .</t>
  </si>
  <si>
    <t>file://conllu/en/bibl.en_web.GEN.9.conllu#s31_0</t>
  </si>
  <si>
    <t>32</t>
  </si>
  <si>
    <t>be (be backwards)</t>
  </si>
  <si>
    <t>Their faces were backwards , and they did n't see their father 's nakedness .</t>
  </si>
  <si>
    <t>file://conllu/en/bibl.en_web.GEN.9.conllu#s32_0</t>
  </si>
  <si>
    <t>33</t>
  </si>
  <si>
    <t>awoke</t>
  </si>
  <si>
    <t>Noah awoke from his wine , and knew what his youngest son had done to him .</t>
  </si>
  <si>
    <t>file://conllu/en/bibl.en_web.GEN.9.conllu#s33_0</t>
  </si>
  <si>
    <t>34</t>
  </si>
  <si>
    <t>He said , &amp;quot; Canaan is cursed .</t>
  </si>
  <si>
    <t>file://conllu/en/bibl.en_web.GEN.9.conllu#s34_0</t>
  </si>
  <si>
    <t>35</t>
  </si>
  <si>
    <t>be (be servant)</t>
  </si>
  <si>
    <t>He will be servant of servants to his brothers . &amp;quot;</t>
  </si>
  <si>
    <t>file://conllu/en/bibl.en_web.GEN.9.conllu#s35_0</t>
  </si>
  <si>
    <t>36</t>
  </si>
  <si>
    <t>He said , &amp;quot; Blessed be Yahweh , the God of Shem .</t>
  </si>
  <si>
    <t>file://conllu/en/bibl.en_web.GEN.9.conllu#s36_0</t>
  </si>
  <si>
    <t>37</t>
  </si>
  <si>
    <t>let</t>
  </si>
  <si>
    <t>Let Canaan be his servant .</t>
  </si>
  <si>
    <t>file://conllu/en/bibl.en_web.GEN.9.conllu#s37_0</t>
  </si>
  <si>
    <t>38</t>
  </si>
  <si>
    <t>may</t>
  </si>
  <si>
    <t>May God enlarge Japheth .</t>
  </si>
  <si>
    <t>file://conllu/en/bibl.en_web.GEN.9.conllu#s38_0</t>
  </si>
  <si>
    <t>39</t>
  </si>
  <si>
    <t>Let him dwell in the tents of Shem .</t>
  </si>
  <si>
    <t>file://conllu/en/bibl.en_web.GEN.9.conllu#s39_0</t>
  </si>
  <si>
    <t>40</t>
  </si>
  <si>
    <t>Let Canaan be his servant . &amp;quot;</t>
  </si>
  <si>
    <t>file://conllu/en/bibl.en_web.GEN.9.conllu#s40_0</t>
  </si>
  <si>
    <t>41</t>
  </si>
  <si>
    <t>after?</t>
  </si>
  <si>
    <t>live</t>
  </si>
  <si>
    <t>Noah lived three hundred fifty years after the flood .</t>
  </si>
  <si>
    <t>file://conllu/en/bibl.en_web.GEN.9.conllu#s41_0</t>
  </si>
  <si>
    <t>42</t>
  </si>
  <si>
    <t>then?</t>
  </si>
  <si>
    <t>be (be year)</t>
  </si>
  <si>
    <t>All the days of Noah were nine hundred fifty years , then he died .</t>
  </si>
  <si>
    <t>file://conllu/en/bibl.en_web.GEN.9.conllu#s42_0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</si>
  <si>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</si>
  <si>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</si>
  <si>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</si>
  <si>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</si>
  <si>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</si>
  <si>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</si>
  <si>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</si>
  <si>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</si>
  <si>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</si>
  <si>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</si>
  <si>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</si>
  <si>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God blessed Noah and his sons, and said to them, \"Be fruitful, and multiply, and replenish the earth.</t>
  </si>
  <si>
    <t>God</t>
  </si>
  <si>
    <t>SBJ</t>
  </si>
  <si>
    <t>ne</t>
  </si>
  <si>
    <t>?OLD</t>
  </si>
  <si>
    <t>blessed</t>
  </si>
  <si>
    <t>Noah</t>
  </si>
  <si>
    <t>OBJ</t>
  </si>
  <si>
    <t>and</t>
  </si>
  <si>
    <t>his</t>
  </si>
  <si>
    <t>other_3</t>
  </si>
  <si>
    <t>pron.ppos</t>
  </si>
  <si>
    <t>sons</t>
  </si>
  <si>
    <t>other_2</t>
  </si>
  <si>
    <t>def-np.poss</t>
  </si>
  <si>
    <t>,</t>
  </si>
  <si>
    <t>said</t>
  </si>
  <si>
    <t>to</t>
  </si>
  <si>
    <t>them</t>
  </si>
  <si>
    <t>pron.pper</t>
  </si>
  <si>
    <t>&amp;quot;</t>
  </si>
  <si>
    <t>Be</t>
  </si>
  <si>
    <t>fruitful</t>
  </si>
  <si>
    <t>multiply</t>
  </si>
  <si>
    <t>replenish</t>
  </si>
  <si>
    <t>the</t>
  </si>
  <si>
    <t>earth</t>
  </si>
  <si>
    <t>OBJ_4</t>
  </si>
  <si>
    <t>def-np.the</t>
  </si>
  <si>
    <t>.</t>
  </si>
  <si>
    <t># text = The fear of you and the dread of you will be on every animal of the earth, and on every bird of the sky.</t>
  </si>
  <si>
    <t>The</t>
  </si>
  <si>
    <t>fear</t>
  </si>
  <si>
    <t>of</t>
  </si>
  <si>
    <t>you</t>
  </si>
  <si>
    <t>dread</t>
  </si>
  <si>
    <t>will</t>
  </si>
  <si>
    <t>be</t>
  </si>
  <si>
    <t>on</t>
  </si>
  <si>
    <t>every</t>
  </si>
  <si>
    <t>animal</t>
  </si>
  <si>
    <t>other</t>
  </si>
  <si>
    <t>indef-np</t>
  </si>
  <si>
    <t>bird</t>
  </si>
  <si>
    <t>sky</t>
  </si>
  <si>
    <t># text = Everything that the ground teems with, and all the fish of the sea are delivered into your hand.</t>
  </si>
  <si>
    <t>Everything</t>
  </si>
  <si>
    <t>pron</t>
  </si>
  <si>
    <t>that</t>
  </si>
  <si>
    <t>ground</t>
  </si>
  <si>
    <t>SBJ_2</t>
  </si>
  <si>
    <t>teems</t>
  </si>
  <si>
    <t>with</t>
  </si>
  <si>
    <t>all</t>
  </si>
  <si>
    <t>fish</t>
  </si>
  <si>
    <t>SBJ_3</t>
  </si>
  <si>
    <t>sea</t>
  </si>
  <si>
    <t>other_4</t>
  </si>
  <si>
    <t>are</t>
  </si>
  <si>
    <t>delivered</t>
  </si>
  <si>
    <t>into</t>
  </si>
  <si>
    <t>your</t>
  </si>
  <si>
    <t>hand</t>
  </si>
  <si>
    <t># text = Every moving thing that lives will be food for you.</t>
  </si>
  <si>
    <t>Every</t>
  </si>
  <si>
    <t>moving</t>
  </si>
  <si>
    <t>thing</t>
  </si>
  <si>
    <t>lives</t>
  </si>
  <si>
    <t>food</t>
  </si>
  <si>
    <t>indef-np.bare</t>
  </si>
  <si>
    <t>for</t>
  </si>
  <si>
    <t># text = As the green herb, I have given everything to you.</t>
  </si>
  <si>
    <t>As</t>
  </si>
  <si>
    <t>green</t>
  </si>
  <si>
    <t>herb</t>
  </si>
  <si>
    <t>I</t>
  </si>
  <si>
    <t>have</t>
  </si>
  <si>
    <t>given</t>
  </si>
  <si>
    <t># text = But flesh with its life, its blood, you shall not eat.</t>
  </si>
  <si>
    <t>But</t>
  </si>
  <si>
    <t>its</t>
  </si>
  <si>
    <t>life</t>
  </si>
  <si>
    <t>it</t>
  </si>
  <si>
    <t>s</t>
  </si>
  <si>
    <t>blood</t>
  </si>
  <si>
    <t>shall</t>
  </si>
  <si>
    <t>not</t>
  </si>
  <si>
    <t>eat</t>
  </si>
  <si>
    <t># text = I will surely require your blood of your lives.</t>
  </si>
  <si>
    <t>surely</t>
  </si>
  <si>
    <t># text = At the hand of every animal I will require it.</t>
  </si>
  <si>
    <t>At</t>
  </si>
  <si>
    <t># text = At the hand of man, even at the hand of every man's brother, I will require the life of man.</t>
  </si>
  <si>
    <t>man</t>
  </si>
  <si>
    <t>even</t>
  </si>
  <si>
    <t>at</t>
  </si>
  <si>
    <t>'s</t>
  </si>
  <si>
    <t>brother</t>
  </si>
  <si>
    <t># text = Whoever sheds man's blood, his blood will be shed by man, for God made man in his own image.</t>
  </si>
  <si>
    <t>Whoever</t>
  </si>
  <si>
    <t>pron.pint</t>
  </si>
  <si>
    <t>sheds</t>
  </si>
  <si>
    <t>by</t>
  </si>
  <si>
    <t>made</t>
  </si>
  <si>
    <t>in</t>
  </si>
  <si>
    <t>own</t>
  </si>
  <si>
    <t>image</t>
  </si>
  <si>
    <t># text = Be fruitful and multiply.</t>
  </si>
  <si>
    <t>--</t>
  </si>
  <si>
    <t># text = Bring forth abundantly in the earth, and multiply in it.\"</t>
  </si>
  <si>
    <t>Bring</t>
  </si>
  <si>
    <t>forth</t>
  </si>
  <si>
    <t>abundantly</t>
  </si>
  <si>
    <t># text = God spoke to Noah and to his sons with him, saying,</t>
  </si>
  <si>
    <t>spoke</t>
  </si>
  <si>
    <t>him</t>
  </si>
  <si>
    <t>saying</t>
  </si>
  <si>
    <t># text = \"As for me, behold, I establish my covenant with you, and with your offspring after you,</t>
  </si>
  <si>
    <t>me</t>
  </si>
  <si>
    <t>behold</t>
  </si>
  <si>
    <t>my</t>
  </si>
  <si>
    <t>covenant</t>
  </si>
  <si>
    <t>offspring</t>
  </si>
  <si>
    <t>after</t>
  </si>
  <si>
    <t># text = and with every living creature that is with you: the birds, the livestock, and every animal of the earth with you, of all that go out of the ship, even every animal of the earth.</t>
  </si>
  <si>
    <t>living</t>
  </si>
  <si>
    <t>is</t>
  </si>
  <si>
    <t>:</t>
  </si>
  <si>
    <t>birds</t>
  </si>
  <si>
    <t>livestock</t>
  </si>
  <si>
    <t>go</t>
  </si>
  <si>
    <t>out</t>
  </si>
  <si>
    <t>ship</t>
  </si>
  <si>
    <t># text = I will establish my covenant with you: all flesh will not be cut off any more by the waters of the flood, neither will there ever again be a flood to destroy the earth.\"</t>
  </si>
  <si>
    <t>indef-np.a</t>
  </si>
  <si>
    <t>cut</t>
  </si>
  <si>
    <t>off</t>
  </si>
  <si>
    <t>any</t>
  </si>
  <si>
    <t>more</t>
  </si>
  <si>
    <t>waters</t>
  </si>
  <si>
    <t>flood</t>
  </si>
  <si>
    <t>neither</t>
  </si>
  <si>
    <t>there</t>
  </si>
  <si>
    <t>ever</t>
  </si>
  <si>
    <t>again</t>
  </si>
  <si>
    <t>a</t>
  </si>
  <si>
    <t>destroy</t>
  </si>
  <si>
    <t># text = God said, "This is the token of the covenant which I make between me and you and every living creature that is with you, for perpetual generations:</t>
  </si>
  <si>
    <t>This</t>
  </si>
  <si>
    <t>pron.pds</t>
  </si>
  <si>
    <t>token</t>
  </si>
  <si>
    <t>which</t>
  </si>
  <si>
    <t>SBJ_4</t>
  </si>
  <si>
    <t>make</t>
  </si>
  <si>
    <t>between</t>
  </si>
  <si>
    <t>other_5</t>
  </si>
  <si>
    <t>SBJ_7</t>
  </si>
  <si>
    <t>other_6</t>
  </si>
  <si>
    <t>perpetual</t>
  </si>
  <si>
    <t>generations</t>
  </si>
  <si>
    <t># text = I set my rainbow in the cloud, and it will be for a sign of a covenant between me and the earth.</t>
  </si>
  <si>
    <t>rainbow</t>
  </si>
  <si>
    <t>cloud</t>
  </si>
  <si>
    <t>sign</t>
  </si>
  <si>
    <t># text = It will happen, when I bring a cloud over the earth, that the rainbow will be seen in the cloud,</t>
  </si>
  <si>
    <t>It</t>
  </si>
  <si>
    <t>when</t>
  </si>
  <si>
    <t>OBJ_2</t>
  </si>
  <si>
    <t>over</t>
  </si>
  <si>
    <t>seen</t>
  </si>
  <si>
    <t># text = and I will remember my covenant, which is between me and you and every living creature of all flesh, and the waters will no more become a flood to destroy all flesh.</t>
  </si>
  <si>
    <t>no</t>
  </si>
  <si>
    <t>become</t>
  </si>
  <si>
    <t># text = The rainbow will be in the cloud.</t>
  </si>
  <si>
    <t># text = I will look at it, that I may remember the everlasting covenant between God and every living creature of all flesh that is on the earth."</t>
  </si>
  <si>
    <t>everlasting</t>
  </si>
  <si>
    <t># text = God said to Noah, \"This is the token of the covenant which I have established between me and all flesh that is on the earth.\"</t>
  </si>
  <si>
    <t>established</t>
  </si>
  <si>
    <t># text = The sons of Noah who went forth from the ship were Shem, Ham, and Japheth.</t>
  </si>
  <si>
    <t>who</t>
  </si>
  <si>
    <t>went</t>
  </si>
  <si>
    <t>from</t>
  </si>
  <si>
    <t>were</t>
  </si>
  <si>
    <t>Shem</t>
  </si>
  <si>
    <t>Ham</t>
  </si>
  <si>
    <t>Japheth</t>
  </si>
  <si>
    <t># text = Ham is the father of Canaan.</t>
  </si>
  <si>
    <t>father</t>
  </si>
  <si>
    <t>Canaan</t>
  </si>
  <si>
    <t># text = These three were the sons of Noah, and from these, the whole earth was populated.</t>
  </si>
  <si>
    <t>These</t>
  </si>
  <si>
    <t>three</t>
  </si>
  <si>
    <t>these</t>
  </si>
  <si>
    <t>whole</t>
  </si>
  <si>
    <t>was</t>
  </si>
  <si>
    <t>populated</t>
  </si>
  <si>
    <t># text = Noah began to be a farmer, and planted a vineyard.</t>
  </si>
  <si>
    <t>began</t>
  </si>
  <si>
    <t>farmer</t>
  </si>
  <si>
    <t>planted</t>
  </si>
  <si>
    <t>vineyard</t>
  </si>
  <si>
    <t># text = He drank of the wine and got drunk.</t>
  </si>
  <si>
    <t>He</t>
  </si>
  <si>
    <t>wine</t>
  </si>
  <si>
    <t>got</t>
  </si>
  <si>
    <t>drunk</t>
  </si>
  <si>
    <t># text = He was uncovered within his tent.</t>
  </si>
  <si>
    <t>within</t>
  </si>
  <si>
    <t>tent</t>
  </si>
  <si>
    <t># text = Ham, the father of Canaan, saw the nakedness of his father, and told his two brothers outside.</t>
  </si>
  <si>
    <t>saw</t>
  </si>
  <si>
    <t>nakedness</t>
  </si>
  <si>
    <t>told</t>
  </si>
  <si>
    <t>two</t>
  </si>
  <si>
    <t>brothers</t>
  </si>
  <si>
    <t>outside</t>
  </si>
  <si>
    <t># text = Shem and Japheth took a garment, and laid it on both their shoulders, went in backwards, and covered the nakedness of their father.</t>
  </si>
  <si>
    <t>took</t>
  </si>
  <si>
    <t>garment</t>
  </si>
  <si>
    <t>laid</t>
  </si>
  <si>
    <t>both</t>
  </si>
  <si>
    <t>their</t>
  </si>
  <si>
    <t>shoulders</t>
  </si>
  <si>
    <t>backwards</t>
  </si>
  <si>
    <t>covered</t>
  </si>
  <si>
    <t># text = Their faces were backwards, and they didn't see their father's nakedness.</t>
  </si>
  <si>
    <t>Their</t>
  </si>
  <si>
    <t>faces</t>
  </si>
  <si>
    <t>they</t>
  </si>
  <si>
    <t>did</t>
  </si>
  <si>
    <t>n't</t>
  </si>
  <si>
    <t>see</t>
  </si>
  <si>
    <t># text = Noah awoke from his wine, and knew what his youngest son had done to him.</t>
  </si>
  <si>
    <t>knew</t>
  </si>
  <si>
    <t>what</t>
  </si>
  <si>
    <t>OBJ_3</t>
  </si>
  <si>
    <t>youngest</t>
  </si>
  <si>
    <t>son</t>
  </si>
  <si>
    <t>had</t>
  </si>
  <si>
    <t>done</t>
  </si>
  <si>
    <t># text = He said, \"Canaan is cursed.</t>
  </si>
  <si>
    <t>cursed</t>
  </si>
  <si>
    <t># text = He will be servant of servants to his brothers."</t>
  </si>
  <si>
    <t>servant</t>
  </si>
  <si>
    <t>servants</t>
  </si>
  <si>
    <t># text = He said, "Blessed be Yahweh, the God of Shem.</t>
  </si>
  <si>
    <t>Blessed</t>
  </si>
  <si>
    <t>Yahweh</t>
  </si>
  <si>
    <t># text = Let Canaan be his servant.</t>
  </si>
  <si>
    <t>Let</t>
  </si>
  <si>
    <t># text = May God enlarge Japheth.</t>
  </si>
  <si>
    <t>May</t>
  </si>
  <si>
    <t>enlarge</t>
  </si>
  <si>
    <t># text = Let him dwell in the tents of Shem.</t>
  </si>
  <si>
    <t>dwell</t>
  </si>
  <si>
    <t>tents</t>
  </si>
  <si>
    <t># text = Let Canaan be his servant."</t>
  </si>
  <si>
    <t># text = Noah lived three hundred fifty years after the flood.</t>
  </si>
  <si>
    <t>lived</t>
  </si>
  <si>
    <t>hundred</t>
  </si>
  <si>
    <t>fifty</t>
  </si>
  <si>
    <t>years</t>
  </si>
  <si>
    <t>indef-np.quant</t>
  </si>
  <si>
    <t># text = All the days of Noah were nine hundred fifty years, then he died.</t>
  </si>
  <si>
    <t>All</t>
  </si>
  <si>
    <t>days</t>
  </si>
  <si>
    <t>nine</t>
  </si>
  <si>
    <t>then</t>
  </si>
  <si>
    <t>he</t>
  </si>
  <si>
    <t>died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</si>
</sst>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16</v>
      </c>
      <c r="I2" s="11" t="s">
        <v>16</v>
      </c>
      <c r="J2" s="12"/>
    </row>
    <row r="3" spans="1:10" ht="60" customHeight="1">
      <c r="A3" s="6" t="s">
        <v>11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 t="s">
        <v>20</v>
      </c>
      <c r="H3" s="10" t="s">
        <v>16</v>
      </c>
      <c r="I3" s="11" t="s">
        <v>16</v>
      </c>
      <c r="J3" s="12"/>
    </row>
    <row r="4" spans="1:10" ht="60" customHeight="1">
      <c r="A4" s="6" t="s">
        <v>21</v>
      </c>
      <c r="B4" s="6" t="s">
        <v>10</v>
      </c>
      <c r="C4" s="6" t="s">
        <v>16</v>
      </c>
      <c r="D4" s="7" t="s">
        <v>22</v>
      </c>
      <c r="E4" s="8" t="s">
        <v>23</v>
      </c>
      <c r="F4" s="6" t="s">
        <v>24</v>
      </c>
      <c r="G4" s="9" t="s">
        <v>24</v>
      </c>
      <c r="H4" s="10" t="s">
        <v>16</v>
      </c>
      <c r="I4" s="11" t="s">
        <v>16</v>
      </c>
      <c r="J4" s="12"/>
    </row>
    <row r="5" spans="1:10" ht="60" customHeight="1">
      <c r="A5" s="6" t="s">
        <v>25</v>
      </c>
      <c r="B5" s="6" t="s">
        <v>26</v>
      </c>
      <c r="C5" s="6" t="s">
        <v>27</v>
      </c>
      <c r="D5" s="7" t="s">
        <v>28</v>
      </c>
      <c r="E5" s="8" t="s">
        <v>29</v>
      </c>
      <c r="F5" s="6" t="s">
        <v>30</v>
      </c>
      <c r="G5" s="9" t="s">
        <v>30</v>
      </c>
      <c r="H5" s="10" t="s">
        <v>16</v>
      </c>
      <c r="I5" s="11" t="s">
        <v>16</v>
      </c>
      <c r="J5" s="12"/>
    </row>
    <row r="6" spans="1:10" ht="60" customHeight="1">
      <c r="A6" s="6" t="s">
        <v>31</v>
      </c>
      <c r="B6" s="6" t="s">
        <v>32</v>
      </c>
      <c r="C6" s="6" t="s">
        <v>33</v>
      </c>
      <c r="D6" s="7" t="s">
        <v>34</v>
      </c>
      <c r="E6" s="8" t="s">
        <v>35</v>
      </c>
      <c r="F6" s="6" t="s">
        <v>36</v>
      </c>
      <c r="G6" s="9" t="s">
        <v>36</v>
      </c>
      <c r="H6" s="10" t="s">
        <v>16</v>
      </c>
      <c r="I6" s="11" t="s">
        <v>16</v>
      </c>
      <c r="J6" s="12"/>
    </row>
    <row r="7" spans="1:10" ht="60" customHeight="1">
      <c r="A7" s="6" t="s">
        <v>37</v>
      </c>
      <c r="B7" s="6" t="s">
        <v>11</v>
      </c>
      <c r="C7" s="6" t="s">
        <v>38</v>
      </c>
      <c r="D7" s="7" t="s">
        <v>39</v>
      </c>
      <c r="E7" s="8" t="s">
        <v>40</v>
      </c>
      <c r="F7" s="6" t="s">
        <v>41</v>
      </c>
      <c r="G7" s="9" t="s">
        <v>41</v>
      </c>
      <c r="H7" s="10" t="s">
        <v>16</v>
      </c>
      <c r="I7" s="11" t="s">
        <v>16</v>
      </c>
      <c r="J7" s="12"/>
    </row>
    <row r="8" spans="1:10" ht="60" customHeight="1">
      <c r="A8" s="6" t="s">
        <v>26</v>
      </c>
      <c r="B8" s="6" t="s">
        <v>25</v>
      </c>
      <c r="C8" s="6" t="s">
        <v>16</v>
      </c>
      <c r="D8" s="7" t="s">
        <v>42</v>
      </c>
      <c r="E8" s="8" t="s">
        <v>43</v>
      </c>
      <c r="F8" s="6" t="s">
        <v>44</v>
      </c>
      <c r="G8" s="9" t="s">
        <v>44</v>
      </c>
      <c r="H8" s="10" t="s">
        <v>16</v>
      </c>
      <c r="I8" s="11" t="s">
        <v>16</v>
      </c>
      <c r="J8" s="12"/>
    </row>
    <row r="9" spans="1:10" ht="60" customHeight="1">
      <c r="A9" s="6" t="s">
        <v>32</v>
      </c>
      <c r="B9" s="6" t="s">
        <v>45</v>
      </c>
      <c r="C9" s="6" t="s">
        <v>16</v>
      </c>
      <c r="D9" s="7" t="s">
        <v>42</v>
      </c>
      <c r="E9" s="8" t="s">
        <v>46</v>
      </c>
      <c r="F9" s="6" t="s">
        <v>47</v>
      </c>
      <c r="G9" s="9" t="s">
        <v>47</v>
      </c>
      <c r="H9" s="10" t="s">
        <v>16</v>
      </c>
      <c r="I9" s="11" t="s">
        <v>16</v>
      </c>
      <c r="J9" s="12"/>
    </row>
    <row r="10" spans="1:10" ht="60" customHeight="1">
      <c r="A10" s="6" t="s">
        <v>45</v>
      </c>
      <c r="B10" s="6" t="s">
        <v>48</v>
      </c>
      <c r="C10" s="6" t="s">
        <v>16</v>
      </c>
      <c r="D10" s="7" t="s">
        <v>42</v>
      </c>
      <c r="E10" s="8" t="s">
        <v>49</v>
      </c>
      <c r="F10" s="6" t="s">
        <v>50</v>
      </c>
      <c r="G10" s="9" t="s">
        <v>50</v>
      </c>
      <c r="H10" s="10" t="s">
        <v>16</v>
      </c>
      <c r="I10" s="11" t="s">
        <v>16</v>
      </c>
      <c r="J10" s="12"/>
    </row>
    <row r="11" spans="1:10" ht="60" customHeight="1">
      <c r="A11" s="6" t="s">
        <v>51</v>
      </c>
      <c r="B11" s="6" t="s">
        <v>17</v>
      </c>
      <c r="C11" s="6" t="s">
        <v>27</v>
      </c>
      <c r="D11" s="7" t="s">
        <v>52</v>
      </c>
      <c r="E11" s="8" t="s">
        <v>53</v>
      </c>
      <c r="F11" s="6" t="s">
        <v>54</v>
      </c>
      <c r="G11" s="9" t="s">
        <v>54</v>
      </c>
      <c r="H11" s="10" t="s">
        <v>16</v>
      </c>
      <c r="I11" s="11" t="s">
        <v>16</v>
      </c>
      <c r="J11" s="12"/>
    </row>
    <row r="12" spans="1:10" ht="60" customHeight="1">
      <c r="A12" s="6" t="s">
        <v>17</v>
      </c>
      <c r="B12" s="6" t="s">
        <v>10</v>
      </c>
      <c r="C12" s="6" t="s">
        <v>12</v>
      </c>
      <c r="D12" s="7" t="s">
        <v>55</v>
      </c>
      <c r="E12" s="8" t="s">
        <v>56</v>
      </c>
      <c r="F12" s="6" t="s">
        <v>57</v>
      </c>
      <c r="G12" s="9" t="s">
        <v>57</v>
      </c>
      <c r="H12" s="10" t="s">
        <v>16</v>
      </c>
      <c r="I12" s="11" t="s">
        <v>16</v>
      </c>
      <c r="J12" s="12"/>
    </row>
    <row r="13" spans="1:10" ht="60" customHeight="1">
      <c r="A13" s="6" t="s">
        <v>58</v>
      </c>
      <c r="B13" s="6" t="s">
        <v>10</v>
      </c>
      <c r="C13" s="6" t="s">
        <v>12</v>
      </c>
      <c r="D13" s="7" t="s">
        <v>59</v>
      </c>
      <c r="E13" s="8" t="s">
        <v>60</v>
      </c>
      <c r="F13" s="6" t="s">
        <v>61</v>
      </c>
      <c r="G13" s="9" t="s">
        <v>61</v>
      </c>
      <c r="H13" s="10" t="s">
        <v>16</v>
      </c>
      <c r="I13" s="11" t="s">
        <v>16</v>
      </c>
      <c r="J13" s="12"/>
    </row>
    <row r="14" spans="1:10" ht="60" customHeight="1">
      <c r="A14" s="6" t="s">
        <v>62</v>
      </c>
      <c r="B14" s="6" t="s">
        <v>58</v>
      </c>
      <c r="C14" s="6" t="s">
        <v>16</v>
      </c>
      <c r="D14" s="7" t="s">
        <v>63</v>
      </c>
      <c r="E14" s="8" t="s">
        <v>64</v>
      </c>
      <c r="F14" s="6" t="s">
        <v>65</v>
      </c>
      <c r="G14" s="9" t="s">
        <v>65</v>
      </c>
      <c r="H14" s="10" t="s">
        <v>16</v>
      </c>
      <c r="I14" s="11" t="s">
        <v>16</v>
      </c>
      <c r="J14" s="12"/>
    </row>
    <row r="15" spans="1:10" ht="60" customHeight="1">
      <c r="A15" s="6" t="s">
        <v>66</v>
      </c>
      <c r="B15" s="6" t="s">
        <v>45</v>
      </c>
      <c r="C15" s="6" t="s">
        <v>27</v>
      </c>
      <c r="D15" s="7" t="s">
        <v>67</v>
      </c>
      <c r="E15" s="8" t="s">
        <v>68</v>
      </c>
      <c r="F15" s="6" t="s">
        <v>69</v>
      </c>
      <c r="G15" s="9" t="s">
        <v>69</v>
      </c>
      <c r="H15" s="10" t="s">
        <v>16</v>
      </c>
      <c r="I15" s="11" t="s">
        <v>16</v>
      </c>
      <c r="J15" s="12"/>
    </row>
    <row r="16" spans="1:10" ht="60" customHeight="1">
      <c r="A16" s="6" t="s">
        <v>70</v>
      </c>
      <c r="B16" s="6" t="s">
        <v>31</v>
      </c>
      <c r="C16" s="6" t="s">
        <v>12</v>
      </c>
      <c r="D16" s="7" t="s">
        <v>71</v>
      </c>
      <c r="E16" s="8" t="s">
        <v>72</v>
      </c>
      <c r="F16" s="6" t="s">
        <v>73</v>
      </c>
      <c r="G16" s="9" t="s">
        <v>73</v>
      </c>
      <c r="H16" s="10" t="s">
        <v>16</v>
      </c>
      <c r="I16" s="11" t="s">
        <v>16</v>
      </c>
      <c r="J16" s="12"/>
    </row>
    <row r="17" spans="1:10" ht="60" customHeight="1">
      <c r="A17" s="6" t="s">
        <v>74</v>
      </c>
      <c r="B17" s="6" t="s">
        <v>21</v>
      </c>
      <c r="C17" s="6" t="s">
        <v>16</v>
      </c>
      <c r="D17" s="7" t="s">
        <v>67</v>
      </c>
      <c r="E17" s="8" t="s">
        <v>75</v>
      </c>
      <c r="F17" s="6" t="s">
        <v>76</v>
      </c>
      <c r="G17" s="9" t="s">
        <v>76</v>
      </c>
      <c r="H17" s="10" t="s">
        <v>16</v>
      </c>
      <c r="I17" s="11" t="s">
        <v>16</v>
      </c>
      <c r="J17" s="12"/>
    </row>
    <row r="18" spans="1:10" ht="60" customHeight="1">
      <c r="A18" s="6" t="s">
        <v>77</v>
      </c>
      <c r="B18" s="6" t="s">
        <v>11</v>
      </c>
      <c r="C18" s="6" t="s">
        <v>16</v>
      </c>
      <c r="D18" s="7" t="s">
        <v>78</v>
      </c>
      <c r="E18" s="8" t="s">
        <v>79</v>
      </c>
      <c r="F18" s="6" t="s">
        <v>80</v>
      </c>
      <c r="G18" s="9" t="s">
        <v>80</v>
      </c>
      <c r="H18" s="10" t="s">
        <v>16</v>
      </c>
      <c r="I18" s="11" t="s">
        <v>16</v>
      </c>
      <c r="J18" s="12"/>
    </row>
    <row r="19" spans="1:10" ht="60" customHeight="1">
      <c r="A19" s="6" t="s">
        <v>81</v>
      </c>
      <c r="B19" s="6" t="s">
        <v>11</v>
      </c>
      <c r="C19" s="6" t="s">
        <v>27</v>
      </c>
      <c r="D19" s="7" t="s">
        <v>82</v>
      </c>
      <c r="E19" s="8" t="s">
        <v>83</v>
      </c>
      <c r="F19" s="6" t="s">
        <v>84</v>
      </c>
      <c r="G19" s="9" t="s">
        <v>84</v>
      </c>
      <c r="H19" s="10" t="s">
        <v>16</v>
      </c>
      <c r="I19" s="11" t="s">
        <v>16</v>
      </c>
      <c r="J19" s="12"/>
    </row>
    <row r="20" spans="1:10" ht="60" customHeight="1">
      <c r="A20" s="6" t="s">
        <v>48</v>
      </c>
      <c r="B20" s="6" t="s">
        <v>21</v>
      </c>
      <c r="C20" s="6" t="s">
        <v>85</v>
      </c>
      <c r="D20" s="7" t="s">
        <v>86</v>
      </c>
      <c r="E20" s="8" t="s">
        <v>87</v>
      </c>
      <c r="F20" s="6" t="s">
        <v>88</v>
      </c>
      <c r="G20" s="9" t="s">
        <v>88</v>
      </c>
      <c r="H20" s="10" t="s">
        <v>16</v>
      </c>
      <c r="I20" s="11" t="s">
        <v>16</v>
      </c>
      <c r="J20" s="12"/>
    </row>
    <row r="21" spans="1:10" ht="60" customHeight="1">
      <c r="A21" s="6" t="s">
        <v>89</v>
      </c>
      <c r="B21" s="6" t="s">
        <v>25</v>
      </c>
      <c r="C21" s="6" t="s">
        <v>12</v>
      </c>
      <c r="D21" s="7" t="s">
        <v>90</v>
      </c>
      <c r="E21" s="8" t="s">
        <v>91</v>
      </c>
      <c r="F21" s="6" t="s">
        <v>92</v>
      </c>
      <c r="G21" s="9" t="s">
        <v>92</v>
      </c>
      <c r="H21" s="10" t="s">
        <v>16</v>
      </c>
      <c r="I21" s="11" t="s">
        <v>16</v>
      </c>
      <c r="J21" s="12"/>
    </row>
    <row r="22" spans="1:10" ht="60" customHeight="1">
      <c r="A22" s="6" t="s">
        <v>93</v>
      </c>
      <c r="B22" s="6" t="s">
        <v>25</v>
      </c>
      <c r="C22" s="6" t="s">
        <v>16</v>
      </c>
      <c r="D22" s="7" t="s">
        <v>94</v>
      </c>
      <c r="E22" s="8" t="s">
        <v>95</v>
      </c>
      <c r="F22" s="6" t="s">
        <v>96</v>
      </c>
      <c r="G22" s="9" t="s">
        <v>96</v>
      </c>
      <c r="H22" s="10" t="s">
        <v>16</v>
      </c>
      <c r="I22" s="11" t="s">
        <v>16</v>
      </c>
      <c r="J22" s="12"/>
    </row>
    <row r="23" spans="1:10" ht="60" customHeight="1">
      <c r="A23" s="6" t="s">
        <v>97</v>
      </c>
      <c r="B23" s="6" t="s">
        <v>21</v>
      </c>
      <c r="C23" s="6" t="s">
        <v>16</v>
      </c>
      <c r="D23" s="7" t="s">
        <v>98</v>
      </c>
      <c r="E23" s="8" t="s">
        <v>99</v>
      </c>
      <c r="F23" s="6" t="s">
        <v>100</v>
      </c>
      <c r="G23" s="9" t="s">
        <v>100</v>
      </c>
      <c r="H23" s="10" t="s">
        <v>16</v>
      </c>
      <c r="I23" s="11" t="s">
        <v>16</v>
      </c>
      <c r="J23" s="12"/>
    </row>
    <row r="24" spans="1:10" ht="60" customHeight="1">
      <c r="A24" s="6" t="s">
        <v>101</v>
      </c>
      <c r="B24" s="6" t="s">
        <v>11</v>
      </c>
      <c r="C24" s="6" t="s">
        <v>16</v>
      </c>
      <c r="D24" s="7" t="s">
        <v>78</v>
      </c>
      <c r="E24" s="8" t="s">
        <v>102</v>
      </c>
      <c r="F24" s="6" t="s">
        <v>103</v>
      </c>
      <c r="G24" s="9" t="s">
        <v>103</v>
      </c>
      <c r="H24" s="10" t="s">
        <v>16</v>
      </c>
      <c r="I24" s="11" t="s">
        <v>16</v>
      </c>
      <c r="J24" s="12"/>
    </row>
    <row r="25" spans="1:10" ht="60" customHeight="1">
      <c r="A25" s="6" t="s">
        <v>104</v>
      </c>
      <c r="B25" s="6" t="s">
        <v>17</v>
      </c>
      <c r="C25" s="6" t="s">
        <v>12</v>
      </c>
      <c r="D25" s="7" t="s">
        <v>105</v>
      </c>
      <c r="E25" s="8" t="s">
        <v>106</v>
      </c>
      <c r="F25" s="6" t="s">
        <v>107</v>
      </c>
      <c r="G25" s="9" t="s">
        <v>107</v>
      </c>
      <c r="H25" s="10" t="s">
        <v>16</v>
      </c>
      <c r="I25" s="11" t="s">
        <v>16</v>
      </c>
      <c r="J25" s="12"/>
    </row>
    <row r="26" spans="1:10" ht="60" customHeight="1">
      <c r="A26" s="6" t="s">
        <v>108</v>
      </c>
      <c r="B26" s="6" t="s">
        <v>11</v>
      </c>
      <c r="C26" s="6" t="s">
        <v>16</v>
      </c>
      <c r="D26" s="7" t="s">
        <v>109</v>
      </c>
      <c r="E26" s="8" t="s">
        <v>110</v>
      </c>
      <c r="F26" s="6" t="s">
        <v>111</v>
      </c>
      <c r="G26" s="9" t="s">
        <v>111</v>
      </c>
      <c r="H26" s="10" t="s">
        <v>16</v>
      </c>
      <c r="I26" s="11" t="s">
        <v>16</v>
      </c>
      <c r="J26" s="12"/>
    </row>
    <row r="27" spans="1:10" ht="60" customHeight="1">
      <c r="A27" s="6" t="s">
        <v>112</v>
      </c>
      <c r="B27" s="6" t="s">
        <v>21</v>
      </c>
      <c r="C27" s="6" t="s">
        <v>12</v>
      </c>
      <c r="D27" s="7" t="s">
        <v>113</v>
      </c>
      <c r="E27" s="8" t="s">
        <v>114</v>
      </c>
      <c r="F27" s="6" t="s">
        <v>115</v>
      </c>
      <c r="G27" s="9" t="s">
        <v>115</v>
      </c>
      <c r="H27" s="10" t="s">
        <v>16</v>
      </c>
      <c r="I27" s="11" t="s">
        <v>16</v>
      </c>
      <c r="J27" s="12"/>
    </row>
    <row r="28" spans="1:10" ht="60" customHeight="1">
      <c r="A28" s="6" t="s">
        <v>116</v>
      </c>
      <c r="B28" s="6" t="s">
        <v>11</v>
      </c>
      <c r="C28" s="6" t="s">
        <v>12</v>
      </c>
      <c r="D28" s="7" t="s">
        <v>117</v>
      </c>
      <c r="E28" s="8" t="s">
        <v>118</v>
      </c>
      <c r="F28" s="6" t="s">
        <v>119</v>
      </c>
      <c r="G28" s="9" t="s">
        <v>119</v>
      </c>
      <c r="H28" s="10" t="s">
        <v>16</v>
      </c>
      <c r="I28" s="11" t="s">
        <v>16</v>
      </c>
      <c r="J28" s="12"/>
    </row>
    <row r="29" spans="1:10" ht="60" customHeight="1">
      <c r="A29" s="6" t="s">
        <v>120</v>
      </c>
      <c r="B29" s="6" t="s">
        <v>11</v>
      </c>
      <c r="C29" s="6" t="s">
        <v>12</v>
      </c>
      <c r="D29" s="7" t="s">
        <v>121</v>
      </c>
      <c r="E29" s="8" t="s">
        <v>122</v>
      </c>
      <c r="F29" s="6" t="s">
        <v>123</v>
      </c>
      <c r="G29" s="9" t="s">
        <v>123</v>
      </c>
      <c r="H29" s="10" t="s">
        <v>16</v>
      </c>
      <c r="I29" s="11" t="s">
        <v>16</v>
      </c>
      <c r="J29" s="12"/>
    </row>
    <row r="30" spans="1:10" ht="60" customHeight="1">
      <c r="A30" s="6" t="s">
        <v>124</v>
      </c>
      <c r="B30" s="6" t="s">
        <v>21</v>
      </c>
      <c r="C30" s="6" t="s">
        <v>16</v>
      </c>
      <c r="D30" s="7" t="s">
        <v>125</v>
      </c>
      <c r="E30" s="8" t="s">
        <v>126</v>
      </c>
      <c r="F30" s="6" t="s">
        <v>127</v>
      </c>
      <c r="G30" s="9" t="s">
        <v>127</v>
      </c>
      <c r="H30" s="10" t="s">
        <v>16</v>
      </c>
      <c r="I30" s="11" t="s">
        <v>16</v>
      </c>
      <c r="J30" s="12"/>
    </row>
    <row r="31" spans="1:10" ht="60" customHeight="1">
      <c r="A31" s="6" t="s">
        <v>128</v>
      </c>
      <c r="B31" s="6" t="s">
        <v>74</v>
      </c>
      <c r="C31" s="6" t="s">
        <v>12</v>
      </c>
      <c r="D31" s="7" t="s">
        <v>129</v>
      </c>
      <c r="E31" s="8" t="s">
        <v>130</v>
      </c>
      <c r="F31" s="6" t="s">
        <v>131</v>
      </c>
      <c r="G31" s="9" t="s">
        <v>131</v>
      </c>
      <c r="H31" s="10" t="s">
        <v>16</v>
      </c>
      <c r="I31" s="11" t="s">
        <v>16</v>
      </c>
      <c r="J31" s="12"/>
    </row>
    <row r="32" spans="1:10" ht="60" customHeight="1">
      <c r="A32" s="6" t="s">
        <v>132</v>
      </c>
      <c r="B32" s="6" t="s">
        <v>25</v>
      </c>
      <c r="C32" s="6" t="s">
        <v>12</v>
      </c>
      <c r="D32" s="7" t="s">
        <v>133</v>
      </c>
      <c r="E32" s="8" t="s">
        <v>134</v>
      </c>
      <c r="F32" s="6" t="s">
        <v>135</v>
      </c>
      <c r="G32" s="9" t="s">
        <v>135</v>
      </c>
      <c r="H32" s="10" t="s">
        <v>16</v>
      </c>
      <c r="I32" s="11" t="s">
        <v>16</v>
      </c>
      <c r="J32" s="12"/>
    </row>
    <row r="33" spans="1:10" ht="60" customHeight="1">
      <c r="A33" s="6" t="s">
        <v>136</v>
      </c>
      <c r="B33" s="6" t="s">
        <v>21</v>
      </c>
      <c r="C33" s="6" t="s">
        <v>12</v>
      </c>
      <c r="D33" s="7" t="s">
        <v>137</v>
      </c>
      <c r="E33" s="8" t="s">
        <v>138</v>
      </c>
      <c r="F33" s="6" t="s">
        <v>139</v>
      </c>
      <c r="G33" s="9" t="s">
        <v>139</v>
      </c>
      <c r="H33" s="10" t="s">
        <v>16</v>
      </c>
      <c r="I33" s="11" t="s">
        <v>16</v>
      </c>
      <c r="J33" s="12"/>
    </row>
    <row r="34" spans="1:10" ht="60" customHeight="1">
      <c r="A34" s="6" t="s">
        <v>140</v>
      </c>
      <c r="B34" s="6" t="s">
        <v>11</v>
      </c>
      <c r="C34" s="6" t="s">
        <v>12</v>
      </c>
      <c r="D34" s="7" t="s">
        <v>141</v>
      </c>
      <c r="E34" s="8" t="s">
        <v>142</v>
      </c>
      <c r="F34" s="6" t="s">
        <v>143</v>
      </c>
      <c r="G34" s="9" t="s">
        <v>143</v>
      </c>
      <c r="H34" s="10" t="s">
        <v>16</v>
      </c>
      <c r="I34" s="11" t="s">
        <v>16</v>
      </c>
      <c r="J34" s="12"/>
    </row>
    <row r="35" spans="1:10" ht="60" customHeight="1">
      <c r="A35" s="6" t="s">
        <v>144</v>
      </c>
      <c r="B35" s="6" t="s">
        <v>11</v>
      </c>
      <c r="C35" s="6" t="s">
        <v>16</v>
      </c>
      <c r="D35" s="7" t="s">
        <v>78</v>
      </c>
      <c r="E35" s="8" t="s">
        <v>145</v>
      </c>
      <c r="F35" s="6" t="s">
        <v>146</v>
      </c>
      <c r="G35" s="9" t="s">
        <v>146</v>
      </c>
      <c r="H35" s="10" t="s">
        <v>16</v>
      </c>
      <c r="I35" s="11" t="s">
        <v>16</v>
      </c>
      <c r="J35" s="12"/>
    </row>
    <row r="36" spans="1:10" ht="60" customHeight="1">
      <c r="A36" s="6" t="s">
        <v>147</v>
      </c>
      <c r="B36" s="6" t="s">
        <v>21</v>
      </c>
      <c r="C36" s="6" t="s">
        <v>16</v>
      </c>
      <c r="D36" s="7" t="s">
        <v>148</v>
      </c>
      <c r="E36" s="8" t="s">
        <v>149</v>
      </c>
      <c r="F36" s="6" t="s">
        <v>150</v>
      </c>
      <c r="G36" s="9" t="s">
        <v>150</v>
      </c>
      <c r="H36" s="10" t="s">
        <v>16</v>
      </c>
      <c r="I36" s="11" t="s">
        <v>16</v>
      </c>
      <c r="J36" s="12"/>
    </row>
    <row r="37" spans="1:10" ht="60" customHeight="1">
      <c r="A37" s="6" t="s">
        <v>151</v>
      </c>
      <c r="B37" s="6" t="s">
        <v>11</v>
      </c>
      <c r="C37" s="6" t="s">
        <v>16</v>
      </c>
      <c r="D37" s="7" t="s">
        <v>78</v>
      </c>
      <c r="E37" s="8" t="s">
        <v>152</v>
      </c>
      <c r="F37" s="6" t="s">
        <v>153</v>
      </c>
      <c r="G37" s="9" t="s">
        <v>153</v>
      </c>
      <c r="H37" s="10" t="s">
        <v>16</v>
      </c>
      <c r="I37" s="11" t="s">
        <v>16</v>
      </c>
      <c r="J37" s="12"/>
    </row>
    <row r="38" spans="1:10" ht="60" customHeight="1">
      <c r="A38" s="6" t="s">
        <v>154</v>
      </c>
      <c r="B38" s="6" t="s">
        <v>10</v>
      </c>
      <c r="C38" s="6" t="s">
        <v>16</v>
      </c>
      <c r="D38" s="7" t="s">
        <v>155</v>
      </c>
      <c r="E38" s="8" t="s">
        <v>156</v>
      </c>
      <c r="F38" s="6" t="s">
        <v>157</v>
      </c>
      <c r="G38" s="9" t="s">
        <v>157</v>
      </c>
      <c r="H38" s="10" t="s">
        <v>16</v>
      </c>
      <c r="I38" s="11" t="s">
        <v>16</v>
      </c>
      <c r="J38" s="12"/>
    </row>
    <row r="39" spans="1:10" ht="60" customHeight="1">
      <c r="A39" s="6" t="s">
        <v>158</v>
      </c>
      <c r="B39" s="6" t="s">
        <v>10</v>
      </c>
      <c r="C39" s="6" t="s">
        <v>16</v>
      </c>
      <c r="D39" s="7" t="s">
        <v>159</v>
      </c>
      <c r="E39" s="8" t="s">
        <v>160</v>
      </c>
      <c r="F39" s="6" t="s">
        <v>161</v>
      </c>
      <c r="G39" s="9" t="s">
        <v>161</v>
      </c>
      <c r="H39" s="10" t="s">
        <v>16</v>
      </c>
      <c r="I39" s="11" t="s">
        <v>16</v>
      </c>
      <c r="J39" s="12"/>
    </row>
    <row r="40" spans="1:10" ht="60" customHeight="1">
      <c r="A40" s="6" t="s">
        <v>162</v>
      </c>
      <c r="B40" s="6" t="s">
        <v>10</v>
      </c>
      <c r="C40" s="6" t="s">
        <v>16</v>
      </c>
      <c r="D40" s="7" t="s">
        <v>155</v>
      </c>
      <c r="E40" s="8" t="s">
        <v>163</v>
      </c>
      <c r="F40" s="6" t="s">
        <v>164</v>
      </c>
      <c r="G40" s="9" t="s">
        <v>164</v>
      </c>
      <c r="H40" s="10" t="s">
        <v>16</v>
      </c>
      <c r="I40" s="11" t="s">
        <v>16</v>
      </c>
      <c r="J40" s="12"/>
    </row>
    <row r="41" spans="1:10" ht="60" customHeight="1">
      <c r="A41" s="6" t="s">
        <v>165</v>
      </c>
      <c r="B41" s="6" t="s">
        <v>10</v>
      </c>
      <c r="C41" s="6" t="s">
        <v>16</v>
      </c>
      <c r="D41" s="7" t="s">
        <v>155</v>
      </c>
      <c r="E41" s="8" t="s">
        <v>166</v>
      </c>
      <c r="F41" s="6" t="s">
        <v>167</v>
      </c>
      <c r="G41" s="9" t="s">
        <v>167</v>
      </c>
      <c r="H41" s="10" t="s">
        <v>16</v>
      </c>
      <c r="I41" s="11" t="s">
        <v>16</v>
      </c>
      <c r="J41" s="12"/>
    </row>
    <row r="42" spans="1:10" ht="60" customHeight="1">
      <c r="A42" s="6" t="s">
        <v>168</v>
      </c>
      <c r="B42" s="6" t="s">
        <v>11</v>
      </c>
      <c r="C42" s="6" t="s">
        <v>169</v>
      </c>
      <c r="D42" s="7" t="s">
        <v>170</v>
      </c>
      <c r="E42" s="8" t="s">
        <v>171</v>
      </c>
      <c r="F42" s="6" t="s">
        <v>172</v>
      </c>
      <c r="G42" s="9" t="s">
        <v>172</v>
      </c>
      <c r="H42" s="10" t="s">
        <v>16</v>
      </c>
      <c r="I42" s="11" t="s">
        <v>16</v>
      </c>
      <c r="J42" s="12"/>
    </row>
    <row r="43" spans="1:10" ht="60" customHeight="1">
      <c r="A43" s="6" t="s">
        <v>173</v>
      </c>
      <c r="B43" s="6" t="s">
        <v>37</v>
      </c>
      <c r="C43" s="6" t="s">
        <v>174</v>
      </c>
      <c r="D43" s="7" t="s">
        <v>175</v>
      </c>
      <c r="E43" s="8" t="s">
        <v>176</v>
      </c>
      <c r="F43" s="6" t="s">
        <v>177</v>
      </c>
      <c r="G43" s="9" t="s">
        <v>177</v>
      </c>
      <c r="H43" s="10" t="s">
        <v>16</v>
      </c>
      <c r="I43" s="11" t="s">
        <v>16</v>
      </c>
      <c r="J43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178</v>
      </c>
      <c r="B1" s="13" t="s">
        <v>179</v>
      </c>
      <c r="C1" s="13" t="s">
        <v>180</v>
      </c>
      <c r="D1" s="13" t="s">
        <v>181</v>
      </c>
      <c r="E1" s="14" t="s">
        <v>182</v>
      </c>
      <c r="F1" s="15" t="s">
        <v>183</v>
      </c>
      <c r="G1" s="16" t="s">
        <v>184</v>
      </c>
      <c r="H1" s="17" t="s">
        <v>185</v>
      </c>
      <c r="I1" s="18" t="s">
        <v>186</v>
      </c>
      <c r="J1" s="18" t="s">
        <v>187</v>
      </c>
      <c r="K1" s="18" t="s">
        <v>188</v>
      </c>
      <c r="L1" s="19" t="s">
        <v>9</v>
      </c>
    </row>
    <row r="2" spans="1:12">
      <c r="A2" s="20" t="s">
        <v>189</v>
      </c>
    </row>
    <row r="3" spans="1:12">
      <c r="A3" s="20" t="s">
        <v>190</v>
      </c>
      <c r="B3" s="21" t="s">
        <v>191</v>
      </c>
      <c r="C3" s="21" t="s">
        <v>192</v>
      </c>
      <c r="D3" s="21" t="s">
        <v>193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194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195</v>
      </c>
      <c r="B5" s="21" t="s">
        <v>196</v>
      </c>
      <c r="C5" s="21" t="s">
        <v>192</v>
      </c>
      <c r="D5" s="21" t="s">
        <v>193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197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198</v>
      </c>
      <c r="B7" s="21" t="s">
        <v>199</v>
      </c>
      <c r="C7" s="21" t="s">
        <v>200</v>
      </c>
      <c r="D7" s="21" t="s">
        <v>193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201</v>
      </c>
      <c r="B8" s="21" t="s">
        <v>202</v>
      </c>
      <c r="C8" s="21" t="s">
        <v>203</v>
      </c>
      <c r="D8" s="21" t="s">
        <v>193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204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197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205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206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207</v>
      </c>
      <c r="B13" s="21" t="s">
        <v>202</v>
      </c>
      <c r="C13" s="21" t="s">
        <v>208</v>
      </c>
      <c r="D13" s="21" t="s">
        <v>193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204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209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210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211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204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197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212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204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197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213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214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215</v>
      </c>
      <c r="B25" s="21" t="s">
        <v>216</v>
      </c>
      <c r="C25" s="21" t="s">
        <v>217</v>
      </c>
      <c r="D25" s="21" t="s">
        <v>193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218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/>
    </row>
    <row r="28" spans="1:12">
      <c r="A28" s="20" t="s">
        <v>219</v>
      </c>
    </row>
    <row r="29" spans="1:12">
      <c r="A29" s="20" t="s">
        <v>220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221</v>
      </c>
      <c r="B30" s="21" t="s">
        <v>191</v>
      </c>
      <c r="C30" s="21" t="s">
        <v>203</v>
      </c>
      <c r="D30" s="21" t="s">
        <v>193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222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223</v>
      </c>
      <c r="B32" s="21" t="s">
        <v>202</v>
      </c>
      <c r="C32" s="21" t="s">
        <v>208</v>
      </c>
      <c r="D32" s="21" t="s">
        <v>193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197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214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224</v>
      </c>
      <c r="B35" s="21" t="s">
        <v>202</v>
      </c>
      <c r="C35" s="21" t="s">
        <v>203</v>
      </c>
      <c r="D35" s="21" t="s">
        <v>193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222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223</v>
      </c>
      <c r="B37" s="21" t="s">
        <v>199</v>
      </c>
      <c r="C37" s="21" t="s">
        <v>208</v>
      </c>
      <c r="D37" s="21" t="s">
        <v>193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225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226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227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228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229</v>
      </c>
      <c r="B42" s="21" t="s">
        <v>230</v>
      </c>
      <c r="C42" s="21" t="s">
        <v>231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222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214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215</v>
      </c>
      <c r="B45" s="21" t="s">
        <v>230</v>
      </c>
      <c r="C45" s="21" t="s">
        <v>217</v>
      </c>
      <c r="D45" s="21" t="s">
        <v>193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204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197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227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228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232</v>
      </c>
      <c r="B50" s="21" t="s">
        <v>230</v>
      </c>
      <c r="C50" s="21" t="s">
        <v>231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222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214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233</v>
      </c>
      <c r="B53" s="21" t="s">
        <v>202</v>
      </c>
      <c r="C53" s="21" t="s">
        <v>217</v>
      </c>
      <c r="D53" s="21" t="s">
        <v>193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218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/>
    </row>
    <row r="56" spans="1:12">
      <c r="A56" s="20" t="s">
        <v>234</v>
      </c>
    </row>
    <row r="57" spans="1:12">
      <c r="A57" s="20" t="s">
        <v>235</v>
      </c>
      <c r="B57" s="21" t="s">
        <v>230</v>
      </c>
      <c r="C57" s="21" t="s">
        <v>236</v>
      </c>
      <c r="D57" s="21" t="s">
        <v>193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237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214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238</v>
      </c>
      <c r="B60" s="21" t="s">
        <v>239</v>
      </c>
      <c r="C60" s="21" t="s">
        <v>217</v>
      </c>
      <c r="D60" s="21" t="s">
        <v>193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240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241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204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197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242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214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243</v>
      </c>
      <c r="B67" s="21" t="s">
        <v>244</v>
      </c>
      <c r="C67" s="21" t="s">
        <v>217</v>
      </c>
      <c r="D67" s="21" t="s">
        <v>193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222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214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245</v>
      </c>
      <c r="B70" s="21" t="s">
        <v>246</v>
      </c>
      <c r="C70" s="21" t="s">
        <v>217</v>
      </c>
      <c r="D70" s="21" t="s">
        <v>193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247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248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249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250</v>
      </c>
      <c r="B74" s="21" t="s">
        <v>246</v>
      </c>
      <c r="C74" s="21" t="s">
        <v>200</v>
      </c>
      <c r="D74" s="21" t="s">
        <v>193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251</v>
      </c>
      <c r="B75" s="21" t="s">
        <v>199</v>
      </c>
      <c r="C75" s="21" t="s">
        <v>203</v>
      </c>
      <c r="D75" s="21" t="s">
        <v>193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218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/>
    </row>
    <row r="78" spans="1:12">
      <c r="A78" s="20" t="s">
        <v>252</v>
      </c>
    </row>
    <row r="79" spans="1:12">
      <c r="A79" s="20" t="s">
        <v>253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254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255</v>
      </c>
      <c r="B81" s="21" t="s">
        <v>191</v>
      </c>
      <c r="C81" s="21" t="s">
        <v>231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237</v>
      </c>
      <c r="B82" s="21" t="s">
        <v>244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256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225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226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257</v>
      </c>
      <c r="B86" s="21" t="s">
        <v>230</v>
      </c>
      <c r="C86" s="21" t="s">
        <v>258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259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223</v>
      </c>
      <c r="B88" s="21" t="s">
        <v>230</v>
      </c>
      <c r="C88" s="21" t="s">
        <v>208</v>
      </c>
      <c r="D88" s="21" t="s">
        <v>193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218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/>
    </row>
    <row r="91" spans="1:12">
      <c r="A91" s="20" t="s">
        <v>260</v>
      </c>
    </row>
    <row r="92" spans="1:12">
      <c r="A92" s="20" t="s">
        <v>261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214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262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263</v>
      </c>
      <c r="B95" s="21" t="s">
        <v>230</v>
      </c>
      <c r="C95" s="21" t="s">
        <v>217</v>
      </c>
      <c r="D95" s="21" t="s">
        <v>193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204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264</v>
      </c>
      <c r="B97" s="21" t="s">
        <v>191</v>
      </c>
      <c r="C97" s="21" t="s">
        <v>208</v>
      </c>
      <c r="D97" s="21" t="s">
        <v>193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265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266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22</v>
      </c>
      <c r="B100" s="21" t="s">
        <v>196</v>
      </c>
      <c r="C100" s="21" t="s">
        <v>236</v>
      </c>
      <c r="D100" s="21" t="s">
        <v>193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206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223</v>
      </c>
      <c r="B102" s="21" t="s">
        <v>230</v>
      </c>
      <c r="C102" s="21" t="s">
        <v>208</v>
      </c>
      <c r="D102" s="21" t="s">
        <v>193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218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/>
    </row>
    <row r="105" spans="1:12">
      <c r="A105" s="20" t="s">
        <v>267</v>
      </c>
    </row>
    <row r="106" spans="1:12">
      <c r="A106" s="20" t="s">
        <v>268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39</v>
      </c>
      <c r="B107" s="21" t="s">
        <v>230</v>
      </c>
      <c r="C107" s="21" t="s">
        <v>258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241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269</v>
      </c>
      <c r="B109" s="21" t="s">
        <v>202</v>
      </c>
      <c r="C109" s="21" t="s">
        <v>200</v>
      </c>
      <c r="D109" s="21" t="s">
        <v>193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270</v>
      </c>
      <c r="B110" s="21" t="s">
        <v>230</v>
      </c>
      <c r="C110" s="21" t="s">
        <v>203</v>
      </c>
      <c r="D110" s="21" t="s">
        <v>193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204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271</v>
      </c>
      <c r="B112" s="21" t="s">
        <v>239</v>
      </c>
      <c r="C112" s="21" t="s">
        <v>208</v>
      </c>
      <c r="D112" s="21" t="s">
        <v>193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272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273</v>
      </c>
      <c r="B114" s="21" t="s">
        <v>230</v>
      </c>
      <c r="C114" s="21" t="s">
        <v>258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204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223</v>
      </c>
      <c r="B116" s="21" t="s">
        <v>239</v>
      </c>
      <c r="C116" s="21" t="s">
        <v>208</v>
      </c>
      <c r="D116" s="21" t="s">
        <v>193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274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275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276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218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/>
    </row>
    <row r="122" spans="1:12">
      <c r="A122" s="20" t="s">
        <v>277</v>
      </c>
    </row>
    <row r="123" spans="1:12">
      <c r="A123" s="20" t="s">
        <v>264</v>
      </c>
      <c r="B123" s="21" t="s">
        <v>191</v>
      </c>
      <c r="C123" s="21" t="s">
        <v>208</v>
      </c>
      <c r="D123" s="21" t="s">
        <v>193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225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278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42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250</v>
      </c>
      <c r="B127" s="21" t="s">
        <v>202</v>
      </c>
      <c r="C127" s="21" t="s">
        <v>200</v>
      </c>
      <c r="D127" s="21" t="s">
        <v>193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273</v>
      </c>
      <c r="B128" s="21" t="s">
        <v>196</v>
      </c>
      <c r="C128" s="21" t="s">
        <v>203</v>
      </c>
      <c r="D128" s="21" t="s">
        <v>193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222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250</v>
      </c>
      <c r="B130" s="21" t="s">
        <v>199</v>
      </c>
      <c r="C130" s="21" t="s">
        <v>200</v>
      </c>
      <c r="D130" s="21" t="s">
        <v>193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256</v>
      </c>
      <c r="B131" s="21" t="s">
        <v>202</v>
      </c>
      <c r="C131" s="21" t="s">
        <v>203</v>
      </c>
      <c r="D131" s="21" t="s">
        <v>193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218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/>
    </row>
    <row r="134" spans="1:12">
      <c r="A134" s="20" t="s">
        <v>279</v>
      </c>
    </row>
    <row r="135" spans="1:12">
      <c r="A135" s="20" t="s">
        <v>280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214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251</v>
      </c>
      <c r="B137" s="21" t="s">
        <v>230</v>
      </c>
      <c r="C137" s="21" t="s">
        <v>217</v>
      </c>
      <c r="D137" s="21" t="s">
        <v>193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222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228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229</v>
      </c>
      <c r="B140" s="21" t="s">
        <v>202</v>
      </c>
      <c r="C140" s="21" t="s">
        <v>231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264</v>
      </c>
      <c r="B141" s="21" t="s">
        <v>191</v>
      </c>
      <c r="C141" s="21" t="s">
        <v>208</v>
      </c>
      <c r="D141" s="21" t="s">
        <v>193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225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42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271</v>
      </c>
      <c r="B144" s="21" t="s">
        <v>196</v>
      </c>
      <c r="C144" s="21" t="s">
        <v>208</v>
      </c>
      <c r="D144" s="21" t="s">
        <v>193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218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/>
    </row>
    <row r="147" spans="1:12">
      <c r="A147" s="20" t="s">
        <v>281</v>
      </c>
    </row>
    <row r="148" spans="1:12">
      <c r="A148" s="20" t="s">
        <v>280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214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251</v>
      </c>
      <c r="B150" s="21" t="s">
        <v>230</v>
      </c>
      <c r="C150" s="21" t="s">
        <v>217</v>
      </c>
      <c r="D150" s="21" t="s">
        <v>193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222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282</v>
      </c>
      <c r="B152" s="21" t="s">
        <v>202</v>
      </c>
      <c r="C152" s="21" t="s">
        <v>258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204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283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284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214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251</v>
      </c>
      <c r="B157" s="21" t="s">
        <v>230</v>
      </c>
      <c r="C157" s="21" t="s">
        <v>203</v>
      </c>
      <c r="D157" s="21" t="s">
        <v>193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222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228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282</v>
      </c>
      <c r="B160" s="21" t="s">
        <v>199</v>
      </c>
      <c r="C160" s="21" t="s">
        <v>231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285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286</v>
      </c>
      <c r="B162" s="21" t="s">
        <v>202</v>
      </c>
      <c r="C162" s="21" t="s">
        <v>203</v>
      </c>
      <c r="D162" s="21" t="s">
        <v>193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204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264</v>
      </c>
      <c r="B164" s="21" t="s">
        <v>191</v>
      </c>
      <c r="C164" s="21" t="s">
        <v>208</v>
      </c>
      <c r="D164" s="21" t="s">
        <v>193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225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42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214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270</v>
      </c>
      <c r="B168" s="21" t="s">
        <v>196</v>
      </c>
      <c r="C168" s="21" t="s">
        <v>217</v>
      </c>
      <c r="D168" s="21" t="s">
        <v>193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222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282</v>
      </c>
      <c r="B170" s="21" t="s">
        <v>202</v>
      </c>
      <c r="C170" s="21" t="s">
        <v>258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218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/>
    </row>
    <row r="173" spans="1:12">
      <c r="A173" s="20" t="s">
        <v>287</v>
      </c>
    </row>
    <row r="174" spans="1:12">
      <c r="A174" s="20" t="s">
        <v>288</v>
      </c>
      <c r="B174" s="21" t="s">
        <v>199</v>
      </c>
      <c r="C174" s="21" t="s">
        <v>289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290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282</v>
      </c>
      <c r="B176" s="21" t="s">
        <v>202</v>
      </c>
      <c r="C176" s="21" t="s">
        <v>231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285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273</v>
      </c>
      <c r="B178" s="21" t="s">
        <v>191</v>
      </c>
      <c r="C178" s="21" t="s">
        <v>203</v>
      </c>
      <c r="D178" s="21" t="s">
        <v>193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204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198</v>
      </c>
      <c r="B180" s="21" t="s">
        <v>199</v>
      </c>
      <c r="C180" s="21" t="s">
        <v>200</v>
      </c>
      <c r="D180" s="21" t="s">
        <v>193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273</v>
      </c>
      <c r="B181" s="21" t="s">
        <v>202</v>
      </c>
      <c r="C181" s="21" t="s">
        <v>203</v>
      </c>
      <c r="D181" s="21" t="s">
        <v>193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225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226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52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291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282</v>
      </c>
      <c r="B186" s="21" t="s">
        <v>230</v>
      </c>
      <c r="C186" s="21" t="s">
        <v>258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204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259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190</v>
      </c>
      <c r="B189" s="21" t="s">
        <v>244</v>
      </c>
      <c r="C189" s="21" t="s">
        <v>192</v>
      </c>
      <c r="D189" s="21" t="s">
        <v>193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292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282</v>
      </c>
      <c r="B191" s="21" t="s">
        <v>230</v>
      </c>
      <c r="C191" s="21" t="s">
        <v>258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293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198</v>
      </c>
      <c r="B193" s="21" t="s">
        <v>199</v>
      </c>
      <c r="C193" s="21" t="s">
        <v>200</v>
      </c>
      <c r="D193" s="21" t="s">
        <v>193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294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295</v>
      </c>
      <c r="B195" s="21" t="s">
        <v>202</v>
      </c>
      <c r="C195" s="21" t="s">
        <v>203</v>
      </c>
      <c r="D195" s="21" t="s">
        <v>193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218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/>
    </row>
    <row r="198" spans="1:12">
      <c r="A198" s="20" t="s">
        <v>296</v>
      </c>
    </row>
    <row r="199" spans="1:12">
      <c r="A199" s="20" t="s">
        <v>210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211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197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212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218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/>
    </row>
    <row r="205" spans="1:12">
      <c r="A205" s="20" t="s">
        <v>297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298</v>
      </c>
    </row>
    <row r="207" spans="1:12">
      <c r="A207" s="20" t="s">
        <v>299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300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301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293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214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215</v>
      </c>
      <c r="B212" s="21" t="s">
        <v>230</v>
      </c>
      <c r="C212" s="21" t="s">
        <v>217</v>
      </c>
      <c r="D212" s="21" t="s">
        <v>193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204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197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212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293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271</v>
      </c>
      <c r="B217" s="21" t="s">
        <v>230</v>
      </c>
      <c r="C217" s="21" t="s">
        <v>208</v>
      </c>
      <c r="D217" s="21" t="s">
        <v>193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218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209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/>
    </row>
    <row r="221" spans="1:12">
      <c r="A221" s="20" t="s">
        <v>302</v>
      </c>
    </row>
    <row r="222" spans="1:12">
      <c r="A222" s="20" t="s">
        <v>190</v>
      </c>
      <c r="B222" s="21" t="s">
        <v>191</v>
      </c>
      <c r="C222" s="21" t="s">
        <v>192</v>
      </c>
      <c r="D222" s="21" t="s">
        <v>193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303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206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195</v>
      </c>
      <c r="B225" s="21" t="s">
        <v>230</v>
      </c>
      <c r="C225" s="21" t="s">
        <v>192</v>
      </c>
      <c r="D225" s="21" t="s">
        <v>193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197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206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198</v>
      </c>
      <c r="B228" s="21" t="s">
        <v>199</v>
      </c>
      <c r="C228" s="21" t="s">
        <v>200</v>
      </c>
      <c r="D228" s="21" t="s">
        <v>193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201</v>
      </c>
      <c r="B229" s="21" t="s">
        <v>202</v>
      </c>
      <c r="C229" s="21" t="s">
        <v>203</v>
      </c>
      <c r="D229" s="21" t="s">
        <v>193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241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304</v>
      </c>
      <c r="B231" s="21" t="s">
        <v>230</v>
      </c>
      <c r="C231" s="21" t="s">
        <v>208</v>
      </c>
      <c r="D231" s="21" t="s">
        <v>193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204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305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204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/>
    </row>
    <row r="236" spans="1:12">
      <c r="A236" s="20" t="s">
        <v>297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306</v>
      </c>
    </row>
    <row r="238" spans="1:12">
      <c r="A238" s="20" t="s">
        <v>209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261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259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307</v>
      </c>
      <c r="B241" s="21" t="s">
        <v>230</v>
      </c>
      <c r="C241" s="21" t="s">
        <v>208</v>
      </c>
      <c r="D241" s="21" t="s">
        <v>193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204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308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204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264</v>
      </c>
      <c r="B245" s="21" t="s">
        <v>191</v>
      </c>
      <c r="C245" s="21" t="s">
        <v>208</v>
      </c>
      <c r="D245" s="21" t="s">
        <v>193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67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309</v>
      </c>
      <c r="B247" s="21" t="s">
        <v>202</v>
      </c>
      <c r="C247" s="21" t="s">
        <v>200</v>
      </c>
      <c r="D247" s="21" t="s">
        <v>193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310</v>
      </c>
      <c r="B248" s="21" t="s">
        <v>196</v>
      </c>
      <c r="C248" s="21" t="s">
        <v>203</v>
      </c>
      <c r="D248" s="21" t="s">
        <v>193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241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223</v>
      </c>
      <c r="B250" s="21" t="s">
        <v>230</v>
      </c>
      <c r="C250" s="21" t="s">
        <v>208</v>
      </c>
      <c r="D250" s="21" t="s">
        <v>193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204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197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241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250</v>
      </c>
      <c r="B254" s="21" t="s">
        <v>202</v>
      </c>
      <c r="C254" s="21" t="s">
        <v>200</v>
      </c>
      <c r="D254" s="21" t="s">
        <v>193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311</v>
      </c>
      <c r="B255" s="21" t="s">
        <v>230</v>
      </c>
      <c r="C255" s="21" t="s">
        <v>203</v>
      </c>
      <c r="D255" s="21" t="s">
        <v>193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312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223</v>
      </c>
      <c r="B257" s="21" t="s">
        <v>202</v>
      </c>
      <c r="C257" s="21" t="s">
        <v>208</v>
      </c>
      <c r="D257" s="21" t="s">
        <v>193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204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/>
    </row>
    <row r="260" spans="1:12">
      <c r="A260" s="20" t="s">
        <v>313</v>
      </c>
    </row>
    <row r="261" spans="1:12">
      <c r="A261" s="20" t="s">
        <v>197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241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228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314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71</v>
      </c>
      <c r="B265" s="21" t="s">
        <v>230</v>
      </c>
      <c r="C265" s="21" t="s">
        <v>231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237</v>
      </c>
      <c r="B266" s="21" t="s">
        <v>239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315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241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223</v>
      </c>
      <c r="B269" s="21" t="s">
        <v>230</v>
      </c>
      <c r="C269" s="21" t="s">
        <v>208</v>
      </c>
      <c r="D269" s="21" t="s">
        <v>193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316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214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317</v>
      </c>
      <c r="B272" s="21" t="s">
        <v>230</v>
      </c>
      <c r="C272" s="21" t="s">
        <v>217</v>
      </c>
      <c r="D272" s="21" t="s">
        <v>193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204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214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318</v>
      </c>
      <c r="B275" s="21" t="s">
        <v>202</v>
      </c>
      <c r="C275" s="21" t="s">
        <v>217</v>
      </c>
      <c r="D275" s="21" t="s">
        <v>193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204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197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228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229</v>
      </c>
      <c r="B279" s="21" t="s">
        <v>202</v>
      </c>
      <c r="C279" s="21" t="s">
        <v>231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222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214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215</v>
      </c>
      <c r="B282" s="21" t="s">
        <v>199</v>
      </c>
      <c r="C282" s="21" t="s">
        <v>217</v>
      </c>
      <c r="D282" s="21" t="s">
        <v>193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241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223</v>
      </c>
      <c r="B284" s="21" t="s">
        <v>246</v>
      </c>
      <c r="C284" s="21" t="s">
        <v>208</v>
      </c>
      <c r="D284" s="21" t="s">
        <v>193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204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222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242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237</v>
      </c>
      <c r="B288" s="21" t="s">
        <v>244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319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320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222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214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321</v>
      </c>
      <c r="B293" s="21" t="s">
        <v>199</v>
      </c>
      <c r="C293" s="21" t="s">
        <v>217</v>
      </c>
      <c r="D293" s="21" t="s">
        <v>193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204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283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228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229</v>
      </c>
      <c r="B297" s="21" t="s">
        <v>202</v>
      </c>
      <c r="C297" s="21" t="s">
        <v>231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222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214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215</v>
      </c>
      <c r="B300" s="21" t="s">
        <v>199</v>
      </c>
      <c r="C300" s="21" t="s">
        <v>217</v>
      </c>
      <c r="D300" s="21" t="s">
        <v>193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218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/>
    </row>
    <row r="303" spans="1:12">
      <c r="A303" s="20" t="s">
        <v>297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322</v>
      </c>
    </row>
    <row r="305" spans="1:12">
      <c r="A305" s="20" t="s">
        <v>264</v>
      </c>
      <c r="B305" s="21" t="s">
        <v>191</v>
      </c>
      <c r="C305" s="21" t="s">
        <v>208</v>
      </c>
      <c r="D305" s="21" t="s">
        <v>193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225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67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309</v>
      </c>
      <c r="B308" s="21" t="s">
        <v>202</v>
      </c>
      <c r="C308" s="21" t="s">
        <v>200</v>
      </c>
      <c r="D308" s="21" t="s">
        <v>193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310</v>
      </c>
      <c r="B309" s="21" t="s">
        <v>196</v>
      </c>
      <c r="C309" s="21" t="s">
        <v>203</v>
      </c>
      <c r="D309" s="21" t="s">
        <v>193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241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223</v>
      </c>
      <c r="B311" s="21" t="s">
        <v>230</v>
      </c>
      <c r="C311" s="21" t="s">
        <v>208</v>
      </c>
      <c r="D311" s="21" t="s">
        <v>193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316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242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39</v>
      </c>
      <c r="B314" s="21" t="s">
        <v>239</v>
      </c>
      <c r="C314" s="21" t="s">
        <v>323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225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275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226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324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325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326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327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291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214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328</v>
      </c>
      <c r="B324" s="21" t="s">
        <v>202</v>
      </c>
      <c r="C324" s="21" t="s">
        <v>217</v>
      </c>
      <c r="D324" s="21" t="s">
        <v>193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222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214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329</v>
      </c>
      <c r="B327" s="21" t="s">
        <v>199</v>
      </c>
      <c r="C327" s="21" t="s">
        <v>217</v>
      </c>
      <c r="D327" s="21" t="s">
        <v>193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204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330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225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331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332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333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226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334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329</v>
      </c>
      <c r="B336" s="21" t="s">
        <v>202</v>
      </c>
      <c r="C336" s="21" t="s">
        <v>323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206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335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214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215</v>
      </c>
      <c r="B340" s="21" t="s">
        <v>216</v>
      </c>
      <c r="C340" s="21" t="s">
        <v>217</v>
      </c>
      <c r="D340" s="21" t="s">
        <v>193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218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209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/>
    </row>
    <row r="344" spans="1:12">
      <c r="A344" s="20" t="s">
        <v>297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336</v>
      </c>
    </row>
    <row r="346" spans="1:12">
      <c r="A346" s="20" t="s">
        <v>190</v>
      </c>
      <c r="B346" s="21" t="s">
        <v>191</v>
      </c>
      <c r="C346" s="21" t="s">
        <v>192</v>
      </c>
      <c r="D346" s="21" t="s">
        <v>193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205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204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209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337</v>
      </c>
      <c r="B350" s="21" t="s">
        <v>239</v>
      </c>
      <c r="C350" s="21" t="s">
        <v>338</v>
      </c>
      <c r="D350" s="21" t="s">
        <v>193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315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214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339</v>
      </c>
      <c r="B353" s="21" t="s">
        <v>230</v>
      </c>
      <c r="C353" s="21" t="s">
        <v>217</v>
      </c>
      <c r="D353" s="21" t="s">
        <v>193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222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214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310</v>
      </c>
      <c r="B356" s="21" t="s">
        <v>202</v>
      </c>
      <c r="C356" s="21" t="s">
        <v>217</v>
      </c>
      <c r="D356" s="21" t="s">
        <v>193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340</v>
      </c>
      <c r="B357" s="21" t="s">
        <v>216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264</v>
      </c>
      <c r="B358" s="21" t="s">
        <v>341</v>
      </c>
      <c r="C358" s="21" t="s">
        <v>208</v>
      </c>
      <c r="D358" s="21" t="s">
        <v>193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342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343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307</v>
      </c>
      <c r="B361" s="21" t="s">
        <v>246</v>
      </c>
      <c r="C361" s="21" t="s">
        <v>208</v>
      </c>
      <c r="D361" s="21" t="s">
        <v>193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197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223</v>
      </c>
      <c r="B363" s="21" t="s">
        <v>344</v>
      </c>
      <c r="C363" s="21" t="s">
        <v>208</v>
      </c>
      <c r="D363" s="21" t="s">
        <v>193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197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228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314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71</v>
      </c>
      <c r="B367" s="21" t="s">
        <v>344</v>
      </c>
      <c r="C367" s="21" t="s">
        <v>231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237</v>
      </c>
      <c r="B368" s="21" t="s">
        <v>345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315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241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223</v>
      </c>
      <c r="B371" s="21" t="s">
        <v>346</v>
      </c>
      <c r="C371" s="21" t="s">
        <v>208</v>
      </c>
      <c r="D371" s="21" t="s">
        <v>193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204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259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347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348</v>
      </c>
      <c r="B375" s="21" t="s">
        <v>202</v>
      </c>
      <c r="C375" s="21" t="s">
        <v>258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316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/>
    </row>
    <row r="378" spans="1:12">
      <c r="A378" s="20" t="s">
        <v>349</v>
      </c>
    </row>
    <row r="379" spans="1:12">
      <c r="A379" s="20" t="s">
        <v>264</v>
      </c>
      <c r="B379" s="21" t="s">
        <v>191</v>
      </c>
      <c r="C379" s="21" t="s">
        <v>208</v>
      </c>
      <c r="D379" s="21" t="s">
        <v>193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82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309</v>
      </c>
      <c r="B381" s="21" t="s">
        <v>202</v>
      </c>
      <c r="C381" s="21" t="s">
        <v>200</v>
      </c>
      <c r="D381" s="21" t="s">
        <v>193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350</v>
      </c>
      <c r="B382" s="21" t="s">
        <v>196</v>
      </c>
      <c r="C382" s="21" t="s">
        <v>203</v>
      </c>
      <c r="D382" s="21" t="s">
        <v>193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293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214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351</v>
      </c>
      <c r="B385" s="21" t="s">
        <v>230</v>
      </c>
      <c r="C385" s="21" t="s">
        <v>217</v>
      </c>
      <c r="D385" s="21" t="s">
        <v>193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204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197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271</v>
      </c>
      <c r="B388" s="21" t="s">
        <v>239</v>
      </c>
      <c r="C388" s="21" t="s">
        <v>208</v>
      </c>
      <c r="D388" s="21" t="s">
        <v>193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225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226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259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334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352</v>
      </c>
      <c r="B393" s="21" t="s">
        <v>230</v>
      </c>
      <c r="C393" s="21" t="s">
        <v>323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222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334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310</v>
      </c>
      <c r="B396" s="21" t="s">
        <v>202</v>
      </c>
      <c r="C396" s="21" t="s">
        <v>323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343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307</v>
      </c>
      <c r="B398" s="21" t="s">
        <v>199</v>
      </c>
      <c r="C398" s="21" t="s">
        <v>208</v>
      </c>
      <c r="D398" s="21" t="s">
        <v>193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197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214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215</v>
      </c>
      <c r="B401" s="21" t="s">
        <v>246</v>
      </c>
      <c r="C401" s="21" t="s">
        <v>217</v>
      </c>
      <c r="D401" s="21" t="s">
        <v>193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218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/>
    </row>
    <row r="404" spans="1:12">
      <c r="A404" s="20" t="s">
        <v>353</v>
      </c>
    </row>
    <row r="405" spans="1:12">
      <c r="A405" s="20" t="s">
        <v>354</v>
      </c>
      <c r="B405" s="21" t="s">
        <v>191</v>
      </c>
      <c r="C405" s="21" t="s">
        <v>208</v>
      </c>
      <c r="D405" s="21" t="s">
        <v>193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225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86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204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355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264</v>
      </c>
      <c r="B410" s="21" t="s">
        <v>239</v>
      </c>
      <c r="C410" s="21" t="s">
        <v>208</v>
      </c>
      <c r="D410" s="21" t="s">
        <v>193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59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334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351</v>
      </c>
      <c r="B413" s="21" t="s">
        <v>356</v>
      </c>
      <c r="C413" s="21" t="s">
        <v>323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357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214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215</v>
      </c>
      <c r="B416" s="21" t="s">
        <v>202</v>
      </c>
      <c r="C416" s="21" t="s">
        <v>217</v>
      </c>
      <c r="D416" s="21" t="s">
        <v>193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204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237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214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350</v>
      </c>
      <c r="B420" s="21" t="s">
        <v>244</v>
      </c>
      <c r="C420" s="21" t="s">
        <v>217</v>
      </c>
      <c r="D420" s="21" t="s">
        <v>193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225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226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358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293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214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351</v>
      </c>
      <c r="B426" s="21" t="s">
        <v>199</v>
      </c>
      <c r="C426" s="21" t="s">
        <v>217</v>
      </c>
      <c r="D426" s="21" t="s">
        <v>193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204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/>
    </row>
    <row r="429" spans="1:12">
      <c r="A429" s="20" t="s">
        <v>359</v>
      </c>
    </row>
    <row r="430" spans="1:12">
      <c r="A430" s="20" t="s">
        <v>197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264</v>
      </c>
      <c r="B431" s="21" t="s">
        <v>191</v>
      </c>
      <c r="C431" s="21" t="s">
        <v>208</v>
      </c>
      <c r="D431" s="21" t="s">
        <v>193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225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90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309</v>
      </c>
      <c r="B434" s="21" t="s">
        <v>202</v>
      </c>
      <c r="C434" s="21" t="s">
        <v>200</v>
      </c>
      <c r="D434" s="21" t="s">
        <v>193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310</v>
      </c>
      <c r="B435" s="21" t="s">
        <v>196</v>
      </c>
      <c r="C435" s="21" t="s">
        <v>203</v>
      </c>
      <c r="D435" s="21" t="s">
        <v>193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204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340</v>
      </c>
      <c r="B437" s="21" t="s">
        <v>244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315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343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307</v>
      </c>
      <c r="B440" s="21" t="s">
        <v>202</v>
      </c>
      <c r="C440" s="21" t="s">
        <v>208</v>
      </c>
      <c r="D440" s="21" t="s">
        <v>193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197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223</v>
      </c>
      <c r="B442" s="21" t="s">
        <v>199</v>
      </c>
      <c r="C442" s="21" t="s">
        <v>208</v>
      </c>
      <c r="D442" s="21" t="s">
        <v>193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197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228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314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71</v>
      </c>
      <c r="B446" s="21" t="s">
        <v>246</v>
      </c>
      <c r="C446" s="21" t="s">
        <v>231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222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242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39</v>
      </c>
      <c r="B449" s="21" t="s">
        <v>344</v>
      </c>
      <c r="C449" s="21" t="s">
        <v>323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204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197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214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328</v>
      </c>
      <c r="B453" s="21" t="s">
        <v>239</v>
      </c>
      <c r="C453" s="21" t="s">
        <v>217</v>
      </c>
      <c r="D453" s="21" t="s">
        <v>193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225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360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327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361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334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329</v>
      </c>
      <c r="B459" s="21" t="s">
        <v>356</v>
      </c>
      <c r="C459" s="21" t="s">
        <v>323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206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335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242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39</v>
      </c>
      <c r="B463" s="21" t="s">
        <v>216</v>
      </c>
      <c r="C463" s="21" t="s">
        <v>323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218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/>
    </row>
    <row r="466" spans="1:12">
      <c r="A466" s="20" t="s">
        <v>362</v>
      </c>
    </row>
    <row r="467" spans="1:12">
      <c r="A467" s="20" t="s">
        <v>220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350</v>
      </c>
      <c r="B468" s="21" t="s">
        <v>191</v>
      </c>
      <c r="C468" s="21" t="s">
        <v>217</v>
      </c>
      <c r="D468" s="21" t="s">
        <v>193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225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226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293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214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351</v>
      </c>
      <c r="B473" s="21" t="s">
        <v>230</v>
      </c>
      <c r="C473" s="21" t="s">
        <v>217</v>
      </c>
      <c r="D473" s="21" t="s">
        <v>193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218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/>
    </row>
    <row r="476" spans="1:12">
      <c r="A476" s="20" t="s">
        <v>297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363</v>
      </c>
    </row>
    <row r="478" spans="1:12">
      <c r="A478" s="20" t="s">
        <v>264</v>
      </c>
      <c r="B478" s="21" t="s">
        <v>191</v>
      </c>
      <c r="C478" s="21" t="s">
        <v>208</v>
      </c>
      <c r="D478" s="21" t="s">
        <v>193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225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98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284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271</v>
      </c>
      <c r="B482" s="21" t="s">
        <v>230</v>
      </c>
      <c r="C482" s="21" t="s">
        <v>208</v>
      </c>
      <c r="D482" s="21" t="s">
        <v>193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204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237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264</v>
      </c>
      <c r="B485" s="21" t="s">
        <v>239</v>
      </c>
      <c r="C485" s="21" t="s">
        <v>208</v>
      </c>
      <c r="D485" s="21" t="s">
        <v>193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159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90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214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364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310</v>
      </c>
      <c r="B490" s="21" t="s">
        <v>356</v>
      </c>
      <c r="C490" s="21" t="s">
        <v>217</v>
      </c>
      <c r="D490" s="21" t="s">
        <v>193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343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190</v>
      </c>
      <c r="B492" s="21" t="s">
        <v>199</v>
      </c>
      <c r="C492" s="21" t="s">
        <v>192</v>
      </c>
      <c r="D492" s="21" t="s">
        <v>193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197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228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314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71</v>
      </c>
      <c r="B496" s="21" t="s">
        <v>246</v>
      </c>
      <c r="C496" s="21" t="s">
        <v>231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222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242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39</v>
      </c>
      <c r="B499" s="21" t="s">
        <v>344</v>
      </c>
      <c r="C499" s="21" t="s">
        <v>323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237</v>
      </c>
      <c r="B500" s="21" t="s">
        <v>345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315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227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214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215</v>
      </c>
      <c r="B504" s="21" t="s">
        <v>346</v>
      </c>
      <c r="C504" s="21" t="s">
        <v>217</v>
      </c>
      <c r="D504" s="21" t="s">
        <v>193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218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209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/>
    </row>
    <row r="508" spans="1:12">
      <c r="A508" s="20" t="s">
        <v>297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365</v>
      </c>
    </row>
    <row r="510" spans="1:12">
      <c r="A510" s="20" t="s">
        <v>190</v>
      </c>
      <c r="B510" s="21" t="s">
        <v>191</v>
      </c>
      <c r="C510" s="21" t="s">
        <v>192</v>
      </c>
      <c r="D510" s="21" t="s">
        <v>193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205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206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195</v>
      </c>
      <c r="B513" s="21" t="s">
        <v>230</v>
      </c>
      <c r="C513" s="21" t="s">
        <v>192</v>
      </c>
      <c r="D513" s="21" t="s">
        <v>193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204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209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337</v>
      </c>
      <c r="B516" s="21" t="s">
        <v>239</v>
      </c>
      <c r="C516" s="21" t="s">
        <v>338</v>
      </c>
      <c r="D516" s="21" t="s">
        <v>193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315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214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339</v>
      </c>
      <c r="B519" s="21" t="s">
        <v>230</v>
      </c>
      <c r="C519" s="21" t="s">
        <v>217</v>
      </c>
      <c r="D519" s="21" t="s">
        <v>193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222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214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310</v>
      </c>
      <c r="B522" s="21" t="s">
        <v>202</v>
      </c>
      <c r="C522" s="21" t="s">
        <v>217</v>
      </c>
      <c r="D522" s="21" t="s">
        <v>193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340</v>
      </c>
      <c r="B523" s="21" t="s">
        <v>216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264</v>
      </c>
      <c r="B524" s="21" t="s">
        <v>341</v>
      </c>
      <c r="C524" s="21" t="s">
        <v>208</v>
      </c>
      <c r="D524" s="21" t="s">
        <v>193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265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366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343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307</v>
      </c>
      <c r="B528" s="21" t="s">
        <v>246</v>
      </c>
      <c r="C528" s="21" t="s">
        <v>208</v>
      </c>
      <c r="D528" s="21" t="s">
        <v>193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197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242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39</v>
      </c>
      <c r="B531" s="21" t="s">
        <v>344</v>
      </c>
      <c r="C531" s="21" t="s">
        <v>323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237</v>
      </c>
      <c r="B532" s="21" t="s">
        <v>345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315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227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214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215</v>
      </c>
      <c r="B536" s="21" t="s">
        <v>346</v>
      </c>
      <c r="C536" s="21" t="s">
        <v>217</v>
      </c>
      <c r="D536" s="21" t="s">
        <v>193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218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209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/>
    </row>
    <row r="540" spans="1:12">
      <c r="A540" s="20" t="s">
        <v>367</v>
      </c>
    </row>
    <row r="541" spans="1:12">
      <c r="A541" s="20" t="s">
        <v>220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201</v>
      </c>
      <c r="B542" s="21" t="s">
        <v>191</v>
      </c>
      <c r="C542" s="21" t="s">
        <v>203</v>
      </c>
      <c r="D542" s="21" t="s">
        <v>193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222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195</v>
      </c>
      <c r="B544" s="21" t="s">
        <v>202</v>
      </c>
      <c r="C544" s="21" t="s">
        <v>192</v>
      </c>
      <c r="D544" s="21" t="s">
        <v>193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368</v>
      </c>
      <c r="B545" s="21" t="s">
        <v>244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369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300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370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214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321</v>
      </c>
      <c r="B550" s="21" t="s">
        <v>199</v>
      </c>
      <c r="C550" s="21" t="s">
        <v>217</v>
      </c>
      <c r="D550" s="21" t="s">
        <v>193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371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372</v>
      </c>
      <c r="B552" s="21" t="s">
        <v>230</v>
      </c>
      <c r="C552" s="21" t="s">
        <v>192</v>
      </c>
      <c r="D552" s="21" t="s">
        <v>193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204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373</v>
      </c>
      <c r="B554" s="21" t="s">
        <v>230</v>
      </c>
      <c r="C554" s="21" t="s">
        <v>192</v>
      </c>
      <c r="D554" s="21" t="s">
        <v>193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204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197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374</v>
      </c>
      <c r="B557" s="21" t="s">
        <v>230</v>
      </c>
      <c r="C557" s="21" t="s">
        <v>192</v>
      </c>
      <c r="D557" s="21" t="s">
        <v>193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218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/>
    </row>
    <row r="560" spans="1:12">
      <c r="A560" s="20" t="s">
        <v>375</v>
      </c>
    </row>
    <row r="561" spans="1:12">
      <c r="A561" s="20" t="s">
        <v>373</v>
      </c>
      <c r="B561" s="21" t="s">
        <v>191</v>
      </c>
      <c r="C561" s="21" t="s">
        <v>192</v>
      </c>
      <c r="D561" s="21" t="s">
        <v>193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315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214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376</v>
      </c>
      <c r="B564" s="21" t="s">
        <v>230</v>
      </c>
      <c r="C564" s="21" t="s">
        <v>203</v>
      </c>
      <c r="D564" s="21" t="s">
        <v>193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222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377</v>
      </c>
      <c r="B566" s="21" t="s">
        <v>230</v>
      </c>
      <c r="C566" s="21" t="s">
        <v>192</v>
      </c>
      <c r="D566" s="21" t="s">
        <v>193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218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/>
    </row>
    <row r="569" spans="1:12">
      <c r="A569" s="20" t="s">
        <v>378</v>
      </c>
    </row>
    <row r="570" spans="1:12">
      <c r="A570" s="20" t="s">
        <v>379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380</v>
      </c>
      <c r="B571" s="21" t="s">
        <v>191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371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214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201</v>
      </c>
      <c r="B574" s="21" t="s">
        <v>230</v>
      </c>
      <c r="C574" s="21" t="s">
        <v>203</v>
      </c>
      <c r="D574" s="21" t="s">
        <v>193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222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195</v>
      </c>
      <c r="B576" s="21" t="s">
        <v>230</v>
      </c>
      <c r="C576" s="21" t="s">
        <v>192</v>
      </c>
      <c r="D576" s="21" t="s">
        <v>193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204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197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370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381</v>
      </c>
      <c r="B580" s="21" t="s">
        <v>202</v>
      </c>
      <c r="C580" s="21" t="s">
        <v>338</v>
      </c>
      <c r="D580" s="21" t="s">
        <v>193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204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214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382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215</v>
      </c>
      <c r="B584" s="21" t="s">
        <v>239</v>
      </c>
      <c r="C584" s="21" t="s">
        <v>217</v>
      </c>
      <c r="D584" s="21" t="s">
        <v>193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383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384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218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/>
    </row>
    <row r="589" spans="1:12">
      <c r="A589" s="20" t="s">
        <v>385</v>
      </c>
    </row>
    <row r="590" spans="1:12">
      <c r="A590" s="20" t="s">
        <v>195</v>
      </c>
      <c r="B590" s="21" t="s">
        <v>191</v>
      </c>
      <c r="C590" s="21" t="s">
        <v>192</v>
      </c>
      <c r="D590" s="21" t="s">
        <v>193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386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206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226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334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387</v>
      </c>
      <c r="B595" s="21" t="s">
        <v>230</v>
      </c>
      <c r="C595" s="21" t="s">
        <v>323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204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197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388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334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389</v>
      </c>
      <c r="B600" s="21" t="s">
        <v>356</v>
      </c>
      <c r="C600" s="21" t="s">
        <v>323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218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/>
    </row>
    <row r="603" spans="1:12">
      <c r="A603" s="20" t="s">
        <v>390</v>
      </c>
    </row>
    <row r="604" spans="1:12">
      <c r="A604" s="20" t="s">
        <v>391</v>
      </c>
      <c r="B604" s="21" t="s">
        <v>230</v>
      </c>
      <c r="C604" s="21" t="s">
        <v>200</v>
      </c>
      <c r="D604" s="21" t="s">
        <v>193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121</v>
      </c>
      <c r="B605" s="21" t="s">
        <v>230</v>
      </c>
      <c r="C605" s="21" t="s">
        <v>203</v>
      </c>
      <c r="D605" s="21" t="s">
        <v>193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222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214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392</v>
      </c>
      <c r="B608" s="21" t="s">
        <v>230</v>
      </c>
      <c r="C608" s="21" t="s">
        <v>217</v>
      </c>
      <c r="D608" s="21" t="s">
        <v>193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197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393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394</v>
      </c>
      <c r="B611" s="21" t="s">
        <v>356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218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/>
    </row>
    <row r="614" spans="1:12">
      <c r="A614" s="20" t="s">
        <v>395</v>
      </c>
    </row>
    <row r="615" spans="1:12">
      <c r="A615" s="20" t="s">
        <v>391</v>
      </c>
      <c r="B615" s="21" t="s">
        <v>191</v>
      </c>
      <c r="C615" s="21" t="s">
        <v>208</v>
      </c>
      <c r="D615" s="21" t="s">
        <v>193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383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125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396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198</v>
      </c>
      <c r="B619" s="21" t="s">
        <v>202</v>
      </c>
      <c r="C619" s="21" t="s">
        <v>200</v>
      </c>
      <c r="D619" s="21" t="s">
        <v>193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397</v>
      </c>
      <c r="B620" s="21" t="s">
        <v>230</v>
      </c>
      <c r="C620" s="21" t="s">
        <v>203</v>
      </c>
      <c r="D620" s="21" t="s">
        <v>193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218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/>
    </row>
    <row r="623" spans="1:12">
      <c r="A623" s="20" t="s">
        <v>398</v>
      </c>
    </row>
    <row r="624" spans="1:12">
      <c r="A624" s="20" t="s">
        <v>373</v>
      </c>
      <c r="B624" s="21" t="s">
        <v>191</v>
      </c>
      <c r="C624" s="21" t="s">
        <v>192</v>
      </c>
      <c r="D624" s="21" t="s">
        <v>193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204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214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376</v>
      </c>
      <c r="B627" s="21" t="s">
        <v>202</v>
      </c>
      <c r="C627" s="21" t="s">
        <v>203</v>
      </c>
      <c r="D627" s="21" t="s">
        <v>193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 t="s">
        <v>222</v>
      </c>
      <c r="E628" s="22">
        <f>IF(D628="?OLD","!!!","")</f>
        <v/>
      </c>
      <c r="F628" s="23" t="str">
        <f>IF(OR(E628="",E628="!!!"),"",IF(NOT(ISNA(VLOOKUP(E628,E$1:E627,1,FALSE()))),"OLD",IF(AND(E628&lt;&gt;"",E628&lt;&gt;"!!!"),"NEW","")))</f>
        <v> </v>
      </c>
      <c r="G628" s="24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5" t="str">
        <f>IF(J628&lt;&gt;1,"",IF(I628="SBJ","CB","?"))</f>
        <v> </v>
      </c>
      <c r="I628" s="26" t="str">
        <f>IF(OR(E628="",E628="!!!",F628="NEW"),"",INDEX(B627:B$2,-1+SUMPRODUCT(MAX(ROW(E627:E$2)*(E628=E627:E$2)))))</f>
        <v> </v>
      </c>
      <c r="J628" s="26" t="str">
        <f>IF(OR(E628="",E628="!!!",F628="NEW"),"",COUNTBLANK(OFFSET(A$1,,,SUMPRODUCT(MAX(ROW(E$2:E628)*(E628=E$2:E628)))))-COUNTBLANK(OFFSET(A$1,,,SUMPRODUCT(MAX(ROW(E$1:E627)*(E2=E$1:E627))))))</f>
        <v> </v>
      </c>
      <c r="K628" s="26" t="str">
        <f>IF(OR(E628="",E628="!!!",F628="NEW"),"",INDEX(J$1:J627,SUMPRODUCT(MAX(ROW(E$1:E627)*(E628=E$1:E627)))))</f>
        <v> </v>
      </c>
      <c r="L628" s="27"/>
    </row>
    <row r="629" spans="1:12">
      <c r="A629" s="20" t="s">
        <v>377</v>
      </c>
      <c r="B629" s="21" t="s">
        <v>199</v>
      </c>
      <c r="C629" s="21" t="s">
        <v>192</v>
      </c>
      <c r="D629" s="21" t="s">
        <v>193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204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399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214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400</v>
      </c>
      <c r="B633" s="21" t="s">
        <v>196</v>
      </c>
      <c r="C633" s="21" t="s">
        <v>203</v>
      </c>
      <c r="D633" s="21" t="s">
        <v>193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222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198</v>
      </c>
      <c r="B635" s="21" t="s">
        <v>199</v>
      </c>
      <c r="C635" s="21" t="s">
        <v>200</v>
      </c>
      <c r="D635" s="21" t="s">
        <v>193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376</v>
      </c>
      <c r="B636" s="21" t="s">
        <v>202</v>
      </c>
      <c r="C636" s="21" t="s">
        <v>203</v>
      </c>
      <c r="D636" s="21" t="s">
        <v>193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204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197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401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198</v>
      </c>
      <c r="B640" s="21" t="s">
        <v>199</v>
      </c>
      <c r="C640" s="21" t="s">
        <v>200</v>
      </c>
      <c r="D640" s="21" t="s">
        <v>193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402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403</v>
      </c>
      <c r="B642" s="21" t="s">
        <v>356</v>
      </c>
      <c r="C642" s="21" t="s">
        <v>203</v>
      </c>
      <c r="D642" s="21" t="s">
        <v>193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404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218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/>
    </row>
    <row r="646" spans="1:12">
      <c r="A646" s="20" t="s">
        <v>405</v>
      </c>
    </row>
    <row r="647" spans="1:12">
      <c r="A647" s="20" t="s">
        <v>372</v>
      </c>
      <c r="B647" s="21" t="s">
        <v>191</v>
      </c>
      <c r="C647" s="21" t="s">
        <v>192</v>
      </c>
      <c r="D647" s="21" t="s">
        <v>193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197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 t="s">
        <v>374</v>
      </c>
      <c r="B649" s="21" t="s">
        <v>202</v>
      </c>
      <c r="C649" s="21" t="s">
        <v>192</v>
      </c>
      <c r="D649" s="21" t="s">
        <v>193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406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 t="s">
        <v>334</v>
      </c>
      <c r="E651" s="22">
        <f>IF(D651="?OLD","!!!","")</f>
        <v/>
      </c>
      <c r="F651" s="23" t="str">
        <f>IF(OR(E651="",E651="!!!"),"",IF(NOT(ISNA(VLOOKUP(E651,E$1:E650,1,FALSE()))),"OLD",IF(AND(E651&lt;&gt;"",E651&lt;&gt;"!!!"),"NEW","")))</f>
        <v> </v>
      </c>
      <c r="G651" s="24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5" t="str">
        <f>IF(J651&lt;&gt;1,"",IF(I651="SBJ","CB","?"))</f>
        <v> </v>
      </c>
      <c r="I651" s="26" t="str">
        <f>IF(OR(E651="",E651="!!!",F651="NEW"),"",INDEX(B650:B$2,-1+SUMPRODUCT(MAX(ROW(E650:E$2)*(E651=E650:E$2)))))</f>
        <v> </v>
      </c>
      <c r="J651" s="26" t="str">
        <f>IF(OR(E651="",E651="!!!",F651="NEW"),"",COUNTBLANK(OFFSET(A$1,,,SUMPRODUCT(MAX(ROW(E$2:E651)*(E651=E$2:E651)))))-COUNTBLANK(OFFSET(A$1,,,SUMPRODUCT(MAX(ROW(E$1:E650)*(E2=E$1:E650))))))</f>
        <v> </v>
      </c>
      <c r="K651" s="26" t="str">
        <f>IF(OR(E651="",E651="!!!",F651="NEW"),"",INDEX(J$1:J650,SUMPRODUCT(MAX(ROW(E$1:E650)*(E651=E$1:E650)))))</f>
        <v> </v>
      </c>
      <c r="L651" s="27"/>
    </row>
    <row r="652" spans="1:12">
      <c r="A652" s="20" t="s">
        <v>407</v>
      </c>
      <c r="B652" s="21" t="s">
        <v>196</v>
      </c>
      <c r="C652" s="21" t="s">
        <v>323</v>
      </c>
      <c r="E652" s="22">
        <f>IF(D652="?OLD","!!!","")</f>
        <v/>
      </c>
      <c r="F652" s="23" t="str">
        <f>IF(OR(E652="",E652="!!!"),"",IF(NOT(ISNA(VLOOKUP(E652,E$1:E651,1,FALSE()))),"OLD",IF(AND(E652&lt;&gt;"",E652&lt;&gt;"!!!"),"NEW","")))</f>
        <v> </v>
      </c>
      <c r="G652" s="24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5" t="str">
        <f>IF(J652&lt;&gt;1,"",IF(I652="SBJ","CB","?"))</f>
        <v> </v>
      </c>
      <c r="I652" s="26" t="str">
        <f>IF(OR(E652="",E652="!!!",F652="NEW"),"",INDEX(B651:B$2,-1+SUMPRODUCT(MAX(ROW(E651:E$2)*(E652=E651:E$2)))))</f>
        <v> </v>
      </c>
      <c r="J652" s="26" t="str">
        <f>IF(OR(E652="",E652="!!!",F652="NEW"),"",COUNTBLANK(OFFSET(A$1,,,SUMPRODUCT(MAX(ROW(E$2:E652)*(E652=E$2:E652)))))-COUNTBLANK(OFFSET(A$1,,,SUMPRODUCT(MAX(ROW(E$1:E651)*(E2=E$1:E651))))))</f>
        <v> </v>
      </c>
      <c r="K652" s="26" t="str">
        <f>IF(OR(E652="",E652="!!!",F652="NEW"),"",INDEX(J$1:J651,SUMPRODUCT(MAX(ROW(E$1:E651)*(E652=E$1:E651)))))</f>
        <v> </v>
      </c>
      <c r="L652" s="27"/>
    </row>
    <row r="653" spans="1:12">
      <c r="A653" s="20" t="s">
        <v>204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197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408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271</v>
      </c>
      <c r="B656" s="21" t="s">
        <v>356</v>
      </c>
      <c r="C656" s="21" t="s">
        <v>208</v>
      </c>
      <c r="D656" s="21" t="s">
        <v>193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227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 t="s">
        <v>409</v>
      </c>
      <c r="E658" s="22">
        <f>IF(D658="?OLD","!!!","")</f>
        <v/>
      </c>
      <c r="F658" s="23" t="str">
        <f>IF(OR(E658="",E658="!!!"),"",IF(NOT(ISNA(VLOOKUP(E658,E$1:E657,1,FALSE()))),"OLD",IF(AND(E658&lt;&gt;"",E658&lt;&gt;"!!!"),"NEW","")))</f>
        <v> </v>
      </c>
      <c r="G658" s="24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5" t="str">
        <f>IF(J658&lt;&gt;1,"",IF(I658="SBJ","CB","?"))</f>
        <v> </v>
      </c>
      <c r="I658" s="26" t="str">
        <f>IF(OR(E658="",E658="!!!",F658="NEW"),"",INDEX(B657:B$2,-1+SUMPRODUCT(MAX(ROW(E657:E$2)*(E658=E657:E$2)))))</f>
        <v> </v>
      </c>
      <c r="J658" s="26" t="str">
        <f>IF(OR(E658="",E658="!!!",F658="NEW"),"",COUNTBLANK(OFFSET(A$1,,,SUMPRODUCT(MAX(ROW(E$2:E658)*(E658=E$2:E658)))))-COUNTBLANK(OFFSET(A$1,,,SUMPRODUCT(MAX(ROW(E$1:E657)*(E2=E$1:E657))))))</f>
        <v> </v>
      </c>
      <c r="K658" s="26" t="str">
        <f>IF(OR(E658="",E658="!!!",F658="NEW"),"",INDEX(J$1:J657,SUMPRODUCT(MAX(ROW(E$1:E657)*(E658=E$1:E657)))))</f>
        <v> </v>
      </c>
      <c r="L658" s="27"/>
    </row>
    <row r="659" spans="1:12">
      <c r="A659" s="20" t="s">
        <v>410</v>
      </c>
      <c r="B659" s="21" t="s">
        <v>246</v>
      </c>
      <c r="C659" s="21" t="s">
        <v>200</v>
      </c>
      <c r="D659" s="21" t="s">
        <v>193</v>
      </c>
      <c r="E659" s="22">
        <f>IF(D659="?OLD","!!!","")</f>
        <v/>
      </c>
      <c r="F659" s="23" t="str">
        <f>IF(OR(E659="",E659="!!!"),"",IF(NOT(ISNA(VLOOKUP(E659,E$1:E658,1,FALSE()))),"OLD",IF(AND(E659&lt;&gt;"",E659&lt;&gt;"!!!"),"NEW","")))</f>
        <v> </v>
      </c>
      <c r="G659" s="24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5" t="str">
        <f>IF(J659&lt;&gt;1,"",IF(I659="SBJ","CB","?"))</f>
        <v> </v>
      </c>
      <c r="I659" s="26" t="str">
        <f>IF(OR(E659="",E659="!!!",F659="NEW"),"",INDEX(B658:B$2,-1+SUMPRODUCT(MAX(ROW(E658:E$2)*(E659=E658:E$2)))))</f>
        <v> </v>
      </c>
      <c r="J659" s="26" t="str">
        <f>IF(OR(E659="",E659="!!!",F659="NEW"),"",COUNTBLANK(OFFSET(A$1,,,SUMPRODUCT(MAX(ROW(E$2:E659)*(E659=E$2:E659)))))-COUNTBLANK(OFFSET(A$1,,,SUMPRODUCT(MAX(ROW(E$1:E658)*(E2=E$1:E658))))))</f>
        <v> </v>
      </c>
      <c r="K659" s="26" t="str">
        <f>IF(OR(E659="",E659="!!!",F659="NEW"),"",INDEX(J$1:J658,SUMPRODUCT(MAX(ROW(E$1:E658)*(E659=E$1:E658)))))</f>
        <v> </v>
      </c>
      <c r="L659" s="27"/>
    </row>
    <row r="660" spans="1:12">
      <c r="A660" s="20" t="s">
        <v>411</v>
      </c>
      <c r="B660" s="21" t="s">
        <v>244</v>
      </c>
      <c r="C660" s="21" t="s">
        <v>203</v>
      </c>
      <c r="D660" s="21" t="s">
        <v>193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204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 t="s">
        <v>369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 t="s">
        <v>293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412</v>
      </c>
      <c r="B664" s="21" t="s">
        <v>199</v>
      </c>
      <c r="C664" s="21" t="s">
        <v>258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 t="s">
        <v>204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197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413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214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400</v>
      </c>
      <c r="B669" s="21" t="s">
        <v>356</v>
      </c>
      <c r="C669" s="21" t="s">
        <v>203</v>
      </c>
      <c r="D669" s="21" t="s">
        <v>193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 t="s">
        <v>222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 t="s">
        <v>410</v>
      </c>
      <c r="B671" s="21" t="s">
        <v>246</v>
      </c>
      <c r="C671" s="21" t="s">
        <v>200</v>
      </c>
      <c r="D671" s="21" t="s">
        <v>193</v>
      </c>
      <c r="E671" s="22">
        <f>IF(D671="?OLD","!!!","")</f>
        <v/>
      </c>
      <c r="F671" s="23" t="str">
        <f>IF(OR(E671="",E671="!!!"),"",IF(NOT(ISNA(VLOOKUP(E671,E$1:E670,1,FALSE()))),"OLD",IF(AND(E671&lt;&gt;"",E671&lt;&gt;"!!!"),"NEW","")))</f>
        <v> </v>
      </c>
      <c r="G671" s="24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5" t="str">
        <f>IF(J671&lt;&gt;1,"",IF(I671="SBJ","CB","?"))</f>
        <v> </v>
      </c>
      <c r="I671" s="26" t="str">
        <f>IF(OR(E671="",E671="!!!",F671="NEW"),"",INDEX(B670:B$2,-1+SUMPRODUCT(MAX(ROW(E670:E$2)*(E671=E670:E$2)))))</f>
        <v> </v>
      </c>
      <c r="J671" s="26" t="str">
        <f>IF(OR(E671="",E671="!!!",F671="NEW"),"",COUNTBLANK(OFFSET(A$1,,,SUMPRODUCT(MAX(ROW(E$2:E671)*(E671=E$2:E671)))))-COUNTBLANK(OFFSET(A$1,,,SUMPRODUCT(MAX(ROW(E$1:E670)*(E2=E$1:E670))))))</f>
        <v> </v>
      </c>
      <c r="K671" s="26" t="str">
        <f>IF(OR(E671="",E671="!!!",F671="NEW"),"",INDEX(J$1:J670,SUMPRODUCT(MAX(ROW(E$1:E670)*(E671=E$1:E670)))))</f>
        <v> </v>
      </c>
      <c r="L671" s="27"/>
    </row>
    <row r="672" spans="1:12">
      <c r="A672" s="20" t="s">
        <v>376</v>
      </c>
      <c r="B672" s="21" t="s">
        <v>199</v>
      </c>
      <c r="C672" s="21" t="s">
        <v>203</v>
      </c>
      <c r="D672" s="21" t="s">
        <v>193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218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/>
    </row>
    <row r="675" spans="1:12">
      <c r="A675" s="20" t="s">
        <v>414</v>
      </c>
    </row>
    <row r="676" spans="1:12">
      <c r="A676" s="20" t="s">
        <v>415</v>
      </c>
      <c r="B676" s="21" t="s">
        <v>202</v>
      </c>
      <c r="C676" s="21" t="s">
        <v>200</v>
      </c>
      <c r="D676" s="21" t="s">
        <v>193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416</v>
      </c>
      <c r="B677" s="21" t="s">
        <v>191</v>
      </c>
      <c r="C677" s="21" t="s">
        <v>203</v>
      </c>
      <c r="D677" s="21" t="s">
        <v>193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371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412</v>
      </c>
      <c r="B679" s="21" t="s">
        <v>230</v>
      </c>
      <c r="C679" s="21" t="s">
        <v>258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204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197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417</v>
      </c>
      <c r="B682" s="21" t="s">
        <v>239</v>
      </c>
      <c r="C682" s="21" t="s">
        <v>208</v>
      </c>
      <c r="D682" s="21" t="s">
        <v>193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418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419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420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410</v>
      </c>
      <c r="B686" s="21" t="s">
        <v>246</v>
      </c>
      <c r="C686" s="21" t="s">
        <v>200</v>
      </c>
      <c r="D686" s="21" t="s">
        <v>193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376</v>
      </c>
      <c r="B687" s="21" t="s">
        <v>199</v>
      </c>
      <c r="C687" s="21" t="s">
        <v>203</v>
      </c>
      <c r="D687" s="21" t="s">
        <v>193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285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 t="s">
        <v>400</v>
      </c>
      <c r="B689" s="21" t="s">
        <v>356</v>
      </c>
      <c r="C689" s="21" t="s">
        <v>203</v>
      </c>
      <c r="D689" s="21" t="s">
        <v>193</v>
      </c>
      <c r="E689" s="22">
        <f>IF(D689="?OLD","!!!","")</f>
        <v/>
      </c>
      <c r="F689" s="23" t="str">
        <f>IF(OR(E689="",E689="!!!"),"",IF(NOT(ISNA(VLOOKUP(E689,E$1:E688,1,FALSE()))),"OLD",IF(AND(E689&lt;&gt;"",E689&lt;&gt;"!!!"),"NEW","")))</f>
        <v> </v>
      </c>
      <c r="G689" s="24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5" t="str">
        <f>IF(J689&lt;&gt;1,"",IF(I689="SBJ","CB","?"))</f>
        <v> </v>
      </c>
      <c r="I689" s="26" t="str">
        <f>IF(OR(E689="",E689="!!!",F689="NEW"),"",INDEX(B688:B$2,-1+SUMPRODUCT(MAX(ROW(E688:E$2)*(E689=E688:E$2)))))</f>
        <v> </v>
      </c>
      <c r="J689" s="26" t="str">
        <f>IF(OR(E689="",E689="!!!",F689="NEW"),"",COUNTBLANK(OFFSET(A$1,,,SUMPRODUCT(MAX(ROW(E$2:E689)*(E689=E$2:E689)))))-COUNTBLANK(OFFSET(A$1,,,SUMPRODUCT(MAX(ROW(E$1:E688)*(E2=E$1:E688))))))</f>
        <v> </v>
      </c>
      <c r="K689" s="26" t="str">
        <f>IF(OR(E689="",E689="!!!",F689="NEW"),"",INDEX(J$1:J688,SUMPRODUCT(MAX(ROW(E$1:E688)*(E689=E$1:E688)))))</f>
        <v> </v>
      </c>
      <c r="L689" s="27"/>
    </row>
    <row r="690" spans="1:12">
      <c r="A690" s="20" t="s">
        <v>218</v>
      </c>
      <c r="E690" s="22">
        <f>IF(D690="?OLD","!!!","")</f>
        <v/>
      </c>
      <c r="F690" s="23" t="str">
        <f>IF(OR(E690="",E690="!!!"),"",IF(NOT(ISNA(VLOOKUP(E690,E$1:E689,1,FALSE()))),"OLD",IF(AND(E690&lt;&gt;"",E690&lt;&gt;"!!!"),"NEW","")))</f>
        <v> </v>
      </c>
      <c r="G690" s="24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5" t="str">
        <f>IF(J690&lt;&gt;1,"",IF(I690="SBJ","CB","?"))</f>
        <v> </v>
      </c>
      <c r="I690" s="26" t="str">
        <f>IF(OR(E690="",E690="!!!",F690="NEW"),"",INDEX(B689:B$2,-1+SUMPRODUCT(MAX(ROW(E689:E$2)*(E690=E689:E$2)))))</f>
        <v> </v>
      </c>
      <c r="J690" s="26" t="str">
        <f>IF(OR(E690="",E690="!!!",F690="NEW"),"",COUNTBLANK(OFFSET(A$1,,,SUMPRODUCT(MAX(ROW(E$2:E690)*(E690=E$2:E690)))))-COUNTBLANK(OFFSET(A$1,,,SUMPRODUCT(MAX(ROW(E$1:E689)*(E2=E$1:E689))))))</f>
        <v> </v>
      </c>
      <c r="K690" s="26" t="str">
        <f>IF(OR(E690="",E690="!!!",F690="NEW"),"",INDEX(J$1:J689,SUMPRODUCT(MAX(ROW(E$1:E689)*(E690=E$1:E689)))))</f>
        <v> </v>
      </c>
      <c r="L690" s="27"/>
    </row>
    <row r="691" spans="1:12">
      <c r="A691" s="20"/>
    </row>
    <row r="692" spans="1:12">
      <c r="A692" s="20" t="s">
        <v>421</v>
      </c>
    </row>
    <row r="693" spans="1:12">
      <c r="A693" s="20" t="s">
        <v>195</v>
      </c>
      <c r="B693" s="21" t="s">
        <v>191</v>
      </c>
      <c r="C693" s="21" t="s">
        <v>192</v>
      </c>
      <c r="D693" s="21" t="s">
        <v>193</v>
      </c>
      <c r="E693" s="22">
        <f>IF(D693="?OLD","!!!","")</f>
        <v/>
      </c>
      <c r="F693" s="23" t="str">
        <f>IF(OR(E693="",E693="!!!"),"",IF(NOT(ISNA(VLOOKUP(E693,E$1:E692,1,FALSE()))),"OLD",IF(AND(E693&lt;&gt;"",E693&lt;&gt;"!!!"),"NEW","")))</f>
        <v> </v>
      </c>
      <c r="G693" s="24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5" t="str">
        <f>IF(J693&lt;&gt;1,"",IF(I693="SBJ","CB","?"))</f>
        <v> </v>
      </c>
      <c r="I693" s="26" t="str">
        <f>IF(OR(E693="",E693="!!!",F693="NEW"),"",INDEX(B692:B$2,-1+SUMPRODUCT(MAX(ROW(E692:E$2)*(E693=E692:E$2)))))</f>
        <v> </v>
      </c>
      <c r="J693" s="26" t="str">
        <f>IF(OR(E693="",E693="!!!",F693="NEW"),"",COUNTBLANK(OFFSET(A$1,,,SUMPRODUCT(MAX(ROW(E$2:E693)*(E693=E$2:E693)))))-COUNTBLANK(OFFSET(A$1,,,SUMPRODUCT(MAX(ROW(E$1:E692)*(E2=E$1:E692))))))</f>
        <v> </v>
      </c>
      <c r="K693" s="26" t="str">
        <f>IF(OR(E693="",E693="!!!",F693="NEW"),"",INDEX(J$1:J692,SUMPRODUCT(MAX(ROW(E$1:E692)*(E693=E$1:E692)))))</f>
        <v> </v>
      </c>
      <c r="L693" s="27"/>
    </row>
    <row r="694" spans="1:12">
      <c r="A694" s="20" t="s">
        <v>141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 t="s">
        <v>370</v>
      </c>
      <c r="E695" s="22">
        <f>IF(D695="?OLD","!!!","")</f>
        <v/>
      </c>
      <c r="F695" s="23" t="str">
        <f>IF(OR(E695="",E695="!!!"),"",IF(NOT(ISNA(VLOOKUP(E695,E$1:E694,1,FALSE()))),"OLD",IF(AND(E695&lt;&gt;"",E695&lt;&gt;"!!!"),"NEW","")))</f>
        <v> </v>
      </c>
      <c r="G695" s="24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5" t="str">
        <f>IF(J695&lt;&gt;1,"",IF(I695="SBJ","CB","?"))</f>
        <v> </v>
      </c>
      <c r="I695" s="26" t="str">
        <f>IF(OR(E695="",E695="!!!",F695="NEW"),"",INDEX(B694:B$2,-1+SUMPRODUCT(MAX(ROW(E694:E$2)*(E695=E694:E$2)))))</f>
        <v> </v>
      </c>
      <c r="J695" s="26" t="str">
        <f>IF(OR(E695="",E695="!!!",F695="NEW"),"",COUNTBLANK(OFFSET(A$1,,,SUMPRODUCT(MAX(ROW(E$2:E695)*(E695=E$2:E695)))))-COUNTBLANK(OFFSET(A$1,,,SUMPRODUCT(MAX(ROW(E$1:E694)*(E2=E$1:E694))))))</f>
        <v> </v>
      </c>
      <c r="K695" s="26" t="str">
        <f>IF(OR(E695="",E695="!!!",F695="NEW"),"",INDEX(J$1:J694,SUMPRODUCT(MAX(ROW(E$1:E694)*(E695=E$1:E694)))))</f>
        <v> </v>
      </c>
      <c r="L695" s="27"/>
    </row>
    <row r="696" spans="1:12">
      <c r="A696" s="20" t="s">
        <v>198</v>
      </c>
      <c r="B696" s="21" t="s">
        <v>202</v>
      </c>
      <c r="C696" s="21" t="s">
        <v>200</v>
      </c>
      <c r="D696" s="21" t="s">
        <v>193</v>
      </c>
      <c r="E696" s="22">
        <f>IF(D696="?OLD","!!!","")</f>
        <v/>
      </c>
      <c r="F696" s="23" t="str">
        <f>IF(OR(E696="",E696="!!!"),"",IF(NOT(ISNA(VLOOKUP(E696,E$1:E695,1,FALSE()))),"OLD",IF(AND(E696&lt;&gt;"",E696&lt;&gt;"!!!"),"NEW","")))</f>
        <v> </v>
      </c>
      <c r="G696" s="24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5" t="str">
        <f>IF(J696&lt;&gt;1,"",IF(I696="SBJ","CB","?"))</f>
        <v> </v>
      </c>
      <c r="I696" s="26" t="str">
        <f>IF(OR(E696="",E696="!!!",F696="NEW"),"",INDEX(B695:B$2,-1+SUMPRODUCT(MAX(ROW(E695:E$2)*(E696=E695:E$2)))))</f>
        <v> </v>
      </c>
      <c r="J696" s="26" t="str">
        <f>IF(OR(E696="",E696="!!!",F696="NEW"),"",COUNTBLANK(OFFSET(A$1,,,SUMPRODUCT(MAX(ROW(E$2:E696)*(E696=E$2:E696)))))-COUNTBLANK(OFFSET(A$1,,,SUMPRODUCT(MAX(ROW(E$1:E695)*(E2=E$1:E695))))))</f>
        <v> </v>
      </c>
      <c r="K696" s="26" t="str">
        <f>IF(OR(E696="",E696="!!!",F696="NEW"),"",INDEX(J$1:J695,SUMPRODUCT(MAX(ROW(E$1:E695)*(E696=E$1:E695)))))</f>
        <v> </v>
      </c>
      <c r="L696" s="27"/>
    </row>
    <row r="697" spans="1:12">
      <c r="A697" s="20" t="s">
        <v>392</v>
      </c>
      <c r="B697" s="21" t="s">
        <v>230</v>
      </c>
      <c r="C697" s="21" t="s">
        <v>203</v>
      </c>
      <c r="D697" s="21" t="s">
        <v>193</v>
      </c>
      <c r="E697" s="22">
        <f>IF(D697="?OLD","!!!","")</f>
        <v/>
      </c>
      <c r="F697" s="23" t="str">
        <f>IF(OR(E697="",E697="!!!"),"",IF(NOT(ISNA(VLOOKUP(E697,E$1:E696,1,FALSE()))),"OLD",IF(AND(E697&lt;&gt;"",E697&lt;&gt;"!!!"),"NEW","")))</f>
        <v> </v>
      </c>
      <c r="G697" s="24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5" t="str">
        <f>IF(J697&lt;&gt;1,"",IF(I697="SBJ","CB","?"))</f>
        <v> </v>
      </c>
      <c r="I697" s="26" t="str">
        <f>IF(OR(E697="",E697="!!!",F697="NEW"),"",INDEX(B696:B$2,-1+SUMPRODUCT(MAX(ROW(E696:E$2)*(E697=E696:E$2)))))</f>
        <v> </v>
      </c>
      <c r="J697" s="26" t="str">
        <f>IF(OR(E697="",E697="!!!",F697="NEW"),"",COUNTBLANK(OFFSET(A$1,,,SUMPRODUCT(MAX(ROW(E$2:E697)*(E697=E$2:E697)))))-COUNTBLANK(OFFSET(A$1,,,SUMPRODUCT(MAX(ROW(E$1:E696)*(E2=E$1:E696))))))</f>
        <v> </v>
      </c>
      <c r="K697" s="26" t="str">
        <f>IF(OR(E697="",E697="!!!",F697="NEW"),"",INDEX(J$1:J696,SUMPRODUCT(MAX(ROW(E$1:E696)*(E697=E$1:E696)))))</f>
        <v> </v>
      </c>
      <c r="L697" s="27"/>
    </row>
    <row r="698" spans="1:12">
      <c r="A698" s="20" t="s">
        <v>204</v>
      </c>
      <c r="E698" s="22">
        <f>IF(D698="?OLD","!!!","")</f>
        <v/>
      </c>
      <c r="F698" s="23" t="str">
        <f>IF(OR(E698="",E698="!!!"),"",IF(NOT(ISNA(VLOOKUP(E698,E$1:E697,1,FALSE()))),"OLD",IF(AND(E698&lt;&gt;"",E698&lt;&gt;"!!!"),"NEW","")))</f>
        <v> </v>
      </c>
      <c r="G698" s="24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5" t="str">
        <f>IF(J698&lt;&gt;1,"",IF(I698="SBJ","CB","?"))</f>
        <v> </v>
      </c>
      <c r="I698" s="26" t="str">
        <f>IF(OR(E698="",E698="!!!",F698="NEW"),"",INDEX(B697:B$2,-1+SUMPRODUCT(MAX(ROW(E697:E$2)*(E698=E697:E$2)))))</f>
        <v> </v>
      </c>
      <c r="J698" s="26" t="str">
        <f>IF(OR(E698="",E698="!!!",F698="NEW"),"",COUNTBLANK(OFFSET(A$1,,,SUMPRODUCT(MAX(ROW(E$2:E698)*(E698=E$2:E698)))))-COUNTBLANK(OFFSET(A$1,,,SUMPRODUCT(MAX(ROW(E$1:E697)*(E2=E$1:E697))))))</f>
        <v> </v>
      </c>
      <c r="K698" s="26" t="str">
        <f>IF(OR(E698="",E698="!!!",F698="NEW"),"",INDEX(J$1:J697,SUMPRODUCT(MAX(ROW(E$1:E697)*(E698=E$1:E697)))))</f>
        <v> </v>
      </c>
      <c r="L698" s="27"/>
    </row>
    <row r="699" spans="1:12">
      <c r="A699" s="20" t="s">
        <v>197</v>
      </c>
      <c r="E699" s="22">
        <f>IF(D699="?OLD","!!!","")</f>
        <v/>
      </c>
      <c r="F699" s="23" t="str">
        <f>IF(OR(E699="",E699="!!!"),"",IF(NOT(ISNA(VLOOKUP(E699,E$1:E698,1,FALSE()))),"OLD",IF(AND(E699&lt;&gt;"",E699&lt;&gt;"!!!"),"NEW","")))</f>
        <v> </v>
      </c>
      <c r="G699" s="24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5" t="str">
        <f>IF(J699&lt;&gt;1,"",IF(I699="SBJ","CB","?"))</f>
        <v> </v>
      </c>
      <c r="I699" s="26" t="str">
        <f>IF(OR(E699="",E699="!!!",F699="NEW"),"",INDEX(B698:B$2,-1+SUMPRODUCT(MAX(ROW(E698:E$2)*(E699=E698:E$2)))))</f>
        <v> </v>
      </c>
      <c r="J699" s="26" t="str">
        <f>IF(OR(E699="",E699="!!!",F699="NEW"),"",COUNTBLANK(OFFSET(A$1,,,SUMPRODUCT(MAX(ROW(E$2:E699)*(E699=E$2:E699)))))-COUNTBLANK(OFFSET(A$1,,,SUMPRODUCT(MAX(ROW(E$1:E698)*(E2=E$1:E698))))))</f>
        <v> </v>
      </c>
      <c r="K699" s="26" t="str">
        <f>IF(OR(E699="",E699="!!!",F699="NEW"),"",INDEX(J$1:J698,SUMPRODUCT(MAX(ROW(E$1:E698)*(E699=E$1:E698)))))</f>
        <v> </v>
      </c>
      <c r="L699" s="27"/>
    </row>
    <row r="700" spans="1:12">
      <c r="A700" s="20" t="s">
        <v>422</v>
      </c>
      <c r="E700" s="22">
        <f>IF(D700="?OLD","!!!","")</f>
        <v/>
      </c>
      <c r="F700" s="23" t="str">
        <f>IF(OR(E700="",E700="!!!"),"",IF(NOT(ISNA(VLOOKUP(E700,E$1:E699,1,FALSE()))),"OLD",IF(AND(E700&lt;&gt;"",E700&lt;&gt;"!!!"),"NEW","")))</f>
        <v> </v>
      </c>
      <c r="G700" s="24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5" t="str">
        <f>IF(J700&lt;&gt;1,"",IF(I700="SBJ","CB","?"))</f>
        <v> </v>
      </c>
      <c r="I700" s="26" t="str">
        <f>IF(OR(E700="",E700="!!!",F700="NEW"),"",INDEX(B699:B$2,-1+SUMPRODUCT(MAX(ROW(E699:E$2)*(E700=E699:E$2)))))</f>
        <v> </v>
      </c>
      <c r="J700" s="26" t="str">
        <f>IF(OR(E700="",E700="!!!",F700="NEW"),"",COUNTBLANK(OFFSET(A$1,,,SUMPRODUCT(MAX(ROW(E$2:E700)*(E700=E$2:E700)))))-COUNTBLANK(OFFSET(A$1,,,SUMPRODUCT(MAX(ROW(E$1:E699)*(E2=E$1:E699))))))</f>
        <v> </v>
      </c>
      <c r="K700" s="26" t="str">
        <f>IF(OR(E700="",E700="!!!",F700="NEW"),"",INDEX(J$1:J699,SUMPRODUCT(MAX(ROW(E$1:E699)*(E700=E$1:E699)))))</f>
        <v> </v>
      </c>
      <c r="L700" s="27"/>
    </row>
    <row r="701" spans="1:12">
      <c r="A701" s="20" t="s">
        <v>423</v>
      </c>
      <c r="B701" s="21" t="s">
        <v>424</v>
      </c>
      <c r="C701" s="21" t="s">
        <v>289</v>
      </c>
      <c r="E701" s="22">
        <f>IF(D701="?OLD","!!!","")</f>
        <v/>
      </c>
      <c r="F701" s="23" t="str">
        <f>IF(OR(E701="",E701="!!!"),"",IF(NOT(ISNA(VLOOKUP(E701,E$1:E700,1,FALSE()))),"OLD",IF(AND(E701&lt;&gt;"",E701&lt;&gt;"!!!"),"NEW","")))</f>
        <v> </v>
      </c>
      <c r="G701" s="24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5" t="str">
        <f>IF(J701&lt;&gt;1,"",IF(I701="SBJ","CB","?"))</f>
        <v> </v>
      </c>
      <c r="I701" s="26" t="str">
        <f>IF(OR(E701="",E701="!!!",F701="NEW"),"",INDEX(B700:B$2,-1+SUMPRODUCT(MAX(ROW(E700:E$2)*(E701=E700:E$2)))))</f>
        <v> </v>
      </c>
      <c r="J701" s="26" t="str">
        <f>IF(OR(E701="",E701="!!!",F701="NEW"),"",COUNTBLANK(OFFSET(A$1,,,SUMPRODUCT(MAX(ROW(E$2:E701)*(E701=E$2:E701)))))-COUNTBLANK(OFFSET(A$1,,,SUMPRODUCT(MAX(ROW(E$1:E700)*(E2=E$1:E700))))))</f>
        <v> </v>
      </c>
      <c r="K701" s="26" t="str">
        <f>IF(OR(E701="",E701="!!!",F701="NEW"),"",INDEX(J$1:J700,SUMPRODUCT(MAX(ROW(E$1:E700)*(E701=E$1:E700)))))</f>
        <v> </v>
      </c>
      <c r="L701" s="27"/>
    </row>
    <row r="702" spans="1:12">
      <c r="A702" s="20" t="s">
        <v>198</v>
      </c>
      <c r="B702" s="21" t="s">
        <v>246</v>
      </c>
      <c r="C702" s="21" t="s">
        <v>200</v>
      </c>
      <c r="D702" s="21" t="s">
        <v>193</v>
      </c>
      <c r="E702" s="22">
        <f>IF(D702="?OLD","!!!","")</f>
        <v/>
      </c>
      <c r="F702" s="23" t="str">
        <f>IF(OR(E702="",E702="!!!"),"",IF(NOT(ISNA(VLOOKUP(E702,E$1:E701,1,FALSE()))),"OLD",IF(AND(E702&lt;&gt;"",E702&lt;&gt;"!!!"),"NEW","")))</f>
        <v> </v>
      </c>
      <c r="G702" s="24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5" t="str">
        <f>IF(J702&lt;&gt;1,"",IF(I702="SBJ","CB","?"))</f>
        <v> </v>
      </c>
      <c r="I702" s="26" t="str">
        <f>IF(OR(E702="",E702="!!!",F702="NEW"),"",INDEX(B701:B$2,-1+SUMPRODUCT(MAX(ROW(E701:E$2)*(E702=E701:E$2)))))</f>
        <v> </v>
      </c>
      <c r="J702" s="26" t="str">
        <f>IF(OR(E702="",E702="!!!",F702="NEW"),"",COUNTBLANK(OFFSET(A$1,,,SUMPRODUCT(MAX(ROW(E$2:E702)*(E702=E$2:E702)))))-COUNTBLANK(OFFSET(A$1,,,SUMPRODUCT(MAX(ROW(E$1:E701)*(E2=E$1:E701))))))</f>
        <v> </v>
      </c>
      <c r="K702" s="26" t="str">
        <f>IF(OR(E702="",E702="!!!",F702="NEW"),"",INDEX(J$1:J701,SUMPRODUCT(MAX(ROW(E$1:E701)*(E702=E$1:E701)))))</f>
        <v> </v>
      </c>
      <c r="L702" s="27"/>
    </row>
    <row r="703" spans="1:12">
      <c r="A703" s="20" t="s">
        <v>425</v>
      </c>
      <c r="E703" s="22">
        <f>IF(D703="?OLD","!!!","")</f>
        <v/>
      </c>
      <c r="F703" s="23" t="str">
        <f>IF(OR(E703="",E703="!!!"),"",IF(NOT(ISNA(VLOOKUP(E703,E$1:E702,1,FALSE()))),"OLD",IF(AND(E703&lt;&gt;"",E703&lt;&gt;"!!!"),"NEW","")))</f>
        <v> </v>
      </c>
      <c r="G703" s="24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5" t="str">
        <f>IF(J703&lt;&gt;1,"",IF(I703="SBJ","CB","?"))</f>
        <v> </v>
      </c>
      <c r="I703" s="26" t="str">
        <f>IF(OR(E703="",E703="!!!",F703="NEW"),"",INDEX(B702:B$2,-1+SUMPRODUCT(MAX(ROW(E702:E$2)*(E703=E702:E$2)))))</f>
        <v> </v>
      </c>
      <c r="J703" s="26" t="str">
        <f>IF(OR(E703="",E703="!!!",F703="NEW"),"",COUNTBLANK(OFFSET(A$1,,,SUMPRODUCT(MAX(ROW(E$2:E703)*(E703=E$2:E703)))))-COUNTBLANK(OFFSET(A$1,,,SUMPRODUCT(MAX(ROW(E$1:E702)*(E2=E$1:E702))))))</f>
        <v> </v>
      </c>
      <c r="K703" s="26" t="str">
        <f>IF(OR(E703="",E703="!!!",F703="NEW"),"",INDEX(J$1:J702,SUMPRODUCT(MAX(ROW(E$1:E702)*(E703=E$1:E702)))))</f>
        <v> </v>
      </c>
      <c r="L703" s="27"/>
    </row>
    <row r="704" spans="1:12">
      <c r="A704" s="20" t="s">
        <v>426</v>
      </c>
      <c r="B704" s="21" t="s">
        <v>244</v>
      </c>
      <c r="C704" s="21" t="s">
        <v>203</v>
      </c>
      <c r="D704" s="21" t="s">
        <v>193</v>
      </c>
      <c r="E704" s="22">
        <f>IF(D704="?OLD","!!!","")</f>
        <v/>
      </c>
      <c r="F704" s="23" t="str">
        <f>IF(OR(E704="",E704="!!!"),"",IF(NOT(ISNA(VLOOKUP(E704,E$1:E703,1,FALSE()))),"OLD",IF(AND(E704&lt;&gt;"",E704&lt;&gt;"!!!"),"NEW","")))</f>
        <v> </v>
      </c>
      <c r="G704" s="24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5" t="str">
        <f>IF(J704&lt;&gt;1,"",IF(I704="SBJ","CB","?"))</f>
        <v> </v>
      </c>
      <c r="I704" s="26" t="str">
        <f>IF(OR(E704="",E704="!!!",F704="NEW"),"",INDEX(B703:B$2,-1+SUMPRODUCT(MAX(ROW(E703:E$2)*(E704=E703:E$2)))))</f>
        <v> </v>
      </c>
      <c r="J704" s="26" t="str">
        <f>IF(OR(E704="",E704="!!!",F704="NEW"),"",COUNTBLANK(OFFSET(A$1,,,SUMPRODUCT(MAX(ROW(E$2:E704)*(E704=E$2:E704)))))-COUNTBLANK(OFFSET(A$1,,,SUMPRODUCT(MAX(ROW(E$1:E703)*(E2=E$1:E703))))))</f>
        <v> </v>
      </c>
      <c r="K704" s="26" t="str">
        <f>IF(OR(E704="",E704="!!!",F704="NEW"),"",INDEX(J$1:J703,SUMPRODUCT(MAX(ROW(E$1:E703)*(E704=E$1:E703)))))</f>
        <v> </v>
      </c>
      <c r="L704" s="27"/>
    </row>
    <row r="705" spans="1:12">
      <c r="A705" s="20" t="s">
        <v>427</v>
      </c>
      <c r="E705" s="22">
        <f>IF(D705="?OLD","!!!","")</f>
        <v/>
      </c>
      <c r="F705" s="23" t="str">
        <f>IF(OR(E705="",E705="!!!"),"",IF(NOT(ISNA(VLOOKUP(E705,E$1:E704,1,FALSE()))),"OLD",IF(AND(E705&lt;&gt;"",E705&lt;&gt;"!!!"),"NEW","")))</f>
        <v> </v>
      </c>
      <c r="G705" s="24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5" t="str">
        <f>IF(J705&lt;&gt;1,"",IF(I705="SBJ","CB","?"))</f>
        <v> </v>
      </c>
      <c r="I705" s="26" t="str">
        <f>IF(OR(E705="",E705="!!!",F705="NEW"),"",INDEX(B704:B$2,-1+SUMPRODUCT(MAX(ROW(E704:E$2)*(E705=E704:E$2)))))</f>
        <v> </v>
      </c>
      <c r="J705" s="26" t="str">
        <f>IF(OR(E705="",E705="!!!",F705="NEW"),"",COUNTBLANK(OFFSET(A$1,,,SUMPRODUCT(MAX(ROW(E$2:E705)*(E705=E$2:E705)))))-COUNTBLANK(OFFSET(A$1,,,SUMPRODUCT(MAX(ROW(E$1:E704)*(E2=E$1:E704))))))</f>
        <v> </v>
      </c>
      <c r="K705" s="26" t="str">
        <f>IF(OR(E705="",E705="!!!",F705="NEW"),"",INDEX(J$1:J704,SUMPRODUCT(MAX(ROW(E$1:E704)*(E705=E$1:E704)))))</f>
        <v> </v>
      </c>
      <c r="L705" s="27"/>
    </row>
    <row r="706" spans="1:12">
      <c r="A706" s="20" t="s">
        <v>428</v>
      </c>
      <c r="E706" s="22">
        <f>IF(D706="?OLD","!!!","")</f>
        <v/>
      </c>
      <c r="F706" s="23" t="str">
        <f>IF(OR(E706="",E706="!!!"),"",IF(NOT(ISNA(VLOOKUP(E706,E$1:E705,1,FALSE()))),"OLD",IF(AND(E706&lt;&gt;"",E706&lt;&gt;"!!!"),"NEW","")))</f>
        <v> </v>
      </c>
      <c r="G706" s="24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5" t="str">
        <f>IF(J706&lt;&gt;1,"",IF(I706="SBJ","CB","?"))</f>
        <v> </v>
      </c>
      <c r="I706" s="26" t="str">
        <f>IF(OR(E706="",E706="!!!",F706="NEW"),"",INDEX(B705:B$2,-1+SUMPRODUCT(MAX(ROW(E705:E$2)*(E706=E705:E$2)))))</f>
        <v> </v>
      </c>
      <c r="J706" s="26" t="str">
        <f>IF(OR(E706="",E706="!!!",F706="NEW"),"",COUNTBLANK(OFFSET(A$1,,,SUMPRODUCT(MAX(ROW(E$2:E706)*(E706=E$2:E706)))))-COUNTBLANK(OFFSET(A$1,,,SUMPRODUCT(MAX(ROW(E$1:E705)*(E2=E$1:E705))))))</f>
        <v> </v>
      </c>
      <c r="K706" s="26" t="str">
        <f>IF(OR(E706="",E706="!!!",F706="NEW"),"",INDEX(J$1:J705,SUMPRODUCT(MAX(ROW(E$1:E705)*(E706=E$1:E705)))))</f>
        <v> </v>
      </c>
      <c r="L706" s="27"/>
    </row>
    <row r="707" spans="1:12">
      <c r="A707" s="20" t="s">
        <v>206</v>
      </c>
      <c r="E707" s="22">
        <f>IF(D707="?OLD","!!!","")</f>
        <v/>
      </c>
      <c r="F707" s="23" t="str">
        <f>IF(OR(E707="",E707="!!!"),"",IF(NOT(ISNA(VLOOKUP(E707,E$1:E706,1,FALSE()))),"OLD",IF(AND(E707&lt;&gt;"",E707&lt;&gt;"!!!"),"NEW","")))</f>
        <v> </v>
      </c>
      <c r="G707" s="24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5" t="str">
        <f>IF(J707&lt;&gt;1,"",IF(I707="SBJ","CB","?"))</f>
        <v> </v>
      </c>
      <c r="I707" s="26" t="str">
        <f>IF(OR(E707="",E707="!!!",F707="NEW"),"",INDEX(B706:B$2,-1+SUMPRODUCT(MAX(ROW(E706:E$2)*(E707=E706:E$2)))))</f>
        <v> </v>
      </c>
      <c r="J707" s="26" t="str">
        <f>IF(OR(E707="",E707="!!!",F707="NEW"),"",COUNTBLANK(OFFSET(A$1,,,SUMPRODUCT(MAX(ROW(E$2:E707)*(E707=E$2:E707)))))-COUNTBLANK(OFFSET(A$1,,,SUMPRODUCT(MAX(ROW(E$1:E706)*(E2=E$1:E706))))))</f>
        <v> </v>
      </c>
      <c r="K707" s="26" t="str">
        <f>IF(OR(E707="",E707="!!!",F707="NEW"),"",INDEX(J$1:J706,SUMPRODUCT(MAX(ROW(E$1:E706)*(E707=E$1:E706)))))</f>
        <v> </v>
      </c>
      <c r="L707" s="27"/>
    </row>
    <row r="708" spans="1:12">
      <c r="A708" s="20" t="s">
        <v>304</v>
      </c>
      <c r="B708" s="21" t="s">
        <v>199</v>
      </c>
      <c r="C708" s="21" t="s">
        <v>208</v>
      </c>
      <c r="D708" s="21" t="s">
        <v>193</v>
      </c>
      <c r="E708" s="22">
        <f>IF(D708="?OLD","!!!","")</f>
        <v/>
      </c>
      <c r="F708" s="23" t="str">
        <f>IF(OR(E708="",E708="!!!"),"",IF(NOT(ISNA(VLOOKUP(E708,E$1:E707,1,FALSE()))),"OLD",IF(AND(E708&lt;&gt;"",E708&lt;&gt;"!!!"),"NEW","")))</f>
        <v> </v>
      </c>
      <c r="G708" s="24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5" t="str">
        <f>IF(J708&lt;&gt;1,"",IF(I708="SBJ","CB","?"))</f>
        <v> </v>
      </c>
      <c r="I708" s="26" t="str">
        <f>IF(OR(E708="",E708="!!!",F708="NEW"),"",INDEX(B707:B$2,-1+SUMPRODUCT(MAX(ROW(E707:E$2)*(E708=E707:E$2)))))</f>
        <v> </v>
      </c>
      <c r="J708" s="26" t="str">
        <f>IF(OR(E708="",E708="!!!",F708="NEW"),"",COUNTBLANK(OFFSET(A$1,,,SUMPRODUCT(MAX(ROW(E$2:E708)*(E708=E$2:E708)))))-COUNTBLANK(OFFSET(A$1,,,SUMPRODUCT(MAX(ROW(E$1:E707)*(E2=E$1:E707))))))</f>
        <v> </v>
      </c>
      <c r="K708" s="26" t="str">
        <f>IF(OR(E708="",E708="!!!",F708="NEW"),"",INDEX(J$1:J707,SUMPRODUCT(MAX(ROW(E$1:E707)*(E708=E$1:E707)))))</f>
        <v> </v>
      </c>
      <c r="L708" s="27"/>
    </row>
    <row r="709" spans="1:12">
      <c r="A709" s="20" t="s">
        <v>218</v>
      </c>
      <c r="E709" s="22">
        <f>IF(D709="?OLD","!!!","")</f>
        <v/>
      </c>
      <c r="F709" s="23" t="str">
        <f>IF(OR(E709="",E709="!!!"),"",IF(NOT(ISNA(VLOOKUP(E709,E$1:E708,1,FALSE()))),"OLD",IF(AND(E709&lt;&gt;"",E709&lt;&gt;"!!!"),"NEW","")))</f>
        <v> </v>
      </c>
      <c r="G709" s="24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5" t="str">
        <f>IF(J709&lt;&gt;1,"",IF(I709="SBJ","CB","?"))</f>
        <v> </v>
      </c>
      <c r="I709" s="26" t="str">
        <f>IF(OR(E709="",E709="!!!",F709="NEW"),"",INDEX(B708:B$2,-1+SUMPRODUCT(MAX(ROW(E708:E$2)*(E709=E708:E$2)))))</f>
        <v> </v>
      </c>
      <c r="J709" s="26" t="str">
        <f>IF(OR(E709="",E709="!!!",F709="NEW"),"",COUNTBLANK(OFFSET(A$1,,,SUMPRODUCT(MAX(ROW(E$2:E709)*(E709=E$2:E709)))))-COUNTBLANK(OFFSET(A$1,,,SUMPRODUCT(MAX(ROW(E$1:E708)*(E2=E$1:E708))))))</f>
        <v> </v>
      </c>
      <c r="K709" s="26" t="str">
        <f>IF(OR(E709="",E709="!!!",F709="NEW"),"",INDEX(J$1:J708,SUMPRODUCT(MAX(ROW(E$1:E708)*(E709=E$1:E708)))))</f>
        <v> </v>
      </c>
      <c r="L709" s="27"/>
    </row>
    <row r="710" spans="1:12">
      <c r="A710" s="20"/>
    </row>
    <row r="711" spans="1:12">
      <c r="A711" s="20" t="s">
        <v>297</v>
      </c>
      <c r="E711" s="22">
        <f>IF(D711="?OLD","!!!","")</f>
        <v/>
      </c>
      <c r="F711" s="23" t="str">
        <f>IF(OR(E711="",E711="!!!"),"",IF(NOT(ISNA(VLOOKUP(E711,E$1:E710,1,FALSE()))),"OLD",IF(AND(E711&lt;&gt;"",E711&lt;&gt;"!!!"),"NEW","")))</f>
        <v> </v>
      </c>
      <c r="G711" s="24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5" t="str">
        <f>IF(J711&lt;&gt;1,"",IF(I711="SBJ","CB","?"))</f>
        <v> </v>
      </c>
      <c r="I711" s="26" t="str">
        <f>IF(OR(E711="",E711="!!!",F711="NEW"),"",INDEX(B710:B$2,-1+SUMPRODUCT(MAX(ROW(E710:E$2)*(E711=E710:E$2)))))</f>
        <v> </v>
      </c>
      <c r="J711" s="26" t="str">
        <f>IF(OR(E711="",E711="!!!",F711="NEW"),"",COUNTBLANK(OFFSET(A$1,,,SUMPRODUCT(MAX(ROW(E$2:E711)*(E711=E$2:E711)))))-COUNTBLANK(OFFSET(A$1,,,SUMPRODUCT(MAX(ROW(E$1:E710)*(E2=E$1:E710))))))</f>
        <v> </v>
      </c>
      <c r="K711" s="26" t="str">
        <f>IF(OR(E711="",E711="!!!",F711="NEW"),"",INDEX(J$1:J710,SUMPRODUCT(MAX(ROW(E$1:E710)*(E711=E$1:E710)))))</f>
        <v> </v>
      </c>
      <c r="L711" s="27"/>
    </row>
    <row r="712" spans="1:12">
      <c r="A712" s="20" t="s">
        <v>429</v>
      </c>
    </row>
    <row r="713" spans="1:12">
      <c r="A713" s="20" t="s">
        <v>391</v>
      </c>
      <c r="B713" s="21" t="s">
        <v>191</v>
      </c>
      <c r="C713" s="21" t="s">
        <v>208</v>
      </c>
      <c r="D713" s="21" t="s">
        <v>193</v>
      </c>
      <c r="E713" s="22">
        <f>IF(D713="?OLD","!!!","")</f>
        <v/>
      </c>
      <c r="F713" s="23" t="str">
        <f>IF(OR(E713="",E713="!!!"),"",IF(NOT(ISNA(VLOOKUP(E713,E$1:E712,1,FALSE()))),"OLD",IF(AND(E713&lt;&gt;"",E713&lt;&gt;"!!!"),"NEW","")))</f>
        <v> </v>
      </c>
      <c r="G713" s="24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5" t="str">
        <f>IF(J713&lt;&gt;1,"",IF(I713="SBJ","CB","?"))</f>
        <v> </v>
      </c>
      <c r="I713" s="26" t="str">
        <f>IF(OR(E713="",E713="!!!",F713="NEW"),"",INDEX(B712:B$2,-1+SUMPRODUCT(MAX(ROW(E712:E$2)*(E713=E712:E$2)))))</f>
        <v> </v>
      </c>
      <c r="J713" s="26" t="str">
        <f>IF(OR(E713="",E713="!!!",F713="NEW"),"",COUNTBLANK(OFFSET(A$1,,,SUMPRODUCT(MAX(ROW(E$2:E713)*(E713=E$2:E713)))))-COUNTBLANK(OFFSET(A$1,,,SUMPRODUCT(MAX(ROW(E$1:E712)*(E2=E$1:E712))))))</f>
        <v> </v>
      </c>
      <c r="K713" s="26" t="str">
        <f>IF(OR(E713="",E713="!!!",F713="NEW"),"",INDEX(J$1:J712,SUMPRODUCT(MAX(ROW(E$1:E712)*(E713=E$1:E712)))))</f>
        <v> </v>
      </c>
      <c r="L713" s="27"/>
    </row>
    <row r="714" spans="1:12">
      <c r="A714" s="20" t="s">
        <v>205</v>
      </c>
      <c r="E714" s="22">
        <f>IF(D714="?OLD","!!!","")</f>
        <v/>
      </c>
      <c r="F714" s="23" t="str">
        <f>IF(OR(E714="",E714="!!!"),"",IF(NOT(ISNA(VLOOKUP(E714,E$1:E713,1,FALSE()))),"OLD",IF(AND(E714&lt;&gt;"",E714&lt;&gt;"!!!"),"NEW","")))</f>
        <v> </v>
      </c>
      <c r="G714" s="24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5" t="str">
        <f>IF(J714&lt;&gt;1,"",IF(I714="SBJ","CB","?"))</f>
        <v> </v>
      </c>
      <c r="I714" s="26" t="str">
        <f>IF(OR(E714="",E714="!!!",F714="NEW"),"",INDEX(B713:B$2,-1+SUMPRODUCT(MAX(ROW(E713:E$2)*(E714=E713:E$2)))))</f>
        <v> </v>
      </c>
      <c r="J714" s="26" t="str">
        <f>IF(OR(E714="",E714="!!!",F714="NEW"),"",COUNTBLANK(OFFSET(A$1,,,SUMPRODUCT(MAX(ROW(E$2:E714)*(E714=E$2:E714)))))-COUNTBLANK(OFFSET(A$1,,,SUMPRODUCT(MAX(ROW(E$1:E713)*(E2=E$1:E713))))))</f>
        <v> </v>
      </c>
      <c r="K714" s="26" t="str">
        <f>IF(OR(E714="",E714="!!!",F714="NEW"),"",INDEX(J$1:J713,SUMPRODUCT(MAX(ROW(E$1:E713)*(E714=E$1:E713)))))</f>
        <v> </v>
      </c>
      <c r="L714" s="27"/>
    </row>
    <row r="715" spans="1:12">
      <c r="A715" s="20" t="s">
        <v>204</v>
      </c>
      <c r="E715" s="22">
        <f>IF(D715="?OLD","!!!","")</f>
        <v/>
      </c>
      <c r="F715" s="23" t="str">
        <f>IF(OR(E715="",E715="!!!"),"",IF(NOT(ISNA(VLOOKUP(E715,E$1:E714,1,FALSE()))),"OLD",IF(AND(E715&lt;&gt;"",E715&lt;&gt;"!!!"),"NEW","")))</f>
        <v> </v>
      </c>
      <c r="G715" s="24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5" t="str">
        <f>IF(J715&lt;&gt;1,"",IF(I715="SBJ","CB","?"))</f>
        <v> </v>
      </c>
      <c r="I715" s="26" t="str">
        <f>IF(OR(E715="",E715="!!!",F715="NEW"),"",INDEX(B714:B$2,-1+SUMPRODUCT(MAX(ROW(E714:E$2)*(E715=E714:E$2)))))</f>
        <v> </v>
      </c>
      <c r="J715" s="26" t="str">
        <f>IF(OR(E715="",E715="!!!",F715="NEW"),"",COUNTBLANK(OFFSET(A$1,,,SUMPRODUCT(MAX(ROW(E$2:E715)*(E715=E$2:E715)))))-COUNTBLANK(OFFSET(A$1,,,SUMPRODUCT(MAX(ROW(E$1:E714)*(E2=E$1:E714))))))</f>
        <v> </v>
      </c>
      <c r="K715" s="26" t="str">
        <f>IF(OR(E715="",E715="!!!",F715="NEW"),"",INDEX(J$1:J714,SUMPRODUCT(MAX(ROW(E$1:E714)*(E715=E$1:E714)))))</f>
        <v> </v>
      </c>
      <c r="L715" s="27"/>
    </row>
    <row r="716" spans="1:12">
      <c r="A716" s="20" t="s">
        <v>209</v>
      </c>
      <c r="E716" s="22">
        <f>IF(D716="?OLD","!!!","")</f>
        <v/>
      </c>
      <c r="F716" s="23" t="str">
        <f>IF(OR(E716="",E716="!!!"),"",IF(NOT(ISNA(VLOOKUP(E716,E$1:E715,1,FALSE()))),"OLD",IF(AND(E716&lt;&gt;"",E716&lt;&gt;"!!!"),"NEW","")))</f>
        <v> </v>
      </c>
      <c r="G716" s="24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5" t="str">
        <f>IF(J716&lt;&gt;1,"",IF(I716="SBJ","CB","?"))</f>
        <v> </v>
      </c>
      <c r="I716" s="26" t="str">
        <f>IF(OR(E716="",E716="!!!",F716="NEW"),"",INDEX(B715:B$2,-1+SUMPRODUCT(MAX(ROW(E715:E$2)*(E716=E715:E$2)))))</f>
        <v> </v>
      </c>
      <c r="J716" s="26" t="str">
        <f>IF(OR(E716="",E716="!!!",F716="NEW"),"",COUNTBLANK(OFFSET(A$1,,,SUMPRODUCT(MAX(ROW(E$2:E716)*(E716=E$2:E716)))))-COUNTBLANK(OFFSET(A$1,,,SUMPRODUCT(MAX(ROW(E$1:E715)*(E2=E$1:E715))))))</f>
        <v> </v>
      </c>
      <c r="K716" s="26" t="str">
        <f>IF(OR(E716="",E716="!!!",F716="NEW"),"",INDEX(J$1:J715,SUMPRODUCT(MAX(ROW(E$1:E715)*(E716=E$1:E715)))))</f>
        <v> </v>
      </c>
      <c r="L716" s="27"/>
    </row>
    <row r="717" spans="1:12">
      <c r="A717" s="20" t="s">
        <v>377</v>
      </c>
      <c r="B717" s="21" t="s">
        <v>239</v>
      </c>
      <c r="C717" s="21" t="s">
        <v>192</v>
      </c>
      <c r="D717" s="21" t="s">
        <v>193</v>
      </c>
      <c r="E717" s="22">
        <f>IF(D717="?OLD","!!!","")</f>
        <v/>
      </c>
      <c r="F717" s="23" t="str">
        <f>IF(OR(E717="",E717="!!!"),"",IF(NOT(ISNA(VLOOKUP(E717,E$1:E716,1,FALSE()))),"OLD",IF(AND(E717&lt;&gt;"",E717&lt;&gt;"!!!"),"NEW","")))</f>
        <v> </v>
      </c>
      <c r="G717" s="24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5" t="str">
        <f>IF(J717&lt;&gt;1,"",IF(I717="SBJ","CB","?"))</f>
        <v> </v>
      </c>
      <c r="I717" s="26" t="str">
        <f>IF(OR(E717="",E717="!!!",F717="NEW"),"",INDEX(B716:B$2,-1+SUMPRODUCT(MAX(ROW(E716:E$2)*(E717=E716:E$2)))))</f>
        <v> </v>
      </c>
      <c r="J717" s="26" t="str">
        <f>IF(OR(E717="",E717="!!!",F717="NEW"),"",COUNTBLANK(OFFSET(A$1,,,SUMPRODUCT(MAX(ROW(E$2:E717)*(E717=E$2:E717)))))-COUNTBLANK(OFFSET(A$1,,,SUMPRODUCT(MAX(ROW(E$1:E716)*(E2=E$1:E716))))))</f>
        <v> </v>
      </c>
      <c r="K717" s="26" t="str">
        <f>IF(OR(E717="",E717="!!!",F717="NEW"),"",INDEX(J$1:J716,SUMPRODUCT(MAX(ROW(E$1:E716)*(E717=E$1:E716)))))</f>
        <v> </v>
      </c>
      <c r="L717" s="27"/>
    </row>
    <row r="718" spans="1:12">
      <c r="A718" s="20" t="s">
        <v>315</v>
      </c>
      <c r="E718" s="22">
        <f>IF(D718="?OLD","!!!","")</f>
        <v/>
      </c>
      <c r="F718" s="23" t="str">
        <f>IF(OR(E718="",E718="!!!"),"",IF(NOT(ISNA(VLOOKUP(E718,E$1:E717,1,FALSE()))),"OLD",IF(AND(E718&lt;&gt;"",E718&lt;&gt;"!!!"),"NEW","")))</f>
        <v> </v>
      </c>
      <c r="G718" s="24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5" t="str">
        <f>IF(J718&lt;&gt;1,"",IF(I718="SBJ","CB","?"))</f>
        <v> </v>
      </c>
      <c r="I718" s="26" t="str">
        <f>IF(OR(E718="",E718="!!!",F718="NEW"),"",INDEX(B717:B$2,-1+SUMPRODUCT(MAX(ROW(E717:E$2)*(E718=E717:E$2)))))</f>
        <v> </v>
      </c>
      <c r="J718" s="26" t="str">
        <f>IF(OR(E718="",E718="!!!",F718="NEW"),"",COUNTBLANK(OFFSET(A$1,,,SUMPRODUCT(MAX(ROW(E$2:E718)*(E718=E$2:E718)))))-COUNTBLANK(OFFSET(A$1,,,SUMPRODUCT(MAX(ROW(E$1:E717)*(E2=E$1:E717))))))</f>
        <v> </v>
      </c>
      <c r="K718" s="26" t="str">
        <f>IF(OR(E718="",E718="!!!",F718="NEW"),"",INDEX(J$1:J717,SUMPRODUCT(MAX(ROW(E$1:E717)*(E718=E$1:E717)))))</f>
        <v> </v>
      </c>
      <c r="L718" s="27"/>
    </row>
    <row r="719" spans="1:12">
      <c r="A719" s="20" t="s">
        <v>430</v>
      </c>
      <c r="E719" s="22">
        <f>IF(D719="?OLD","!!!","")</f>
        <v/>
      </c>
      <c r="F719" s="23" t="str">
        <f>IF(OR(E719="",E719="!!!"),"",IF(NOT(ISNA(VLOOKUP(E719,E$1:E718,1,FALSE()))),"OLD",IF(AND(E719&lt;&gt;"",E719&lt;&gt;"!!!"),"NEW","")))</f>
        <v> </v>
      </c>
      <c r="G719" s="24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5" t="str">
        <f>IF(J719&lt;&gt;1,"",IF(I719="SBJ","CB","?"))</f>
        <v> </v>
      </c>
      <c r="I719" s="26" t="str">
        <f>IF(OR(E719="",E719="!!!",F719="NEW"),"",INDEX(B718:B$2,-1+SUMPRODUCT(MAX(ROW(E718:E$2)*(E719=E718:E$2)))))</f>
        <v> </v>
      </c>
      <c r="J719" s="26" t="str">
        <f>IF(OR(E719="",E719="!!!",F719="NEW"),"",COUNTBLANK(OFFSET(A$1,,,SUMPRODUCT(MAX(ROW(E$2:E719)*(E719=E$2:E719)))))-COUNTBLANK(OFFSET(A$1,,,SUMPRODUCT(MAX(ROW(E$1:E718)*(E2=E$1:E718))))))</f>
        <v> </v>
      </c>
      <c r="K719" s="26" t="str">
        <f>IF(OR(E719="",E719="!!!",F719="NEW"),"",INDEX(J$1:J718,SUMPRODUCT(MAX(ROW(E$1:E718)*(E719=E$1:E718)))))</f>
        <v> </v>
      </c>
      <c r="L719" s="27"/>
    </row>
    <row r="720" spans="1:12">
      <c r="A720" s="20" t="s">
        <v>218</v>
      </c>
      <c r="E720" s="22">
        <f>IF(D720="?OLD","!!!","")</f>
        <v/>
      </c>
      <c r="F720" s="23" t="str">
        <f>IF(OR(E720="",E720="!!!"),"",IF(NOT(ISNA(VLOOKUP(E720,E$1:E719,1,FALSE()))),"OLD",IF(AND(E720&lt;&gt;"",E720&lt;&gt;"!!!"),"NEW","")))</f>
        <v> </v>
      </c>
      <c r="G720" s="24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5" t="str">
        <f>IF(J720&lt;&gt;1,"",IF(I720="SBJ","CB","?"))</f>
        <v> </v>
      </c>
      <c r="I720" s="26" t="str">
        <f>IF(OR(E720="",E720="!!!",F720="NEW"),"",INDEX(B719:B$2,-1+SUMPRODUCT(MAX(ROW(E719:E$2)*(E720=E719:E$2)))))</f>
        <v> </v>
      </c>
      <c r="J720" s="26" t="str">
        <f>IF(OR(E720="",E720="!!!",F720="NEW"),"",COUNTBLANK(OFFSET(A$1,,,SUMPRODUCT(MAX(ROW(E$2:E720)*(E720=E$2:E720)))))-COUNTBLANK(OFFSET(A$1,,,SUMPRODUCT(MAX(ROW(E$1:E719)*(E2=E$1:E719))))))</f>
        <v> </v>
      </c>
      <c r="K720" s="26" t="str">
        <f>IF(OR(E720="",E720="!!!",F720="NEW"),"",INDEX(J$1:J719,SUMPRODUCT(MAX(ROW(E$1:E719)*(E720=E$1:E719)))))</f>
        <v> </v>
      </c>
      <c r="L720" s="27"/>
    </row>
    <row r="721" spans="1:12">
      <c r="A721" s="20"/>
    </row>
    <row r="722" spans="1:12">
      <c r="A722" s="20" t="s">
        <v>297</v>
      </c>
      <c r="E722" s="22">
        <f>IF(D722="?OLD","!!!","")</f>
        <v/>
      </c>
      <c r="F722" s="23" t="str">
        <f>IF(OR(E722="",E722="!!!"),"",IF(NOT(ISNA(VLOOKUP(E722,E$1:E721,1,FALSE()))),"OLD",IF(AND(E722&lt;&gt;"",E722&lt;&gt;"!!!"),"NEW","")))</f>
        <v> </v>
      </c>
      <c r="G722" s="24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5" t="str">
        <f>IF(J722&lt;&gt;1,"",IF(I722="SBJ","CB","?"))</f>
        <v> </v>
      </c>
      <c r="I722" s="26" t="str">
        <f>IF(OR(E722="",E722="!!!",F722="NEW"),"",INDEX(B721:B$2,-1+SUMPRODUCT(MAX(ROW(E721:E$2)*(E722=E721:E$2)))))</f>
        <v> </v>
      </c>
      <c r="J722" s="26" t="str">
        <f>IF(OR(E722="",E722="!!!",F722="NEW"),"",COUNTBLANK(OFFSET(A$1,,,SUMPRODUCT(MAX(ROW(E$2:E722)*(E722=E$2:E722)))))-COUNTBLANK(OFFSET(A$1,,,SUMPRODUCT(MAX(ROW(E$1:E721)*(E2=E$1:E721))))))</f>
        <v> </v>
      </c>
      <c r="K722" s="26" t="str">
        <f>IF(OR(E722="",E722="!!!",F722="NEW"),"",INDEX(J$1:J721,SUMPRODUCT(MAX(ROW(E$1:E721)*(E722=E$1:E721)))))</f>
        <v> </v>
      </c>
      <c r="L722" s="27"/>
    </row>
    <row r="723" spans="1:12">
      <c r="A723" s="20" t="s">
        <v>431</v>
      </c>
    </row>
    <row r="724" spans="1:12">
      <c r="A724" s="20" t="s">
        <v>391</v>
      </c>
      <c r="B724" s="21" t="s">
        <v>191</v>
      </c>
      <c r="C724" s="21" t="s">
        <v>208</v>
      </c>
      <c r="D724" s="21" t="s">
        <v>193</v>
      </c>
      <c r="E724" s="22">
        <f>IF(D724="?OLD","!!!","")</f>
        <v/>
      </c>
      <c r="F724" s="23" t="str">
        <f>IF(OR(E724="",E724="!!!"),"",IF(NOT(ISNA(VLOOKUP(E724,E$1:E723,1,FALSE()))),"OLD",IF(AND(E724&lt;&gt;"",E724&lt;&gt;"!!!"),"NEW","")))</f>
        <v> </v>
      </c>
      <c r="G724" s="24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5" t="str">
        <f>IF(J724&lt;&gt;1,"",IF(I724="SBJ","CB","?"))</f>
        <v> </v>
      </c>
      <c r="I724" s="26" t="str">
        <f>IF(OR(E724="",E724="!!!",F724="NEW"),"",INDEX(B723:B$2,-1+SUMPRODUCT(MAX(ROW(E723:E$2)*(E724=E723:E$2)))))</f>
        <v> </v>
      </c>
      <c r="J724" s="26" t="str">
        <f>IF(OR(E724="",E724="!!!",F724="NEW"),"",COUNTBLANK(OFFSET(A$1,,,SUMPRODUCT(MAX(ROW(E$2:E724)*(E724=E$2:E724)))))-COUNTBLANK(OFFSET(A$1,,,SUMPRODUCT(MAX(ROW(E$1:E723)*(E2=E$1:E723))))))</f>
        <v> </v>
      </c>
      <c r="K724" s="26" t="str">
        <f>IF(OR(E724="",E724="!!!",F724="NEW"),"",INDEX(J$1:J723,SUMPRODUCT(MAX(ROW(E$1:E723)*(E724=E$1:E723)))))</f>
        <v> </v>
      </c>
      <c r="L724" s="27"/>
    </row>
    <row r="725" spans="1:12">
      <c r="A725" s="20" t="s">
        <v>225</v>
      </c>
      <c r="E725" s="22">
        <f>IF(D725="?OLD","!!!","")</f>
        <v/>
      </c>
      <c r="F725" s="23" t="str">
        <f>IF(OR(E725="",E725="!!!"),"",IF(NOT(ISNA(VLOOKUP(E725,E$1:E724,1,FALSE()))),"OLD",IF(AND(E725&lt;&gt;"",E725&lt;&gt;"!!!"),"NEW","")))</f>
        <v> </v>
      </c>
      <c r="G725" s="24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5" t="str">
        <f>IF(J725&lt;&gt;1,"",IF(I725="SBJ","CB","?"))</f>
        <v> </v>
      </c>
      <c r="I725" s="26" t="str">
        <f>IF(OR(E725="",E725="!!!",F725="NEW"),"",INDEX(B724:B$2,-1+SUMPRODUCT(MAX(ROW(E724:E$2)*(E725=E724:E$2)))))</f>
        <v> </v>
      </c>
      <c r="J725" s="26" t="str">
        <f>IF(OR(E725="",E725="!!!",F725="NEW"),"",COUNTBLANK(OFFSET(A$1,,,SUMPRODUCT(MAX(ROW(E$2:E725)*(E725=E$2:E725)))))-COUNTBLANK(OFFSET(A$1,,,SUMPRODUCT(MAX(ROW(E$1:E724)*(E2=E$1:E724))))))</f>
        <v> </v>
      </c>
      <c r="K725" s="26" t="str">
        <f>IF(OR(E725="",E725="!!!",F725="NEW"),"",INDEX(J$1:J724,SUMPRODUCT(MAX(ROW(E$1:E724)*(E725=E$1:E724)))))</f>
        <v> </v>
      </c>
      <c r="L725" s="27"/>
    </row>
    <row r="726" spans="1:12">
      <c r="A726" s="20" t="s">
        <v>226</v>
      </c>
      <c r="E726" s="22">
        <f>IF(D726="?OLD","!!!","")</f>
        <v/>
      </c>
      <c r="F726" s="23" t="str">
        <f>IF(OR(E726="",E726="!!!"),"",IF(NOT(ISNA(VLOOKUP(E726,E$1:E725,1,FALSE()))),"OLD",IF(AND(E726&lt;&gt;"",E726&lt;&gt;"!!!"),"NEW","")))</f>
        <v> </v>
      </c>
      <c r="G726" s="24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5" t="str">
        <f>IF(J726&lt;&gt;1,"",IF(I726="SBJ","CB","?"))</f>
        <v> </v>
      </c>
      <c r="I726" s="26" t="str">
        <f>IF(OR(E726="",E726="!!!",F726="NEW"),"",INDEX(B725:B$2,-1+SUMPRODUCT(MAX(ROW(E725:E$2)*(E726=E725:E$2)))))</f>
        <v> </v>
      </c>
      <c r="J726" s="26" t="str">
        <f>IF(OR(E726="",E726="!!!",F726="NEW"),"",COUNTBLANK(OFFSET(A$1,,,SUMPRODUCT(MAX(ROW(E$2:E726)*(E726=E$2:E726)))))-COUNTBLANK(OFFSET(A$1,,,SUMPRODUCT(MAX(ROW(E$1:E725)*(E2=E$1:E725))))))</f>
        <v> </v>
      </c>
      <c r="K726" s="26" t="str">
        <f>IF(OR(E726="",E726="!!!",F726="NEW"),"",INDEX(J$1:J725,SUMPRODUCT(MAX(ROW(E$1:E725)*(E726=E$1:E725)))))</f>
        <v> </v>
      </c>
      <c r="L726" s="27"/>
    </row>
    <row r="727" spans="1:12">
      <c r="A727" s="20" t="s">
        <v>432</v>
      </c>
      <c r="E727" s="22">
        <f>IF(D727="?OLD","!!!","")</f>
        <v/>
      </c>
      <c r="F727" s="23" t="str">
        <f>IF(OR(E727="",E727="!!!"),"",IF(NOT(ISNA(VLOOKUP(E727,E$1:E726,1,FALSE()))),"OLD",IF(AND(E727&lt;&gt;"",E727&lt;&gt;"!!!"),"NEW","")))</f>
        <v> </v>
      </c>
      <c r="G727" s="24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5" t="str">
        <f>IF(J727&lt;&gt;1,"",IF(I727="SBJ","CB","?"))</f>
        <v> </v>
      </c>
      <c r="I727" s="26" t="str">
        <f>IF(OR(E727="",E727="!!!",F727="NEW"),"",INDEX(B726:B$2,-1+SUMPRODUCT(MAX(ROW(E726:E$2)*(E727=E726:E$2)))))</f>
        <v> </v>
      </c>
      <c r="J727" s="26" t="str">
        <f>IF(OR(E727="",E727="!!!",F727="NEW"),"",COUNTBLANK(OFFSET(A$1,,,SUMPRODUCT(MAX(ROW(E$2:E727)*(E727=E$2:E727)))))-COUNTBLANK(OFFSET(A$1,,,SUMPRODUCT(MAX(ROW(E$1:E726)*(E2=E$1:E726))))))</f>
        <v> </v>
      </c>
      <c r="K727" s="26" t="str">
        <f>IF(OR(E727="",E727="!!!",F727="NEW"),"",INDEX(J$1:J726,SUMPRODUCT(MAX(ROW(E$1:E726)*(E727=E$1:E726)))))</f>
        <v> </v>
      </c>
      <c r="L727" s="27"/>
    </row>
    <row r="728" spans="1:12">
      <c r="A728" s="20" t="s">
        <v>222</v>
      </c>
      <c r="E728" s="22">
        <f>IF(D728="?OLD","!!!","")</f>
        <v/>
      </c>
      <c r="F728" s="23" t="str">
        <f>IF(OR(E728="",E728="!!!"),"",IF(NOT(ISNA(VLOOKUP(E728,E$1:E727,1,FALSE()))),"OLD",IF(AND(E728&lt;&gt;"",E728&lt;&gt;"!!!"),"NEW","")))</f>
        <v> </v>
      </c>
      <c r="G728" s="24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5" t="str">
        <f>IF(J728&lt;&gt;1,"",IF(I728="SBJ","CB","?"))</f>
        <v> </v>
      </c>
      <c r="I728" s="26" t="str">
        <f>IF(OR(E728="",E728="!!!",F728="NEW"),"",INDEX(B727:B$2,-1+SUMPRODUCT(MAX(ROW(E727:E$2)*(E728=E727:E$2)))))</f>
        <v> </v>
      </c>
      <c r="J728" s="26" t="str">
        <f>IF(OR(E728="",E728="!!!",F728="NEW"),"",COUNTBLANK(OFFSET(A$1,,,SUMPRODUCT(MAX(ROW(E$2:E728)*(E728=E$2:E728)))))-COUNTBLANK(OFFSET(A$1,,,SUMPRODUCT(MAX(ROW(E$1:E727)*(E2=E$1:E727))))))</f>
        <v> </v>
      </c>
      <c r="K728" s="26" t="str">
        <f>IF(OR(E728="",E728="!!!",F728="NEW"),"",INDEX(J$1:J727,SUMPRODUCT(MAX(ROW(E$1:E727)*(E728=E$1:E727)))))</f>
        <v> </v>
      </c>
      <c r="L728" s="27"/>
    </row>
    <row r="729" spans="1:12">
      <c r="A729" s="20" t="s">
        <v>433</v>
      </c>
      <c r="B729" s="21" t="s">
        <v>230</v>
      </c>
      <c r="C729" s="21" t="s">
        <v>258</v>
      </c>
      <c r="E729" s="22">
        <f>IF(D729="?OLD","!!!","")</f>
        <v/>
      </c>
      <c r="F729" s="23" t="str">
        <f>IF(OR(E729="",E729="!!!"),"",IF(NOT(ISNA(VLOOKUP(E729,E$1:E728,1,FALSE()))),"OLD",IF(AND(E729&lt;&gt;"",E729&lt;&gt;"!!!"),"NEW","")))</f>
        <v> </v>
      </c>
      <c r="G729" s="24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5" t="str">
        <f>IF(J729&lt;&gt;1,"",IF(I729="SBJ","CB","?"))</f>
        <v> </v>
      </c>
      <c r="I729" s="26" t="str">
        <f>IF(OR(E729="",E729="!!!",F729="NEW"),"",INDEX(B728:B$2,-1+SUMPRODUCT(MAX(ROW(E728:E$2)*(E729=E728:E$2)))))</f>
        <v> </v>
      </c>
      <c r="J729" s="26" t="str">
        <f>IF(OR(E729="",E729="!!!",F729="NEW"),"",COUNTBLANK(OFFSET(A$1,,,SUMPRODUCT(MAX(ROW(E$2:E729)*(E729=E$2:E729)))))-COUNTBLANK(OFFSET(A$1,,,SUMPRODUCT(MAX(ROW(E$1:E728)*(E2=E$1:E728))))))</f>
        <v> </v>
      </c>
      <c r="K729" s="26" t="str">
        <f>IF(OR(E729="",E729="!!!",F729="NEW"),"",INDEX(J$1:J728,SUMPRODUCT(MAX(ROW(E$1:E728)*(E729=E$1:E728)))))</f>
        <v> </v>
      </c>
      <c r="L729" s="27"/>
    </row>
    <row r="730" spans="1:12">
      <c r="A730" s="20" t="s">
        <v>206</v>
      </c>
      <c r="E730" s="22">
        <f>IF(D730="?OLD","!!!","")</f>
        <v/>
      </c>
      <c r="F730" s="23" t="str">
        <f>IF(OR(E730="",E730="!!!"),"",IF(NOT(ISNA(VLOOKUP(E730,E$1:E729,1,FALSE()))),"OLD",IF(AND(E730&lt;&gt;"",E730&lt;&gt;"!!!"),"NEW","")))</f>
        <v> </v>
      </c>
      <c r="G730" s="24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5" t="str">
        <f>IF(J730&lt;&gt;1,"",IF(I730="SBJ","CB","?"))</f>
        <v> </v>
      </c>
      <c r="I730" s="26" t="str">
        <f>IF(OR(E730="",E730="!!!",F730="NEW"),"",INDEX(B729:B$2,-1+SUMPRODUCT(MAX(ROW(E729:E$2)*(E730=E729:E$2)))))</f>
        <v> </v>
      </c>
      <c r="J730" s="26" t="str">
        <f>IF(OR(E730="",E730="!!!",F730="NEW"),"",COUNTBLANK(OFFSET(A$1,,,SUMPRODUCT(MAX(ROW(E$2:E730)*(E730=E$2:E730)))))-COUNTBLANK(OFFSET(A$1,,,SUMPRODUCT(MAX(ROW(E$1:E729)*(E2=E$1:E729))))))</f>
        <v> </v>
      </c>
      <c r="K730" s="26" t="str">
        <f>IF(OR(E730="",E730="!!!",F730="NEW"),"",INDEX(J$1:J729,SUMPRODUCT(MAX(ROW(E$1:E729)*(E730=E$1:E729)))))</f>
        <v> </v>
      </c>
      <c r="L730" s="27"/>
    </row>
    <row r="731" spans="1:12">
      <c r="A731" s="20" t="s">
        <v>198</v>
      </c>
      <c r="B731" s="21" t="s">
        <v>199</v>
      </c>
      <c r="C731" s="21" t="s">
        <v>200</v>
      </c>
      <c r="D731" s="21" t="s">
        <v>193</v>
      </c>
      <c r="E731" s="22">
        <f>IF(D731="?OLD","!!!","")</f>
        <v/>
      </c>
      <c r="F731" s="23" t="str">
        <f>IF(OR(E731="",E731="!!!"),"",IF(NOT(ISNA(VLOOKUP(E731,E$1:E730,1,FALSE()))),"OLD",IF(AND(E731&lt;&gt;"",E731&lt;&gt;"!!!"),"NEW","")))</f>
        <v> </v>
      </c>
      <c r="G731" s="24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5" t="str">
        <f>IF(J731&lt;&gt;1,"",IF(I731="SBJ","CB","?"))</f>
        <v> </v>
      </c>
      <c r="I731" s="26" t="str">
        <f>IF(OR(E731="",E731="!!!",F731="NEW"),"",INDEX(B730:B$2,-1+SUMPRODUCT(MAX(ROW(E730:E$2)*(E731=E730:E$2)))))</f>
        <v> </v>
      </c>
      <c r="J731" s="26" t="str">
        <f>IF(OR(E731="",E731="!!!",F731="NEW"),"",COUNTBLANK(OFFSET(A$1,,,SUMPRODUCT(MAX(ROW(E$2:E731)*(E731=E$2:E731)))))-COUNTBLANK(OFFSET(A$1,,,SUMPRODUCT(MAX(ROW(E$1:E730)*(E2=E$1:E730))))))</f>
        <v> </v>
      </c>
      <c r="K731" s="26" t="str">
        <f>IF(OR(E731="",E731="!!!",F731="NEW"),"",INDEX(J$1:J730,SUMPRODUCT(MAX(ROW(E$1:E730)*(E731=E$1:E730)))))</f>
        <v> </v>
      </c>
      <c r="L731" s="27"/>
    </row>
    <row r="732" spans="1:12">
      <c r="A732" s="20" t="s">
        <v>403</v>
      </c>
      <c r="B732" s="21" t="s">
        <v>202</v>
      </c>
      <c r="C732" s="21" t="s">
        <v>203</v>
      </c>
      <c r="D732" s="21" t="s">
        <v>193</v>
      </c>
      <c r="E732" s="22">
        <f>IF(D732="?OLD","!!!","")</f>
        <v/>
      </c>
      <c r="F732" s="23" t="str">
        <f>IF(OR(E732="",E732="!!!"),"",IF(NOT(ISNA(VLOOKUP(E732,E$1:E731,1,FALSE()))),"OLD",IF(AND(E732&lt;&gt;"",E732&lt;&gt;"!!!"),"NEW","")))</f>
        <v> </v>
      </c>
      <c r="G732" s="24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5" t="str">
        <f>IF(J732&lt;&gt;1,"",IF(I732="SBJ","CB","?"))</f>
        <v> </v>
      </c>
      <c r="I732" s="26" t="str">
        <f>IF(OR(E732="",E732="!!!",F732="NEW"),"",INDEX(B731:B$2,-1+SUMPRODUCT(MAX(ROW(E731:E$2)*(E732=E731:E$2)))))</f>
        <v> </v>
      </c>
      <c r="J732" s="26" t="str">
        <f>IF(OR(E732="",E732="!!!",F732="NEW"),"",COUNTBLANK(OFFSET(A$1,,,SUMPRODUCT(MAX(ROW(E$2:E732)*(E732=E$2:E732)))))-COUNTBLANK(OFFSET(A$1,,,SUMPRODUCT(MAX(ROW(E$1:E731)*(E2=E$1:E731))))))</f>
        <v> </v>
      </c>
      <c r="K732" s="26" t="str">
        <f>IF(OR(E732="",E732="!!!",F732="NEW"),"",INDEX(J$1:J731,SUMPRODUCT(MAX(ROW(E$1:E731)*(E732=E$1:E731)))))</f>
        <v> </v>
      </c>
      <c r="L732" s="27"/>
    </row>
    <row r="733" spans="1:12">
      <c r="A733" s="20" t="s">
        <v>218</v>
      </c>
      <c r="E733" s="22">
        <f>IF(D733="?OLD","!!!","")</f>
        <v/>
      </c>
      <c r="F733" s="23" t="str">
        <f>IF(OR(E733="",E733="!!!"),"",IF(NOT(ISNA(VLOOKUP(E733,E$1:E732,1,FALSE()))),"OLD",IF(AND(E733&lt;&gt;"",E733&lt;&gt;"!!!"),"NEW","")))</f>
        <v> </v>
      </c>
      <c r="G733" s="24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5" t="str">
        <f>IF(J733&lt;&gt;1,"",IF(I733="SBJ","CB","?"))</f>
        <v> </v>
      </c>
      <c r="I733" s="26" t="str">
        <f>IF(OR(E733="",E733="!!!",F733="NEW"),"",INDEX(B732:B$2,-1+SUMPRODUCT(MAX(ROW(E732:E$2)*(E733=E732:E$2)))))</f>
        <v> </v>
      </c>
      <c r="J733" s="26" t="str">
        <f>IF(OR(E733="",E733="!!!",F733="NEW"),"",COUNTBLANK(OFFSET(A$1,,,SUMPRODUCT(MAX(ROW(E$2:E733)*(E733=E$2:E733)))))-COUNTBLANK(OFFSET(A$1,,,SUMPRODUCT(MAX(ROW(E$1:E732)*(E2=E$1:E732))))))</f>
        <v> </v>
      </c>
      <c r="K733" s="26" t="str">
        <f>IF(OR(E733="",E733="!!!",F733="NEW"),"",INDEX(J$1:J732,SUMPRODUCT(MAX(ROW(E$1:E732)*(E733=E$1:E732)))))</f>
        <v> </v>
      </c>
      <c r="L733" s="27"/>
    </row>
    <row r="734" spans="1:12">
      <c r="A734" s="20" t="s">
        <v>209</v>
      </c>
      <c r="E734" s="22">
        <f>IF(D734="?OLD","!!!","")</f>
        <v/>
      </c>
      <c r="F734" s="23" t="str">
        <f>IF(OR(E734="",E734="!!!"),"",IF(NOT(ISNA(VLOOKUP(E734,E$1:E733,1,FALSE()))),"OLD",IF(AND(E734&lt;&gt;"",E734&lt;&gt;"!!!"),"NEW","")))</f>
        <v> </v>
      </c>
      <c r="G734" s="24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5" t="str">
        <f>IF(J734&lt;&gt;1,"",IF(I734="SBJ","CB","?"))</f>
        <v> </v>
      </c>
      <c r="I734" s="26" t="str">
        <f>IF(OR(E734="",E734="!!!",F734="NEW"),"",INDEX(B733:B$2,-1+SUMPRODUCT(MAX(ROW(E733:E$2)*(E734=E733:E$2)))))</f>
        <v> </v>
      </c>
      <c r="J734" s="26" t="str">
        <f>IF(OR(E734="",E734="!!!",F734="NEW"),"",COUNTBLANK(OFFSET(A$1,,,SUMPRODUCT(MAX(ROW(E$2:E734)*(E734=E$2:E734)))))-COUNTBLANK(OFFSET(A$1,,,SUMPRODUCT(MAX(ROW(E$1:E733)*(E2=E$1:E733))))))</f>
        <v> </v>
      </c>
      <c r="K734" s="26" t="str">
        <f>IF(OR(E734="",E734="!!!",F734="NEW"),"",INDEX(J$1:J733,SUMPRODUCT(MAX(ROW(E$1:E733)*(E734=E$1:E733)))))</f>
        <v> </v>
      </c>
      <c r="L734" s="27"/>
    </row>
    <row r="735" spans="1:12">
      <c r="A735" s="20"/>
    </row>
    <row r="736" spans="1:12">
      <c r="A736" s="20" t="s">
        <v>297</v>
      </c>
      <c r="E736" s="22">
        <f>IF(D736="?OLD","!!!","")</f>
        <v/>
      </c>
      <c r="F736" s="23" t="str">
        <f>IF(OR(E736="",E736="!!!"),"",IF(NOT(ISNA(VLOOKUP(E736,E$1:E735,1,FALSE()))),"OLD",IF(AND(E736&lt;&gt;"",E736&lt;&gt;"!!!"),"NEW","")))</f>
        <v> </v>
      </c>
      <c r="G736" s="24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5" t="str">
        <f>IF(J736&lt;&gt;1,"",IF(I736="SBJ","CB","?"))</f>
        <v> </v>
      </c>
      <c r="I736" s="26" t="str">
        <f>IF(OR(E736="",E736="!!!",F736="NEW"),"",INDEX(B735:B$2,-1+SUMPRODUCT(MAX(ROW(E735:E$2)*(E736=E735:E$2)))))</f>
        <v> </v>
      </c>
      <c r="J736" s="26" t="str">
        <f>IF(OR(E736="",E736="!!!",F736="NEW"),"",COUNTBLANK(OFFSET(A$1,,,SUMPRODUCT(MAX(ROW(E$2:E736)*(E736=E$2:E736)))))-COUNTBLANK(OFFSET(A$1,,,SUMPRODUCT(MAX(ROW(E$1:E735)*(E2=E$1:E735))))))</f>
        <v> </v>
      </c>
      <c r="K736" s="26" t="str">
        <f>IF(OR(E736="",E736="!!!",F736="NEW"),"",INDEX(J$1:J735,SUMPRODUCT(MAX(ROW(E$1:E735)*(E736=E$1:E735)))))</f>
        <v> </v>
      </c>
      <c r="L736" s="27"/>
    </row>
    <row r="737" spans="1:12">
      <c r="A737" s="20" t="s">
        <v>434</v>
      </c>
    </row>
    <row r="738" spans="1:12">
      <c r="A738" s="20" t="s">
        <v>391</v>
      </c>
      <c r="B738" s="21" t="s">
        <v>191</v>
      </c>
      <c r="C738" s="21" t="s">
        <v>208</v>
      </c>
      <c r="D738" s="21" t="s">
        <v>193</v>
      </c>
      <c r="E738" s="22">
        <f>IF(D738="?OLD","!!!","")</f>
        <v/>
      </c>
      <c r="F738" s="23" t="str">
        <f>IF(OR(E738="",E738="!!!"),"",IF(NOT(ISNA(VLOOKUP(E738,E$1:E737,1,FALSE()))),"OLD",IF(AND(E738&lt;&gt;"",E738&lt;&gt;"!!!"),"NEW","")))</f>
        <v> </v>
      </c>
      <c r="G738" s="24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5" t="str">
        <f>IF(J738&lt;&gt;1,"",IF(I738="SBJ","CB","?"))</f>
        <v> </v>
      </c>
      <c r="I738" s="26" t="str">
        <f>IF(OR(E738="",E738="!!!",F738="NEW"),"",INDEX(B737:B$2,-1+SUMPRODUCT(MAX(ROW(E737:E$2)*(E738=E737:E$2)))))</f>
        <v> </v>
      </c>
      <c r="J738" s="26" t="str">
        <f>IF(OR(E738="",E738="!!!",F738="NEW"),"",COUNTBLANK(OFFSET(A$1,,,SUMPRODUCT(MAX(ROW(E$2:E738)*(E738=E$2:E738)))))-COUNTBLANK(OFFSET(A$1,,,SUMPRODUCT(MAX(ROW(E$1:E737)*(E2=E$1:E737))))))</f>
        <v> </v>
      </c>
      <c r="K738" s="26" t="str">
        <f>IF(OR(E738="",E738="!!!",F738="NEW"),"",INDEX(J$1:J737,SUMPRODUCT(MAX(ROW(E$1:E737)*(E738=E$1:E737)))))</f>
        <v> </v>
      </c>
      <c r="L738" s="27"/>
    </row>
    <row r="739" spans="1:12">
      <c r="A739" s="20" t="s">
        <v>205</v>
      </c>
      <c r="E739" s="22">
        <f>IF(D739="?OLD","!!!","")</f>
        <v/>
      </c>
      <c r="F739" s="23" t="str">
        <f>IF(OR(E739="",E739="!!!"),"",IF(NOT(ISNA(VLOOKUP(E739,E$1:E738,1,FALSE()))),"OLD",IF(AND(E739&lt;&gt;"",E739&lt;&gt;"!!!"),"NEW","")))</f>
        <v> </v>
      </c>
      <c r="G739" s="24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5" t="str">
        <f>IF(J739&lt;&gt;1,"",IF(I739="SBJ","CB","?"))</f>
        <v> </v>
      </c>
      <c r="I739" s="26" t="str">
        <f>IF(OR(E739="",E739="!!!",F739="NEW"),"",INDEX(B738:B$2,-1+SUMPRODUCT(MAX(ROW(E738:E$2)*(E739=E738:E$2)))))</f>
        <v> </v>
      </c>
      <c r="J739" s="26" t="str">
        <f>IF(OR(E739="",E739="!!!",F739="NEW"),"",COUNTBLANK(OFFSET(A$1,,,SUMPRODUCT(MAX(ROW(E$2:E739)*(E739=E$2:E739)))))-COUNTBLANK(OFFSET(A$1,,,SUMPRODUCT(MAX(ROW(E$1:E738)*(E2=E$1:E738))))))</f>
        <v> </v>
      </c>
      <c r="K739" s="26" t="str">
        <f>IF(OR(E739="",E739="!!!",F739="NEW"),"",INDEX(J$1:J738,SUMPRODUCT(MAX(ROW(E$1:E738)*(E739=E$1:E738)))))</f>
        <v> </v>
      </c>
      <c r="L739" s="27"/>
    </row>
    <row r="740" spans="1:12">
      <c r="A740" s="20" t="s">
        <v>204</v>
      </c>
      <c r="E740" s="22">
        <f>IF(D740="?OLD","!!!","")</f>
        <v/>
      </c>
      <c r="F740" s="23" t="str">
        <f>IF(OR(E740="",E740="!!!"),"",IF(NOT(ISNA(VLOOKUP(E740,E$1:E739,1,FALSE()))),"OLD",IF(AND(E740&lt;&gt;"",E740&lt;&gt;"!!!"),"NEW","")))</f>
        <v> </v>
      </c>
      <c r="G740" s="24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5" t="str">
        <f>IF(J740&lt;&gt;1,"",IF(I740="SBJ","CB","?"))</f>
        <v> </v>
      </c>
      <c r="I740" s="26" t="str">
        <f>IF(OR(E740="",E740="!!!",F740="NEW"),"",INDEX(B739:B$2,-1+SUMPRODUCT(MAX(ROW(E739:E$2)*(E740=E739:E$2)))))</f>
        <v> </v>
      </c>
      <c r="J740" s="26" t="str">
        <f>IF(OR(E740="",E740="!!!",F740="NEW"),"",COUNTBLANK(OFFSET(A$1,,,SUMPRODUCT(MAX(ROW(E$2:E740)*(E740=E$2:E740)))))-COUNTBLANK(OFFSET(A$1,,,SUMPRODUCT(MAX(ROW(E$1:E739)*(E2=E$1:E739))))))</f>
        <v> </v>
      </c>
      <c r="K740" s="26" t="str">
        <f>IF(OR(E740="",E740="!!!",F740="NEW"),"",INDEX(J$1:J739,SUMPRODUCT(MAX(ROW(E$1:E739)*(E740=E$1:E739)))))</f>
        <v> </v>
      </c>
      <c r="L740" s="27"/>
    </row>
    <row r="741" spans="1:12">
      <c r="A741" s="20" t="s">
        <v>209</v>
      </c>
      <c r="E741" s="22">
        <f>IF(D741="?OLD","!!!","")</f>
        <v/>
      </c>
      <c r="F741" s="23" t="str">
        <f>IF(OR(E741="",E741="!!!"),"",IF(NOT(ISNA(VLOOKUP(E741,E$1:E740,1,FALSE()))),"OLD",IF(AND(E741&lt;&gt;"",E741&lt;&gt;"!!!"),"NEW","")))</f>
        <v> </v>
      </c>
      <c r="G741" s="24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5" t="str">
        <f>IF(J741&lt;&gt;1,"",IF(I741="SBJ","CB","?"))</f>
        <v> </v>
      </c>
      <c r="I741" s="26" t="str">
        <f>IF(OR(E741="",E741="!!!",F741="NEW"),"",INDEX(B740:B$2,-1+SUMPRODUCT(MAX(ROW(E740:E$2)*(E741=E740:E$2)))))</f>
        <v> </v>
      </c>
      <c r="J741" s="26" t="str">
        <f>IF(OR(E741="",E741="!!!",F741="NEW"),"",COUNTBLANK(OFFSET(A$1,,,SUMPRODUCT(MAX(ROW(E$2:E741)*(E741=E$2:E741)))))-COUNTBLANK(OFFSET(A$1,,,SUMPRODUCT(MAX(ROW(E$1:E740)*(E2=E$1:E740))))))</f>
        <v> </v>
      </c>
      <c r="K741" s="26" t="str">
        <f>IF(OR(E741="",E741="!!!",F741="NEW"),"",INDEX(J$1:J740,SUMPRODUCT(MAX(ROW(E$1:E740)*(E741=E$1:E740)))))</f>
        <v> </v>
      </c>
      <c r="L741" s="27"/>
    </row>
    <row r="742" spans="1:12">
      <c r="A742" s="20" t="s">
        <v>435</v>
      </c>
      <c r="E742" s="22">
        <f>IF(D742="?OLD","!!!","")</f>
        <v/>
      </c>
      <c r="F742" s="23" t="str">
        <f>IF(OR(E742="",E742="!!!"),"",IF(NOT(ISNA(VLOOKUP(E742,E$1:E741,1,FALSE()))),"OLD",IF(AND(E742&lt;&gt;"",E742&lt;&gt;"!!!"),"NEW","")))</f>
        <v> </v>
      </c>
      <c r="G742" s="24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5" t="str">
        <f>IF(J742&lt;&gt;1,"",IF(I742="SBJ","CB","?"))</f>
        <v> </v>
      </c>
      <c r="I742" s="26" t="str">
        <f>IF(OR(E742="",E742="!!!",F742="NEW"),"",INDEX(B741:B$2,-1+SUMPRODUCT(MAX(ROW(E741:E$2)*(E742=E741:E$2)))))</f>
        <v> </v>
      </c>
      <c r="J742" s="26" t="str">
        <f>IF(OR(E742="",E742="!!!",F742="NEW"),"",COUNTBLANK(OFFSET(A$1,,,SUMPRODUCT(MAX(ROW(E$2:E742)*(E742=E$2:E742)))))-COUNTBLANK(OFFSET(A$1,,,SUMPRODUCT(MAX(ROW(E$1:E741)*(E2=E$1:E741))))))</f>
        <v> </v>
      </c>
      <c r="K742" s="26" t="str">
        <f>IF(OR(E742="",E742="!!!",F742="NEW"),"",INDEX(J$1:J741,SUMPRODUCT(MAX(ROW(E$1:E741)*(E742=E$1:E741)))))</f>
        <v> </v>
      </c>
      <c r="L742" s="27"/>
    </row>
    <row r="743" spans="1:12">
      <c r="A743" s="20" t="s">
        <v>226</v>
      </c>
      <c r="E743" s="22">
        <f>IF(D743="?OLD","!!!","")</f>
        <v/>
      </c>
      <c r="F743" s="23" t="str">
        <f>IF(OR(E743="",E743="!!!"),"",IF(NOT(ISNA(VLOOKUP(E743,E$1:E742,1,FALSE()))),"OLD",IF(AND(E743&lt;&gt;"",E743&lt;&gt;"!!!"),"NEW","")))</f>
        <v> </v>
      </c>
      <c r="G743" s="24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5" t="str">
        <f>IF(J743&lt;&gt;1,"",IF(I743="SBJ","CB","?"))</f>
        <v> </v>
      </c>
      <c r="I743" s="26" t="str">
        <f>IF(OR(E743="",E743="!!!",F743="NEW"),"",INDEX(B742:B$2,-1+SUMPRODUCT(MAX(ROW(E742:E$2)*(E743=E742:E$2)))))</f>
        <v> </v>
      </c>
      <c r="J743" s="26" t="str">
        <f>IF(OR(E743="",E743="!!!",F743="NEW"),"",COUNTBLANK(OFFSET(A$1,,,SUMPRODUCT(MAX(ROW(E$2:E743)*(E743=E$2:E743)))))-COUNTBLANK(OFFSET(A$1,,,SUMPRODUCT(MAX(ROW(E$1:E742)*(E2=E$1:E742))))))</f>
        <v> </v>
      </c>
      <c r="K743" s="26" t="str">
        <f>IF(OR(E743="",E743="!!!",F743="NEW"),"",INDEX(J$1:J742,SUMPRODUCT(MAX(ROW(E$1:E742)*(E743=E$1:E742)))))</f>
        <v> </v>
      </c>
      <c r="L743" s="27"/>
    </row>
    <row r="744" spans="1:12">
      <c r="A744" s="20" t="s">
        <v>436</v>
      </c>
      <c r="B744" s="21" t="s">
        <v>356</v>
      </c>
      <c r="C744" s="21" t="s">
        <v>192</v>
      </c>
      <c r="D744" s="21" t="s">
        <v>193</v>
      </c>
      <c r="E744" s="22">
        <f>IF(D744="?OLD","!!!","")</f>
        <v/>
      </c>
      <c r="F744" s="23" t="str">
        <f>IF(OR(E744="",E744="!!!"),"",IF(NOT(ISNA(VLOOKUP(E744,E$1:E743,1,FALSE()))),"OLD",IF(AND(E744&lt;&gt;"",E744&lt;&gt;"!!!"),"NEW","")))</f>
        <v> </v>
      </c>
      <c r="G744" s="24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5" t="str">
        <f>IF(J744&lt;&gt;1,"",IF(I744="SBJ","CB","?"))</f>
        <v> </v>
      </c>
      <c r="I744" s="26" t="str">
        <f>IF(OR(E744="",E744="!!!",F744="NEW"),"",INDEX(B743:B$2,-1+SUMPRODUCT(MAX(ROW(E743:E$2)*(E744=E743:E$2)))))</f>
        <v> </v>
      </c>
      <c r="J744" s="26" t="str">
        <f>IF(OR(E744="",E744="!!!",F744="NEW"),"",COUNTBLANK(OFFSET(A$1,,,SUMPRODUCT(MAX(ROW(E$2:E744)*(E744=E$2:E744)))))-COUNTBLANK(OFFSET(A$1,,,SUMPRODUCT(MAX(ROW(E$1:E743)*(E2=E$1:E743))))))</f>
        <v> </v>
      </c>
      <c r="K744" s="26" t="str">
        <f>IF(OR(E744="",E744="!!!",F744="NEW"),"",INDEX(J$1:J743,SUMPRODUCT(MAX(ROW(E$1:E743)*(E744=E$1:E743)))))</f>
        <v> </v>
      </c>
      <c r="L744" s="27"/>
    </row>
    <row r="745" spans="1:12">
      <c r="A745" s="20" t="s">
        <v>204</v>
      </c>
      <c r="E745" s="22">
        <f>IF(D745="?OLD","!!!","")</f>
        <v/>
      </c>
      <c r="F745" s="23" t="str">
        <f>IF(OR(E745="",E745="!!!"),"",IF(NOT(ISNA(VLOOKUP(E745,E$1:E744,1,FALSE()))),"OLD",IF(AND(E745&lt;&gt;"",E745&lt;&gt;"!!!"),"NEW","")))</f>
        <v> </v>
      </c>
      <c r="G745" s="24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5" t="str">
        <f>IF(J745&lt;&gt;1,"",IF(I745="SBJ","CB","?"))</f>
        <v> </v>
      </c>
      <c r="I745" s="26" t="str">
        <f>IF(OR(E745="",E745="!!!",F745="NEW"),"",INDEX(B744:B$2,-1+SUMPRODUCT(MAX(ROW(E744:E$2)*(E745=E744:E$2)))))</f>
        <v> </v>
      </c>
      <c r="J745" s="26" t="str">
        <f>IF(OR(E745="",E745="!!!",F745="NEW"),"",COUNTBLANK(OFFSET(A$1,,,SUMPRODUCT(MAX(ROW(E$2:E745)*(E745=E$2:E745)))))-COUNTBLANK(OFFSET(A$1,,,SUMPRODUCT(MAX(ROW(E$1:E744)*(E2=E$1:E744))))))</f>
        <v> </v>
      </c>
      <c r="K745" s="26" t="str">
        <f>IF(OR(E745="",E745="!!!",F745="NEW"),"",INDEX(J$1:J744,SUMPRODUCT(MAX(ROW(E$1:E744)*(E745=E$1:E744)))))</f>
        <v> </v>
      </c>
      <c r="L745" s="27"/>
    </row>
    <row r="746" spans="1:12">
      <c r="A746" s="20" t="s">
        <v>214</v>
      </c>
      <c r="E746" s="22">
        <f>IF(D746="?OLD","!!!","")</f>
        <v/>
      </c>
      <c r="F746" s="23" t="str">
        <f>IF(OR(E746="",E746="!!!"),"",IF(NOT(ISNA(VLOOKUP(E746,E$1:E745,1,FALSE()))),"OLD",IF(AND(E746&lt;&gt;"",E746&lt;&gt;"!!!"),"NEW","")))</f>
        <v> </v>
      </c>
      <c r="G746" s="24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5" t="str">
        <f>IF(J746&lt;&gt;1,"",IF(I746="SBJ","CB","?"))</f>
        <v> </v>
      </c>
      <c r="I746" s="26" t="str">
        <f>IF(OR(E746="",E746="!!!",F746="NEW"),"",INDEX(B745:B$2,-1+SUMPRODUCT(MAX(ROW(E745:E$2)*(E746=E745:E$2)))))</f>
        <v> </v>
      </c>
      <c r="J746" s="26" t="str">
        <f>IF(OR(E746="",E746="!!!",F746="NEW"),"",COUNTBLANK(OFFSET(A$1,,,SUMPRODUCT(MAX(ROW(E$2:E746)*(E746=E$2:E746)))))-COUNTBLANK(OFFSET(A$1,,,SUMPRODUCT(MAX(ROW(E$1:E745)*(E2=E$1:E745))))))</f>
        <v> </v>
      </c>
      <c r="K746" s="26" t="str">
        <f>IF(OR(E746="",E746="!!!",F746="NEW"),"",INDEX(J$1:J745,SUMPRODUCT(MAX(ROW(E$1:E745)*(E746=E$1:E745)))))</f>
        <v> </v>
      </c>
      <c r="L746" s="27"/>
    </row>
    <row r="747" spans="1:12">
      <c r="A747" s="20" t="s">
        <v>190</v>
      </c>
      <c r="B747" s="21" t="s">
        <v>199</v>
      </c>
      <c r="C747" s="21" t="s">
        <v>192</v>
      </c>
      <c r="D747" s="21" t="s">
        <v>193</v>
      </c>
      <c r="E747" s="22">
        <f>IF(D747="?OLD","!!!","")</f>
        <v/>
      </c>
      <c r="F747" s="23" t="str">
        <f>IF(OR(E747="",E747="!!!"),"",IF(NOT(ISNA(VLOOKUP(E747,E$1:E746,1,FALSE()))),"OLD",IF(AND(E747&lt;&gt;"",E747&lt;&gt;"!!!"),"NEW","")))</f>
        <v> </v>
      </c>
      <c r="G747" s="24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5" t="str">
        <f>IF(J747&lt;&gt;1,"",IF(I747="SBJ","CB","?"))</f>
        <v> </v>
      </c>
      <c r="I747" s="26" t="str">
        <f>IF(OR(E747="",E747="!!!",F747="NEW"),"",INDEX(B746:B$2,-1+SUMPRODUCT(MAX(ROW(E746:E$2)*(E747=E746:E$2)))))</f>
        <v> </v>
      </c>
      <c r="J747" s="26" t="str">
        <f>IF(OR(E747="",E747="!!!",F747="NEW"),"",COUNTBLANK(OFFSET(A$1,,,SUMPRODUCT(MAX(ROW(E$2:E747)*(E747=E$2:E747)))))-COUNTBLANK(OFFSET(A$1,,,SUMPRODUCT(MAX(ROW(E$1:E746)*(E2=E$1:E746))))))</f>
        <v> </v>
      </c>
      <c r="K747" s="26" t="str">
        <f>IF(OR(E747="",E747="!!!",F747="NEW"),"",INDEX(J$1:J746,SUMPRODUCT(MAX(ROW(E$1:E746)*(E747=E$1:E746)))))</f>
        <v> </v>
      </c>
      <c r="L747" s="27"/>
    </row>
    <row r="748" spans="1:12">
      <c r="A748" s="20" t="s">
        <v>222</v>
      </c>
      <c r="E748" s="22">
        <f>IF(D748="?OLD","!!!","")</f>
        <v/>
      </c>
      <c r="F748" s="23" t="str">
        <f>IF(OR(E748="",E748="!!!"),"",IF(NOT(ISNA(VLOOKUP(E748,E$1:E747,1,FALSE()))),"OLD",IF(AND(E748&lt;&gt;"",E748&lt;&gt;"!!!"),"NEW","")))</f>
        <v> </v>
      </c>
      <c r="G748" s="24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5" t="str">
        <f>IF(J748&lt;&gt;1,"",IF(I748="SBJ","CB","?"))</f>
        <v> </v>
      </c>
      <c r="I748" s="26" t="str">
        <f>IF(OR(E748="",E748="!!!",F748="NEW"),"",INDEX(B747:B$2,-1+SUMPRODUCT(MAX(ROW(E747:E$2)*(E748=E747:E$2)))))</f>
        <v> </v>
      </c>
      <c r="J748" s="26" t="str">
        <f>IF(OR(E748="",E748="!!!",F748="NEW"),"",COUNTBLANK(OFFSET(A$1,,,SUMPRODUCT(MAX(ROW(E$2:E748)*(E748=E$2:E748)))))-COUNTBLANK(OFFSET(A$1,,,SUMPRODUCT(MAX(ROW(E$1:E747)*(E2=E$1:E747))))))</f>
        <v> </v>
      </c>
      <c r="K748" s="26" t="str">
        <f>IF(OR(E748="",E748="!!!",F748="NEW"),"",INDEX(J$1:J747,SUMPRODUCT(MAX(ROW(E$1:E747)*(E748=E$1:E747)))))</f>
        <v> </v>
      </c>
      <c r="L748" s="27"/>
    </row>
    <row r="749" spans="1:12">
      <c r="A749" s="20" t="s">
        <v>372</v>
      </c>
      <c r="B749" s="21" t="s">
        <v>246</v>
      </c>
      <c r="C749" s="21" t="s">
        <v>192</v>
      </c>
      <c r="D749" s="21" t="s">
        <v>193</v>
      </c>
      <c r="E749" s="22">
        <f>IF(D749="?OLD","!!!","")</f>
        <v/>
      </c>
      <c r="F749" s="23" t="str">
        <f>IF(OR(E749="",E749="!!!"),"",IF(NOT(ISNA(VLOOKUP(E749,E$1:E748,1,FALSE()))),"OLD",IF(AND(E749&lt;&gt;"",E749&lt;&gt;"!!!"),"NEW","")))</f>
        <v> </v>
      </c>
      <c r="G749" s="24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5" t="str">
        <f>IF(J749&lt;&gt;1,"",IF(I749="SBJ","CB","?"))</f>
        <v> </v>
      </c>
      <c r="I749" s="26" t="str">
        <f>IF(OR(E749="",E749="!!!",F749="NEW"),"",INDEX(B748:B$2,-1+SUMPRODUCT(MAX(ROW(E748:E$2)*(E749=E748:E$2)))))</f>
        <v> </v>
      </c>
      <c r="J749" s="26" t="str">
        <f>IF(OR(E749="",E749="!!!",F749="NEW"),"",COUNTBLANK(OFFSET(A$1,,,SUMPRODUCT(MAX(ROW(E$2:E749)*(E749=E$2:E749)))))-COUNTBLANK(OFFSET(A$1,,,SUMPRODUCT(MAX(ROW(E$1:E748)*(E2=E$1:E748))))))</f>
        <v> </v>
      </c>
      <c r="K749" s="26" t="str">
        <f>IF(OR(E749="",E749="!!!",F749="NEW"),"",INDEX(J$1:J748,SUMPRODUCT(MAX(ROW(E$1:E748)*(E749=E$1:E748)))))</f>
        <v> </v>
      </c>
      <c r="L749" s="27"/>
    </row>
    <row r="750" spans="1:12">
      <c r="A750" s="20" t="s">
        <v>218</v>
      </c>
      <c r="E750" s="22">
        <f>IF(D750="?OLD","!!!","")</f>
        <v/>
      </c>
      <c r="F750" s="23" t="str">
        <f>IF(OR(E750="",E750="!!!"),"",IF(NOT(ISNA(VLOOKUP(E750,E$1:E749,1,FALSE()))),"OLD",IF(AND(E750&lt;&gt;"",E750&lt;&gt;"!!!"),"NEW","")))</f>
        <v> </v>
      </c>
      <c r="G750" s="24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5" t="str">
        <f>IF(J750&lt;&gt;1,"",IF(I750="SBJ","CB","?"))</f>
        <v> </v>
      </c>
      <c r="I750" s="26" t="str">
        <f>IF(OR(E750="",E750="!!!",F750="NEW"),"",INDEX(B749:B$2,-1+SUMPRODUCT(MAX(ROW(E749:E$2)*(E750=E749:E$2)))))</f>
        <v> </v>
      </c>
      <c r="J750" s="26" t="str">
        <f>IF(OR(E750="",E750="!!!",F750="NEW"),"",COUNTBLANK(OFFSET(A$1,,,SUMPRODUCT(MAX(ROW(E$2:E750)*(E750=E$2:E750)))))-COUNTBLANK(OFFSET(A$1,,,SUMPRODUCT(MAX(ROW(E$1:E749)*(E2=E$1:E749))))))</f>
        <v> </v>
      </c>
      <c r="K750" s="26" t="str">
        <f>IF(OR(E750="",E750="!!!",F750="NEW"),"",INDEX(J$1:J749,SUMPRODUCT(MAX(ROW(E$1:E749)*(E750=E$1:E749)))))</f>
        <v> </v>
      </c>
      <c r="L750" s="27"/>
    </row>
    <row r="751" spans="1:12">
      <c r="A751" s="20"/>
    </row>
    <row r="752" spans="1:12">
      <c r="A752" s="20" t="s">
        <v>437</v>
      </c>
    </row>
    <row r="753" spans="1:12">
      <c r="A753" s="20" t="s">
        <v>438</v>
      </c>
      <c r="E753" s="22">
        <f>IF(D753="?OLD","!!!","")</f>
        <v/>
      </c>
      <c r="F753" s="23" t="str">
        <f>IF(OR(E753="",E753="!!!"),"",IF(NOT(ISNA(VLOOKUP(E753,E$1:E752,1,FALSE()))),"OLD",IF(AND(E753&lt;&gt;"",E753&lt;&gt;"!!!"),"NEW","")))</f>
        <v> </v>
      </c>
      <c r="G753" s="24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5" t="str">
        <f>IF(J753&lt;&gt;1,"",IF(I753="SBJ","CB","?"))</f>
        <v> </v>
      </c>
      <c r="I753" s="26" t="str">
        <f>IF(OR(E753="",E753="!!!",F753="NEW"),"",INDEX(B752:B$2,-1+SUMPRODUCT(MAX(ROW(E752:E$2)*(E753=E752:E$2)))))</f>
        <v> </v>
      </c>
      <c r="J753" s="26" t="str">
        <f>IF(OR(E753="",E753="!!!",F753="NEW"),"",COUNTBLANK(OFFSET(A$1,,,SUMPRODUCT(MAX(ROW(E$2:E753)*(E753=E$2:E753)))))-COUNTBLANK(OFFSET(A$1,,,SUMPRODUCT(MAX(ROW(E$1:E752)*(E2=E$1:E752))))))</f>
        <v> </v>
      </c>
      <c r="K753" s="26" t="str">
        <f>IF(OR(E753="",E753="!!!",F753="NEW"),"",INDEX(J$1:J752,SUMPRODUCT(MAX(ROW(E$1:E752)*(E753=E$1:E752)))))</f>
        <v> </v>
      </c>
      <c r="L753" s="27"/>
    </row>
    <row r="754" spans="1:12">
      <c r="A754" s="20" t="s">
        <v>377</v>
      </c>
      <c r="B754" s="21" t="s">
        <v>196</v>
      </c>
      <c r="C754" s="21" t="s">
        <v>192</v>
      </c>
      <c r="D754" s="21" t="s">
        <v>193</v>
      </c>
      <c r="E754" s="22">
        <f>IF(D754="?OLD","!!!","")</f>
        <v/>
      </c>
      <c r="F754" s="23" t="str">
        <f>IF(OR(E754="",E754="!!!"),"",IF(NOT(ISNA(VLOOKUP(E754,E$1:E753,1,FALSE()))),"OLD",IF(AND(E754&lt;&gt;"",E754&lt;&gt;"!!!"),"NEW","")))</f>
        <v> </v>
      </c>
      <c r="G754" s="24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5" t="str">
        <f>IF(J754&lt;&gt;1,"",IF(I754="SBJ","CB","?"))</f>
        <v> </v>
      </c>
      <c r="I754" s="26" t="str">
        <f>IF(OR(E754="",E754="!!!",F754="NEW"),"",INDEX(B753:B$2,-1+SUMPRODUCT(MAX(ROW(E753:E$2)*(E754=E753:E$2)))))</f>
        <v> </v>
      </c>
      <c r="J754" s="26" t="str">
        <f>IF(OR(E754="",E754="!!!",F754="NEW"),"",COUNTBLANK(OFFSET(A$1,,,SUMPRODUCT(MAX(ROW(E$2:E754)*(E754=E$2:E754)))))-COUNTBLANK(OFFSET(A$1,,,SUMPRODUCT(MAX(ROW(E$1:E753)*(E2=E$1:E753))))))</f>
        <v> </v>
      </c>
      <c r="K754" s="26" t="str">
        <f>IF(OR(E754="",E754="!!!",F754="NEW"),"",INDEX(J$1:J753,SUMPRODUCT(MAX(ROW(E$1:E753)*(E754=E$1:E753)))))</f>
        <v> </v>
      </c>
      <c r="L754" s="27"/>
    </row>
    <row r="755" spans="1:12">
      <c r="A755" s="20" t="s">
        <v>226</v>
      </c>
      <c r="E755" s="22">
        <f>IF(D755="?OLD","!!!","")</f>
        <v/>
      </c>
      <c r="F755" s="23" t="str">
        <f>IF(OR(E755="",E755="!!!"),"",IF(NOT(ISNA(VLOOKUP(E755,E$1:E754,1,FALSE()))),"OLD",IF(AND(E755&lt;&gt;"",E755&lt;&gt;"!!!"),"NEW","")))</f>
        <v> </v>
      </c>
      <c r="G755" s="24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5" t="str">
        <f>IF(J755&lt;&gt;1,"",IF(I755="SBJ","CB","?"))</f>
        <v> </v>
      </c>
      <c r="I755" s="26" t="str">
        <f>IF(OR(E755="",E755="!!!",F755="NEW"),"",INDEX(B754:B$2,-1+SUMPRODUCT(MAX(ROW(E754:E$2)*(E755=E754:E$2)))))</f>
        <v> </v>
      </c>
      <c r="J755" s="26" t="str">
        <f>IF(OR(E755="",E755="!!!",F755="NEW"),"",COUNTBLANK(OFFSET(A$1,,,SUMPRODUCT(MAX(ROW(E$2:E755)*(E755=E$2:E755)))))-COUNTBLANK(OFFSET(A$1,,,SUMPRODUCT(MAX(ROW(E$1:E754)*(E2=E$1:E754))))))</f>
        <v> </v>
      </c>
      <c r="K755" s="26" t="str">
        <f>IF(OR(E755="",E755="!!!",F755="NEW"),"",INDEX(J$1:J754,SUMPRODUCT(MAX(ROW(E$1:E754)*(E755=E$1:E754)))))</f>
        <v> </v>
      </c>
      <c r="L755" s="27"/>
    </row>
    <row r="756" spans="1:12">
      <c r="A756" s="20" t="s">
        <v>198</v>
      </c>
      <c r="B756" s="21" t="s">
        <v>202</v>
      </c>
      <c r="C756" s="21" t="s">
        <v>200</v>
      </c>
      <c r="D756" s="21" t="s">
        <v>193</v>
      </c>
      <c r="E756" s="22">
        <f>IF(D756="?OLD","!!!","")</f>
        <v/>
      </c>
      <c r="F756" s="23" t="str">
        <f>IF(OR(E756="",E756="!!!"),"",IF(NOT(ISNA(VLOOKUP(E756,E$1:E755,1,FALSE()))),"OLD",IF(AND(E756&lt;&gt;"",E756&lt;&gt;"!!!"),"NEW","")))</f>
        <v> </v>
      </c>
      <c r="G756" s="24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5" t="str">
        <f>IF(J756&lt;&gt;1,"",IF(I756="SBJ","CB","?"))</f>
        <v> </v>
      </c>
      <c r="I756" s="26" t="str">
        <f>IF(OR(E756="",E756="!!!",F756="NEW"),"",INDEX(B755:B$2,-1+SUMPRODUCT(MAX(ROW(E755:E$2)*(E756=E755:E$2)))))</f>
        <v> </v>
      </c>
      <c r="J756" s="26" t="str">
        <f>IF(OR(E756="",E756="!!!",F756="NEW"),"",COUNTBLANK(OFFSET(A$1,,,SUMPRODUCT(MAX(ROW(E$2:E756)*(E756=E$2:E756)))))-COUNTBLANK(OFFSET(A$1,,,SUMPRODUCT(MAX(ROW(E$1:E755)*(E2=E$1:E755))))))</f>
        <v> </v>
      </c>
      <c r="K756" s="26" t="str">
        <f>IF(OR(E756="",E756="!!!",F756="NEW"),"",INDEX(J$1:J755,SUMPRODUCT(MAX(ROW(E$1:E755)*(E756=E$1:E755)))))</f>
        <v> </v>
      </c>
      <c r="L756" s="27"/>
    </row>
    <row r="757" spans="1:12">
      <c r="A757" s="20" t="s">
        <v>432</v>
      </c>
      <c r="B757" s="21" t="s">
        <v>230</v>
      </c>
      <c r="C757" s="21" t="s">
        <v>203</v>
      </c>
      <c r="D757" s="21" t="s">
        <v>193</v>
      </c>
      <c r="E757" s="22">
        <f>IF(D757="?OLD","!!!","")</f>
        <v/>
      </c>
      <c r="F757" s="23" t="str">
        <f>IF(OR(E757="",E757="!!!"),"",IF(NOT(ISNA(VLOOKUP(E757,E$1:E756,1,FALSE()))),"OLD",IF(AND(E757&lt;&gt;"",E757&lt;&gt;"!!!"),"NEW","")))</f>
        <v> </v>
      </c>
      <c r="G757" s="24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5" t="str">
        <f>IF(J757&lt;&gt;1,"",IF(I757="SBJ","CB","?"))</f>
        <v> </v>
      </c>
      <c r="I757" s="26" t="str">
        <f>IF(OR(E757="",E757="!!!",F757="NEW"),"",INDEX(B756:B$2,-1+SUMPRODUCT(MAX(ROW(E756:E$2)*(E757=E756:E$2)))))</f>
        <v> </v>
      </c>
      <c r="J757" s="26" t="str">
        <f>IF(OR(E757="",E757="!!!",F757="NEW"),"",COUNTBLANK(OFFSET(A$1,,,SUMPRODUCT(MAX(ROW(E$2:E757)*(E757=E$2:E757)))))-COUNTBLANK(OFFSET(A$1,,,SUMPRODUCT(MAX(ROW(E$1:E756)*(E2=E$1:E756))))))</f>
        <v> </v>
      </c>
      <c r="K757" s="26" t="str">
        <f>IF(OR(E757="",E757="!!!",F757="NEW"),"",INDEX(J$1:J756,SUMPRODUCT(MAX(ROW(E$1:E756)*(E757=E$1:E756)))))</f>
        <v> </v>
      </c>
      <c r="L757" s="27"/>
    </row>
    <row r="758" spans="1:12">
      <c r="A758" s="20" t="s">
        <v>218</v>
      </c>
      <c r="E758" s="22">
        <f>IF(D758="?OLD","!!!","")</f>
        <v/>
      </c>
      <c r="F758" s="23" t="str">
        <f>IF(OR(E758="",E758="!!!"),"",IF(NOT(ISNA(VLOOKUP(E758,E$1:E757,1,FALSE()))),"OLD",IF(AND(E758&lt;&gt;"",E758&lt;&gt;"!!!"),"NEW","")))</f>
        <v> </v>
      </c>
      <c r="G758" s="24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5" t="str">
        <f>IF(J758&lt;&gt;1,"",IF(I758="SBJ","CB","?"))</f>
        <v> </v>
      </c>
      <c r="I758" s="26" t="str">
        <f>IF(OR(E758="",E758="!!!",F758="NEW"),"",INDEX(B757:B$2,-1+SUMPRODUCT(MAX(ROW(E757:E$2)*(E758=E757:E$2)))))</f>
        <v> </v>
      </c>
      <c r="J758" s="26" t="str">
        <f>IF(OR(E758="",E758="!!!",F758="NEW"),"",COUNTBLANK(OFFSET(A$1,,,SUMPRODUCT(MAX(ROW(E$2:E758)*(E758=E$2:E758)))))-COUNTBLANK(OFFSET(A$1,,,SUMPRODUCT(MAX(ROW(E$1:E757)*(E2=E$1:E757))))))</f>
        <v> </v>
      </c>
      <c r="K758" s="26" t="str">
        <f>IF(OR(E758="",E758="!!!",F758="NEW"),"",INDEX(J$1:J757,SUMPRODUCT(MAX(ROW(E$1:E757)*(E758=E$1:E757)))))</f>
        <v> </v>
      </c>
      <c r="L758" s="27"/>
    </row>
    <row r="759" spans="1:12">
      <c r="A759" s="20"/>
    </row>
    <row r="760" spans="1:12">
      <c r="A760" s="20" t="s">
        <v>439</v>
      </c>
    </row>
    <row r="761" spans="1:12">
      <c r="A761" s="20" t="s">
        <v>440</v>
      </c>
      <c r="B761" s="21" t="s">
        <v>230</v>
      </c>
      <c r="C761" s="21" t="s">
        <v>192</v>
      </c>
      <c r="D761" s="21" t="s">
        <v>193</v>
      </c>
      <c r="E761" s="22">
        <f>IF(D761="?OLD","!!!","")</f>
        <v/>
      </c>
      <c r="F761" s="23" t="str">
        <f>IF(OR(E761="",E761="!!!"),"",IF(NOT(ISNA(VLOOKUP(E761,E$1:E760,1,FALSE()))),"OLD",IF(AND(E761&lt;&gt;"",E761&lt;&gt;"!!!"),"NEW","")))</f>
        <v> </v>
      </c>
      <c r="G761" s="24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5" t="str">
        <f>IF(J761&lt;&gt;1,"",IF(I761="SBJ","CB","?"))</f>
        <v> </v>
      </c>
      <c r="I761" s="26" t="str">
        <f>IF(OR(E761="",E761="!!!",F761="NEW"),"",INDEX(B760:B$2,-1+SUMPRODUCT(MAX(ROW(E760:E$2)*(E761=E760:E$2)))))</f>
        <v> </v>
      </c>
      <c r="J761" s="26" t="str">
        <f>IF(OR(E761="",E761="!!!",F761="NEW"),"",COUNTBLANK(OFFSET(A$1,,,SUMPRODUCT(MAX(ROW(E$2:E761)*(E761=E$2:E761)))))-COUNTBLANK(OFFSET(A$1,,,SUMPRODUCT(MAX(ROW(E$1:E760)*(E2=E$1:E760))))))</f>
        <v> </v>
      </c>
      <c r="K761" s="26" t="str">
        <f>IF(OR(E761="",E761="!!!",F761="NEW"),"",INDEX(J$1:J760,SUMPRODUCT(MAX(ROW(E$1:E760)*(E761=E$1:E760)))))</f>
        <v> </v>
      </c>
      <c r="L761" s="27"/>
    </row>
    <row r="762" spans="1:12">
      <c r="A762" s="20" t="s">
        <v>190</v>
      </c>
      <c r="B762" s="21" t="s">
        <v>230</v>
      </c>
      <c r="C762" s="21" t="s">
        <v>192</v>
      </c>
      <c r="D762" s="21" t="s">
        <v>193</v>
      </c>
      <c r="E762" s="22">
        <f>IF(D762="?OLD","!!!","")</f>
        <v/>
      </c>
      <c r="F762" s="23" t="str">
        <f>IF(OR(E762="",E762="!!!"),"",IF(NOT(ISNA(VLOOKUP(E762,E$1:E761,1,FALSE()))),"OLD",IF(AND(E762&lt;&gt;"",E762&lt;&gt;"!!!"),"NEW","")))</f>
        <v> </v>
      </c>
      <c r="G762" s="24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5" t="str">
        <f>IF(J762&lt;&gt;1,"",IF(I762="SBJ","CB","?"))</f>
        <v> </v>
      </c>
      <c r="I762" s="26" t="str">
        <f>IF(OR(E762="",E762="!!!",F762="NEW"),"",INDEX(B761:B$2,-1+SUMPRODUCT(MAX(ROW(E761:E$2)*(E762=E761:E$2)))))</f>
        <v> </v>
      </c>
      <c r="J762" s="26" t="str">
        <f>IF(OR(E762="",E762="!!!",F762="NEW"),"",COUNTBLANK(OFFSET(A$1,,,SUMPRODUCT(MAX(ROW(E$2:E762)*(E762=E$2:E762)))))-COUNTBLANK(OFFSET(A$1,,,SUMPRODUCT(MAX(ROW(E$1:E761)*(E2=E$1:E761))))))</f>
        <v> </v>
      </c>
      <c r="K762" s="26" t="str">
        <f>IF(OR(E762="",E762="!!!",F762="NEW"),"",INDEX(J$1:J761,SUMPRODUCT(MAX(ROW(E$1:E761)*(E762=E$1:E761)))))</f>
        <v> </v>
      </c>
      <c r="L762" s="27"/>
    </row>
    <row r="763" spans="1:12">
      <c r="A763" s="20" t="s">
        <v>441</v>
      </c>
      <c r="E763" s="22">
        <f>IF(D763="?OLD","!!!","")</f>
        <v/>
      </c>
      <c r="F763" s="23" t="str">
        <f>IF(OR(E763="",E763="!!!"),"",IF(NOT(ISNA(VLOOKUP(E763,E$1:E762,1,FALSE()))),"OLD",IF(AND(E763&lt;&gt;"",E763&lt;&gt;"!!!"),"NEW","")))</f>
        <v> </v>
      </c>
      <c r="G763" s="24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5" t="str">
        <f>IF(J763&lt;&gt;1,"",IF(I763="SBJ","CB","?"))</f>
        <v> </v>
      </c>
      <c r="I763" s="26" t="str">
        <f>IF(OR(E763="",E763="!!!",F763="NEW"),"",INDEX(B762:B$2,-1+SUMPRODUCT(MAX(ROW(E762:E$2)*(E763=E762:E$2)))))</f>
        <v> </v>
      </c>
      <c r="J763" s="26" t="str">
        <f>IF(OR(E763="",E763="!!!",F763="NEW"),"",COUNTBLANK(OFFSET(A$1,,,SUMPRODUCT(MAX(ROW(E$2:E763)*(E763=E$2:E763)))))-COUNTBLANK(OFFSET(A$1,,,SUMPRODUCT(MAX(ROW(E$1:E762)*(E2=E$1:E762))))))</f>
        <v> </v>
      </c>
      <c r="K763" s="26" t="str">
        <f>IF(OR(E763="",E763="!!!",F763="NEW"),"",INDEX(J$1:J762,SUMPRODUCT(MAX(ROW(E$1:E762)*(E763=E$1:E762)))))</f>
        <v> </v>
      </c>
      <c r="L763" s="27"/>
    </row>
    <row r="764" spans="1:12">
      <c r="A764" s="20" t="s">
        <v>374</v>
      </c>
      <c r="E764" s="22">
        <f>IF(D764="?OLD","!!!","")</f>
        <v/>
      </c>
      <c r="F764" s="23" t="str">
        <f>IF(OR(E764="",E764="!!!"),"",IF(NOT(ISNA(VLOOKUP(E764,E$1:E763,1,FALSE()))),"OLD",IF(AND(E764&lt;&gt;"",E764&lt;&gt;"!!!"),"NEW","")))</f>
        <v> </v>
      </c>
      <c r="G764" s="24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5" t="str">
        <f>IF(J764&lt;&gt;1,"",IF(I764="SBJ","CB","?"))</f>
        <v> </v>
      </c>
      <c r="I764" s="26" t="str">
        <f>IF(OR(E764="",E764="!!!",F764="NEW"),"",INDEX(B763:B$2,-1+SUMPRODUCT(MAX(ROW(E763:E$2)*(E764=E763:E$2)))))</f>
        <v> </v>
      </c>
      <c r="J764" s="26" t="str">
        <f>IF(OR(E764="",E764="!!!",F764="NEW"),"",COUNTBLANK(OFFSET(A$1,,,SUMPRODUCT(MAX(ROW(E$2:E764)*(E764=E$2:E764)))))-COUNTBLANK(OFFSET(A$1,,,SUMPRODUCT(MAX(ROW(E$1:E763)*(E2=E$1:E763))))))</f>
        <v> </v>
      </c>
      <c r="K764" s="26" t="str">
        <f>IF(OR(E764="",E764="!!!",F764="NEW"),"",INDEX(J$1:J763,SUMPRODUCT(MAX(ROW(E$1:E763)*(E764=E$1:E763)))))</f>
        <v> </v>
      </c>
      <c r="L764" s="27"/>
    </row>
    <row r="765" spans="1:12">
      <c r="A765" s="20" t="s">
        <v>218</v>
      </c>
      <c r="E765" s="22">
        <f>IF(D765="?OLD","!!!","")</f>
        <v/>
      </c>
      <c r="F765" s="23" t="str">
        <f>IF(OR(E765="",E765="!!!"),"",IF(NOT(ISNA(VLOOKUP(E765,E$1:E764,1,FALSE()))),"OLD",IF(AND(E765&lt;&gt;"",E765&lt;&gt;"!!!"),"NEW","")))</f>
        <v> </v>
      </c>
      <c r="G765" s="24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5" t="str">
        <f>IF(J765&lt;&gt;1,"",IF(I765="SBJ","CB","?"))</f>
        <v> </v>
      </c>
      <c r="I765" s="26" t="str">
        <f>IF(OR(E765="",E765="!!!",F765="NEW"),"",INDEX(B764:B$2,-1+SUMPRODUCT(MAX(ROW(E764:E$2)*(E765=E764:E$2)))))</f>
        <v> </v>
      </c>
      <c r="J765" s="26" t="str">
        <f>IF(OR(E765="",E765="!!!",F765="NEW"),"",COUNTBLANK(OFFSET(A$1,,,SUMPRODUCT(MAX(ROW(E$2:E765)*(E765=E$2:E765)))))-COUNTBLANK(OFFSET(A$1,,,SUMPRODUCT(MAX(ROW(E$1:E764)*(E2=E$1:E764))))))</f>
        <v> </v>
      </c>
      <c r="K765" s="26" t="str">
        <f>IF(OR(E765="",E765="!!!",F765="NEW"),"",INDEX(J$1:J764,SUMPRODUCT(MAX(ROW(E$1:E764)*(E765=E$1:E764)))))</f>
        <v> </v>
      </c>
      <c r="L765" s="27"/>
    </row>
    <row r="766" spans="1:12">
      <c r="A766" s="20"/>
    </row>
    <row r="767" spans="1:12">
      <c r="A767" s="20" t="s">
        <v>442</v>
      </c>
    </row>
    <row r="768" spans="1:12">
      <c r="A768" s="20" t="s">
        <v>438</v>
      </c>
      <c r="E768" s="22">
        <f>IF(D768="?OLD","!!!","")</f>
        <v/>
      </c>
      <c r="F768" s="23" t="str">
        <f>IF(OR(E768="",E768="!!!"),"",IF(NOT(ISNA(VLOOKUP(E768,E$1:E767,1,FALSE()))),"OLD",IF(AND(E768&lt;&gt;"",E768&lt;&gt;"!!!"),"NEW","")))</f>
        <v> </v>
      </c>
      <c r="G768" s="24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5" t="str">
        <f>IF(J768&lt;&gt;1,"",IF(I768="SBJ","CB","?"))</f>
        <v> </v>
      </c>
      <c r="I768" s="26" t="str">
        <f>IF(OR(E768="",E768="!!!",F768="NEW"),"",INDEX(B767:B$2,-1+SUMPRODUCT(MAX(ROW(E767:E$2)*(E768=E767:E$2)))))</f>
        <v> </v>
      </c>
      <c r="J768" s="26" t="str">
        <f>IF(OR(E768="",E768="!!!",F768="NEW"),"",COUNTBLANK(OFFSET(A$1,,,SUMPRODUCT(MAX(ROW(E$2:E768)*(E768=E$2:E768)))))-COUNTBLANK(OFFSET(A$1,,,SUMPRODUCT(MAX(ROW(E$1:E767)*(E2=E$1:E767))))))</f>
        <v> </v>
      </c>
      <c r="K768" s="26" t="str">
        <f>IF(OR(E768="",E768="!!!",F768="NEW"),"",INDEX(J$1:J767,SUMPRODUCT(MAX(ROW(E$1:E767)*(E768=E$1:E767)))))</f>
        <v> </v>
      </c>
      <c r="L768" s="27"/>
    </row>
    <row r="769" spans="1:12">
      <c r="A769" s="20" t="s">
        <v>304</v>
      </c>
      <c r="B769" s="21" t="s">
        <v>196</v>
      </c>
      <c r="C769" s="21" t="s">
        <v>208</v>
      </c>
      <c r="D769" s="21" t="s">
        <v>193</v>
      </c>
      <c r="E769" s="22">
        <f>IF(D769="?OLD","!!!","")</f>
        <v/>
      </c>
      <c r="F769" s="23" t="str">
        <f>IF(OR(E769="",E769="!!!"),"",IF(NOT(ISNA(VLOOKUP(E769,E$1:E768,1,FALSE()))),"OLD",IF(AND(E769&lt;&gt;"",E769&lt;&gt;"!!!"),"NEW","")))</f>
        <v> </v>
      </c>
      <c r="G769" s="24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5" t="str">
        <f>IF(J769&lt;&gt;1,"",IF(I769="SBJ","CB","?"))</f>
        <v> </v>
      </c>
      <c r="I769" s="26" t="str">
        <f>IF(OR(E769="",E769="!!!",F769="NEW"),"",INDEX(B768:B$2,-1+SUMPRODUCT(MAX(ROW(E768:E$2)*(E769=E768:E$2)))))</f>
        <v> </v>
      </c>
      <c r="J769" s="26" t="str">
        <f>IF(OR(E769="",E769="!!!",F769="NEW"),"",COUNTBLANK(OFFSET(A$1,,,SUMPRODUCT(MAX(ROW(E$2:E769)*(E769=E$2:E769)))))-COUNTBLANK(OFFSET(A$1,,,SUMPRODUCT(MAX(ROW(E$1:E768)*(E2=E$1:E768))))))</f>
        <v> </v>
      </c>
      <c r="K769" s="26" t="str">
        <f>IF(OR(E769="",E769="!!!",F769="NEW"),"",INDEX(J$1:J768,SUMPRODUCT(MAX(ROW(E$1:E768)*(E769=E$1:E768)))))</f>
        <v> </v>
      </c>
      <c r="L769" s="27"/>
    </row>
    <row r="770" spans="1:12">
      <c r="A770" s="20" t="s">
        <v>443</v>
      </c>
      <c r="E770" s="22">
        <f>IF(D770="?OLD","!!!","")</f>
        <v/>
      </c>
      <c r="F770" s="23" t="str">
        <f>IF(OR(E770="",E770="!!!"),"",IF(NOT(ISNA(VLOOKUP(E770,E$1:E769,1,FALSE()))),"OLD",IF(AND(E770&lt;&gt;"",E770&lt;&gt;"!!!"),"NEW","")))</f>
        <v> </v>
      </c>
      <c r="G770" s="24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5" t="str">
        <f>IF(J770&lt;&gt;1,"",IF(I770="SBJ","CB","?"))</f>
        <v> </v>
      </c>
      <c r="I770" s="26" t="str">
        <f>IF(OR(E770="",E770="!!!",F770="NEW"),"",INDEX(B769:B$2,-1+SUMPRODUCT(MAX(ROW(E769:E$2)*(E770=E769:E$2)))))</f>
        <v> </v>
      </c>
      <c r="J770" s="26" t="str">
        <f>IF(OR(E770="",E770="!!!",F770="NEW"),"",COUNTBLANK(OFFSET(A$1,,,SUMPRODUCT(MAX(ROW(E$2:E770)*(E770=E$2:E770)))))-COUNTBLANK(OFFSET(A$1,,,SUMPRODUCT(MAX(ROW(E$1:E769)*(E2=E$1:E769))))))</f>
        <v> </v>
      </c>
      <c r="K770" s="26" t="str">
        <f>IF(OR(E770="",E770="!!!",F770="NEW"),"",INDEX(J$1:J769,SUMPRODUCT(MAX(ROW(E$1:E769)*(E770=E$1:E769)))))</f>
        <v> </v>
      </c>
      <c r="L770" s="27"/>
    </row>
    <row r="771" spans="1:12">
      <c r="A771" s="20" t="s">
        <v>293</v>
      </c>
      <c r="E771" s="22">
        <f>IF(D771="?OLD","!!!","")</f>
        <v/>
      </c>
      <c r="F771" s="23" t="str">
        <f>IF(OR(E771="",E771="!!!"),"",IF(NOT(ISNA(VLOOKUP(E771,E$1:E770,1,FALSE()))),"OLD",IF(AND(E771&lt;&gt;"",E771&lt;&gt;"!!!"),"NEW","")))</f>
        <v> </v>
      </c>
      <c r="G771" s="24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5" t="str">
        <f>IF(J771&lt;&gt;1,"",IF(I771="SBJ","CB","?"))</f>
        <v> </v>
      </c>
      <c r="I771" s="26" t="str">
        <f>IF(OR(E771="",E771="!!!",F771="NEW"),"",INDEX(B770:B$2,-1+SUMPRODUCT(MAX(ROW(E770:E$2)*(E771=E770:E$2)))))</f>
        <v> </v>
      </c>
      <c r="J771" s="26" t="str">
        <f>IF(OR(E771="",E771="!!!",F771="NEW"),"",COUNTBLANK(OFFSET(A$1,,,SUMPRODUCT(MAX(ROW(E$2:E771)*(E771=E$2:E771)))))-COUNTBLANK(OFFSET(A$1,,,SUMPRODUCT(MAX(ROW(E$1:E770)*(E2=E$1:E770))))))</f>
        <v> </v>
      </c>
      <c r="K771" s="26" t="str">
        <f>IF(OR(E771="",E771="!!!",F771="NEW"),"",INDEX(J$1:J770,SUMPRODUCT(MAX(ROW(E$1:E770)*(E771=E$1:E770)))))</f>
        <v> </v>
      </c>
      <c r="L771" s="27"/>
    </row>
    <row r="772" spans="1:12">
      <c r="A772" s="20" t="s">
        <v>214</v>
      </c>
      <c r="E772" s="22">
        <f>IF(D772="?OLD","!!!","")</f>
        <v/>
      </c>
      <c r="F772" s="23" t="str">
        <f>IF(OR(E772="",E772="!!!"),"",IF(NOT(ISNA(VLOOKUP(E772,E$1:E771,1,FALSE()))),"OLD",IF(AND(E772&lt;&gt;"",E772&lt;&gt;"!!!"),"NEW","")))</f>
        <v> </v>
      </c>
      <c r="G772" s="24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5" t="str">
        <f>IF(J772&lt;&gt;1,"",IF(I772="SBJ","CB","?"))</f>
        <v> </v>
      </c>
      <c r="I772" s="26" t="str">
        <f>IF(OR(E772="",E772="!!!",F772="NEW"),"",INDEX(B771:B$2,-1+SUMPRODUCT(MAX(ROW(E771:E$2)*(E772=E771:E$2)))))</f>
        <v> </v>
      </c>
      <c r="J772" s="26" t="str">
        <f>IF(OR(E772="",E772="!!!",F772="NEW"),"",COUNTBLANK(OFFSET(A$1,,,SUMPRODUCT(MAX(ROW(E$2:E772)*(E772=E$2:E772)))))-COUNTBLANK(OFFSET(A$1,,,SUMPRODUCT(MAX(ROW(E$1:E771)*(E2=E$1:E771))))))</f>
        <v> </v>
      </c>
      <c r="K772" s="26" t="str">
        <f>IF(OR(E772="",E772="!!!",F772="NEW"),"",INDEX(J$1:J771,SUMPRODUCT(MAX(ROW(E$1:E771)*(E772=E$1:E771)))))</f>
        <v> </v>
      </c>
      <c r="L772" s="27"/>
    </row>
    <row r="773" spans="1:12">
      <c r="A773" s="20" t="s">
        <v>444</v>
      </c>
      <c r="B773" s="21" t="s">
        <v>202</v>
      </c>
      <c r="C773" s="21" t="s">
        <v>203</v>
      </c>
      <c r="D773" s="21" t="s">
        <v>193</v>
      </c>
      <c r="E773" s="22">
        <f>IF(D773="?OLD","!!!","")</f>
        <v/>
      </c>
      <c r="F773" s="23" t="str">
        <f>IF(OR(E773="",E773="!!!"),"",IF(NOT(ISNA(VLOOKUP(E773,E$1:E772,1,FALSE()))),"OLD",IF(AND(E773&lt;&gt;"",E773&lt;&gt;"!!!"),"NEW","")))</f>
        <v> </v>
      </c>
      <c r="G773" s="24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5" t="str">
        <f>IF(J773&lt;&gt;1,"",IF(I773="SBJ","CB","?"))</f>
        <v> </v>
      </c>
      <c r="I773" s="26" t="str">
        <f>IF(OR(E773="",E773="!!!",F773="NEW"),"",INDEX(B772:B$2,-1+SUMPRODUCT(MAX(ROW(E772:E$2)*(E773=E772:E$2)))))</f>
        <v> </v>
      </c>
      <c r="J773" s="26" t="str">
        <f>IF(OR(E773="",E773="!!!",F773="NEW"),"",COUNTBLANK(OFFSET(A$1,,,SUMPRODUCT(MAX(ROW(E$2:E773)*(E773=E$2:E773)))))-COUNTBLANK(OFFSET(A$1,,,SUMPRODUCT(MAX(ROW(E$1:E772)*(E2=E$1:E772))))))</f>
        <v> </v>
      </c>
      <c r="K773" s="26" t="str">
        <f>IF(OR(E773="",E773="!!!",F773="NEW"),"",INDEX(J$1:J772,SUMPRODUCT(MAX(ROW(E$1:E772)*(E773=E$1:E772)))))</f>
        <v> </v>
      </c>
      <c r="L773" s="27"/>
    </row>
    <row r="774" spans="1:12">
      <c r="A774" s="20" t="s">
        <v>222</v>
      </c>
      <c r="E774" s="22">
        <f>IF(D774="?OLD","!!!","")</f>
        <v/>
      </c>
      <c r="F774" s="23" t="str">
        <f>IF(OR(E774="",E774="!!!"),"",IF(NOT(ISNA(VLOOKUP(E774,E$1:E773,1,FALSE()))),"OLD",IF(AND(E774&lt;&gt;"",E774&lt;&gt;"!!!"),"NEW","")))</f>
        <v> </v>
      </c>
      <c r="G774" s="24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5" t="str">
        <f>IF(J774&lt;&gt;1,"",IF(I774="SBJ","CB","?"))</f>
        <v> </v>
      </c>
      <c r="I774" s="26" t="str">
        <f>IF(OR(E774="",E774="!!!",F774="NEW"),"",INDEX(B773:B$2,-1+SUMPRODUCT(MAX(ROW(E773:E$2)*(E774=E773:E$2)))))</f>
        <v> </v>
      </c>
      <c r="J774" s="26" t="str">
        <f>IF(OR(E774="",E774="!!!",F774="NEW"),"",COUNTBLANK(OFFSET(A$1,,,SUMPRODUCT(MAX(ROW(E$2:E774)*(E774=E$2:E774)))))-COUNTBLANK(OFFSET(A$1,,,SUMPRODUCT(MAX(ROW(E$1:E773)*(E2=E$1:E773))))))</f>
        <v> </v>
      </c>
      <c r="K774" s="26" t="str">
        <f>IF(OR(E774="",E774="!!!",F774="NEW"),"",INDEX(J$1:J773,SUMPRODUCT(MAX(ROW(E$1:E773)*(E774=E$1:E773)))))</f>
        <v> </v>
      </c>
      <c r="L774" s="27"/>
    </row>
    <row r="775" spans="1:12">
      <c r="A775" s="20" t="s">
        <v>372</v>
      </c>
      <c r="B775" s="21" t="s">
        <v>199</v>
      </c>
      <c r="C775" s="21" t="s">
        <v>192</v>
      </c>
      <c r="D775" s="21" t="s">
        <v>193</v>
      </c>
      <c r="E775" s="22">
        <f>IF(D775="?OLD","!!!","")</f>
        <v/>
      </c>
      <c r="F775" s="23" t="str">
        <f>IF(OR(E775="",E775="!!!"),"",IF(NOT(ISNA(VLOOKUP(E775,E$1:E774,1,FALSE()))),"OLD",IF(AND(E775&lt;&gt;"",E775&lt;&gt;"!!!"),"NEW","")))</f>
        <v> </v>
      </c>
      <c r="G775" s="24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5" t="str">
        <f>IF(J775&lt;&gt;1,"",IF(I775="SBJ","CB","?"))</f>
        <v> </v>
      </c>
      <c r="I775" s="26" t="str">
        <f>IF(OR(E775="",E775="!!!",F775="NEW"),"",INDEX(B774:B$2,-1+SUMPRODUCT(MAX(ROW(E774:E$2)*(E775=E774:E$2)))))</f>
        <v> </v>
      </c>
      <c r="J775" s="26" t="str">
        <f>IF(OR(E775="",E775="!!!",F775="NEW"),"",COUNTBLANK(OFFSET(A$1,,,SUMPRODUCT(MAX(ROW(E$2:E775)*(E775=E$2:E775)))))-COUNTBLANK(OFFSET(A$1,,,SUMPRODUCT(MAX(ROW(E$1:E774)*(E2=E$1:E774))))))</f>
        <v> </v>
      </c>
      <c r="K775" s="26" t="str">
        <f>IF(OR(E775="",E775="!!!",F775="NEW"),"",INDEX(J$1:J774,SUMPRODUCT(MAX(ROW(E$1:E774)*(E775=E$1:E774)))))</f>
        <v> </v>
      </c>
      <c r="L775" s="27"/>
    </row>
    <row r="776" spans="1:12">
      <c r="A776" s="20" t="s">
        <v>218</v>
      </c>
      <c r="E776" s="22">
        <f>IF(D776="?OLD","!!!","")</f>
        <v/>
      </c>
      <c r="F776" s="23" t="str">
        <f>IF(OR(E776="",E776="!!!"),"",IF(NOT(ISNA(VLOOKUP(E776,E$1:E775,1,FALSE()))),"OLD",IF(AND(E776&lt;&gt;"",E776&lt;&gt;"!!!"),"NEW","")))</f>
        <v> </v>
      </c>
      <c r="G776" s="24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5" t="str">
        <f>IF(J776&lt;&gt;1,"",IF(I776="SBJ","CB","?"))</f>
        <v> </v>
      </c>
      <c r="I776" s="26" t="str">
        <f>IF(OR(E776="",E776="!!!",F776="NEW"),"",INDEX(B775:B$2,-1+SUMPRODUCT(MAX(ROW(E775:E$2)*(E776=E775:E$2)))))</f>
        <v> </v>
      </c>
      <c r="J776" s="26" t="str">
        <f>IF(OR(E776="",E776="!!!",F776="NEW"),"",COUNTBLANK(OFFSET(A$1,,,SUMPRODUCT(MAX(ROW(E$2:E776)*(E776=E$2:E776)))))-COUNTBLANK(OFFSET(A$1,,,SUMPRODUCT(MAX(ROW(E$1:E775)*(E2=E$1:E775))))))</f>
        <v> </v>
      </c>
      <c r="K776" s="26" t="str">
        <f>IF(OR(E776="",E776="!!!",F776="NEW"),"",INDEX(J$1:J775,SUMPRODUCT(MAX(ROW(E$1:E775)*(E776=E$1:E775)))))</f>
        <v> </v>
      </c>
      <c r="L776" s="27"/>
    </row>
    <row r="777" spans="1:12">
      <c r="A777" s="20"/>
    </row>
    <row r="778" spans="1:12">
      <c r="A778" s="20" t="s">
        <v>297</v>
      </c>
      <c r="E778" s="22">
        <f>IF(D778="?OLD","!!!","")</f>
        <v/>
      </c>
      <c r="F778" s="23" t="str">
        <f>IF(OR(E778="",E778="!!!"),"",IF(NOT(ISNA(VLOOKUP(E778,E$1:E777,1,FALSE()))),"OLD",IF(AND(E778&lt;&gt;"",E778&lt;&gt;"!!!"),"NEW","")))</f>
        <v> </v>
      </c>
      <c r="G778" s="24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5" t="str">
        <f>IF(J778&lt;&gt;1,"",IF(I778="SBJ","CB","?"))</f>
        <v> </v>
      </c>
      <c r="I778" s="26" t="str">
        <f>IF(OR(E778="",E778="!!!",F778="NEW"),"",INDEX(B777:B$2,-1+SUMPRODUCT(MAX(ROW(E777:E$2)*(E778=E777:E$2)))))</f>
        <v> </v>
      </c>
      <c r="J778" s="26" t="str">
        <f>IF(OR(E778="",E778="!!!",F778="NEW"),"",COUNTBLANK(OFFSET(A$1,,,SUMPRODUCT(MAX(ROW(E$2:E778)*(E778=E$2:E778)))))-COUNTBLANK(OFFSET(A$1,,,SUMPRODUCT(MAX(ROW(E$1:E777)*(E2=E$1:E777))))))</f>
        <v> </v>
      </c>
      <c r="K778" s="26" t="str">
        <f>IF(OR(E778="",E778="!!!",F778="NEW"),"",INDEX(J$1:J777,SUMPRODUCT(MAX(ROW(E$1:E777)*(E778=E$1:E777)))))</f>
        <v> </v>
      </c>
      <c r="L778" s="27"/>
    </row>
    <row r="779" spans="1:12">
      <c r="A779" s="20" t="s">
        <v>445</v>
      </c>
    </row>
    <row r="780" spans="1:12">
      <c r="A780" s="20" t="s">
        <v>438</v>
      </c>
      <c r="E780" s="22">
        <f>IF(D780="?OLD","!!!","")</f>
        <v/>
      </c>
      <c r="F780" s="23" t="str">
        <f>IF(OR(E780="",E780="!!!"),"",IF(NOT(ISNA(VLOOKUP(E780,E$1:E779,1,FALSE()))),"OLD",IF(AND(E780&lt;&gt;"",E780&lt;&gt;"!!!"),"NEW","")))</f>
        <v> </v>
      </c>
      <c r="G780" s="24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5" t="str">
        <f>IF(J780&lt;&gt;1,"",IF(I780="SBJ","CB","?"))</f>
        <v> </v>
      </c>
      <c r="I780" s="26" t="str">
        <f>IF(OR(E780="",E780="!!!",F780="NEW"),"",INDEX(B779:B$2,-1+SUMPRODUCT(MAX(ROW(E779:E$2)*(E780=E779:E$2)))))</f>
        <v> </v>
      </c>
      <c r="J780" s="26" t="str">
        <f>IF(OR(E780="",E780="!!!",F780="NEW"),"",COUNTBLANK(OFFSET(A$1,,,SUMPRODUCT(MAX(ROW(E$2:E780)*(E780=E$2:E780)))))-COUNTBLANK(OFFSET(A$1,,,SUMPRODUCT(MAX(ROW(E$1:E779)*(E2=E$1:E779))))))</f>
        <v> </v>
      </c>
      <c r="K780" s="26" t="str">
        <f>IF(OR(E780="",E780="!!!",F780="NEW"),"",INDEX(J$1:J779,SUMPRODUCT(MAX(ROW(E$1:E779)*(E780=E$1:E779)))))</f>
        <v> </v>
      </c>
      <c r="L780" s="27"/>
    </row>
    <row r="781" spans="1:12">
      <c r="A781" s="20" t="s">
        <v>377</v>
      </c>
      <c r="B781" s="21" t="s">
        <v>196</v>
      </c>
      <c r="C781" s="21" t="s">
        <v>192</v>
      </c>
      <c r="D781" s="21" t="s">
        <v>193</v>
      </c>
      <c r="E781" s="22">
        <f>IF(D781="?OLD","!!!","")</f>
        <v/>
      </c>
      <c r="F781" s="23" t="str">
        <f>IF(OR(E781="",E781="!!!"),"",IF(NOT(ISNA(VLOOKUP(E781,E$1:E780,1,FALSE()))),"OLD",IF(AND(E781&lt;&gt;"",E781&lt;&gt;"!!!"),"NEW","")))</f>
        <v> </v>
      </c>
      <c r="G781" s="24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5" t="str">
        <f>IF(J781&lt;&gt;1,"",IF(I781="SBJ","CB","?"))</f>
        <v> </v>
      </c>
      <c r="I781" s="26" t="str">
        <f>IF(OR(E781="",E781="!!!",F781="NEW"),"",INDEX(B780:B$2,-1+SUMPRODUCT(MAX(ROW(E780:E$2)*(E781=E780:E$2)))))</f>
        <v> </v>
      </c>
      <c r="J781" s="26" t="str">
        <f>IF(OR(E781="",E781="!!!",F781="NEW"),"",COUNTBLANK(OFFSET(A$1,,,SUMPRODUCT(MAX(ROW(E$2:E781)*(E781=E$2:E781)))))-COUNTBLANK(OFFSET(A$1,,,SUMPRODUCT(MAX(ROW(E$1:E780)*(E2=E$1:E780))))))</f>
        <v> </v>
      </c>
      <c r="K781" s="26" t="str">
        <f>IF(OR(E781="",E781="!!!",F781="NEW"),"",INDEX(J$1:J780,SUMPRODUCT(MAX(ROW(E$1:E780)*(E781=E$1:E780)))))</f>
        <v> </v>
      </c>
      <c r="L781" s="27"/>
    </row>
    <row r="782" spans="1:12">
      <c r="A782" s="20" t="s">
        <v>226</v>
      </c>
      <c r="E782" s="22">
        <f>IF(D782="?OLD","!!!","")</f>
        <v/>
      </c>
      <c r="F782" s="23" t="str">
        <f>IF(OR(E782="",E782="!!!"),"",IF(NOT(ISNA(VLOOKUP(E782,E$1:E781,1,FALSE()))),"OLD",IF(AND(E782&lt;&gt;"",E782&lt;&gt;"!!!"),"NEW","")))</f>
        <v> </v>
      </c>
      <c r="G782" s="24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5" t="str">
        <f>IF(J782&lt;&gt;1,"",IF(I782="SBJ","CB","?"))</f>
        <v> </v>
      </c>
      <c r="I782" s="26" t="str">
        <f>IF(OR(E782="",E782="!!!",F782="NEW"),"",INDEX(B781:B$2,-1+SUMPRODUCT(MAX(ROW(E781:E$2)*(E782=E781:E$2)))))</f>
        <v> </v>
      </c>
      <c r="J782" s="26" t="str">
        <f>IF(OR(E782="",E782="!!!",F782="NEW"),"",COUNTBLANK(OFFSET(A$1,,,SUMPRODUCT(MAX(ROW(E$2:E782)*(E782=E$2:E782)))))-COUNTBLANK(OFFSET(A$1,,,SUMPRODUCT(MAX(ROW(E$1:E781)*(E2=E$1:E781))))))</f>
        <v> </v>
      </c>
      <c r="K782" s="26" t="str">
        <f>IF(OR(E782="",E782="!!!",F782="NEW"),"",INDEX(J$1:J781,SUMPRODUCT(MAX(ROW(E$1:E781)*(E782=E$1:E781)))))</f>
        <v> </v>
      </c>
      <c r="L782" s="27"/>
    </row>
    <row r="783" spans="1:12">
      <c r="A783" s="20" t="s">
        <v>198</v>
      </c>
      <c r="B783" s="21" t="s">
        <v>202</v>
      </c>
      <c r="C783" s="21" t="s">
        <v>200</v>
      </c>
      <c r="D783" s="21" t="s">
        <v>193</v>
      </c>
      <c r="E783" s="22">
        <f>IF(D783="?OLD","!!!","")</f>
        <v/>
      </c>
      <c r="F783" s="23" t="str">
        <f>IF(OR(E783="",E783="!!!"),"",IF(NOT(ISNA(VLOOKUP(E783,E$1:E782,1,FALSE()))),"OLD",IF(AND(E783&lt;&gt;"",E783&lt;&gt;"!!!"),"NEW","")))</f>
        <v> </v>
      </c>
      <c r="G783" s="24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5" t="str">
        <f>IF(J783&lt;&gt;1,"",IF(I783="SBJ","CB","?"))</f>
        <v> </v>
      </c>
      <c r="I783" s="26" t="str">
        <f>IF(OR(E783="",E783="!!!",F783="NEW"),"",INDEX(B782:B$2,-1+SUMPRODUCT(MAX(ROW(E782:E$2)*(E783=E782:E$2)))))</f>
        <v> </v>
      </c>
      <c r="J783" s="26" t="str">
        <f>IF(OR(E783="",E783="!!!",F783="NEW"),"",COUNTBLANK(OFFSET(A$1,,,SUMPRODUCT(MAX(ROW(E$2:E783)*(E783=E$2:E783)))))-COUNTBLANK(OFFSET(A$1,,,SUMPRODUCT(MAX(ROW(E$1:E782)*(E2=E$1:E782))))))</f>
        <v> </v>
      </c>
      <c r="K783" s="26" t="str">
        <f>IF(OR(E783="",E783="!!!",F783="NEW"),"",INDEX(J$1:J782,SUMPRODUCT(MAX(ROW(E$1:E782)*(E783=E$1:E782)))))</f>
        <v> </v>
      </c>
      <c r="L783" s="27"/>
    </row>
    <row r="784" spans="1:12">
      <c r="A784" s="20" t="s">
        <v>432</v>
      </c>
      <c r="B784" s="21" t="s">
        <v>230</v>
      </c>
      <c r="C784" s="21" t="s">
        <v>203</v>
      </c>
      <c r="D784" s="21" t="s">
        <v>193</v>
      </c>
      <c r="E784" s="22">
        <f>IF(D784="?OLD","!!!","")</f>
        <v/>
      </c>
      <c r="F784" s="23" t="str">
        <f>IF(OR(E784="",E784="!!!"),"",IF(NOT(ISNA(VLOOKUP(E784,E$1:E783,1,FALSE()))),"OLD",IF(AND(E784&lt;&gt;"",E784&lt;&gt;"!!!"),"NEW","")))</f>
        <v> </v>
      </c>
      <c r="G784" s="24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5" t="str">
        <f>IF(J784&lt;&gt;1,"",IF(I784="SBJ","CB","?"))</f>
        <v> </v>
      </c>
      <c r="I784" s="26" t="str">
        <f>IF(OR(E784="",E784="!!!",F784="NEW"),"",INDEX(B783:B$2,-1+SUMPRODUCT(MAX(ROW(E783:E$2)*(E784=E783:E$2)))))</f>
        <v> </v>
      </c>
      <c r="J784" s="26" t="str">
        <f>IF(OR(E784="",E784="!!!",F784="NEW"),"",COUNTBLANK(OFFSET(A$1,,,SUMPRODUCT(MAX(ROW(E$2:E784)*(E784=E$2:E784)))))-COUNTBLANK(OFFSET(A$1,,,SUMPRODUCT(MAX(ROW(E$1:E783)*(E2=E$1:E783))))))</f>
        <v> </v>
      </c>
      <c r="K784" s="26" t="str">
        <f>IF(OR(E784="",E784="!!!",F784="NEW"),"",INDEX(J$1:J783,SUMPRODUCT(MAX(ROW(E$1:E783)*(E784=E$1:E783)))))</f>
        <v> </v>
      </c>
      <c r="L784" s="27"/>
    </row>
    <row r="785" spans="1:12">
      <c r="A785" s="20" t="s">
        <v>218</v>
      </c>
      <c r="E785" s="22">
        <f>IF(D785="?OLD","!!!","")</f>
        <v/>
      </c>
      <c r="F785" s="23" t="str">
        <f>IF(OR(E785="",E785="!!!"),"",IF(NOT(ISNA(VLOOKUP(E785,E$1:E784,1,FALSE()))),"OLD",IF(AND(E785&lt;&gt;"",E785&lt;&gt;"!!!"),"NEW","")))</f>
        <v> </v>
      </c>
      <c r="G785" s="24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5" t="str">
        <f>IF(J785&lt;&gt;1,"",IF(I785="SBJ","CB","?"))</f>
        <v> </v>
      </c>
      <c r="I785" s="26" t="str">
        <f>IF(OR(E785="",E785="!!!",F785="NEW"),"",INDEX(B784:B$2,-1+SUMPRODUCT(MAX(ROW(E784:E$2)*(E785=E784:E$2)))))</f>
        <v> </v>
      </c>
      <c r="J785" s="26" t="str">
        <f>IF(OR(E785="",E785="!!!",F785="NEW"),"",COUNTBLANK(OFFSET(A$1,,,SUMPRODUCT(MAX(ROW(E$2:E785)*(E785=E$2:E785)))))-COUNTBLANK(OFFSET(A$1,,,SUMPRODUCT(MAX(ROW(E$1:E784)*(E2=E$1:E784))))))</f>
        <v> </v>
      </c>
      <c r="K785" s="26" t="str">
        <f>IF(OR(E785="",E785="!!!",F785="NEW"),"",INDEX(J$1:J784,SUMPRODUCT(MAX(ROW(E$1:E784)*(E785=E$1:E784)))))</f>
        <v> </v>
      </c>
      <c r="L785" s="27"/>
    </row>
    <row r="786" spans="1:12">
      <c r="A786" s="20" t="s">
        <v>209</v>
      </c>
      <c r="E786" s="22">
        <f>IF(D786="?OLD","!!!","")</f>
        <v/>
      </c>
      <c r="F786" s="23" t="str">
        <f>IF(OR(E786="",E786="!!!"),"",IF(NOT(ISNA(VLOOKUP(E786,E$1:E785,1,FALSE()))),"OLD",IF(AND(E786&lt;&gt;"",E786&lt;&gt;"!!!"),"NEW","")))</f>
        <v> </v>
      </c>
      <c r="G786" s="24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5" t="str">
        <f>IF(J786&lt;&gt;1,"",IF(I786="SBJ","CB","?"))</f>
        <v> </v>
      </c>
      <c r="I786" s="26" t="str">
        <f>IF(OR(E786="",E786="!!!",F786="NEW"),"",INDEX(B785:B$2,-1+SUMPRODUCT(MAX(ROW(E785:E$2)*(E786=E785:E$2)))))</f>
        <v> </v>
      </c>
      <c r="J786" s="26" t="str">
        <f>IF(OR(E786="",E786="!!!",F786="NEW"),"",COUNTBLANK(OFFSET(A$1,,,SUMPRODUCT(MAX(ROW(E$2:E786)*(E786=E$2:E786)))))-COUNTBLANK(OFFSET(A$1,,,SUMPRODUCT(MAX(ROW(E$1:E785)*(E2=E$1:E785))))))</f>
        <v> </v>
      </c>
      <c r="K786" s="26" t="str">
        <f>IF(OR(E786="",E786="!!!",F786="NEW"),"",INDEX(J$1:J785,SUMPRODUCT(MAX(ROW(E$1:E785)*(E786=E$1:E785)))))</f>
        <v> </v>
      </c>
      <c r="L786" s="27"/>
    </row>
    <row r="787" spans="1:12">
      <c r="A787" s="20"/>
    </row>
    <row r="788" spans="1:12">
      <c r="A788" s="20" t="s">
        <v>446</v>
      </c>
    </row>
    <row r="789" spans="1:12">
      <c r="A789" s="20" t="s">
        <v>195</v>
      </c>
      <c r="B789" s="21" t="s">
        <v>191</v>
      </c>
      <c r="C789" s="21" t="s">
        <v>192</v>
      </c>
      <c r="D789" s="21" t="s">
        <v>193</v>
      </c>
      <c r="E789" s="22">
        <f>IF(D789="?OLD","!!!","")</f>
        <v/>
      </c>
      <c r="F789" s="23" t="str">
        <f>IF(OR(E789="",E789="!!!"),"",IF(NOT(ISNA(VLOOKUP(E789,E$1:E788,1,FALSE()))),"OLD",IF(AND(E789&lt;&gt;"",E789&lt;&gt;"!!!"),"NEW","")))</f>
        <v> </v>
      </c>
      <c r="G789" s="24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5" t="str">
        <f>IF(J789&lt;&gt;1,"",IF(I789="SBJ","CB","?"))</f>
        <v> </v>
      </c>
      <c r="I789" s="26" t="str">
        <f>IF(OR(E789="",E789="!!!",F789="NEW"),"",INDEX(B788:B$2,-1+SUMPRODUCT(MAX(ROW(E788:E$2)*(E789=E788:E$2)))))</f>
        <v> </v>
      </c>
      <c r="J789" s="26" t="str">
        <f>IF(OR(E789="",E789="!!!",F789="NEW"),"",COUNTBLANK(OFFSET(A$1,,,SUMPRODUCT(MAX(ROW(E$2:E789)*(E789=E$2:E789)))))-COUNTBLANK(OFFSET(A$1,,,SUMPRODUCT(MAX(ROW(E$1:E788)*(E2=E$1:E788))))))</f>
        <v> </v>
      </c>
      <c r="K789" s="26" t="str">
        <f>IF(OR(E789="",E789="!!!",F789="NEW"),"",INDEX(J$1:J788,SUMPRODUCT(MAX(ROW(E$1:E788)*(E789=E$1:E788)))))</f>
        <v> </v>
      </c>
      <c r="L789" s="27"/>
    </row>
    <row r="790" spans="1:12">
      <c r="A790" s="20" t="s">
        <v>447</v>
      </c>
      <c r="E790" s="22">
        <f>IF(D790="?OLD","!!!","")</f>
        <v/>
      </c>
      <c r="F790" s="23" t="str">
        <f>IF(OR(E790="",E790="!!!"),"",IF(NOT(ISNA(VLOOKUP(E790,E$1:E789,1,FALSE()))),"OLD",IF(AND(E790&lt;&gt;"",E790&lt;&gt;"!!!"),"NEW","")))</f>
        <v> </v>
      </c>
      <c r="G790" s="24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5" t="str">
        <f>IF(J790&lt;&gt;1,"",IF(I790="SBJ","CB","?"))</f>
        <v> </v>
      </c>
      <c r="I790" s="26" t="str">
        <f>IF(OR(E790="",E790="!!!",F790="NEW"),"",INDEX(B789:B$2,-1+SUMPRODUCT(MAX(ROW(E789:E$2)*(E790=E789:E$2)))))</f>
        <v> </v>
      </c>
      <c r="J790" s="26" t="str">
        <f>IF(OR(E790="",E790="!!!",F790="NEW"),"",COUNTBLANK(OFFSET(A$1,,,SUMPRODUCT(MAX(ROW(E$2:E790)*(E790=E$2:E790)))))-COUNTBLANK(OFFSET(A$1,,,SUMPRODUCT(MAX(ROW(E$1:E789)*(E2=E$1:E789))))))</f>
        <v> </v>
      </c>
      <c r="K790" s="26" t="str">
        <f>IF(OR(E790="",E790="!!!",F790="NEW"),"",INDEX(J$1:J789,SUMPRODUCT(MAX(ROW(E$1:E789)*(E790=E$1:E789)))))</f>
        <v> </v>
      </c>
      <c r="L790" s="27"/>
    </row>
    <row r="791" spans="1:12">
      <c r="A791" s="20" t="s">
        <v>380</v>
      </c>
      <c r="E791" s="22">
        <f>IF(D791="?OLD","!!!","")</f>
        <v/>
      </c>
      <c r="F791" s="23" t="str">
        <f>IF(OR(E791="",E791="!!!"),"",IF(NOT(ISNA(VLOOKUP(E791,E$1:E790,1,FALSE()))),"OLD",IF(AND(E791&lt;&gt;"",E791&lt;&gt;"!!!"),"NEW","")))</f>
        <v> </v>
      </c>
      <c r="G791" s="24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5" t="str">
        <f>IF(J791&lt;&gt;1,"",IF(I791="SBJ","CB","?"))</f>
        <v> </v>
      </c>
      <c r="I791" s="26" t="str">
        <f>IF(OR(E791="",E791="!!!",F791="NEW"),"",INDEX(B790:B$2,-1+SUMPRODUCT(MAX(ROW(E790:E$2)*(E791=E790:E$2)))))</f>
        <v> </v>
      </c>
      <c r="J791" s="26" t="str">
        <f>IF(OR(E791="",E791="!!!",F791="NEW"),"",COUNTBLANK(OFFSET(A$1,,,SUMPRODUCT(MAX(ROW(E$2:E791)*(E791=E$2:E791)))))-COUNTBLANK(OFFSET(A$1,,,SUMPRODUCT(MAX(ROW(E$1:E790)*(E2=E$1:E790))))))</f>
        <v> </v>
      </c>
      <c r="K791" s="26" t="str">
        <f>IF(OR(E791="",E791="!!!",F791="NEW"),"",INDEX(J$1:J790,SUMPRODUCT(MAX(ROW(E$1:E790)*(E791=E$1:E790)))))</f>
        <v> </v>
      </c>
      <c r="L791" s="27"/>
    </row>
    <row r="792" spans="1:12">
      <c r="A792" s="20" t="s">
        <v>448</v>
      </c>
      <c r="E792" s="22">
        <f>IF(D792="?OLD","!!!","")</f>
        <v/>
      </c>
      <c r="F792" s="23" t="str">
        <f>IF(OR(E792="",E792="!!!"),"",IF(NOT(ISNA(VLOOKUP(E792,E$1:E791,1,FALSE()))),"OLD",IF(AND(E792&lt;&gt;"",E792&lt;&gt;"!!!"),"NEW","")))</f>
        <v> </v>
      </c>
      <c r="G792" s="24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5" t="str">
        <f>IF(J792&lt;&gt;1,"",IF(I792="SBJ","CB","?"))</f>
        <v> </v>
      </c>
      <c r="I792" s="26" t="str">
        <f>IF(OR(E792="",E792="!!!",F792="NEW"),"",INDEX(B791:B$2,-1+SUMPRODUCT(MAX(ROW(E791:E$2)*(E792=E791:E$2)))))</f>
        <v> </v>
      </c>
      <c r="J792" s="26" t="str">
        <f>IF(OR(E792="",E792="!!!",F792="NEW"),"",COUNTBLANK(OFFSET(A$1,,,SUMPRODUCT(MAX(ROW(E$2:E792)*(E792=E$2:E792)))))-COUNTBLANK(OFFSET(A$1,,,SUMPRODUCT(MAX(ROW(E$1:E791)*(E2=E$1:E791))))))</f>
        <v> </v>
      </c>
      <c r="K792" s="26" t="str">
        <f>IF(OR(E792="",E792="!!!",F792="NEW"),"",INDEX(J$1:J791,SUMPRODUCT(MAX(ROW(E$1:E791)*(E792=E$1:E791)))))</f>
        <v> </v>
      </c>
      <c r="L792" s="27"/>
    </row>
    <row r="793" spans="1:12">
      <c r="A793" s="20" t="s">
        <v>449</v>
      </c>
      <c r="E793" s="22">
        <f>IF(D793="?OLD","!!!","")</f>
        <v/>
      </c>
      <c r="F793" s="23" t="str">
        <f>IF(OR(E793="",E793="!!!"),"",IF(NOT(ISNA(VLOOKUP(E793,E$1:E792,1,FALSE()))),"OLD",IF(AND(E793&lt;&gt;"",E793&lt;&gt;"!!!"),"NEW","")))</f>
        <v> </v>
      </c>
      <c r="G793" s="24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5" t="str">
        <f>IF(J793&lt;&gt;1,"",IF(I793="SBJ","CB","?"))</f>
        <v> </v>
      </c>
      <c r="I793" s="26" t="str">
        <f>IF(OR(E793="",E793="!!!",F793="NEW"),"",INDEX(B792:B$2,-1+SUMPRODUCT(MAX(ROW(E792:E$2)*(E793=E792:E$2)))))</f>
        <v> </v>
      </c>
      <c r="J793" s="26" t="str">
        <f>IF(OR(E793="",E793="!!!",F793="NEW"),"",COUNTBLANK(OFFSET(A$1,,,SUMPRODUCT(MAX(ROW(E$2:E793)*(E793=E$2:E793)))))-COUNTBLANK(OFFSET(A$1,,,SUMPRODUCT(MAX(ROW(E$1:E792)*(E2=E$1:E792))))))</f>
        <v> </v>
      </c>
      <c r="K793" s="26" t="str">
        <f>IF(OR(E793="",E793="!!!",F793="NEW"),"",INDEX(J$1:J792,SUMPRODUCT(MAX(ROW(E$1:E792)*(E793=E$1:E792)))))</f>
        <v> </v>
      </c>
      <c r="L793" s="27"/>
    </row>
    <row r="794" spans="1:12">
      <c r="A794" s="20" t="s">
        <v>450</v>
      </c>
      <c r="B794" s="21" t="s">
        <v>202</v>
      </c>
      <c r="C794" s="21" t="s">
        <v>451</v>
      </c>
      <c r="E794" s="22">
        <f>IF(D794="?OLD","!!!","")</f>
        <v/>
      </c>
      <c r="F794" s="23" t="str">
        <f>IF(OR(E794="",E794="!!!"),"",IF(NOT(ISNA(VLOOKUP(E794,E$1:E793,1,FALSE()))),"OLD",IF(AND(E794&lt;&gt;"",E794&lt;&gt;"!!!"),"NEW","")))</f>
        <v> </v>
      </c>
      <c r="G794" s="24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5" t="str">
        <f>IF(J794&lt;&gt;1,"",IF(I794="SBJ","CB","?"))</f>
        <v> </v>
      </c>
      <c r="I794" s="26" t="str">
        <f>IF(OR(E794="",E794="!!!",F794="NEW"),"",INDEX(B793:B$2,-1+SUMPRODUCT(MAX(ROW(E793:E$2)*(E794=E793:E$2)))))</f>
        <v> </v>
      </c>
      <c r="J794" s="26" t="str">
        <f>IF(OR(E794="",E794="!!!",F794="NEW"),"",COUNTBLANK(OFFSET(A$1,,,SUMPRODUCT(MAX(ROW(E$2:E794)*(E794=E$2:E794)))))-COUNTBLANK(OFFSET(A$1,,,SUMPRODUCT(MAX(ROW(E$1:E793)*(E2=E$1:E793))))))</f>
        <v> </v>
      </c>
      <c r="K794" s="26" t="str">
        <f>IF(OR(E794="",E794="!!!",F794="NEW"),"",INDEX(J$1:J793,SUMPRODUCT(MAX(ROW(E$1:E793)*(E794=E$1:E793)))))</f>
        <v> </v>
      </c>
      <c r="L794" s="27"/>
    </row>
    <row r="795" spans="1:12">
      <c r="A795" s="20" t="s">
        <v>312</v>
      </c>
      <c r="E795" s="22">
        <f>IF(D795="?OLD","!!!","")</f>
        <v/>
      </c>
      <c r="F795" s="23" t="str">
        <f>IF(OR(E795="",E795="!!!"),"",IF(NOT(ISNA(VLOOKUP(E795,E$1:E794,1,FALSE()))),"OLD",IF(AND(E795&lt;&gt;"",E795&lt;&gt;"!!!"),"NEW","")))</f>
        <v> </v>
      </c>
      <c r="G795" s="24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5" t="str">
        <f>IF(J795&lt;&gt;1,"",IF(I795="SBJ","CB","?"))</f>
        <v> </v>
      </c>
      <c r="I795" s="26" t="str">
        <f>IF(OR(E795="",E795="!!!",F795="NEW"),"",INDEX(B794:B$2,-1+SUMPRODUCT(MAX(ROW(E794:E$2)*(E795=E794:E$2)))))</f>
        <v> </v>
      </c>
      <c r="J795" s="26" t="str">
        <f>IF(OR(E795="",E795="!!!",F795="NEW"),"",COUNTBLANK(OFFSET(A$1,,,SUMPRODUCT(MAX(ROW(E$2:E795)*(E795=E$2:E795)))))-COUNTBLANK(OFFSET(A$1,,,SUMPRODUCT(MAX(ROW(E$1:E794)*(E2=E$1:E794))))))</f>
        <v> </v>
      </c>
      <c r="K795" s="26" t="str">
        <f>IF(OR(E795="",E795="!!!",F795="NEW"),"",INDEX(J$1:J794,SUMPRODUCT(MAX(ROW(E$1:E794)*(E795=E$1:E794)))))</f>
        <v> </v>
      </c>
      <c r="L795" s="27"/>
    </row>
    <row r="796" spans="1:12">
      <c r="A796" s="20" t="s">
        <v>214</v>
      </c>
      <c r="E796" s="22">
        <f>IF(D796="?OLD","!!!","")</f>
        <v/>
      </c>
      <c r="F796" s="23" t="str">
        <f>IF(OR(E796="",E796="!!!"),"",IF(NOT(ISNA(VLOOKUP(E796,E$1:E795,1,FALSE()))),"OLD",IF(AND(E796&lt;&gt;"",E796&lt;&gt;"!!!"),"NEW","")))</f>
        <v> </v>
      </c>
      <c r="G796" s="24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5" t="str">
        <f>IF(J796&lt;&gt;1,"",IF(I796="SBJ","CB","?"))</f>
        <v> </v>
      </c>
      <c r="I796" s="26" t="str">
        <f>IF(OR(E796="",E796="!!!",F796="NEW"),"",INDEX(B795:B$2,-1+SUMPRODUCT(MAX(ROW(E795:E$2)*(E796=E795:E$2)))))</f>
        <v> </v>
      </c>
      <c r="J796" s="26" t="str">
        <f>IF(OR(E796="",E796="!!!",F796="NEW"),"",COUNTBLANK(OFFSET(A$1,,,SUMPRODUCT(MAX(ROW(E$2:E796)*(E796=E$2:E796)))))-COUNTBLANK(OFFSET(A$1,,,SUMPRODUCT(MAX(ROW(E$1:E795)*(E2=E$1:E795))))))</f>
        <v> </v>
      </c>
      <c r="K796" s="26" t="str">
        <f>IF(OR(E796="",E796="!!!",F796="NEW"),"",INDEX(J$1:J795,SUMPRODUCT(MAX(ROW(E$1:E795)*(E796=E$1:E795)))))</f>
        <v> </v>
      </c>
      <c r="L796" s="27"/>
    </row>
    <row r="797" spans="1:12">
      <c r="A797" s="20" t="s">
        <v>329</v>
      </c>
      <c r="B797" s="21" t="s">
        <v>230</v>
      </c>
      <c r="C797" s="21" t="s">
        <v>217</v>
      </c>
      <c r="D797" s="21" t="s">
        <v>193</v>
      </c>
      <c r="E797" s="22">
        <f>IF(D797="?OLD","!!!","")</f>
        <v/>
      </c>
      <c r="F797" s="23" t="str">
        <f>IF(OR(E797="",E797="!!!"),"",IF(NOT(ISNA(VLOOKUP(E797,E$1:E796,1,FALSE()))),"OLD",IF(AND(E797&lt;&gt;"",E797&lt;&gt;"!!!"),"NEW","")))</f>
        <v> </v>
      </c>
      <c r="G797" s="24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5" t="str">
        <f>IF(J797&lt;&gt;1,"",IF(I797="SBJ","CB","?"))</f>
        <v> </v>
      </c>
      <c r="I797" s="26" t="str">
        <f>IF(OR(E797="",E797="!!!",F797="NEW"),"",INDEX(B796:B$2,-1+SUMPRODUCT(MAX(ROW(E796:E$2)*(E797=E796:E$2)))))</f>
        <v> </v>
      </c>
      <c r="J797" s="26" t="str">
        <f>IF(OR(E797="",E797="!!!",F797="NEW"),"",COUNTBLANK(OFFSET(A$1,,,SUMPRODUCT(MAX(ROW(E$2:E797)*(E797=E$2:E797)))))-COUNTBLANK(OFFSET(A$1,,,SUMPRODUCT(MAX(ROW(E$1:E796)*(E2=E$1:E796))))))</f>
        <v> </v>
      </c>
      <c r="K797" s="26" t="str">
        <f>IF(OR(E797="",E797="!!!",F797="NEW"),"",INDEX(J$1:J796,SUMPRODUCT(MAX(ROW(E$1:E796)*(E797=E$1:E796)))))</f>
        <v> </v>
      </c>
      <c r="L797" s="27"/>
    </row>
    <row r="798" spans="1:12">
      <c r="A798" s="20" t="s">
        <v>218</v>
      </c>
      <c r="E798" s="22">
        <f>IF(D798="?OLD","!!!","")</f>
        <v/>
      </c>
      <c r="F798" s="23" t="str">
        <f>IF(OR(E798="",E798="!!!"),"",IF(NOT(ISNA(VLOOKUP(E798,E$1:E797,1,FALSE()))),"OLD",IF(AND(E798&lt;&gt;"",E798&lt;&gt;"!!!"),"NEW","")))</f>
        <v> </v>
      </c>
      <c r="G798" s="24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5" t="str">
        <f>IF(J798&lt;&gt;1,"",IF(I798="SBJ","CB","?"))</f>
        <v> </v>
      </c>
      <c r="I798" s="26" t="str">
        <f>IF(OR(E798="",E798="!!!",F798="NEW"),"",INDEX(B797:B$2,-1+SUMPRODUCT(MAX(ROW(E797:E$2)*(E798=E797:E$2)))))</f>
        <v> </v>
      </c>
      <c r="J798" s="26" t="str">
        <f>IF(OR(E798="",E798="!!!",F798="NEW"),"",COUNTBLANK(OFFSET(A$1,,,SUMPRODUCT(MAX(ROW(E$2:E798)*(E798=E$2:E798)))))-COUNTBLANK(OFFSET(A$1,,,SUMPRODUCT(MAX(ROW(E$1:E797)*(E2=E$1:E797))))))</f>
        <v> </v>
      </c>
      <c r="K798" s="26" t="str">
        <f>IF(OR(E798="",E798="!!!",F798="NEW"),"",INDEX(J$1:J797,SUMPRODUCT(MAX(ROW(E$1:E797)*(E798=E$1:E797)))))</f>
        <v> </v>
      </c>
      <c r="L798" s="27"/>
    </row>
    <row r="799" spans="1:12">
      <c r="A799" s="20"/>
    </row>
    <row r="800" spans="1:12">
      <c r="A800" s="20" t="s">
        <v>452</v>
      </c>
    </row>
    <row r="801" spans="1:12">
      <c r="A801" s="20" t="s">
        <v>453</v>
      </c>
      <c r="E801" s="22">
        <f>IF(D801="?OLD","!!!","")</f>
        <v/>
      </c>
      <c r="F801" s="23" t="str">
        <f>IF(OR(E801="",E801="!!!"),"",IF(NOT(ISNA(VLOOKUP(E801,E$1:E800,1,FALSE()))),"OLD",IF(AND(E801&lt;&gt;"",E801&lt;&gt;"!!!"),"NEW","")))</f>
        <v> </v>
      </c>
      <c r="G801" s="24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5" t="str">
        <f>IF(J801&lt;&gt;1,"",IF(I801="SBJ","CB","?"))</f>
        <v> </v>
      </c>
      <c r="I801" s="26" t="str">
        <f>IF(OR(E801="",E801="!!!",F801="NEW"),"",INDEX(B800:B$2,-1+SUMPRODUCT(MAX(ROW(E800:E$2)*(E801=E800:E$2)))))</f>
        <v> </v>
      </c>
      <c r="J801" s="26" t="str">
        <f>IF(OR(E801="",E801="!!!",F801="NEW"),"",COUNTBLANK(OFFSET(A$1,,,SUMPRODUCT(MAX(ROW(E$2:E801)*(E801=E$2:E801)))))-COUNTBLANK(OFFSET(A$1,,,SUMPRODUCT(MAX(ROW(E$1:E800)*(E2=E$1:E800))))))</f>
        <v> </v>
      </c>
      <c r="K801" s="26" t="str">
        <f>IF(OR(E801="",E801="!!!",F801="NEW"),"",INDEX(J$1:J800,SUMPRODUCT(MAX(ROW(E$1:E800)*(E801=E$1:E800)))))</f>
        <v> </v>
      </c>
      <c r="L801" s="27"/>
    </row>
    <row r="802" spans="1:12">
      <c r="A802" s="20" t="s">
        <v>214</v>
      </c>
      <c r="E802" s="22">
        <f>IF(D802="?OLD","!!!","")</f>
        <v/>
      </c>
      <c r="F802" s="23" t="str">
        <f>IF(OR(E802="",E802="!!!"),"",IF(NOT(ISNA(VLOOKUP(E802,E$1:E801,1,FALSE()))),"OLD",IF(AND(E802&lt;&gt;"",E802&lt;&gt;"!!!"),"NEW","")))</f>
        <v> </v>
      </c>
      <c r="G802" s="24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5" t="str">
        <f>IF(J802&lt;&gt;1,"",IF(I802="SBJ","CB","?"))</f>
        <v> </v>
      </c>
      <c r="I802" s="26" t="str">
        <f>IF(OR(E802="",E802="!!!",F802="NEW"),"",INDEX(B801:B$2,-1+SUMPRODUCT(MAX(ROW(E801:E$2)*(E802=E801:E$2)))))</f>
        <v> </v>
      </c>
      <c r="J802" s="26" t="str">
        <f>IF(OR(E802="",E802="!!!",F802="NEW"),"",COUNTBLANK(OFFSET(A$1,,,SUMPRODUCT(MAX(ROW(E$2:E802)*(E802=E$2:E802)))))-COUNTBLANK(OFFSET(A$1,,,SUMPRODUCT(MAX(ROW(E$1:E801)*(E2=E$1:E801))))))</f>
        <v> </v>
      </c>
      <c r="K802" s="26" t="str">
        <f>IF(OR(E802="",E802="!!!",F802="NEW"),"",INDEX(J$1:J801,SUMPRODUCT(MAX(ROW(E$1:E801)*(E802=E$1:E801)))))</f>
        <v> </v>
      </c>
      <c r="L802" s="27"/>
    </row>
    <row r="803" spans="1:12">
      <c r="A803" s="20" t="s">
        <v>454</v>
      </c>
      <c r="B803" s="21" t="s">
        <v>191</v>
      </c>
      <c r="C803" s="21" t="s">
        <v>203</v>
      </c>
      <c r="D803" s="21" t="s">
        <v>193</v>
      </c>
      <c r="E803" s="22">
        <f>IF(D803="?OLD","!!!","")</f>
        <v/>
      </c>
      <c r="F803" s="23" t="str">
        <f>IF(OR(E803="",E803="!!!"),"",IF(NOT(ISNA(VLOOKUP(E803,E$1:E802,1,FALSE()))),"OLD",IF(AND(E803&lt;&gt;"",E803&lt;&gt;"!!!"),"NEW","")))</f>
        <v> </v>
      </c>
      <c r="G803" s="24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5" t="str">
        <f>IF(J803&lt;&gt;1,"",IF(I803="SBJ","CB","?"))</f>
        <v> </v>
      </c>
      <c r="I803" s="26" t="str">
        <f>IF(OR(E803="",E803="!!!",F803="NEW"),"",INDEX(B802:B$2,-1+SUMPRODUCT(MAX(ROW(E802:E$2)*(E803=E802:E$2)))))</f>
        <v> </v>
      </c>
      <c r="J803" s="26" t="str">
        <f>IF(OR(E803="",E803="!!!",F803="NEW"),"",COUNTBLANK(OFFSET(A$1,,,SUMPRODUCT(MAX(ROW(E$2:E803)*(E803=E$2:E803)))))-COUNTBLANK(OFFSET(A$1,,,SUMPRODUCT(MAX(ROW(E$1:E802)*(E2=E$1:E802))))))</f>
        <v> </v>
      </c>
      <c r="K803" s="26" t="str">
        <f>IF(OR(E803="",E803="!!!",F803="NEW"),"",INDEX(J$1:J802,SUMPRODUCT(MAX(ROW(E$1:E802)*(E803=E$1:E802)))))</f>
        <v> </v>
      </c>
      <c r="L803" s="27"/>
    </row>
    <row r="804" spans="1:12">
      <c r="A804" s="20" t="s">
        <v>222</v>
      </c>
      <c r="E804" s="22">
        <f>IF(D804="?OLD","!!!","")</f>
        <v/>
      </c>
      <c r="F804" s="23" t="str">
        <f>IF(OR(E804="",E804="!!!"),"",IF(NOT(ISNA(VLOOKUP(E804,E$1:E803,1,FALSE()))),"OLD",IF(AND(E804&lt;&gt;"",E804&lt;&gt;"!!!"),"NEW","")))</f>
        <v> </v>
      </c>
      <c r="G804" s="24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5" t="str">
        <f>IF(J804&lt;&gt;1,"",IF(I804="SBJ","CB","?"))</f>
        <v> </v>
      </c>
      <c r="I804" s="26" t="str">
        <f>IF(OR(E804="",E804="!!!",F804="NEW"),"",INDEX(B803:B$2,-1+SUMPRODUCT(MAX(ROW(E803:E$2)*(E804=E803:E$2)))))</f>
        <v> </v>
      </c>
      <c r="J804" s="26" t="str">
        <f>IF(OR(E804="",E804="!!!",F804="NEW"),"",COUNTBLANK(OFFSET(A$1,,,SUMPRODUCT(MAX(ROW(E$2:E804)*(E804=E$2:E804)))))-COUNTBLANK(OFFSET(A$1,,,SUMPRODUCT(MAX(ROW(E$1:E803)*(E2=E$1:E803))))))</f>
        <v> </v>
      </c>
      <c r="K804" s="26" t="str">
        <f>IF(OR(E804="",E804="!!!",F804="NEW"),"",INDEX(J$1:J803,SUMPRODUCT(MAX(ROW(E$1:E803)*(E804=E$1:E803)))))</f>
        <v> </v>
      </c>
      <c r="L804" s="27"/>
    </row>
    <row r="805" spans="1:12">
      <c r="A805" s="20" t="s">
        <v>195</v>
      </c>
      <c r="B805" s="21" t="s">
        <v>202</v>
      </c>
      <c r="C805" s="21" t="s">
        <v>192</v>
      </c>
      <c r="D805" s="21" t="s">
        <v>193</v>
      </c>
      <c r="E805" s="22">
        <f>IF(D805="?OLD","!!!","")</f>
        <v/>
      </c>
      <c r="F805" s="23" t="str">
        <f>IF(OR(E805="",E805="!!!"),"",IF(NOT(ISNA(VLOOKUP(E805,E$1:E804,1,FALSE()))),"OLD",IF(AND(E805&lt;&gt;"",E805&lt;&gt;"!!!"),"NEW","")))</f>
        <v> </v>
      </c>
      <c r="G805" s="24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5" t="str">
        <f>IF(J805&lt;&gt;1,"",IF(I805="SBJ","CB","?"))</f>
        <v> </v>
      </c>
      <c r="I805" s="26" t="str">
        <f>IF(OR(E805="",E805="!!!",F805="NEW"),"",INDEX(B804:B$2,-1+SUMPRODUCT(MAX(ROW(E804:E$2)*(E805=E804:E$2)))))</f>
        <v> </v>
      </c>
      <c r="J805" s="26" t="str">
        <f>IF(OR(E805="",E805="!!!",F805="NEW"),"",COUNTBLANK(OFFSET(A$1,,,SUMPRODUCT(MAX(ROW(E$2:E805)*(E805=E$2:E805)))))-COUNTBLANK(OFFSET(A$1,,,SUMPRODUCT(MAX(ROW(E$1:E804)*(E2=E$1:E804))))))</f>
        <v> </v>
      </c>
      <c r="K805" s="26" t="str">
        <f>IF(OR(E805="",E805="!!!",F805="NEW"),"",INDEX(J$1:J804,SUMPRODUCT(MAX(ROW(E$1:E804)*(E805=E$1:E804)))))</f>
        <v> </v>
      </c>
      <c r="L805" s="27"/>
    </row>
    <row r="806" spans="1:12">
      <c r="A806" s="20" t="s">
        <v>371</v>
      </c>
      <c r="E806" s="22">
        <f>IF(D806="?OLD","!!!","")</f>
        <v/>
      </c>
      <c r="F806" s="23" t="str">
        <f>IF(OR(E806="",E806="!!!"),"",IF(NOT(ISNA(VLOOKUP(E806,E$1:E805,1,FALSE()))),"OLD",IF(AND(E806&lt;&gt;"",E806&lt;&gt;"!!!"),"NEW","")))</f>
        <v> </v>
      </c>
      <c r="G806" s="24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5" t="str">
        <f>IF(J806&lt;&gt;1,"",IF(I806="SBJ","CB","?"))</f>
        <v> </v>
      </c>
      <c r="I806" s="26" t="str">
        <f>IF(OR(E806="",E806="!!!",F806="NEW"),"",INDEX(B805:B$2,-1+SUMPRODUCT(MAX(ROW(E805:E$2)*(E806=E805:E$2)))))</f>
        <v> </v>
      </c>
      <c r="J806" s="26" t="str">
        <f>IF(OR(E806="",E806="!!!",F806="NEW"),"",COUNTBLANK(OFFSET(A$1,,,SUMPRODUCT(MAX(ROW(E$2:E806)*(E806=E$2:E806)))))-COUNTBLANK(OFFSET(A$1,,,SUMPRODUCT(MAX(ROW(E$1:E805)*(E2=E$1:E805))))))</f>
        <v> </v>
      </c>
      <c r="K806" s="26" t="str">
        <f>IF(OR(E806="",E806="!!!",F806="NEW"),"",INDEX(J$1:J805,SUMPRODUCT(MAX(ROW(E$1:E805)*(E806=E$1:E805)))))</f>
        <v> </v>
      </c>
      <c r="L806" s="27"/>
    </row>
    <row r="807" spans="1:12">
      <c r="A807" s="20" t="s">
        <v>455</v>
      </c>
      <c r="E807" s="22">
        <f>IF(D807="?OLD","!!!","")</f>
        <v/>
      </c>
      <c r="F807" s="23" t="str">
        <f>IF(OR(E807="",E807="!!!"),"",IF(NOT(ISNA(VLOOKUP(E807,E$1:E806,1,FALSE()))),"OLD",IF(AND(E807&lt;&gt;"",E807&lt;&gt;"!!!"),"NEW","")))</f>
        <v> </v>
      </c>
      <c r="G807" s="24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5" t="str">
        <f>IF(J807&lt;&gt;1,"",IF(I807="SBJ","CB","?"))</f>
        <v> </v>
      </c>
      <c r="I807" s="26" t="str">
        <f>IF(OR(E807="",E807="!!!",F807="NEW"),"",INDEX(B806:B$2,-1+SUMPRODUCT(MAX(ROW(E806:E$2)*(E807=E806:E$2)))))</f>
        <v> </v>
      </c>
      <c r="J807" s="26" t="str">
        <f>IF(OR(E807="",E807="!!!",F807="NEW"),"",COUNTBLANK(OFFSET(A$1,,,SUMPRODUCT(MAX(ROW(E$2:E807)*(E807=E$2:E807)))))-COUNTBLANK(OFFSET(A$1,,,SUMPRODUCT(MAX(ROW(E$1:E806)*(E2=E$1:E806))))))</f>
        <v> </v>
      </c>
      <c r="K807" s="26" t="str">
        <f>IF(OR(E807="",E807="!!!",F807="NEW"),"",INDEX(J$1:J806,SUMPRODUCT(MAX(ROW(E$1:E806)*(E807=E$1:E806)))))</f>
        <v> </v>
      </c>
      <c r="L807" s="27"/>
    </row>
    <row r="808" spans="1:12">
      <c r="A808" s="20" t="s">
        <v>448</v>
      </c>
      <c r="E808" s="22">
        <f>IF(D808="?OLD","!!!","")</f>
        <v/>
      </c>
      <c r="F808" s="23" t="str">
        <f>IF(OR(E808="",E808="!!!"),"",IF(NOT(ISNA(VLOOKUP(E808,E$1:E807,1,FALSE()))),"OLD",IF(AND(E808&lt;&gt;"",E808&lt;&gt;"!!!"),"NEW","")))</f>
        <v> </v>
      </c>
      <c r="G808" s="24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5" t="str">
        <f>IF(J808&lt;&gt;1,"",IF(I808="SBJ","CB","?"))</f>
        <v> </v>
      </c>
      <c r="I808" s="26" t="str">
        <f>IF(OR(E808="",E808="!!!",F808="NEW"),"",INDEX(B807:B$2,-1+SUMPRODUCT(MAX(ROW(E807:E$2)*(E808=E807:E$2)))))</f>
        <v> </v>
      </c>
      <c r="J808" s="26" t="str">
        <f>IF(OR(E808="",E808="!!!",F808="NEW"),"",COUNTBLANK(OFFSET(A$1,,,SUMPRODUCT(MAX(ROW(E$2:E808)*(E808=E$2:E808)))))-COUNTBLANK(OFFSET(A$1,,,SUMPRODUCT(MAX(ROW(E$1:E807)*(E2=E$1:E807))))))</f>
        <v> </v>
      </c>
      <c r="K808" s="26" t="str">
        <f>IF(OR(E808="",E808="!!!",F808="NEW"),"",INDEX(J$1:J807,SUMPRODUCT(MAX(ROW(E$1:E807)*(E808=E$1:E807)))))</f>
        <v> </v>
      </c>
      <c r="L808" s="27"/>
    </row>
    <row r="809" spans="1:12">
      <c r="A809" s="20" t="s">
        <v>449</v>
      </c>
      <c r="E809" s="22">
        <f>IF(D809="?OLD","!!!","")</f>
        <v/>
      </c>
      <c r="F809" s="23" t="str">
        <f>IF(OR(E809="",E809="!!!"),"",IF(NOT(ISNA(VLOOKUP(E809,E$1:E808,1,FALSE()))),"OLD",IF(AND(E809&lt;&gt;"",E809&lt;&gt;"!!!"),"NEW","")))</f>
        <v> </v>
      </c>
      <c r="G809" s="24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5" t="str">
        <f>IF(J809&lt;&gt;1,"",IF(I809="SBJ","CB","?"))</f>
        <v> </v>
      </c>
      <c r="I809" s="26" t="str">
        <f>IF(OR(E809="",E809="!!!",F809="NEW"),"",INDEX(B808:B$2,-1+SUMPRODUCT(MAX(ROW(E808:E$2)*(E809=E808:E$2)))))</f>
        <v> </v>
      </c>
      <c r="J809" s="26" t="str">
        <f>IF(OR(E809="",E809="!!!",F809="NEW"),"",COUNTBLANK(OFFSET(A$1,,,SUMPRODUCT(MAX(ROW(E$2:E809)*(E809=E$2:E809)))))-COUNTBLANK(OFFSET(A$1,,,SUMPRODUCT(MAX(ROW(E$1:E808)*(E2=E$1:E808))))))</f>
        <v> </v>
      </c>
      <c r="K809" s="26" t="str">
        <f>IF(OR(E809="",E809="!!!",F809="NEW"),"",INDEX(J$1:J808,SUMPRODUCT(MAX(ROW(E$1:E808)*(E809=E$1:E808)))))</f>
        <v> </v>
      </c>
      <c r="L809" s="27"/>
    </row>
    <row r="810" spans="1:12">
      <c r="A810" s="20" t="s">
        <v>450</v>
      </c>
      <c r="B810" s="21" t="s">
        <v>230</v>
      </c>
      <c r="C810" s="21" t="s">
        <v>451</v>
      </c>
      <c r="E810" s="22">
        <f>IF(D810="?OLD","!!!","")</f>
        <v/>
      </c>
      <c r="F810" s="23" t="str">
        <f>IF(OR(E810="",E810="!!!"),"",IF(NOT(ISNA(VLOOKUP(E810,E$1:E809,1,FALSE()))),"OLD",IF(AND(E810&lt;&gt;"",E810&lt;&gt;"!!!"),"NEW","")))</f>
        <v> </v>
      </c>
      <c r="G810" s="24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5" t="str">
        <f>IF(J810&lt;&gt;1,"",IF(I810="SBJ","CB","?"))</f>
        <v> </v>
      </c>
      <c r="I810" s="26" t="str">
        <f>IF(OR(E810="",E810="!!!",F810="NEW"),"",INDEX(B809:B$2,-1+SUMPRODUCT(MAX(ROW(E809:E$2)*(E810=E809:E$2)))))</f>
        <v> </v>
      </c>
      <c r="J810" s="26" t="str">
        <f>IF(OR(E810="",E810="!!!",F810="NEW"),"",COUNTBLANK(OFFSET(A$1,,,SUMPRODUCT(MAX(ROW(E$2:E810)*(E810=E$2:E810)))))-COUNTBLANK(OFFSET(A$1,,,SUMPRODUCT(MAX(ROW(E$1:E809)*(E2=E$1:E809))))))</f>
        <v> </v>
      </c>
      <c r="K810" s="26" t="str">
        <f>IF(OR(E810="",E810="!!!",F810="NEW"),"",INDEX(J$1:J809,SUMPRODUCT(MAX(ROW(E$1:E809)*(E810=E$1:E809)))))</f>
        <v> </v>
      </c>
      <c r="L810" s="27"/>
    </row>
    <row r="811" spans="1:12">
      <c r="A811" s="20" t="s">
        <v>204</v>
      </c>
      <c r="E811" s="22">
        <f>IF(D811="?OLD","!!!","")</f>
        <v/>
      </c>
      <c r="F811" s="23" t="str">
        <f>IF(OR(E811="",E811="!!!"),"",IF(NOT(ISNA(VLOOKUP(E811,E$1:E810,1,FALSE()))),"OLD",IF(AND(E811&lt;&gt;"",E811&lt;&gt;"!!!"),"NEW","")))</f>
        <v> </v>
      </c>
      <c r="G811" s="24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5" t="str">
        <f>IF(J811&lt;&gt;1,"",IF(I811="SBJ","CB","?"))</f>
        <v> </v>
      </c>
      <c r="I811" s="26" t="str">
        <f>IF(OR(E811="",E811="!!!",F811="NEW"),"",INDEX(B810:B$2,-1+SUMPRODUCT(MAX(ROW(E810:E$2)*(E811=E810:E$2)))))</f>
        <v> </v>
      </c>
      <c r="J811" s="26" t="str">
        <f>IF(OR(E811="",E811="!!!",F811="NEW"),"",COUNTBLANK(OFFSET(A$1,,,SUMPRODUCT(MAX(ROW(E$2:E811)*(E811=E$2:E811)))))-COUNTBLANK(OFFSET(A$1,,,SUMPRODUCT(MAX(ROW(E$1:E810)*(E2=E$1:E810))))))</f>
        <v> </v>
      </c>
      <c r="K811" s="26" t="str">
        <f>IF(OR(E811="",E811="!!!",F811="NEW"),"",INDEX(J$1:J810,SUMPRODUCT(MAX(ROW(E$1:E810)*(E811=E$1:E810)))))</f>
        <v> </v>
      </c>
      <c r="L811" s="27"/>
    </row>
    <row r="812" spans="1:12">
      <c r="A812" s="20" t="s">
        <v>456</v>
      </c>
      <c r="E812" s="22">
        <f>IF(D812="?OLD","!!!","")</f>
        <v/>
      </c>
      <c r="F812" s="23" t="str">
        <f>IF(OR(E812="",E812="!!!"),"",IF(NOT(ISNA(VLOOKUP(E812,E$1:E811,1,FALSE()))),"OLD",IF(AND(E812&lt;&gt;"",E812&lt;&gt;"!!!"),"NEW","")))</f>
        <v> </v>
      </c>
      <c r="G812" s="24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5" t="str">
        <f>IF(J812&lt;&gt;1,"",IF(I812="SBJ","CB","?"))</f>
        <v> </v>
      </c>
      <c r="I812" s="26" t="str">
        <f>IF(OR(E812="",E812="!!!",F812="NEW"),"",INDEX(B811:B$2,-1+SUMPRODUCT(MAX(ROW(E811:E$2)*(E812=E811:E$2)))))</f>
        <v> </v>
      </c>
      <c r="J812" s="26" t="str">
        <f>IF(OR(E812="",E812="!!!",F812="NEW"),"",COUNTBLANK(OFFSET(A$1,,,SUMPRODUCT(MAX(ROW(E$2:E812)*(E812=E$2:E812)))))-COUNTBLANK(OFFSET(A$1,,,SUMPRODUCT(MAX(ROW(E$1:E811)*(E2=E$1:E811))))))</f>
        <v> </v>
      </c>
      <c r="K812" s="26" t="str">
        <f>IF(OR(E812="",E812="!!!",F812="NEW"),"",INDEX(J$1:J811,SUMPRODUCT(MAX(ROW(E$1:E811)*(E812=E$1:E811)))))</f>
        <v> </v>
      </c>
      <c r="L812" s="27"/>
    </row>
    <row r="813" spans="1:12">
      <c r="A813" s="20" t="s">
        <v>457</v>
      </c>
      <c r="B813" s="21" t="s">
        <v>239</v>
      </c>
      <c r="C813" s="21" t="s">
        <v>208</v>
      </c>
      <c r="D813" s="21" t="s">
        <v>193</v>
      </c>
      <c r="E813" s="22">
        <f>IF(D813="?OLD","!!!","")</f>
        <v/>
      </c>
      <c r="F813" s="23" t="str">
        <f>IF(OR(E813="",E813="!!!"),"",IF(NOT(ISNA(VLOOKUP(E813,E$1:E812,1,FALSE()))),"OLD",IF(AND(E813&lt;&gt;"",E813&lt;&gt;"!!!"),"NEW","")))</f>
        <v> </v>
      </c>
      <c r="G813" s="24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5" t="str">
        <f>IF(J813&lt;&gt;1,"",IF(I813="SBJ","CB","?"))</f>
        <v> </v>
      </c>
      <c r="I813" s="26" t="str">
        <f>IF(OR(E813="",E813="!!!",F813="NEW"),"",INDEX(B812:B$2,-1+SUMPRODUCT(MAX(ROW(E812:E$2)*(E813=E812:E$2)))))</f>
        <v> </v>
      </c>
      <c r="J813" s="26" t="str">
        <f>IF(OR(E813="",E813="!!!",F813="NEW"),"",COUNTBLANK(OFFSET(A$1,,,SUMPRODUCT(MAX(ROW(E$2:E813)*(E813=E$2:E813)))))-COUNTBLANK(OFFSET(A$1,,,SUMPRODUCT(MAX(ROW(E$1:E812)*(E2=E$1:E812))))))</f>
        <v> </v>
      </c>
      <c r="K813" s="26" t="str">
        <f>IF(OR(E813="",E813="!!!",F813="NEW"),"",INDEX(J$1:J812,SUMPRODUCT(MAX(ROW(E$1:E812)*(E813=E$1:E812)))))</f>
        <v> </v>
      </c>
      <c r="L813" s="27"/>
    </row>
    <row r="814" spans="1:12">
      <c r="A814" s="20" t="s">
        <v>458</v>
      </c>
      <c r="E814" s="22">
        <f>IF(D814="?OLD","!!!","")</f>
        <v/>
      </c>
      <c r="F814" s="23" t="str">
        <f>IF(OR(E814="",E814="!!!"),"",IF(NOT(ISNA(VLOOKUP(E814,E$1:E813,1,FALSE()))),"OLD",IF(AND(E814&lt;&gt;"",E814&lt;&gt;"!!!"),"NEW","")))</f>
        <v> </v>
      </c>
      <c r="G814" s="24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5" t="str">
        <f>IF(J814&lt;&gt;1,"",IF(I814="SBJ","CB","?"))</f>
        <v> </v>
      </c>
      <c r="I814" s="26" t="str">
        <f>IF(OR(E814="",E814="!!!",F814="NEW"),"",INDEX(B813:B$2,-1+SUMPRODUCT(MAX(ROW(E813:E$2)*(E814=E813:E$2)))))</f>
        <v> </v>
      </c>
      <c r="J814" s="26" t="str">
        <f>IF(OR(E814="",E814="!!!",F814="NEW"),"",COUNTBLANK(OFFSET(A$1,,,SUMPRODUCT(MAX(ROW(E$2:E814)*(E814=E$2:E814)))))-COUNTBLANK(OFFSET(A$1,,,SUMPRODUCT(MAX(ROW(E$1:E813)*(E2=E$1:E813))))))</f>
        <v> </v>
      </c>
      <c r="K814" s="26" t="str">
        <f>IF(OR(E814="",E814="!!!",F814="NEW"),"",INDEX(J$1:J813,SUMPRODUCT(MAX(ROW(E$1:E813)*(E814=E$1:E813)))))</f>
        <v> </v>
      </c>
      <c r="L814" s="27"/>
    </row>
    <row r="815" spans="1:12">
      <c r="A815" s="20" t="s">
        <v>218</v>
      </c>
      <c r="E815" s="22">
        <f>IF(D815="?OLD","!!!","")</f>
        <v/>
      </c>
      <c r="F815" s="23" t="str">
        <f>IF(OR(E815="",E815="!!!"),"",IF(NOT(ISNA(VLOOKUP(E815,E$1:E814,1,FALSE()))),"OLD",IF(AND(E815&lt;&gt;"",E815&lt;&gt;"!!!"),"NEW","")))</f>
        <v> </v>
      </c>
      <c r="G815" s="24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5" t="str">
        <f>IF(J815&lt;&gt;1,"",IF(I815="SBJ","CB","?"))</f>
        <v> </v>
      </c>
      <c r="I815" s="26" t="str">
        <f>IF(OR(E815="",E815="!!!",F815="NEW"),"",INDEX(B814:B$2,-1+SUMPRODUCT(MAX(ROW(E814:E$2)*(E815=E814:E$2)))))</f>
        <v> </v>
      </c>
      <c r="J815" s="26" t="str">
        <f>IF(OR(E815="",E815="!!!",F815="NEW"),"",COUNTBLANK(OFFSET(A$1,,,SUMPRODUCT(MAX(ROW(E$2:E815)*(E815=E$2:E815)))))-COUNTBLANK(OFFSET(A$1,,,SUMPRODUCT(MAX(ROW(E$1:E814)*(E2=E$1:E814))))))</f>
        <v> </v>
      </c>
      <c r="K815" s="26" t="str">
        <f>IF(OR(E815="",E815="!!!",F815="NEW"),"",INDEX(J$1:J814,SUMPRODUCT(MAX(ROW(E$1:E814)*(E815=E$1:E814)))))</f>
        <v> </v>
      </c>
      <c r="L815" s="27"/>
    </row>
    <row r="816" spans="1:12">
      <c r="A816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2025-11-25T13:42:16Z</dcterms:created>
  <dcterms:modified xsi:type="dcterms:W3CDTF">2025-11-25T13:42:16Z</dcterms:modified>
</cp:coreProperties>
</file>