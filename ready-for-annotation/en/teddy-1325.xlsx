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<sst xmlns="http://schemas.openxmlformats.org/spreadsheetml/2006/main" count="8983" uniqueCount="2069">
  <si>
    <t>ID</t>
  </si>
  <si>
    <t>PRED_ID</t>
  </si>
  <si>
    <t>MARKER_AUTO</t>
  </si>
  <si>
    <t>PREDICATE</t>
  </si>
  <si>
    <t>TEXT</t>
  </si>
  <si>
    <t>SENTENCE</t>
  </si>
  <si>
    <t>MARKER</t>
  </si>
  <si>
    <t>TARGET</t>
  </si>
  <si>
    <t>RELATION</t>
  </si>
  <si>
    <t>COMMENT</t>
  </si>
  <si>
    <t>1</t>
  </si>
  <si>
    <t>_</t>
  </si>
  <si>
    <t>let</t>
  </si>
  <si>
    <t>Let 's pretend right here we have a machine .</t>
  </si>
  <si>
    <t>file://conllu/en/teddy-1325.conllu#s1_0</t>
  </si>
  <si>
    <t>2</t>
  </si>
  <si>
    <t>3</t>
  </si>
  <si>
    <t>and?</t>
  </si>
  <si>
    <t>machine</t>
  </si>
  <si>
    <t>A big machine , a cool , TED ish machine , and it 's a time machine .</t>
  </si>
  <si>
    <t>file://conllu/en/teddy-1325.conllu#s2_0</t>
  </si>
  <si>
    <t>6</t>
  </si>
  <si>
    <t>have</t>
  </si>
  <si>
    <t>And everyone in this room has to get into it .</t>
  </si>
  <si>
    <t>file://conllu/en/teddy-1325.conllu#s3_0</t>
  </si>
  <si>
    <t>4</t>
  </si>
  <si>
    <t>go</t>
  </si>
  <si>
    <t>And you can go backwards , you can go forwards ; you can not stay where you are .</t>
  </si>
  <si>
    <t>file://conllu/en/teddy-1325.conllu#s4_0</t>
  </si>
  <si>
    <t>5</t>
  </si>
  <si>
    <t>17</t>
  </si>
  <si>
    <t>because?</t>
  </si>
  <si>
    <t>question (question ask wonder)</t>
  </si>
  <si>
    <t>And I wonder what you 'd choose , because I 've been asking my friends this question a lot lately and they all want to go back .</t>
  </si>
  <si>
    <t>file://conllu/en/teddy-1325.conllu#s5_0</t>
  </si>
  <si>
    <t>know</t>
  </si>
  <si>
    <t>I do n't know .</t>
  </si>
  <si>
    <t>file://conllu/en/teddy-1325.conllu#s6_0</t>
  </si>
  <si>
    <t>7</t>
  </si>
  <si>
    <t>want</t>
  </si>
  <si>
    <t>They want to go back before there were automobiles or Twitter or &amp;quot; American Idol . &amp;quot;</t>
  </si>
  <si>
    <t>file://conllu/en/teddy-1325.conllu#s7_0</t>
  </si>
  <si>
    <t>8</t>
  </si>
  <si>
    <t>file://conllu/en/teddy-1325.conllu#s8_0</t>
  </si>
  <si>
    <t>9</t>
  </si>
  <si>
    <t>be (be convince)</t>
  </si>
  <si>
    <t>I 'm convinced that there 's some sort of pull to nostalgia , to wishful thinking .</t>
  </si>
  <si>
    <t>file://conllu/en/teddy-1325.conllu#s9_0</t>
  </si>
  <si>
    <t>10</t>
  </si>
  <si>
    <t>understand</t>
  </si>
  <si>
    <t>And I understand that .</t>
  </si>
  <si>
    <t>file://conllu/en/teddy-1325.conllu#s10_0</t>
  </si>
  <si>
    <t>11</t>
  </si>
  <si>
    <t>be (be part)</t>
  </si>
  <si>
    <t>I 'm not part of that crowd , I have to say .</t>
  </si>
  <si>
    <t>file://conllu/en/teddy-1325.conllu#s11_0</t>
  </si>
  <si>
    <t>12</t>
  </si>
  <si>
    <t>I do n't want to go back , and it 's not because I 'm adventurous .</t>
  </si>
  <si>
    <t>file://conllu/en/teddy-1325.conllu#s12_0</t>
  </si>
  <si>
    <t>13</t>
  </si>
  <si>
    <t>be</t>
  </si>
  <si>
    <t>It 's because possibilities on this planet , they do n't go back , they go forward .</t>
  </si>
  <si>
    <t>file://conllu/en/teddy-1325.conllu#s13_0</t>
  </si>
  <si>
    <t>14</t>
  </si>
  <si>
    <t>want (want want)</t>
  </si>
  <si>
    <t>So I want to get in the machine , and I want to go forward .</t>
  </si>
  <si>
    <t>file://conllu/en/teddy-1325.conllu#s14_0</t>
  </si>
  <si>
    <t>15</t>
  </si>
  <si>
    <t>be (be planet)</t>
  </si>
  <si>
    <t>This is the greatest time there 's ever been on this planet by any measure that you wish to choose : health , wealth , mobility , opportunity , declining rates of disease ...</t>
  </si>
  <si>
    <t>file://conllu/en/teddy-1325.conllu#s15_0</t>
  </si>
  <si>
    <t>16</t>
  </si>
  <si>
    <t>be (be time)</t>
  </si>
  <si>
    <t>There 's never been a time like this .</t>
  </si>
  <si>
    <t>file://conllu/en/teddy-1325.conllu#s16_0</t>
  </si>
  <si>
    <t>die</t>
  </si>
  <si>
    <t>My great grandparents died , all of them , by the time they were 60 .</t>
  </si>
  <si>
    <t>file://conllu/en/teddy-1325.conllu#s17_0</t>
  </si>
  <si>
    <t>18</t>
  </si>
  <si>
    <t>push</t>
  </si>
  <si>
    <t>My grandparents pushed that number to 70 .</t>
  </si>
  <si>
    <t>file://conllu/en/teddy-1325.conllu#s18_0</t>
  </si>
  <si>
    <t>19</t>
  </si>
  <si>
    <t>close</t>
  </si>
  <si>
    <t>My parents are closing in on 80 .</t>
  </si>
  <si>
    <t>file://conllu/en/teddy-1325.conllu#s19_0</t>
  </si>
  <si>
    <t>20</t>
  </si>
  <si>
    <t>so?</t>
  </si>
  <si>
    <t>be (be there)</t>
  </si>
  <si>
    <t>So there better be a nine at the beginning of my death number .</t>
  </si>
  <si>
    <t>file://conllu/en/teddy-1325.conllu#s20_0</t>
  </si>
  <si>
    <t>21</t>
  </si>
  <si>
    <t>be (be people)</t>
  </si>
  <si>
    <t>But it 's not even about people like us , because this is a bigger deal than that .</t>
  </si>
  <si>
    <t>file://conllu/en/teddy-1325.conllu#s21_0</t>
  </si>
  <si>
    <t>22</t>
  </si>
  <si>
    <t>expect</t>
  </si>
  <si>
    <t>A kid born in New Delhi today can expect to live as long as the richest man in the world did 100 years ago .</t>
  </si>
  <si>
    <t>file://conllu/en/teddy-1325.conllu#s22_0</t>
  </si>
  <si>
    <t>23</t>
  </si>
  <si>
    <t>think</t>
  </si>
  <si>
    <t>Think about that , it 's an incredible fact .</t>
  </si>
  <si>
    <t>file://conllu/en/teddy-1325.conllu#s23_0</t>
  </si>
  <si>
    <t>24</t>
  </si>
  <si>
    <t>be (be true)</t>
  </si>
  <si>
    <t>And why is it true ?</t>
  </si>
  <si>
    <t>file://conllu/en/teddy-1325.conllu#s24_0</t>
  </si>
  <si>
    <t>25</t>
  </si>
  <si>
    <t>Smallpox</t>
  </si>
  <si>
    <t>Smallpox .</t>
  </si>
  <si>
    <t>file://conllu/en/teddy-1325.conllu#s25_0</t>
  </si>
  <si>
    <t>26</t>
  </si>
  <si>
    <t>kill</t>
  </si>
  <si>
    <t>Smallpox killed billions of people on this planet .</t>
  </si>
  <si>
    <t>file://conllu/en/teddy-1325.conllu#s26_0</t>
  </si>
  <si>
    <t>27</t>
  </si>
  <si>
    <t>reshape</t>
  </si>
  <si>
    <t>It reshaped the demography of the globe in a way that no war ever has .</t>
  </si>
  <si>
    <t>file://conllu/en/teddy-1325.conllu#s27_0</t>
  </si>
  <si>
    <t>28</t>
  </si>
  <si>
    <t>be (be gone)</t>
  </si>
  <si>
    <t>It 's gone .</t>
  </si>
  <si>
    <t>file://conllu/en/teddy-1325.conllu#s28_0</t>
  </si>
  <si>
    <t>29</t>
  </si>
  <si>
    <t>vanish</t>
  </si>
  <si>
    <t>It 's vanished .</t>
  </si>
  <si>
    <t>file://conllu/en/teddy-1325.conllu#s29_0</t>
  </si>
  <si>
    <t>30</t>
  </si>
  <si>
    <t>vanquish</t>
  </si>
  <si>
    <t>We vanquished it .</t>
  </si>
  <si>
    <t>file://conllu/en/teddy-1325.conllu#s30_0</t>
  </si>
  <si>
    <t>31</t>
  </si>
  <si>
    <t>puff</t>
  </si>
  <si>
    <t>Puff .</t>
  </si>
  <si>
    <t>file://conllu/en/teddy-1325.conllu#s31_0</t>
  </si>
  <si>
    <t>32</t>
  </si>
  <si>
    <t>disease</t>
  </si>
  <si>
    <t>In the rich world , diseases that threatened millions of us just a generation ago no longer exist , hardly .</t>
  </si>
  <si>
    <t>file://conllu/en/teddy-1325.conllu#s32_0</t>
  </si>
  <si>
    <t>33</t>
  </si>
  <si>
    <t>do</t>
  </si>
  <si>
    <t>Diphtheria , rubella , polio ... does anyone even know what those things are ?</t>
  </si>
  <si>
    <t>file://conllu/en/teddy-1325.conllu#s33_0</t>
  </si>
  <si>
    <t>34</t>
  </si>
  <si>
    <t>vaccines</t>
  </si>
  <si>
    <t>Vaccines , modern medicine , our ability to feed billions of people , those are triumphs of the scientific method .</t>
  </si>
  <si>
    <t>file://conllu/en/teddy-1325.conllu#s34_0</t>
  </si>
  <si>
    <t>35</t>
  </si>
  <si>
    <t>be (be one)</t>
  </si>
  <si>
    <t>And to my mind , the scientific method trying stuff out , seeing if it works , changing it when it does n't is one of the great accomplishments of humanity .</t>
  </si>
  <si>
    <t>file://conllu/en/teddy-1325.conllu#s35_0</t>
  </si>
  <si>
    <t>36</t>
  </si>
  <si>
    <t>so that?</t>
  </si>
  <si>
    <t>be (be news)</t>
  </si>
  <si>
    <t>So that 's the good news .</t>
  </si>
  <si>
    <t>file://conllu/en/teddy-1325.conllu#s36_0</t>
  </si>
  <si>
    <t>37</t>
  </si>
  <si>
    <t>Unfortunately , that 's all the good news because there are some other problems , and they 've been mentioned many times .</t>
  </si>
  <si>
    <t>file://conllu/en/teddy-1325.conllu#s37_0</t>
  </si>
  <si>
    <t>38</t>
  </si>
  <si>
    <t>And one of them is that despite all our accomplishments , a billion people go to bed hungry in this world every day .</t>
  </si>
  <si>
    <t>file://conllu/en/teddy-1325.conllu#s38_0</t>
  </si>
  <si>
    <t>39</t>
  </si>
  <si>
    <t>rising</t>
  </si>
  <si>
    <t>That number 's rising , and it 's rising really rapidly , and it 's disgraceful .</t>
  </si>
  <si>
    <t>file://conllu/en/teddy-1325.conllu#s39_0</t>
  </si>
  <si>
    <t>40</t>
  </si>
  <si>
    <t>use</t>
  </si>
  <si>
    <t>And not only that , we 've used our imagination to thoroughly trash this globe .</t>
  </si>
  <si>
    <t>file://conllu/en/teddy-1325.conllu#s40_0</t>
  </si>
  <si>
    <t>41</t>
  </si>
  <si>
    <t>water</t>
  </si>
  <si>
    <t>Potable water , arable land , rainforests , oil , gas : they 're going away , and they 're going away soon , and unless we innovate our way out of this mess , we 're going away too .</t>
  </si>
  <si>
    <t>file://conllu/en/teddy-1325.conllu#s41_0</t>
  </si>
  <si>
    <t>42</t>
  </si>
  <si>
    <t>So the question is : Can we do that ?</t>
  </si>
  <si>
    <t>file://conllu/en/teddy-1325.conllu#s42_0</t>
  </si>
  <si>
    <t>43</t>
  </si>
  <si>
    <t>And I think we can .</t>
  </si>
  <si>
    <t>file://conllu/en/teddy-1325.conllu#s43_0</t>
  </si>
  <si>
    <t>44</t>
  </si>
  <si>
    <t>I think it 's clear that we can make food that will feed billions of people without raping the land that they live on .</t>
  </si>
  <si>
    <t>file://conllu/en/teddy-1325.conllu#s44_0</t>
  </si>
  <si>
    <t>45</t>
  </si>
  <si>
    <t>I think we can power this world with energy that does n't also destroy it .</t>
  </si>
  <si>
    <t>file://conllu/en/teddy-1325.conllu#s45_0</t>
  </si>
  <si>
    <t>46</t>
  </si>
  <si>
    <t>believe</t>
  </si>
  <si>
    <t>I really do believe that , and , no , it ai n't wishful thinking .</t>
  </si>
  <si>
    <t>file://conllu/en/teddy-1325.conllu#s46_0</t>
  </si>
  <si>
    <t>47</t>
  </si>
  <si>
    <t>but?</t>
  </si>
  <si>
    <t>be (be here)</t>
  </si>
  <si>
    <t>But here 's the thing that keeps me up at night one of the things that keeps me up at night :</t>
  </si>
  <si>
    <t>file://conllu/en/teddy-1325.conllu#s47_0</t>
  </si>
  <si>
    <t>48</t>
  </si>
  <si>
    <t>need</t>
  </si>
  <si>
    <t>We 've never needed progress in science more than we need it right now .</t>
  </si>
  <si>
    <t>file://conllu/en/teddy-1325.conllu#s48_0</t>
  </si>
  <si>
    <t>49</t>
  </si>
  <si>
    <t>never</t>
  </si>
  <si>
    <t>Never .</t>
  </si>
  <si>
    <t>file://conllu/en/teddy-1325.conllu#s49_0</t>
  </si>
  <si>
    <t>50</t>
  </si>
  <si>
    <t>also?</t>
  </si>
  <si>
    <t>be (be position)</t>
  </si>
  <si>
    <t>And we 've also never been in a position to deploy it properly in the way that we can today .</t>
  </si>
  <si>
    <t>file://conllu/en/teddy-1325.conllu#s50_0</t>
  </si>
  <si>
    <t>51</t>
  </si>
  <si>
    <t>yet?</t>
  </si>
  <si>
    <t>be (be verge)</t>
  </si>
  <si>
    <t>We 're on the verge of amazing , amazing events in many fields , and yet I actually think we 'd have to go back hundreds , 300 years , before the Enlightenment , to find a time when we battled progress , when we fought about these things more vigorously , on more fronts , than we do now .</t>
  </si>
  <si>
    <t>file://conllu/en/teddy-1325.conllu#s51_0</t>
  </si>
  <si>
    <t>52</t>
  </si>
  <si>
    <t>wrap</t>
  </si>
  <si>
    <t>People wrap themselves in their beliefs , and they do it so tightly that you ca n't set them free .</t>
  </si>
  <si>
    <t>file://conllu/en/teddy-1325.conllu#s52_0</t>
  </si>
  <si>
    <t>53</t>
  </si>
  <si>
    <t>set</t>
  </si>
  <si>
    <t>Not even the truth will set them free .</t>
  </si>
  <si>
    <t>file://conllu/en/teddy-1325.conllu#s53_0</t>
  </si>
  <si>
    <t>54</t>
  </si>
  <si>
    <t>entitle</t>
  </si>
  <si>
    <t>And , listen , everyone 's entitled to their opinion ; they 're even entitled to their opinion about progress .</t>
  </si>
  <si>
    <t>file://conllu/en/teddy-1325.conllu#s54_0</t>
  </si>
  <si>
    <t>55</t>
  </si>
  <si>
    <t>But you know what you 're not entitled to ?</t>
  </si>
  <si>
    <t>file://conllu/en/teddy-1325.conllu#s55_0</t>
  </si>
  <si>
    <t>56</t>
  </si>
  <si>
    <t>You 're not entitled to your own facts .</t>
  </si>
  <si>
    <t>file://conllu/en/teddy-1325.conllu#s56_0</t>
  </si>
  <si>
    <t>57</t>
  </si>
  <si>
    <t>be (be not)</t>
  </si>
  <si>
    <t>Sorry , you 're not .</t>
  </si>
  <si>
    <t>file://conllu/en/teddy-1325.conllu#s57_0</t>
  </si>
  <si>
    <t>58</t>
  </si>
  <si>
    <t>take</t>
  </si>
  <si>
    <t>And this took me awhile to figure out .</t>
  </si>
  <si>
    <t>file://conllu/en/teddy-1325.conllu#s58_0</t>
  </si>
  <si>
    <t>59</t>
  </si>
  <si>
    <t>write</t>
  </si>
  <si>
    <t>About a decade ago , I wrote a story about vaccines for The New Yorker .</t>
  </si>
  <si>
    <t>file://conllu/en/teddy-1325.conllu#s59_0</t>
  </si>
  <si>
    <t>60</t>
  </si>
  <si>
    <t>story</t>
  </si>
  <si>
    <t>A little story .</t>
  </si>
  <si>
    <t>file://conllu/en/teddy-1325.conllu#s60_0</t>
  </si>
  <si>
    <t>61</t>
  </si>
  <si>
    <t>amazed</t>
  </si>
  <si>
    <t>And I was amazed to find opposition : opposition to what is , after all , the most effective public health measure in human history .</t>
  </si>
  <si>
    <t>file://conllu/en/teddy-1325.conllu#s61_0</t>
  </si>
  <si>
    <t>62</t>
  </si>
  <si>
    <t>I did n't know what to do , so I just did what I do : I wrote a story and I moved on .</t>
  </si>
  <si>
    <t>file://conllu/en/teddy-1325.conllu#s62_0</t>
  </si>
  <si>
    <t>63</t>
  </si>
  <si>
    <t>And soon after that , I wrote a story about genetically engineered food .</t>
  </si>
  <si>
    <t>file://conllu/en/teddy-1325.conllu#s63_0</t>
  </si>
  <si>
    <t>64</t>
  </si>
  <si>
    <t>thing</t>
  </si>
  <si>
    <t>Same thing , only bigger .</t>
  </si>
  <si>
    <t>file://conllu/en/teddy-1325.conllu#s64_0</t>
  </si>
  <si>
    <t>65</t>
  </si>
  <si>
    <t>People were going crazy .</t>
  </si>
  <si>
    <t>file://conllu/en/teddy-1325.conllu#s65_0</t>
  </si>
  <si>
    <t>66</t>
  </si>
  <si>
    <t>think (think understand write)</t>
  </si>
  <si>
    <t>So I wrote a story about that too , and I could n't understand why people thought this was &amp;quot; Frankenfoods , &amp;quot; why they thought moving molecules around in a specific , rather than a haphazard way , was trespassing on nature 's ground .</t>
  </si>
  <si>
    <t>file://conllu/en/teddy-1325.conllu#s66_0</t>
  </si>
  <si>
    <t>67</t>
  </si>
  <si>
    <t>But , you know , I do what I do .</t>
  </si>
  <si>
    <t>file://conllu/en/teddy-1325.conllu#s67_0</t>
  </si>
  <si>
    <t>68</t>
  </si>
  <si>
    <t>I wrote the story , I moved on .</t>
  </si>
  <si>
    <t>file://conllu/en/teddy-1325.conllu#s68_0</t>
  </si>
  <si>
    <t>69</t>
  </si>
  <si>
    <t>be (be journalist)</t>
  </si>
  <si>
    <t>I mean , I 'm a journalist .</t>
  </si>
  <si>
    <t>file://conllu/en/teddy-1325.conllu#s69_0</t>
  </si>
  <si>
    <t>70</t>
  </si>
  <si>
    <t>type</t>
  </si>
  <si>
    <t>We type , we file , we go to dinner .</t>
  </si>
  <si>
    <t>file://conllu/en/teddy-1325.conllu#s70_0</t>
  </si>
  <si>
    <t>71</t>
  </si>
  <si>
    <t>be (be fine)</t>
  </si>
  <si>
    <t>It 's fine .</t>
  </si>
  <si>
    <t>file://conllu/en/teddy-1325.conllu#s71_0</t>
  </si>
  <si>
    <t>72</t>
  </si>
  <si>
    <t>laughter</t>
  </si>
  <si>
    <t>( Laughter )</t>
  </si>
  <si>
    <t>file://conllu/en/teddy-1325.conllu#s72_0</t>
  </si>
  <si>
    <t>73</t>
  </si>
  <si>
    <t>bother</t>
  </si>
  <si>
    <t>But these stories bothered me , and I could n't figure out why , and eventually I did .</t>
  </si>
  <si>
    <t>file://conllu/en/teddy-1325.conllu#s73_0</t>
  </si>
  <si>
    <t>74</t>
  </si>
  <si>
    <t>And that 's because those fanatics that were driving me crazy were n't actually fanatics at all .</t>
  </si>
  <si>
    <t>file://conllu/en/teddy-1325.conllu#s74_0</t>
  </si>
  <si>
    <t>75</t>
  </si>
  <si>
    <t>They were thoughtful people , educated people , decent people .</t>
  </si>
  <si>
    <t>file://conllu/en/teddy-1325.conllu#s75_0</t>
  </si>
  <si>
    <t>76</t>
  </si>
  <si>
    <t>They were exactly like the people in this room .</t>
  </si>
  <si>
    <t>file://conllu/en/teddy-1325.conllu#s76_0</t>
  </si>
  <si>
    <t>77</t>
  </si>
  <si>
    <t>disturb</t>
  </si>
  <si>
    <t>And it just disturbed me so much .</t>
  </si>
  <si>
    <t>file://conllu/en/teddy-1325.conllu#s77_0</t>
  </si>
  <si>
    <t>78</t>
  </si>
  <si>
    <t>then?</t>
  </si>
  <si>
    <t>know (know think)</t>
  </si>
  <si>
    <t>But then I thought , you know , let 's be honest .</t>
  </si>
  <si>
    <t>file://conllu/en/teddy-1325.conllu#s78_0</t>
  </si>
  <si>
    <t>79</t>
  </si>
  <si>
    <t>be (be point)</t>
  </si>
  <si>
    <t>We 're at a point in this world where we do n't have the same relationship to progress that we used to .</t>
  </si>
  <si>
    <t>file://conllu/en/teddy-1325.conllu#s79_0</t>
  </si>
  <si>
    <t>80</t>
  </si>
  <si>
    <t>talk</t>
  </si>
  <si>
    <t>We talk about it ambivalently .</t>
  </si>
  <si>
    <t>file://conllu/en/teddy-1325.conllu#s80_0</t>
  </si>
  <si>
    <t>81</t>
  </si>
  <si>
    <t>We talk about it in ironic terms with little quotes around it : &amp;quot; progress . &amp;quot;</t>
  </si>
  <si>
    <t>file://conllu/en/teddy-1325.conllu#s81_0</t>
  </si>
  <si>
    <t>82</t>
  </si>
  <si>
    <t>Okay , there are reasons for that , and I think we know what those reasons are .</t>
  </si>
  <si>
    <t>file://conllu/en/teddy-1325.conllu#s82_0</t>
  </si>
  <si>
    <t>83</t>
  </si>
  <si>
    <t>lose</t>
  </si>
  <si>
    <t>We 've lost faith in institutions , in authority , and sometimes in science itself , and there 's no reason we should n't have .</t>
  </si>
  <si>
    <t>file://conllu/en/teddy-1325.conllu#s83_0</t>
  </si>
  <si>
    <t>84</t>
  </si>
  <si>
    <t>understand (understand say)</t>
  </si>
  <si>
    <t>You can just say a few names and people will understand .</t>
  </si>
  <si>
    <t>file://conllu/en/teddy-1325.conllu#s84_0</t>
  </si>
  <si>
    <t>85</t>
  </si>
  <si>
    <t>Chernobyl</t>
  </si>
  <si>
    <t>Chernobyl , Bhopal , the Challenger , Vioxx , weapons of mass destruction , hanging chads .</t>
  </si>
  <si>
    <t>file://conllu/en/teddy-1325.conllu#s85_0</t>
  </si>
  <si>
    <t>86</t>
  </si>
  <si>
    <t>You know , you can choose your list .</t>
  </si>
  <si>
    <t>file://conllu/en/teddy-1325.conllu#s86_0</t>
  </si>
  <si>
    <t>87</t>
  </si>
  <si>
    <t>There are questions and problems with the people we used to believe were always right , so be skeptical .</t>
  </si>
  <si>
    <t>file://conllu/en/teddy-1325.conllu#s87_0</t>
  </si>
  <si>
    <t>88</t>
  </si>
  <si>
    <t>question (question ask)</t>
  </si>
  <si>
    <t>Ask questions , demand proof , demand evidence .</t>
  </si>
  <si>
    <t>file://conllu/en/teddy-1325.conllu#s88_0</t>
  </si>
  <si>
    <t>89</t>
  </si>
  <si>
    <t>for?</t>
  </si>
  <si>
    <t>Do n't take anything for granted .</t>
  </si>
  <si>
    <t>file://conllu/en/teddy-1325.conllu#s89_0</t>
  </si>
  <si>
    <t>90</t>
  </si>
  <si>
    <t>But here 's the thing :</t>
  </si>
  <si>
    <t>file://conllu/en/teddy-1325.conllu#s90_0</t>
  </si>
  <si>
    <t>91</t>
  </si>
  <si>
    <t>when?</t>
  </si>
  <si>
    <t>When you get proof , you need to accept the proof , and we 're not that good at doing that .</t>
  </si>
  <si>
    <t>file://conllu/en/teddy-1325.conllu#s91_0</t>
  </si>
  <si>
    <t>92</t>
  </si>
  <si>
    <t>say (say reason)</t>
  </si>
  <si>
    <t>And the reason that I can say that is because we 're now in an epidemic of fear like one I 've never seen and hope never to see again .</t>
  </si>
  <si>
    <t>file://conllu/en/teddy-1325.conllu#s92_0</t>
  </si>
  <si>
    <t>93</t>
  </si>
  <si>
    <t>About 12 years ago , there was a story published , a horrible story , that linked the epidemic of autism to the measles , mumps and rubella vaccine shot .</t>
  </si>
  <si>
    <t>file://conllu/en/teddy-1325.conllu#s93_0</t>
  </si>
  <si>
    <t>94</t>
  </si>
  <si>
    <t>scary</t>
  </si>
  <si>
    <t>Very scary .</t>
  </si>
  <si>
    <t>file://conllu/en/teddy-1325.conllu#s94_0</t>
  </si>
  <si>
    <t>95</t>
  </si>
  <si>
    <t>Tons of studies were done to see if this was true .</t>
  </si>
  <si>
    <t>file://conllu/en/teddy-1325.conllu#s95_0</t>
  </si>
  <si>
    <t>96</t>
  </si>
  <si>
    <t>Tons of studies should have been done ; it 's a serious issue .</t>
  </si>
  <si>
    <t>file://conllu/en/teddy-1325.conllu#s96_0</t>
  </si>
  <si>
    <t>97</t>
  </si>
  <si>
    <t>come</t>
  </si>
  <si>
    <t>The data came back .</t>
  </si>
  <si>
    <t>file://conllu/en/teddy-1325.conllu#s97_0</t>
  </si>
  <si>
    <t>98</t>
  </si>
  <si>
    <t>The data came back from the United States , from England , from Sweden , from Canada , and it was all the same : no correlation , no connection , none at all .</t>
  </si>
  <si>
    <t>file://conllu/en/teddy-1325.conllu#s98_0</t>
  </si>
  <si>
    <t>99</t>
  </si>
  <si>
    <t>matter</t>
  </si>
  <si>
    <t>It does n't matter .</t>
  </si>
  <si>
    <t>file://conllu/en/teddy-1325.conllu#s99_0</t>
  </si>
  <si>
    <t>100</t>
  </si>
  <si>
    <t>It does n't matter because we believe anecdotes , we believe what we see , what we think we see , what makes us feel real .</t>
  </si>
  <si>
    <t>file://conllu/en/teddy-1325.conllu#s100_0</t>
  </si>
  <si>
    <t>101</t>
  </si>
  <si>
    <t>think (think understand believe)</t>
  </si>
  <si>
    <t>We do n't believe a bunch of documents from a government official giving us data , and I do understand that , I think we all do .</t>
  </si>
  <si>
    <t>file://conllu/en/teddy-1325.conllu#s101_0</t>
  </si>
  <si>
    <t>102</t>
  </si>
  <si>
    <t>But you know what ?</t>
  </si>
  <si>
    <t>file://conllu/en/teddy-1325.conllu#s102_0</t>
  </si>
  <si>
    <t>103</t>
  </si>
  <si>
    <t>be (be disastrous)</t>
  </si>
  <si>
    <t>The result of that has been disastrous .</t>
  </si>
  <si>
    <t>file://conllu/en/teddy-1325.conllu#s103_0</t>
  </si>
  <si>
    <t>104</t>
  </si>
  <si>
    <t>disastrous</t>
  </si>
  <si>
    <t>Disastrous because here 's a fact : The United States is one of the only countries in the world where the vaccine rate for measles is going down .</t>
  </si>
  <si>
    <t>file://conllu/en/teddy-1325.conllu#s104_0</t>
  </si>
  <si>
    <t>105</t>
  </si>
  <si>
    <t>be (be disgraceful)</t>
  </si>
  <si>
    <t>That is disgraceful , and we should be ashamed of ourselves .</t>
  </si>
  <si>
    <t>file://conllu/en/teddy-1325.conllu#s105_0</t>
  </si>
  <si>
    <t>106</t>
  </si>
  <si>
    <t>be (be horrible)</t>
  </si>
  <si>
    <t>It 's horrible .</t>
  </si>
  <si>
    <t>file://conllu/en/teddy-1325.conllu#s106_0</t>
  </si>
  <si>
    <t>107</t>
  </si>
  <si>
    <t>happen</t>
  </si>
  <si>
    <t>What kind of a thing happened that we could do that ?</t>
  </si>
  <si>
    <t>file://conllu/en/teddy-1325.conllu#s107_0</t>
  </si>
  <si>
    <t>108</t>
  </si>
  <si>
    <t>Now , I understand it .</t>
  </si>
  <si>
    <t>file://conllu/en/teddy-1325.conllu#s108_0</t>
  </si>
  <si>
    <t>109</t>
  </si>
  <si>
    <t>I do understand it .</t>
  </si>
  <si>
    <t>file://conllu/en/teddy-1325.conllu#s109_0</t>
  </si>
  <si>
    <t>110</t>
  </si>
  <si>
    <t>Because , did anyone have measles here ?</t>
  </si>
  <si>
    <t>file://conllu/en/teddy-1325.conllu#s110_0</t>
  </si>
  <si>
    <t>111</t>
  </si>
  <si>
    <t>see</t>
  </si>
  <si>
    <t>Has one person in this audience ever seen someone die of measles ?</t>
  </si>
  <si>
    <t>file://conllu/en/teddy-1325.conllu#s111_0</t>
  </si>
  <si>
    <t>112</t>
  </si>
  <si>
    <t>Does n't happen very much .</t>
  </si>
  <si>
    <t>file://conllu/en/teddy-1325.conllu#s112_0</t>
  </si>
  <si>
    <t>113</t>
  </si>
  <si>
    <t>Does n't happen in this country at all , but it happened 160,000 times in the world last year .</t>
  </si>
  <si>
    <t>file://conllu/en/teddy-1325.conllu#s113_0</t>
  </si>
  <si>
    <t>114</t>
  </si>
  <si>
    <t>be (be lot)</t>
  </si>
  <si>
    <t>That 's a lot of death of measles 20 an hour .</t>
  </si>
  <si>
    <t>file://conllu/en/teddy-1325.conllu#s114_0</t>
  </si>
  <si>
    <t>115</t>
  </si>
  <si>
    <t>since?</t>
  </si>
  <si>
    <t>put</t>
  </si>
  <si>
    <t>But since it did n't happen here , we can put it out of our minds , and people like Jenny McCarthy can go around preaching messages of fear and illiteracy from platforms like &amp;quot; Oprah &amp;quot; and &amp;quot; Larry King Live . &amp;quot;</t>
  </si>
  <si>
    <t>file://conllu/en/teddy-1325.conllu#s115_0</t>
  </si>
  <si>
    <t>116</t>
  </si>
  <si>
    <t>And they can do it because they do n't link causation and correlation .</t>
  </si>
  <si>
    <t>file://conllu/en/teddy-1325.conllu#s116_0</t>
  </si>
  <si>
    <t>117</t>
  </si>
  <si>
    <t>seem (seem understand)</t>
  </si>
  <si>
    <t>They do n't understand that these things seem the same , but they 're almost never the same .</t>
  </si>
  <si>
    <t>file://conllu/en/teddy-1325.conllu#s117_0</t>
  </si>
  <si>
    <t>118</t>
  </si>
  <si>
    <t>be (be something)</t>
  </si>
  <si>
    <t>And it 's something we need to learn , and we need to learn it really soon .</t>
  </si>
  <si>
    <t>file://conllu/en/teddy-1325.conllu#s118_0</t>
  </si>
  <si>
    <t>119</t>
  </si>
  <si>
    <t>be (be hero)</t>
  </si>
  <si>
    <t>This guy was a hero , Jonas Salk .</t>
  </si>
  <si>
    <t>file://conllu/en/teddy-1325.conllu#s119_0</t>
  </si>
  <si>
    <t>120</t>
  </si>
  <si>
    <t>He took one of the worst scourges of mankind away from us .</t>
  </si>
  <si>
    <t>file://conllu/en/teddy-1325.conllu#s120_0</t>
  </si>
  <si>
    <t>121</t>
  </si>
  <si>
    <t>fear</t>
  </si>
  <si>
    <t>No fear , no agony .</t>
  </si>
  <si>
    <t>file://conllu/en/teddy-1325.conllu#s121_0</t>
  </si>
  <si>
    <t>122</t>
  </si>
  <si>
    <t>Polio puff , gone .</t>
  </si>
  <si>
    <t>file://conllu/en/teddy-1325.conllu#s122_0</t>
  </si>
  <si>
    <t>123</t>
  </si>
  <si>
    <t>much</t>
  </si>
  <si>
    <t>That guy in the middle , not so much .</t>
  </si>
  <si>
    <t>file://conllu/en/teddy-1325.conllu#s123_0</t>
  </si>
  <si>
    <t>124</t>
  </si>
  <si>
    <t>be (be Paul)</t>
  </si>
  <si>
    <t>His name is Paul Offit .</t>
  </si>
  <si>
    <t>file://conllu/en/teddy-1325.conllu#s124_0</t>
  </si>
  <si>
    <t>125</t>
  </si>
  <si>
    <t>develop</t>
  </si>
  <si>
    <t>He just developed a rotavirus vaccine with a bunch of other people .</t>
  </si>
  <si>
    <t>file://conllu/en/teddy-1325.conllu#s125_0</t>
  </si>
  <si>
    <t>126</t>
  </si>
  <si>
    <t>save</t>
  </si>
  <si>
    <t>It 'll save the lives of 400 to 500,000 kids in the developing world every year .</t>
  </si>
  <si>
    <t>file://conllu/en/teddy-1325.conllu#s126_0</t>
  </si>
  <si>
    <t>127</t>
  </si>
  <si>
    <t>good</t>
  </si>
  <si>
    <t>Pretty good , right ?</t>
  </si>
  <si>
    <t>file://conllu/en/teddy-1325.conllu#s127_0</t>
  </si>
  <si>
    <t>128</t>
  </si>
  <si>
    <t>be (be good)</t>
  </si>
  <si>
    <t>Well , it 's good , except that Paul goes around talking about vaccines and says how valuable they are and that people ought to just stop the whining .</t>
  </si>
  <si>
    <t>file://conllu/en/teddy-1325.conllu#s128_0</t>
  </si>
  <si>
    <t>129</t>
  </si>
  <si>
    <t>say</t>
  </si>
  <si>
    <t>And he actually says it that way .</t>
  </si>
  <si>
    <t>file://conllu/en/teddy-1325.conllu#s129_0</t>
  </si>
  <si>
    <t>130</t>
  </si>
  <si>
    <t>be (be terrorist)</t>
  </si>
  <si>
    <t>So , Paul 's a terrorist .</t>
  </si>
  <si>
    <t>file://conllu/en/teddy-1325.conllu#s130_0</t>
  </si>
  <si>
    <t>131</t>
  </si>
  <si>
    <t>testify</t>
  </si>
  <si>
    <t>When Paul speaks in a public hearing , he ca n't testify without armed guards .</t>
  </si>
  <si>
    <t>file://conllu/en/teddy-1325.conllu#s131_0</t>
  </si>
  <si>
    <t>132</t>
  </si>
  <si>
    <t>get</t>
  </si>
  <si>
    <t>He get s called at home because people like to tell him that they remember where his kids go to school .</t>
  </si>
  <si>
    <t>file://conllu/en/teddy-1325.conllu#s132_0</t>
  </si>
  <si>
    <t>133</t>
  </si>
  <si>
    <t>why</t>
  </si>
  <si>
    <t>And why ?</t>
  </si>
  <si>
    <t>file://conllu/en/teddy-1325.conllu#s133_0</t>
  </si>
  <si>
    <t>134</t>
  </si>
  <si>
    <t>make</t>
  </si>
  <si>
    <t>Because Paul made a vaccine .</t>
  </si>
  <si>
    <t>file://conllu/en/teddy-1325.conllu#s134_0</t>
  </si>
  <si>
    <t>135</t>
  </si>
  <si>
    <t>I do n't need to say this , but vaccines are essential .</t>
  </si>
  <si>
    <t>file://conllu/en/teddy-1325.conllu#s135_0</t>
  </si>
  <si>
    <t>136</t>
  </si>
  <si>
    <t>You take them away , disease comes back , horrible diseases .</t>
  </si>
  <si>
    <t>file://conllu/en/teddy-1325.conllu#s136_0</t>
  </si>
  <si>
    <t>137</t>
  </si>
  <si>
    <t>And that 's happening .</t>
  </si>
  <si>
    <t>file://conllu/en/teddy-1325.conllu#s137_0</t>
  </si>
  <si>
    <t>138</t>
  </si>
  <si>
    <t>We have measles in this country now .</t>
  </si>
  <si>
    <t>file://conllu/en/teddy-1325.conllu#s138_0</t>
  </si>
  <si>
    <t>139</t>
  </si>
  <si>
    <t>And it 's getting worse , and pretty soon kids are going to die of it again because it 's just a numbers game .</t>
  </si>
  <si>
    <t>file://conllu/en/teddy-1325.conllu#s139_0</t>
  </si>
  <si>
    <t>140</t>
  </si>
  <si>
    <t>And they 're not just going to die of measles .</t>
  </si>
  <si>
    <t>file://conllu/en/teddy-1325.conllu#s140_0</t>
  </si>
  <si>
    <t>141</t>
  </si>
  <si>
    <t>what</t>
  </si>
  <si>
    <t>What about polio ?</t>
  </si>
  <si>
    <t>file://conllu/en/teddy-1325.conllu#s141_0</t>
  </si>
  <si>
    <t>142</t>
  </si>
  <si>
    <t>Let 's have that .</t>
  </si>
  <si>
    <t>file://conllu/en/teddy-1325.conllu#s142_0</t>
  </si>
  <si>
    <t>143</t>
  </si>
  <si>
    <t>not</t>
  </si>
  <si>
    <t>Why not ?</t>
  </si>
  <si>
    <t>file://conllu/en/teddy-1325.conllu#s143_0</t>
  </si>
  <si>
    <t>144</t>
  </si>
  <si>
    <t>think (think say write)</t>
  </si>
  <si>
    <t>A college classmate of mine wrote me a couple weeks ago and said she thought I was a little strident .</t>
  </si>
  <si>
    <t>file://conllu/en/teddy-1325.conllu#s144_0</t>
  </si>
  <si>
    <t>145</t>
  </si>
  <si>
    <t>before?</t>
  </si>
  <si>
    <t>No one 's ever said that before .</t>
  </si>
  <si>
    <t>file://conllu/en/teddy-1325.conllu#s145_0</t>
  </si>
  <si>
    <t>146</t>
  </si>
  <si>
    <t>She was n't going to vaccinate her kid against polio , no way .</t>
  </si>
  <si>
    <t>file://conllu/en/teddy-1325.conllu#s146_0</t>
  </si>
  <si>
    <t>147</t>
  </si>
  <si>
    <t>fine</t>
  </si>
  <si>
    <t>Fine .</t>
  </si>
  <si>
    <t>file://conllu/en/teddy-1325.conllu#s147_0</t>
  </si>
  <si>
    <t>148</t>
  </si>
  <si>
    <t>Why ?</t>
  </si>
  <si>
    <t>file://conllu/en/teddy-1325.conllu#s148_0</t>
  </si>
  <si>
    <t>149</t>
  </si>
  <si>
    <t>Because we do n't have polio .</t>
  </si>
  <si>
    <t>file://conllu/en/teddy-1325.conllu#s149_0</t>
  </si>
  <si>
    <t>150</t>
  </si>
  <si>
    <t>And you know what ?</t>
  </si>
  <si>
    <t>file://conllu/en/teddy-1325.conllu#s150_0</t>
  </si>
  <si>
    <t>151</t>
  </si>
  <si>
    <t>We did n't have polio in this country yesterday .</t>
  </si>
  <si>
    <t>file://conllu/en/teddy-1325.conllu#s151_0</t>
  </si>
  <si>
    <t>152</t>
  </si>
  <si>
    <t>Today , I do n't know , maybe a guy got on a plane in Lagos this morning , and he 's flying to LAX , right now he 's over Ohio .</t>
  </si>
  <si>
    <t>file://conllu/en/teddy-1325.conllu#s152_0</t>
  </si>
  <si>
    <t>153</t>
  </si>
  <si>
    <t>And he 's going to land in a couple of hours , he 's going to rent a car , and he 's going to come to Long Beach , and he 's going to attend one of these fabulous TED dinners tonight .</t>
  </si>
  <si>
    <t>file://conllu/en/teddy-1325.conllu#s153_0</t>
  </si>
  <si>
    <t>154</t>
  </si>
  <si>
    <t>And he does n't know that he 's infected with a paralytic disease , and we do n't either because that 's the way the world works .</t>
  </si>
  <si>
    <t>file://conllu/en/teddy-1325.conllu#s154_0</t>
  </si>
  <si>
    <t>155</t>
  </si>
  <si>
    <t>That 's the planet we live on .</t>
  </si>
  <si>
    <t>file://conllu/en/teddy-1325.conllu#s155_0</t>
  </si>
  <si>
    <t>156</t>
  </si>
  <si>
    <t>pretend</t>
  </si>
  <si>
    <t>Do n't pretend it is n't .</t>
  </si>
  <si>
    <t>file://conllu/en/teddy-1325.conllu#s156_0</t>
  </si>
  <si>
    <t>157</t>
  </si>
  <si>
    <t>love</t>
  </si>
  <si>
    <t>Now , we love to wrap ourselves in lies .</t>
  </si>
  <si>
    <t>file://conllu/en/teddy-1325.conllu#s157_0</t>
  </si>
  <si>
    <t>158</t>
  </si>
  <si>
    <t>We love to do it .</t>
  </si>
  <si>
    <t>file://conllu/en/teddy-1325.conllu#s158_0</t>
  </si>
  <si>
    <t>159</t>
  </si>
  <si>
    <t>Everyone take their vitamins this morning ?</t>
  </si>
  <si>
    <t>file://conllu/en/teddy-1325.conllu#s159_0</t>
  </si>
  <si>
    <t>160</t>
  </si>
  <si>
    <t>Echinacea</t>
  </si>
  <si>
    <t>Echinacea , a little antioxidant to get you going .</t>
  </si>
  <si>
    <t>file://conllu/en/teddy-1325.conllu#s160_0</t>
  </si>
  <si>
    <t>161</t>
  </si>
  <si>
    <t>I know you did because half of Americans do every day .</t>
  </si>
  <si>
    <t>file://conllu/en/teddy-1325.conllu#s161_0</t>
  </si>
  <si>
    <t>162</t>
  </si>
  <si>
    <t>They take the stuff , and they take alternative medicines , and it does n't matter how often we find out that they 're useless .</t>
  </si>
  <si>
    <t>file://conllu/en/teddy-1325.conllu#s162_0</t>
  </si>
  <si>
    <t>163</t>
  </si>
  <si>
    <t>The data says it all the time .</t>
  </si>
  <si>
    <t>file://conllu/en/teddy-1325.conllu#s163_0</t>
  </si>
  <si>
    <t>164</t>
  </si>
  <si>
    <t>darke</t>
  </si>
  <si>
    <t>They darken your urine .</t>
  </si>
  <si>
    <t>file://conllu/en/teddy-1325.conllu#s164_0</t>
  </si>
  <si>
    <t>165</t>
  </si>
  <si>
    <t>more</t>
  </si>
  <si>
    <t>They almost never do more than that .</t>
  </si>
  <si>
    <t>file://conllu/en/teddy-1325.conllu#s165_0</t>
  </si>
  <si>
    <t>166</t>
  </si>
  <si>
    <t>be (be okay)</t>
  </si>
  <si>
    <t>It 's okay , you want to pay 28 billion dollars for dark urine ?</t>
  </si>
  <si>
    <t>file://conllu/en/teddy-1325.conllu#s166_0</t>
  </si>
  <si>
    <t>167</t>
  </si>
  <si>
    <t>be (be totally)</t>
  </si>
  <si>
    <t>I 'm totally with you .</t>
  </si>
  <si>
    <t>file://conllu/en/teddy-1325.conllu#s167_0</t>
  </si>
  <si>
    <t>168</t>
  </si>
  <si>
    <t>urine</t>
  </si>
  <si>
    <t>Dark urine .</t>
  </si>
  <si>
    <t>file://conllu/en/teddy-1325.conllu#s168_0</t>
  </si>
  <si>
    <t>169</t>
  </si>
  <si>
    <t>Dark</t>
  </si>
  <si>
    <t>Dark .</t>
  </si>
  <si>
    <t>file://conllu/en/teddy-1325.conllu#s169_0</t>
  </si>
  <si>
    <t>170</t>
  </si>
  <si>
    <t>Why do we do that ?</t>
  </si>
  <si>
    <t>file://conllu/en/teddy-1325.conllu#s170_0</t>
  </si>
  <si>
    <t>171</t>
  </si>
  <si>
    <t>file://conllu/en/teddy-1325.conllu#s171_0</t>
  </si>
  <si>
    <t>172</t>
  </si>
  <si>
    <t>understand (understand think)</t>
  </si>
  <si>
    <t>Well , I think I understand , we hate Big Pharma .</t>
  </si>
  <si>
    <t>file://conllu/en/teddy-1325.conllu#s172_0</t>
  </si>
  <si>
    <t>173</t>
  </si>
  <si>
    <t>hate</t>
  </si>
  <si>
    <t>We hate Big Government .</t>
  </si>
  <si>
    <t>file://conllu/en/teddy-1325.conllu#s173_0</t>
  </si>
  <si>
    <t>174</t>
  </si>
  <si>
    <t>trust</t>
  </si>
  <si>
    <t>We do n't trust the Man .</t>
  </si>
  <si>
    <t>file://conllu/en/teddy-1325.conllu#s174_0</t>
  </si>
  <si>
    <t>175</t>
  </si>
  <si>
    <t>suck</t>
  </si>
  <si>
    <t>And we should n't : Our health care system sucks .</t>
  </si>
  <si>
    <t>file://conllu/en/teddy-1325.conllu#s175_0</t>
  </si>
  <si>
    <t>176</t>
  </si>
  <si>
    <t>be (be cruel)</t>
  </si>
  <si>
    <t>It 's cruel to millions of people .</t>
  </si>
  <si>
    <t>file://conllu/en/teddy-1325.conllu#s176_0</t>
  </si>
  <si>
    <t>177</t>
  </si>
  <si>
    <t>be (be cold)</t>
  </si>
  <si>
    <t>It 's absolutely astonishingly cold and soul bending to those of us who can even afford it .</t>
  </si>
  <si>
    <t>file://conllu/en/teddy-1325.conllu#s177_0</t>
  </si>
  <si>
    <t>178</t>
  </si>
  <si>
    <t>run</t>
  </si>
  <si>
    <t>So we run away from it , and where do we run ?</t>
  </si>
  <si>
    <t>file://conllu/en/teddy-1325.conllu#s178_0</t>
  </si>
  <si>
    <t>179</t>
  </si>
  <si>
    <t>leap</t>
  </si>
  <si>
    <t>We leap into the arms of Big Placebo .</t>
  </si>
  <si>
    <t>file://conllu/en/teddy-1325.conllu#s179_0</t>
  </si>
  <si>
    <t>180</t>
  </si>
  <si>
    <t>be (be fantastic)</t>
  </si>
  <si>
    <t>That 's fantastic .</t>
  </si>
  <si>
    <t>file://conllu/en/teddy-1325.conllu#s180_0</t>
  </si>
  <si>
    <t>181</t>
  </si>
  <si>
    <t>I love Big Placebo .</t>
  </si>
  <si>
    <t>file://conllu/en/teddy-1325.conllu#s181_0</t>
  </si>
  <si>
    <t>182</t>
  </si>
  <si>
    <t>Applause</t>
  </si>
  <si>
    <t>( Applause )</t>
  </si>
  <si>
    <t>file://conllu/en/teddy-1325.conllu#s182_0</t>
  </si>
  <si>
    <t>183</t>
  </si>
  <si>
    <t>But , you know , it 's really a serious thing because this stuff is crap , and we spend billions of dollars on it .</t>
  </si>
  <si>
    <t>file://conllu/en/teddy-1325.conllu#s183_0</t>
  </si>
  <si>
    <t>184</t>
  </si>
  <si>
    <t>And I have all sorts of little props here .</t>
  </si>
  <si>
    <t>file://conllu/en/teddy-1325.conllu#s184_0</t>
  </si>
  <si>
    <t>185</t>
  </si>
  <si>
    <t>none</t>
  </si>
  <si>
    <t>None of it ... ginkgo , fraud ; echinacea , fraud ; acai I do n't even know what that is but we 're spending billions of dollars on it it 's fraud .</t>
  </si>
  <si>
    <t>file://conllu/en/teddy-1325.conllu#s185_0</t>
  </si>
  <si>
    <t>186</t>
  </si>
  <si>
    <t>file://conllu/en/teddy-1325.conllu#s186_0</t>
  </si>
  <si>
    <t>187</t>
  </si>
  <si>
    <t>scream</t>
  </si>
  <si>
    <t>When I say this stuff , people scream at me , and they say , &amp;quot; What do you care ?</t>
  </si>
  <si>
    <t>file://conllu/en/teddy-1325.conllu#s187_0</t>
  </si>
  <si>
    <t>188</t>
  </si>
  <si>
    <t>Let people do what they want to do .</t>
  </si>
  <si>
    <t>file://conllu/en/teddy-1325.conllu#s188_0</t>
  </si>
  <si>
    <t>189</t>
  </si>
  <si>
    <t>It makes them feel good . &amp;quot;</t>
  </si>
  <si>
    <t>file://conllu/en/teddy-1325.conllu#s189_0</t>
  </si>
  <si>
    <t>190</t>
  </si>
  <si>
    <t>file://conllu/en/teddy-1325.conllu#s190_0</t>
  </si>
  <si>
    <t>191</t>
  </si>
  <si>
    <t>be (be wrong)</t>
  </si>
  <si>
    <t>You 're wrong .</t>
  </si>
  <si>
    <t>file://conllu/en/teddy-1325.conllu#s191_0</t>
  </si>
  <si>
    <t>192</t>
  </si>
  <si>
    <t>care</t>
  </si>
  <si>
    <t>Because I do n't care if it 's the secretary of HHS who 's saying , &amp;quot; Hmm , I 'm not going to take the evidence of my experts on mammograms , &amp;quot; or some cancer quack who wants to treat his patient with coffee enemas .</t>
  </si>
  <si>
    <t>file://conllu/en/teddy-1325.conllu#s192_0</t>
  </si>
  <si>
    <t>193</t>
  </si>
  <si>
    <t>end</t>
  </si>
  <si>
    <t>When you start down the road where belief and magic replace evidence and science , you end up in a place you do n't want to be .</t>
  </si>
  <si>
    <t>file://conllu/en/teddy-1325.conllu#s193_0</t>
  </si>
  <si>
    <t>194</t>
  </si>
  <si>
    <t>You end up in Thabo Mbeki South Africa .</t>
  </si>
  <si>
    <t>file://conllu/en/teddy-1325.conllu#s194_0</t>
  </si>
  <si>
    <t>195</t>
  </si>
  <si>
    <t>be (be effective)</t>
  </si>
  <si>
    <t>He killed 400,000 of his people by insisting that beetroot , garlic and lemon oil were much more effective than the antiretroviral drugs we know can slow the course of AIDS .</t>
  </si>
  <si>
    <t>file://conllu/en/teddy-1325.conllu#s195_0</t>
  </si>
  <si>
    <t>196</t>
  </si>
  <si>
    <t>hundred</t>
  </si>
  <si>
    <t>Hundreds of thousands of needless deaths in a country that has been plagued worse than any other by this disease .</t>
  </si>
  <si>
    <t>file://conllu/en/teddy-1325.conllu#s196_0</t>
  </si>
  <si>
    <t>197</t>
  </si>
  <si>
    <t>tell</t>
  </si>
  <si>
    <t>Please , do n't tell me there are no consequences to these things .</t>
  </si>
  <si>
    <t>file://conllu/en/teddy-1325.conllu#s197_0</t>
  </si>
  <si>
    <t>198</t>
  </si>
  <si>
    <t>There are .</t>
  </si>
  <si>
    <t>file://conllu/en/teddy-1325.conllu#s198_0</t>
  </si>
  <si>
    <t>199</t>
  </si>
  <si>
    <t>There always are .</t>
  </si>
  <si>
    <t>file://conllu/en/teddy-1325.conllu#s199_0</t>
  </si>
  <si>
    <t>200</t>
  </si>
  <si>
    <t>be (be battle)</t>
  </si>
  <si>
    <t>Now , the most mindless epidemic we 're in the middle of right now is this absurd battle between proponents of genetically engineered food and the organic elite .</t>
  </si>
  <si>
    <t>file://conllu/en/teddy-1325.conllu#s200_0</t>
  </si>
  <si>
    <t>201</t>
  </si>
  <si>
    <t>be (be debate)</t>
  </si>
  <si>
    <t>It 's an idiotic debate .</t>
  </si>
  <si>
    <t>file://conllu/en/teddy-1325.conllu#s201_0</t>
  </si>
  <si>
    <t>202</t>
  </si>
  <si>
    <t>It has to stop .</t>
  </si>
  <si>
    <t>file://conllu/en/teddy-1325.conllu#s202_0</t>
  </si>
  <si>
    <t>203</t>
  </si>
  <si>
    <t>It 's a debate about words , about metaphors .</t>
  </si>
  <si>
    <t>file://conllu/en/teddy-1325.conllu#s203_0</t>
  </si>
  <si>
    <t>204</t>
  </si>
  <si>
    <t>be (be ideology)</t>
  </si>
  <si>
    <t>It 's ideology , it 's not science .</t>
  </si>
  <si>
    <t>file://conllu/en/teddy-1325.conllu#s204_0</t>
  </si>
  <si>
    <t>205</t>
  </si>
  <si>
    <t>modify</t>
  </si>
  <si>
    <t>Every single thing we eat , every grain of rice , every sprig of parsley , every Brussels sprout has been modified by man .</t>
  </si>
  <si>
    <t>file://conllu/en/teddy-1325.conllu#s205_0</t>
  </si>
  <si>
    <t>206</t>
  </si>
  <si>
    <t>You know , there were n't tangerines in the garden of Eden .</t>
  </si>
  <si>
    <t>file://conllu/en/teddy-1325.conllu#s206_0</t>
  </si>
  <si>
    <t>207</t>
  </si>
  <si>
    <t>be (be cantaloupe)</t>
  </si>
  <si>
    <t>There was n't any cantaloupe .</t>
  </si>
  <si>
    <t>file://conllu/en/teddy-1325.conllu#s207_0</t>
  </si>
  <si>
    <t>208</t>
  </si>
  <si>
    <t>file://conllu/en/teddy-1325.conllu#s208_0</t>
  </si>
  <si>
    <t>209</t>
  </si>
  <si>
    <t>be (be tree)</t>
  </si>
  <si>
    <t>There were n't Christmas trees .</t>
  </si>
  <si>
    <t>file://conllu/en/teddy-1325.conllu#s209_0</t>
  </si>
  <si>
    <t>210</t>
  </si>
  <si>
    <t>We made it all .</t>
  </si>
  <si>
    <t>file://conllu/en/teddy-1325.conllu#s210_0</t>
  </si>
  <si>
    <t>211</t>
  </si>
  <si>
    <t>We made it over the last 11,000 years .</t>
  </si>
  <si>
    <t>file://conllu/en/teddy-1325.conllu#s211_0</t>
  </si>
  <si>
    <t>212</t>
  </si>
  <si>
    <t>work</t>
  </si>
  <si>
    <t>And some of it worked , and some of it did n't .</t>
  </si>
  <si>
    <t>file://conllu/en/teddy-1325.conllu#s212_0</t>
  </si>
  <si>
    <t>213</t>
  </si>
  <si>
    <t>We got rid of the stuff that did n't .</t>
  </si>
  <si>
    <t>file://conllu/en/teddy-1325.conllu#s213_0</t>
  </si>
  <si>
    <t>214</t>
  </si>
  <si>
    <t>Now we can do it in a more precise way and there are risks , absolutely but we can put something like vitamin</t>
  </si>
  <si>
    <t>file://conllu/en/teddy-1325.conllu#s214_0</t>
  </si>
  <si>
    <t>215</t>
  </si>
  <si>
    <t>prolong</t>
  </si>
  <si>
    <t>A into rice , and that stuff can help millions of people , millions of people , prolong their lives .</t>
  </si>
  <si>
    <t>file://conllu/en/teddy-1325.conllu#s215_0</t>
  </si>
  <si>
    <t>216</t>
  </si>
  <si>
    <t>You do n't want to do that ?</t>
  </si>
  <si>
    <t>file://conllu/en/teddy-1325.conllu#s216_0</t>
  </si>
  <si>
    <t>217</t>
  </si>
  <si>
    <t>I have to say , I do n't understand it .</t>
  </si>
  <si>
    <t>file://conllu/en/teddy-1325.conllu#s217_0</t>
  </si>
  <si>
    <t>218</t>
  </si>
  <si>
    <t>object</t>
  </si>
  <si>
    <t>We object to genetically engineered food .</t>
  </si>
  <si>
    <t>file://conllu/en/teddy-1325.conllu#s218_0</t>
  </si>
  <si>
    <t>219</t>
  </si>
  <si>
    <t>file://conllu/en/teddy-1325.conllu#s219_0</t>
  </si>
  <si>
    <t>220</t>
  </si>
  <si>
    <t>are</t>
  </si>
  <si>
    <t>Well , the things I constantly hear are :</t>
  </si>
  <si>
    <t>file://conllu/en/teddy-1325.conllu#s220_0</t>
  </si>
  <si>
    <t>221</t>
  </si>
  <si>
    <t>chemical</t>
  </si>
  <si>
    <t>Too many chemicals , pesticides , hormones , monoculture , we do n't want giant fields of the same thing , that 's wrong .</t>
  </si>
  <si>
    <t>file://conllu/en/teddy-1325.conllu#s221_0</t>
  </si>
  <si>
    <t>222</t>
  </si>
  <si>
    <t>company</t>
  </si>
  <si>
    <t>We do n't companies patenting life .</t>
  </si>
  <si>
    <t>file://conllu/en/teddy-1325.conllu#s222_0</t>
  </si>
  <si>
    <t>223</t>
  </si>
  <si>
    <t>We do n't want companies owning seeds .</t>
  </si>
  <si>
    <t>file://conllu/en/teddy-1325.conllu#s223_0</t>
  </si>
  <si>
    <t>224</t>
  </si>
  <si>
    <t>And you know what my response to all of that is ?</t>
  </si>
  <si>
    <t>file://conllu/en/teddy-1325.conllu#s224_0</t>
  </si>
  <si>
    <t>225</t>
  </si>
  <si>
    <t>be (be right)</t>
  </si>
  <si>
    <t>Yes , you 're right .</t>
  </si>
  <si>
    <t>file://conllu/en/teddy-1325.conllu#s225_0</t>
  </si>
  <si>
    <t>226</t>
  </si>
  <si>
    <t>Let 's fix it .</t>
  </si>
  <si>
    <t>file://conllu/en/teddy-1325.conllu#s226_0</t>
  </si>
  <si>
    <t>227</t>
  </si>
  <si>
    <t>It 's true , we 've got a huge food problem , but this is n't science .</t>
  </si>
  <si>
    <t>file://conllu/en/teddy-1325.conllu#s227_0</t>
  </si>
  <si>
    <t>228</t>
  </si>
  <si>
    <t>This has nothing to do with science .</t>
  </si>
  <si>
    <t>file://conllu/en/teddy-1325.conllu#s228_0</t>
  </si>
  <si>
    <t>229</t>
  </si>
  <si>
    <t>be (be law)</t>
  </si>
  <si>
    <t>It 's law , it 's morality , it 's patent stuff .</t>
  </si>
  <si>
    <t>file://conllu/en/teddy-1325.conllu#s229_0</t>
  </si>
  <si>
    <t>230</t>
  </si>
  <si>
    <t>You know science is n't a company .</t>
  </si>
  <si>
    <t>file://conllu/en/teddy-1325.conllu#s230_0</t>
  </si>
  <si>
    <t>231</t>
  </si>
  <si>
    <t>be (be country)</t>
  </si>
  <si>
    <t>It 's not a country .</t>
  </si>
  <si>
    <t>file://conllu/en/teddy-1325.conllu#s231_0</t>
  </si>
  <si>
    <t>232</t>
  </si>
  <si>
    <t>be (be idea)</t>
  </si>
  <si>
    <t>It 's not even an idea ; it 's a process .</t>
  </si>
  <si>
    <t>file://conllu/en/teddy-1325.conllu#s232_0</t>
  </si>
  <si>
    <t>233</t>
  </si>
  <si>
    <t>be (be process)</t>
  </si>
  <si>
    <t>It 's a process , and sometimes it works and sometimes it does n't , but the idea that we should not allow science to do its job because we 're afraid , is really very deadening , and it 's preventing millions of people from prospering .</t>
  </si>
  <si>
    <t>file://conllu/en/teddy-1325.conllu#s233_0</t>
  </si>
  <si>
    <t>234</t>
  </si>
  <si>
    <t>next?</t>
  </si>
  <si>
    <t>You know , in the next 50 years we 're going to have to grow 70 percent more food than we do right now , 70 percent .</t>
  </si>
  <si>
    <t>file://conllu/en/teddy-1325.conllu#s234_0</t>
  </si>
  <si>
    <t>235</t>
  </si>
  <si>
    <t>investment</t>
  </si>
  <si>
    <t>This investment in Africa over the last 30 years .</t>
  </si>
  <si>
    <t>file://conllu/en/teddy-1325.conllu#s235_0</t>
  </si>
  <si>
    <t>236</t>
  </si>
  <si>
    <t>Disgraceful</t>
  </si>
  <si>
    <t>Disgraceful .</t>
  </si>
  <si>
    <t>file://conllu/en/teddy-1325.conllu#s236_0</t>
  </si>
  <si>
    <t>237</t>
  </si>
  <si>
    <t>file://conllu/en/teddy-1325.conllu#s237_0</t>
  </si>
  <si>
    <t>238</t>
  </si>
  <si>
    <t>They need it , and we 're not giving it to them .</t>
  </si>
  <si>
    <t>file://conllu/en/teddy-1325.conllu#s238_0</t>
  </si>
  <si>
    <t>239</t>
  </si>
  <si>
    <t>file://conllu/en/teddy-1325.conllu#s239_0</t>
  </si>
  <si>
    <t>240</t>
  </si>
  <si>
    <t>food</t>
  </si>
  <si>
    <t>Genetically engineered food .</t>
  </si>
  <si>
    <t>file://conllu/en/teddy-1325.conllu#s240_0</t>
  </si>
  <si>
    <t>241</t>
  </si>
  <si>
    <t>We do n't want to encourage people to eat that rotten stuff , like cassava for instance .</t>
  </si>
  <si>
    <t>file://conllu/en/teddy-1325.conllu#s241_0</t>
  </si>
  <si>
    <t>242</t>
  </si>
  <si>
    <t>Cassava 's something that half a billion people eat .</t>
  </si>
  <si>
    <t>file://conllu/en/teddy-1325.conllu#s242_0</t>
  </si>
  <si>
    <t>243</t>
  </si>
  <si>
    <t>be (be potato)</t>
  </si>
  <si>
    <t>It 's kind of like a potato .</t>
  </si>
  <si>
    <t>file://conllu/en/teddy-1325.conllu#s243_0</t>
  </si>
  <si>
    <t>244</t>
  </si>
  <si>
    <t>be (be bunch)</t>
  </si>
  <si>
    <t>It 's just a bunch of calories .</t>
  </si>
  <si>
    <t>file://conllu/en/teddy-1325.conllu#s244_0</t>
  </si>
  <si>
    <t>245</t>
  </si>
  <si>
    <t>It sucks .</t>
  </si>
  <si>
    <t>file://conllu/en/teddy-1325.conllu#s245_0</t>
  </si>
  <si>
    <t>246</t>
  </si>
  <si>
    <t>It does n't have nutrients , it does n't have protein , and scientists are engineering all of that into it right now .</t>
  </si>
  <si>
    <t>file://conllu/en/teddy-1325.conllu#s246_0</t>
  </si>
  <si>
    <t>247</t>
  </si>
  <si>
    <t>be (be able)</t>
  </si>
  <si>
    <t>And then people would be able to eat it and they 'd be able to not go blind .</t>
  </si>
  <si>
    <t>file://conllu/en/teddy-1325.conllu#s247_0</t>
  </si>
  <si>
    <t>248</t>
  </si>
  <si>
    <t>starve</t>
  </si>
  <si>
    <t>They would n't starve , and you know what ?</t>
  </si>
  <si>
    <t>file://conllu/en/teddy-1325.conllu#s248_0</t>
  </si>
  <si>
    <t>249</t>
  </si>
  <si>
    <t>be (be nice)</t>
  </si>
  <si>
    <t>That would be nice .</t>
  </si>
  <si>
    <t>file://conllu/en/teddy-1325.conllu#s249_0</t>
  </si>
  <si>
    <t>250</t>
  </si>
  <si>
    <t>be (be Chez)</t>
  </si>
  <si>
    <t>It would n't be Chez Panisse , but it would be nice .</t>
  </si>
  <si>
    <t>file://conllu/en/teddy-1325.conllu#s250_0</t>
  </si>
  <si>
    <t>251</t>
  </si>
  <si>
    <t>fight</t>
  </si>
  <si>
    <t>And all I can say about this is : Why are we fighting it ?</t>
  </si>
  <si>
    <t>file://conllu/en/teddy-1325.conllu#s251_0</t>
  </si>
  <si>
    <t>252</t>
  </si>
  <si>
    <t>mean</t>
  </si>
  <si>
    <t>I mean , let 's ask ourselves :</t>
  </si>
  <si>
    <t>file://conllu/en/teddy-1325.conllu#s252_0</t>
  </si>
  <si>
    <t>253</t>
  </si>
  <si>
    <t>Why are we fighting it ?</t>
  </si>
  <si>
    <t>file://conllu/en/teddy-1325.conllu#s253_0</t>
  </si>
  <si>
    <t>254</t>
  </si>
  <si>
    <t>Because we do n't want to move genes around ?</t>
  </si>
  <si>
    <t>file://conllu/en/teddy-1325.conllu#s254_0</t>
  </si>
  <si>
    <t>255</t>
  </si>
  <si>
    <t>move</t>
  </si>
  <si>
    <t>This is about moving genes around .</t>
  </si>
  <si>
    <t>file://conllu/en/teddy-1325.conllu#s255_0</t>
  </si>
  <si>
    <t>256</t>
  </si>
  <si>
    <t>be (be chemical)</t>
  </si>
  <si>
    <t>It 's not about chemicals .</t>
  </si>
  <si>
    <t>file://conllu/en/teddy-1325.conllu#s256_0</t>
  </si>
  <si>
    <t>257</t>
  </si>
  <si>
    <t>be (be passion)</t>
  </si>
  <si>
    <t>It 's not about our ridiculous passion for hormones , our insistence on having bigger food , better food , singular food .</t>
  </si>
  <si>
    <t>file://conllu/en/teddy-1325.conllu#s257_0</t>
  </si>
  <si>
    <t>258</t>
  </si>
  <si>
    <t>be (be be)</t>
  </si>
  <si>
    <t>This is n't about Rice Krispies , this is about keeping people alive , and it 's about time we started to understand what that meant .</t>
  </si>
  <si>
    <t>file://conllu/en/teddy-1325.conllu#s258_0</t>
  </si>
  <si>
    <t>259</t>
  </si>
  <si>
    <t>Because , you know something ?</t>
  </si>
  <si>
    <t>file://conllu/en/teddy-1325.conllu#s259_0</t>
  </si>
  <si>
    <t>260</t>
  </si>
  <si>
    <t>if?</t>
  </si>
  <si>
    <t>be (be guilty)</t>
  </si>
  <si>
    <t>If we do n't , if we continue to act the way we 're acting , we 're guilty of something that I do n't think we want to be guilty of : high tech colonialism .</t>
  </si>
  <si>
    <t>file://conllu/en/teddy-1325.conllu#s260_0</t>
  </si>
  <si>
    <t>261</t>
  </si>
  <si>
    <t>There 's no other way to describe what 's going on here .</t>
  </si>
  <si>
    <t>file://conllu/en/teddy-1325.conllu#s261_0</t>
  </si>
  <si>
    <t>262</t>
  </si>
  <si>
    <t>be (be selfish)</t>
  </si>
  <si>
    <t>It 's selfish , it 's ugly , it 's beneath us , and we really have to stop it .</t>
  </si>
  <si>
    <t>file://conllu/en/teddy-1325.conllu#s262_0</t>
  </si>
  <si>
    <t>263</t>
  </si>
  <si>
    <t>want (want say want)</t>
  </si>
  <si>
    <t>So after this amazingly fun conversation , you might want to say , &amp;quot; So , you still want to get in this ridiculous time machine and go forward ? &amp;quot;</t>
  </si>
  <si>
    <t>file://conllu/en/teddy-1325.conllu#s263_0</t>
  </si>
  <si>
    <t>264</t>
  </si>
  <si>
    <t>absolutely</t>
  </si>
  <si>
    <t>Absolutely .</t>
  </si>
  <si>
    <t>file://conllu/en/teddy-1325.conllu#s264_0</t>
  </si>
  <si>
    <t>265</t>
  </si>
  <si>
    <t>Absolutely , I do .</t>
  </si>
  <si>
    <t>file://conllu/en/teddy-1325.conllu#s265_0</t>
  </si>
  <si>
    <t>266</t>
  </si>
  <si>
    <t>be (be stuck)</t>
  </si>
  <si>
    <t>It 's stuck in the present right now , but we have an amazing opportunity .</t>
  </si>
  <si>
    <t>file://conllu/en/teddy-1325.conllu#s266_0</t>
  </si>
  <si>
    <t>267</t>
  </si>
  <si>
    <t>We can set that time machine on anything we want .</t>
  </si>
  <si>
    <t>file://conllu/en/teddy-1325.conllu#s267_0</t>
  </si>
  <si>
    <t>268</t>
  </si>
  <si>
    <t>We can move it where we want to move it , and we 're going to move it where we want to move it .</t>
  </si>
  <si>
    <t>file://conllu/en/teddy-1325.conllu#s268_0</t>
  </si>
  <si>
    <t>269</t>
  </si>
  <si>
    <t>We have to have these conversations and we have to think , but when we get in the time machine and we go ahead , we 're going to be happy we do .</t>
  </si>
  <si>
    <t>file://conllu/en/teddy-1325.conllu#s269_0</t>
  </si>
  <si>
    <t>270</t>
  </si>
  <si>
    <t>I know that we can , and as far as I 'm concerned , that 's something the world needs right now .</t>
  </si>
  <si>
    <t>file://conllu/en/teddy-1325.conllu#s270_0</t>
  </si>
  <si>
    <t>271</t>
  </si>
  <si>
    <t>thank</t>
  </si>
  <si>
    <t>Thank you .</t>
  </si>
  <si>
    <t>file://conllu/en/teddy-1325.conllu#s271_0</t>
  </si>
  <si>
    <t>272</t>
  </si>
  <si>
    <t>file://conllu/en/teddy-1325.conllu#s272_0</t>
  </si>
  <si>
    <t>273</t>
  </si>
  <si>
    <t>file://conllu/en/teddy-1325.conllu#s273_0</t>
  </si>
  <si>
    <t>WORD</t>
  </si>
  <si>
    <t>GR</t>
  </si>
  <si>
    <t>NP_TYPE</t>
  </si>
  <si>
    <t>REF_AUTO</t>
  </si>
  <si>
    <t>COREF</t>
  </si>
  <si>
    <t>REF</t>
  </si>
  <si>
    <t>IS</t>
  </si>
  <si>
    <t>CB</t>
  </si>
  <si>
    <t>GR_ANTE</t>
  </si>
  <si>
    <t>REF_DIST</t>
  </si>
  <si>
    <t>REF_DIST_ANTE</t>
  </si>
  <si>
    <t># text = Let's pretend right here we have a machine.</t>
  </si>
  <si>
    <t>Let</t>
  </si>
  <si>
    <t>'s</t>
  </si>
  <si>
    <t>OBJ</t>
  </si>
  <si>
    <t>pron.pper</t>
  </si>
  <si>
    <t>?OLD</t>
  </si>
  <si>
    <t>right</t>
  </si>
  <si>
    <t>here</t>
  </si>
  <si>
    <t>we</t>
  </si>
  <si>
    <t>SBJ_3</t>
  </si>
  <si>
    <t>a</t>
  </si>
  <si>
    <t>OBJ_3</t>
  </si>
  <si>
    <t>indef-np.a</t>
  </si>
  <si>
    <t>.</t>
  </si>
  <si>
    <t># text = A big machine, a cool, TED-ish machine, and it's a time machine.</t>
  </si>
  <si>
    <t>A</t>
  </si>
  <si>
    <t>big</t>
  </si>
  <si>
    <t>other</t>
  </si>
  <si>
    <t>,</t>
  </si>
  <si>
    <t>cool</t>
  </si>
  <si>
    <t>TED</t>
  </si>
  <si>
    <t>ish</t>
  </si>
  <si>
    <t>and</t>
  </si>
  <si>
    <t>it</t>
  </si>
  <si>
    <t>SBJ_2</t>
  </si>
  <si>
    <t>time</t>
  </si>
  <si>
    <t># text = And everyone in this room has to get into it.</t>
  </si>
  <si>
    <t>And</t>
  </si>
  <si>
    <t>everyone</t>
  </si>
  <si>
    <t>SBJ</t>
  </si>
  <si>
    <t>pron.pind</t>
  </si>
  <si>
    <t>in</t>
  </si>
  <si>
    <t>this</t>
  </si>
  <si>
    <t>room</t>
  </si>
  <si>
    <t>other_2</t>
  </si>
  <si>
    <t>def-np.dem</t>
  </si>
  <si>
    <t>has</t>
  </si>
  <si>
    <t>to</t>
  </si>
  <si>
    <t>into</t>
  </si>
  <si>
    <t># text = And you can go backwards, you can go forwards; you cannot stay where you are.</t>
  </si>
  <si>
    <t>you</t>
  </si>
  <si>
    <t>can</t>
  </si>
  <si>
    <t>backwards</t>
  </si>
  <si>
    <t>forwards</t>
  </si>
  <si>
    <t>;</t>
  </si>
  <si>
    <t>stay</t>
  </si>
  <si>
    <t>where</t>
  </si>
  <si>
    <t># text = And I wonder what you'd choose, because I've been asking my friends this question a lot lately and they all want to go back.</t>
  </si>
  <si>
    <t>I</t>
  </si>
  <si>
    <t>wonder</t>
  </si>
  <si>
    <t>pron.pint</t>
  </si>
  <si>
    <t>'d</t>
  </si>
  <si>
    <t>choose</t>
  </si>
  <si>
    <t>because</t>
  </si>
  <si>
    <t>'ve</t>
  </si>
  <si>
    <t>been</t>
  </si>
  <si>
    <t>asking</t>
  </si>
  <si>
    <t>my</t>
  </si>
  <si>
    <t>other_3</t>
  </si>
  <si>
    <t>pron.ppos</t>
  </si>
  <si>
    <t>friends</t>
  </si>
  <si>
    <t>OBJ_2</t>
  </si>
  <si>
    <t>def-np.poss</t>
  </si>
  <si>
    <t>question</t>
  </si>
  <si>
    <t>lot</t>
  </si>
  <si>
    <t>lately</t>
  </si>
  <si>
    <t>they</t>
  </si>
  <si>
    <t>all</t>
  </si>
  <si>
    <t>back</t>
  </si>
  <si>
    <t># text = I don't know.</t>
  </si>
  <si>
    <t>n't</t>
  </si>
  <si>
    <t>--</t>
  </si>
  <si>
    <t># text = They want to go back before there were automobiles or Twitter or "American Idol."</t>
  </si>
  <si>
    <t>They</t>
  </si>
  <si>
    <t>before</t>
  </si>
  <si>
    <t>there</t>
  </si>
  <si>
    <t>were</t>
  </si>
  <si>
    <t>automobiles</t>
  </si>
  <si>
    <t>indef-np.bare</t>
  </si>
  <si>
    <t>or</t>
  </si>
  <si>
    <t>Twitter</t>
  </si>
  <si>
    <t>other_4</t>
  </si>
  <si>
    <t>&amp;quot;</t>
  </si>
  <si>
    <t>American</t>
  </si>
  <si>
    <t>Idol</t>
  </si>
  <si>
    <t>ne</t>
  </si>
  <si>
    <t># text = I'm convinced that there's some sort of pull to nostalgia, to wishful thinking.</t>
  </si>
  <si>
    <t>'m</t>
  </si>
  <si>
    <t>convinced</t>
  </si>
  <si>
    <t>that</t>
  </si>
  <si>
    <t>some</t>
  </si>
  <si>
    <t>sort</t>
  </si>
  <si>
    <t>indef-np.quant</t>
  </si>
  <si>
    <t>of</t>
  </si>
  <si>
    <t>pull</t>
  </si>
  <si>
    <t>nostalgia</t>
  </si>
  <si>
    <t>wishful</t>
  </si>
  <si>
    <t>thinking</t>
  </si>
  <si>
    <t># text = And I understand that.</t>
  </si>
  <si>
    <t>pron.pds</t>
  </si>
  <si>
    <t># text = I'm not part of that crowd, I have to say.</t>
  </si>
  <si>
    <t>part</t>
  </si>
  <si>
    <t>crowd</t>
  </si>
  <si>
    <t># text = I don't want to go back, and it's not because I'm adventurous.</t>
  </si>
  <si>
    <t>adventurous</t>
  </si>
  <si>
    <t># text = It's because possibilities on this planet, they don't go back, they go forward.</t>
  </si>
  <si>
    <t>It</t>
  </si>
  <si>
    <t>possibilities</t>
  </si>
  <si>
    <t>on</t>
  </si>
  <si>
    <t>planet</t>
  </si>
  <si>
    <t>forward</t>
  </si>
  <si>
    <t># text = So I want to get in the machine, and I want to go forward.</t>
  </si>
  <si>
    <t>So</t>
  </si>
  <si>
    <t>the</t>
  </si>
  <si>
    <t>def-np.the</t>
  </si>
  <si>
    <t># text = This is the greatest time there's ever been on this planet by any measure that you wish to choose: health, wealth, mobility, opportunity, declining rates of disease ...</t>
  </si>
  <si>
    <t>This</t>
  </si>
  <si>
    <t>is</t>
  </si>
  <si>
    <t>greatest</t>
  </si>
  <si>
    <t>ever</t>
  </si>
  <si>
    <t>by</t>
  </si>
  <si>
    <t>any</t>
  </si>
  <si>
    <t>measure</t>
  </si>
  <si>
    <t>wish</t>
  </si>
  <si>
    <t>:</t>
  </si>
  <si>
    <t>health</t>
  </si>
  <si>
    <t>OBJ_4</t>
  </si>
  <si>
    <t>wealth</t>
  </si>
  <si>
    <t>other_5</t>
  </si>
  <si>
    <t>mobility</t>
  </si>
  <si>
    <t>opportunity</t>
  </si>
  <si>
    <t>declining</t>
  </si>
  <si>
    <t>rates</t>
  </si>
  <si>
    <t>OBJ_6</t>
  </si>
  <si>
    <t>other_7</t>
  </si>
  <si>
    <t>...</t>
  </si>
  <si>
    <t># text = There's never been a time like this.</t>
  </si>
  <si>
    <t>There</t>
  </si>
  <si>
    <t>pron</t>
  </si>
  <si>
    <t>like</t>
  </si>
  <si>
    <t># text = My great-grandparents died, all of them, by the time they were 60.</t>
  </si>
  <si>
    <t>My</t>
  </si>
  <si>
    <t>great</t>
  </si>
  <si>
    <t>grandparents</t>
  </si>
  <si>
    <t>died</t>
  </si>
  <si>
    <t>them</t>
  </si>
  <si>
    <t>def-np.quant</t>
  </si>
  <si>
    <t># text = My grandparents pushed that number to 70.</t>
  </si>
  <si>
    <t>pushed</t>
  </si>
  <si>
    <t>number</t>
  </si>
  <si>
    <t># text = My parents are closing in on 80.</t>
  </si>
  <si>
    <t>parents</t>
  </si>
  <si>
    <t>closing</t>
  </si>
  <si>
    <t># text = So there better be a nine at the beginning of my death number.</t>
  </si>
  <si>
    <t>pron.padv</t>
  </si>
  <si>
    <t>better</t>
  </si>
  <si>
    <t>nine</t>
  </si>
  <si>
    <t>at</t>
  </si>
  <si>
    <t>beginning</t>
  </si>
  <si>
    <t>death</t>
  </si>
  <si>
    <t># text = But it's not even about people like us, because this is a bigger deal than that.</t>
  </si>
  <si>
    <t>But</t>
  </si>
  <si>
    <t>even</t>
  </si>
  <si>
    <t>about</t>
  </si>
  <si>
    <t>people</t>
  </si>
  <si>
    <t>us</t>
  </si>
  <si>
    <t>bigger</t>
  </si>
  <si>
    <t>deal</t>
  </si>
  <si>
    <t>than</t>
  </si>
  <si>
    <t># text = A kid born in New Delhi today can expect to live as long as the richest man in the world did 100 years ago.</t>
  </si>
  <si>
    <t>kid</t>
  </si>
  <si>
    <t>born</t>
  </si>
  <si>
    <t>New</t>
  </si>
  <si>
    <t>Delhi</t>
  </si>
  <si>
    <t>today</t>
  </si>
  <si>
    <t>live</t>
  </si>
  <si>
    <t>as</t>
  </si>
  <si>
    <t>long</t>
  </si>
  <si>
    <t>richest</t>
  </si>
  <si>
    <t>man</t>
  </si>
  <si>
    <t>world</t>
  </si>
  <si>
    <t>did</t>
  </si>
  <si>
    <t>years</t>
  </si>
  <si>
    <t>ago</t>
  </si>
  <si>
    <t># text = Think about that, it's an incredible fact.</t>
  </si>
  <si>
    <t>Think</t>
  </si>
  <si>
    <t>an</t>
  </si>
  <si>
    <t>incredible</t>
  </si>
  <si>
    <t>fact</t>
  </si>
  <si>
    <t># text = And why is it true?</t>
  </si>
  <si>
    <t>true</t>
  </si>
  <si>
    <t>?</t>
  </si>
  <si>
    <t># text = Smallpox.</t>
  </si>
  <si>
    <t># text = Smallpox killed billions of people on this planet.</t>
  </si>
  <si>
    <t>killed</t>
  </si>
  <si>
    <t>billions</t>
  </si>
  <si>
    <t># text = It reshaped the demography of the globe in a way that no war ever has.</t>
  </si>
  <si>
    <t>reshaped</t>
  </si>
  <si>
    <t>demography</t>
  </si>
  <si>
    <t>globe</t>
  </si>
  <si>
    <t>way</t>
  </si>
  <si>
    <t>no</t>
  </si>
  <si>
    <t>war</t>
  </si>
  <si>
    <t># text = It's gone.</t>
  </si>
  <si>
    <t>gone</t>
  </si>
  <si>
    <t># text = It's vanished.</t>
  </si>
  <si>
    <t>vanished</t>
  </si>
  <si>
    <t># text = We vanquished it.</t>
  </si>
  <si>
    <t>We</t>
  </si>
  <si>
    <t>vanquished</t>
  </si>
  <si>
    <t># text = Puff.</t>
  </si>
  <si>
    <t>Puff</t>
  </si>
  <si>
    <t># text = In the rich world, diseases that threatened millions of us just a generation ago no longer exist, hardly.</t>
  </si>
  <si>
    <t>In</t>
  </si>
  <si>
    <t>rich</t>
  </si>
  <si>
    <t>diseases</t>
  </si>
  <si>
    <t>threatened</t>
  </si>
  <si>
    <t>millions</t>
  </si>
  <si>
    <t>just</t>
  </si>
  <si>
    <t>generation</t>
  </si>
  <si>
    <t>longer</t>
  </si>
  <si>
    <t>exist</t>
  </si>
  <si>
    <t>hardly</t>
  </si>
  <si>
    <t># text = Diphtheria, rubella, polio ... does anyone even know what those things are?</t>
  </si>
  <si>
    <t>Diphtheria</t>
  </si>
  <si>
    <t>rubella</t>
  </si>
  <si>
    <t>polio</t>
  </si>
  <si>
    <t>does</t>
  </si>
  <si>
    <t>anyone</t>
  </si>
  <si>
    <t>those</t>
  </si>
  <si>
    <t>things</t>
  </si>
  <si>
    <t># text = Vaccines, modern medicine, our ability to feed billions of people, those are triumphs of the scientific method.</t>
  </si>
  <si>
    <t>Vaccines</t>
  </si>
  <si>
    <t>modern</t>
  </si>
  <si>
    <t>medicine</t>
  </si>
  <si>
    <t>our</t>
  </si>
  <si>
    <t>ability</t>
  </si>
  <si>
    <t>feed</t>
  </si>
  <si>
    <t>triumphs</t>
  </si>
  <si>
    <t>scientific</t>
  </si>
  <si>
    <t>method</t>
  </si>
  <si>
    <t># text = And to my mind, the scientific method -- trying stuff out, seeing if it works, changing it when it doesn't -- is one of the great accomplishments of humanity.</t>
  </si>
  <si>
    <t>mind</t>
  </si>
  <si>
    <t>trying</t>
  </si>
  <si>
    <t>stuff</t>
  </si>
  <si>
    <t>out</t>
  </si>
  <si>
    <t>seeing</t>
  </si>
  <si>
    <t>if</t>
  </si>
  <si>
    <t>SBJ_5</t>
  </si>
  <si>
    <t>works</t>
  </si>
  <si>
    <t>changing</t>
  </si>
  <si>
    <t>when</t>
  </si>
  <si>
    <t>SBJ_7</t>
  </si>
  <si>
    <t>one</t>
  </si>
  <si>
    <t>accomplishments</t>
  </si>
  <si>
    <t>humanity</t>
  </si>
  <si>
    <t># text = So that's the good news.</t>
  </si>
  <si>
    <t>news</t>
  </si>
  <si>
    <t># text = Unfortunately, that's all the good news because there are some other problems, and they've been mentioned many times.</t>
  </si>
  <si>
    <t>Unfortunately</t>
  </si>
  <si>
    <t>problems</t>
  </si>
  <si>
    <t>mentioned</t>
  </si>
  <si>
    <t>many</t>
  </si>
  <si>
    <t>times</t>
  </si>
  <si>
    <t># text = And one of them is that despite all our accomplishments, a billion people go to bed hungry in this world every day.</t>
  </si>
  <si>
    <t>despite</t>
  </si>
  <si>
    <t>billion</t>
  </si>
  <si>
    <t>bed</t>
  </si>
  <si>
    <t>hungry</t>
  </si>
  <si>
    <t>every</t>
  </si>
  <si>
    <t>day</t>
  </si>
  <si>
    <t>indef-np</t>
  </si>
  <si>
    <t># text = That number's rising, and it's rising really rapidly, and it's disgraceful.</t>
  </si>
  <si>
    <t>That</t>
  </si>
  <si>
    <t>really</t>
  </si>
  <si>
    <t>rapidly</t>
  </si>
  <si>
    <t>disgraceful</t>
  </si>
  <si>
    <t># text = And not only that, we've used our imagination to thoroughly trash this globe.</t>
  </si>
  <si>
    <t>only</t>
  </si>
  <si>
    <t>used</t>
  </si>
  <si>
    <t>imagination</t>
  </si>
  <si>
    <t>thoroughly</t>
  </si>
  <si>
    <t>trash</t>
  </si>
  <si>
    <t># text = Potable water, arable land, rainforests, oil, gas: they're going away, and they're going away soon, and unless we innovate our way out of this mess, we're going away too.</t>
  </si>
  <si>
    <t>Potable</t>
  </si>
  <si>
    <t>arable</t>
  </si>
  <si>
    <t>land</t>
  </si>
  <si>
    <t>rainforests</t>
  </si>
  <si>
    <t>oil</t>
  </si>
  <si>
    <t>gas</t>
  </si>
  <si>
    <t>'re</t>
  </si>
  <si>
    <t>going</t>
  </si>
  <si>
    <t>away</t>
  </si>
  <si>
    <t>soon</t>
  </si>
  <si>
    <t>unless</t>
  </si>
  <si>
    <t>innovate</t>
  </si>
  <si>
    <t>other_6</t>
  </si>
  <si>
    <t>OBJ_5</t>
  </si>
  <si>
    <t>mess</t>
  </si>
  <si>
    <t>SBJ_4</t>
  </si>
  <si>
    <t>too</t>
  </si>
  <si>
    <t># text = So the question is: Can we do that?</t>
  </si>
  <si>
    <t>Can</t>
  </si>
  <si>
    <t># text = And I think we can.</t>
  </si>
  <si>
    <t># text = I think it's clear that we can make food that will feed billions of people without raping the land that they live on.</t>
  </si>
  <si>
    <t>clear</t>
  </si>
  <si>
    <t>will</t>
  </si>
  <si>
    <t>without</t>
  </si>
  <si>
    <t>raping</t>
  </si>
  <si>
    <t>SBJ_6</t>
  </si>
  <si>
    <t># text = I think we can power this world with energy that doesn't also destroy it.</t>
  </si>
  <si>
    <t>power</t>
  </si>
  <si>
    <t>with</t>
  </si>
  <si>
    <t>energy</t>
  </si>
  <si>
    <t>also</t>
  </si>
  <si>
    <t>destroy</t>
  </si>
  <si>
    <t># text = I really do believe that, and, no, it ain't wishful thinking.</t>
  </si>
  <si>
    <t>ai</t>
  </si>
  <si>
    <t># text = But here's the thing that keeps me up at night -- one of the things that keeps me up at night:</t>
  </si>
  <si>
    <t>keeps</t>
  </si>
  <si>
    <t>me</t>
  </si>
  <si>
    <t>up</t>
  </si>
  <si>
    <t>night</t>
  </si>
  <si>
    <t># text = We've never needed progress in science more than we need it right now.</t>
  </si>
  <si>
    <t>needed</t>
  </si>
  <si>
    <t>progress</t>
  </si>
  <si>
    <t>science</t>
  </si>
  <si>
    <t>now</t>
  </si>
  <si>
    <t># text = Never.</t>
  </si>
  <si>
    <t>Never</t>
  </si>
  <si>
    <t># text = And we've also never been in a position to deploy it properly in the way that we can today.</t>
  </si>
  <si>
    <t>position</t>
  </si>
  <si>
    <t>deploy</t>
  </si>
  <si>
    <t>properly</t>
  </si>
  <si>
    <t># text = We're on the verge of amazing, amazing events in many fields, and yet I actually think we'd have to go back hundreds, 300 years, before the Enlightenment, to find a time when we battled progress, when we fought about these things more vigorously, on more fronts, than we do now.</t>
  </si>
  <si>
    <t>verge</t>
  </si>
  <si>
    <t>amazing</t>
  </si>
  <si>
    <t>events</t>
  </si>
  <si>
    <t>fields</t>
  </si>
  <si>
    <t>yet</t>
  </si>
  <si>
    <t>actually</t>
  </si>
  <si>
    <t>hundreds</t>
  </si>
  <si>
    <t>300</t>
  </si>
  <si>
    <t>Enlightenment</t>
  </si>
  <si>
    <t>find</t>
  </si>
  <si>
    <t>battled</t>
  </si>
  <si>
    <t>fought</t>
  </si>
  <si>
    <t>these</t>
  </si>
  <si>
    <t>vigorously</t>
  </si>
  <si>
    <t>fronts</t>
  </si>
  <si>
    <t># text = People wrap themselves in their beliefs, and they do it so tightly that you can't set them free.</t>
  </si>
  <si>
    <t>People</t>
  </si>
  <si>
    <t>themselves</t>
  </si>
  <si>
    <t>their</t>
  </si>
  <si>
    <t>beliefs</t>
  </si>
  <si>
    <t>so</t>
  </si>
  <si>
    <t>tightly</t>
  </si>
  <si>
    <t>ca</t>
  </si>
  <si>
    <t>free</t>
  </si>
  <si>
    <t># text = Not even the truth will set them free.</t>
  </si>
  <si>
    <t>Not</t>
  </si>
  <si>
    <t>truth</t>
  </si>
  <si>
    <t># text = And, listen, everyone's entitled to their opinion; they're even entitled to their opinion about progress.</t>
  </si>
  <si>
    <t>listen</t>
  </si>
  <si>
    <t>entitled</t>
  </si>
  <si>
    <t>opinion</t>
  </si>
  <si>
    <t># text = But you know what you're not entitled to?</t>
  </si>
  <si>
    <t># text = You're not entitled to your own facts.</t>
  </si>
  <si>
    <t>You</t>
  </si>
  <si>
    <t>your</t>
  </si>
  <si>
    <t>own</t>
  </si>
  <si>
    <t>facts</t>
  </si>
  <si>
    <t># text = Sorry, you're not.</t>
  </si>
  <si>
    <t>Sorry</t>
  </si>
  <si>
    <t># text = And this took me awhile to figure out.</t>
  </si>
  <si>
    <t>took</t>
  </si>
  <si>
    <t>awhile</t>
  </si>
  <si>
    <t>figure</t>
  </si>
  <si>
    <t># text = About a decade ago, I wrote a story about vaccines for The New Yorker.</t>
  </si>
  <si>
    <t>About</t>
  </si>
  <si>
    <t>decade</t>
  </si>
  <si>
    <t>wrote</t>
  </si>
  <si>
    <t>for</t>
  </si>
  <si>
    <t>The</t>
  </si>
  <si>
    <t>Yorker</t>
  </si>
  <si>
    <t># text = A little story.</t>
  </si>
  <si>
    <t>little</t>
  </si>
  <si>
    <t># text = And I was amazed to find opposition: opposition to what is, after all, the most effective public health measure in human history.</t>
  </si>
  <si>
    <t>was</t>
  </si>
  <si>
    <t>opposition</t>
  </si>
  <si>
    <t>after</t>
  </si>
  <si>
    <t>most</t>
  </si>
  <si>
    <t>effective</t>
  </si>
  <si>
    <t>public</t>
  </si>
  <si>
    <t>human</t>
  </si>
  <si>
    <t>history</t>
  </si>
  <si>
    <t># text = I didn't know what to do, so I just did what I do: I wrote a story and I moved on.</t>
  </si>
  <si>
    <t>moved</t>
  </si>
  <si>
    <t># text = And soon after that, I wrote a story about genetically engineered food.</t>
  </si>
  <si>
    <t>genetically</t>
  </si>
  <si>
    <t>engineered</t>
  </si>
  <si>
    <t># text = Same thing, only bigger.</t>
  </si>
  <si>
    <t>Same</t>
  </si>
  <si>
    <t># text = People were going crazy.</t>
  </si>
  <si>
    <t>crazy</t>
  </si>
  <si>
    <t># text = So I wrote a story about that too, and I couldn't understand why people thought this was "Frankenfoods," why they thought moving molecules around in a specific, rather than a haphazard way, was trespassing on nature's ground.</t>
  </si>
  <si>
    <t>could</t>
  </si>
  <si>
    <t>thought</t>
  </si>
  <si>
    <t>Frankenfoods</t>
  </si>
  <si>
    <t>moving</t>
  </si>
  <si>
    <t>molecules</t>
  </si>
  <si>
    <t>around</t>
  </si>
  <si>
    <t>specific</t>
  </si>
  <si>
    <t>rather</t>
  </si>
  <si>
    <t>haphazard</t>
  </si>
  <si>
    <t>trespassing</t>
  </si>
  <si>
    <t>nature</t>
  </si>
  <si>
    <t>ground</t>
  </si>
  <si>
    <t># text = But, you know, I do what I do.</t>
  </si>
  <si>
    <t># text = I wrote the story, I moved on.</t>
  </si>
  <si>
    <t># text = I mean, I'm a journalist.</t>
  </si>
  <si>
    <t>journalist</t>
  </si>
  <si>
    <t># text = We type, we file, we go to dinner.</t>
  </si>
  <si>
    <t>file</t>
  </si>
  <si>
    <t>dinner</t>
  </si>
  <si>
    <t># text = It's fine.</t>
  </si>
  <si>
    <t># text = (Laughter)</t>
  </si>
  <si>
    <t>(</t>
  </si>
  <si>
    <t>Laughter</t>
  </si>
  <si>
    <t>)</t>
  </si>
  <si>
    <t># text = But these stories bothered me, and I couldn't figure out why, and eventually I did.</t>
  </si>
  <si>
    <t>stories</t>
  </si>
  <si>
    <t>bothered</t>
  </si>
  <si>
    <t>eventually</t>
  </si>
  <si>
    <t># text = And that's because those fanatics that were driving me crazy weren't actually fanatics at all.</t>
  </si>
  <si>
    <t>fanatics</t>
  </si>
  <si>
    <t>driving</t>
  </si>
  <si>
    <t># text = They were thoughtful people, educated people, decent people.</t>
  </si>
  <si>
    <t>thoughtful</t>
  </si>
  <si>
    <t>educated</t>
  </si>
  <si>
    <t>decent</t>
  </si>
  <si>
    <t># text = They were exactly like the people in this room.</t>
  </si>
  <si>
    <t>exactly</t>
  </si>
  <si>
    <t># text = And it just disturbed me so much.</t>
  </si>
  <si>
    <t>disturbed</t>
  </si>
  <si>
    <t># text = But then I thought, you know, let's be honest.</t>
  </si>
  <si>
    <t>then</t>
  </si>
  <si>
    <t>honest</t>
  </si>
  <si>
    <t># text = We're at a point in this world where we don't have the same relationship to progress that we used to.</t>
  </si>
  <si>
    <t>point</t>
  </si>
  <si>
    <t>same</t>
  </si>
  <si>
    <t>relationship</t>
  </si>
  <si>
    <t># text = We talk about it ambivalently.</t>
  </si>
  <si>
    <t>ambivalently</t>
  </si>
  <si>
    <t># text = We talk about it in ironic terms with little quotes around it: "progress."</t>
  </si>
  <si>
    <t>ironic</t>
  </si>
  <si>
    <t>terms</t>
  </si>
  <si>
    <t>quotes</t>
  </si>
  <si>
    <t># text = Okay, there are reasons for that, and I think we know what those reasons are.</t>
  </si>
  <si>
    <t>Okay</t>
  </si>
  <si>
    <t>reasons</t>
  </si>
  <si>
    <t># text = We've lost faith in institutions, in authority, and sometimes in science itself, and there's no reason we shouldn't have.</t>
  </si>
  <si>
    <t>lost</t>
  </si>
  <si>
    <t>faith</t>
  </si>
  <si>
    <t>institutions</t>
  </si>
  <si>
    <t>authority</t>
  </si>
  <si>
    <t>sometimes</t>
  </si>
  <si>
    <t>itself</t>
  </si>
  <si>
    <t>reason</t>
  </si>
  <si>
    <t>should</t>
  </si>
  <si>
    <t># text = You can just say a few names and people will understand.</t>
  </si>
  <si>
    <t>few</t>
  </si>
  <si>
    <t>names</t>
  </si>
  <si>
    <t># text = Chernobyl, Bhopal, the Challenger, Vioxx, weapons of mass destruction, hanging chads.</t>
  </si>
  <si>
    <t>Bhopal</t>
  </si>
  <si>
    <t>Challenger</t>
  </si>
  <si>
    <t>Vioxx</t>
  </si>
  <si>
    <t>weapons</t>
  </si>
  <si>
    <t>mass</t>
  </si>
  <si>
    <t>destruction</t>
  </si>
  <si>
    <t>hanging</t>
  </si>
  <si>
    <t>chads</t>
  </si>
  <si>
    <t># text = You know, you can choose your list.</t>
  </si>
  <si>
    <t>list</t>
  </si>
  <si>
    <t># text = There are questions and problems with the people we used to believe were always right, so be skeptical.</t>
  </si>
  <si>
    <t>questions</t>
  </si>
  <si>
    <t>always</t>
  </si>
  <si>
    <t>skeptical</t>
  </si>
  <si>
    <t># text = Ask questions, demand proof, demand evidence.</t>
  </si>
  <si>
    <t>Ask</t>
  </si>
  <si>
    <t>demand</t>
  </si>
  <si>
    <t>proof</t>
  </si>
  <si>
    <t>evidence</t>
  </si>
  <si>
    <t># text = Don't take anything for granted.</t>
  </si>
  <si>
    <t>Do</t>
  </si>
  <si>
    <t>anything</t>
  </si>
  <si>
    <t>granted</t>
  </si>
  <si>
    <t># text = But here's the thing:</t>
  </si>
  <si>
    <t># text = When you get proof, you need to accept the proof, and we're not that good at doing that.</t>
  </si>
  <si>
    <t>When</t>
  </si>
  <si>
    <t>accept</t>
  </si>
  <si>
    <t>doing</t>
  </si>
  <si>
    <t># text = And the reason that I can say that is because we're now in an epidemic of fear like one I've never seen and hope never to see again.</t>
  </si>
  <si>
    <t>epidemic</t>
  </si>
  <si>
    <t>seen</t>
  </si>
  <si>
    <t>hope</t>
  </si>
  <si>
    <t>again</t>
  </si>
  <si>
    <t># text = About 12 years ago, there was a story published, a horrible story, that linked the epidemic of autism to the measles, mumps and rubella vaccine shot.</t>
  </si>
  <si>
    <t>published</t>
  </si>
  <si>
    <t>horrible</t>
  </si>
  <si>
    <t>linked</t>
  </si>
  <si>
    <t>autism</t>
  </si>
  <si>
    <t>measles</t>
  </si>
  <si>
    <t>mumps</t>
  </si>
  <si>
    <t>vaccine</t>
  </si>
  <si>
    <t>shot</t>
  </si>
  <si>
    <t># text = Very scary.</t>
  </si>
  <si>
    <t>Very</t>
  </si>
  <si>
    <t># text = Tons of studies were done to see if this was true.</t>
  </si>
  <si>
    <t>Tons</t>
  </si>
  <si>
    <t>studies</t>
  </si>
  <si>
    <t>done</t>
  </si>
  <si>
    <t># text = Tons of studies should have been done; it's a serious issue.</t>
  </si>
  <si>
    <t>serious</t>
  </si>
  <si>
    <t>issue</t>
  </si>
  <si>
    <t># text = The data came back.</t>
  </si>
  <si>
    <t>data</t>
  </si>
  <si>
    <t>came</t>
  </si>
  <si>
    <t># text = The data came back from the United States, from England, from Sweden, from Canada, and it was all the same: no correlation, no connection, none at all.</t>
  </si>
  <si>
    <t>from</t>
  </si>
  <si>
    <t>United</t>
  </si>
  <si>
    <t>States</t>
  </si>
  <si>
    <t>England</t>
  </si>
  <si>
    <t>Sweden</t>
  </si>
  <si>
    <t>Canada</t>
  </si>
  <si>
    <t>correlation</t>
  </si>
  <si>
    <t>connection</t>
  </si>
  <si>
    <t># text = It doesn't matter.</t>
  </si>
  <si>
    <t># text = It doesn't matter because we believe anecdotes, we believe what we see, what we think we see, what makes us feel real.</t>
  </si>
  <si>
    <t>anecdotes</t>
  </si>
  <si>
    <t>makes</t>
  </si>
  <si>
    <t>feel</t>
  </si>
  <si>
    <t>real</t>
  </si>
  <si>
    <t># text = We don't believe a bunch of documents from a government official giving us data, and I do understand that, I think we all do.</t>
  </si>
  <si>
    <t>bunch</t>
  </si>
  <si>
    <t>documents</t>
  </si>
  <si>
    <t>government</t>
  </si>
  <si>
    <t>official</t>
  </si>
  <si>
    <t>giving</t>
  </si>
  <si>
    <t># text = But you know what?</t>
  </si>
  <si>
    <t># text = The result of that has been disastrous.</t>
  </si>
  <si>
    <t>result</t>
  </si>
  <si>
    <t># text = Disastrous because here's a fact: The United States is one of the only countries in the world where the vaccine rate for measles is going down.</t>
  </si>
  <si>
    <t>Disastrous</t>
  </si>
  <si>
    <t>countries</t>
  </si>
  <si>
    <t>rate</t>
  </si>
  <si>
    <t>down</t>
  </si>
  <si>
    <t># text = That is disgraceful, and we should be ashamed of ourselves.</t>
  </si>
  <si>
    <t>ashamed</t>
  </si>
  <si>
    <t>ourselves</t>
  </si>
  <si>
    <t># text = It's horrible.</t>
  </si>
  <si>
    <t># text = What kind of a thing happened that we could do that?</t>
  </si>
  <si>
    <t>What</t>
  </si>
  <si>
    <t>kind</t>
  </si>
  <si>
    <t>happened</t>
  </si>
  <si>
    <t># text = Now, I understand it.</t>
  </si>
  <si>
    <t>Now</t>
  </si>
  <si>
    <t># text = I do understand it.</t>
  </si>
  <si>
    <t># text = Because, did anyone have measles here?</t>
  </si>
  <si>
    <t>Because</t>
  </si>
  <si>
    <t># text = Has one person in this audience ever seen someone die of measles?</t>
  </si>
  <si>
    <t>Has</t>
  </si>
  <si>
    <t>person</t>
  </si>
  <si>
    <t>audience</t>
  </si>
  <si>
    <t>someone</t>
  </si>
  <si>
    <t># text = Doesn't happen very much.</t>
  </si>
  <si>
    <t>Does</t>
  </si>
  <si>
    <t>very</t>
  </si>
  <si>
    <t># text = Doesn't happen in this country at all, but it happened 160,000 times in the world last year.</t>
  </si>
  <si>
    <t>country</t>
  </si>
  <si>
    <t>but</t>
  </si>
  <si>
    <t>160,000</t>
  </si>
  <si>
    <t>last</t>
  </si>
  <si>
    <t>year</t>
  </si>
  <si>
    <t># text = That's a lot of death of measles -- 20 an hour.</t>
  </si>
  <si>
    <t>hour</t>
  </si>
  <si>
    <t># text = But since it didn't happen here, we can put it out of our minds, and people like Jenny McCarthy can go around preaching messages of fear and illiteracy from platforms like \"Oprah\" and \"Larry King Live.\"</t>
  </si>
  <si>
    <t>since</t>
  </si>
  <si>
    <t>minds</t>
  </si>
  <si>
    <t>Jenny</t>
  </si>
  <si>
    <t>McCarthy</t>
  </si>
  <si>
    <t>preaching</t>
  </si>
  <si>
    <t>messages</t>
  </si>
  <si>
    <t>illiteracy</t>
  </si>
  <si>
    <t>platforms</t>
  </si>
  <si>
    <t>Oprah</t>
  </si>
  <si>
    <t>Larry</t>
  </si>
  <si>
    <t>King</t>
  </si>
  <si>
    <t>Live</t>
  </si>
  <si>
    <t># text = And they can do it because they don't link causation and correlation.</t>
  </si>
  <si>
    <t>link</t>
  </si>
  <si>
    <t>causation</t>
  </si>
  <si>
    <t># text = They don't understand that these things seem the same, but they're almost never the same.</t>
  </si>
  <si>
    <t>seem</t>
  </si>
  <si>
    <t>almost</t>
  </si>
  <si>
    <t># text = And it's something we need to learn, and we need to learn it really soon.</t>
  </si>
  <si>
    <t>something</t>
  </si>
  <si>
    <t>learn</t>
  </si>
  <si>
    <t># text = This guy was a hero, Jonas Salk.</t>
  </si>
  <si>
    <t>guy</t>
  </si>
  <si>
    <t>hero</t>
  </si>
  <si>
    <t>Jonas</t>
  </si>
  <si>
    <t>Salk</t>
  </si>
  <si>
    <t># text = He took one of the worst scourges of mankind away from us.</t>
  </si>
  <si>
    <t>He</t>
  </si>
  <si>
    <t>worst</t>
  </si>
  <si>
    <t>scourges</t>
  </si>
  <si>
    <t>mankind</t>
  </si>
  <si>
    <t># text = No fear, no agony.</t>
  </si>
  <si>
    <t>No</t>
  </si>
  <si>
    <t>agony</t>
  </si>
  <si>
    <t># text = Polio -- puff, gone.</t>
  </si>
  <si>
    <t>Polio</t>
  </si>
  <si>
    <t># text = That guy in the middle, not so much.</t>
  </si>
  <si>
    <t>middle</t>
  </si>
  <si>
    <t># text = His name is Paul Offit.</t>
  </si>
  <si>
    <t>His</t>
  </si>
  <si>
    <t>name</t>
  </si>
  <si>
    <t>Paul</t>
  </si>
  <si>
    <t>Offit</t>
  </si>
  <si>
    <t># text = He just developed a rotavirus vaccine with a bunch of other people.</t>
  </si>
  <si>
    <t>developed</t>
  </si>
  <si>
    <t>rotavirus</t>
  </si>
  <si>
    <t># text = It'll save the lives of 400 to 500,000 kids in the developing world every year.</t>
  </si>
  <si>
    <t>'ll</t>
  </si>
  <si>
    <t>lives</t>
  </si>
  <si>
    <t>400</t>
  </si>
  <si>
    <t>500,000</t>
  </si>
  <si>
    <t>kids</t>
  </si>
  <si>
    <t>developing</t>
  </si>
  <si>
    <t># text = Pretty good, right?</t>
  </si>
  <si>
    <t>Pretty</t>
  </si>
  <si>
    <t># text = Well, it's good, except that Paul goes around talking about vaccines and says how valuable they are and that people ought to just stop the whining.</t>
  </si>
  <si>
    <t>Well</t>
  </si>
  <si>
    <t>except</t>
  </si>
  <si>
    <t>goes</t>
  </si>
  <si>
    <t>talking</t>
  </si>
  <si>
    <t>says</t>
  </si>
  <si>
    <t>how</t>
  </si>
  <si>
    <t>valuable</t>
  </si>
  <si>
    <t>ought</t>
  </si>
  <si>
    <t>stop</t>
  </si>
  <si>
    <t>whining</t>
  </si>
  <si>
    <t># text = And he actually says it that way.</t>
  </si>
  <si>
    <t>he</t>
  </si>
  <si>
    <t># text = So, Paul's a terrorist.</t>
  </si>
  <si>
    <t>terrorist</t>
  </si>
  <si>
    <t># text = When Paul speaks in a public hearing, he can't testify without armed guards.</t>
  </si>
  <si>
    <t>speaks</t>
  </si>
  <si>
    <t>hearing</t>
  </si>
  <si>
    <t>armed</t>
  </si>
  <si>
    <t>guards</t>
  </si>
  <si>
    <t># text = He gets called at home because people like to tell him that they remember where his kids go to school.</t>
  </si>
  <si>
    <t>s</t>
  </si>
  <si>
    <t>called</t>
  </si>
  <si>
    <t>home</t>
  </si>
  <si>
    <t>him</t>
  </si>
  <si>
    <t>remember</t>
  </si>
  <si>
    <t>his</t>
  </si>
  <si>
    <t>school</t>
  </si>
  <si>
    <t># text = And why?</t>
  </si>
  <si>
    <t># text = Because Paul made a vaccine.</t>
  </si>
  <si>
    <t>made</t>
  </si>
  <si>
    <t># text = I don't need to say this, but vaccines are essential.</t>
  </si>
  <si>
    <t>essential</t>
  </si>
  <si>
    <t># text = You take them away, disease comes back, horrible diseases.</t>
  </si>
  <si>
    <t>comes</t>
  </si>
  <si>
    <t># text = And that's happening.</t>
  </si>
  <si>
    <t>happening</t>
  </si>
  <si>
    <t># text = We have measles in this country now.</t>
  </si>
  <si>
    <t># text = And it's getting worse, and pretty soon kids are going to die of it again because it's just a numbers game.</t>
  </si>
  <si>
    <t>getting</t>
  </si>
  <si>
    <t>worse</t>
  </si>
  <si>
    <t>pretty</t>
  </si>
  <si>
    <t>numbers</t>
  </si>
  <si>
    <t>game</t>
  </si>
  <si>
    <t># text = And they're not just going to die of measles.</t>
  </si>
  <si>
    <t># text = What about polio?</t>
  </si>
  <si>
    <t># text = Let's have that.</t>
  </si>
  <si>
    <t># text = Why not?</t>
  </si>
  <si>
    <t>Why</t>
  </si>
  <si>
    <t># text = A college classmate of mine wrote me a couple weeks ago and said she thought I was a little strident.</t>
  </si>
  <si>
    <t>college</t>
  </si>
  <si>
    <t>classmate</t>
  </si>
  <si>
    <t>mine</t>
  </si>
  <si>
    <t>couple</t>
  </si>
  <si>
    <t>weeks</t>
  </si>
  <si>
    <t>said</t>
  </si>
  <si>
    <t>she</t>
  </si>
  <si>
    <t>strident</t>
  </si>
  <si>
    <t># text = No one's ever said that before.</t>
  </si>
  <si>
    <t># text = She wasn't going to vaccinate her kid against polio, no way.</t>
  </si>
  <si>
    <t>She</t>
  </si>
  <si>
    <t>vaccinate</t>
  </si>
  <si>
    <t>her</t>
  </si>
  <si>
    <t>against</t>
  </si>
  <si>
    <t># text = Fine.</t>
  </si>
  <si>
    <t>Fine</t>
  </si>
  <si>
    <t># text = Why?</t>
  </si>
  <si>
    <t># text = Because we don't have polio.</t>
  </si>
  <si>
    <t># text = And you know what?</t>
  </si>
  <si>
    <t># text = We didn't have polio in this country yesterday.</t>
  </si>
  <si>
    <t>yesterday</t>
  </si>
  <si>
    <t># text = Today, I don't know, maybe a guy got on a plane in Lagos this morning, and he's flying to LAX, right now he's over Ohio.</t>
  </si>
  <si>
    <t>Today</t>
  </si>
  <si>
    <t>maybe</t>
  </si>
  <si>
    <t>got</t>
  </si>
  <si>
    <t>plane</t>
  </si>
  <si>
    <t>Lagos</t>
  </si>
  <si>
    <t>morning</t>
  </si>
  <si>
    <t>flying</t>
  </si>
  <si>
    <t>LAX</t>
  </si>
  <si>
    <t>over</t>
  </si>
  <si>
    <t>Ohio</t>
  </si>
  <si>
    <t># text = And he's going to land in a couple of hours, he's going to rent a car, and he's going to come to Long Beach, and he's going to attend one of these fabulous TED dinners tonight.</t>
  </si>
  <si>
    <t>hours</t>
  </si>
  <si>
    <t>rent</t>
  </si>
  <si>
    <t>car</t>
  </si>
  <si>
    <t>Long</t>
  </si>
  <si>
    <t>Beach</t>
  </si>
  <si>
    <t>attend</t>
  </si>
  <si>
    <t>fabulous</t>
  </si>
  <si>
    <t>dinners</t>
  </si>
  <si>
    <t>tonight</t>
  </si>
  <si>
    <t># text = And he doesn't know that he's infected with a paralytic disease, and we don't either because that's the way the world works.</t>
  </si>
  <si>
    <t>infected</t>
  </si>
  <si>
    <t>paralytic</t>
  </si>
  <si>
    <t>either</t>
  </si>
  <si>
    <t># text = That's the planet we live on.</t>
  </si>
  <si>
    <t># text = Don't pretend it isn't.</t>
  </si>
  <si>
    <t># text = Now, we love to wrap ourselves in lies.</t>
  </si>
  <si>
    <t>lies</t>
  </si>
  <si>
    <t># text = We love to do it.</t>
  </si>
  <si>
    <t># text = Everyone take their vitamins this morning?</t>
  </si>
  <si>
    <t>Everyone</t>
  </si>
  <si>
    <t>vitamins</t>
  </si>
  <si>
    <t># text = Echinacea, a little antioxidant to get you going.</t>
  </si>
  <si>
    <t>antioxidant</t>
  </si>
  <si>
    <t># text = I know you did because half of Americans do every day.</t>
  </si>
  <si>
    <t>half</t>
  </si>
  <si>
    <t>Americans</t>
  </si>
  <si>
    <t># text = They take the stuff, and they take alternative medicines, and it doesn't matter how often we find out that they're useless.</t>
  </si>
  <si>
    <t>alternative</t>
  </si>
  <si>
    <t>medicines</t>
  </si>
  <si>
    <t>often</t>
  </si>
  <si>
    <t>useless</t>
  </si>
  <si>
    <t># text = The data says it all the time.</t>
  </si>
  <si>
    <t># text = They darken your urine.</t>
  </si>
  <si>
    <t>darken</t>
  </si>
  <si>
    <t># text = They almost never do more than that.</t>
  </si>
  <si>
    <t># text = It's okay, you want to pay 28 billion dollars for dark urine?</t>
  </si>
  <si>
    <t>okay</t>
  </si>
  <si>
    <t>pay</t>
  </si>
  <si>
    <t>dollars</t>
  </si>
  <si>
    <t>dark</t>
  </si>
  <si>
    <t># text = I'm totally with you.</t>
  </si>
  <si>
    <t>totally</t>
  </si>
  <si>
    <t># text = Dark urine.</t>
  </si>
  <si>
    <t># text = Dark.</t>
  </si>
  <si>
    <t># text = Why do we do that?</t>
  </si>
  <si>
    <t># text = Well, I think I understand, we hate Big Pharma.</t>
  </si>
  <si>
    <t>Big</t>
  </si>
  <si>
    <t>Pharma</t>
  </si>
  <si>
    <t># text = We hate Big Government.</t>
  </si>
  <si>
    <t>Government</t>
  </si>
  <si>
    <t># text = We don't trust the Man.</t>
  </si>
  <si>
    <t>Man</t>
  </si>
  <si>
    <t># text = And we shouldn't: Our health care system sucks.</t>
  </si>
  <si>
    <t>Our</t>
  </si>
  <si>
    <t>system</t>
  </si>
  <si>
    <t>sucks</t>
  </si>
  <si>
    <t># text = It's cruel to millions of people.</t>
  </si>
  <si>
    <t>cruel</t>
  </si>
  <si>
    <t># text = It's absolutely astonishingly cold and soul-bending to those of us who can even afford it.</t>
  </si>
  <si>
    <t>astonishingly</t>
  </si>
  <si>
    <t>cold</t>
  </si>
  <si>
    <t>soul</t>
  </si>
  <si>
    <t>bending</t>
  </si>
  <si>
    <t>who</t>
  </si>
  <si>
    <t>afford</t>
  </si>
  <si>
    <t># text = So we run away from it, and where do we run?</t>
  </si>
  <si>
    <t># text = We leap into the arms of Big Placebo.</t>
  </si>
  <si>
    <t>arms</t>
  </si>
  <si>
    <t>Placebo</t>
  </si>
  <si>
    <t># text = That's fantastic.</t>
  </si>
  <si>
    <t>fantastic</t>
  </si>
  <si>
    <t># text = I love Big Placebo.</t>
  </si>
  <si>
    <t># text = (Applause)</t>
  </si>
  <si>
    <t># text = But, you know, it's really a serious thing because this stuff is crap, and we spend billions of dollars on it.</t>
  </si>
  <si>
    <t>crap</t>
  </si>
  <si>
    <t>spend</t>
  </si>
  <si>
    <t># text = And I have all sorts of little props here.</t>
  </si>
  <si>
    <t>sorts</t>
  </si>
  <si>
    <t>props</t>
  </si>
  <si>
    <t># text = None of it ... ginkgo, fraud; echinacea, fraud; acai -- I don't even know what that is but we're spending billions of dollars on it -- it's fraud.</t>
  </si>
  <si>
    <t>None</t>
  </si>
  <si>
    <t>ginkgo</t>
  </si>
  <si>
    <t>fraud</t>
  </si>
  <si>
    <t>echinacea</t>
  </si>
  <si>
    <t>acai</t>
  </si>
  <si>
    <t>spending</t>
  </si>
  <si>
    <t># text = When I say this stuff, people scream at me, and they say, \"What do you care?</t>
  </si>
  <si>
    <t># text = Let people do what they want to do.</t>
  </si>
  <si>
    <t># text = It makes them feel good."</t>
  </si>
  <si>
    <t># text = You're wrong.</t>
  </si>
  <si>
    <t>wrong</t>
  </si>
  <si>
    <t># text = Because I don't care if it's the secretary of HHS who's saying, \"Hmm, I'm not going to take the evidence of my experts on mammograms,\" or some cancer quack who wants to treat his patient with coffee enemas.</t>
  </si>
  <si>
    <t>secretary</t>
  </si>
  <si>
    <t>HHS</t>
  </si>
  <si>
    <t>saying</t>
  </si>
  <si>
    <t>Hmm</t>
  </si>
  <si>
    <t>experts</t>
  </si>
  <si>
    <t>mammograms</t>
  </si>
  <si>
    <t>cancer</t>
  </si>
  <si>
    <t>quack</t>
  </si>
  <si>
    <t>wants</t>
  </si>
  <si>
    <t>treat</t>
  </si>
  <si>
    <t>patient</t>
  </si>
  <si>
    <t>coffee</t>
  </si>
  <si>
    <t>enemas</t>
  </si>
  <si>
    <t># text = When you start down the road where belief and magic replace evidence and science, you end up in a place you don't want to be.</t>
  </si>
  <si>
    <t>start</t>
  </si>
  <si>
    <t>road</t>
  </si>
  <si>
    <t>belief</t>
  </si>
  <si>
    <t>magic</t>
  </si>
  <si>
    <t>replace</t>
  </si>
  <si>
    <t>place</t>
  </si>
  <si>
    <t># text = You end up in Thabo Mbeki South Africa.</t>
  </si>
  <si>
    <t>Thabo</t>
  </si>
  <si>
    <t>Mbeki</t>
  </si>
  <si>
    <t>South</t>
  </si>
  <si>
    <t>Africa</t>
  </si>
  <si>
    <t># text = He killed 400,000 of his people by insisting that beetroot, garlic and lemon oil were much more effective than the antiretroviral drugs we know can slow the course of AIDS.</t>
  </si>
  <si>
    <t>400,000</t>
  </si>
  <si>
    <t>insisting</t>
  </si>
  <si>
    <t>beetroot</t>
  </si>
  <si>
    <t>garlic</t>
  </si>
  <si>
    <t>lemon</t>
  </si>
  <si>
    <t>antiretroviral</t>
  </si>
  <si>
    <t>drugs</t>
  </si>
  <si>
    <t>slow</t>
  </si>
  <si>
    <t>course</t>
  </si>
  <si>
    <t>AIDS</t>
  </si>
  <si>
    <t># text = Hundreds of thousands of needless deaths in a country that has been plagued worse than any other by this disease.</t>
  </si>
  <si>
    <t>Hundreds</t>
  </si>
  <si>
    <t>thousands</t>
  </si>
  <si>
    <t>needless</t>
  </si>
  <si>
    <t>deaths</t>
  </si>
  <si>
    <t>plagued</t>
  </si>
  <si>
    <t># text = Please, don't tell me there are no consequences to these things.</t>
  </si>
  <si>
    <t>Please</t>
  </si>
  <si>
    <t>consequences</t>
  </si>
  <si>
    <t># text = There are.</t>
  </si>
  <si>
    <t># text = There always are.</t>
  </si>
  <si>
    <t># text = Now, the most mindless epidemic we're in the middle of right now is this absurd battle between proponents of genetically engineered food and the organic elite.</t>
  </si>
  <si>
    <t>mindless</t>
  </si>
  <si>
    <t>absurd</t>
  </si>
  <si>
    <t>battle</t>
  </si>
  <si>
    <t>between</t>
  </si>
  <si>
    <t>proponents</t>
  </si>
  <si>
    <t>organic</t>
  </si>
  <si>
    <t>elite</t>
  </si>
  <si>
    <t># text = It's an idiotic debate.</t>
  </si>
  <si>
    <t>idiotic</t>
  </si>
  <si>
    <t>debate</t>
  </si>
  <si>
    <t># text = It has to stop.</t>
  </si>
  <si>
    <t># text = It's a debate about words, about metaphors.</t>
  </si>
  <si>
    <t>words</t>
  </si>
  <si>
    <t>metaphors</t>
  </si>
  <si>
    <t># text = It's ideology, it's not science.</t>
  </si>
  <si>
    <t>ideology</t>
  </si>
  <si>
    <t># text = Every single thing we eat, every grain of rice, every sprig of parsley, every Brussels sprout has been modified by man.</t>
  </si>
  <si>
    <t>Every</t>
  </si>
  <si>
    <t>single</t>
  </si>
  <si>
    <t>eat</t>
  </si>
  <si>
    <t>grain</t>
  </si>
  <si>
    <t>rice</t>
  </si>
  <si>
    <t>sprig</t>
  </si>
  <si>
    <t>parsley</t>
  </si>
  <si>
    <t>Brussels</t>
  </si>
  <si>
    <t>sprout</t>
  </si>
  <si>
    <t>modified</t>
  </si>
  <si>
    <t># text = You know, there weren't tangerines in the garden of Eden.</t>
  </si>
  <si>
    <t>tangerines</t>
  </si>
  <si>
    <t>garden</t>
  </si>
  <si>
    <t>Eden</t>
  </si>
  <si>
    <t># text = There wasn't any cantaloupe.</t>
  </si>
  <si>
    <t>cantaloupe</t>
  </si>
  <si>
    <t># text = There weren't Christmas trees.</t>
  </si>
  <si>
    <t>Christmas</t>
  </si>
  <si>
    <t>trees</t>
  </si>
  <si>
    <t># text = We made it all.</t>
  </si>
  <si>
    <t># text = We made it over the last 11,000 years.</t>
  </si>
  <si>
    <t>11,000</t>
  </si>
  <si>
    <t># text = And some of it worked, and some of it didn't.</t>
  </si>
  <si>
    <t>worked</t>
  </si>
  <si>
    <t># text = We got rid of the stuff that didn't.</t>
  </si>
  <si>
    <t>rid</t>
  </si>
  <si>
    <t># text = Now we can do it in a more precise way -- and there are risks, absolutely -- but we can put something like vitamin</t>
  </si>
  <si>
    <t>precise</t>
  </si>
  <si>
    <t>risks</t>
  </si>
  <si>
    <t>vitamin</t>
  </si>
  <si>
    <t># text = A into rice, and that stuff can help millions of people, millions of people, prolong their lives.</t>
  </si>
  <si>
    <t>help</t>
  </si>
  <si>
    <t># text = You don't want to do that?</t>
  </si>
  <si>
    <t># text = I have to say, I don't understand it.</t>
  </si>
  <si>
    <t># text = We object to genetically engineered food.</t>
  </si>
  <si>
    <t># text = Well, the things I constantly hear are:</t>
  </si>
  <si>
    <t>constantly</t>
  </si>
  <si>
    <t>hear</t>
  </si>
  <si>
    <t># text = Too many chemicals, pesticides, hormones, monoculture, we don't want giant fields of the same thing, that's wrong.</t>
  </si>
  <si>
    <t>Too</t>
  </si>
  <si>
    <t>chemicals</t>
  </si>
  <si>
    <t>pesticides</t>
  </si>
  <si>
    <t>hormones</t>
  </si>
  <si>
    <t>monoculture</t>
  </si>
  <si>
    <t>giant</t>
  </si>
  <si>
    <t># text = We don't companies patenting life.</t>
  </si>
  <si>
    <t>companies</t>
  </si>
  <si>
    <t>patenting</t>
  </si>
  <si>
    <t>life</t>
  </si>
  <si>
    <t># text = We don't want companies owning seeds.</t>
  </si>
  <si>
    <t>owning</t>
  </si>
  <si>
    <t>seeds</t>
  </si>
  <si>
    <t># text = And you know what my response to all of that is?</t>
  </si>
  <si>
    <t>response</t>
  </si>
  <si>
    <t># text = Yes, you're right.</t>
  </si>
  <si>
    <t>Yes</t>
  </si>
  <si>
    <t># text = Let's fix it.</t>
  </si>
  <si>
    <t>fix</t>
  </si>
  <si>
    <t># text = It's true, we've got a huge food problem, but this isn't science.</t>
  </si>
  <si>
    <t>huge</t>
  </si>
  <si>
    <t>problem</t>
  </si>
  <si>
    <t># text = This has nothing to do with science.</t>
  </si>
  <si>
    <t>nothing</t>
  </si>
  <si>
    <t># text = It's law, it's morality, it's patent stuff.</t>
  </si>
  <si>
    <t>law</t>
  </si>
  <si>
    <t>morality</t>
  </si>
  <si>
    <t>patent</t>
  </si>
  <si>
    <t># text = You know science isn't a company.</t>
  </si>
  <si>
    <t># text = It's not a country.</t>
  </si>
  <si>
    <t># text = It's not even an idea; it's a process.</t>
  </si>
  <si>
    <t>idea</t>
  </si>
  <si>
    <t>process</t>
  </si>
  <si>
    <t># text = It's a process, and sometimes it works and sometimes it doesn't, but the idea that we should not allow science to do its job because we're afraid, is really very deadening, and it's preventing millions of people from prospering.</t>
  </si>
  <si>
    <t>allow</t>
  </si>
  <si>
    <t>its</t>
  </si>
  <si>
    <t>job</t>
  </si>
  <si>
    <t>afraid</t>
  </si>
  <si>
    <t>deadening</t>
  </si>
  <si>
    <t>preventing</t>
  </si>
  <si>
    <t>prospering</t>
  </si>
  <si>
    <t># text = You know, in the next 50 years we're going to have to grow 70 percent more food than we do right now, 70 percent.</t>
  </si>
  <si>
    <t>next</t>
  </si>
  <si>
    <t>grow</t>
  </si>
  <si>
    <t>percent</t>
  </si>
  <si>
    <t># text = This investment in Africa over the last 30 years.</t>
  </si>
  <si>
    <t># text = Disgraceful.</t>
  </si>
  <si>
    <t># text = They need it, and we're not giving it to them.</t>
  </si>
  <si>
    <t># text = Genetically engineered food.</t>
  </si>
  <si>
    <t>Genetically</t>
  </si>
  <si>
    <t># text = We don't want to encourage people to eat that rotten stuff, like cassava for instance.</t>
  </si>
  <si>
    <t>encourage</t>
  </si>
  <si>
    <t>rotten</t>
  </si>
  <si>
    <t>cassava</t>
  </si>
  <si>
    <t>instance</t>
  </si>
  <si>
    <t># text = Cassava's something that half a billion people eat.</t>
  </si>
  <si>
    <t>Cassava</t>
  </si>
  <si>
    <t># text = It's kind of like a potato.</t>
  </si>
  <si>
    <t>potato</t>
  </si>
  <si>
    <t># text = It's just a bunch of calories.</t>
  </si>
  <si>
    <t>calories</t>
  </si>
  <si>
    <t># text = It sucks.</t>
  </si>
  <si>
    <t># text = It doesn't have nutrients, it doesn't have protein, and scientists are engineering all of that into it right now.</t>
  </si>
  <si>
    <t>nutrients</t>
  </si>
  <si>
    <t>protein</t>
  </si>
  <si>
    <t>scientists</t>
  </si>
  <si>
    <t>engineering</t>
  </si>
  <si>
    <t># text = And then people would be able to eat it and they'd be able to not go blind.</t>
  </si>
  <si>
    <t>would</t>
  </si>
  <si>
    <t>able</t>
  </si>
  <si>
    <t>blind</t>
  </si>
  <si>
    <t># text = They wouldn't starve, and you know what?</t>
  </si>
  <si>
    <t># text = That would be nice.</t>
  </si>
  <si>
    <t>nice</t>
  </si>
  <si>
    <t># text = It wouldn't be Chez Panisse, but it would be nice.</t>
  </si>
  <si>
    <t>Chez</t>
  </si>
  <si>
    <t>Panisse</t>
  </si>
  <si>
    <t># text = And all I can say about this is: Why are we fighting it?</t>
  </si>
  <si>
    <t>fighting</t>
  </si>
  <si>
    <t># text = I mean, let's ask ourselves:</t>
  </si>
  <si>
    <t>ask</t>
  </si>
  <si>
    <t># text = Why are we fighting it?</t>
  </si>
  <si>
    <t># text = Because we don't want to move genes around?</t>
  </si>
  <si>
    <t>genes</t>
  </si>
  <si>
    <t># text = This is about moving genes around.</t>
  </si>
  <si>
    <t># text = It's not about chemicals.</t>
  </si>
  <si>
    <t># text = It's not about our ridiculous passion for hormones, our insistence on having bigger food, better food, singular food.</t>
  </si>
  <si>
    <t>ridiculous</t>
  </si>
  <si>
    <t>passion</t>
  </si>
  <si>
    <t>insistence</t>
  </si>
  <si>
    <t>having</t>
  </si>
  <si>
    <t>singular</t>
  </si>
  <si>
    <t># text = This isn't about Rice Krispies, this is about keeping people alive, and it's about time we started to understand what that meant.</t>
  </si>
  <si>
    <t>Rice</t>
  </si>
  <si>
    <t>Krispies</t>
  </si>
  <si>
    <t>keeping</t>
  </si>
  <si>
    <t>alive</t>
  </si>
  <si>
    <t>started</t>
  </si>
  <si>
    <t>meant</t>
  </si>
  <si>
    <t># text = Because, you know something?</t>
  </si>
  <si>
    <t># text = If we don't, if we continue to act the way we're acting, we're guilty of something that I don't think we want to be guilty of: high-tech colonialism.</t>
  </si>
  <si>
    <t>If</t>
  </si>
  <si>
    <t>continue</t>
  </si>
  <si>
    <t>act</t>
  </si>
  <si>
    <t>acting</t>
  </si>
  <si>
    <t>guilty</t>
  </si>
  <si>
    <t>high</t>
  </si>
  <si>
    <t>tech</t>
  </si>
  <si>
    <t>colonialism</t>
  </si>
  <si>
    <t># text = There's no other way to describe what's going on here.</t>
  </si>
  <si>
    <t>describe</t>
  </si>
  <si>
    <t># text = It's selfish, it's ugly, it's beneath us, and we really have to stop it.</t>
  </si>
  <si>
    <t>selfish</t>
  </si>
  <si>
    <t>ugly</t>
  </si>
  <si>
    <t>beneath</t>
  </si>
  <si>
    <t># text = So after this amazingly fun conversation, you might want to say, "So, you still want to get in this ridiculous time machine and go forward?"</t>
  </si>
  <si>
    <t>amazingly</t>
  </si>
  <si>
    <t>fun</t>
  </si>
  <si>
    <t>conversation</t>
  </si>
  <si>
    <t>might</t>
  </si>
  <si>
    <t>still</t>
  </si>
  <si>
    <t># text = Absolutely.</t>
  </si>
  <si>
    <t>Absolutely</t>
  </si>
  <si>
    <t># text = Absolutely, I do.</t>
  </si>
  <si>
    <t># text = It's stuck in the present right now, but we have an amazing opportunity.</t>
  </si>
  <si>
    <t>stuck</t>
  </si>
  <si>
    <t>present</t>
  </si>
  <si>
    <t># text = We can set that time machine on anything we want.</t>
  </si>
  <si>
    <t># text = We can move it where we want to move it, and we're going to move it where we want to move it.</t>
  </si>
  <si>
    <t># text = We have to have these conversations and we have to think, but when we get in the time machine and we go ahead, we're going to be happy we do.</t>
  </si>
  <si>
    <t>conversations</t>
  </si>
  <si>
    <t>ahead</t>
  </si>
  <si>
    <t>happy</t>
  </si>
  <si>
    <t># text = I know that we can, and as far as I'm concerned, that's something the world needs right now.</t>
  </si>
  <si>
    <t>far</t>
  </si>
  <si>
    <t>concerned</t>
  </si>
  <si>
    <t>needs</t>
  </si>
  <si>
    <t># text = Thank you.</t>
  </si>
  <si>
    <t>Thank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</si>
</sst>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74"/>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10</v>
      </c>
      <c r="C2" s="6" t="s">
        <v>11</v>
      </c>
      <c r="D2" s="7" t="s">
        <v>12</v>
      </c>
      <c r="E2" s="8" t="s">
        <v>13</v>
      </c>
      <c r="F2" s="6" t="s">
        <v>14</v>
      </c>
      <c r="G2" s="9">
        <f>IF(A2=1,"_",IF(C2="_","???",C2))</f>
        <v/>
      </c>
      <c r="H2" s="10" t="s">
        <v>11</v>
      </c>
      <c r="I2" s="11" t="s">
        <v>11</v>
      </c>
      <c r="J2" s="12"/>
    </row>
    <row r="3" spans="1:10" ht="60" customHeight="1">
      <c r="A3" s="6" t="s">
        <v>15</v>
      </c>
      <c r="B3" s="6" t="s">
        <v>16</v>
      </c>
      <c r="C3" s="6" t="s">
        <v>17</v>
      </c>
      <c r="D3" s="7" t="s">
        <v>18</v>
      </c>
      <c r="E3" s="8" t="s">
        <v>19</v>
      </c>
      <c r="F3" s="6" t="s">
        <v>20</v>
      </c>
      <c r="G3" s="9">
        <f>IF(A3=1,"_",IF(C3="_","???",C3))</f>
        <v/>
      </c>
      <c r="H3" s="10" t="s">
        <v>11</v>
      </c>
      <c r="I3" s="11" t="s">
        <v>11</v>
      </c>
      <c r="J3" s="12"/>
    </row>
    <row r="4" spans="1:10" ht="60" customHeight="1">
      <c r="A4" s="6" t="s">
        <v>16</v>
      </c>
      <c r="B4" s="6" t="s">
        <v>21</v>
      </c>
      <c r="C4" s="6" t="s">
        <v>17</v>
      </c>
      <c r="D4" s="7" t="s">
        <v>22</v>
      </c>
      <c r="E4" s="8" t="s">
        <v>23</v>
      </c>
      <c r="F4" s="6" t="s">
        <v>24</v>
      </c>
      <c r="G4" s="9">
        <f>IF(A4=1,"_",IF(C4="_","???",C4))</f>
        <v/>
      </c>
      <c r="H4" s="10" t="s">
        <v>11</v>
      </c>
      <c r="I4" s="11" t="s">
        <v>11</v>
      </c>
      <c r="J4" s="12"/>
    </row>
    <row r="5" spans="1:10" ht="60" customHeight="1">
      <c r="A5" s="6" t="s">
        <v>25</v>
      </c>
      <c r="B5" s="6" t="s">
        <v>25</v>
      </c>
      <c r="C5" s="6" t="s">
        <v>17</v>
      </c>
      <c r="D5" s="7" t="s">
        <v>26</v>
      </c>
      <c r="E5" s="8" t="s">
        <v>27</v>
      </c>
      <c r="F5" s="6" t="s">
        <v>28</v>
      </c>
      <c r="G5" s="9">
        <f>IF(A5=1,"_",IF(C5="_","???",C5))</f>
        <v/>
      </c>
      <c r="H5" s="10" t="s">
        <v>11</v>
      </c>
      <c r="I5" s="11" t="s">
        <v>11</v>
      </c>
      <c r="J5" s="12"/>
    </row>
    <row r="6" spans="1:10" ht="60" customHeight="1">
      <c r="A6" s="6" t="s">
        <v>29</v>
      </c>
      <c r="B6" s="6" t="s">
        <v>30</v>
      </c>
      <c r="C6" s="6" t="s">
        <v>31</v>
      </c>
      <c r="D6" s="7" t="s">
        <v>32</v>
      </c>
      <c r="E6" s="8" t="s">
        <v>33</v>
      </c>
      <c r="F6" s="6" t="s">
        <v>34</v>
      </c>
      <c r="G6" s="9">
        <f>IF(A6=1,"_",IF(C6="_","???",C6))</f>
        <v/>
      </c>
      <c r="H6" s="10" t="s">
        <v>11</v>
      </c>
      <c r="I6" s="11" t="s">
        <v>11</v>
      </c>
      <c r="J6" s="12"/>
    </row>
    <row r="7" spans="1:10" ht="60" customHeight="1">
      <c r="A7" s="6" t="s">
        <v>21</v>
      </c>
      <c r="B7" s="6" t="s">
        <v>25</v>
      </c>
      <c r="C7" s="6" t="s">
        <v>11</v>
      </c>
      <c r="D7" s="7" t="s">
        <v>35</v>
      </c>
      <c r="E7" s="8" t="s">
        <v>36</v>
      </c>
      <c r="F7" s="6" t="s">
        <v>37</v>
      </c>
      <c r="G7" s="9">
        <f>IF(A7=1,"_",IF(C7="_","???",C7))</f>
        <v/>
      </c>
      <c r="H7" s="10" t="s">
        <v>11</v>
      </c>
      <c r="I7" s="11" t="s">
        <v>11</v>
      </c>
      <c r="J7" s="12"/>
    </row>
    <row r="8" spans="1:10" ht="60" customHeight="1">
      <c r="A8" s="6" t="s">
        <v>38</v>
      </c>
      <c r="B8" s="6" t="s">
        <v>15</v>
      </c>
      <c r="C8" s="6" t="s">
        <v>11</v>
      </c>
      <c r="D8" s="7" t="s">
        <v>39</v>
      </c>
      <c r="E8" s="8" t="s">
        <v>40</v>
      </c>
      <c r="F8" s="6" t="s">
        <v>41</v>
      </c>
      <c r="G8" s="9">
        <f>IF(A8=1,"_",IF(C8="_","???",C8))</f>
        <v/>
      </c>
      <c r="H8" s="10" t="s">
        <v>11</v>
      </c>
      <c r="I8" s="11" t="s">
        <v>11</v>
      </c>
      <c r="J8" s="12"/>
    </row>
    <row r="9" spans="1:10" ht="60" customHeight="1">
      <c r="A9" s="6" t="s">
        <v>42</v>
      </c>
      <c r="B9" s="6" t="s">
        <v>25</v>
      </c>
      <c r="C9" s="6" t="s">
        <v>11</v>
      </c>
      <c r="D9" s="7" t="s">
        <v>35</v>
      </c>
      <c r="E9" s="8" t="s">
        <v>36</v>
      </c>
      <c r="F9" s="6" t="s">
        <v>43</v>
      </c>
      <c r="G9" s="9">
        <f>IF(A9=1,"_",IF(C9="_","???",C9))</f>
        <v/>
      </c>
      <c r="H9" s="10" t="s">
        <v>11</v>
      </c>
      <c r="I9" s="11" t="s">
        <v>11</v>
      </c>
      <c r="J9" s="12"/>
    </row>
    <row r="10" spans="1:10" ht="60" customHeight="1">
      <c r="A10" s="6" t="s">
        <v>44</v>
      </c>
      <c r="B10" s="6" t="s">
        <v>15</v>
      </c>
      <c r="C10" s="6" t="s">
        <v>11</v>
      </c>
      <c r="D10" s="7" t="s">
        <v>45</v>
      </c>
      <c r="E10" s="8" t="s">
        <v>46</v>
      </c>
      <c r="F10" s="6" t="s">
        <v>47</v>
      </c>
      <c r="G10" s="9">
        <f>IF(A10=1,"_",IF(C10="_","???",C10))</f>
        <v/>
      </c>
      <c r="H10" s="10" t="s">
        <v>11</v>
      </c>
      <c r="I10" s="11" t="s">
        <v>11</v>
      </c>
      <c r="J10" s="12"/>
    </row>
    <row r="11" spans="1:10" ht="60" customHeight="1">
      <c r="A11" s="6" t="s">
        <v>48</v>
      </c>
      <c r="B11" s="6" t="s">
        <v>16</v>
      </c>
      <c r="C11" s="6" t="s">
        <v>17</v>
      </c>
      <c r="D11" s="7" t="s">
        <v>49</v>
      </c>
      <c r="E11" s="8" t="s">
        <v>50</v>
      </c>
      <c r="F11" s="6" t="s">
        <v>51</v>
      </c>
      <c r="G11" s="9">
        <f>IF(A11=1,"_",IF(C11="_","???",C11))</f>
        <v/>
      </c>
      <c r="H11" s="10" t="s">
        <v>11</v>
      </c>
      <c r="I11" s="11" t="s">
        <v>11</v>
      </c>
      <c r="J11" s="12"/>
    </row>
    <row r="12" spans="1:10" ht="60" customHeight="1">
      <c r="A12" s="6" t="s">
        <v>52</v>
      </c>
      <c r="B12" s="6" t="s">
        <v>15</v>
      </c>
      <c r="C12" s="6" t="s">
        <v>11</v>
      </c>
      <c r="D12" s="7" t="s">
        <v>53</v>
      </c>
      <c r="E12" s="8" t="s">
        <v>54</v>
      </c>
      <c r="F12" s="6" t="s">
        <v>55</v>
      </c>
      <c r="G12" s="9">
        <f>IF(A12=1,"_",IF(C12="_","???",C12))</f>
        <v/>
      </c>
      <c r="H12" s="10" t="s">
        <v>11</v>
      </c>
      <c r="I12" s="11" t="s">
        <v>11</v>
      </c>
      <c r="J12" s="12"/>
    </row>
    <row r="13" spans="1:10" ht="60" customHeight="1">
      <c r="A13" s="6" t="s">
        <v>56</v>
      </c>
      <c r="B13" s="6" t="s">
        <v>25</v>
      </c>
      <c r="C13" s="6" t="s">
        <v>31</v>
      </c>
      <c r="D13" s="7" t="s">
        <v>39</v>
      </c>
      <c r="E13" s="8" t="s">
        <v>57</v>
      </c>
      <c r="F13" s="6" t="s">
        <v>58</v>
      </c>
      <c r="G13" s="9">
        <f>IF(A13=1,"_",IF(C13="_","???",C13))</f>
        <v/>
      </c>
      <c r="H13" s="10" t="s">
        <v>11</v>
      </c>
      <c r="I13" s="11" t="s">
        <v>11</v>
      </c>
      <c r="J13" s="12"/>
    </row>
    <row r="14" spans="1:10" ht="60" customHeight="1">
      <c r="A14" s="6" t="s">
        <v>59</v>
      </c>
      <c r="B14" s="6" t="s">
        <v>15</v>
      </c>
      <c r="C14" s="6" t="s">
        <v>31</v>
      </c>
      <c r="D14" s="7" t="s">
        <v>60</v>
      </c>
      <c r="E14" s="8" t="s">
        <v>61</v>
      </c>
      <c r="F14" s="6" t="s">
        <v>62</v>
      </c>
      <c r="G14" s="9">
        <f>IF(A14=1,"_",IF(C14="_","???",C14))</f>
        <v/>
      </c>
      <c r="H14" s="10" t="s">
        <v>11</v>
      </c>
      <c r="I14" s="11" t="s">
        <v>11</v>
      </c>
      <c r="J14" s="12"/>
    </row>
    <row r="15" spans="1:10" ht="60" customHeight="1">
      <c r="A15" s="6" t="s">
        <v>63</v>
      </c>
      <c r="B15" s="6" t="s">
        <v>56</v>
      </c>
      <c r="C15" s="6" t="s">
        <v>17</v>
      </c>
      <c r="D15" s="7" t="s">
        <v>64</v>
      </c>
      <c r="E15" s="8" t="s">
        <v>65</v>
      </c>
      <c r="F15" s="6" t="s">
        <v>66</v>
      </c>
      <c r="G15" s="9">
        <f>IF(A15=1,"_",IF(C15="_","???",C15))</f>
        <v/>
      </c>
      <c r="H15" s="10" t="s">
        <v>11</v>
      </c>
      <c r="I15" s="11" t="s">
        <v>11</v>
      </c>
      <c r="J15" s="12"/>
    </row>
    <row r="16" spans="1:10" ht="60" customHeight="1">
      <c r="A16" s="6" t="s">
        <v>67</v>
      </c>
      <c r="B16" s="6" t="s">
        <v>38</v>
      </c>
      <c r="C16" s="6" t="s">
        <v>11</v>
      </c>
      <c r="D16" s="7" t="s">
        <v>68</v>
      </c>
      <c r="E16" s="8" t="s">
        <v>69</v>
      </c>
      <c r="F16" s="6" t="s">
        <v>70</v>
      </c>
      <c r="G16" s="9">
        <f>IF(A16=1,"_",IF(C16="_","???",C16))</f>
        <v/>
      </c>
      <c r="H16" s="10" t="s">
        <v>11</v>
      </c>
      <c r="I16" s="11" t="s">
        <v>11</v>
      </c>
      <c r="J16" s="12"/>
    </row>
    <row r="17" spans="1:10" ht="60" customHeight="1">
      <c r="A17" s="6" t="s">
        <v>71</v>
      </c>
      <c r="B17" s="6" t="s">
        <v>25</v>
      </c>
      <c r="C17" s="6" t="s">
        <v>11</v>
      </c>
      <c r="D17" s="7" t="s">
        <v>72</v>
      </c>
      <c r="E17" s="8" t="s">
        <v>73</v>
      </c>
      <c r="F17" s="6" t="s">
        <v>74</v>
      </c>
      <c r="G17" s="9">
        <f>IF(A17=1,"_",IF(C17="_","???",C17))</f>
        <v/>
      </c>
      <c r="H17" s="10" t="s">
        <v>11</v>
      </c>
      <c r="I17" s="11" t="s">
        <v>11</v>
      </c>
      <c r="J17" s="12"/>
    </row>
    <row r="18" spans="1:10" ht="60" customHeight="1">
      <c r="A18" s="6" t="s">
        <v>30</v>
      </c>
      <c r="B18" s="6" t="s">
        <v>29</v>
      </c>
      <c r="C18" s="6" t="s">
        <v>11</v>
      </c>
      <c r="D18" s="7" t="s">
        <v>75</v>
      </c>
      <c r="E18" s="8" t="s">
        <v>76</v>
      </c>
      <c r="F18" s="6" t="s">
        <v>77</v>
      </c>
      <c r="G18" s="9">
        <f>IF(A18=1,"_",IF(C18="_","???",C18))</f>
        <v/>
      </c>
      <c r="H18" s="10" t="s">
        <v>11</v>
      </c>
      <c r="I18" s="11" t="s">
        <v>11</v>
      </c>
      <c r="J18" s="12"/>
    </row>
    <row r="19" spans="1:10" ht="60" customHeight="1">
      <c r="A19" s="6" t="s">
        <v>78</v>
      </c>
      <c r="B19" s="6" t="s">
        <v>16</v>
      </c>
      <c r="C19" s="6" t="s">
        <v>11</v>
      </c>
      <c r="D19" s="7" t="s">
        <v>79</v>
      </c>
      <c r="E19" s="8" t="s">
        <v>80</v>
      </c>
      <c r="F19" s="6" t="s">
        <v>81</v>
      </c>
      <c r="G19" s="9">
        <f>IF(A19=1,"_",IF(C19="_","???",C19))</f>
        <v/>
      </c>
      <c r="H19" s="10" t="s">
        <v>11</v>
      </c>
      <c r="I19" s="11" t="s">
        <v>11</v>
      </c>
      <c r="J19" s="12"/>
    </row>
    <row r="20" spans="1:10" ht="60" customHeight="1">
      <c r="A20" s="6" t="s">
        <v>82</v>
      </c>
      <c r="B20" s="6" t="s">
        <v>25</v>
      </c>
      <c r="C20" s="6" t="s">
        <v>11</v>
      </c>
      <c r="D20" s="7" t="s">
        <v>83</v>
      </c>
      <c r="E20" s="8" t="s">
        <v>84</v>
      </c>
      <c r="F20" s="6" t="s">
        <v>85</v>
      </c>
      <c r="G20" s="9">
        <f>IF(A20=1,"_",IF(C20="_","???",C20))</f>
        <v/>
      </c>
      <c r="H20" s="10" t="s">
        <v>11</v>
      </c>
      <c r="I20" s="11" t="s">
        <v>11</v>
      </c>
      <c r="J20" s="12"/>
    </row>
    <row r="21" spans="1:10" ht="60" customHeight="1">
      <c r="A21" s="6" t="s">
        <v>86</v>
      </c>
      <c r="B21" s="6" t="s">
        <v>25</v>
      </c>
      <c r="C21" s="6" t="s">
        <v>87</v>
      </c>
      <c r="D21" s="7" t="s">
        <v>88</v>
      </c>
      <c r="E21" s="8" t="s">
        <v>89</v>
      </c>
      <c r="F21" s="6" t="s">
        <v>90</v>
      </c>
      <c r="G21" s="9">
        <f>IF(A21=1,"_",IF(C21="_","???",C21))</f>
        <v/>
      </c>
      <c r="H21" s="10" t="s">
        <v>11</v>
      </c>
      <c r="I21" s="11" t="s">
        <v>11</v>
      </c>
      <c r="J21" s="12"/>
    </row>
    <row r="22" spans="1:10" ht="60" customHeight="1">
      <c r="A22" s="6" t="s">
        <v>91</v>
      </c>
      <c r="B22" s="6" t="s">
        <v>16</v>
      </c>
      <c r="C22" s="6" t="s">
        <v>31</v>
      </c>
      <c r="D22" s="7" t="s">
        <v>92</v>
      </c>
      <c r="E22" s="8" t="s">
        <v>93</v>
      </c>
      <c r="F22" s="6" t="s">
        <v>94</v>
      </c>
      <c r="G22" s="9">
        <f>IF(A22=1,"_",IF(C22="_","???",C22))</f>
        <v/>
      </c>
      <c r="H22" s="10" t="s">
        <v>11</v>
      </c>
      <c r="I22" s="11" t="s">
        <v>11</v>
      </c>
      <c r="J22" s="12"/>
    </row>
    <row r="23" spans="1:10" ht="60" customHeight="1">
      <c r="A23" s="6" t="s">
        <v>95</v>
      </c>
      <c r="B23" s="6" t="s">
        <v>44</v>
      </c>
      <c r="C23" s="6" t="s">
        <v>11</v>
      </c>
      <c r="D23" s="7" t="s">
        <v>96</v>
      </c>
      <c r="E23" s="8" t="s">
        <v>97</v>
      </c>
      <c r="F23" s="6" t="s">
        <v>98</v>
      </c>
      <c r="G23" s="9">
        <f>IF(A23=1,"_",IF(C23="_","???",C23))</f>
        <v/>
      </c>
      <c r="H23" s="10" t="s">
        <v>11</v>
      </c>
      <c r="I23" s="11" t="s">
        <v>11</v>
      </c>
      <c r="J23" s="12"/>
    </row>
    <row r="24" spans="1:10" ht="60" customHeight="1">
      <c r="A24" s="6" t="s">
        <v>99</v>
      </c>
      <c r="B24" s="6" t="s">
        <v>10</v>
      </c>
      <c r="C24" s="6" t="s">
        <v>11</v>
      </c>
      <c r="D24" s="7" t="s">
        <v>100</v>
      </c>
      <c r="E24" s="8" t="s">
        <v>101</v>
      </c>
      <c r="F24" s="6" t="s">
        <v>102</v>
      </c>
      <c r="G24" s="9">
        <f>IF(A24=1,"_",IF(C24="_","???",C24))</f>
        <v/>
      </c>
      <c r="H24" s="10" t="s">
        <v>11</v>
      </c>
      <c r="I24" s="11" t="s">
        <v>11</v>
      </c>
      <c r="J24" s="12"/>
    </row>
    <row r="25" spans="1:10" ht="60" customHeight="1">
      <c r="A25" s="6" t="s">
        <v>103</v>
      </c>
      <c r="B25" s="6" t="s">
        <v>16</v>
      </c>
      <c r="C25" s="6" t="s">
        <v>17</v>
      </c>
      <c r="D25" s="7" t="s">
        <v>104</v>
      </c>
      <c r="E25" s="8" t="s">
        <v>105</v>
      </c>
      <c r="F25" s="6" t="s">
        <v>106</v>
      </c>
      <c r="G25" s="9">
        <f>IF(A25=1,"_",IF(C25="_","???",C25))</f>
        <v/>
      </c>
      <c r="H25" s="10" t="s">
        <v>11</v>
      </c>
      <c r="I25" s="11" t="s">
        <v>11</v>
      </c>
      <c r="J25" s="12"/>
    </row>
    <row r="26" spans="1:10" ht="60" customHeight="1">
      <c r="A26" s="6" t="s">
        <v>107</v>
      </c>
      <c r="B26" s="6" t="s">
        <v>10</v>
      </c>
      <c r="C26" s="6" t="s">
        <v>11</v>
      </c>
      <c r="D26" s="7" t="s">
        <v>108</v>
      </c>
      <c r="E26" s="8" t="s">
        <v>109</v>
      </c>
      <c r="F26" s="6" t="s">
        <v>110</v>
      </c>
      <c r="G26" s="9">
        <f>IF(A26=1,"_",IF(C26="_","???",C26))</f>
        <v/>
      </c>
      <c r="H26" s="10" t="s">
        <v>11</v>
      </c>
      <c r="I26" s="11" t="s">
        <v>11</v>
      </c>
      <c r="J26" s="12"/>
    </row>
    <row r="27" spans="1:10" ht="60" customHeight="1">
      <c r="A27" s="6" t="s">
        <v>111</v>
      </c>
      <c r="B27" s="6" t="s">
        <v>15</v>
      </c>
      <c r="C27" s="6" t="s">
        <v>11</v>
      </c>
      <c r="D27" s="7" t="s">
        <v>112</v>
      </c>
      <c r="E27" s="8" t="s">
        <v>113</v>
      </c>
      <c r="F27" s="6" t="s">
        <v>114</v>
      </c>
      <c r="G27" s="9">
        <f>IF(A27=1,"_",IF(C27="_","???",C27))</f>
        <v/>
      </c>
      <c r="H27" s="10" t="s">
        <v>11</v>
      </c>
      <c r="I27" s="11" t="s">
        <v>11</v>
      </c>
      <c r="J27" s="12"/>
    </row>
    <row r="28" spans="1:10" ht="60" customHeight="1">
      <c r="A28" s="6" t="s">
        <v>115</v>
      </c>
      <c r="B28" s="6" t="s">
        <v>15</v>
      </c>
      <c r="C28" s="6" t="s">
        <v>11</v>
      </c>
      <c r="D28" s="7" t="s">
        <v>116</v>
      </c>
      <c r="E28" s="8" t="s">
        <v>117</v>
      </c>
      <c r="F28" s="6" t="s">
        <v>118</v>
      </c>
      <c r="G28" s="9">
        <f>IF(A28=1,"_",IF(C28="_","???",C28))</f>
        <v/>
      </c>
      <c r="H28" s="10" t="s">
        <v>11</v>
      </c>
      <c r="I28" s="11" t="s">
        <v>11</v>
      </c>
      <c r="J28" s="12"/>
    </row>
    <row r="29" spans="1:10" ht="60" customHeight="1">
      <c r="A29" s="6" t="s">
        <v>119</v>
      </c>
      <c r="B29" s="6" t="s">
        <v>15</v>
      </c>
      <c r="C29" s="6" t="s">
        <v>11</v>
      </c>
      <c r="D29" s="7" t="s">
        <v>120</v>
      </c>
      <c r="E29" s="8" t="s">
        <v>121</v>
      </c>
      <c r="F29" s="6" t="s">
        <v>122</v>
      </c>
      <c r="G29" s="9">
        <f>IF(A29=1,"_",IF(C29="_","???",C29))</f>
        <v/>
      </c>
      <c r="H29" s="10" t="s">
        <v>11</v>
      </c>
      <c r="I29" s="11" t="s">
        <v>11</v>
      </c>
      <c r="J29" s="12"/>
    </row>
    <row r="30" spans="1:10" ht="60" customHeight="1">
      <c r="A30" s="6" t="s">
        <v>123</v>
      </c>
      <c r="B30" s="6" t="s">
        <v>16</v>
      </c>
      <c r="C30" s="6" t="s">
        <v>11</v>
      </c>
      <c r="D30" s="7" t="s">
        <v>124</v>
      </c>
      <c r="E30" s="8" t="s">
        <v>125</v>
      </c>
      <c r="F30" s="6" t="s">
        <v>126</v>
      </c>
      <c r="G30" s="9">
        <f>IF(A30=1,"_",IF(C30="_","???",C30))</f>
        <v/>
      </c>
      <c r="H30" s="10" t="s">
        <v>11</v>
      </c>
      <c r="I30" s="11" t="s">
        <v>11</v>
      </c>
      <c r="J30" s="12"/>
    </row>
    <row r="31" spans="1:10" ht="60" customHeight="1">
      <c r="A31" s="6" t="s">
        <v>127</v>
      </c>
      <c r="B31" s="6" t="s">
        <v>15</v>
      </c>
      <c r="C31" s="6" t="s">
        <v>11</v>
      </c>
      <c r="D31" s="7" t="s">
        <v>128</v>
      </c>
      <c r="E31" s="8" t="s">
        <v>129</v>
      </c>
      <c r="F31" s="6" t="s">
        <v>130</v>
      </c>
      <c r="G31" s="9">
        <f>IF(A31=1,"_",IF(C31="_","???",C31))</f>
        <v/>
      </c>
      <c r="H31" s="10" t="s">
        <v>11</v>
      </c>
      <c r="I31" s="11" t="s">
        <v>11</v>
      </c>
      <c r="J31" s="12"/>
    </row>
    <row r="32" spans="1:10" ht="60" customHeight="1">
      <c r="A32" s="6" t="s">
        <v>131</v>
      </c>
      <c r="B32" s="6" t="s">
        <v>10</v>
      </c>
      <c r="C32" s="6" t="s">
        <v>11</v>
      </c>
      <c r="D32" s="7" t="s">
        <v>132</v>
      </c>
      <c r="E32" s="8" t="s">
        <v>133</v>
      </c>
      <c r="F32" s="6" t="s">
        <v>134</v>
      </c>
      <c r="G32" s="9">
        <f>IF(A32=1,"_",IF(C32="_","???",C32))</f>
        <v/>
      </c>
      <c r="H32" s="10" t="s">
        <v>11</v>
      </c>
      <c r="I32" s="11" t="s">
        <v>11</v>
      </c>
      <c r="J32" s="12"/>
    </row>
    <row r="33" spans="1:10" ht="60" customHeight="1">
      <c r="A33" s="6" t="s">
        <v>135</v>
      </c>
      <c r="B33" s="6" t="s">
        <v>21</v>
      </c>
      <c r="C33" s="6" t="s">
        <v>11</v>
      </c>
      <c r="D33" s="7" t="s">
        <v>136</v>
      </c>
      <c r="E33" s="8" t="s">
        <v>137</v>
      </c>
      <c r="F33" s="6" t="s">
        <v>138</v>
      </c>
      <c r="G33" s="9">
        <f>IF(A33=1,"_",IF(C33="_","???",C33))</f>
        <v/>
      </c>
      <c r="H33" s="10" t="s">
        <v>11</v>
      </c>
      <c r="I33" s="11" t="s">
        <v>11</v>
      </c>
      <c r="J33" s="12"/>
    </row>
    <row r="34" spans="1:10" ht="60" customHeight="1">
      <c r="A34" s="6" t="s">
        <v>139</v>
      </c>
      <c r="B34" s="6" t="s">
        <v>38</v>
      </c>
      <c r="C34" s="6" t="s">
        <v>11</v>
      </c>
      <c r="D34" s="7" t="s">
        <v>140</v>
      </c>
      <c r="E34" s="8" t="s">
        <v>141</v>
      </c>
      <c r="F34" s="6" t="s">
        <v>142</v>
      </c>
      <c r="G34" s="9">
        <f>IF(A34=1,"_",IF(C34="_","???",C34))</f>
        <v/>
      </c>
      <c r="H34" s="10" t="s">
        <v>11</v>
      </c>
      <c r="I34" s="11" t="s">
        <v>11</v>
      </c>
      <c r="J34" s="12"/>
    </row>
    <row r="35" spans="1:10" ht="60" customHeight="1">
      <c r="A35" s="6" t="s">
        <v>143</v>
      </c>
      <c r="B35" s="6" t="s">
        <v>10</v>
      </c>
      <c r="C35" s="6" t="s">
        <v>11</v>
      </c>
      <c r="D35" s="7" t="s">
        <v>144</v>
      </c>
      <c r="E35" s="8" t="s">
        <v>145</v>
      </c>
      <c r="F35" s="6" t="s">
        <v>146</v>
      </c>
      <c r="G35" s="9">
        <f>IF(A35=1,"_",IF(C35="_","???",C35))</f>
        <v/>
      </c>
      <c r="H35" s="10" t="s">
        <v>11</v>
      </c>
      <c r="I35" s="11" t="s">
        <v>11</v>
      </c>
      <c r="J35" s="12"/>
    </row>
    <row r="36" spans="1:10" ht="60" customHeight="1">
      <c r="A36" s="6" t="s">
        <v>147</v>
      </c>
      <c r="B36" s="6" t="s">
        <v>111</v>
      </c>
      <c r="C36" s="6" t="s">
        <v>17</v>
      </c>
      <c r="D36" s="7" t="s">
        <v>148</v>
      </c>
      <c r="E36" s="8" t="s">
        <v>149</v>
      </c>
      <c r="F36" s="6" t="s">
        <v>150</v>
      </c>
      <c r="G36" s="9">
        <f>IF(A36=1,"_",IF(C36="_","???",C36))</f>
        <v/>
      </c>
      <c r="H36" s="10" t="s">
        <v>11</v>
      </c>
      <c r="I36" s="11" t="s">
        <v>11</v>
      </c>
      <c r="J36" s="12"/>
    </row>
    <row r="37" spans="1:10" ht="60" customHeight="1">
      <c r="A37" s="6" t="s">
        <v>151</v>
      </c>
      <c r="B37" s="6" t="s">
        <v>16</v>
      </c>
      <c r="C37" s="6" t="s">
        <v>152</v>
      </c>
      <c r="D37" s="7" t="s">
        <v>153</v>
      </c>
      <c r="E37" s="8" t="s">
        <v>154</v>
      </c>
      <c r="F37" s="6" t="s">
        <v>155</v>
      </c>
      <c r="G37" s="9">
        <f>IF(A37=1,"_",IF(C37="_","???",C37))</f>
        <v/>
      </c>
      <c r="H37" s="10" t="s">
        <v>11</v>
      </c>
      <c r="I37" s="11" t="s">
        <v>11</v>
      </c>
      <c r="J37" s="12"/>
    </row>
    <row r="38" spans="1:10" ht="60" customHeight="1">
      <c r="A38" s="6" t="s">
        <v>156</v>
      </c>
      <c r="B38" s="6" t="s">
        <v>25</v>
      </c>
      <c r="C38" s="6" t="s">
        <v>31</v>
      </c>
      <c r="D38" s="7" t="s">
        <v>153</v>
      </c>
      <c r="E38" s="8" t="s">
        <v>157</v>
      </c>
      <c r="F38" s="6" t="s">
        <v>158</v>
      </c>
      <c r="G38" s="9">
        <f>IF(A38=1,"_",IF(C38="_","???",C38))</f>
        <v/>
      </c>
      <c r="H38" s="10" t="s">
        <v>11</v>
      </c>
      <c r="I38" s="11" t="s">
        <v>11</v>
      </c>
      <c r="J38" s="12"/>
    </row>
    <row r="39" spans="1:10" ht="60" customHeight="1">
      <c r="A39" s="6" t="s">
        <v>159</v>
      </c>
      <c r="B39" s="6" t="s">
        <v>29</v>
      </c>
      <c r="C39" s="6" t="s">
        <v>17</v>
      </c>
      <c r="D39" s="7" t="s">
        <v>60</v>
      </c>
      <c r="E39" s="8" t="s">
        <v>160</v>
      </c>
      <c r="F39" s="6" t="s">
        <v>161</v>
      </c>
      <c r="G39" s="9">
        <f>IF(A39=1,"_",IF(C39="_","???",C39))</f>
        <v/>
      </c>
      <c r="H39" s="10" t="s">
        <v>11</v>
      </c>
      <c r="I39" s="11" t="s">
        <v>11</v>
      </c>
      <c r="J39" s="12"/>
    </row>
    <row r="40" spans="1:10" ht="60" customHeight="1">
      <c r="A40" s="6" t="s">
        <v>162</v>
      </c>
      <c r="B40" s="6" t="s">
        <v>25</v>
      </c>
      <c r="C40" s="6" t="s">
        <v>17</v>
      </c>
      <c r="D40" s="7" t="s">
        <v>163</v>
      </c>
      <c r="E40" s="8" t="s">
        <v>164</v>
      </c>
      <c r="F40" s="6" t="s">
        <v>165</v>
      </c>
      <c r="G40" s="9">
        <f>IF(A40=1,"_",IF(C40="_","???",C40))</f>
        <v/>
      </c>
      <c r="H40" s="10" t="s">
        <v>11</v>
      </c>
      <c r="I40" s="11" t="s">
        <v>11</v>
      </c>
      <c r="J40" s="12"/>
    </row>
    <row r="41" spans="1:10" ht="60" customHeight="1">
      <c r="A41" s="6" t="s">
        <v>166</v>
      </c>
      <c r="B41" s="6" t="s">
        <v>42</v>
      </c>
      <c r="C41" s="6" t="s">
        <v>17</v>
      </c>
      <c r="D41" s="7" t="s">
        <v>167</v>
      </c>
      <c r="E41" s="8" t="s">
        <v>168</v>
      </c>
      <c r="F41" s="6" t="s">
        <v>169</v>
      </c>
      <c r="G41" s="9">
        <f>IF(A41=1,"_",IF(C41="_","???",C41))</f>
        <v/>
      </c>
      <c r="H41" s="10" t="s">
        <v>11</v>
      </c>
      <c r="I41" s="11" t="s">
        <v>11</v>
      </c>
      <c r="J41" s="12"/>
    </row>
    <row r="42" spans="1:10" ht="60" customHeight="1">
      <c r="A42" s="6" t="s">
        <v>170</v>
      </c>
      <c r="B42" s="6" t="s">
        <v>15</v>
      </c>
      <c r="C42" s="6" t="s">
        <v>11</v>
      </c>
      <c r="D42" s="7" t="s">
        <v>171</v>
      </c>
      <c r="E42" s="8" t="s">
        <v>172</v>
      </c>
      <c r="F42" s="6" t="s">
        <v>173</v>
      </c>
      <c r="G42" s="9">
        <f>IF(A42=1,"_",IF(C42="_","???",C42))</f>
        <v/>
      </c>
      <c r="H42" s="10" t="s">
        <v>11</v>
      </c>
      <c r="I42" s="11" t="s">
        <v>11</v>
      </c>
      <c r="J42" s="12"/>
    </row>
    <row r="43" spans="1:10" ht="60" customHeight="1">
      <c r="A43" s="6" t="s">
        <v>174</v>
      </c>
      <c r="B43" s="6" t="s">
        <v>25</v>
      </c>
      <c r="C43" s="6" t="s">
        <v>87</v>
      </c>
      <c r="D43" s="7" t="s">
        <v>60</v>
      </c>
      <c r="E43" s="8" t="s">
        <v>175</v>
      </c>
      <c r="F43" s="6" t="s">
        <v>176</v>
      </c>
      <c r="G43" s="9">
        <f>IF(A43=1,"_",IF(C43="_","???",C43))</f>
        <v/>
      </c>
      <c r="H43" s="10" t="s">
        <v>11</v>
      </c>
      <c r="I43" s="11" t="s">
        <v>11</v>
      </c>
      <c r="J43" s="12"/>
    </row>
    <row r="44" spans="1:10" ht="60" customHeight="1">
      <c r="A44" s="6" t="s">
        <v>177</v>
      </c>
      <c r="B44" s="6" t="s">
        <v>16</v>
      </c>
      <c r="C44" s="6" t="s">
        <v>17</v>
      </c>
      <c r="D44" s="7" t="s">
        <v>100</v>
      </c>
      <c r="E44" s="8" t="s">
        <v>178</v>
      </c>
      <c r="F44" s="6" t="s">
        <v>179</v>
      </c>
      <c r="G44" s="9">
        <f>IF(A44=1,"_",IF(C44="_","???",C44))</f>
        <v/>
      </c>
      <c r="H44" s="10" t="s">
        <v>11</v>
      </c>
      <c r="I44" s="11" t="s">
        <v>11</v>
      </c>
      <c r="J44" s="12"/>
    </row>
    <row r="45" spans="1:10" ht="60" customHeight="1">
      <c r="A45" s="6" t="s">
        <v>180</v>
      </c>
      <c r="B45" s="6" t="s">
        <v>15</v>
      </c>
      <c r="C45" s="6" t="s">
        <v>11</v>
      </c>
      <c r="D45" s="7" t="s">
        <v>100</v>
      </c>
      <c r="E45" s="8" t="s">
        <v>181</v>
      </c>
      <c r="F45" s="6" t="s">
        <v>182</v>
      </c>
      <c r="G45" s="9">
        <f>IF(A45=1,"_",IF(C45="_","???",C45))</f>
        <v/>
      </c>
      <c r="H45" s="10" t="s">
        <v>11</v>
      </c>
      <c r="I45" s="11" t="s">
        <v>11</v>
      </c>
      <c r="J45" s="12"/>
    </row>
    <row r="46" spans="1:10" ht="60" customHeight="1">
      <c r="A46" s="6" t="s">
        <v>183</v>
      </c>
      <c r="B46" s="6" t="s">
        <v>15</v>
      </c>
      <c r="C46" s="6" t="s">
        <v>11</v>
      </c>
      <c r="D46" s="7" t="s">
        <v>100</v>
      </c>
      <c r="E46" s="8" t="s">
        <v>184</v>
      </c>
      <c r="F46" s="6" t="s">
        <v>185</v>
      </c>
      <c r="G46" s="9">
        <f>IF(A46=1,"_",IF(C46="_","???",C46))</f>
        <v/>
      </c>
      <c r="H46" s="10" t="s">
        <v>11</v>
      </c>
      <c r="I46" s="11" t="s">
        <v>11</v>
      </c>
      <c r="J46" s="12"/>
    </row>
    <row r="47" spans="1:10" ht="60" customHeight="1">
      <c r="A47" s="6" t="s">
        <v>186</v>
      </c>
      <c r="B47" s="6" t="s">
        <v>25</v>
      </c>
      <c r="C47" s="6" t="s">
        <v>11</v>
      </c>
      <c r="D47" s="7" t="s">
        <v>187</v>
      </c>
      <c r="E47" s="8" t="s">
        <v>188</v>
      </c>
      <c r="F47" s="6" t="s">
        <v>189</v>
      </c>
      <c r="G47" s="9">
        <f>IF(A47=1,"_",IF(C47="_","???",C47))</f>
        <v/>
      </c>
      <c r="H47" s="10" t="s">
        <v>11</v>
      </c>
      <c r="I47" s="11" t="s">
        <v>11</v>
      </c>
      <c r="J47" s="12"/>
    </row>
    <row r="48" spans="1:10" ht="60" customHeight="1">
      <c r="A48" s="6" t="s">
        <v>190</v>
      </c>
      <c r="B48" s="6" t="s">
        <v>16</v>
      </c>
      <c r="C48" s="6" t="s">
        <v>191</v>
      </c>
      <c r="D48" s="7" t="s">
        <v>192</v>
      </c>
      <c r="E48" s="8" t="s">
        <v>193</v>
      </c>
      <c r="F48" s="6" t="s">
        <v>194</v>
      </c>
      <c r="G48" s="9">
        <f>IF(A48=1,"_",IF(C48="_","???",C48))</f>
        <v/>
      </c>
      <c r="H48" s="10" t="s">
        <v>11</v>
      </c>
      <c r="I48" s="11" t="s">
        <v>11</v>
      </c>
      <c r="J48" s="12"/>
    </row>
    <row r="49" spans="1:10" ht="60" customHeight="1">
      <c r="A49" s="6" t="s">
        <v>195</v>
      </c>
      <c r="B49" s="6" t="s">
        <v>25</v>
      </c>
      <c r="C49" s="6" t="s">
        <v>11</v>
      </c>
      <c r="D49" s="7" t="s">
        <v>196</v>
      </c>
      <c r="E49" s="8" t="s">
        <v>197</v>
      </c>
      <c r="F49" s="6" t="s">
        <v>198</v>
      </c>
      <c r="G49" s="9">
        <f>IF(A49=1,"_",IF(C49="_","???",C49))</f>
        <v/>
      </c>
      <c r="H49" s="10" t="s">
        <v>11</v>
      </c>
      <c r="I49" s="11" t="s">
        <v>11</v>
      </c>
      <c r="J49" s="12"/>
    </row>
    <row r="50" spans="1:10" ht="60" customHeight="1">
      <c r="A50" s="6" t="s">
        <v>199</v>
      </c>
      <c r="B50" s="6" t="s">
        <v>10</v>
      </c>
      <c r="C50" s="6" t="s">
        <v>11</v>
      </c>
      <c r="D50" s="7" t="s">
        <v>200</v>
      </c>
      <c r="E50" s="8" t="s">
        <v>201</v>
      </c>
      <c r="F50" s="6" t="s">
        <v>202</v>
      </c>
      <c r="G50" s="9">
        <f>IF(A50=1,"_",IF(C50="_","???",C50))</f>
        <v/>
      </c>
      <c r="H50" s="10" t="s">
        <v>11</v>
      </c>
      <c r="I50" s="11" t="s">
        <v>11</v>
      </c>
      <c r="J50" s="12"/>
    </row>
    <row r="51" spans="1:10" ht="60" customHeight="1">
      <c r="A51" s="6" t="s">
        <v>203</v>
      </c>
      <c r="B51" s="6" t="s">
        <v>21</v>
      </c>
      <c r="C51" s="6" t="s">
        <v>204</v>
      </c>
      <c r="D51" s="7" t="s">
        <v>205</v>
      </c>
      <c r="E51" s="8" t="s">
        <v>206</v>
      </c>
      <c r="F51" s="6" t="s">
        <v>207</v>
      </c>
      <c r="G51" s="9">
        <f>IF(A51=1,"_",IF(C51="_","???",C51))</f>
        <v/>
      </c>
      <c r="H51" s="10" t="s">
        <v>11</v>
      </c>
      <c r="I51" s="11" t="s">
        <v>11</v>
      </c>
      <c r="J51" s="12"/>
    </row>
    <row r="52" spans="1:10" ht="60" customHeight="1">
      <c r="A52" s="6" t="s">
        <v>208</v>
      </c>
      <c r="B52" s="6" t="s">
        <v>15</v>
      </c>
      <c r="C52" s="6" t="s">
        <v>209</v>
      </c>
      <c r="D52" s="7" t="s">
        <v>210</v>
      </c>
      <c r="E52" s="8" t="s">
        <v>211</v>
      </c>
      <c r="F52" s="6" t="s">
        <v>212</v>
      </c>
      <c r="G52" s="9">
        <f>IF(A52=1,"_",IF(C52="_","???",C52))</f>
        <v/>
      </c>
      <c r="H52" s="10" t="s">
        <v>11</v>
      </c>
      <c r="I52" s="11" t="s">
        <v>11</v>
      </c>
      <c r="J52" s="12"/>
    </row>
    <row r="53" spans="1:10" ht="60" customHeight="1">
      <c r="A53" s="6" t="s">
        <v>213</v>
      </c>
      <c r="B53" s="6" t="s">
        <v>15</v>
      </c>
      <c r="C53" s="6" t="s">
        <v>17</v>
      </c>
      <c r="D53" s="7" t="s">
        <v>214</v>
      </c>
      <c r="E53" s="8" t="s">
        <v>215</v>
      </c>
      <c r="F53" s="6" t="s">
        <v>216</v>
      </c>
      <c r="G53" s="9">
        <f>IF(A53=1,"_",IF(C53="_","???",C53))</f>
        <v/>
      </c>
      <c r="H53" s="10" t="s">
        <v>11</v>
      </c>
      <c r="I53" s="11" t="s">
        <v>11</v>
      </c>
      <c r="J53" s="12"/>
    </row>
    <row r="54" spans="1:10" ht="60" customHeight="1">
      <c r="A54" s="6" t="s">
        <v>217</v>
      </c>
      <c r="B54" s="6" t="s">
        <v>21</v>
      </c>
      <c r="C54" s="6" t="s">
        <v>11</v>
      </c>
      <c r="D54" s="7" t="s">
        <v>218</v>
      </c>
      <c r="E54" s="8" t="s">
        <v>219</v>
      </c>
      <c r="F54" s="6" t="s">
        <v>220</v>
      </c>
      <c r="G54" s="9">
        <f>IF(A54=1,"_",IF(C54="_","???",C54))</f>
        <v/>
      </c>
      <c r="H54" s="10" t="s">
        <v>11</v>
      </c>
      <c r="I54" s="11" t="s">
        <v>11</v>
      </c>
      <c r="J54" s="12"/>
    </row>
    <row r="55" spans="1:10" ht="60" customHeight="1">
      <c r="A55" s="6" t="s">
        <v>221</v>
      </c>
      <c r="B55" s="6" t="s">
        <v>38</v>
      </c>
      <c r="C55" s="6" t="s">
        <v>17</v>
      </c>
      <c r="D55" s="7" t="s">
        <v>222</v>
      </c>
      <c r="E55" s="8" t="s">
        <v>223</v>
      </c>
      <c r="F55" s="6" t="s">
        <v>224</v>
      </c>
      <c r="G55" s="9">
        <f>IF(A55=1,"_",IF(C55="_","???",C55))</f>
        <v/>
      </c>
      <c r="H55" s="10" t="s">
        <v>11</v>
      </c>
      <c r="I55" s="11" t="s">
        <v>11</v>
      </c>
      <c r="J55" s="12"/>
    </row>
    <row r="56" spans="1:10" ht="60" customHeight="1">
      <c r="A56" s="6" t="s">
        <v>225</v>
      </c>
      <c r="B56" s="6" t="s">
        <v>16</v>
      </c>
      <c r="C56" s="6" t="s">
        <v>191</v>
      </c>
      <c r="D56" s="7" t="s">
        <v>35</v>
      </c>
      <c r="E56" s="8" t="s">
        <v>226</v>
      </c>
      <c r="F56" s="6" t="s">
        <v>227</v>
      </c>
      <c r="G56" s="9">
        <f>IF(A56=1,"_",IF(C56="_","???",C56))</f>
        <v/>
      </c>
      <c r="H56" s="10" t="s">
        <v>11</v>
      </c>
      <c r="I56" s="11" t="s">
        <v>11</v>
      </c>
      <c r="J56" s="12"/>
    </row>
    <row r="57" spans="1:10" ht="60" customHeight="1">
      <c r="A57" s="6" t="s">
        <v>228</v>
      </c>
      <c r="B57" s="6" t="s">
        <v>25</v>
      </c>
      <c r="C57" s="6" t="s">
        <v>11</v>
      </c>
      <c r="D57" s="7" t="s">
        <v>222</v>
      </c>
      <c r="E57" s="8" t="s">
        <v>229</v>
      </c>
      <c r="F57" s="6" t="s">
        <v>230</v>
      </c>
      <c r="G57" s="9">
        <f>IF(A57=1,"_",IF(C57="_","???",C57))</f>
        <v/>
      </c>
      <c r="H57" s="10" t="s">
        <v>11</v>
      </c>
      <c r="I57" s="11" t="s">
        <v>11</v>
      </c>
      <c r="J57" s="12"/>
    </row>
    <row r="58" spans="1:10" ht="60" customHeight="1">
      <c r="A58" s="6" t="s">
        <v>231</v>
      </c>
      <c r="B58" s="6" t="s">
        <v>25</v>
      </c>
      <c r="C58" s="6" t="s">
        <v>11</v>
      </c>
      <c r="D58" s="7" t="s">
        <v>232</v>
      </c>
      <c r="E58" s="8" t="s">
        <v>233</v>
      </c>
      <c r="F58" s="6" t="s">
        <v>234</v>
      </c>
      <c r="G58" s="9">
        <f>IF(A58=1,"_",IF(C58="_","???",C58))</f>
        <v/>
      </c>
      <c r="H58" s="10" t="s">
        <v>11</v>
      </c>
      <c r="I58" s="11" t="s">
        <v>11</v>
      </c>
      <c r="J58" s="12"/>
    </row>
    <row r="59" spans="1:10" ht="60" customHeight="1">
      <c r="A59" s="6" t="s">
        <v>235</v>
      </c>
      <c r="B59" s="6" t="s">
        <v>16</v>
      </c>
      <c r="C59" s="6" t="s">
        <v>17</v>
      </c>
      <c r="D59" s="7" t="s">
        <v>236</v>
      </c>
      <c r="E59" s="8" t="s">
        <v>237</v>
      </c>
      <c r="F59" s="6" t="s">
        <v>238</v>
      </c>
      <c r="G59" s="9">
        <f>IF(A59=1,"_",IF(C59="_","???",C59))</f>
        <v/>
      </c>
      <c r="H59" s="10" t="s">
        <v>11</v>
      </c>
      <c r="I59" s="11" t="s">
        <v>11</v>
      </c>
      <c r="J59" s="12"/>
    </row>
    <row r="60" spans="1:10" ht="60" customHeight="1">
      <c r="A60" s="6" t="s">
        <v>239</v>
      </c>
      <c r="B60" s="6" t="s">
        <v>38</v>
      </c>
      <c r="C60" s="6" t="s">
        <v>11</v>
      </c>
      <c r="D60" s="7" t="s">
        <v>240</v>
      </c>
      <c r="E60" s="8" t="s">
        <v>241</v>
      </c>
      <c r="F60" s="6" t="s">
        <v>242</v>
      </c>
      <c r="G60" s="9">
        <f>IF(A60=1,"_",IF(C60="_","???",C60))</f>
        <v/>
      </c>
      <c r="H60" s="10" t="s">
        <v>11</v>
      </c>
      <c r="I60" s="11" t="s">
        <v>11</v>
      </c>
      <c r="J60" s="12"/>
    </row>
    <row r="61" spans="1:10" ht="60" customHeight="1">
      <c r="A61" s="6" t="s">
        <v>243</v>
      </c>
      <c r="B61" s="6" t="s">
        <v>16</v>
      </c>
      <c r="C61" s="6" t="s">
        <v>11</v>
      </c>
      <c r="D61" s="7" t="s">
        <v>244</v>
      </c>
      <c r="E61" s="8" t="s">
        <v>245</v>
      </c>
      <c r="F61" s="6" t="s">
        <v>246</v>
      </c>
      <c r="G61" s="9">
        <f>IF(A61=1,"_",IF(C61="_","???",C61))</f>
        <v/>
      </c>
      <c r="H61" s="10" t="s">
        <v>11</v>
      </c>
      <c r="I61" s="11" t="s">
        <v>11</v>
      </c>
      <c r="J61" s="12"/>
    </row>
    <row r="62" spans="1:10" ht="60" customHeight="1">
      <c r="A62" s="6" t="s">
        <v>247</v>
      </c>
      <c r="B62" s="6" t="s">
        <v>25</v>
      </c>
      <c r="C62" s="6" t="s">
        <v>17</v>
      </c>
      <c r="D62" s="7" t="s">
        <v>248</v>
      </c>
      <c r="E62" s="8" t="s">
        <v>249</v>
      </c>
      <c r="F62" s="6" t="s">
        <v>250</v>
      </c>
      <c r="G62" s="9">
        <f>IF(A62=1,"_",IF(C62="_","???",C62))</f>
        <v/>
      </c>
      <c r="H62" s="10" t="s">
        <v>11</v>
      </c>
      <c r="I62" s="11" t="s">
        <v>11</v>
      </c>
      <c r="J62" s="12"/>
    </row>
    <row r="63" spans="1:10" ht="60" customHeight="1">
      <c r="A63" s="6" t="s">
        <v>251</v>
      </c>
      <c r="B63" s="6" t="s">
        <v>25</v>
      </c>
      <c r="C63" s="6" t="s">
        <v>87</v>
      </c>
      <c r="D63" s="7" t="s">
        <v>35</v>
      </c>
      <c r="E63" s="8" t="s">
        <v>252</v>
      </c>
      <c r="F63" s="6" t="s">
        <v>253</v>
      </c>
      <c r="G63" s="9">
        <f>IF(A63=1,"_",IF(C63="_","???",C63))</f>
        <v/>
      </c>
      <c r="H63" s="10" t="s">
        <v>11</v>
      </c>
      <c r="I63" s="11" t="s">
        <v>11</v>
      </c>
      <c r="J63" s="12"/>
    </row>
    <row r="64" spans="1:10" ht="60" customHeight="1">
      <c r="A64" s="6" t="s">
        <v>254</v>
      </c>
      <c r="B64" s="6" t="s">
        <v>38</v>
      </c>
      <c r="C64" s="6" t="s">
        <v>17</v>
      </c>
      <c r="D64" s="7" t="s">
        <v>240</v>
      </c>
      <c r="E64" s="8" t="s">
        <v>255</v>
      </c>
      <c r="F64" s="6" t="s">
        <v>256</v>
      </c>
      <c r="G64" s="9">
        <f>IF(A64=1,"_",IF(C64="_","???",C64))</f>
        <v/>
      </c>
      <c r="H64" s="10" t="s">
        <v>11</v>
      </c>
      <c r="I64" s="11" t="s">
        <v>11</v>
      </c>
      <c r="J64" s="12"/>
    </row>
    <row r="65" spans="1:10" ht="60" customHeight="1">
      <c r="A65" s="6" t="s">
        <v>257</v>
      </c>
      <c r="B65" s="6" t="s">
        <v>15</v>
      </c>
      <c r="C65" s="6" t="s">
        <v>11</v>
      </c>
      <c r="D65" s="7" t="s">
        <v>258</v>
      </c>
      <c r="E65" s="8" t="s">
        <v>259</v>
      </c>
      <c r="F65" s="6" t="s">
        <v>260</v>
      </c>
      <c r="G65" s="9">
        <f>IF(A65=1,"_",IF(C65="_","???",C65))</f>
        <v/>
      </c>
      <c r="H65" s="10" t="s">
        <v>11</v>
      </c>
      <c r="I65" s="11" t="s">
        <v>11</v>
      </c>
      <c r="J65" s="12"/>
    </row>
    <row r="66" spans="1:10" ht="60" customHeight="1">
      <c r="A66" s="6" t="s">
        <v>261</v>
      </c>
      <c r="B66" s="6" t="s">
        <v>16</v>
      </c>
      <c r="C66" s="6" t="s">
        <v>11</v>
      </c>
      <c r="D66" s="7" t="s">
        <v>26</v>
      </c>
      <c r="E66" s="8" t="s">
        <v>262</v>
      </c>
      <c r="F66" s="6" t="s">
        <v>263</v>
      </c>
      <c r="G66" s="9">
        <f>IF(A66=1,"_",IF(C66="_","???",C66))</f>
        <v/>
      </c>
      <c r="H66" s="10" t="s">
        <v>11</v>
      </c>
      <c r="I66" s="11" t="s">
        <v>11</v>
      </c>
      <c r="J66" s="12"/>
    </row>
    <row r="67" spans="1:10" ht="60" customHeight="1">
      <c r="A67" s="6" t="s">
        <v>264</v>
      </c>
      <c r="B67" s="6" t="s">
        <v>30</v>
      </c>
      <c r="C67" s="6" t="s">
        <v>17</v>
      </c>
      <c r="D67" s="7" t="s">
        <v>265</v>
      </c>
      <c r="E67" s="8" t="s">
        <v>266</v>
      </c>
      <c r="F67" s="6" t="s">
        <v>267</v>
      </c>
      <c r="G67" s="9">
        <f>IF(A67=1,"_",IF(C67="_","???",C67))</f>
        <v/>
      </c>
      <c r="H67" s="10" t="s">
        <v>11</v>
      </c>
      <c r="I67" s="11" t="s">
        <v>11</v>
      </c>
      <c r="J67" s="12"/>
    </row>
    <row r="68" spans="1:10" ht="60" customHeight="1">
      <c r="A68" s="6" t="s">
        <v>268</v>
      </c>
      <c r="B68" s="6" t="s">
        <v>25</v>
      </c>
      <c r="C68" s="6" t="s">
        <v>191</v>
      </c>
      <c r="D68" s="7" t="s">
        <v>35</v>
      </c>
      <c r="E68" s="8" t="s">
        <v>269</v>
      </c>
      <c r="F68" s="6" t="s">
        <v>270</v>
      </c>
      <c r="G68" s="9">
        <f>IF(A68=1,"_",IF(C68="_","???",C68))</f>
        <v/>
      </c>
      <c r="H68" s="10" t="s">
        <v>11</v>
      </c>
      <c r="I68" s="11" t="s">
        <v>11</v>
      </c>
      <c r="J68" s="12"/>
    </row>
    <row r="69" spans="1:10" ht="60" customHeight="1">
      <c r="A69" s="6" t="s">
        <v>271</v>
      </c>
      <c r="B69" s="6" t="s">
        <v>15</v>
      </c>
      <c r="C69" s="6" t="s">
        <v>11</v>
      </c>
      <c r="D69" s="7" t="s">
        <v>240</v>
      </c>
      <c r="E69" s="8" t="s">
        <v>272</v>
      </c>
      <c r="F69" s="6" t="s">
        <v>273</v>
      </c>
      <c r="G69" s="9">
        <f>IF(A69=1,"_",IF(C69="_","???",C69))</f>
        <v/>
      </c>
      <c r="H69" s="10" t="s">
        <v>11</v>
      </c>
      <c r="I69" s="11" t="s">
        <v>11</v>
      </c>
      <c r="J69" s="12"/>
    </row>
    <row r="70" spans="1:10" ht="60" customHeight="1">
      <c r="A70" s="6" t="s">
        <v>274</v>
      </c>
      <c r="B70" s="6" t="s">
        <v>29</v>
      </c>
      <c r="C70" s="6" t="s">
        <v>11</v>
      </c>
      <c r="D70" s="7" t="s">
        <v>275</v>
      </c>
      <c r="E70" s="8" t="s">
        <v>276</v>
      </c>
      <c r="F70" s="6" t="s">
        <v>277</v>
      </c>
      <c r="G70" s="9">
        <f>IF(A70=1,"_",IF(C70="_","???",C70))</f>
        <v/>
      </c>
      <c r="H70" s="10" t="s">
        <v>11</v>
      </c>
      <c r="I70" s="11" t="s">
        <v>11</v>
      </c>
      <c r="J70" s="12"/>
    </row>
    <row r="71" spans="1:10" ht="60" customHeight="1">
      <c r="A71" s="6" t="s">
        <v>278</v>
      </c>
      <c r="B71" s="6" t="s">
        <v>15</v>
      </c>
      <c r="C71" s="6" t="s">
        <v>11</v>
      </c>
      <c r="D71" s="7" t="s">
        <v>279</v>
      </c>
      <c r="E71" s="8" t="s">
        <v>280</v>
      </c>
      <c r="F71" s="6" t="s">
        <v>281</v>
      </c>
      <c r="G71" s="9">
        <f>IF(A71=1,"_",IF(C71="_","???",C71))</f>
        <v/>
      </c>
      <c r="H71" s="10" t="s">
        <v>11</v>
      </c>
      <c r="I71" s="11" t="s">
        <v>11</v>
      </c>
      <c r="J71" s="12"/>
    </row>
    <row r="72" spans="1:10" ht="60" customHeight="1">
      <c r="A72" s="6" t="s">
        <v>282</v>
      </c>
      <c r="B72" s="6" t="s">
        <v>15</v>
      </c>
      <c r="C72" s="6" t="s">
        <v>11</v>
      </c>
      <c r="D72" s="7" t="s">
        <v>283</v>
      </c>
      <c r="E72" s="8" t="s">
        <v>284</v>
      </c>
      <c r="F72" s="6" t="s">
        <v>285</v>
      </c>
      <c r="G72" s="9">
        <f>IF(A72=1,"_",IF(C72="_","???",C72))</f>
        <v/>
      </c>
      <c r="H72" s="10" t="s">
        <v>11</v>
      </c>
      <c r="I72" s="11" t="s">
        <v>11</v>
      </c>
      <c r="J72" s="12"/>
    </row>
    <row r="73" spans="1:10" ht="60" customHeight="1">
      <c r="A73" s="6" t="s">
        <v>286</v>
      </c>
      <c r="B73" s="6" t="s">
        <v>15</v>
      </c>
      <c r="C73" s="6" t="s">
        <v>11</v>
      </c>
      <c r="D73" s="7" t="s">
        <v>287</v>
      </c>
      <c r="E73" s="8" t="s">
        <v>288</v>
      </c>
      <c r="F73" s="6" t="s">
        <v>289</v>
      </c>
      <c r="G73" s="9">
        <f>IF(A73=1,"_",IF(C73="_","???",C73))</f>
        <v/>
      </c>
      <c r="H73" s="10" t="s">
        <v>11</v>
      </c>
      <c r="I73" s="11" t="s">
        <v>11</v>
      </c>
      <c r="J73" s="12"/>
    </row>
    <row r="74" spans="1:10" ht="60" customHeight="1">
      <c r="A74" s="6" t="s">
        <v>290</v>
      </c>
      <c r="B74" s="6" t="s">
        <v>25</v>
      </c>
      <c r="C74" s="6" t="s">
        <v>191</v>
      </c>
      <c r="D74" s="7" t="s">
        <v>291</v>
      </c>
      <c r="E74" s="8" t="s">
        <v>292</v>
      </c>
      <c r="F74" s="6" t="s">
        <v>293</v>
      </c>
      <c r="G74" s="9">
        <f>IF(A74=1,"_",IF(C74="_","???",C74))</f>
        <v/>
      </c>
      <c r="H74" s="10" t="s">
        <v>11</v>
      </c>
      <c r="I74" s="11" t="s">
        <v>11</v>
      </c>
      <c r="J74" s="12"/>
    </row>
    <row r="75" spans="1:10" ht="60" customHeight="1">
      <c r="A75" s="6" t="s">
        <v>294</v>
      </c>
      <c r="B75" s="6" t="s">
        <v>16</v>
      </c>
      <c r="C75" s="6" t="s">
        <v>31</v>
      </c>
      <c r="D75" s="7" t="s">
        <v>60</v>
      </c>
      <c r="E75" s="8" t="s">
        <v>295</v>
      </c>
      <c r="F75" s="6" t="s">
        <v>296</v>
      </c>
      <c r="G75" s="9">
        <f>IF(A75=1,"_",IF(C75="_","???",C75))</f>
        <v/>
      </c>
      <c r="H75" s="10" t="s">
        <v>11</v>
      </c>
      <c r="I75" s="11" t="s">
        <v>11</v>
      </c>
      <c r="J75" s="12"/>
    </row>
    <row r="76" spans="1:10" ht="60" customHeight="1">
      <c r="A76" s="6" t="s">
        <v>297</v>
      </c>
      <c r="B76" s="6" t="s">
        <v>15</v>
      </c>
      <c r="C76" s="6" t="s">
        <v>11</v>
      </c>
      <c r="D76" s="7" t="s">
        <v>92</v>
      </c>
      <c r="E76" s="8" t="s">
        <v>298</v>
      </c>
      <c r="F76" s="6" t="s">
        <v>299</v>
      </c>
      <c r="G76" s="9">
        <f>IF(A76=1,"_",IF(C76="_","???",C76))</f>
        <v/>
      </c>
      <c r="H76" s="10" t="s">
        <v>11</v>
      </c>
      <c r="I76" s="11" t="s">
        <v>11</v>
      </c>
      <c r="J76" s="12"/>
    </row>
    <row r="77" spans="1:10" ht="60" customHeight="1">
      <c r="A77" s="6" t="s">
        <v>300</v>
      </c>
      <c r="B77" s="6" t="s">
        <v>15</v>
      </c>
      <c r="C77" s="6" t="s">
        <v>11</v>
      </c>
      <c r="D77" s="7" t="s">
        <v>92</v>
      </c>
      <c r="E77" s="8" t="s">
        <v>301</v>
      </c>
      <c r="F77" s="6" t="s">
        <v>302</v>
      </c>
      <c r="G77" s="9">
        <f>IF(A77=1,"_",IF(C77="_","???",C77))</f>
        <v/>
      </c>
      <c r="H77" s="10" t="s">
        <v>11</v>
      </c>
      <c r="I77" s="11" t="s">
        <v>11</v>
      </c>
      <c r="J77" s="12"/>
    </row>
    <row r="78" spans="1:10" ht="60" customHeight="1">
      <c r="A78" s="6" t="s">
        <v>303</v>
      </c>
      <c r="B78" s="6" t="s">
        <v>25</v>
      </c>
      <c r="C78" s="6" t="s">
        <v>17</v>
      </c>
      <c r="D78" s="7" t="s">
        <v>304</v>
      </c>
      <c r="E78" s="8" t="s">
        <v>305</v>
      </c>
      <c r="F78" s="6" t="s">
        <v>306</v>
      </c>
      <c r="G78" s="9">
        <f>IF(A78=1,"_",IF(C78="_","???",C78))</f>
        <v/>
      </c>
      <c r="H78" s="10" t="s">
        <v>11</v>
      </c>
      <c r="I78" s="11" t="s">
        <v>11</v>
      </c>
      <c r="J78" s="12"/>
    </row>
    <row r="79" spans="1:10" ht="60" customHeight="1">
      <c r="A79" s="6" t="s">
        <v>307</v>
      </c>
      <c r="B79" s="6" t="s">
        <v>38</v>
      </c>
      <c r="C79" s="6" t="s">
        <v>308</v>
      </c>
      <c r="D79" s="7" t="s">
        <v>309</v>
      </c>
      <c r="E79" s="8" t="s">
        <v>310</v>
      </c>
      <c r="F79" s="6" t="s">
        <v>311</v>
      </c>
      <c r="G79" s="9">
        <f>IF(A79=1,"_",IF(C79="_","???",C79))</f>
        <v/>
      </c>
      <c r="H79" s="10" t="s">
        <v>11</v>
      </c>
      <c r="I79" s="11" t="s">
        <v>11</v>
      </c>
      <c r="J79" s="12"/>
    </row>
    <row r="80" spans="1:10" ht="60" customHeight="1">
      <c r="A80" s="6" t="s">
        <v>312</v>
      </c>
      <c r="B80" s="6" t="s">
        <v>15</v>
      </c>
      <c r="C80" s="6" t="s">
        <v>11</v>
      </c>
      <c r="D80" s="7" t="s">
        <v>313</v>
      </c>
      <c r="E80" s="8" t="s">
        <v>314</v>
      </c>
      <c r="F80" s="6" t="s">
        <v>315</v>
      </c>
      <c r="G80" s="9">
        <f>IF(A80=1,"_",IF(C80="_","???",C80))</f>
        <v/>
      </c>
      <c r="H80" s="10" t="s">
        <v>11</v>
      </c>
      <c r="I80" s="11" t="s">
        <v>11</v>
      </c>
      <c r="J80" s="12"/>
    </row>
    <row r="81" spans="1:10" ht="60" customHeight="1">
      <c r="A81" s="6" t="s">
        <v>316</v>
      </c>
      <c r="B81" s="6" t="s">
        <v>15</v>
      </c>
      <c r="C81" s="6" t="s">
        <v>11</v>
      </c>
      <c r="D81" s="7" t="s">
        <v>317</v>
      </c>
      <c r="E81" s="8" t="s">
        <v>318</v>
      </c>
      <c r="F81" s="6" t="s">
        <v>319</v>
      </c>
      <c r="G81" s="9">
        <f>IF(A81=1,"_",IF(C81="_","???",C81))</f>
        <v/>
      </c>
      <c r="H81" s="10" t="s">
        <v>11</v>
      </c>
      <c r="I81" s="11" t="s">
        <v>11</v>
      </c>
      <c r="J81" s="12"/>
    </row>
    <row r="82" spans="1:10" ht="60" customHeight="1">
      <c r="A82" s="6" t="s">
        <v>320</v>
      </c>
      <c r="B82" s="6" t="s">
        <v>15</v>
      </c>
      <c r="C82" s="6" t="s">
        <v>11</v>
      </c>
      <c r="D82" s="7" t="s">
        <v>317</v>
      </c>
      <c r="E82" s="8" t="s">
        <v>321</v>
      </c>
      <c r="F82" s="6" t="s">
        <v>322</v>
      </c>
      <c r="G82" s="9">
        <f>IF(A82=1,"_",IF(C82="_","???",C82))</f>
        <v/>
      </c>
      <c r="H82" s="10" t="s">
        <v>11</v>
      </c>
      <c r="I82" s="11" t="s">
        <v>11</v>
      </c>
      <c r="J82" s="12"/>
    </row>
    <row r="83" spans="1:10" ht="60" customHeight="1">
      <c r="A83" s="6" t="s">
        <v>323</v>
      </c>
      <c r="B83" s="6" t="s">
        <v>25</v>
      </c>
      <c r="C83" s="6" t="s">
        <v>17</v>
      </c>
      <c r="D83" s="7" t="s">
        <v>60</v>
      </c>
      <c r="E83" s="8" t="s">
        <v>324</v>
      </c>
      <c r="F83" s="6" t="s">
        <v>325</v>
      </c>
      <c r="G83" s="9">
        <f>IF(A83=1,"_",IF(C83="_","???",C83))</f>
        <v/>
      </c>
      <c r="H83" s="10" t="s">
        <v>11</v>
      </c>
      <c r="I83" s="11" t="s">
        <v>11</v>
      </c>
      <c r="J83" s="12"/>
    </row>
    <row r="84" spans="1:10" ht="60" customHeight="1">
      <c r="A84" s="6" t="s">
        <v>326</v>
      </c>
      <c r="B84" s="6" t="s">
        <v>16</v>
      </c>
      <c r="C84" s="6" t="s">
        <v>17</v>
      </c>
      <c r="D84" s="7" t="s">
        <v>327</v>
      </c>
      <c r="E84" s="8" t="s">
        <v>328</v>
      </c>
      <c r="F84" s="6" t="s">
        <v>329</v>
      </c>
      <c r="G84" s="9">
        <f>IF(A84=1,"_",IF(C84="_","???",C84))</f>
        <v/>
      </c>
      <c r="H84" s="10" t="s">
        <v>11</v>
      </c>
      <c r="I84" s="11" t="s">
        <v>11</v>
      </c>
      <c r="J84" s="12"/>
    </row>
    <row r="85" spans="1:10" ht="60" customHeight="1">
      <c r="A85" s="6" t="s">
        <v>330</v>
      </c>
      <c r="B85" s="6" t="s">
        <v>52</v>
      </c>
      <c r="C85" s="6" t="s">
        <v>11</v>
      </c>
      <c r="D85" s="7" t="s">
        <v>331</v>
      </c>
      <c r="E85" s="8" t="s">
        <v>332</v>
      </c>
      <c r="F85" s="6" t="s">
        <v>333</v>
      </c>
      <c r="G85" s="9">
        <f>IF(A85=1,"_",IF(C85="_","???",C85))</f>
        <v/>
      </c>
      <c r="H85" s="10" t="s">
        <v>11</v>
      </c>
      <c r="I85" s="11" t="s">
        <v>11</v>
      </c>
      <c r="J85" s="12"/>
    </row>
    <row r="86" spans="1:10" ht="60" customHeight="1">
      <c r="A86" s="6" t="s">
        <v>334</v>
      </c>
      <c r="B86" s="6" t="s">
        <v>10</v>
      </c>
      <c r="C86" s="6" t="s">
        <v>11</v>
      </c>
      <c r="D86" s="7" t="s">
        <v>335</v>
      </c>
      <c r="E86" s="8" t="s">
        <v>336</v>
      </c>
      <c r="F86" s="6" t="s">
        <v>337</v>
      </c>
      <c r="G86" s="9">
        <f>IF(A86=1,"_",IF(C86="_","???",C86))</f>
        <v/>
      </c>
      <c r="H86" s="10" t="s">
        <v>11</v>
      </c>
      <c r="I86" s="11" t="s">
        <v>11</v>
      </c>
      <c r="J86" s="12"/>
    </row>
    <row r="87" spans="1:10" ht="60" customHeight="1">
      <c r="A87" s="6" t="s">
        <v>338</v>
      </c>
      <c r="B87" s="6" t="s">
        <v>15</v>
      </c>
      <c r="C87" s="6" t="s">
        <v>11</v>
      </c>
      <c r="D87" s="7" t="s">
        <v>35</v>
      </c>
      <c r="E87" s="8" t="s">
        <v>339</v>
      </c>
      <c r="F87" s="6" t="s">
        <v>340</v>
      </c>
      <c r="G87" s="9">
        <f>IF(A87=1,"_",IF(C87="_","???",C87))</f>
        <v/>
      </c>
      <c r="H87" s="10" t="s">
        <v>11</v>
      </c>
      <c r="I87" s="11" t="s">
        <v>11</v>
      </c>
      <c r="J87" s="12"/>
    </row>
    <row r="88" spans="1:10" ht="60" customHeight="1">
      <c r="A88" s="6" t="s">
        <v>341</v>
      </c>
      <c r="B88" s="6" t="s">
        <v>15</v>
      </c>
      <c r="C88" s="6" t="s">
        <v>87</v>
      </c>
      <c r="D88" s="7" t="s">
        <v>60</v>
      </c>
      <c r="E88" s="8" t="s">
        <v>342</v>
      </c>
      <c r="F88" s="6" t="s">
        <v>343</v>
      </c>
      <c r="G88" s="9">
        <f>IF(A88=1,"_",IF(C88="_","???",C88))</f>
        <v/>
      </c>
      <c r="H88" s="10" t="s">
        <v>11</v>
      </c>
      <c r="I88" s="11" t="s">
        <v>11</v>
      </c>
      <c r="J88" s="12"/>
    </row>
    <row r="89" spans="1:10" ht="60" customHeight="1">
      <c r="A89" s="6" t="s">
        <v>344</v>
      </c>
      <c r="B89" s="6" t="s">
        <v>15</v>
      </c>
      <c r="C89" s="6" t="s">
        <v>11</v>
      </c>
      <c r="D89" s="7" t="s">
        <v>345</v>
      </c>
      <c r="E89" s="8" t="s">
        <v>346</v>
      </c>
      <c r="F89" s="6" t="s">
        <v>347</v>
      </c>
      <c r="G89" s="9">
        <f>IF(A89=1,"_",IF(C89="_","???",C89))</f>
        <v/>
      </c>
      <c r="H89" s="10" t="s">
        <v>11</v>
      </c>
      <c r="I89" s="11" t="s">
        <v>11</v>
      </c>
      <c r="J89" s="12"/>
    </row>
    <row r="90" spans="1:10" ht="60" customHeight="1">
      <c r="A90" s="6" t="s">
        <v>348</v>
      </c>
      <c r="B90" s="6" t="s">
        <v>16</v>
      </c>
      <c r="C90" s="6" t="s">
        <v>349</v>
      </c>
      <c r="D90" s="7" t="s">
        <v>236</v>
      </c>
      <c r="E90" s="8" t="s">
        <v>350</v>
      </c>
      <c r="F90" s="6" t="s">
        <v>351</v>
      </c>
      <c r="G90" s="9">
        <f>IF(A90=1,"_",IF(C90="_","???",C90))</f>
        <v/>
      </c>
      <c r="H90" s="10" t="s">
        <v>11</v>
      </c>
      <c r="I90" s="11" t="s">
        <v>11</v>
      </c>
      <c r="J90" s="12"/>
    </row>
    <row r="91" spans="1:10" ht="60" customHeight="1">
      <c r="A91" s="6" t="s">
        <v>352</v>
      </c>
      <c r="B91" s="6" t="s">
        <v>16</v>
      </c>
      <c r="C91" s="6" t="s">
        <v>191</v>
      </c>
      <c r="D91" s="7" t="s">
        <v>192</v>
      </c>
      <c r="E91" s="8" t="s">
        <v>353</v>
      </c>
      <c r="F91" s="6" t="s">
        <v>354</v>
      </c>
      <c r="G91" s="9">
        <f>IF(A91=1,"_",IF(C91="_","???",C91))</f>
        <v/>
      </c>
      <c r="H91" s="10" t="s">
        <v>11</v>
      </c>
      <c r="I91" s="11" t="s">
        <v>11</v>
      </c>
      <c r="J91" s="12"/>
    </row>
    <row r="92" spans="1:10" ht="60" customHeight="1">
      <c r="A92" s="6" t="s">
        <v>355</v>
      </c>
      <c r="B92" s="6" t="s">
        <v>38</v>
      </c>
      <c r="C92" s="6" t="s">
        <v>356</v>
      </c>
      <c r="D92" s="7" t="s">
        <v>196</v>
      </c>
      <c r="E92" s="8" t="s">
        <v>357</v>
      </c>
      <c r="F92" s="6" t="s">
        <v>358</v>
      </c>
      <c r="G92" s="9">
        <f>IF(A92=1,"_",IF(C92="_","???",C92))</f>
        <v/>
      </c>
      <c r="H92" s="10" t="s">
        <v>11</v>
      </c>
      <c r="I92" s="11" t="s">
        <v>11</v>
      </c>
      <c r="J92" s="12"/>
    </row>
    <row r="93" spans="1:10" ht="60" customHeight="1">
      <c r="A93" s="6" t="s">
        <v>359</v>
      </c>
      <c r="B93" s="6" t="s">
        <v>38</v>
      </c>
      <c r="C93" s="6" t="s">
        <v>17</v>
      </c>
      <c r="D93" s="7" t="s">
        <v>360</v>
      </c>
      <c r="E93" s="8" t="s">
        <v>361</v>
      </c>
      <c r="F93" s="6" t="s">
        <v>362</v>
      </c>
      <c r="G93" s="9">
        <f>IF(A93=1,"_",IF(C93="_","???",C93))</f>
        <v/>
      </c>
      <c r="H93" s="10" t="s">
        <v>11</v>
      </c>
      <c r="I93" s="11" t="s">
        <v>11</v>
      </c>
      <c r="J93" s="12"/>
    </row>
    <row r="94" spans="1:10" ht="60" customHeight="1">
      <c r="A94" s="6" t="s">
        <v>363</v>
      </c>
      <c r="B94" s="6" t="s">
        <v>38</v>
      </c>
      <c r="C94" s="6" t="s">
        <v>11</v>
      </c>
      <c r="D94" s="7" t="s">
        <v>60</v>
      </c>
      <c r="E94" s="8" t="s">
        <v>364</v>
      </c>
      <c r="F94" s="6" t="s">
        <v>365</v>
      </c>
      <c r="G94" s="9">
        <f>IF(A94=1,"_",IF(C94="_","???",C94))</f>
        <v/>
      </c>
      <c r="H94" s="10" t="s">
        <v>11</v>
      </c>
      <c r="I94" s="11" t="s">
        <v>11</v>
      </c>
      <c r="J94" s="12"/>
    </row>
    <row r="95" spans="1:10" ht="60" customHeight="1">
      <c r="A95" s="6" t="s">
        <v>366</v>
      </c>
      <c r="B95" s="6" t="s">
        <v>15</v>
      </c>
      <c r="C95" s="6" t="s">
        <v>11</v>
      </c>
      <c r="D95" s="7" t="s">
        <v>367</v>
      </c>
      <c r="E95" s="8" t="s">
        <v>368</v>
      </c>
      <c r="F95" s="6" t="s">
        <v>369</v>
      </c>
      <c r="G95" s="9">
        <f>IF(A95=1,"_",IF(C95="_","???",C95))</f>
        <v/>
      </c>
      <c r="H95" s="10" t="s">
        <v>11</v>
      </c>
      <c r="I95" s="11" t="s">
        <v>11</v>
      </c>
      <c r="J95" s="12"/>
    </row>
    <row r="96" spans="1:10" ht="60" customHeight="1">
      <c r="A96" s="6" t="s">
        <v>370</v>
      </c>
      <c r="B96" s="6" t="s">
        <v>29</v>
      </c>
      <c r="C96" s="6" t="s">
        <v>11</v>
      </c>
      <c r="D96" s="7" t="s">
        <v>140</v>
      </c>
      <c r="E96" s="8" t="s">
        <v>371</v>
      </c>
      <c r="F96" s="6" t="s">
        <v>372</v>
      </c>
      <c r="G96" s="9">
        <f>IF(A96=1,"_",IF(C96="_","???",C96))</f>
        <v/>
      </c>
      <c r="H96" s="10" t="s">
        <v>11</v>
      </c>
      <c r="I96" s="11" t="s">
        <v>11</v>
      </c>
      <c r="J96" s="12"/>
    </row>
    <row r="97" spans="1:10" ht="60" customHeight="1">
      <c r="A97" s="6" t="s">
        <v>373</v>
      </c>
      <c r="B97" s="6" t="s">
        <v>38</v>
      </c>
      <c r="C97" s="6" t="s">
        <v>11</v>
      </c>
      <c r="D97" s="7" t="s">
        <v>140</v>
      </c>
      <c r="E97" s="8" t="s">
        <v>374</v>
      </c>
      <c r="F97" s="6" t="s">
        <v>375</v>
      </c>
      <c r="G97" s="9">
        <f>IF(A97=1,"_",IF(C97="_","???",C97))</f>
        <v/>
      </c>
      <c r="H97" s="10" t="s">
        <v>11</v>
      </c>
      <c r="I97" s="11" t="s">
        <v>11</v>
      </c>
      <c r="J97" s="12"/>
    </row>
    <row r="98" spans="1:10" ht="60" customHeight="1">
      <c r="A98" s="6" t="s">
        <v>376</v>
      </c>
      <c r="B98" s="6" t="s">
        <v>16</v>
      </c>
      <c r="C98" s="6" t="s">
        <v>11</v>
      </c>
      <c r="D98" s="7" t="s">
        <v>377</v>
      </c>
      <c r="E98" s="8" t="s">
        <v>378</v>
      </c>
      <c r="F98" s="6" t="s">
        <v>379</v>
      </c>
      <c r="G98" s="9">
        <f>IF(A98=1,"_",IF(C98="_","???",C98))</f>
        <v/>
      </c>
      <c r="H98" s="10" t="s">
        <v>11</v>
      </c>
      <c r="I98" s="11" t="s">
        <v>11</v>
      </c>
      <c r="J98" s="12"/>
    </row>
    <row r="99" spans="1:10" ht="60" customHeight="1">
      <c r="A99" s="6" t="s">
        <v>380</v>
      </c>
      <c r="B99" s="6" t="s">
        <v>16</v>
      </c>
      <c r="C99" s="6" t="s">
        <v>17</v>
      </c>
      <c r="D99" s="7" t="s">
        <v>377</v>
      </c>
      <c r="E99" s="8" t="s">
        <v>381</v>
      </c>
      <c r="F99" s="6" t="s">
        <v>382</v>
      </c>
      <c r="G99" s="9">
        <f>IF(A99=1,"_",IF(C99="_","???",C99))</f>
        <v/>
      </c>
      <c r="H99" s="10" t="s">
        <v>11</v>
      </c>
      <c r="I99" s="11" t="s">
        <v>11</v>
      </c>
      <c r="J99" s="12"/>
    </row>
    <row r="100" spans="1:10" ht="60" customHeight="1">
      <c r="A100" s="6" t="s">
        <v>383</v>
      </c>
      <c r="B100" s="6" t="s">
        <v>25</v>
      </c>
      <c r="C100" s="6" t="s">
        <v>11</v>
      </c>
      <c r="D100" s="7" t="s">
        <v>384</v>
      </c>
      <c r="E100" s="8" t="s">
        <v>385</v>
      </c>
      <c r="F100" s="6" t="s">
        <v>386</v>
      </c>
      <c r="G100" s="9">
        <f>IF(A100=1,"_",IF(C100="_","???",C100))</f>
        <v/>
      </c>
      <c r="H100" s="10" t="s">
        <v>11</v>
      </c>
      <c r="I100" s="11" t="s">
        <v>11</v>
      </c>
      <c r="J100" s="12"/>
    </row>
    <row r="101" spans="1:10" ht="60" customHeight="1">
      <c r="A101" s="6" t="s">
        <v>387</v>
      </c>
      <c r="B101" s="6" t="s">
        <v>25</v>
      </c>
      <c r="C101" s="6" t="s">
        <v>31</v>
      </c>
      <c r="D101" s="7" t="s">
        <v>384</v>
      </c>
      <c r="E101" s="8" t="s">
        <v>388</v>
      </c>
      <c r="F101" s="6" t="s">
        <v>389</v>
      </c>
      <c r="G101" s="9">
        <f>IF(A101=1,"_",IF(C101="_","???",C101))</f>
        <v/>
      </c>
      <c r="H101" s="10" t="s">
        <v>11</v>
      </c>
      <c r="I101" s="11" t="s">
        <v>11</v>
      </c>
      <c r="J101" s="12"/>
    </row>
    <row r="102" spans="1:10" ht="60" customHeight="1">
      <c r="A102" s="6" t="s">
        <v>390</v>
      </c>
      <c r="B102" s="6" t="s">
        <v>103</v>
      </c>
      <c r="C102" s="6" t="s">
        <v>17</v>
      </c>
      <c r="D102" s="7" t="s">
        <v>391</v>
      </c>
      <c r="E102" s="8" t="s">
        <v>392</v>
      </c>
      <c r="F102" s="6" t="s">
        <v>393</v>
      </c>
      <c r="G102" s="9">
        <f>IF(A102=1,"_",IF(C102="_","???",C102))</f>
        <v/>
      </c>
      <c r="H102" s="10" t="s">
        <v>11</v>
      </c>
      <c r="I102" s="11" t="s">
        <v>11</v>
      </c>
      <c r="J102" s="12"/>
    </row>
    <row r="103" spans="1:10" ht="60" customHeight="1">
      <c r="A103" s="6" t="s">
        <v>394</v>
      </c>
      <c r="B103" s="6" t="s">
        <v>16</v>
      </c>
      <c r="C103" s="6" t="s">
        <v>191</v>
      </c>
      <c r="D103" s="7" t="s">
        <v>35</v>
      </c>
      <c r="E103" s="8" t="s">
        <v>395</v>
      </c>
      <c r="F103" s="6" t="s">
        <v>396</v>
      </c>
      <c r="G103" s="9">
        <f>IF(A103=1,"_",IF(C103="_","???",C103))</f>
        <v/>
      </c>
      <c r="H103" s="10" t="s">
        <v>11</v>
      </c>
      <c r="I103" s="11" t="s">
        <v>11</v>
      </c>
      <c r="J103" s="12"/>
    </row>
    <row r="104" spans="1:10" ht="60" customHeight="1">
      <c r="A104" s="6" t="s">
        <v>397</v>
      </c>
      <c r="B104" s="6" t="s">
        <v>21</v>
      </c>
      <c r="C104" s="6" t="s">
        <v>11</v>
      </c>
      <c r="D104" s="7" t="s">
        <v>398</v>
      </c>
      <c r="E104" s="8" t="s">
        <v>399</v>
      </c>
      <c r="F104" s="6" t="s">
        <v>400</v>
      </c>
      <c r="G104" s="9">
        <f>IF(A104=1,"_",IF(C104="_","???",C104))</f>
        <v/>
      </c>
      <c r="H104" s="10" t="s">
        <v>11</v>
      </c>
      <c r="I104" s="11" t="s">
        <v>11</v>
      </c>
      <c r="J104" s="12"/>
    </row>
    <row r="105" spans="1:10" ht="60" customHeight="1">
      <c r="A105" s="6" t="s">
        <v>401</v>
      </c>
      <c r="B105" s="6" t="s">
        <v>10</v>
      </c>
      <c r="C105" s="6" t="s">
        <v>31</v>
      </c>
      <c r="D105" s="7" t="s">
        <v>402</v>
      </c>
      <c r="E105" s="8" t="s">
        <v>403</v>
      </c>
      <c r="F105" s="6" t="s">
        <v>404</v>
      </c>
      <c r="G105" s="9">
        <f>IF(A105=1,"_",IF(C105="_","???",C105))</f>
        <v/>
      </c>
      <c r="H105" s="10" t="s">
        <v>11</v>
      </c>
      <c r="I105" s="11" t="s">
        <v>11</v>
      </c>
      <c r="J105" s="12"/>
    </row>
    <row r="106" spans="1:10" ht="60" customHeight="1">
      <c r="A106" s="6" t="s">
        <v>405</v>
      </c>
      <c r="B106" s="6" t="s">
        <v>15</v>
      </c>
      <c r="C106" s="6" t="s">
        <v>17</v>
      </c>
      <c r="D106" s="7" t="s">
        <v>406</v>
      </c>
      <c r="E106" s="8" t="s">
        <v>407</v>
      </c>
      <c r="F106" s="6" t="s">
        <v>408</v>
      </c>
      <c r="G106" s="9">
        <f>IF(A106=1,"_",IF(C106="_","???",C106))</f>
        <v/>
      </c>
      <c r="H106" s="10" t="s">
        <v>11</v>
      </c>
      <c r="I106" s="11" t="s">
        <v>11</v>
      </c>
      <c r="J106" s="12"/>
    </row>
    <row r="107" spans="1:10" ht="60" customHeight="1">
      <c r="A107" s="6" t="s">
        <v>409</v>
      </c>
      <c r="B107" s="6" t="s">
        <v>15</v>
      </c>
      <c r="C107" s="6" t="s">
        <v>11</v>
      </c>
      <c r="D107" s="7" t="s">
        <v>410</v>
      </c>
      <c r="E107" s="8" t="s">
        <v>411</v>
      </c>
      <c r="F107" s="6" t="s">
        <v>412</v>
      </c>
      <c r="G107" s="9">
        <f>IF(A107=1,"_",IF(C107="_","???",C107))</f>
        <v/>
      </c>
      <c r="H107" s="10" t="s">
        <v>11</v>
      </c>
      <c r="I107" s="11" t="s">
        <v>11</v>
      </c>
      <c r="J107" s="12"/>
    </row>
    <row r="108" spans="1:10" ht="60" customHeight="1">
      <c r="A108" s="6" t="s">
        <v>413</v>
      </c>
      <c r="B108" s="6" t="s">
        <v>21</v>
      </c>
      <c r="C108" s="6" t="s">
        <v>11</v>
      </c>
      <c r="D108" s="7" t="s">
        <v>414</v>
      </c>
      <c r="E108" s="8" t="s">
        <v>415</v>
      </c>
      <c r="F108" s="6" t="s">
        <v>416</v>
      </c>
      <c r="G108" s="9">
        <f>IF(A108=1,"_",IF(C108="_","???",C108))</f>
        <v/>
      </c>
      <c r="H108" s="10" t="s">
        <v>11</v>
      </c>
      <c r="I108" s="11" t="s">
        <v>11</v>
      </c>
      <c r="J108" s="12"/>
    </row>
    <row r="109" spans="1:10" ht="60" customHeight="1">
      <c r="A109" s="6" t="s">
        <v>417</v>
      </c>
      <c r="B109" s="6" t="s">
        <v>25</v>
      </c>
      <c r="C109" s="6" t="s">
        <v>11</v>
      </c>
      <c r="D109" s="7" t="s">
        <v>49</v>
      </c>
      <c r="E109" s="8" t="s">
        <v>418</v>
      </c>
      <c r="F109" s="6" t="s">
        <v>419</v>
      </c>
      <c r="G109" s="9">
        <f>IF(A109=1,"_",IF(C109="_","???",C109))</f>
        <v/>
      </c>
      <c r="H109" s="10" t="s">
        <v>11</v>
      </c>
      <c r="I109" s="11" t="s">
        <v>11</v>
      </c>
      <c r="J109" s="12"/>
    </row>
    <row r="110" spans="1:10" ht="60" customHeight="1">
      <c r="A110" s="6" t="s">
        <v>420</v>
      </c>
      <c r="B110" s="6" t="s">
        <v>16</v>
      </c>
      <c r="C110" s="6" t="s">
        <v>11</v>
      </c>
      <c r="D110" s="7" t="s">
        <v>49</v>
      </c>
      <c r="E110" s="8" t="s">
        <v>421</v>
      </c>
      <c r="F110" s="6" t="s">
        <v>422</v>
      </c>
      <c r="G110" s="9">
        <f>IF(A110=1,"_",IF(C110="_","???",C110))</f>
        <v/>
      </c>
      <c r="H110" s="10" t="s">
        <v>11</v>
      </c>
      <c r="I110" s="11" t="s">
        <v>11</v>
      </c>
      <c r="J110" s="12"/>
    </row>
    <row r="111" spans="1:10" ht="60" customHeight="1">
      <c r="A111" s="6" t="s">
        <v>423</v>
      </c>
      <c r="B111" s="6" t="s">
        <v>29</v>
      </c>
      <c r="C111" s="6" t="s">
        <v>31</v>
      </c>
      <c r="D111" s="7" t="s">
        <v>22</v>
      </c>
      <c r="E111" s="8" t="s">
        <v>424</v>
      </c>
      <c r="F111" s="6" t="s">
        <v>425</v>
      </c>
      <c r="G111" s="9">
        <f>IF(A111=1,"_",IF(C111="_","???",C111))</f>
        <v/>
      </c>
      <c r="H111" s="10" t="s">
        <v>11</v>
      </c>
      <c r="I111" s="11" t="s">
        <v>11</v>
      </c>
      <c r="J111" s="12"/>
    </row>
    <row r="112" spans="1:10" ht="60" customHeight="1">
      <c r="A112" s="6" t="s">
        <v>426</v>
      </c>
      <c r="B112" s="6" t="s">
        <v>42</v>
      </c>
      <c r="C112" s="6" t="s">
        <v>11</v>
      </c>
      <c r="D112" s="7" t="s">
        <v>427</v>
      </c>
      <c r="E112" s="8" t="s">
        <v>428</v>
      </c>
      <c r="F112" s="6" t="s">
        <v>429</v>
      </c>
      <c r="G112" s="9">
        <f>IF(A112=1,"_",IF(C112="_","???",C112))</f>
        <v/>
      </c>
      <c r="H112" s="10" t="s">
        <v>11</v>
      </c>
      <c r="I112" s="11" t="s">
        <v>11</v>
      </c>
      <c r="J112" s="12"/>
    </row>
    <row r="113" spans="1:10" ht="60" customHeight="1">
      <c r="A113" s="6" t="s">
        <v>430</v>
      </c>
      <c r="B113" s="6" t="s">
        <v>16</v>
      </c>
      <c r="C113" s="6" t="s">
        <v>11</v>
      </c>
      <c r="D113" s="7" t="s">
        <v>414</v>
      </c>
      <c r="E113" s="8" t="s">
        <v>431</v>
      </c>
      <c r="F113" s="6" t="s">
        <v>432</v>
      </c>
      <c r="G113" s="9">
        <f>IF(A113=1,"_",IF(C113="_","???",C113))</f>
        <v/>
      </c>
      <c r="H113" s="10" t="s">
        <v>11</v>
      </c>
      <c r="I113" s="11" t="s">
        <v>11</v>
      </c>
      <c r="J113" s="12"/>
    </row>
    <row r="114" spans="1:10" ht="60" customHeight="1">
      <c r="A114" s="6" t="s">
        <v>433</v>
      </c>
      <c r="B114" s="6" t="s">
        <v>16</v>
      </c>
      <c r="C114" s="6" t="s">
        <v>191</v>
      </c>
      <c r="D114" s="7" t="s">
        <v>414</v>
      </c>
      <c r="E114" s="8" t="s">
        <v>434</v>
      </c>
      <c r="F114" s="6" t="s">
        <v>435</v>
      </c>
      <c r="G114" s="9">
        <f>IF(A114=1,"_",IF(C114="_","???",C114))</f>
        <v/>
      </c>
      <c r="H114" s="10" t="s">
        <v>11</v>
      </c>
      <c r="I114" s="11" t="s">
        <v>11</v>
      </c>
      <c r="J114" s="12"/>
    </row>
    <row r="115" spans="1:10" ht="60" customHeight="1">
      <c r="A115" s="6" t="s">
        <v>436</v>
      </c>
      <c r="B115" s="6" t="s">
        <v>15</v>
      </c>
      <c r="C115" s="6" t="s">
        <v>11</v>
      </c>
      <c r="D115" s="7" t="s">
        <v>437</v>
      </c>
      <c r="E115" s="8" t="s">
        <v>438</v>
      </c>
      <c r="F115" s="6" t="s">
        <v>439</v>
      </c>
      <c r="G115" s="9">
        <f>IF(A115=1,"_",IF(C115="_","???",C115))</f>
        <v/>
      </c>
      <c r="H115" s="10" t="s">
        <v>11</v>
      </c>
      <c r="I115" s="11" t="s">
        <v>11</v>
      </c>
      <c r="J115" s="12"/>
    </row>
    <row r="116" spans="1:10" ht="60" customHeight="1">
      <c r="A116" s="6" t="s">
        <v>440</v>
      </c>
      <c r="B116" s="6" t="s">
        <v>52</v>
      </c>
      <c r="C116" s="6" t="s">
        <v>441</v>
      </c>
      <c r="D116" s="7" t="s">
        <v>442</v>
      </c>
      <c r="E116" s="8" t="s">
        <v>443</v>
      </c>
      <c r="F116" s="6" t="s">
        <v>444</v>
      </c>
      <c r="G116" s="9">
        <f>IF(A116=1,"_",IF(C116="_","???",C116))</f>
        <v/>
      </c>
      <c r="H116" s="10" t="s">
        <v>11</v>
      </c>
      <c r="I116" s="11" t="s">
        <v>11</v>
      </c>
      <c r="J116" s="12"/>
    </row>
    <row r="117" spans="1:10" ht="60" customHeight="1">
      <c r="A117" s="6" t="s">
        <v>445</v>
      </c>
      <c r="B117" s="6" t="s">
        <v>25</v>
      </c>
      <c r="C117" s="6" t="s">
        <v>31</v>
      </c>
      <c r="D117" s="7" t="s">
        <v>140</v>
      </c>
      <c r="E117" s="8" t="s">
        <v>446</v>
      </c>
      <c r="F117" s="6" t="s">
        <v>447</v>
      </c>
      <c r="G117" s="9">
        <f>IF(A117=1,"_",IF(C117="_","???",C117))</f>
        <v/>
      </c>
      <c r="H117" s="10" t="s">
        <v>11</v>
      </c>
      <c r="I117" s="11" t="s">
        <v>11</v>
      </c>
      <c r="J117" s="12"/>
    </row>
    <row r="118" spans="1:10" ht="60" customHeight="1">
      <c r="A118" s="6" t="s">
        <v>448</v>
      </c>
      <c r="B118" s="6" t="s">
        <v>42</v>
      </c>
      <c r="C118" s="6" t="s">
        <v>191</v>
      </c>
      <c r="D118" s="7" t="s">
        <v>449</v>
      </c>
      <c r="E118" s="8" t="s">
        <v>450</v>
      </c>
      <c r="F118" s="6" t="s">
        <v>451</v>
      </c>
      <c r="G118" s="9">
        <f>IF(A118=1,"_",IF(C118="_","???",C118))</f>
        <v/>
      </c>
      <c r="H118" s="10" t="s">
        <v>11</v>
      </c>
      <c r="I118" s="11" t="s">
        <v>11</v>
      </c>
      <c r="J118" s="12"/>
    </row>
    <row r="119" spans="1:10" ht="60" customHeight="1">
      <c r="A119" s="6" t="s">
        <v>452</v>
      </c>
      <c r="B119" s="6" t="s">
        <v>16</v>
      </c>
      <c r="C119" s="6" t="s">
        <v>17</v>
      </c>
      <c r="D119" s="7" t="s">
        <v>453</v>
      </c>
      <c r="E119" s="8" t="s">
        <v>454</v>
      </c>
      <c r="F119" s="6" t="s">
        <v>455</v>
      </c>
      <c r="G119" s="9">
        <f>IF(A119=1,"_",IF(C119="_","???",C119))</f>
        <v/>
      </c>
      <c r="H119" s="10" t="s">
        <v>11</v>
      </c>
      <c r="I119" s="11" t="s">
        <v>11</v>
      </c>
      <c r="J119" s="12"/>
    </row>
    <row r="120" spans="1:10" ht="60" customHeight="1">
      <c r="A120" s="6" t="s">
        <v>456</v>
      </c>
      <c r="B120" s="6" t="s">
        <v>16</v>
      </c>
      <c r="C120" s="6" t="s">
        <v>11</v>
      </c>
      <c r="D120" s="7" t="s">
        <v>457</v>
      </c>
      <c r="E120" s="8" t="s">
        <v>458</v>
      </c>
      <c r="F120" s="6" t="s">
        <v>459</v>
      </c>
      <c r="G120" s="9">
        <f>IF(A120=1,"_",IF(C120="_","???",C120))</f>
        <v/>
      </c>
      <c r="H120" s="10" t="s">
        <v>11</v>
      </c>
      <c r="I120" s="11" t="s">
        <v>11</v>
      </c>
      <c r="J120" s="12"/>
    </row>
    <row r="121" spans="1:10" ht="60" customHeight="1">
      <c r="A121" s="6" t="s">
        <v>460</v>
      </c>
      <c r="B121" s="6" t="s">
        <v>15</v>
      </c>
      <c r="C121" s="6" t="s">
        <v>11</v>
      </c>
      <c r="D121" s="7" t="s">
        <v>236</v>
      </c>
      <c r="E121" s="8" t="s">
        <v>461</v>
      </c>
      <c r="F121" s="6" t="s">
        <v>462</v>
      </c>
      <c r="G121" s="9">
        <f>IF(A121=1,"_",IF(C121="_","???",C121))</f>
        <v/>
      </c>
      <c r="H121" s="10" t="s">
        <v>11</v>
      </c>
      <c r="I121" s="11" t="s">
        <v>11</v>
      </c>
      <c r="J121" s="12"/>
    </row>
    <row r="122" spans="1:10" ht="60" customHeight="1">
      <c r="A122" s="6" t="s">
        <v>463</v>
      </c>
      <c r="B122" s="6" t="s">
        <v>15</v>
      </c>
      <c r="C122" s="6" t="s">
        <v>11</v>
      </c>
      <c r="D122" s="7" t="s">
        <v>464</v>
      </c>
      <c r="E122" s="8" t="s">
        <v>465</v>
      </c>
      <c r="F122" s="6" t="s">
        <v>466</v>
      </c>
      <c r="G122" s="9">
        <f>IF(A122=1,"_",IF(C122="_","???",C122))</f>
        <v/>
      </c>
      <c r="H122" s="10" t="s">
        <v>11</v>
      </c>
      <c r="I122" s="11" t="s">
        <v>11</v>
      </c>
      <c r="J122" s="12"/>
    </row>
    <row r="123" spans="1:10" ht="60" customHeight="1">
      <c r="A123" s="6" t="s">
        <v>467</v>
      </c>
      <c r="B123" s="6" t="s">
        <v>16</v>
      </c>
      <c r="C123" s="6" t="s">
        <v>11</v>
      </c>
      <c r="D123" s="7" t="s">
        <v>132</v>
      </c>
      <c r="E123" s="8" t="s">
        <v>468</v>
      </c>
      <c r="F123" s="6" t="s">
        <v>469</v>
      </c>
      <c r="G123" s="9">
        <f>IF(A123=1,"_",IF(C123="_","???",C123))</f>
        <v/>
      </c>
      <c r="H123" s="10" t="s">
        <v>11</v>
      </c>
      <c r="I123" s="11" t="s">
        <v>11</v>
      </c>
      <c r="J123" s="12"/>
    </row>
    <row r="124" spans="1:10" ht="60" customHeight="1">
      <c r="A124" s="6" t="s">
        <v>470</v>
      </c>
      <c r="B124" s="6" t="s">
        <v>44</v>
      </c>
      <c r="C124" s="6" t="s">
        <v>87</v>
      </c>
      <c r="D124" s="7" t="s">
        <v>471</v>
      </c>
      <c r="E124" s="8" t="s">
        <v>472</v>
      </c>
      <c r="F124" s="6" t="s">
        <v>473</v>
      </c>
      <c r="G124" s="9">
        <f>IF(A124=1,"_",IF(C124="_","???",C124))</f>
        <v/>
      </c>
      <c r="H124" s="10" t="s">
        <v>11</v>
      </c>
      <c r="I124" s="11" t="s">
        <v>11</v>
      </c>
      <c r="J124" s="12"/>
    </row>
    <row r="125" spans="1:10" ht="60" customHeight="1">
      <c r="A125" s="6" t="s">
        <v>474</v>
      </c>
      <c r="B125" s="6" t="s">
        <v>16</v>
      </c>
      <c r="C125" s="6" t="s">
        <v>11</v>
      </c>
      <c r="D125" s="7" t="s">
        <v>475</v>
      </c>
      <c r="E125" s="8" t="s">
        <v>476</v>
      </c>
      <c r="F125" s="6" t="s">
        <v>477</v>
      </c>
      <c r="G125" s="9">
        <f>IF(A125=1,"_",IF(C125="_","???",C125))</f>
        <v/>
      </c>
      <c r="H125" s="10" t="s">
        <v>11</v>
      </c>
      <c r="I125" s="11" t="s">
        <v>11</v>
      </c>
      <c r="J125" s="12"/>
    </row>
    <row r="126" spans="1:10" ht="60" customHeight="1">
      <c r="A126" s="6" t="s">
        <v>478</v>
      </c>
      <c r="B126" s="6" t="s">
        <v>16</v>
      </c>
      <c r="C126" s="6" t="s">
        <v>11</v>
      </c>
      <c r="D126" s="7" t="s">
        <v>479</v>
      </c>
      <c r="E126" s="8" t="s">
        <v>480</v>
      </c>
      <c r="F126" s="6" t="s">
        <v>481</v>
      </c>
      <c r="G126" s="9">
        <f>IF(A126=1,"_",IF(C126="_","???",C126))</f>
        <v/>
      </c>
      <c r="H126" s="10" t="s">
        <v>11</v>
      </c>
      <c r="I126" s="11" t="s">
        <v>11</v>
      </c>
      <c r="J126" s="12"/>
    </row>
    <row r="127" spans="1:10" ht="60" customHeight="1">
      <c r="A127" s="6" t="s">
        <v>482</v>
      </c>
      <c r="B127" s="6" t="s">
        <v>16</v>
      </c>
      <c r="C127" s="6" t="s">
        <v>11</v>
      </c>
      <c r="D127" s="7" t="s">
        <v>483</v>
      </c>
      <c r="E127" s="8" t="s">
        <v>484</v>
      </c>
      <c r="F127" s="6" t="s">
        <v>485</v>
      </c>
      <c r="G127" s="9">
        <f>IF(A127=1,"_",IF(C127="_","???",C127))</f>
        <v/>
      </c>
      <c r="H127" s="10" t="s">
        <v>11</v>
      </c>
      <c r="I127" s="11" t="s">
        <v>11</v>
      </c>
      <c r="J127" s="12"/>
    </row>
    <row r="128" spans="1:10" ht="60" customHeight="1">
      <c r="A128" s="6" t="s">
        <v>486</v>
      </c>
      <c r="B128" s="6" t="s">
        <v>15</v>
      </c>
      <c r="C128" s="6" t="s">
        <v>11</v>
      </c>
      <c r="D128" s="7" t="s">
        <v>487</v>
      </c>
      <c r="E128" s="8" t="s">
        <v>488</v>
      </c>
      <c r="F128" s="6" t="s">
        <v>489</v>
      </c>
      <c r="G128" s="9">
        <f>IF(A128=1,"_",IF(C128="_","???",C128))</f>
        <v/>
      </c>
      <c r="H128" s="10" t="s">
        <v>11</v>
      </c>
      <c r="I128" s="11" t="s">
        <v>11</v>
      </c>
      <c r="J128" s="12"/>
    </row>
    <row r="129" spans="1:10" ht="60" customHeight="1">
      <c r="A129" s="6" t="s">
        <v>490</v>
      </c>
      <c r="B129" s="6" t="s">
        <v>25</v>
      </c>
      <c r="C129" s="6" t="s">
        <v>17</v>
      </c>
      <c r="D129" s="7" t="s">
        <v>491</v>
      </c>
      <c r="E129" s="8" t="s">
        <v>492</v>
      </c>
      <c r="F129" s="6" t="s">
        <v>493</v>
      </c>
      <c r="G129" s="9">
        <f>IF(A129=1,"_",IF(C129="_","???",C129))</f>
        <v/>
      </c>
      <c r="H129" s="10" t="s">
        <v>11</v>
      </c>
      <c r="I129" s="11" t="s">
        <v>11</v>
      </c>
      <c r="J129" s="12"/>
    </row>
    <row r="130" spans="1:10" ht="60" customHeight="1">
      <c r="A130" s="6" t="s">
        <v>494</v>
      </c>
      <c r="B130" s="6" t="s">
        <v>25</v>
      </c>
      <c r="C130" s="6" t="s">
        <v>17</v>
      </c>
      <c r="D130" s="7" t="s">
        <v>495</v>
      </c>
      <c r="E130" s="8" t="s">
        <v>496</v>
      </c>
      <c r="F130" s="6" t="s">
        <v>497</v>
      </c>
      <c r="G130" s="9">
        <f>IF(A130=1,"_",IF(C130="_","???",C130))</f>
        <v/>
      </c>
      <c r="H130" s="10" t="s">
        <v>11</v>
      </c>
      <c r="I130" s="11" t="s">
        <v>11</v>
      </c>
      <c r="J130" s="12"/>
    </row>
    <row r="131" spans="1:10" ht="60" customHeight="1">
      <c r="A131" s="6" t="s">
        <v>498</v>
      </c>
      <c r="B131" s="6" t="s">
        <v>25</v>
      </c>
      <c r="C131" s="6" t="s">
        <v>87</v>
      </c>
      <c r="D131" s="7" t="s">
        <v>499</v>
      </c>
      <c r="E131" s="8" t="s">
        <v>500</v>
      </c>
      <c r="F131" s="6" t="s">
        <v>501</v>
      </c>
      <c r="G131" s="9">
        <f>IF(A131=1,"_",IF(C131="_","???",C131))</f>
        <v/>
      </c>
      <c r="H131" s="10" t="s">
        <v>11</v>
      </c>
      <c r="I131" s="11" t="s">
        <v>11</v>
      </c>
      <c r="J131" s="12"/>
    </row>
    <row r="132" spans="1:10" ht="60" customHeight="1">
      <c r="A132" s="6" t="s">
        <v>502</v>
      </c>
      <c r="B132" s="6" t="s">
        <v>56</v>
      </c>
      <c r="C132" s="6" t="s">
        <v>356</v>
      </c>
      <c r="D132" s="7" t="s">
        <v>503</v>
      </c>
      <c r="E132" s="8" t="s">
        <v>504</v>
      </c>
      <c r="F132" s="6" t="s">
        <v>505</v>
      </c>
      <c r="G132" s="9">
        <f>IF(A132=1,"_",IF(C132="_","???",C132))</f>
        <v/>
      </c>
      <c r="H132" s="10" t="s">
        <v>11</v>
      </c>
      <c r="I132" s="11" t="s">
        <v>11</v>
      </c>
      <c r="J132" s="12"/>
    </row>
    <row r="133" spans="1:10" ht="60" customHeight="1">
      <c r="A133" s="6" t="s">
        <v>506</v>
      </c>
      <c r="B133" s="6" t="s">
        <v>15</v>
      </c>
      <c r="C133" s="6" t="s">
        <v>31</v>
      </c>
      <c r="D133" s="7" t="s">
        <v>507</v>
      </c>
      <c r="E133" s="8" t="s">
        <v>508</v>
      </c>
      <c r="F133" s="6" t="s">
        <v>509</v>
      </c>
      <c r="G133" s="9">
        <f>IF(A133=1,"_",IF(C133="_","???",C133))</f>
        <v/>
      </c>
      <c r="H133" s="10" t="s">
        <v>11</v>
      </c>
      <c r="I133" s="11" t="s">
        <v>11</v>
      </c>
      <c r="J133" s="12"/>
    </row>
    <row r="134" spans="1:10" ht="60" customHeight="1">
      <c r="A134" s="6" t="s">
        <v>510</v>
      </c>
      <c r="B134" s="6" t="s">
        <v>15</v>
      </c>
      <c r="C134" s="6" t="s">
        <v>17</v>
      </c>
      <c r="D134" s="7" t="s">
        <v>511</v>
      </c>
      <c r="E134" s="8" t="s">
        <v>512</v>
      </c>
      <c r="F134" s="6" t="s">
        <v>513</v>
      </c>
      <c r="G134" s="9">
        <f>IF(A134=1,"_",IF(C134="_","???",C134))</f>
        <v/>
      </c>
      <c r="H134" s="10" t="s">
        <v>11</v>
      </c>
      <c r="I134" s="11" t="s">
        <v>11</v>
      </c>
      <c r="J134" s="12"/>
    </row>
    <row r="135" spans="1:10" ht="60" customHeight="1">
      <c r="A135" s="6" t="s">
        <v>514</v>
      </c>
      <c r="B135" s="6" t="s">
        <v>16</v>
      </c>
      <c r="C135" s="6" t="s">
        <v>31</v>
      </c>
      <c r="D135" s="7" t="s">
        <v>515</v>
      </c>
      <c r="E135" s="8" t="s">
        <v>516</v>
      </c>
      <c r="F135" s="6" t="s">
        <v>517</v>
      </c>
      <c r="G135" s="9">
        <f>IF(A135=1,"_",IF(C135="_","???",C135))</f>
        <v/>
      </c>
      <c r="H135" s="10" t="s">
        <v>11</v>
      </c>
      <c r="I135" s="11" t="s">
        <v>11</v>
      </c>
      <c r="J135" s="12"/>
    </row>
    <row r="136" spans="1:10" ht="60" customHeight="1">
      <c r="A136" s="6" t="s">
        <v>518</v>
      </c>
      <c r="B136" s="6" t="s">
        <v>25</v>
      </c>
      <c r="C136" s="6" t="s">
        <v>191</v>
      </c>
      <c r="D136" s="7" t="s">
        <v>196</v>
      </c>
      <c r="E136" s="8" t="s">
        <v>519</v>
      </c>
      <c r="F136" s="6" t="s">
        <v>520</v>
      </c>
      <c r="G136" s="9">
        <f>IF(A136=1,"_",IF(C136="_","???",C136))</f>
        <v/>
      </c>
      <c r="H136" s="10" t="s">
        <v>11</v>
      </c>
      <c r="I136" s="11" t="s">
        <v>11</v>
      </c>
      <c r="J136" s="12"/>
    </row>
    <row r="137" spans="1:10" ht="60" customHeight="1">
      <c r="A137" s="6" t="s">
        <v>521</v>
      </c>
      <c r="B137" s="6" t="s">
        <v>15</v>
      </c>
      <c r="C137" s="6" t="s">
        <v>11</v>
      </c>
      <c r="D137" s="7" t="s">
        <v>236</v>
      </c>
      <c r="E137" s="8" t="s">
        <v>522</v>
      </c>
      <c r="F137" s="6" t="s">
        <v>523</v>
      </c>
      <c r="G137" s="9">
        <f>IF(A137=1,"_",IF(C137="_","???",C137))</f>
        <v/>
      </c>
      <c r="H137" s="10" t="s">
        <v>11</v>
      </c>
      <c r="I137" s="11" t="s">
        <v>11</v>
      </c>
      <c r="J137" s="12"/>
    </row>
    <row r="138" spans="1:10" ht="60" customHeight="1">
      <c r="A138" s="6" t="s">
        <v>524</v>
      </c>
      <c r="B138" s="6" t="s">
        <v>25</v>
      </c>
      <c r="C138" s="6" t="s">
        <v>17</v>
      </c>
      <c r="D138" s="7" t="s">
        <v>414</v>
      </c>
      <c r="E138" s="8" t="s">
        <v>525</v>
      </c>
      <c r="F138" s="6" t="s">
        <v>526</v>
      </c>
      <c r="G138" s="9">
        <f>IF(A138=1,"_",IF(C138="_","???",C138))</f>
        <v/>
      </c>
      <c r="H138" s="10" t="s">
        <v>11</v>
      </c>
      <c r="I138" s="11" t="s">
        <v>11</v>
      </c>
      <c r="J138" s="12"/>
    </row>
    <row r="139" spans="1:10" ht="60" customHeight="1">
      <c r="A139" s="6" t="s">
        <v>527</v>
      </c>
      <c r="B139" s="6" t="s">
        <v>15</v>
      </c>
      <c r="C139" s="6" t="s">
        <v>11</v>
      </c>
      <c r="D139" s="7" t="s">
        <v>22</v>
      </c>
      <c r="E139" s="8" t="s">
        <v>528</v>
      </c>
      <c r="F139" s="6" t="s">
        <v>529</v>
      </c>
      <c r="G139" s="9">
        <f>IF(A139=1,"_",IF(C139="_","???",C139))</f>
        <v/>
      </c>
      <c r="H139" s="10" t="s">
        <v>11</v>
      </c>
      <c r="I139" s="11" t="s">
        <v>11</v>
      </c>
      <c r="J139" s="12"/>
    </row>
    <row r="140" spans="1:10" ht="60" customHeight="1">
      <c r="A140" s="6" t="s">
        <v>530</v>
      </c>
      <c r="B140" s="6" t="s">
        <v>25</v>
      </c>
      <c r="C140" s="6" t="s">
        <v>17</v>
      </c>
      <c r="D140" s="7" t="s">
        <v>507</v>
      </c>
      <c r="E140" s="8" t="s">
        <v>531</v>
      </c>
      <c r="F140" s="6" t="s">
        <v>532</v>
      </c>
      <c r="G140" s="9">
        <f>IF(A140=1,"_",IF(C140="_","???",C140))</f>
        <v/>
      </c>
      <c r="H140" s="10" t="s">
        <v>11</v>
      </c>
      <c r="I140" s="11" t="s">
        <v>11</v>
      </c>
      <c r="J140" s="12"/>
    </row>
    <row r="141" spans="1:10" ht="60" customHeight="1">
      <c r="A141" s="6" t="s">
        <v>533</v>
      </c>
      <c r="B141" s="6" t="s">
        <v>21</v>
      </c>
      <c r="C141" s="6" t="s">
        <v>17</v>
      </c>
      <c r="D141" s="7" t="s">
        <v>26</v>
      </c>
      <c r="E141" s="8" t="s">
        <v>534</v>
      </c>
      <c r="F141" s="6" t="s">
        <v>535</v>
      </c>
      <c r="G141" s="9">
        <f>IF(A141=1,"_",IF(C141="_","???",C141))</f>
        <v/>
      </c>
      <c r="H141" s="10" t="s">
        <v>11</v>
      </c>
      <c r="I141" s="11" t="s">
        <v>11</v>
      </c>
      <c r="J141" s="12"/>
    </row>
    <row r="142" spans="1:10" ht="60" customHeight="1">
      <c r="A142" s="6" t="s">
        <v>536</v>
      </c>
      <c r="B142" s="6" t="s">
        <v>10</v>
      </c>
      <c r="C142" s="6" t="s">
        <v>11</v>
      </c>
      <c r="D142" s="7" t="s">
        <v>537</v>
      </c>
      <c r="E142" s="8" t="s">
        <v>538</v>
      </c>
      <c r="F142" s="6" t="s">
        <v>539</v>
      </c>
      <c r="G142" s="9">
        <f>IF(A142=1,"_",IF(C142="_","???",C142))</f>
        <v/>
      </c>
      <c r="H142" s="10" t="s">
        <v>11</v>
      </c>
      <c r="I142" s="11" t="s">
        <v>11</v>
      </c>
      <c r="J142" s="12"/>
    </row>
    <row r="143" spans="1:10" ht="60" customHeight="1">
      <c r="A143" s="6" t="s">
        <v>540</v>
      </c>
      <c r="B143" s="6" t="s">
        <v>10</v>
      </c>
      <c r="C143" s="6" t="s">
        <v>11</v>
      </c>
      <c r="D143" s="7" t="s">
        <v>12</v>
      </c>
      <c r="E143" s="8" t="s">
        <v>541</v>
      </c>
      <c r="F143" s="6" t="s">
        <v>542</v>
      </c>
      <c r="G143" s="9">
        <f>IF(A143=1,"_",IF(C143="_","???",C143))</f>
        <v/>
      </c>
      <c r="H143" s="10" t="s">
        <v>11</v>
      </c>
      <c r="I143" s="11" t="s">
        <v>11</v>
      </c>
      <c r="J143" s="12"/>
    </row>
    <row r="144" spans="1:10" ht="60" customHeight="1">
      <c r="A144" s="6" t="s">
        <v>543</v>
      </c>
      <c r="B144" s="6" t="s">
        <v>15</v>
      </c>
      <c r="C144" s="6" t="s">
        <v>11</v>
      </c>
      <c r="D144" s="7" t="s">
        <v>544</v>
      </c>
      <c r="E144" s="8" t="s">
        <v>545</v>
      </c>
      <c r="F144" s="6" t="s">
        <v>546</v>
      </c>
      <c r="G144" s="9">
        <f>IF(A144=1,"_",IF(C144="_","???",C144))</f>
        <v/>
      </c>
      <c r="H144" s="10" t="s">
        <v>11</v>
      </c>
      <c r="I144" s="11" t="s">
        <v>11</v>
      </c>
      <c r="J144" s="12"/>
    </row>
    <row r="145" spans="1:10" ht="60" customHeight="1">
      <c r="A145" s="6" t="s">
        <v>547</v>
      </c>
      <c r="B145" s="6" t="s">
        <v>67</v>
      </c>
      <c r="C145" s="6" t="s">
        <v>17</v>
      </c>
      <c r="D145" s="7" t="s">
        <v>548</v>
      </c>
      <c r="E145" s="8" t="s">
        <v>549</v>
      </c>
      <c r="F145" s="6" t="s">
        <v>550</v>
      </c>
      <c r="G145" s="9">
        <f>IF(A145=1,"_",IF(C145="_","???",C145))</f>
        <v/>
      </c>
      <c r="H145" s="10" t="s">
        <v>11</v>
      </c>
      <c r="I145" s="11" t="s">
        <v>11</v>
      </c>
      <c r="J145" s="12"/>
    </row>
    <row r="146" spans="1:10" ht="60" customHeight="1">
      <c r="A146" s="6" t="s">
        <v>551</v>
      </c>
      <c r="B146" s="6" t="s">
        <v>29</v>
      </c>
      <c r="C146" s="6" t="s">
        <v>552</v>
      </c>
      <c r="D146" s="7" t="s">
        <v>495</v>
      </c>
      <c r="E146" s="8" t="s">
        <v>553</v>
      </c>
      <c r="F146" s="6" t="s">
        <v>554</v>
      </c>
      <c r="G146" s="9">
        <f>IF(A146=1,"_",IF(C146="_","???",C146))</f>
        <v/>
      </c>
      <c r="H146" s="10" t="s">
        <v>11</v>
      </c>
      <c r="I146" s="11" t="s">
        <v>11</v>
      </c>
      <c r="J146" s="12"/>
    </row>
    <row r="147" spans="1:10" ht="60" customHeight="1">
      <c r="A147" s="6" t="s">
        <v>555</v>
      </c>
      <c r="B147" s="6" t="s">
        <v>25</v>
      </c>
      <c r="C147" s="6" t="s">
        <v>11</v>
      </c>
      <c r="D147" s="7" t="s">
        <v>26</v>
      </c>
      <c r="E147" s="8" t="s">
        <v>556</v>
      </c>
      <c r="F147" s="6" t="s">
        <v>557</v>
      </c>
      <c r="G147" s="9">
        <f>IF(A147=1,"_",IF(C147="_","???",C147))</f>
        <v/>
      </c>
      <c r="H147" s="10" t="s">
        <v>11</v>
      </c>
      <c r="I147" s="11" t="s">
        <v>11</v>
      </c>
      <c r="J147" s="12"/>
    </row>
    <row r="148" spans="1:10" ht="60" customHeight="1">
      <c r="A148" s="6" t="s">
        <v>558</v>
      </c>
      <c r="B148" s="6" t="s">
        <v>10</v>
      </c>
      <c r="C148" s="6" t="s">
        <v>11</v>
      </c>
      <c r="D148" s="7" t="s">
        <v>559</v>
      </c>
      <c r="E148" s="8" t="s">
        <v>560</v>
      </c>
      <c r="F148" s="6" t="s">
        <v>561</v>
      </c>
      <c r="G148" s="9">
        <f>IF(A148=1,"_",IF(C148="_","???",C148))</f>
        <v/>
      </c>
      <c r="H148" s="10" t="s">
        <v>11</v>
      </c>
      <c r="I148" s="11" t="s">
        <v>11</v>
      </c>
      <c r="J148" s="12"/>
    </row>
    <row r="149" spans="1:10" ht="60" customHeight="1">
      <c r="A149" s="6" t="s">
        <v>562</v>
      </c>
      <c r="B149" s="6" t="s">
        <v>10</v>
      </c>
      <c r="C149" s="6" t="s">
        <v>11</v>
      </c>
      <c r="D149" s="7" t="s">
        <v>511</v>
      </c>
      <c r="E149" s="8" t="s">
        <v>563</v>
      </c>
      <c r="F149" s="6" t="s">
        <v>564</v>
      </c>
      <c r="G149" s="9">
        <f>IF(A149=1,"_",IF(C149="_","???",C149))</f>
        <v/>
      </c>
      <c r="H149" s="10" t="s">
        <v>11</v>
      </c>
      <c r="I149" s="11" t="s">
        <v>11</v>
      </c>
      <c r="J149" s="12"/>
    </row>
    <row r="150" spans="1:10" ht="60" customHeight="1">
      <c r="A150" s="6" t="s">
        <v>565</v>
      </c>
      <c r="B150" s="6" t="s">
        <v>29</v>
      </c>
      <c r="C150" s="6" t="s">
        <v>31</v>
      </c>
      <c r="D150" s="7" t="s">
        <v>22</v>
      </c>
      <c r="E150" s="8" t="s">
        <v>566</v>
      </c>
      <c r="F150" s="6" t="s">
        <v>567</v>
      </c>
      <c r="G150" s="9">
        <f>IF(A150=1,"_",IF(C150="_","???",C150))</f>
        <v/>
      </c>
      <c r="H150" s="10" t="s">
        <v>11</v>
      </c>
      <c r="I150" s="11" t="s">
        <v>11</v>
      </c>
      <c r="J150" s="12"/>
    </row>
    <row r="151" spans="1:10" ht="60" customHeight="1">
      <c r="A151" s="6" t="s">
        <v>568</v>
      </c>
      <c r="B151" s="6" t="s">
        <v>16</v>
      </c>
      <c r="C151" s="6" t="s">
        <v>17</v>
      </c>
      <c r="D151" s="7" t="s">
        <v>35</v>
      </c>
      <c r="E151" s="8" t="s">
        <v>569</v>
      </c>
      <c r="F151" s="6" t="s">
        <v>570</v>
      </c>
      <c r="G151" s="9">
        <f>IF(A151=1,"_",IF(C151="_","???",C151))</f>
        <v/>
      </c>
      <c r="H151" s="10" t="s">
        <v>11</v>
      </c>
      <c r="I151" s="11" t="s">
        <v>11</v>
      </c>
      <c r="J151" s="12"/>
    </row>
    <row r="152" spans="1:10" ht="60" customHeight="1">
      <c r="A152" s="6" t="s">
        <v>571</v>
      </c>
      <c r="B152" s="6" t="s">
        <v>25</v>
      </c>
      <c r="C152" s="6" t="s">
        <v>11</v>
      </c>
      <c r="D152" s="7" t="s">
        <v>22</v>
      </c>
      <c r="E152" s="8" t="s">
        <v>572</v>
      </c>
      <c r="F152" s="6" t="s">
        <v>573</v>
      </c>
      <c r="G152" s="9">
        <f>IF(A152=1,"_",IF(C152="_","???",C152))</f>
        <v/>
      </c>
      <c r="H152" s="10" t="s">
        <v>11</v>
      </c>
      <c r="I152" s="11" t="s">
        <v>11</v>
      </c>
      <c r="J152" s="12"/>
    </row>
    <row r="153" spans="1:10" ht="60" customHeight="1">
      <c r="A153" s="6" t="s">
        <v>574</v>
      </c>
      <c r="B153" s="6" t="s">
        <v>21</v>
      </c>
      <c r="C153" s="6" t="s">
        <v>17</v>
      </c>
      <c r="D153" s="7" t="s">
        <v>35</v>
      </c>
      <c r="E153" s="8" t="s">
        <v>575</v>
      </c>
      <c r="F153" s="6" t="s">
        <v>576</v>
      </c>
      <c r="G153" s="9">
        <f>IF(A153=1,"_",IF(C153="_","???",C153))</f>
        <v/>
      </c>
      <c r="H153" s="10" t="s">
        <v>11</v>
      </c>
      <c r="I153" s="11" t="s">
        <v>11</v>
      </c>
      <c r="J153" s="12"/>
    </row>
    <row r="154" spans="1:10" ht="60" customHeight="1">
      <c r="A154" s="6" t="s">
        <v>577</v>
      </c>
      <c r="B154" s="6" t="s">
        <v>25</v>
      </c>
      <c r="C154" s="6" t="s">
        <v>17</v>
      </c>
      <c r="D154" s="7" t="s">
        <v>26</v>
      </c>
      <c r="E154" s="8" t="s">
        <v>578</v>
      </c>
      <c r="F154" s="6" t="s">
        <v>579</v>
      </c>
      <c r="G154" s="9">
        <f>IF(A154=1,"_",IF(C154="_","???",C154))</f>
        <v/>
      </c>
      <c r="H154" s="10" t="s">
        <v>11</v>
      </c>
      <c r="I154" s="11" t="s">
        <v>11</v>
      </c>
      <c r="J154" s="12"/>
    </row>
    <row r="155" spans="1:10" ht="60" customHeight="1">
      <c r="A155" s="6" t="s">
        <v>580</v>
      </c>
      <c r="B155" s="6" t="s">
        <v>29</v>
      </c>
      <c r="C155" s="6" t="s">
        <v>31</v>
      </c>
      <c r="D155" s="7" t="s">
        <v>35</v>
      </c>
      <c r="E155" s="8" t="s">
        <v>581</v>
      </c>
      <c r="F155" s="6" t="s">
        <v>582</v>
      </c>
      <c r="G155" s="9">
        <f>IF(A155=1,"_",IF(C155="_","???",C155))</f>
        <v/>
      </c>
      <c r="H155" s="10" t="s">
        <v>11</v>
      </c>
      <c r="I155" s="11" t="s">
        <v>11</v>
      </c>
      <c r="J155" s="12"/>
    </row>
    <row r="156" spans="1:10" ht="60" customHeight="1">
      <c r="A156" s="6" t="s">
        <v>583</v>
      </c>
      <c r="B156" s="6" t="s">
        <v>15</v>
      </c>
      <c r="C156" s="6" t="s">
        <v>11</v>
      </c>
      <c r="D156" s="7" t="s">
        <v>68</v>
      </c>
      <c r="E156" s="8" t="s">
        <v>584</v>
      </c>
      <c r="F156" s="6" t="s">
        <v>585</v>
      </c>
      <c r="G156" s="9">
        <f>IF(A156=1,"_",IF(C156="_","???",C156))</f>
        <v/>
      </c>
      <c r="H156" s="10" t="s">
        <v>11</v>
      </c>
      <c r="I156" s="11" t="s">
        <v>11</v>
      </c>
      <c r="J156" s="12"/>
    </row>
    <row r="157" spans="1:10" ht="60" customHeight="1">
      <c r="A157" s="6" t="s">
        <v>586</v>
      </c>
      <c r="B157" s="6" t="s">
        <v>16</v>
      </c>
      <c r="C157" s="6" t="s">
        <v>11</v>
      </c>
      <c r="D157" s="7" t="s">
        <v>587</v>
      </c>
      <c r="E157" s="8" t="s">
        <v>588</v>
      </c>
      <c r="F157" s="6" t="s">
        <v>589</v>
      </c>
      <c r="G157" s="9">
        <f>IF(A157=1,"_",IF(C157="_","???",C157))</f>
        <v/>
      </c>
      <c r="H157" s="10" t="s">
        <v>11</v>
      </c>
      <c r="I157" s="11" t="s">
        <v>11</v>
      </c>
      <c r="J157" s="12"/>
    </row>
    <row r="158" spans="1:10" ht="60" customHeight="1">
      <c r="A158" s="6" t="s">
        <v>590</v>
      </c>
      <c r="B158" s="6" t="s">
        <v>25</v>
      </c>
      <c r="C158" s="6" t="s">
        <v>11</v>
      </c>
      <c r="D158" s="7" t="s">
        <v>591</v>
      </c>
      <c r="E158" s="8" t="s">
        <v>592</v>
      </c>
      <c r="F158" s="6" t="s">
        <v>593</v>
      </c>
      <c r="G158" s="9">
        <f>IF(A158=1,"_",IF(C158="_","???",C158))</f>
        <v/>
      </c>
      <c r="H158" s="10" t="s">
        <v>11</v>
      </c>
      <c r="I158" s="11" t="s">
        <v>11</v>
      </c>
      <c r="J158" s="12"/>
    </row>
    <row r="159" spans="1:10" ht="60" customHeight="1">
      <c r="A159" s="6" t="s">
        <v>594</v>
      </c>
      <c r="B159" s="6" t="s">
        <v>15</v>
      </c>
      <c r="C159" s="6" t="s">
        <v>11</v>
      </c>
      <c r="D159" s="7" t="s">
        <v>591</v>
      </c>
      <c r="E159" s="8" t="s">
        <v>595</v>
      </c>
      <c r="F159" s="6" t="s">
        <v>596</v>
      </c>
      <c r="G159" s="9">
        <f>IF(A159=1,"_",IF(C159="_","???",C159))</f>
        <v/>
      </c>
      <c r="H159" s="10" t="s">
        <v>11</v>
      </c>
      <c r="I159" s="11" t="s">
        <v>11</v>
      </c>
      <c r="J159" s="12"/>
    </row>
    <row r="160" spans="1:10" ht="60" customHeight="1">
      <c r="A160" s="6" t="s">
        <v>597</v>
      </c>
      <c r="B160" s="6" t="s">
        <v>15</v>
      </c>
      <c r="C160" s="6" t="s">
        <v>11</v>
      </c>
      <c r="D160" s="7" t="s">
        <v>236</v>
      </c>
      <c r="E160" s="8" t="s">
        <v>598</v>
      </c>
      <c r="F160" s="6" t="s">
        <v>599</v>
      </c>
      <c r="G160" s="9">
        <f>IF(A160=1,"_",IF(C160="_","???",C160))</f>
        <v/>
      </c>
      <c r="H160" s="10" t="s">
        <v>11</v>
      </c>
      <c r="I160" s="11" t="s">
        <v>11</v>
      </c>
      <c r="J160" s="12"/>
    </row>
    <row r="161" spans="1:10" ht="60" customHeight="1">
      <c r="A161" s="6" t="s">
        <v>600</v>
      </c>
      <c r="B161" s="6" t="s">
        <v>10</v>
      </c>
      <c r="C161" s="6" t="s">
        <v>11</v>
      </c>
      <c r="D161" s="7" t="s">
        <v>601</v>
      </c>
      <c r="E161" s="8" t="s">
        <v>602</v>
      </c>
      <c r="F161" s="6" t="s">
        <v>603</v>
      </c>
      <c r="G161" s="9">
        <f>IF(A161=1,"_",IF(C161="_","???",C161))</f>
        <v/>
      </c>
      <c r="H161" s="10" t="s">
        <v>11</v>
      </c>
      <c r="I161" s="11" t="s">
        <v>11</v>
      </c>
      <c r="J161" s="12"/>
    </row>
    <row r="162" spans="1:10" ht="60" customHeight="1">
      <c r="A162" s="6" t="s">
        <v>604</v>
      </c>
      <c r="B162" s="6" t="s">
        <v>15</v>
      </c>
      <c r="C162" s="6" t="s">
        <v>11</v>
      </c>
      <c r="D162" s="7" t="s">
        <v>35</v>
      </c>
      <c r="E162" s="8" t="s">
        <v>605</v>
      </c>
      <c r="F162" s="6" t="s">
        <v>606</v>
      </c>
      <c r="G162" s="9">
        <f>IF(A162=1,"_",IF(C162="_","???",C162))</f>
        <v/>
      </c>
      <c r="H162" s="10" t="s">
        <v>11</v>
      </c>
      <c r="I162" s="11" t="s">
        <v>11</v>
      </c>
      <c r="J162" s="12"/>
    </row>
    <row r="163" spans="1:10" ht="60" customHeight="1">
      <c r="A163" s="6" t="s">
        <v>607</v>
      </c>
      <c r="B163" s="6" t="s">
        <v>15</v>
      </c>
      <c r="C163" s="6" t="s">
        <v>17</v>
      </c>
      <c r="D163" s="7" t="s">
        <v>236</v>
      </c>
      <c r="E163" s="8" t="s">
        <v>608</v>
      </c>
      <c r="F163" s="6" t="s">
        <v>609</v>
      </c>
      <c r="G163" s="9">
        <f>IF(A163=1,"_",IF(C163="_","???",C163))</f>
        <v/>
      </c>
      <c r="H163" s="10" t="s">
        <v>11</v>
      </c>
      <c r="I163" s="11" t="s">
        <v>11</v>
      </c>
      <c r="J163" s="12"/>
    </row>
    <row r="164" spans="1:10" ht="60" customHeight="1">
      <c r="A164" s="6" t="s">
        <v>610</v>
      </c>
      <c r="B164" s="6" t="s">
        <v>16</v>
      </c>
      <c r="C164" s="6" t="s">
        <v>11</v>
      </c>
      <c r="D164" s="7" t="s">
        <v>495</v>
      </c>
      <c r="E164" s="8" t="s">
        <v>611</v>
      </c>
      <c r="F164" s="6" t="s">
        <v>612</v>
      </c>
      <c r="G164" s="9">
        <f>IF(A164=1,"_",IF(C164="_","???",C164))</f>
        <v/>
      </c>
      <c r="H164" s="10" t="s">
        <v>11</v>
      </c>
      <c r="I164" s="11" t="s">
        <v>11</v>
      </c>
      <c r="J164" s="12"/>
    </row>
    <row r="165" spans="1:10" ht="60" customHeight="1">
      <c r="A165" s="6" t="s">
        <v>613</v>
      </c>
      <c r="B165" s="6" t="s">
        <v>15</v>
      </c>
      <c r="C165" s="6" t="s">
        <v>11</v>
      </c>
      <c r="D165" s="7" t="s">
        <v>614</v>
      </c>
      <c r="E165" s="8" t="s">
        <v>615</v>
      </c>
      <c r="F165" s="6" t="s">
        <v>616</v>
      </c>
      <c r="G165" s="9">
        <f>IF(A165=1,"_",IF(C165="_","???",C165))</f>
        <v/>
      </c>
      <c r="H165" s="10" t="s">
        <v>11</v>
      </c>
      <c r="I165" s="11" t="s">
        <v>11</v>
      </c>
      <c r="J165" s="12"/>
    </row>
    <row r="166" spans="1:10" ht="60" customHeight="1">
      <c r="A166" s="6" t="s">
        <v>617</v>
      </c>
      <c r="B166" s="6" t="s">
        <v>29</v>
      </c>
      <c r="C166" s="6" t="s">
        <v>11</v>
      </c>
      <c r="D166" s="7" t="s">
        <v>618</v>
      </c>
      <c r="E166" s="8" t="s">
        <v>619</v>
      </c>
      <c r="F166" s="6" t="s">
        <v>620</v>
      </c>
      <c r="G166" s="9">
        <f>IF(A166=1,"_",IF(C166="_","???",C166))</f>
        <v/>
      </c>
      <c r="H166" s="10" t="s">
        <v>11</v>
      </c>
      <c r="I166" s="11" t="s">
        <v>11</v>
      </c>
      <c r="J166" s="12"/>
    </row>
    <row r="167" spans="1:10" ht="60" customHeight="1">
      <c r="A167" s="6" t="s">
        <v>621</v>
      </c>
      <c r="B167" s="6" t="s">
        <v>15</v>
      </c>
      <c r="C167" s="6" t="s">
        <v>11</v>
      </c>
      <c r="D167" s="7" t="s">
        <v>622</v>
      </c>
      <c r="E167" s="8" t="s">
        <v>623</v>
      </c>
      <c r="F167" s="6" t="s">
        <v>624</v>
      </c>
      <c r="G167" s="9">
        <f>IF(A167=1,"_",IF(C167="_","???",C167))</f>
        <v/>
      </c>
      <c r="H167" s="10" t="s">
        <v>11</v>
      </c>
      <c r="I167" s="11" t="s">
        <v>11</v>
      </c>
      <c r="J167" s="12"/>
    </row>
    <row r="168" spans="1:10" ht="60" customHeight="1">
      <c r="A168" s="6" t="s">
        <v>625</v>
      </c>
      <c r="B168" s="6" t="s">
        <v>15</v>
      </c>
      <c r="C168" s="6" t="s">
        <v>11</v>
      </c>
      <c r="D168" s="7" t="s">
        <v>626</v>
      </c>
      <c r="E168" s="8" t="s">
        <v>627</v>
      </c>
      <c r="F168" s="6" t="s">
        <v>628</v>
      </c>
      <c r="G168" s="9">
        <f>IF(A168=1,"_",IF(C168="_","???",C168))</f>
        <v/>
      </c>
      <c r="H168" s="10" t="s">
        <v>11</v>
      </c>
      <c r="I168" s="11" t="s">
        <v>11</v>
      </c>
      <c r="J168" s="12"/>
    </row>
    <row r="169" spans="1:10" ht="60" customHeight="1">
      <c r="A169" s="6" t="s">
        <v>629</v>
      </c>
      <c r="B169" s="6" t="s">
        <v>15</v>
      </c>
      <c r="C169" s="6" t="s">
        <v>11</v>
      </c>
      <c r="D169" s="7" t="s">
        <v>630</v>
      </c>
      <c r="E169" s="8" t="s">
        <v>631</v>
      </c>
      <c r="F169" s="6" t="s">
        <v>632</v>
      </c>
      <c r="G169" s="9">
        <f>IF(A169=1,"_",IF(C169="_","???",C169))</f>
        <v/>
      </c>
      <c r="H169" s="10" t="s">
        <v>11</v>
      </c>
      <c r="I169" s="11" t="s">
        <v>11</v>
      </c>
      <c r="J169" s="12"/>
    </row>
    <row r="170" spans="1:10" ht="60" customHeight="1">
      <c r="A170" s="6" t="s">
        <v>633</v>
      </c>
      <c r="B170" s="6" t="s">
        <v>10</v>
      </c>
      <c r="C170" s="6" t="s">
        <v>11</v>
      </c>
      <c r="D170" s="7" t="s">
        <v>634</v>
      </c>
      <c r="E170" s="8" t="s">
        <v>635</v>
      </c>
      <c r="F170" s="6" t="s">
        <v>636</v>
      </c>
      <c r="G170" s="9">
        <f>IF(A170=1,"_",IF(C170="_","???",C170))</f>
        <v/>
      </c>
      <c r="H170" s="10" t="s">
        <v>11</v>
      </c>
      <c r="I170" s="11" t="s">
        <v>11</v>
      </c>
      <c r="J170" s="12"/>
    </row>
    <row r="171" spans="1:10" ht="60" customHeight="1">
      <c r="A171" s="6" t="s">
        <v>637</v>
      </c>
      <c r="B171" s="6" t="s">
        <v>25</v>
      </c>
      <c r="C171" s="6" t="s">
        <v>11</v>
      </c>
      <c r="D171" s="7" t="s">
        <v>140</v>
      </c>
      <c r="E171" s="8" t="s">
        <v>638</v>
      </c>
      <c r="F171" s="6" t="s">
        <v>639</v>
      </c>
      <c r="G171" s="9">
        <f>IF(A171=1,"_",IF(C171="_","???",C171))</f>
        <v/>
      </c>
      <c r="H171" s="10" t="s">
        <v>11</v>
      </c>
      <c r="I171" s="11" t="s">
        <v>11</v>
      </c>
      <c r="J171" s="12"/>
    </row>
    <row r="172" spans="1:10" ht="60" customHeight="1">
      <c r="A172" s="6" t="s">
        <v>640</v>
      </c>
      <c r="B172" s="6" t="s">
        <v>25</v>
      </c>
      <c r="C172" s="6" t="s">
        <v>11</v>
      </c>
      <c r="D172" s="7" t="s">
        <v>140</v>
      </c>
      <c r="E172" s="8" t="s">
        <v>638</v>
      </c>
      <c r="F172" s="6" t="s">
        <v>641</v>
      </c>
      <c r="G172" s="9">
        <f>IF(A172=1,"_",IF(C172="_","???",C172))</f>
        <v/>
      </c>
      <c r="H172" s="10" t="s">
        <v>11</v>
      </c>
      <c r="I172" s="11" t="s">
        <v>11</v>
      </c>
      <c r="J172" s="12"/>
    </row>
    <row r="173" spans="1:10" ht="60" customHeight="1">
      <c r="A173" s="6" t="s">
        <v>642</v>
      </c>
      <c r="B173" s="6" t="s">
        <v>21</v>
      </c>
      <c r="C173" s="6" t="s">
        <v>11</v>
      </c>
      <c r="D173" s="7" t="s">
        <v>643</v>
      </c>
      <c r="E173" s="8" t="s">
        <v>644</v>
      </c>
      <c r="F173" s="6" t="s">
        <v>645</v>
      </c>
      <c r="G173" s="9">
        <f>IF(A173=1,"_",IF(C173="_","???",C173))</f>
        <v/>
      </c>
      <c r="H173" s="10" t="s">
        <v>11</v>
      </c>
      <c r="I173" s="11" t="s">
        <v>11</v>
      </c>
      <c r="J173" s="12"/>
    </row>
    <row r="174" spans="1:10" ht="60" customHeight="1">
      <c r="A174" s="6" t="s">
        <v>646</v>
      </c>
      <c r="B174" s="6" t="s">
        <v>15</v>
      </c>
      <c r="C174" s="6" t="s">
        <v>11</v>
      </c>
      <c r="D174" s="7" t="s">
        <v>647</v>
      </c>
      <c r="E174" s="8" t="s">
        <v>648</v>
      </c>
      <c r="F174" s="6" t="s">
        <v>649</v>
      </c>
      <c r="G174" s="9">
        <f>IF(A174=1,"_",IF(C174="_","???",C174))</f>
        <v/>
      </c>
      <c r="H174" s="10" t="s">
        <v>11</v>
      </c>
      <c r="I174" s="11" t="s">
        <v>11</v>
      </c>
      <c r="J174" s="12"/>
    </row>
    <row r="175" spans="1:10" ht="60" customHeight="1">
      <c r="A175" s="6" t="s">
        <v>650</v>
      </c>
      <c r="B175" s="6" t="s">
        <v>25</v>
      </c>
      <c r="C175" s="6" t="s">
        <v>11</v>
      </c>
      <c r="D175" s="7" t="s">
        <v>651</v>
      </c>
      <c r="E175" s="8" t="s">
        <v>652</v>
      </c>
      <c r="F175" s="6" t="s">
        <v>653</v>
      </c>
      <c r="G175" s="9">
        <f>IF(A175=1,"_",IF(C175="_","???",C175))</f>
        <v/>
      </c>
      <c r="H175" s="10" t="s">
        <v>11</v>
      </c>
      <c r="I175" s="11" t="s">
        <v>11</v>
      </c>
      <c r="J175" s="12"/>
    </row>
    <row r="176" spans="1:10" ht="60" customHeight="1">
      <c r="A176" s="6" t="s">
        <v>654</v>
      </c>
      <c r="B176" s="6" t="s">
        <v>48</v>
      </c>
      <c r="C176" s="6" t="s">
        <v>17</v>
      </c>
      <c r="D176" s="7" t="s">
        <v>655</v>
      </c>
      <c r="E176" s="8" t="s">
        <v>656</v>
      </c>
      <c r="F176" s="6" t="s">
        <v>657</v>
      </c>
      <c r="G176" s="9">
        <f>IF(A176=1,"_",IF(C176="_","???",C176))</f>
        <v/>
      </c>
      <c r="H176" s="10" t="s">
        <v>11</v>
      </c>
      <c r="I176" s="11" t="s">
        <v>11</v>
      </c>
      <c r="J176" s="12"/>
    </row>
    <row r="177" spans="1:10" ht="60" customHeight="1">
      <c r="A177" s="6" t="s">
        <v>658</v>
      </c>
      <c r="B177" s="6" t="s">
        <v>15</v>
      </c>
      <c r="C177" s="6" t="s">
        <v>11</v>
      </c>
      <c r="D177" s="7" t="s">
        <v>659</v>
      </c>
      <c r="E177" s="8" t="s">
        <v>660</v>
      </c>
      <c r="F177" s="6" t="s">
        <v>661</v>
      </c>
      <c r="G177" s="9">
        <f>IF(A177=1,"_",IF(C177="_","???",C177))</f>
        <v/>
      </c>
      <c r="H177" s="10" t="s">
        <v>11</v>
      </c>
      <c r="I177" s="11" t="s">
        <v>11</v>
      </c>
      <c r="J177" s="12"/>
    </row>
    <row r="178" spans="1:10" ht="60" customHeight="1">
      <c r="A178" s="6" t="s">
        <v>662</v>
      </c>
      <c r="B178" s="6" t="s">
        <v>15</v>
      </c>
      <c r="C178" s="6" t="s">
        <v>17</v>
      </c>
      <c r="D178" s="7" t="s">
        <v>663</v>
      </c>
      <c r="E178" s="8" t="s">
        <v>664</v>
      </c>
      <c r="F178" s="6" t="s">
        <v>665</v>
      </c>
      <c r="G178" s="9">
        <f>IF(A178=1,"_",IF(C178="_","???",C178))</f>
        <v/>
      </c>
      <c r="H178" s="10" t="s">
        <v>11</v>
      </c>
      <c r="I178" s="11" t="s">
        <v>11</v>
      </c>
      <c r="J178" s="12"/>
    </row>
    <row r="179" spans="1:10" ht="60" customHeight="1">
      <c r="A179" s="6" t="s">
        <v>666</v>
      </c>
      <c r="B179" s="6" t="s">
        <v>16</v>
      </c>
      <c r="C179" s="6" t="s">
        <v>17</v>
      </c>
      <c r="D179" s="7" t="s">
        <v>667</v>
      </c>
      <c r="E179" s="8" t="s">
        <v>668</v>
      </c>
      <c r="F179" s="6" t="s">
        <v>669</v>
      </c>
      <c r="G179" s="9">
        <f>IF(A179=1,"_",IF(C179="_","???",C179))</f>
        <v/>
      </c>
      <c r="H179" s="10" t="s">
        <v>11</v>
      </c>
      <c r="I179" s="11" t="s">
        <v>11</v>
      </c>
      <c r="J179" s="12"/>
    </row>
    <row r="180" spans="1:10" ht="60" customHeight="1">
      <c r="A180" s="6" t="s">
        <v>670</v>
      </c>
      <c r="B180" s="6" t="s">
        <v>15</v>
      </c>
      <c r="C180" s="6" t="s">
        <v>11</v>
      </c>
      <c r="D180" s="7" t="s">
        <v>671</v>
      </c>
      <c r="E180" s="8" t="s">
        <v>672</v>
      </c>
      <c r="F180" s="6" t="s">
        <v>673</v>
      </c>
      <c r="G180" s="9">
        <f>IF(A180=1,"_",IF(C180="_","???",C180))</f>
        <v/>
      </c>
      <c r="H180" s="10" t="s">
        <v>11</v>
      </c>
      <c r="I180" s="11" t="s">
        <v>11</v>
      </c>
      <c r="J180" s="12"/>
    </row>
    <row r="181" spans="1:10" ht="60" customHeight="1">
      <c r="A181" s="6" t="s">
        <v>674</v>
      </c>
      <c r="B181" s="6" t="s">
        <v>15</v>
      </c>
      <c r="C181" s="6" t="s">
        <v>11</v>
      </c>
      <c r="D181" s="7" t="s">
        <v>675</v>
      </c>
      <c r="E181" s="8" t="s">
        <v>676</v>
      </c>
      <c r="F181" s="6" t="s">
        <v>677</v>
      </c>
      <c r="G181" s="9">
        <f>IF(A181=1,"_",IF(C181="_","???",C181))</f>
        <v/>
      </c>
      <c r="H181" s="10" t="s">
        <v>11</v>
      </c>
      <c r="I181" s="11" t="s">
        <v>11</v>
      </c>
      <c r="J181" s="12"/>
    </row>
    <row r="182" spans="1:10" ht="60" customHeight="1">
      <c r="A182" s="6" t="s">
        <v>678</v>
      </c>
      <c r="B182" s="6" t="s">
        <v>15</v>
      </c>
      <c r="C182" s="6" t="s">
        <v>11</v>
      </c>
      <c r="D182" s="7" t="s">
        <v>591</v>
      </c>
      <c r="E182" s="8" t="s">
        <v>679</v>
      </c>
      <c r="F182" s="6" t="s">
        <v>680</v>
      </c>
      <c r="G182" s="9">
        <f>IF(A182=1,"_",IF(C182="_","???",C182))</f>
        <v/>
      </c>
      <c r="H182" s="10" t="s">
        <v>11</v>
      </c>
      <c r="I182" s="11" t="s">
        <v>11</v>
      </c>
      <c r="J182" s="12"/>
    </row>
    <row r="183" spans="1:10" ht="60" customHeight="1">
      <c r="A183" s="6" t="s">
        <v>681</v>
      </c>
      <c r="B183" s="6" t="s">
        <v>15</v>
      </c>
      <c r="C183" s="6" t="s">
        <v>11</v>
      </c>
      <c r="D183" s="7" t="s">
        <v>682</v>
      </c>
      <c r="E183" s="8" t="s">
        <v>683</v>
      </c>
      <c r="F183" s="6" t="s">
        <v>684</v>
      </c>
      <c r="G183" s="9">
        <f>IF(A183=1,"_",IF(C183="_","???",C183))</f>
        <v/>
      </c>
      <c r="H183" s="10" t="s">
        <v>11</v>
      </c>
      <c r="I183" s="11" t="s">
        <v>11</v>
      </c>
      <c r="J183" s="12"/>
    </row>
    <row r="184" spans="1:10" ht="60" customHeight="1">
      <c r="A184" s="6" t="s">
        <v>685</v>
      </c>
      <c r="B184" s="6" t="s">
        <v>25</v>
      </c>
      <c r="C184" s="6" t="s">
        <v>191</v>
      </c>
      <c r="D184" s="7" t="s">
        <v>35</v>
      </c>
      <c r="E184" s="8" t="s">
        <v>686</v>
      </c>
      <c r="F184" s="6" t="s">
        <v>687</v>
      </c>
      <c r="G184" s="9">
        <f>IF(A184=1,"_",IF(C184="_","???",C184))</f>
        <v/>
      </c>
      <c r="H184" s="10" t="s">
        <v>11</v>
      </c>
      <c r="I184" s="11" t="s">
        <v>11</v>
      </c>
      <c r="J184" s="12"/>
    </row>
    <row r="185" spans="1:10" ht="60" customHeight="1">
      <c r="A185" s="6" t="s">
        <v>688</v>
      </c>
      <c r="B185" s="6" t="s">
        <v>16</v>
      </c>
      <c r="C185" s="6" t="s">
        <v>17</v>
      </c>
      <c r="D185" s="7" t="s">
        <v>22</v>
      </c>
      <c r="E185" s="8" t="s">
        <v>689</v>
      </c>
      <c r="F185" s="6" t="s">
        <v>690</v>
      </c>
      <c r="G185" s="9">
        <f>IF(A185=1,"_",IF(C185="_","???",C185))</f>
        <v/>
      </c>
      <c r="H185" s="10" t="s">
        <v>11</v>
      </c>
      <c r="I185" s="11" t="s">
        <v>11</v>
      </c>
      <c r="J185" s="12"/>
    </row>
    <row r="186" spans="1:10" ht="60" customHeight="1">
      <c r="A186" s="6" t="s">
        <v>691</v>
      </c>
      <c r="B186" s="6" t="s">
        <v>10</v>
      </c>
      <c r="C186" s="6" t="s">
        <v>11</v>
      </c>
      <c r="D186" s="7" t="s">
        <v>692</v>
      </c>
      <c r="E186" s="8" t="s">
        <v>693</v>
      </c>
      <c r="F186" s="6" t="s">
        <v>694</v>
      </c>
      <c r="G186" s="9">
        <f>IF(A186=1,"_",IF(C186="_","???",C186))</f>
        <v/>
      </c>
      <c r="H186" s="10" t="s">
        <v>11</v>
      </c>
      <c r="I186" s="11" t="s">
        <v>11</v>
      </c>
      <c r="J186" s="12"/>
    </row>
    <row r="187" spans="1:10" ht="60" customHeight="1">
      <c r="A187" s="6" t="s">
        <v>695</v>
      </c>
      <c r="B187" s="6" t="s">
        <v>16</v>
      </c>
      <c r="C187" s="6" t="s">
        <v>17</v>
      </c>
      <c r="D187" s="7" t="s">
        <v>35</v>
      </c>
      <c r="E187" s="8" t="s">
        <v>569</v>
      </c>
      <c r="F187" s="6" t="s">
        <v>696</v>
      </c>
      <c r="G187" s="9">
        <f>IF(A187=1,"_",IF(C187="_","???",C187))</f>
        <v/>
      </c>
      <c r="H187" s="10" t="s">
        <v>11</v>
      </c>
      <c r="I187" s="11" t="s">
        <v>11</v>
      </c>
      <c r="J187" s="12"/>
    </row>
    <row r="188" spans="1:10" ht="60" customHeight="1">
      <c r="A188" s="6" t="s">
        <v>697</v>
      </c>
      <c r="B188" s="6" t="s">
        <v>42</v>
      </c>
      <c r="C188" s="6" t="s">
        <v>356</v>
      </c>
      <c r="D188" s="7" t="s">
        <v>698</v>
      </c>
      <c r="E188" s="8" t="s">
        <v>699</v>
      </c>
      <c r="F188" s="6" t="s">
        <v>700</v>
      </c>
      <c r="G188" s="9">
        <f>IF(A188=1,"_",IF(C188="_","???",C188))</f>
        <v/>
      </c>
      <c r="H188" s="10" t="s">
        <v>11</v>
      </c>
      <c r="I188" s="11" t="s">
        <v>11</v>
      </c>
      <c r="J188" s="12"/>
    </row>
    <row r="189" spans="1:10" ht="60" customHeight="1">
      <c r="A189" s="6" t="s">
        <v>701</v>
      </c>
      <c r="B189" s="6" t="s">
        <v>10</v>
      </c>
      <c r="C189" s="6" t="s">
        <v>11</v>
      </c>
      <c r="D189" s="7" t="s">
        <v>12</v>
      </c>
      <c r="E189" s="8" t="s">
        <v>702</v>
      </c>
      <c r="F189" s="6" t="s">
        <v>703</v>
      </c>
      <c r="G189" s="9">
        <f>IF(A189=1,"_",IF(C189="_","???",C189))</f>
        <v/>
      </c>
      <c r="H189" s="10" t="s">
        <v>11</v>
      </c>
      <c r="I189" s="11" t="s">
        <v>11</v>
      </c>
      <c r="J189" s="12"/>
    </row>
    <row r="190" spans="1:10" ht="60" customHeight="1">
      <c r="A190" s="6" t="s">
        <v>704</v>
      </c>
      <c r="B190" s="6" t="s">
        <v>15</v>
      </c>
      <c r="C190" s="6" t="s">
        <v>11</v>
      </c>
      <c r="D190" s="7" t="s">
        <v>515</v>
      </c>
      <c r="E190" s="8" t="s">
        <v>705</v>
      </c>
      <c r="F190" s="6" t="s">
        <v>706</v>
      </c>
      <c r="G190" s="9">
        <f>IF(A190=1,"_",IF(C190="_","???",C190))</f>
        <v/>
      </c>
      <c r="H190" s="10" t="s">
        <v>11</v>
      </c>
      <c r="I190" s="11" t="s">
        <v>11</v>
      </c>
      <c r="J190" s="12"/>
    </row>
    <row r="191" spans="1:10" ht="60" customHeight="1">
      <c r="A191" s="6" t="s">
        <v>707</v>
      </c>
      <c r="B191" s="6" t="s">
        <v>16</v>
      </c>
      <c r="C191" s="6" t="s">
        <v>17</v>
      </c>
      <c r="D191" s="7" t="s">
        <v>35</v>
      </c>
      <c r="E191" s="8" t="s">
        <v>569</v>
      </c>
      <c r="F191" s="6" t="s">
        <v>708</v>
      </c>
      <c r="G191" s="9">
        <f>IF(A191=1,"_",IF(C191="_","???",C191))</f>
        <v/>
      </c>
      <c r="H191" s="10" t="s">
        <v>11</v>
      </c>
      <c r="I191" s="11" t="s">
        <v>11</v>
      </c>
      <c r="J191" s="12"/>
    </row>
    <row r="192" spans="1:10" ht="60" customHeight="1">
      <c r="A192" s="6" t="s">
        <v>709</v>
      </c>
      <c r="B192" s="6" t="s">
        <v>15</v>
      </c>
      <c r="C192" s="6" t="s">
        <v>11</v>
      </c>
      <c r="D192" s="7" t="s">
        <v>710</v>
      </c>
      <c r="E192" s="8" t="s">
        <v>711</v>
      </c>
      <c r="F192" s="6" t="s">
        <v>712</v>
      </c>
      <c r="G192" s="9">
        <f>IF(A192=1,"_",IF(C192="_","???",C192))</f>
        <v/>
      </c>
      <c r="H192" s="10" t="s">
        <v>11</v>
      </c>
      <c r="I192" s="11" t="s">
        <v>11</v>
      </c>
      <c r="J192" s="12"/>
    </row>
    <row r="193" spans="1:10" ht="60" customHeight="1">
      <c r="A193" s="6" t="s">
        <v>713</v>
      </c>
      <c r="B193" s="6" t="s">
        <v>29</v>
      </c>
      <c r="C193" s="6" t="s">
        <v>31</v>
      </c>
      <c r="D193" s="7" t="s">
        <v>714</v>
      </c>
      <c r="E193" s="8" t="s">
        <v>715</v>
      </c>
      <c r="F193" s="6" t="s">
        <v>716</v>
      </c>
      <c r="G193" s="9">
        <f>IF(A193=1,"_",IF(C193="_","???",C193))</f>
        <v/>
      </c>
      <c r="H193" s="10" t="s">
        <v>11</v>
      </c>
      <c r="I193" s="11" t="s">
        <v>11</v>
      </c>
      <c r="J193" s="12"/>
    </row>
    <row r="194" spans="1:10" ht="60" customHeight="1">
      <c r="A194" s="6" t="s">
        <v>717</v>
      </c>
      <c r="B194" s="6" t="s">
        <v>30</v>
      </c>
      <c r="C194" s="6" t="s">
        <v>356</v>
      </c>
      <c r="D194" s="7" t="s">
        <v>718</v>
      </c>
      <c r="E194" s="8" t="s">
        <v>719</v>
      </c>
      <c r="F194" s="6" t="s">
        <v>720</v>
      </c>
      <c r="G194" s="9">
        <f>IF(A194=1,"_",IF(C194="_","???",C194))</f>
        <v/>
      </c>
      <c r="H194" s="10" t="s">
        <v>11</v>
      </c>
      <c r="I194" s="11" t="s">
        <v>11</v>
      </c>
      <c r="J194" s="12"/>
    </row>
    <row r="195" spans="1:10" ht="60" customHeight="1">
      <c r="A195" s="6" t="s">
        <v>721</v>
      </c>
      <c r="B195" s="6" t="s">
        <v>15</v>
      </c>
      <c r="C195" s="6" t="s">
        <v>11</v>
      </c>
      <c r="D195" s="7" t="s">
        <v>718</v>
      </c>
      <c r="E195" s="8" t="s">
        <v>722</v>
      </c>
      <c r="F195" s="6" t="s">
        <v>723</v>
      </c>
      <c r="G195" s="9">
        <f>IF(A195=1,"_",IF(C195="_","???",C195))</f>
        <v/>
      </c>
      <c r="H195" s="10" t="s">
        <v>11</v>
      </c>
      <c r="I195" s="11" t="s">
        <v>11</v>
      </c>
      <c r="J195" s="12"/>
    </row>
    <row r="196" spans="1:10" ht="60" customHeight="1">
      <c r="A196" s="6" t="s">
        <v>724</v>
      </c>
      <c r="B196" s="6" t="s">
        <v>71</v>
      </c>
      <c r="C196" s="6" t="s">
        <v>11</v>
      </c>
      <c r="D196" s="7" t="s">
        <v>725</v>
      </c>
      <c r="E196" s="8" t="s">
        <v>726</v>
      </c>
      <c r="F196" s="6" t="s">
        <v>727</v>
      </c>
      <c r="G196" s="9">
        <f>IF(A196=1,"_",IF(C196="_","???",C196))</f>
        <v/>
      </c>
      <c r="H196" s="10" t="s">
        <v>11</v>
      </c>
      <c r="I196" s="11" t="s">
        <v>11</v>
      </c>
      <c r="J196" s="12"/>
    </row>
    <row r="197" spans="1:10" ht="60" customHeight="1">
      <c r="A197" s="6" t="s">
        <v>728</v>
      </c>
      <c r="B197" s="6" t="s">
        <v>10</v>
      </c>
      <c r="C197" s="6" t="s">
        <v>11</v>
      </c>
      <c r="D197" s="7" t="s">
        <v>729</v>
      </c>
      <c r="E197" s="8" t="s">
        <v>730</v>
      </c>
      <c r="F197" s="6" t="s">
        <v>731</v>
      </c>
      <c r="G197" s="9">
        <f>IF(A197=1,"_",IF(C197="_","???",C197))</f>
        <v/>
      </c>
      <c r="H197" s="10" t="s">
        <v>11</v>
      </c>
      <c r="I197" s="11" t="s">
        <v>11</v>
      </c>
      <c r="J197" s="12"/>
    </row>
    <row r="198" spans="1:10" ht="60" customHeight="1">
      <c r="A198" s="6" t="s">
        <v>732</v>
      </c>
      <c r="B198" s="6" t="s">
        <v>29</v>
      </c>
      <c r="C198" s="6" t="s">
        <v>11</v>
      </c>
      <c r="D198" s="7" t="s">
        <v>733</v>
      </c>
      <c r="E198" s="8" t="s">
        <v>734</v>
      </c>
      <c r="F198" s="6" t="s">
        <v>735</v>
      </c>
      <c r="G198" s="9">
        <f>IF(A198=1,"_",IF(C198="_","???",C198))</f>
        <v/>
      </c>
      <c r="H198" s="10" t="s">
        <v>11</v>
      </c>
      <c r="I198" s="11" t="s">
        <v>11</v>
      </c>
      <c r="J198" s="12"/>
    </row>
    <row r="199" spans="1:10" ht="60" customHeight="1">
      <c r="A199" s="6" t="s">
        <v>736</v>
      </c>
      <c r="B199" s="6" t="s">
        <v>15</v>
      </c>
      <c r="C199" s="6" t="s">
        <v>11</v>
      </c>
      <c r="D199" s="7" t="s">
        <v>60</v>
      </c>
      <c r="E199" s="8" t="s">
        <v>737</v>
      </c>
      <c r="F199" s="6" t="s">
        <v>738</v>
      </c>
      <c r="G199" s="9">
        <f>IF(A199=1,"_",IF(C199="_","???",C199))</f>
        <v/>
      </c>
      <c r="H199" s="10" t="s">
        <v>11</v>
      </c>
      <c r="I199" s="11" t="s">
        <v>11</v>
      </c>
      <c r="J199" s="12"/>
    </row>
    <row r="200" spans="1:10" ht="60" customHeight="1">
      <c r="A200" s="6" t="s">
        <v>739</v>
      </c>
      <c r="B200" s="6" t="s">
        <v>16</v>
      </c>
      <c r="C200" s="6" t="s">
        <v>11</v>
      </c>
      <c r="D200" s="7" t="s">
        <v>88</v>
      </c>
      <c r="E200" s="8" t="s">
        <v>740</v>
      </c>
      <c r="F200" s="6" t="s">
        <v>741</v>
      </c>
      <c r="G200" s="9">
        <f>IF(A200=1,"_",IF(C200="_","???",C200))</f>
        <v/>
      </c>
      <c r="H200" s="10" t="s">
        <v>11</v>
      </c>
      <c r="I200" s="11" t="s">
        <v>11</v>
      </c>
      <c r="J200" s="12"/>
    </row>
    <row r="201" spans="1:10" ht="60" customHeight="1">
      <c r="A201" s="6" t="s">
        <v>742</v>
      </c>
      <c r="B201" s="6" t="s">
        <v>67</v>
      </c>
      <c r="C201" s="6" t="s">
        <v>17</v>
      </c>
      <c r="D201" s="7" t="s">
        <v>743</v>
      </c>
      <c r="E201" s="8" t="s">
        <v>744</v>
      </c>
      <c r="F201" s="6" t="s">
        <v>745</v>
      </c>
      <c r="G201" s="9">
        <f>IF(A201=1,"_",IF(C201="_","???",C201))</f>
        <v/>
      </c>
      <c r="H201" s="10" t="s">
        <v>11</v>
      </c>
      <c r="I201" s="11" t="s">
        <v>11</v>
      </c>
      <c r="J201" s="12"/>
    </row>
    <row r="202" spans="1:10" ht="60" customHeight="1">
      <c r="A202" s="6" t="s">
        <v>746</v>
      </c>
      <c r="B202" s="6" t="s">
        <v>15</v>
      </c>
      <c r="C202" s="6" t="s">
        <v>11</v>
      </c>
      <c r="D202" s="7" t="s">
        <v>747</v>
      </c>
      <c r="E202" s="8" t="s">
        <v>748</v>
      </c>
      <c r="F202" s="6" t="s">
        <v>749</v>
      </c>
      <c r="G202" s="9">
        <f>IF(A202=1,"_",IF(C202="_","???",C202))</f>
        <v/>
      </c>
      <c r="H202" s="10" t="s">
        <v>11</v>
      </c>
      <c r="I202" s="11" t="s">
        <v>11</v>
      </c>
      <c r="J202" s="12"/>
    </row>
    <row r="203" spans="1:10" ht="60" customHeight="1">
      <c r="A203" s="6" t="s">
        <v>750</v>
      </c>
      <c r="B203" s="6" t="s">
        <v>15</v>
      </c>
      <c r="C203" s="6" t="s">
        <v>11</v>
      </c>
      <c r="D203" s="7" t="s">
        <v>22</v>
      </c>
      <c r="E203" s="8" t="s">
        <v>751</v>
      </c>
      <c r="F203" s="6" t="s">
        <v>752</v>
      </c>
      <c r="G203" s="9">
        <f>IF(A203=1,"_",IF(C203="_","???",C203))</f>
        <v/>
      </c>
      <c r="H203" s="10" t="s">
        <v>11</v>
      </c>
      <c r="I203" s="11" t="s">
        <v>11</v>
      </c>
      <c r="J203" s="12"/>
    </row>
    <row r="204" spans="1:10" ht="60" customHeight="1">
      <c r="A204" s="6" t="s">
        <v>753</v>
      </c>
      <c r="B204" s="6" t="s">
        <v>15</v>
      </c>
      <c r="C204" s="6" t="s">
        <v>11</v>
      </c>
      <c r="D204" s="7" t="s">
        <v>747</v>
      </c>
      <c r="E204" s="8" t="s">
        <v>754</v>
      </c>
      <c r="F204" s="6" t="s">
        <v>755</v>
      </c>
      <c r="G204" s="9">
        <f>IF(A204=1,"_",IF(C204="_","???",C204))</f>
        <v/>
      </c>
      <c r="H204" s="10" t="s">
        <v>11</v>
      </c>
      <c r="I204" s="11" t="s">
        <v>11</v>
      </c>
      <c r="J204" s="12"/>
    </row>
    <row r="205" spans="1:10" ht="60" customHeight="1">
      <c r="A205" s="6" t="s">
        <v>756</v>
      </c>
      <c r="B205" s="6" t="s">
        <v>15</v>
      </c>
      <c r="C205" s="6" t="s">
        <v>11</v>
      </c>
      <c r="D205" s="7" t="s">
        <v>757</v>
      </c>
      <c r="E205" s="8" t="s">
        <v>758</v>
      </c>
      <c r="F205" s="6" t="s">
        <v>759</v>
      </c>
      <c r="G205" s="9">
        <f>IF(A205=1,"_",IF(C205="_","???",C205))</f>
        <v/>
      </c>
      <c r="H205" s="10" t="s">
        <v>11</v>
      </c>
      <c r="I205" s="11" t="s">
        <v>11</v>
      </c>
      <c r="J205" s="12"/>
    </row>
    <row r="206" spans="1:10" ht="60" customHeight="1">
      <c r="A206" s="6" t="s">
        <v>760</v>
      </c>
      <c r="B206" s="6" t="s">
        <v>95</v>
      </c>
      <c r="C206" s="6" t="s">
        <v>11</v>
      </c>
      <c r="D206" s="7" t="s">
        <v>761</v>
      </c>
      <c r="E206" s="8" t="s">
        <v>762</v>
      </c>
      <c r="F206" s="6" t="s">
        <v>763</v>
      </c>
      <c r="G206" s="9">
        <f>IF(A206=1,"_",IF(C206="_","???",C206))</f>
        <v/>
      </c>
      <c r="H206" s="10" t="s">
        <v>11</v>
      </c>
      <c r="I206" s="11" t="s">
        <v>11</v>
      </c>
      <c r="J206" s="12"/>
    </row>
    <row r="207" spans="1:10" ht="60" customHeight="1">
      <c r="A207" s="6" t="s">
        <v>764</v>
      </c>
      <c r="B207" s="6" t="s">
        <v>15</v>
      </c>
      <c r="C207" s="6" t="s">
        <v>11</v>
      </c>
      <c r="D207" s="7" t="s">
        <v>35</v>
      </c>
      <c r="E207" s="8" t="s">
        <v>765</v>
      </c>
      <c r="F207" s="6" t="s">
        <v>766</v>
      </c>
      <c r="G207" s="9">
        <f>IF(A207=1,"_",IF(C207="_","???",C207))</f>
        <v/>
      </c>
      <c r="H207" s="10" t="s">
        <v>11</v>
      </c>
      <c r="I207" s="11" t="s">
        <v>11</v>
      </c>
      <c r="J207" s="12"/>
    </row>
    <row r="208" spans="1:10" ht="60" customHeight="1">
      <c r="A208" s="6" t="s">
        <v>767</v>
      </c>
      <c r="B208" s="6" t="s">
        <v>15</v>
      </c>
      <c r="C208" s="6" t="s">
        <v>11</v>
      </c>
      <c r="D208" s="7" t="s">
        <v>768</v>
      </c>
      <c r="E208" s="8" t="s">
        <v>769</v>
      </c>
      <c r="F208" s="6" t="s">
        <v>770</v>
      </c>
      <c r="G208" s="9">
        <f>IF(A208=1,"_",IF(C208="_","???",C208))</f>
        <v/>
      </c>
      <c r="H208" s="10" t="s">
        <v>11</v>
      </c>
      <c r="I208" s="11" t="s">
        <v>11</v>
      </c>
      <c r="J208" s="12"/>
    </row>
    <row r="209" spans="1:10" ht="60" customHeight="1">
      <c r="A209" s="6" t="s">
        <v>771</v>
      </c>
      <c r="B209" s="6" t="s">
        <v>15</v>
      </c>
      <c r="C209" s="6" t="s">
        <v>11</v>
      </c>
      <c r="D209" s="7" t="s">
        <v>287</v>
      </c>
      <c r="E209" s="8" t="s">
        <v>288</v>
      </c>
      <c r="F209" s="6" t="s">
        <v>772</v>
      </c>
      <c r="G209" s="9">
        <f>IF(A209=1,"_",IF(C209="_","???",C209))</f>
        <v/>
      </c>
      <c r="H209" s="10" t="s">
        <v>11</v>
      </c>
      <c r="I209" s="11" t="s">
        <v>11</v>
      </c>
      <c r="J209" s="12"/>
    </row>
    <row r="210" spans="1:10" ht="60" customHeight="1">
      <c r="A210" s="6" t="s">
        <v>773</v>
      </c>
      <c r="B210" s="6" t="s">
        <v>15</v>
      </c>
      <c r="C210" s="6" t="s">
        <v>11</v>
      </c>
      <c r="D210" s="7" t="s">
        <v>774</v>
      </c>
      <c r="E210" s="8" t="s">
        <v>775</v>
      </c>
      <c r="F210" s="6" t="s">
        <v>776</v>
      </c>
      <c r="G210" s="9">
        <f>IF(A210=1,"_",IF(C210="_","???",C210))</f>
        <v/>
      </c>
      <c r="H210" s="10" t="s">
        <v>11</v>
      </c>
      <c r="I210" s="11" t="s">
        <v>11</v>
      </c>
      <c r="J210" s="12"/>
    </row>
    <row r="211" spans="1:10" ht="60" customHeight="1">
      <c r="A211" s="6" t="s">
        <v>777</v>
      </c>
      <c r="B211" s="6" t="s">
        <v>15</v>
      </c>
      <c r="C211" s="6" t="s">
        <v>11</v>
      </c>
      <c r="D211" s="7" t="s">
        <v>515</v>
      </c>
      <c r="E211" s="8" t="s">
        <v>778</v>
      </c>
      <c r="F211" s="6" t="s">
        <v>779</v>
      </c>
      <c r="G211" s="9">
        <f>IF(A211=1,"_",IF(C211="_","???",C211))</f>
        <v/>
      </c>
      <c r="H211" s="10" t="s">
        <v>11</v>
      </c>
      <c r="I211" s="11" t="s">
        <v>11</v>
      </c>
      <c r="J211" s="12"/>
    </row>
    <row r="212" spans="1:10" ht="60" customHeight="1">
      <c r="A212" s="6" t="s">
        <v>780</v>
      </c>
      <c r="B212" s="6" t="s">
        <v>15</v>
      </c>
      <c r="C212" s="6" t="s">
        <v>11</v>
      </c>
      <c r="D212" s="7" t="s">
        <v>515</v>
      </c>
      <c r="E212" s="8" t="s">
        <v>781</v>
      </c>
      <c r="F212" s="6" t="s">
        <v>782</v>
      </c>
      <c r="G212" s="9">
        <f>IF(A212=1,"_",IF(C212="_","???",C212))</f>
        <v/>
      </c>
      <c r="H212" s="10" t="s">
        <v>11</v>
      </c>
      <c r="I212" s="11" t="s">
        <v>11</v>
      </c>
      <c r="J212" s="12"/>
    </row>
    <row r="213" spans="1:10" ht="60" customHeight="1">
      <c r="A213" s="6" t="s">
        <v>783</v>
      </c>
      <c r="B213" s="6" t="s">
        <v>29</v>
      </c>
      <c r="C213" s="6" t="s">
        <v>17</v>
      </c>
      <c r="D213" s="7" t="s">
        <v>784</v>
      </c>
      <c r="E213" s="8" t="s">
        <v>785</v>
      </c>
      <c r="F213" s="6" t="s">
        <v>786</v>
      </c>
      <c r="G213" s="9">
        <f>IF(A213=1,"_",IF(C213="_","???",C213))</f>
        <v/>
      </c>
      <c r="H213" s="10" t="s">
        <v>11</v>
      </c>
      <c r="I213" s="11" t="s">
        <v>11</v>
      </c>
      <c r="J213" s="12"/>
    </row>
    <row r="214" spans="1:10" ht="60" customHeight="1">
      <c r="A214" s="6" t="s">
        <v>787</v>
      </c>
      <c r="B214" s="6" t="s">
        <v>15</v>
      </c>
      <c r="C214" s="6" t="s">
        <v>11</v>
      </c>
      <c r="D214" s="7" t="s">
        <v>507</v>
      </c>
      <c r="E214" s="8" t="s">
        <v>788</v>
      </c>
      <c r="F214" s="6" t="s">
        <v>789</v>
      </c>
      <c r="G214" s="9">
        <f>IF(A214=1,"_",IF(C214="_","???",C214))</f>
        <v/>
      </c>
      <c r="H214" s="10" t="s">
        <v>11</v>
      </c>
      <c r="I214" s="11" t="s">
        <v>11</v>
      </c>
      <c r="J214" s="12"/>
    </row>
    <row r="215" spans="1:10" ht="60" customHeight="1">
      <c r="A215" s="6" t="s">
        <v>790</v>
      </c>
      <c r="B215" s="6" t="s">
        <v>25</v>
      </c>
      <c r="C215" s="6" t="s">
        <v>191</v>
      </c>
      <c r="D215" s="7" t="s">
        <v>140</v>
      </c>
      <c r="E215" s="8" t="s">
        <v>791</v>
      </c>
      <c r="F215" s="6" t="s">
        <v>792</v>
      </c>
      <c r="G215" s="9">
        <f>IF(A215=1,"_",IF(C215="_","???",C215))</f>
        <v/>
      </c>
      <c r="H215" s="10" t="s">
        <v>11</v>
      </c>
      <c r="I215" s="11" t="s">
        <v>11</v>
      </c>
      <c r="J215" s="12"/>
    </row>
    <row r="216" spans="1:10" ht="60" customHeight="1">
      <c r="A216" s="6" t="s">
        <v>793</v>
      </c>
      <c r="B216" s="6" t="s">
        <v>78</v>
      </c>
      <c r="C216" s="6" t="s">
        <v>11</v>
      </c>
      <c r="D216" s="7" t="s">
        <v>794</v>
      </c>
      <c r="E216" s="8" t="s">
        <v>795</v>
      </c>
      <c r="F216" s="6" t="s">
        <v>796</v>
      </c>
      <c r="G216" s="9">
        <f>IF(A216=1,"_",IF(C216="_","???",C216))</f>
        <v/>
      </c>
      <c r="H216" s="10" t="s">
        <v>11</v>
      </c>
      <c r="I216" s="11" t="s">
        <v>11</v>
      </c>
      <c r="J216" s="12"/>
    </row>
    <row r="217" spans="1:10" ht="60" customHeight="1">
      <c r="A217" s="6" t="s">
        <v>797</v>
      </c>
      <c r="B217" s="6" t="s">
        <v>25</v>
      </c>
      <c r="C217" s="6" t="s">
        <v>11</v>
      </c>
      <c r="D217" s="7" t="s">
        <v>39</v>
      </c>
      <c r="E217" s="8" t="s">
        <v>798</v>
      </c>
      <c r="F217" s="6" t="s">
        <v>799</v>
      </c>
      <c r="G217" s="9">
        <f>IF(A217=1,"_",IF(C217="_","???",C217))</f>
        <v/>
      </c>
      <c r="H217" s="10" t="s">
        <v>11</v>
      </c>
      <c r="I217" s="11" t="s">
        <v>11</v>
      </c>
      <c r="J217" s="12"/>
    </row>
    <row r="218" spans="1:10" ht="60" customHeight="1">
      <c r="A218" s="6" t="s">
        <v>800</v>
      </c>
      <c r="B218" s="6" t="s">
        <v>15</v>
      </c>
      <c r="C218" s="6" t="s">
        <v>11</v>
      </c>
      <c r="D218" s="7" t="s">
        <v>22</v>
      </c>
      <c r="E218" s="8" t="s">
        <v>801</v>
      </c>
      <c r="F218" s="6" t="s">
        <v>802</v>
      </c>
      <c r="G218" s="9">
        <f>IF(A218=1,"_",IF(C218="_","???",C218))</f>
        <v/>
      </c>
      <c r="H218" s="10" t="s">
        <v>11</v>
      </c>
      <c r="I218" s="11" t="s">
        <v>11</v>
      </c>
      <c r="J218" s="12"/>
    </row>
    <row r="219" spans="1:10" ht="60" customHeight="1">
      <c r="A219" s="6" t="s">
        <v>803</v>
      </c>
      <c r="B219" s="6" t="s">
        <v>15</v>
      </c>
      <c r="C219" s="6" t="s">
        <v>11</v>
      </c>
      <c r="D219" s="7" t="s">
        <v>804</v>
      </c>
      <c r="E219" s="8" t="s">
        <v>805</v>
      </c>
      <c r="F219" s="6" t="s">
        <v>806</v>
      </c>
      <c r="G219" s="9">
        <f>IF(A219=1,"_",IF(C219="_","???",C219))</f>
        <v/>
      </c>
      <c r="H219" s="10" t="s">
        <v>11</v>
      </c>
      <c r="I219" s="11" t="s">
        <v>11</v>
      </c>
      <c r="J219" s="12"/>
    </row>
    <row r="220" spans="1:10" ht="60" customHeight="1">
      <c r="A220" s="6" t="s">
        <v>807</v>
      </c>
      <c r="B220" s="6" t="s">
        <v>25</v>
      </c>
      <c r="C220" s="6" t="s">
        <v>11</v>
      </c>
      <c r="D220" s="7" t="s">
        <v>140</v>
      </c>
      <c r="E220" s="8" t="s">
        <v>638</v>
      </c>
      <c r="F220" s="6" t="s">
        <v>808</v>
      </c>
      <c r="G220" s="9">
        <f>IF(A220=1,"_",IF(C220="_","???",C220))</f>
        <v/>
      </c>
      <c r="H220" s="10" t="s">
        <v>11</v>
      </c>
      <c r="I220" s="11" t="s">
        <v>11</v>
      </c>
      <c r="J220" s="12"/>
    </row>
    <row r="221" spans="1:10" ht="60" customHeight="1">
      <c r="A221" s="6" t="s">
        <v>809</v>
      </c>
      <c r="B221" s="6" t="s">
        <v>42</v>
      </c>
      <c r="C221" s="6" t="s">
        <v>11</v>
      </c>
      <c r="D221" s="7" t="s">
        <v>810</v>
      </c>
      <c r="E221" s="8" t="s">
        <v>811</v>
      </c>
      <c r="F221" s="6" t="s">
        <v>812</v>
      </c>
      <c r="G221" s="9">
        <f>IF(A221=1,"_",IF(C221="_","???",C221))</f>
        <v/>
      </c>
      <c r="H221" s="10" t="s">
        <v>11</v>
      </c>
      <c r="I221" s="11" t="s">
        <v>11</v>
      </c>
      <c r="J221" s="12"/>
    </row>
    <row r="222" spans="1:10" ht="60" customHeight="1">
      <c r="A222" s="6" t="s">
        <v>813</v>
      </c>
      <c r="B222" s="6" t="s">
        <v>16</v>
      </c>
      <c r="C222" s="6" t="s">
        <v>11</v>
      </c>
      <c r="D222" s="7" t="s">
        <v>814</v>
      </c>
      <c r="E222" s="8" t="s">
        <v>815</v>
      </c>
      <c r="F222" s="6" t="s">
        <v>816</v>
      </c>
      <c r="G222" s="9">
        <f>IF(A222=1,"_",IF(C222="_","???",C222))</f>
        <v/>
      </c>
      <c r="H222" s="10" t="s">
        <v>11</v>
      </c>
      <c r="I222" s="11" t="s">
        <v>11</v>
      </c>
      <c r="J222" s="12"/>
    </row>
    <row r="223" spans="1:10" ht="60" customHeight="1">
      <c r="A223" s="6" t="s">
        <v>817</v>
      </c>
      <c r="B223" s="6" t="s">
        <v>25</v>
      </c>
      <c r="C223" s="6" t="s">
        <v>11</v>
      </c>
      <c r="D223" s="7" t="s">
        <v>818</v>
      </c>
      <c r="E223" s="8" t="s">
        <v>819</v>
      </c>
      <c r="F223" s="6" t="s">
        <v>820</v>
      </c>
      <c r="G223" s="9">
        <f>IF(A223=1,"_",IF(C223="_","???",C223))</f>
        <v/>
      </c>
      <c r="H223" s="10" t="s">
        <v>11</v>
      </c>
      <c r="I223" s="11" t="s">
        <v>11</v>
      </c>
      <c r="J223" s="12"/>
    </row>
    <row r="224" spans="1:10" ht="60" customHeight="1">
      <c r="A224" s="6" t="s">
        <v>821</v>
      </c>
      <c r="B224" s="6" t="s">
        <v>25</v>
      </c>
      <c r="C224" s="6" t="s">
        <v>11</v>
      </c>
      <c r="D224" s="7" t="s">
        <v>39</v>
      </c>
      <c r="E224" s="8" t="s">
        <v>822</v>
      </c>
      <c r="F224" s="6" t="s">
        <v>823</v>
      </c>
      <c r="G224" s="9">
        <f>IF(A224=1,"_",IF(C224="_","???",C224))</f>
        <v/>
      </c>
      <c r="H224" s="10" t="s">
        <v>11</v>
      </c>
      <c r="I224" s="11" t="s">
        <v>11</v>
      </c>
      <c r="J224" s="12"/>
    </row>
    <row r="225" spans="1:10" ht="60" customHeight="1">
      <c r="A225" s="6" t="s">
        <v>824</v>
      </c>
      <c r="B225" s="6" t="s">
        <v>16</v>
      </c>
      <c r="C225" s="6" t="s">
        <v>17</v>
      </c>
      <c r="D225" s="7" t="s">
        <v>35</v>
      </c>
      <c r="E225" s="8" t="s">
        <v>825</v>
      </c>
      <c r="F225" s="6" t="s">
        <v>826</v>
      </c>
      <c r="G225" s="9">
        <f>IF(A225=1,"_",IF(C225="_","???",C225))</f>
        <v/>
      </c>
      <c r="H225" s="10" t="s">
        <v>11</v>
      </c>
      <c r="I225" s="11" t="s">
        <v>11</v>
      </c>
      <c r="J225" s="12"/>
    </row>
    <row r="226" spans="1:10" ht="60" customHeight="1">
      <c r="A226" s="6" t="s">
        <v>827</v>
      </c>
      <c r="B226" s="6" t="s">
        <v>25</v>
      </c>
      <c r="C226" s="6" t="s">
        <v>11</v>
      </c>
      <c r="D226" s="7" t="s">
        <v>828</v>
      </c>
      <c r="E226" s="8" t="s">
        <v>829</v>
      </c>
      <c r="F226" s="6" t="s">
        <v>830</v>
      </c>
      <c r="G226" s="9">
        <f>IF(A226=1,"_",IF(C226="_","???",C226))</f>
        <v/>
      </c>
      <c r="H226" s="10" t="s">
        <v>11</v>
      </c>
      <c r="I226" s="11" t="s">
        <v>11</v>
      </c>
      <c r="J226" s="12"/>
    </row>
    <row r="227" spans="1:10" ht="60" customHeight="1">
      <c r="A227" s="6" t="s">
        <v>831</v>
      </c>
      <c r="B227" s="6" t="s">
        <v>10</v>
      </c>
      <c r="C227" s="6" t="s">
        <v>11</v>
      </c>
      <c r="D227" s="7" t="s">
        <v>12</v>
      </c>
      <c r="E227" s="8" t="s">
        <v>832</v>
      </c>
      <c r="F227" s="6" t="s">
        <v>833</v>
      </c>
      <c r="G227" s="9">
        <f>IF(A227=1,"_",IF(C227="_","???",C227))</f>
        <v/>
      </c>
      <c r="H227" s="10" t="s">
        <v>11</v>
      </c>
      <c r="I227" s="11" t="s">
        <v>11</v>
      </c>
      <c r="J227" s="12"/>
    </row>
    <row r="228" spans="1:10" ht="60" customHeight="1">
      <c r="A228" s="6" t="s">
        <v>834</v>
      </c>
      <c r="B228" s="6" t="s">
        <v>15</v>
      </c>
      <c r="C228" s="6" t="s">
        <v>191</v>
      </c>
      <c r="D228" s="7" t="s">
        <v>104</v>
      </c>
      <c r="E228" s="8" t="s">
        <v>835</v>
      </c>
      <c r="F228" s="6" t="s">
        <v>836</v>
      </c>
      <c r="G228" s="9">
        <f>IF(A228=1,"_",IF(C228="_","???",C228))</f>
        <v/>
      </c>
      <c r="H228" s="10" t="s">
        <v>11</v>
      </c>
      <c r="I228" s="11" t="s">
        <v>11</v>
      </c>
      <c r="J228" s="12"/>
    </row>
    <row r="229" spans="1:10" ht="60" customHeight="1">
      <c r="A229" s="6" t="s">
        <v>837</v>
      </c>
      <c r="B229" s="6" t="s">
        <v>15</v>
      </c>
      <c r="C229" s="6" t="s">
        <v>11</v>
      </c>
      <c r="D229" s="7" t="s">
        <v>22</v>
      </c>
      <c r="E229" s="8" t="s">
        <v>838</v>
      </c>
      <c r="F229" s="6" t="s">
        <v>839</v>
      </c>
      <c r="G229" s="9">
        <f>IF(A229=1,"_",IF(C229="_","???",C229))</f>
        <v/>
      </c>
      <c r="H229" s="10" t="s">
        <v>11</v>
      </c>
      <c r="I229" s="11" t="s">
        <v>11</v>
      </c>
      <c r="J229" s="12"/>
    </row>
    <row r="230" spans="1:10" ht="60" customHeight="1">
      <c r="A230" s="6" t="s">
        <v>840</v>
      </c>
      <c r="B230" s="6" t="s">
        <v>15</v>
      </c>
      <c r="C230" s="6" t="s">
        <v>11</v>
      </c>
      <c r="D230" s="7" t="s">
        <v>841</v>
      </c>
      <c r="E230" s="8" t="s">
        <v>842</v>
      </c>
      <c r="F230" s="6" t="s">
        <v>843</v>
      </c>
      <c r="G230" s="9">
        <f>IF(A230=1,"_",IF(C230="_","???",C230))</f>
        <v/>
      </c>
      <c r="H230" s="10" t="s">
        <v>11</v>
      </c>
      <c r="I230" s="11" t="s">
        <v>11</v>
      </c>
      <c r="J230" s="12"/>
    </row>
    <row r="231" spans="1:10" ht="60" customHeight="1">
      <c r="A231" s="6" t="s">
        <v>844</v>
      </c>
      <c r="B231" s="6" t="s">
        <v>15</v>
      </c>
      <c r="C231" s="6" t="s">
        <v>11</v>
      </c>
      <c r="D231" s="7" t="s">
        <v>35</v>
      </c>
      <c r="E231" s="8" t="s">
        <v>845</v>
      </c>
      <c r="F231" s="6" t="s">
        <v>846</v>
      </c>
      <c r="G231" s="9">
        <f>IF(A231=1,"_",IF(C231="_","???",C231))</f>
        <v/>
      </c>
      <c r="H231" s="10" t="s">
        <v>11</v>
      </c>
      <c r="I231" s="11" t="s">
        <v>11</v>
      </c>
      <c r="J231" s="12"/>
    </row>
    <row r="232" spans="1:10" ht="60" customHeight="1">
      <c r="A232" s="6" t="s">
        <v>847</v>
      </c>
      <c r="B232" s="6" t="s">
        <v>15</v>
      </c>
      <c r="C232" s="6" t="s">
        <v>11</v>
      </c>
      <c r="D232" s="7" t="s">
        <v>848</v>
      </c>
      <c r="E232" s="8" t="s">
        <v>849</v>
      </c>
      <c r="F232" s="6" t="s">
        <v>850</v>
      </c>
      <c r="G232" s="9">
        <f>IF(A232=1,"_",IF(C232="_","???",C232))</f>
        <v/>
      </c>
      <c r="H232" s="10" t="s">
        <v>11</v>
      </c>
      <c r="I232" s="11" t="s">
        <v>11</v>
      </c>
      <c r="J232" s="12"/>
    </row>
    <row r="233" spans="1:10" ht="60" customHeight="1">
      <c r="A233" s="6" t="s">
        <v>851</v>
      </c>
      <c r="B233" s="6" t="s">
        <v>15</v>
      </c>
      <c r="C233" s="6" t="s">
        <v>11</v>
      </c>
      <c r="D233" s="7" t="s">
        <v>852</v>
      </c>
      <c r="E233" s="8" t="s">
        <v>853</v>
      </c>
      <c r="F233" s="6" t="s">
        <v>854</v>
      </c>
      <c r="G233" s="9">
        <f>IF(A233=1,"_",IF(C233="_","???",C233))</f>
        <v/>
      </c>
      <c r="H233" s="10" t="s">
        <v>11</v>
      </c>
      <c r="I233" s="11" t="s">
        <v>11</v>
      </c>
      <c r="J233" s="12"/>
    </row>
    <row r="234" spans="1:10" ht="60" customHeight="1">
      <c r="A234" s="6" t="s">
        <v>855</v>
      </c>
      <c r="B234" s="6" t="s">
        <v>15</v>
      </c>
      <c r="C234" s="6" t="s">
        <v>191</v>
      </c>
      <c r="D234" s="7" t="s">
        <v>856</v>
      </c>
      <c r="E234" s="8" t="s">
        <v>857</v>
      </c>
      <c r="F234" s="6" t="s">
        <v>858</v>
      </c>
      <c r="G234" s="9">
        <f>IF(A234=1,"_",IF(C234="_","???",C234))</f>
        <v/>
      </c>
      <c r="H234" s="10" t="s">
        <v>11</v>
      </c>
      <c r="I234" s="11" t="s">
        <v>11</v>
      </c>
      <c r="J234" s="12"/>
    </row>
    <row r="235" spans="1:10" ht="60" customHeight="1">
      <c r="A235" s="6" t="s">
        <v>859</v>
      </c>
      <c r="B235" s="6" t="s">
        <v>15</v>
      </c>
      <c r="C235" s="6" t="s">
        <v>860</v>
      </c>
      <c r="D235" s="7" t="s">
        <v>35</v>
      </c>
      <c r="E235" s="8" t="s">
        <v>861</v>
      </c>
      <c r="F235" s="6" t="s">
        <v>862</v>
      </c>
      <c r="G235" s="9">
        <f>IF(A235=1,"_",IF(C235="_","???",C235))</f>
        <v/>
      </c>
      <c r="H235" s="10" t="s">
        <v>11</v>
      </c>
      <c r="I235" s="11" t="s">
        <v>11</v>
      </c>
      <c r="J235" s="12"/>
    </row>
    <row r="236" spans="1:10" ht="60" customHeight="1">
      <c r="A236" s="6" t="s">
        <v>863</v>
      </c>
      <c r="B236" s="6" t="s">
        <v>15</v>
      </c>
      <c r="C236" s="6" t="s">
        <v>11</v>
      </c>
      <c r="D236" s="7" t="s">
        <v>864</v>
      </c>
      <c r="E236" s="8" t="s">
        <v>865</v>
      </c>
      <c r="F236" s="6" t="s">
        <v>866</v>
      </c>
      <c r="G236" s="9">
        <f>IF(A236=1,"_",IF(C236="_","???",C236))</f>
        <v/>
      </c>
      <c r="H236" s="10" t="s">
        <v>11</v>
      </c>
      <c r="I236" s="11" t="s">
        <v>11</v>
      </c>
      <c r="J236" s="12"/>
    </row>
    <row r="237" spans="1:10" ht="60" customHeight="1">
      <c r="A237" s="6" t="s">
        <v>867</v>
      </c>
      <c r="B237" s="6" t="s">
        <v>10</v>
      </c>
      <c r="C237" s="6" t="s">
        <v>11</v>
      </c>
      <c r="D237" s="7" t="s">
        <v>868</v>
      </c>
      <c r="E237" s="8" t="s">
        <v>869</v>
      </c>
      <c r="F237" s="6" t="s">
        <v>870</v>
      </c>
      <c r="G237" s="9">
        <f>IF(A237=1,"_",IF(C237="_","???",C237))</f>
        <v/>
      </c>
      <c r="H237" s="10" t="s">
        <v>11</v>
      </c>
      <c r="I237" s="11" t="s">
        <v>11</v>
      </c>
      <c r="J237" s="12"/>
    </row>
    <row r="238" spans="1:10" ht="60" customHeight="1">
      <c r="A238" s="6" t="s">
        <v>871</v>
      </c>
      <c r="B238" s="6" t="s">
        <v>10</v>
      </c>
      <c r="C238" s="6" t="s">
        <v>11</v>
      </c>
      <c r="D238" s="7" t="s">
        <v>868</v>
      </c>
      <c r="E238" s="8" t="s">
        <v>869</v>
      </c>
      <c r="F238" s="6" t="s">
        <v>872</v>
      </c>
      <c r="G238" s="9">
        <f>IF(A238=1,"_",IF(C238="_","???",C238))</f>
        <v/>
      </c>
      <c r="H238" s="10" t="s">
        <v>11</v>
      </c>
      <c r="I238" s="11" t="s">
        <v>11</v>
      </c>
      <c r="J238" s="12"/>
    </row>
    <row r="239" spans="1:10" ht="60" customHeight="1">
      <c r="A239" s="6" t="s">
        <v>873</v>
      </c>
      <c r="B239" s="6" t="s">
        <v>15</v>
      </c>
      <c r="C239" s="6" t="s">
        <v>17</v>
      </c>
      <c r="D239" s="7" t="s">
        <v>196</v>
      </c>
      <c r="E239" s="8" t="s">
        <v>874</v>
      </c>
      <c r="F239" s="6" t="s">
        <v>875</v>
      </c>
      <c r="G239" s="9">
        <f>IF(A239=1,"_",IF(C239="_","???",C239))</f>
        <v/>
      </c>
      <c r="H239" s="10" t="s">
        <v>11</v>
      </c>
      <c r="I239" s="11" t="s">
        <v>11</v>
      </c>
      <c r="J239" s="12"/>
    </row>
    <row r="240" spans="1:10" ht="60" customHeight="1">
      <c r="A240" s="6" t="s">
        <v>876</v>
      </c>
      <c r="B240" s="6" t="s">
        <v>15</v>
      </c>
      <c r="C240" s="6" t="s">
        <v>17</v>
      </c>
      <c r="D240" s="7" t="s">
        <v>511</v>
      </c>
      <c r="E240" s="8" t="s">
        <v>512</v>
      </c>
      <c r="F240" s="6" t="s">
        <v>877</v>
      </c>
      <c r="G240" s="9">
        <f>IF(A240=1,"_",IF(C240="_","???",C240))</f>
        <v/>
      </c>
      <c r="H240" s="10" t="s">
        <v>11</v>
      </c>
      <c r="I240" s="11" t="s">
        <v>11</v>
      </c>
      <c r="J240" s="12"/>
    </row>
    <row r="241" spans="1:10" ht="60" customHeight="1">
      <c r="A241" s="6" t="s">
        <v>878</v>
      </c>
      <c r="B241" s="6" t="s">
        <v>16</v>
      </c>
      <c r="C241" s="6" t="s">
        <v>11</v>
      </c>
      <c r="D241" s="7" t="s">
        <v>879</v>
      </c>
      <c r="E241" s="8" t="s">
        <v>880</v>
      </c>
      <c r="F241" s="6" t="s">
        <v>881</v>
      </c>
      <c r="G241" s="9">
        <f>IF(A241=1,"_",IF(C241="_","???",C241))</f>
        <v/>
      </c>
      <c r="H241" s="10" t="s">
        <v>11</v>
      </c>
      <c r="I241" s="11" t="s">
        <v>11</v>
      </c>
      <c r="J241" s="12"/>
    </row>
    <row r="242" spans="1:10" ht="60" customHeight="1">
      <c r="A242" s="6" t="s">
        <v>882</v>
      </c>
      <c r="B242" s="6" t="s">
        <v>25</v>
      </c>
      <c r="C242" s="6" t="s">
        <v>11</v>
      </c>
      <c r="D242" s="7" t="s">
        <v>39</v>
      </c>
      <c r="E242" s="8" t="s">
        <v>883</v>
      </c>
      <c r="F242" s="6" t="s">
        <v>884</v>
      </c>
      <c r="G242" s="9">
        <f>IF(A242=1,"_",IF(C242="_","???",C242))</f>
        <v/>
      </c>
      <c r="H242" s="10" t="s">
        <v>11</v>
      </c>
      <c r="I242" s="11" t="s">
        <v>11</v>
      </c>
      <c r="J242" s="12"/>
    </row>
    <row r="243" spans="1:10" ht="60" customHeight="1">
      <c r="A243" s="6" t="s">
        <v>885</v>
      </c>
      <c r="B243" s="6" t="s">
        <v>15</v>
      </c>
      <c r="C243" s="6" t="s">
        <v>11</v>
      </c>
      <c r="D243" s="7" t="s">
        <v>453</v>
      </c>
      <c r="E243" s="8" t="s">
        <v>886</v>
      </c>
      <c r="F243" s="6" t="s">
        <v>887</v>
      </c>
      <c r="G243" s="9">
        <f>IF(A243=1,"_",IF(C243="_","???",C243))</f>
        <v/>
      </c>
      <c r="H243" s="10" t="s">
        <v>11</v>
      </c>
      <c r="I243" s="11" t="s">
        <v>11</v>
      </c>
      <c r="J243" s="12"/>
    </row>
    <row r="244" spans="1:10" ht="60" customHeight="1">
      <c r="A244" s="6" t="s">
        <v>888</v>
      </c>
      <c r="B244" s="6" t="s">
        <v>15</v>
      </c>
      <c r="C244" s="6" t="s">
        <v>11</v>
      </c>
      <c r="D244" s="7" t="s">
        <v>889</v>
      </c>
      <c r="E244" s="8" t="s">
        <v>890</v>
      </c>
      <c r="F244" s="6" t="s">
        <v>891</v>
      </c>
      <c r="G244" s="9">
        <f>IF(A244=1,"_",IF(C244="_","???",C244))</f>
        <v/>
      </c>
      <c r="H244" s="10" t="s">
        <v>11</v>
      </c>
      <c r="I244" s="11" t="s">
        <v>11</v>
      </c>
      <c r="J244" s="12"/>
    </row>
    <row r="245" spans="1:10" ht="60" customHeight="1">
      <c r="A245" s="6" t="s">
        <v>892</v>
      </c>
      <c r="B245" s="6" t="s">
        <v>15</v>
      </c>
      <c r="C245" s="6" t="s">
        <v>11</v>
      </c>
      <c r="D245" s="7" t="s">
        <v>893</v>
      </c>
      <c r="E245" s="8" t="s">
        <v>894</v>
      </c>
      <c r="F245" s="6" t="s">
        <v>895</v>
      </c>
      <c r="G245" s="9">
        <f>IF(A245=1,"_",IF(C245="_","???",C245))</f>
        <v/>
      </c>
      <c r="H245" s="10" t="s">
        <v>11</v>
      </c>
      <c r="I245" s="11" t="s">
        <v>11</v>
      </c>
      <c r="J245" s="12"/>
    </row>
    <row r="246" spans="1:10" ht="60" customHeight="1">
      <c r="A246" s="6" t="s">
        <v>896</v>
      </c>
      <c r="B246" s="6" t="s">
        <v>15</v>
      </c>
      <c r="C246" s="6" t="s">
        <v>11</v>
      </c>
      <c r="D246" s="7" t="s">
        <v>655</v>
      </c>
      <c r="E246" s="8" t="s">
        <v>897</v>
      </c>
      <c r="F246" s="6" t="s">
        <v>898</v>
      </c>
      <c r="G246" s="9">
        <f>IF(A246=1,"_",IF(C246="_","???",C246))</f>
        <v/>
      </c>
      <c r="H246" s="10" t="s">
        <v>11</v>
      </c>
      <c r="I246" s="11" t="s">
        <v>11</v>
      </c>
      <c r="J246" s="12"/>
    </row>
    <row r="247" spans="1:10" ht="60" customHeight="1">
      <c r="A247" s="6" t="s">
        <v>899</v>
      </c>
      <c r="B247" s="6" t="s">
        <v>25</v>
      </c>
      <c r="C247" s="6" t="s">
        <v>17</v>
      </c>
      <c r="D247" s="7" t="s">
        <v>22</v>
      </c>
      <c r="E247" s="8" t="s">
        <v>900</v>
      </c>
      <c r="F247" s="6" t="s">
        <v>901</v>
      </c>
      <c r="G247" s="9">
        <f>IF(A247=1,"_",IF(C247="_","???",C247))</f>
        <v/>
      </c>
      <c r="H247" s="10" t="s">
        <v>11</v>
      </c>
      <c r="I247" s="11" t="s">
        <v>11</v>
      </c>
      <c r="J247" s="12"/>
    </row>
    <row r="248" spans="1:10" ht="60" customHeight="1">
      <c r="A248" s="6" t="s">
        <v>902</v>
      </c>
      <c r="B248" s="6" t="s">
        <v>29</v>
      </c>
      <c r="C248" s="6" t="s">
        <v>308</v>
      </c>
      <c r="D248" s="7" t="s">
        <v>903</v>
      </c>
      <c r="E248" s="8" t="s">
        <v>904</v>
      </c>
      <c r="F248" s="6" t="s">
        <v>905</v>
      </c>
      <c r="G248" s="9">
        <f>IF(A248=1,"_",IF(C248="_","???",C248))</f>
        <v/>
      </c>
      <c r="H248" s="10" t="s">
        <v>11</v>
      </c>
      <c r="I248" s="11" t="s">
        <v>11</v>
      </c>
      <c r="J248" s="12"/>
    </row>
    <row r="249" spans="1:10" ht="60" customHeight="1">
      <c r="A249" s="6" t="s">
        <v>906</v>
      </c>
      <c r="B249" s="6" t="s">
        <v>25</v>
      </c>
      <c r="C249" s="6" t="s">
        <v>17</v>
      </c>
      <c r="D249" s="7" t="s">
        <v>907</v>
      </c>
      <c r="E249" s="8" t="s">
        <v>908</v>
      </c>
      <c r="F249" s="6" t="s">
        <v>909</v>
      </c>
      <c r="G249" s="9">
        <f>IF(A249=1,"_",IF(C249="_","???",C249))</f>
        <v/>
      </c>
      <c r="H249" s="10" t="s">
        <v>11</v>
      </c>
      <c r="I249" s="11" t="s">
        <v>11</v>
      </c>
      <c r="J249" s="12"/>
    </row>
    <row r="250" spans="1:10" ht="60" customHeight="1">
      <c r="A250" s="6" t="s">
        <v>910</v>
      </c>
      <c r="B250" s="6" t="s">
        <v>16</v>
      </c>
      <c r="C250" s="6" t="s">
        <v>11</v>
      </c>
      <c r="D250" s="7" t="s">
        <v>911</v>
      </c>
      <c r="E250" s="8" t="s">
        <v>912</v>
      </c>
      <c r="F250" s="6" t="s">
        <v>913</v>
      </c>
      <c r="G250" s="9">
        <f>IF(A250=1,"_",IF(C250="_","???",C250))</f>
        <v/>
      </c>
      <c r="H250" s="10" t="s">
        <v>11</v>
      </c>
      <c r="I250" s="11" t="s">
        <v>11</v>
      </c>
      <c r="J250" s="12"/>
    </row>
    <row r="251" spans="1:10" ht="60" customHeight="1">
      <c r="A251" s="6" t="s">
        <v>914</v>
      </c>
      <c r="B251" s="6" t="s">
        <v>25</v>
      </c>
      <c r="C251" s="6" t="s">
        <v>191</v>
      </c>
      <c r="D251" s="7" t="s">
        <v>915</v>
      </c>
      <c r="E251" s="8" t="s">
        <v>916</v>
      </c>
      <c r="F251" s="6" t="s">
        <v>917</v>
      </c>
      <c r="G251" s="9">
        <f>IF(A251=1,"_",IF(C251="_","???",C251))</f>
        <v/>
      </c>
      <c r="H251" s="10" t="s">
        <v>11</v>
      </c>
      <c r="I251" s="11" t="s">
        <v>11</v>
      </c>
      <c r="J251" s="12"/>
    </row>
    <row r="252" spans="1:10" ht="60" customHeight="1">
      <c r="A252" s="6" t="s">
        <v>918</v>
      </c>
      <c r="B252" s="6" t="s">
        <v>59</v>
      </c>
      <c r="C252" s="6" t="s">
        <v>17</v>
      </c>
      <c r="D252" s="7" t="s">
        <v>919</v>
      </c>
      <c r="E252" s="8" t="s">
        <v>920</v>
      </c>
      <c r="F252" s="6" t="s">
        <v>921</v>
      </c>
      <c r="G252" s="9">
        <f>IF(A252=1,"_",IF(C252="_","???",C252))</f>
        <v/>
      </c>
      <c r="H252" s="10" t="s">
        <v>11</v>
      </c>
      <c r="I252" s="11" t="s">
        <v>11</v>
      </c>
      <c r="J252" s="12"/>
    </row>
    <row r="253" spans="1:10" ht="60" customHeight="1">
      <c r="A253" s="6" t="s">
        <v>922</v>
      </c>
      <c r="B253" s="6" t="s">
        <v>15</v>
      </c>
      <c r="C253" s="6" t="s">
        <v>11</v>
      </c>
      <c r="D253" s="7" t="s">
        <v>923</v>
      </c>
      <c r="E253" s="8" t="s">
        <v>924</v>
      </c>
      <c r="F253" s="6" t="s">
        <v>925</v>
      </c>
      <c r="G253" s="9">
        <f>IF(A253=1,"_",IF(C253="_","???",C253))</f>
        <v/>
      </c>
      <c r="H253" s="10" t="s">
        <v>11</v>
      </c>
      <c r="I253" s="11" t="s">
        <v>11</v>
      </c>
      <c r="J253" s="12"/>
    </row>
    <row r="254" spans="1:10" ht="60" customHeight="1">
      <c r="A254" s="6" t="s">
        <v>926</v>
      </c>
      <c r="B254" s="6" t="s">
        <v>25</v>
      </c>
      <c r="C254" s="6" t="s">
        <v>11</v>
      </c>
      <c r="D254" s="7" t="s">
        <v>919</v>
      </c>
      <c r="E254" s="8" t="s">
        <v>927</v>
      </c>
      <c r="F254" s="6" t="s">
        <v>928</v>
      </c>
      <c r="G254" s="9">
        <f>IF(A254=1,"_",IF(C254="_","???",C254))</f>
        <v/>
      </c>
      <c r="H254" s="10" t="s">
        <v>11</v>
      </c>
      <c r="I254" s="11" t="s">
        <v>11</v>
      </c>
      <c r="J254" s="12"/>
    </row>
    <row r="255" spans="1:10" ht="60" customHeight="1">
      <c r="A255" s="6" t="s">
        <v>929</v>
      </c>
      <c r="B255" s="6" t="s">
        <v>29</v>
      </c>
      <c r="C255" s="6" t="s">
        <v>31</v>
      </c>
      <c r="D255" s="7" t="s">
        <v>39</v>
      </c>
      <c r="E255" s="8" t="s">
        <v>930</v>
      </c>
      <c r="F255" s="6" t="s">
        <v>931</v>
      </c>
      <c r="G255" s="9">
        <f>IF(A255=1,"_",IF(C255="_","???",C255))</f>
        <v/>
      </c>
      <c r="H255" s="10" t="s">
        <v>11</v>
      </c>
      <c r="I255" s="11" t="s">
        <v>11</v>
      </c>
      <c r="J255" s="12"/>
    </row>
    <row r="256" spans="1:10" ht="60" customHeight="1">
      <c r="A256" s="6" t="s">
        <v>932</v>
      </c>
      <c r="B256" s="6" t="s">
        <v>25</v>
      </c>
      <c r="C256" s="6" t="s">
        <v>11</v>
      </c>
      <c r="D256" s="7" t="s">
        <v>933</v>
      </c>
      <c r="E256" s="8" t="s">
        <v>934</v>
      </c>
      <c r="F256" s="6" t="s">
        <v>935</v>
      </c>
      <c r="G256" s="9">
        <f>IF(A256=1,"_",IF(C256="_","???",C256))</f>
        <v/>
      </c>
      <c r="H256" s="10" t="s">
        <v>11</v>
      </c>
      <c r="I256" s="11" t="s">
        <v>11</v>
      </c>
      <c r="J256" s="12"/>
    </row>
    <row r="257" spans="1:10" ht="60" customHeight="1">
      <c r="A257" s="6" t="s">
        <v>936</v>
      </c>
      <c r="B257" s="6" t="s">
        <v>15</v>
      </c>
      <c r="C257" s="6" t="s">
        <v>11</v>
      </c>
      <c r="D257" s="7" t="s">
        <v>937</v>
      </c>
      <c r="E257" s="8" t="s">
        <v>938</v>
      </c>
      <c r="F257" s="6" t="s">
        <v>939</v>
      </c>
      <c r="G257" s="9">
        <f>IF(A257=1,"_",IF(C257="_","???",C257))</f>
        <v/>
      </c>
      <c r="H257" s="10" t="s">
        <v>11</v>
      </c>
      <c r="I257" s="11" t="s">
        <v>11</v>
      </c>
      <c r="J257" s="12"/>
    </row>
    <row r="258" spans="1:10" ht="60" customHeight="1">
      <c r="A258" s="6" t="s">
        <v>940</v>
      </c>
      <c r="B258" s="6" t="s">
        <v>15</v>
      </c>
      <c r="C258" s="6" t="s">
        <v>349</v>
      </c>
      <c r="D258" s="7" t="s">
        <v>941</v>
      </c>
      <c r="E258" s="8" t="s">
        <v>942</v>
      </c>
      <c r="F258" s="6" t="s">
        <v>943</v>
      </c>
      <c r="G258" s="9">
        <f>IF(A258=1,"_",IF(C258="_","???",C258))</f>
        <v/>
      </c>
      <c r="H258" s="10" t="s">
        <v>11</v>
      </c>
      <c r="I258" s="11" t="s">
        <v>11</v>
      </c>
      <c r="J258" s="12"/>
    </row>
    <row r="259" spans="1:10" ht="60" customHeight="1">
      <c r="A259" s="6" t="s">
        <v>944</v>
      </c>
      <c r="B259" s="6" t="s">
        <v>15</v>
      </c>
      <c r="C259" s="6" t="s">
        <v>11</v>
      </c>
      <c r="D259" s="7" t="s">
        <v>945</v>
      </c>
      <c r="E259" s="8" t="s">
        <v>946</v>
      </c>
      <c r="F259" s="6" t="s">
        <v>947</v>
      </c>
      <c r="G259" s="9">
        <f>IF(A259=1,"_",IF(C259="_","???",C259))</f>
        <v/>
      </c>
      <c r="H259" s="10" t="s">
        <v>11</v>
      </c>
      <c r="I259" s="11" t="s">
        <v>11</v>
      </c>
      <c r="J259" s="12"/>
    </row>
    <row r="260" spans="1:10" ht="60" customHeight="1">
      <c r="A260" s="6" t="s">
        <v>948</v>
      </c>
      <c r="B260" s="6" t="s">
        <v>25</v>
      </c>
      <c r="C260" s="6" t="s">
        <v>31</v>
      </c>
      <c r="D260" s="7" t="s">
        <v>35</v>
      </c>
      <c r="E260" s="8" t="s">
        <v>949</v>
      </c>
      <c r="F260" s="6" t="s">
        <v>950</v>
      </c>
      <c r="G260" s="9">
        <f>IF(A260=1,"_",IF(C260="_","???",C260))</f>
        <v/>
      </c>
      <c r="H260" s="10" t="s">
        <v>11</v>
      </c>
      <c r="I260" s="11" t="s">
        <v>11</v>
      </c>
      <c r="J260" s="12"/>
    </row>
    <row r="261" spans="1:10" ht="60" customHeight="1">
      <c r="A261" s="6" t="s">
        <v>951</v>
      </c>
      <c r="B261" s="6" t="s">
        <v>78</v>
      </c>
      <c r="C261" s="6" t="s">
        <v>952</v>
      </c>
      <c r="D261" s="7" t="s">
        <v>953</v>
      </c>
      <c r="E261" s="8" t="s">
        <v>954</v>
      </c>
      <c r="F261" s="6" t="s">
        <v>955</v>
      </c>
      <c r="G261" s="9">
        <f>IF(A261=1,"_",IF(C261="_","???",C261))</f>
        <v/>
      </c>
      <c r="H261" s="10" t="s">
        <v>11</v>
      </c>
      <c r="I261" s="11" t="s">
        <v>11</v>
      </c>
      <c r="J261" s="12"/>
    </row>
    <row r="262" spans="1:10" ht="60" customHeight="1">
      <c r="A262" s="6" t="s">
        <v>956</v>
      </c>
      <c r="B262" s="6" t="s">
        <v>15</v>
      </c>
      <c r="C262" s="6" t="s">
        <v>11</v>
      </c>
      <c r="D262" s="7" t="s">
        <v>60</v>
      </c>
      <c r="E262" s="8" t="s">
        <v>957</v>
      </c>
      <c r="F262" s="6" t="s">
        <v>958</v>
      </c>
      <c r="G262" s="9">
        <f>IF(A262=1,"_",IF(C262="_","???",C262))</f>
        <v/>
      </c>
      <c r="H262" s="10" t="s">
        <v>11</v>
      </c>
      <c r="I262" s="11" t="s">
        <v>11</v>
      </c>
      <c r="J262" s="12"/>
    </row>
    <row r="263" spans="1:10" ht="60" customHeight="1">
      <c r="A263" s="6" t="s">
        <v>959</v>
      </c>
      <c r="B263" s="6" t="s">
        <v>15</v>
      </c>
      <c r="C263" s="6" t="s">
        <v>17</v>
      </c>
      <c r="D263" s="7" t="s">
        <v>960</v>
      </c>
      <c r="E263" s="8" t="s">
        <v>961</v>
      </c>
      <c r="F263" s="6" t="s">
        <v>962</v>
      </c>
      <c r="G263" s="9">
        <f>IF(A263=1,"_",IF(C263="_","???",C263))</f>
        <v/>
      </c>
      <c r="H263" s="10" t="s">
        <v>11</v>
      </c>
      <c r="I263" s="11" t="s">
        <v>11</v>
      </c>
      <c r="J263" s="12"/>
    </row>
    <row r="264" spans="1:10" ht="60" customHeight="1">
      <c r="A264" s="6" t="s">
        <v>963</v>
      </c>
      <c r="B264" s="6" t="s">
        <v>82</v>
      </c>
      <c r="C264" s="6" t="s">
        <v>87</v>
      </c>
      <c r="D264" s="7" t="s">
        <v>964</v>
      </c>
      <c r="E264" s="8" t="s">
        <v>965</v>
      </c>
      <c r="F264" s="6" t="s">
        <v>966</v>
      </c>
      <c r="G264" s="9">
        <f>IF(A264=1,"_",IF(C264="_","???",C264))</f>
        <v/>
      </c>
      <c r="H264" s="10" t="s">
        <v>11</v>
      </c>
      <c r="I264" s="11" t="s">
        <v>11</v>
      </c>
      <c r="J264" s="12"/>
    </row>
    <row r="265" spans="1:10" ht="60" customHeight="1">
      <c r="A265" s="6" t="s">
        <v>967</v>
      </c>
      <c r="B265" s="6" t="s">
        <v>10</v>
      </c>
      <c r="C265" s="6" t="s">
        <v>11</v>
      </c>
      <c r="D265" s="7" t="s">
        <v>968</v>
      </c>
      <c r="E265" s="8" t="s">
        <v>969</v>
      </c>
      <c r="F265" s="6" t="s">
        <v>970</v>
      </c>
      <c r="G265" s="9">
        <f>IF(A265=1,"_",IF(C265="_","???",C265))</f>
        <v/>
      </c>
      <c r="H265" s="10" t="s">
        <v>11</v>
      </c>
      <c r="I265" s="11" t="s">
        <v>11</v>
      </c>
      <c r="J265" s="12"/>
    </row>
    <row r="266" spans="1:10" ht="60" customHeight="1">
      <c r="A266" s="6" t="s">
        <v>971</v>
      </c>
      <c r="B266" s="6" t="s">
        <v>25</v>
      </c>
      <c r="C266" s="6" t="s">
        <v>11</v>
      </c>
      <c r="D266" s="7" t="s">
        <v>140</v>
      </c>
      <c r="E266" s="8" t="s">
        <v>972</v>
      </c>
      <c r="F266" s="6" t="s">
        <v>973</v>
      </c>
      <c r="G266" s="9">
        <f>IF(A266=1,"_",IF(C266="_","???",C266))</f>
        <v/>
      </c>
      <c r="H266" s="10" t="s">
        <v>11</v>
      </c>
      <c r="I266" s="11" t="s">
        <v>11</v>
      </c>
      <c r="J266" s="12"/>
    </row>
    <row r="267" spans="1:10" ht="60" customHeight="1">
      <c r="A267" s="6" t="s">
        <v>974</v>
      </c>
      <c r="B267" s="6" t="s">
        <v>15</v>
      </c>
      <c r="C267" s="6" t="s">
        <v>191</v>
      </c>
      <c r="D267" s="7" t="s">
        <v>975</v>
      </c>
      <c r="E267" s="8" t="s">
        <v>976</v>
      </c>
      <c r="F267" s="6" t="s">
        <v>977</v>
      </c>
      <c r="G267" s="9">
        <f>IF(A267=1,"_",IF(C267="_","???",C267))</f>
        <v/>
      </c>
      <c r="H267" s="10" t="s">
        <v>11</v>
      </c>
      <c r="I267" s="11" t="s">
        <v>11</v>
      </c>
      <c r="J267" s="12"/>
    </row>
    <row r="268" spans="1:10" ht="60" customHeight="1">
      <c r="A268" s="6" t="s">
        <v>978</v>
      </c>
      <c r="B268" s="6" t="s">
        <v>16</v>
      </c>
      <c r="C268" s="6" t="s">
        <v>11</v>
      </c>
      <c r="D268" s="7" t="s">
        <v>218</v>
      </c>
      <c r="E268" s="8" t="s">
        <v>979</v>
      </c>
      <c r="F268" s="6" t="s">
        <v>980</v>
      </c>
      <c r="G268" s="9">
        <f>IF(A268=1,"_",IF(C268="_","???",C268))</f>
        <v/>
      </c>
      <c r="H268" s="10" t="s">
        <v>11</v>
      </c>
      <c r="I268" s="11" t="s">
        <v>11</v>
      </c>
      <c r="J268" s="12"/>
    </row>
    <row r="269" spans="1:10" ht="60" customHeight="1">
      <c r="A269" s="6" t="s">
        <v>981</v>
      </c>
      <c r="B269" s="6" t="s">
        <v>16</v>
      </c>
      <c r="C269" s="6" t="s">
        <v>17</v>
      </c>
      <c r="D269" s="7" t="s">
        <v>933</v>
      </c>
      <c r="E269" s="8" t="s">
        <v>982</v>
      </c>
      <c r="F269" s="6" t="s">
        <v>983</v>
      </c>
      <c r="G269" s="9">
        <f>IF(A269=1,"_",IF(C269="_","???",C269))</f>
        <v/>
      </c>
      <c r="H269" s="10" t="s">
        <v>11</v>
      </c>
      <c r="I269" s="11" t="s">
        <v>11</v>
      </c>
      <c r="J269" s="12"/>
    </row>
    <row r="270" spans="1:10" ht="60" customHeight="1">
      <c r="A270" s="6" t="s">
        <v>984</v>
      </c>
      <c r="B270" s="6" t="s">
        <v>15</v>
      </c>
      <c r="C270" s="6" t="s">
        <v>191</v>
      </c>
      <c r="D270" s="7" t="s">
        <v>22</v>
      </c>
      <c r="E270" s="8" t="s">
        <v>985</v>
      </c>
      <c r="F270" s="6" t="s">
        <v>986</v>
      </c>
      <c r="G270" s="9">
        <f>IF(A270=1,"_",IF(C270="_","???",C270))</f>
        <v/>
      </c>
      <c r="H270" s="10" t="s">
        <v>11</v>
      </c>
      <c r="I270" s="11" t="s">
        <v>11</v>
      </c>
      <c r="J270" s="12"/>
    </row>
    <row r="271" spans="1:10" ht="60" customHeight="1">
      <c r="A271" s="6" t="s">
        <v>987</v>
      </c>
      <c r="B271" s="6" t="s">
        <v>15</v>
      </c>
      <c r="C271" s="6" t="s">
        <v>17</v>
      </c>
      <c r="D271" s="7" t="s">
        <v>35</v>
      </c>
      <c r="E271" s="8" t="s">
        <v>988</v>
      </c>
      <c r="F271" s="6" t="s">
        <v>989</v>
      </c>
      <c r="G271" s="9">
        <f>IF(A271=1,"_",IF(C271="_","???",C271))</f>
        <v/>
      </c>
      <c r="H271" s="10" t="s">
        <v>11</v>
      </c>
      <c r="I271" s="11" t="s">
        <v>11</v>
      </c>
      <c r="J271" s="12"/>
    </row>
    <row r="272" spans="1:10" ht="60" customHeight="1">
      <c r="A272" s="6" t="s">
        <v>990</v>
      </c>
      <c r="B272" s="6" t="s">
        <v>10</v>
      </c>
      <c r="C272" s="6" t="s">
        <v>11</v>
      </c>
      <c r="D272" s="7" t="s">
        <v>991</v>
      </c>
      <c r="E272" s="8" t="s">
        <v>992</v>
      </c>
      <c r="F272" s="6" t="s">
        <v>993</v>
      </c>
      <c r="G272" s="9">
        <f>IF(A272=1,"_",IF(C272="_","???",C272))</f>
        <v/>
      </c>
      <c r="H272" s="10" t="s">
        <v>11</v>
      </c>
      <c r="I272" s="11" t="s">
        <v>11</v>
      </c>
      <c r="J272" s="12"/>
    </row>
    <row r="273" spans="1:10" ht="60" customHeight="1">
      <c r="A273" s="6" t="s">
        <v>994</v>
      </c>
      <c r="B273" s="6" t="s">
        <v>10</v>
      </c>
      <c r="C273" s="6" t="s">
        <v>11</v>
      </c>
      <c r="D273" s="7" t="s">
        <v>991</v>
      </c>
      <c r="E273" s="8" t="s">
        <v>992</v>
      </c>
      <c r="F273" s="6" t="s">
        <v>995</v>
      </c>
      <c r="G273" s="9">
        <f>IF(A273=1,"_",IF(C273="_","???",C273))</f>
        <v/>
      </c>
      <c r="H273" s="10" t="s">
        <v>11</v>
      </c>
      <c r="I273" s="11" t="s">
        <v>11</v>
      </c>
      <c r="J273" s="12"/>
    </row>
    <row r="274" spans="1:10" ht="60" customHeight="1">
      <c r="A274" s="6" t="s">
        <v>996</v>
      </c>
      <c r="B274" s="6" t="s">
        <v>10</v>
      </c>
      <c r="C274" s="6" t="s">
        <v>11</v>
      </c>
      <c r="D274" s="7" t="s">
        <v>991</v>
      </c>
      <c r="E274" s="8" t="s">
        <v>992</v>
      </c>
      <c r="F274" s="6" t="s">
        <v>997</v>
      </c>
      <c r="G274" s="9">
        <f>IF(A274=1,"_",IF(C274="_","???",C274))</f>
        <v/>
      </c>
      <c r="H274" s="10" t="s">
        <v>11</v>
      </c>
      <c r="I274" s="11" t="s">
        <v>11</v>
      </c>
      <c r="J274"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219"/>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998</v>
      </c>
      <c r="B1" s="13" t="s">
        <v>999</v>
      </c>
      <c r="C1" s="13" t="s">
        <v>1000</v>
      </c>
      <c r="D1" s="13" t="s">
        <v>1001</v>
      </c>
      <c r="E1" s="14" t="s">
        <v>1002</v>
      </c>
      <c r="F1" s="15" t="s">
        <v>1003</v>
      </c>
      <c r="G1" s="16" t="s">
        <v>1004</v>
      </c>
      <c r="H1" s="17" t="s">
        <v>1005</v>
      </c>
      <c r="I1" s="18" t="s">
        <v>1006</v>
      </c>
      <c r="J1" s="18" t="s">
        <v>1007</v>
      </c>
      <c r="K1" s="18" t="s">
        <v>1008</v>
      </c>
      <c r="L1" s="19" t="s">
        <v>9</v>
      </c>
    </row>
    <row r="2" spans="1:12">
      <c r="A2" s="20" t="s">
        <v>1009</v>
      </c>
    </row>
    <row r="3" spans="1:12">
      <c r="A3" s="20" t="s">
        <v>1010</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1011</v>
      </c>
      <c r="B4" s="27" t="s">
        <v>1012</v>
      </c>
      <c r="C4" s="27" t="s">
        <v>1013</v>
      </c>
      <c r="D4" s="27" t="s">
        <v>1014</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587</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1015</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1016</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1017</v>
      </c>
      <c r="B8" s="27" t="s">
        <v>1018</v>
      </c>
      <c r="C8" s="27" t="s">
        <v>1013</v>
      </c>
      <c r="D8" s="27" t="s">
        <v>1014</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22</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1019</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18</v>
      </c>
      <c r="B11" s="27" t="s">
        <v>1020</v>
      </c>
      <c r="C11" s="27" t="s">
        <v>1021</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1022</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row>
    <row r="14" spans="1:12">
      <c r="A14" s="20" t="s">
        <v>1023</v>
      </c>
    </row>
    <row r="15" spans="1:12">
      <c r="A15" s="20" t="s">
        <v>1024</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1025</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18</v>
      </c>
      <c r="B17" s="27" t="s">
        <v>1026</v>
      </c>
      <c r="C17" s="27" t="s">
        <v>1021</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1027</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1019</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1028</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1027</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1029</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11</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1030</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18</v>
      </c>
      <c r="B25" s="27" t="s">
        <v>1026</v>
      </c>
      <c r="C25" s="27" t="s">
        <v>1021</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1027</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1031</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1032</v>
      </c>
      <c r="B28" s="27" t="s">
        <v>1033</v>
      </c>
      <c r="C28" s="27" t="s">
        <v>1013</v>
      </c>
      <c r="D28" s="27" t="s">
        <v>1014</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1011</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1019</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1034</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18</v>
      </c>
      <c r="B32" s="27" t="s">
        <v>1026</v>
      </c>
      <c r="C32" s="27" t="s">
        <v>1021</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1022</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row>
    <row r="35" spans="1:12">
      <c r="A35" s="20" t="s">
        <v>1035</v>
      </c>
    </row>
    <row r="36" spans="1:12">
      <c r="A36" s="20" t="s">
        <v>1036</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1037</v>
      </c>
      <c r="B37" s="27" t="s">
        <v>1038</v>
      </c>
      <c r="C37" s="27" t="s">
        <v>1039</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1040</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1041</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1042</v>
      </c>
      <c r="B40" s="27" t="s">
        <v>1043</v>
      </c>
      <c r="C40" s="27" t="s">
        <v>1044</v>
      </c>
      <c r="D40" s="27" t="s">
        <v>1014</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1045</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1046</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507</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1047</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1032</v>
      </c>
      <c r="B45" s="27" t="s">
        <v>1043</v>
      </c>
      <c r="C45" s="27" t="s">
        <v>1013</v>
      </c>
      <c r="D45" s="27" t="s">
        <v>1014</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1022</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row>
    <row r="48" spans="1:12">
      <c r="A48" s="20" t="s">
        <v>1048</v>
      </c>
    </row>
    <row r="49" spans="1:12">
      <c r="A49" s="20" t="s">
        <v>1036</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1049</v>
      </c>
      <c r="B50" s="27" t="s">
        <v>1038</v>
      </c>
      <c r="C50" s="27" t="s">
        <v>1013</v>
      </c>
      <c r="D50" s="27" t="s">
        <v>1014</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1050</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26</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1051</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1027</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1049</v>
      </c>
      <c r="B55" s="27" t="s">
        <v>1033</v>
      </c>
      <c r="C55" s="27" t="s">
        <v>1013</v>
      </c>
      <c r="D55" s="27" t="s">
        <v>1014</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1050</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26</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1052</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1053</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1049</v>
      </c>
      <c r="B60" s="27" t="s">
        <v>1033</v>
      </c>
      <c r="C60" s="27" t="s">
        <v>1013</v>
      </c>
      <c r="D60" s="27" t="s">
        <v>1014</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1050</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544</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1054</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1055</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1049</v>
      </c>
      <c r="B65" s="27" t="s">
        <v>1018</v>
      </c>
      <c r="C65" s="27" t="s">
        <v>1013</v>
      </c>
      <c r="D65" s="27" t="s">
        <v>1014</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810</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1022</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row>
    <row r="69" spans="1:12">
      <c r="A69" s="20" t="s">
        <v>1056</v>
      </c>
    </row>
    <row r="70" spans="1:12">
      <c r="A70" s="20" t="s">
        <v>1036</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1057</v>
      </c>
      <c r="B71" s="27" t="s">
        <v>1038</v>
      </c>
      <c r="C71" s="27" t="s">
        <v>1013</v>
      </c>
      <c r="D71" s="27" t="s">
        <v>1014</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1058</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537</v>
      </c>
      <c r="B73" s="27" t="s">
        <v>1012</v>
      </c>
      <c r="C73" s="27" t="s">
        <v>1059</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1049</v>
      </c>
      <c r="B74" s="27" t="s">
        <v>1018</v>
      </c>
      <c r="C74" s="27" t="s">
        <v>1013</v>
      </c>
      <c r="D74" s="27" t="s">
        <v>1014</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1060</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1061</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1027</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1062</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1057</v>
      </c>
      <c r="B79" s="27" t="s">
        <v>1033</v>
      </c>
      <c r="C79" s="27" t="s">
        <v>1013</v>
      </c>
      <c r="D79" s="27" t="s">
        <v>1014</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1063</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1064</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1065</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1066</v>
      </c>
      <c r="B83" s="27" t="s">
        <v>1067</v>
      </c>
      <c r="C83" s="27" t="s">
        <v>1068</v>
      </c>
      <c r="D83" s="27" t="s">
        <v>1014</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1069</v>
      </c>
      <c r="B84" s="27" t="s">
        <v>1070</v>
      </c>
      <c r="C84" s="27" t="s">
        <v>1071</v>
      </c>
      <c r="D84" s="27" t="s">
        <v>1014</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1041</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1072</v>
      </c>
      <c r="B86" s="27" t="s">
        <v>1070</v>
      </c>
      <c r="C86" s="27" t="s">
        <v>1044</v>
      </c>
      <c r="D86" s="27" t="s">
        <v>1014</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1019</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1073</v>
      </c>
      <c r="B88" s="27" t="s">
        <v>1067</v>
      </c>
      <c r="C88" s="27" t="s">
        <v>1021</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1074</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1031</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1075</v>
      </c>
      <c r="B91" s="27" t="s">
        <v>1018</v>
      </c>
      <c r="C91" s="27" t="s">
        <v>1013</v>
      </c>
      <c r="D91" s="27" t="s">
        <v>1014</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1076</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39</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1046</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26</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1077</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1022</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row>
    <row r="99" spans="1:12">
      <c r="A99" s="20" t="s">
        <v>1078</v>
      </c>
    </row>
    <row r="100" spans="1:12">
      <c r="A100" s="20" t="s">
        <v>1057</v>
      </c>
      <c r="B100" s="27" t="s">
        <v>1038</v>
      </c>
      <c r="C100" s="27" t="s">
        <v>1013</v>
      </c>
      <c r="D100" s="27" t="s">
        <v>1014</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140</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1079</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35</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1022</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row>
    <row r="106" spans="1:12">
      <c r="A106" s="20" t="s">
        <v>1080</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1081</v>
      </c>
    </row>
    <row r="108" spans="1:12">
      <c r="A108" s="20" t="s">
        <v>1082</v>
      </c>
      <c r="B108" s="27" t="s">
        <v>1038</v>
      </c>
      <c r="C108" s="27" t="s">
        <v>1013</v>
      </c>
      <c r="D108" s="27" t="s">
        <v>1014</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39</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1046</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26</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1077</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1083</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1084</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1085</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1086</v>
      </c>
      <c r="B116" s="27" t="s">
        <v>1018</v>
      </c>
      <c r="C116" s="27" t="s">
        <v>1087</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1088</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1089</v>
      </c>
      <c r="B118" s="27" t="s">
        <v>1090</v>
      </c>
      <c r="C118" s="27" t="s">
        <v>1087</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1088</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1091</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1092</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1093</v>
      </c>
      <c r="B122" s="27" t="s">
        <v>1090</v>
      </c>
      <c r="C122" s="27" t="s">
        <v>1094</v>
      </c>
      <c r="D122" s="27" t="s">
        <v>1014</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1022</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1091</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row>
    <row r="126" spans="1:12">
      <c r="A126" s="20" t="s">
        <v>1078</v>
      </c>
    </row>
    <row r="127" spans="1:12">
      <c r="A127" s="20" t="s">
        <v>1057</v>
      </c>
      <c r="B127" s="27" t="s">
        <v>1038</v>
      </c>
      <c r="C127" s="27" t="s">
        <v>1013</v>
      </c>
      <c r="D127" s="27" t="s">
        <v>1014</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140</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1079</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35</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1022</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row>
    <row r="133" spans="1:12">
      <c r="A133" s="20" t="s">
        <v>1095</v>
      </c>
    </row>
    <row r="134" spans="1:12">
      <c r="A134" s="20" t="s">
        <v>1057</v>
      </c>
      <c r="B134" s="27" t="s">
        <v>1038</v>
      </c>
      <c r="C134" s="27" t="s">
        <v>1013</v>
      </c>
      <c r="D134" s="27" t="s">
        <v>1014</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1096</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1097</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1098</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1084</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1011</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1099</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1100</v>
      </c>
      <c r="B141" s="27" t="s">
        <v>1033</v>
      </c>
      <c r="C141" s="27" t="s">
        <v>1101</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1102</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1103</v>
      </c>
      <c r="B143" s="27" t="s">
        <v>1067</v>
      </c>
      <c r="C143" s="27" t="s">
        <v>1087</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1046</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1104</v>
      </c>
      <c r="B145" s="27" t="s">
        <v>1090</v>
      </c>
      <c r="C145" s="27" t="s">
        <v>1094</v>
      </c>
      <c r="D145" s="27" t="s">
        <v>1014</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1027</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1046</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1105</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1106</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1022</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row>
    <row r="152" spans="1:12">
      <c r="A152" s="20" t="s">
        <v>1107</v>
      </c>
    </row>
    <row r="153" spans="1:12">
      <c r="A153" s="20" t="s">
        <v>1036</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1057</v>
      </c>
      <c r="B154" s="27" t="s">
        <v>1038</v>
      </c>
      <c r="C154" s="27" t="s">
        <v>1013</v>
      </c>
      <c r="D154" s="27" t="s">
        <v>1014</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49</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1098</v>
      </c>
      <c r="B156" s="27" t="s">
        <v>1012</v>
      </c>
      <c r="C156" s="27" t="s">
        <v>1108</v>
      </c>
      <c r="D156" s="27" t="s">
        <v>1014</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1022</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row>
    <row r="159" spans="1:12">
      <c r="A159" s="20" t="s">
        <v>1109</v>
      </c>
    </row>
    <row r="160" spans="1:12">
      <c r="A160" s="20" t="s">
        <v>1057</v>
      </c>
      <c r="B160" s="27" t="s">
        <v>1038</v>
      </c>
      <c r="C160" s="27" t="s">
        <v>1013</v>
      </c>
      <c r="D160" s="27" t="s">
        <v>1014</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1096</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544</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1110</v>
      </c>
      <c r="B163" s="27" t="s">
        <v>1026</v>
      </c>
      <c r="C163" s="27" t="s">
        <v>1071</v>
      </c>
      <c r="D163" s="27" t="s">
        <v>1014</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1102</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1098</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1111</v>
      </c>
      <c r="B166" s="27" t="s">
        <v>1026</v>
      </c>
      <c r="C166" s="27" t="s">
        <v>1044</v>
      </c>
      <c r="D166" s="27" t="s">
        <v>1014</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1027</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1057</v>
      </c>
      <c r="B168" s="27" t="s">
        <v>1033</v>
      </c>
      <c r="C168" s="27" t="s">
        <v>1013</v>
      </c>
      <c r="D168" s="27" t="s">
        <v>1014</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22</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1046</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495</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1022</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row>
    <row r="174" spans="1:12">
      <c r="A174" s="20" t="s">
        <v>1112</v>
      </c>
    </row>
    <row r="175" spans="1:12">
      <c r="A175" s="20" t="s">
        <v>1057</v>
      </c>
      <c r="B175" s="27" t="s">
        <v>1038</v>
      </c>
      <c r="C175" s="27" t="s">
        <v>1013</v>
      </c>
      <c r="D175" s="27" t="s">
        <v>1014</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140</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1079</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39</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1046</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26</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1077</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1027</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1031</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1032</v>
      </c>
      <c r="B184" s="27" t="s">
        <v>1033</v>
      </c>
      <c r="C184" s="27" t="s">
        <v>1013</v>
      </c>
      <c r="D184" s="27" t="s">
        <v>1014</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1011</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544</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1062</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1057</v>
      </c>
      <c r="B188" s="27" t="s">
        <v>1033</v>
      </c>
      <c r="C188" s="27" t="s">
        <v>1013</v>
      </c>
      <c r="D188" s="27" t="s">
        <v>1014</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1096</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1113</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1022</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row>
    <row r="193" spans="1:12">
      <c r="A193" s="20" t="s">
        <v>1114</v>
      </c>
    </row>
    <row r="194" spans="1:12">
      <c r="A194" s="20" t="s">
        <v>1115</v>
      </c>
      <c r="B194" s="27" t="s">
        <v>1038</v>
      </c>
      <c r="C194" s="27" t="s">
        <v>1013</v>
      </c>
      <c r="D194" s="27" t="s">
        <v>1014</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1011</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1062</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1116</v>
      </c>
      <c r="B197" s="27" t="s">
        <v>1026</v>
      </c>
      <c r="C197" s="27" t="s">
        <v>1087</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1117</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1041</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1118</v>
      </c>
      <c r="B200" s="27" t="s">
        <v>1043</v>
      </c>
      <c r="C200" s="27" t="s">
        <v>1044</v>
      </c>
      <c r="D200" s="27" t="s">
        <v>1014</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1027</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1075</v>
      </c>
      <c r="B202" s="27" t="s">
        <v>1018</v>
      </c>
      <c r="C202" s="27" t="s">
        <v>1013</v>
      </c>
      <c r="D202" s="27" t="s">
        <v>1014</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140</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1079</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26</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1077</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1027</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1075</v>
      </c>
      <c r="B208" s="27" t="s">
        <v>1018</v>
      </c>
      <c r="C208" s="27" t="s">
        <v>1013</v>
      </c>
      <c r="D208" s="27" t="s">
        <v>1014</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26</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1119</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1022</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row>
    <row r="213" spans="1:12">
      <c r="A213" s="20" t="s">
        <v>1120</v>
      </c>
    </row>
    <row r="214" spans="1:12">
      <c r="A214" s="20" t="s">
        <v>1121</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1057</v>
      </c>
      <c r="B215" s="27" t="s">
        <v>1038</v>
      </c>
      <c r="C215" s="27" t="s">
        <v>1013</v>
      </c>
      <c r="D215" s="27" t="s">
        <v>1014</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39</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1046</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507</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1040</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1122</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18</v>
      </c>
      <c r="B221" s="27" t="s">
        <v>1043</v>
      </c>
      <c r="C221" s="27" t="s">
        <v>1123</v>
      </c>
      <c r="D221" s="27" t="s">
        <v>1014</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1027</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1031</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1057</v>
      </c>
      <c r="B224" s="27" t="s">
        <v>1033</v>
      </c>
      <c r="C224" s="27" t="s">
        <v>1013</v>
      </c>
      <c r="D224" s="27" t="s">
        <v>1014</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39</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1046</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26</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1119</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1022</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row>
    <row r="231" spans="1:12">
      <c r="A231" s="20" t="s">
        <v>1124</v>
      </c>
    </row>
    <row r="232" spans="1:12">
      <c r="A232" s="20" t="s">
        <v>1125</v>
      </c>
      <c r="B232" s="27" t="s">
        <v>1038</v>
      </c>
      <c r="C232" s="27" t="s">
        <v>1108</v>
      </c>
      <c r="D232" s="27" t="s">
        <v>1014</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1126</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1122</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1127</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1034</v>
      </c>
      <c r="B236" s="27" t="s">
        <v>1038</v>
      </c>
      <c r="C236" s="27" t="s">
        <v>1123</v>
      </c>
      <c r="D236" s="27" t="s">
        <v>1014</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1084</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1011</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1128</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1064</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1117</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1041</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1118</v>
      </c>
      <c r="B243" s="27" t="s">
        <v>1026</v>
      </c>
      <c r="C243" s="27" t="s">
        <v>1044</v>
      </c>
      <c r="D243" s="27" t="s">
        <v>1014</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1129</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1130</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1131</v>
      </c>
      <c r="B246" s="27" t="s">
        <v>1026</v>
      </c>
      <c r="C246" s="27" t="s">
        <v>1021</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1098</v>
      </c>
      <c r="B247" s="27" t="s">
        <v>1020</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1049</v>
      </c>
      <c r="B248" s="27" t="s">
        <v>1018</v>
      </c>
      <c r="C248" s="27" t="s">
        <v>1013</v>
      </c>
      <c r="D248" s="27" t="s">
        <v>1014</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1132</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1046</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1061</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1133</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1134</v>
      </c>
      <c r="B253" s="27" t="s">
        <v>1135</v>
      </c>
      <c r="C253" s="27" t="s">
        <v>1087</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1027</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1136</v>
      </c>
      <c r="B255" s="27" t="s">
        <v>1137</v>
      </c>
      <c r="C255" s="27" t="s">
        <v>1087</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1027</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1138</v>
      </c>
      <c r="B257" s="27" t="s">
        <v>1137</v>
      </c>
      <c r="C257" s="27" t="s">
        <v>1087</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1027</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1139</v>
      </c>
      <c r="B259" s="27" t="s">
        <v>1137</v>
      </c>
      <c r="C259" s="27" t="s">
        <v>1087</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1027</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1140</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1141</v>
      </c>
      <c r="B262" s="27" t="s">
        <v>1142</v>
      </c>
      <c r="C262" s="27" t="s">
        <v>1087</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1102</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136</v>
      </c>
      <c r="B264" s="27" t="s">
        <v>1143</v>
      </c>
      <c r="C264" s="27" t="s">
        <v>1087</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1144</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row>
    <row r="267" spans="1:12">
      <c r="A267" s="20" t="s">
        <v>1145</v>
      </c>
    </row>
    <row r="268" spans="1:12">
      <c r="A268" s="20" t="s">
        <v>1146</v>
      </c>
      <c r="B268" s="27" t="s">
        <v>1038</v>
      </c>
      <c r="C268" s="27" t="s">
        <v>1147</v>
      </c>
      <c r="D268" s="27" t="s">
        <v>1014</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1011</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200</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1064</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1019</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1034</v>
      </c>
      <c r="B273" s="27" t="s">
        <v>1026</v>
      </c>
      <c r="C273" s="27" t="s">
        <v>1021</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1148</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1041</v>
      </c>
      <c r="B275" s="27" t="s">
        <v>1026</v>
      </c>
      <c r="C275" s="27" t="s">
        <v>1108</v>
      </c>
      <c r="D275" s="27" t="s">
        <v>1014</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1022</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row>
    <row r="278" spans="1:12">
      <c r="A278" s="20" t="s">
        <v>1149</v>
      </c>
    </row>
    <row r="279" spans="1:12">
      <c r="A279" s="20" t="s">
        <v>1150</v>
      </c>
      <c r="B279" s="27" t="s">
        <v>1043</v>
      </c>
      <c r="C279" s="27" t="s">
        <v>1068</v>
      </c>
      <c r="D279" s="27" t="s">
        <v>1014</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1151</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11</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1152</v>
      </c>
      <c r="B282" s="27" t="s">
        <v>1038</v>
      </c>
      <c r="C282" s="27" t="s">
        <v>1071</v>
      </c>
      <c r="D282" s="27" t="s">
        <v>1014</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1153</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1027</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1076</v>
      </c>
      <c r="B285" s="27" t="s">
        <v>1012</v>
      </c>
      <c r="C285" s="27" t="s">
        <v>1071</v>
      </c>
      <c r="D285" s="27" t="s">
        <v>1014</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1102</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1154</v>
      </c>
      <c r="B287" s="27" t="s">
        <v>1043</v>
      </c>
      <c r="C287" s="27" t="s">
        <v>1013</v>
      </c>
      <c r="D287" s="27" t="s">
        <v>1014</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1027</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1129</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1122</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1034</v>
      </c>
      <c r="B291" s="27" t="s">
        <v>1026</v>
      </c>
      <c r="C291" s="27" t="s">
        <v>1155</v>
      </c>
      <c r="D291" s="27" t="s">
        <v>1014</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1075</v>
      </c>
      <c r="B292" s="27" t="s">
        <v>1018</v>
      </c>
      <c r="C292" s="27" t="s">
        <v>1013</v>
      </c>
      <c r="D292" s="27" t="s">
        <v>1014</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1085</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243</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1022</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row>
    <row r="297" spans="1:12">
      <c r="A297" s="20" t="s">
        <v>1156</v>
      </c>
    </row>
    <row r="298" spans="1:12">
      <c r="A298" s="20" t="s">
        <v>1150</v>
      </c>
      <c r="B298" s="27" t="s">
        <v>1043</v>
      </c>
      <c r="C298" s="27" t="s">
        <v>1068</v>
      </c>
      <c r="D298" s="27" t="s">
        <v>1014</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1152</v>
      </c>
      <c r="B299" s="27" t="s">
        <v>1038</v>
      </c>
      <c r="C299" s="27" t="s">
        <v>1071</v>
      </c>
      <c r="D299" s="27" t="s">
        <v>1014</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1157</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1098</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1158</v>
      </c>
      <c r="B302" s="27" t="s">
        <v>1012</v>
      </c>
      <c r="C302" s="27" t="s">
        <v>1044</v>
      </c>
      <c r="D302" s="27" t="s">
        <v>1014</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1046</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278</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1022</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row>
    <row r="307" spans="1:12">
      <c r="A307" s="20" t="s">
        <v>1159</v>
      </c>
    </row>
    <row r="308" spans="1:12">
      <c r="A308" s="20" t="s">
        <v>1150</v>
      </c>
      <c r="B308" s="27" t="s">
        <v>1043</v>
      </c>
      <c r="C308" s="27" t="s">
        <v>1068</v>
      </c>
      <c r="D308" s="27" t="s">
        <v>1014</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1160</v>
      </c>
      <c r="B309" s="27" t="s">
        <v>1038</v>
      </c>
      <c r="C309" s="27" t="s">
        <v>1071</v>
      </c>
      <c r="D309" s="27" t="s">
        <v>1014</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810</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1161</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1040</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1117</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316</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1022</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row>
    <row r="317" spans="1:12">
      <c r="A317" s="20" t="s">
        <v>1162</v>
      </c>
    </row>
    <row r="318" spans="1:12">
      <c r="A318" s="20" t="s">
        <v>1121</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1084</v>
      </c>
      <c r="B319" s="27" t="s">
        <v>1026</v>
      </c>
      <c r="C319" s="27" t="s">
        <v>1163</v>
      </c>
      <c r="D319" s="27" t="s">
        <v>1014</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1164</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60</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1019</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1165</v>
      </c>
      <c r="B323" s="27" t="s">
        <v>1038</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1166</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1122</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1167</v>
      </c>
      <c r="B326" s="27" t="s">
        <v>1043</v>
      </c>
      <c r="C326" s="27" t="s">
        <v>1071</v>
      </c>
      <c r="D326" s="27" t="s">
        <v>1014</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1102</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1066</v>
      </c>
      <c r="B328" s="27" t="s">
        <v>1090</v>
      </c>
      <c r="C328" s="27" t="s">
        <v>1068</v>
      </c>
      <c r="D328" s="27" t="s">
        <v>1014</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1168</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1158</v>
      </c>
      <c r="B330" s="27" t="s">
        <v>1067</v>
      </c>
      <c r="C330" s="27" t="s">
        <v>1071</v>
      </c>
      <c r="D330" s="27" t="s">
        <v>1014</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1022</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row>
    <row r="333" spans="1:12">
      <c r="A333" s="20" t="s">
        <v>1169</v>
      </c>
    </row>
    <row r="334" spans="1:12">
      <c r="A334" s="20" t="s">
        <v>1170</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1032</v>
      </c>
      <c r="B335" s="27" t="s">
        <v>1038</v>
      </c>
      <c r="C335" s="27" t="s">
        <v>1013</v>
      </c>
      <c r="D335" s="27" t="s">
        <v>1014</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1011</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544</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1171</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1172</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1173</v>
      </c>
      <c r="B340" s="27" t="s">
        <v>1026</v>
      </c>
      <c r="C340" s="27" t="s">
        <v>1087</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1148</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1174</v>
      </c>
      <c r="B342" s="27" t="s">
        <v>1026</v>
      </c>
      <c r="C342" s="27" t="s">
        <v>1013</v>
      </c>
      <c r="D342" s="27" t="s">
        <v>1014</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1027</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1062</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1041</v>
      </c>
      <c r="B345" s="27" t="s">
        <v>1033</v>
      </c>
      <c r="C345" s="27" t="s">
        <v>1108</v>
      </c>
      <c r="D345" s="27" t="s">
        <v>1014</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1126</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1019</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1175</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1176</v>
      </c>
      <c r="B349" s="27" t="s">
        <v>1026</v>
      </c>
      <c r="C349" s="27" t="s">
        <v>1021</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1177</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1098</v>
      </c>
      <c r="B351" s="27" t="s">
        <v>1043</v>
      </c>
      <c r="C351" s="27" t="s">
        <v>1108</v>
      </c>
      <c r="D351" s="27" t="s">
        <v>1014</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1022</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row>
    <row r="354" spans="1:12">
      <c r="A354" s="20" t="s">
        <v>1178</v>
      </c>
    </row>
    <row r="355" spans="1:12">
      <c r="A355" s="20" t="s">
        <v>1024</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1179</v>
      </c>
      <c r="B356" s="27" t="s">
        <v>1038</v>
      </c>
      <c r="C356" s="27" t="s">
        <v>1021</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1180</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1040</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1181</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1182</v>
      </c>
      <c r="B360" s="27" t="s">
        <v>1067</v>
      </c>
      <c r="C360" s="27" t="s">
        <v>1094</v>
      </c>
      <c r="D360" s="27" t="s">
        <v>1014</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1183</v>
      </c>
      <c r="B361" s="27" t="s">
        <v>1043</v>
      </c>
      <c r="C361" s="27" t="s">
        <v>1087</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1050</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96</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1046</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1184</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1185</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1186</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1185</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1122</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1187</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1188</v>
      </c>
      <c r="B371" s="27" t="s">
        <v>1018</v>
      </c>
      <c r="C371" s="27" t="s">
        <v>1123</v>
      </c>
      <c r="D371" s="27" t="s">
        <v>1014</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1040</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1122</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1189</v>
      </c>
      <c r="B374" s="27" t="s">
        <v>1090</v>
      </c>
      <c r="C374" s="27" t="s">
        <v>1123</v>
      </c>
      <c r="D374" s="27" t="s">
        <v>1014</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1190</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387</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1191</v>
      </c>
      <c r="B377" s="27" t="s">
        <v>1090</v>
      </c>
      <c r="C377" s="27" t="s">
        <v>1101</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1192</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1022</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row>
    <row r="381" spans="1:12">
      <c r="A381" s="20" t="s">
        <v>1193</v>
      </c>
    </row>
    <row r="382" spans="1:12">
      <c r="A382" s="20" t="s">
        <v>1194</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1172</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1098</v>
      </c>
      <c r="B384" s="27" t="s">
        <v>1026</v>
      </c>
      <c r="C384" s="27" t="s">
        <v>1108</v>
      </c>
      <c r="D384" s="27" t="s">
        <v>1014</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1027</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1032</v>
      </c>
      <c r="B386" s="27" t="s">
        <v>1033</v>
      </c>
      <c r="C386" s="27" t="s">
        <v>1013</v>
      </c>
      <c r="D386" s="27" t="s">
        <v>1014</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1011</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1195</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1196</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1197</v>
      </c>
      <c r="B390" s="27" t="s">
        <v>1026</v>
      </c>
      <c r="C390" s="27" t="s">
        <v>1021</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1022</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row>
    <row r="393" spans="1:12">
      <c r="A393" s="20" t="s">
        <v>1198</v>
      </c>
    </row>
    <row r="394" spans="1:12">
      <c r="A394" s="20" t="s">
        <v>1036</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511</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1126</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1032</v>
      </c>
      <c r="B397" s="27" t="s">
        <v>1038</v>
      </c>
      <c r="C397" s="27" t="s">
        <v>1013</v>
      </c>
      <c r="D397" s="27" t="s">
        <v>1014</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1199</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1200</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row>
    <row r="401" spans="1:12">
      <c r="A401" s="20" t="s">
        <v>1201</v>
      </c>
    </row>
    <row r="402" spans="1:12">
      <c r="A402" s="20" t="s">
        <v>108</v>
      </c>
      <c r="B402" s="27" t="s">
        <v>1026</v>
      </c>
      <c r="C402" s="27" t="s">
        <v>1094</v>
      </c>
      <c r="D402" s="27" t="s">
        <v>1014</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1022</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row>
    <row r="405" spans="1:12">
      <c r="A405" s="20" t="s">
        <v>1202</v>
      </c>
    </row>
    <row r="406" spans="1:12">
      <c r="A406" s="20" t="s">
        <v>108</v>
      </c>
      <c r="B406" s="27" t="s">
        <v>1038</v>
      </c>
      <c r="C406" s="27" t="s">
        <v>1094</v>
      </c>
      <c r="D406" s="27" t="s">
        <v>1014</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1203</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1204</v>
      </c>
      <c r="B408" s="27" t="s">
        <v>1012</v>
      </c>
      <c r="C408" s="27" t="s">
        <v>1087</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1102</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1173</v>
      </c>
      <c r="B410" s="27" t="s">
        <v>1043</v>
      </c>
      <c r="C410" s="27" t="s">
        <v>1087</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1117</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1041</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1118</v>
      </c>
      <c r="B413" s="27" t="s">
        <v>1026</v>
      </c>
      <c r="C413" s="27" t="s">
        <v>1044</v>
      </c>
      <c r="D413" s="27" t="s">
        <v>1014</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1022</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row>
    <row r="416" spans="1:12">
      <c r="A416" s="20" t="s">
        <v>1205</v>
      </c>
    </row>
    <row r="417" spans="1:12">
      <c r="A417" s="20" t="s">
        <v>1115</v>
      </c>
      <c r="B417" s="27" t="s">
        <v>1038</v>
      </c>
      <c r="C417" s="27" t="s">
        <v>1013</v>
      </c>
      <c r="D417" s="27" t="s">
        <v>1014</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1206</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1122</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1207</v>
      </c>
      <c r="B420" s="27" t="s">
        <v>1012</v>
      </c>
      <c r="C420" s="27" t="s">
        <v>1123</v>
      </c>
      <c r="D420" s="27" t="s">
        <v>1014</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1102</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1122</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1208</v>
      </c>
      <c r="B423" s="27" t="s">
        <v>1043</v>
      </c>
      <c r="C423" s="27" t="s">
        <v>1123</v>
      </c>
      <c r="D423" s="27" t="s">
        <v>1014</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1040</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1019</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1209</v>
      </c>
      <c r="B426" s="27" t="s">
        <v>1026</v>
      </c>
      <c r="C426" s="27" t="s">
        <v>1021</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1098</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1210</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1211</v>
      </c>
      <c r="B429" s="27" t="s">
        <v>1018</v>
      </c>
      <c r="C429" s="27" t="s">
        <v>1101</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1128</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1045</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1022</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row>
    <row r="434" spans="1:12">
      <c r="A434" s="20" t="s">
        <v>1212</v>
      </c>
    </row>
    <row r="435" spans="1:12">
      <c r="A435" s="20" t="s">
        <v>1115</v>
      </c>
      <c r="B435" s="27" t="s">
        <v>1038</v>
      </c>
      <c r="C435" s="27" t="s">
        <v>1013</v>
      </c>
      <c r="D435" s="27" t="s">
        <v>1014</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1011</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1213</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1022</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row>
    <row r="440" spans="1:12">
      <c r="A440" s="20" t="s">
        <v>1214</v>
      </c>
    </row>
    <row r="441" spans="1:12">
      <c r="A441" s="20" t="s">
        <v>1115</v>
      </c>
      <c r="B441" s="27" t="s">
        <v>1038</v>
      </c>
      <c r="C441" s="27" t="s">
        <v>1013</v>
      </c>
      <c r="D441" s="27" t="s">
        <v>1014</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1011</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1215</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1022</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row>
    <row r="446" spans="1:12">
      <c r="A446" s="20" t="s">
        <v>1216</v>
      </c>
    </row>
    <row r="447" spans="1:12">
      <c r="A447" s="20" t="s">
        <v>1217</v>
      </c>
      <c r="B447" s="27" t="s">
        <v>1038</v>
      </c>
      <c r="C447" s="27" t="s">
        <v>1013</v>
      </c>
      <c r="D447" s="27" t="s">
        <v>1014</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1218</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1032</v>
      </c>
      <c r="B449" s="27" t="s">
        <v>1012</v>
      </c>
      <c r="C449" s="27" t="s">
        <v>1013</v>
      </c>
      <c r="D449" s="27" t="s">
        <v>1014</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1022</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row>
    <row r="452" spans="1:12">
      <c r="A452" s="20" t="s">
        <v>1219</v>
      </c>
    </row>
    <row r="453" spans="1:12">
      <c r="A453" s="20" t="s">
        <v>1220</v>
      </c>
      <c r="B453" s="27" t="s">
        <v>1026</v>
      </c>
      <c r="C453" s="27" t="s">
        <v>1087</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1022</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row>
    <row r="456" spans="1:12">
      <c r="A456" s="20" t="s">
        <v>1221</v>
      </c>
    </row>
    <row r="457" spans="1:12">
      <c r="A457" s="20" t="s">
        <v>1222</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1122</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1223</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1189</v>
      </c>
      <c r="B460" s="27" t="s">
        <v>1026</v>
      </c>
      <c r="C460" s="27" t="s">
        <v>1123</v>
      </c>
      <c r="D460" s="27" t="s">
        <v>1014</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1027</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1224</v>
      </c>
      <c r="B462" s="27" t="s">
        <v>1026</v>
      </c>
      <c r="C462" s="27" t="s">
        <v>1087</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1098</v>
      </c>
      <c r="B463" s="27" t="s">
        <v>1033</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1225</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1226</v>
      </c>
      <c r="B465" s="27" t="s">
        <v>1018</v>
      </c>
      <c r="C465" s="27" t="s">
        <v>1071</v>
      </c>
      <c r="D465" s="27" t="s">
        <v>1014</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1102</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1174</v>
      </c>
      <c r="B467" s="27" t="s">
        <v>1090</v>
      </c>
      <c r="C467" s="27" t="s">
        <v>1013</v>
      </c>
      <c r="D467" s="27" t="s">
        <v>1014</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1227</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1019</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1228</v>
      </c>
      <c r="B470" s="27" t="s">
        <v>1090</v>
      </c>
      <c r="C470" s="27" t="s">
        <v>1021</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1192</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1210</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1229</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1230</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1027</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1231</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1022</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row>
    <row r="479" spans="1:12">
      <c r="A479" s="20" t="s">
        <v>1232</v>
      </c>
    </row>
    <row r="480" spans="1:12">
      <c r="A480" s="20" t="s">
        <v>1233</v>
      </c>
      <c r="B480" s="27" t="s">
        <v>1038</v>
      </c>
      <c r="C480" s="27" t="s">
        <v>1094</v>
      </c>
      <c r="D480" s="27" t="s">
        <v>1014</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1027</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1234</v>
      </c>
      <c r="B482" s="27" t="s">
        <v>1043</v>
      </c>
      <c r="C482" s="27" t="s">
        <v>1087</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1027</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1235</v>
      </c>
      <c r="B484" s="27" t="s">
        <v>1043</v>
      </c>
      <c r="C484" s="27" t="s">
        <v>1087</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1144</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1236</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1237</v>
      </c>
      <c r="B487" s="27" t="s">
        <v>1033</v>
      </c>
      <c r="C487" s="27" t="s">
        <v>1039</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1171</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35</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537</v>
      </c>
      <c r="B490" s="27" t="s">
        <v>1043</v>
      </c>
      <c r="C490" s="27" t="s">
        <v>1059</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1238</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1239</v>
      </c>
      <c r="B492" s="27" t="s">
        <v>1018</v>
      </c>
      <c r="C492" s="27" t="s">
        <v>1044</v>
      </c>
      <c r="D492" s="27" t="s">
        <v>1014</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810</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1200</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row>
    <row r="496" spans="1:12">
      <c r="A496" s="20" t="s">
        <v>1240</v>
      </c>
    </row>
    <row r="497" spans="1:12">
      <c r="A497" s="20" t="s">
        <v>1241</v>
      </c>
      <c r="B497" s="27" t="s">
        <v>1026</v>
      </c>
      <c r="C497" s="27" t="s">
        <v>1087</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1027</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1242</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1243</v>
      </c>
      <c r="B500" s="27" t="s">
        <v>1026</v>
      </c>
      <c r="C500" s="27" t="s">
        <v>1087</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1027</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1244</v>
      </c>
      <c r="B502" s="27" t="s">
        <v>1067</v>
      </c>
      <c r="C502" s="27" t="s">
        <v>1068</v>
      </c>
      <c r="D502" s="27" t="s">
        <v>1014</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1245</v>
      </c>
      <c r="B503" s="27" t="s">
        <v>1033</v>
      </c>
      <c r="C503" s="27" t="s">
        <v>1071</v>
      </c>
      <c r="D503" s="27" t="s">
        <v>1014</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1046</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1246</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1204</v>
      </c>
      <c r="B506" s="27" t="s">
        <v>1135</v>
      </c>
      <c r="C506" s="27" t="s">
        <v>1087</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1102</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1173</v>
      </c>
      <c r="B508" s="27" t="s">
        <v>1137</v>
      </c>
      <c r="C508" s="27" t="s">
        <v>1087</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1027</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1238</v>
      </c>
      <c r="B510" s="27" t="s">
        <v>1033</v>
      </c>
      <c r="C510" s="27" t="s">
        <v>1108</v>
      </c>
      <c r="D510" s="27" t="s">
        <v>1014</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810</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1247</v>
      </c>
      <c r="B512" s="27" t="s">
        <v>1026</v>
      </c>
      <c r="C512" s="27" t="s">
        <v>1087</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1102</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1122</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1248</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1249</v>
      </c>
      <c r="B516" s="27" t="s">
        <v>1043</v>
      </c>
      <c r="C516" s="27" t="s">
        <v>1123</v>
      </c>
      <c r="D516" s="27" t="s">
        <v>1014</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1022</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row>
    <row r="519" spans="1:12">
      <c r="A519" s="20" t="s">
        <v>1250</v>
      </c>
    </row>
    <row r="520" spans="1:12">
      <c r="A520" s="20" t="s">
        <v>1036</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1046</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1066</v>
      </c>
      <c r="B522" s="27" t="s">
        <v>1067</v>
      </c>
      <c r="C522" s="27" t="s">
        <v>1068</v>
      </c>
      <c r="D522" s="27" t="s">
        <v>1014</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1251</v>
      </c>
      <c r="B523" s="27" t="s">
        <v>1043</v>
      </c>
      <c r="C523" s="27" t="s">
        <v>1071</v>
      </c>
      <c r="D523" s="27" t="s">
        <v>1014</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1027</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1122</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1248</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1249</v>
      </c>
      <c r="B527" s="27" t="s">
        <v>1038</v>
      </c>
      <c r="C527" s="27" t="s">
        <v>1123</v>
      </c>
      <c r="D527" s="27" t="s">
        <v>1014</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11</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1252</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1253</v>
      </c>
      <c r="B530" s="27" t="s">
        <v>1020</v>
      </c>
      <c r="C530" s="27" t="s">
        <v>1087</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1254</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1027</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1255</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1256</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1032</v>
      </c>
      <c r="B535" s="27" t="s">
        <v>1257</v>
      </c>
      <c r="C535" s="27" t="s">
        <v>1013</v>
      </c>
      <c r="D535" s="27" t="s">
        <v>1014</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1258</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1027</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1259</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1032</v>
      </c>
      <c r="B539" s="27" t="s">
        <v>1142</v>
      </c>
      <c r="C539" s="27" t="s">
        <v>1013</v>
      </c>
      <c r="D539" s="27" t="s">
        <v>1014</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1260</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1032</v>
      </c>
      <c r="B541" s="27" t="s">
        <v>1261</v>
      </c>
      <c r="C541" s="27" t="s">
        <v>1013</v>
      </c>
      <c r="D541" s="27" t="s">
        <v>1014</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1236</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1079</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11</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1126</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1262</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1102</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1122</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1151</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1263</v>
      </c>
      <c r="B550" s="27" t="s">
        <v>1026</v>
      </c>
      <c r="C550" s="27" t="s">
        <v>1123</v>
      </c>
      <c r="D550" s="27" t="s">
        <v>1014</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1102</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1264</v>
      </c>
      <c r="B552" s="27" t="s">
        <v>1043</v>
      </c>
      <c r="C552" s="27" t="s">
        <v>1087</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1022</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row>
    <row r="555" spans="1:12">
      <c r="A555" s="20" t="s">
        <v>1265</v>
      </c>
    </row>
    <row r="556" spans="1:12">
      <c r="A556" s="20" t="s">
        <v>1121</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1098</v>
      </c>
      <c r="B557" s="27" t="s">
        <v>1038</v>
      </c>
      <c r="C557" s="27" t="s">
        <v>1108</v>
      </c>
      <c r="D557" s="27" t="s">
        <v>1014</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1011</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1122</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487</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1266</v>
      </c>
      <c r="B561" s="27" t="s">
        <v>1026</v>
      </c>
      <c r="C561" s="27" t="s">
        <v>1123</v>
      </c>
      <c r="D561" s="27" t="s">
        <v>1014</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1022</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row>
    <row r="564" spans="1:12">
      <c r="A564" s="20" t="s">
        <v>1267</v>
      </c>
    </row>
    <row r="565" spans="1:12">
      <c r="A565" s="20" t="s">
        <v>1268</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1027</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1098</v>
      </c>
      <c r="B567" s="27" t="s">
        <v>1038</v>
      </c>
      <c r="C567" s="27" t="s">
        <v>1108</v>
      </c>
      <c r="D567" s="27" t="s">
        <v>1014</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1011</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1076</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1122</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487</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1266</v>
      </c>
      <c r="B572" s="27" t="s">
        <v>1026</v>
      </c>
      <c r="C572" s="27" t="s">
        <v>1123</v>
      </c>
      <c r="D572" s="27" t="s">
        <v>1014</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1062</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1084</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810</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1099</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1026</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1269</v>
      </c>
      <c r="B578" s="27" t="s">
        <v>1033</v>
      </c>
      <c r="C578" s="27" t="s">
        <v>1101</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1027</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1031</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1075</v>
      </c>
      <c r="B581" s="27" t="s">
        <v>1018</v>
      </c>
      <c r="C581" s="27" t="s">
        <v>1013</v>
      </c>
      <c r="D581" s="27" t="s">
        <v>1014</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1063</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1064</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1270</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1271</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1272</v>
      </c>
      <c r="B586" s="27" t="s">
        <v>1067</v>
      </c>
      <c r="C586" s="27" t="s">
        <v>1101</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1022</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row>
    <row r="589" spans="1:12">
      <c r="A589" s="20" t="s">
        <v>1273</v>
      </c>
    </row>
    <row r="590" spans="1:12">
      <c r="A590" s="20" t="s">
        <v>1036</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1262</v>
      </c>
      <c r="B591" s="27" t="s">
        <v>1038</v>
      </c>
      <c r="C591" s="27" t="s">
        <v>1071</v>
      </c>
      <c r="D591" s="27" t="s">
        <v>1014</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1102</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1154</v>
      </c>
      <c r="B593" s="27" t="s">
        <v>1043</v>
      </c>
      <c r="C593" s="27" t="s">
        <v>1013</v>
      </c>
      <c r="D593" s="27" t="s">
        <v>1014</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1126</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1098</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1274</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1076</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1244</v>
      </c>
      <c r="B598" s="27" t="s">
        <v>1067</v>
      </c>
      <c r="C598" s="27" t="s">
        <v>1068</v>
      </c>
      <c r="D598" s="27" t="s">
        <v>1014</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1263</v>
      </c>
      <c r="B599" s="27" t="s">
        <v>1043</v>
      </c>
      <c r="C599" s="27" t="s">
        <v>1071</v>
      </c>
      <c r="D599" s="27" t="s">
        <v>1014</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1027</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1019</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1275</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1173</v>
      </c>
      <c r="B603" s="27" t="s">
        <v>1033</v>
      </c>
      <c r="C603" s="27" t="s">
        <v>1101</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26</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1046</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1276</v>
      </c>
      <c r="B606" s="27" t="s">
        <v>1043</v>
      </c>
      <c r="C606" s="27" t="s">
        <v>1087</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1277</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1040</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1041</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1189</v>
      </c>
      <c r="B610" s="27" t="s">
        <v>1067</v>
      </c>
      <c r="C610" s="27" t="s">
        <v>1044</v>
      </c>
      <c r="D610" s="27" t="s">
        <v>1014</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1278</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1279</v>
      </c>
      <c r="B612" s="27" t="s">
        <v>1043</v>
      </c>
      <c r="C612" s="27" t="s">
        <v>1280</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1022</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row>
    <row r="615" spans="1:12">
      <c r="A615" s="20" t="s">
        <v>1281</v>
      </c>
    </row>
    <row r="616" spans="1:12">
      <c r="A616" s="20" t="s">
        <v>1282</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1158</v>
      </c>
      <c r="B617" s="27" t="s">
        <v>1038</v>
      </c>
      <c r="C617" s="27" t="s">
        <v>1044</v>
      </c>
      <c r="D617" s="27" t="s">
        <v>1014</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1011</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163</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1027</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1031</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1032</v>
      </c>
      <c r="B622" s="27" t="s">
        <v>1033</v>
      </c>
      <c r="C622" s="27" t="s">
        <v>1013</v>
      </c>
      <c r="D622" s="27" t="s">
        <v>1014</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1011</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163</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1283</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1284</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1027</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1031</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1032</v>
      </c>
      <c r="B629" s="27" t="s">
        <v>1033</v>
      </c>
      <c r="C629" s="27" t="s">
        <v>1013</v>
      </c>
      <c r="D629" s="27" t="s">
        <v>1014</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1011</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1285</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1022</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row>
    <row r="634" spans="1:12">
      <c r="A634" s="20" t="s">
        <v>1286</v>
      </c>
    </row>
    <row r="635" spans="1:12">
      <c r="A635" s="20" t="s">
        <v>1036</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544</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1287</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1098</v>
      </c>
      <c r="B638" s="27" t="s">
        <v>1012</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1027</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1017</v>
      </c>
      <c r="B640" s="27" t="s">
        <v>1038</v>
      </c>
      <c r="C640" s="27" t="s">
        <v>1013</v>
      </c>
      <c r="D640" s="27" t="s">
        <v>1014</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1063</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1288</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1244</v>
      </c>
      <c r="B643" s="27" t="s">
        <v>1043</v>
      </c>
      <c r="C643" s="27" t="s">
        <v>1068</v>
      </c>
      <c r="D643" s="27" t="s">
        <v>1014</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1289</v>
      </c>
      <c r="B644" s="27" t="s">
        <v>1012</v>
      </c>
      <c r="C644" s="27" t="s">
        <v>1071</v>
      </c>
      <c r="D644" s="27" t="s">
        <v>1014</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1046</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1290</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1291</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1041</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1208</v>
      </c>
      <c r="B649" s="27" t="s">
        <v>1070</v>
      </c>
      <c r="C649" s="27" t="s">
        <v>1044</v>
      </c>
      <c r="D649" s="27" t="s">
        <v>1014</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1022</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row>
    <row r="652" spans="1:12">
      <c r="A652" s="20" t="s">
        <v>1292</v>
      </c>
    </row>
    <row r="653" spans="1:12">
      <c r="A653" s="20" t="s">
        <v>1293</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171</v>
      </c>
      <c r="B654" s="27" t="s">
        <v>1026</v>
      </c>
      <c r="C654" s="27" t="s">
        <v>1087</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1027</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1294</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1295</v>
      </c>
      <c r="B657" s="27" t="s">
        <v>1026</v>
      </c>
      <c r="C657" s="27" t="s">
        <v>1087</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1027</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1296</v>
      </c>
      <c r="B659" s="27" t="s">
        <v>1026</v>
      </c>
      <c r="C659" s="27" t="s">
        <v>1087</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1027</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1297</v>
      </c>
      <c r="B661" s="27" t="s">
        <v>1026</v>
      </c>
      <c r="C661" s="27" t="s">
        <v>1087</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1027</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1298</v>
      </c>
      <c r="B663" s="27" t="s">
        <v>1026</v>
      </c>
      <c r="C663" s="27" t="s">
        <v>1087</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1133</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1075</v>
      </c>
      <c r="B665" s="27" t="s">
        <v>1033</v>
      </c>
      <c r="C665" s="27" t="s">
        <v>1013</v>
      </c>
      <c r="D665" s="27" t="s">
        <v>1014</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1299</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1300</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1301</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1027</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1031</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1075</v>
      </c>
      <c r="B671" s="27" t="s">
        <v>1018</v>
      </c>
      <c r="C671" s="27" t="s">
        <v>1013</v>
      </c>
      <c r="D671" s="27" t="s">
        <v>1014</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1299</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1300</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1301</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1302</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1027</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1031</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1303</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1017</v>
      </c>
      <c r="B679" s="27" t="s">
        <v>1257</v>
      </c>
      <c r="C679" s="27" t="s">
        <v>1013</v>
      </c>
      <c r="D679" s="27" t="s">
        <v>1014</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1304</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1244</v>
      </c>
      <c r="B681" s="27" t="s">
        <v>1305</v>
      </c>
      <c r="C681" s="27" t="s">
        <v>1068</v>
      </c>
      <c r="D681" s="27" t="s">
        <v>1014</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1209</v>
      </c>
      <c r="B682" s="27" t="s">
        <v>1306</v>
      </c>
      <c r="C682" s="27" t="s">
        <v>1071</v>
      </c>
      <c r="D682" s="27" t="s">
        <v>1014</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1254</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1102</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1041</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1307</v>
      </c>
      <c r="B686" s="27" t="s">
        <v>1137</v>
      </c>
      <c r="C686" s="27" t="s">
        <v>1044</v>
      </c>
      <c r="D686" s="27" t="s">
        <v>1014</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1027</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1017</v>
      </c>
      <c r="B688" s="27" t="s">
        <v>1308</v>
      </c>
      <c r="C688" s="27" t="s">
        <v>1013</v>
      </c>
      <c r="D688" s="27" t="s">
        <v>1014</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1299</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1300</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1301</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1309</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1022</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row>
    <row r="695" spans="1:12">
      <c r="A695" s="20" t="s">
        <v>1310</v>
      </c>
    </row>
    <row r="696" spans="1:12">
      <c r="A696" s="20" t="s">
        <v>1121</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1122</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1072</v>
      </c>
      <c r="B698" s="27" t="s">
        <v>1038</v>
      </c>
      <c r="C698" s="27" t="s">
        <v>1123</v>
      </c>
      <c r="D698" s="27" t="s">
        <v>1014</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1126</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1133</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1311</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1017</v>
      </c>
      <c r="B702" s="27" t="s">
        <v>1033</v>
      </c>
      <c r="C702" s="27" t="s">
        <v>1013</v>
      </c>
      <c r="D702" s="27" t="s">
        <v>1014</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140</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1098</v>
      </c>
      <c r="B704" s="27" t="s">
        <v>1070</v>
      </c>
      <c r="C704" s="27" t="s">
        <v>1108</v>
      </c>
      <c r="D704" s="27" t="s">
        <v>1014</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1200</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row>
    <row r="707" spans="1:12">
      <c r="A707" s="20" t="s">
        <v>1312</v>
      </c>
    </row>
    <row r="708" spans="1:12">
      <c r="A708" s="20" t="s">
        <v>1036</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1057</v>
      </c>
      <c r="B709" s="27" t="s">
        <v>1038</v>
      </c>
      <c r="C709" s="27" t="s">
        <v>1013</v>
      </c>
      <c r="D709" s="27" t="s">
        <v>1014</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100</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1017</v>
      </c>
      <c r="B711" s="27" t="s">
        <v>1033</v>
      </c>
      <c r="C711" s="27" t="s">
        <v>1013</v>
      </c>
      <c r="D711" s="27" t="s">
        <v>1014</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1050</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1022</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row>
    <row r="715" spans="1:12">
      <c r="A715" s="20" t="s">
        <v>1313</v>
      </c>
    </row>
    <row r="716" spans="1:12">
      <c r="A716" s="20" t="s">
        <v>1057</v>
      </c>
      <c r="B716" s="27" t="s">
        <v>1038</v>
      </c>
      <c r="C716" s="27" t="s">
        <v>1013</v>
      </c>
      <c r="D716" s="27" t="s">
        <v>1014</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100</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1032</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1011</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1314</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1098</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1017</v>
      </c>
      <c r="B722" s="27" t="s">
        <v>1018</v>
      </c>
      <c r="C722" s="27" t="s">
        <v>1013</v>
      </c>
      <c r="D722" s="27" t="s">
        <v>1014</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1050</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515</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879</v>
      </c>
      <c r="B725" s="27" t="s">
        <v>1020</v>
      </c>
      <c r="C725" s="27" t="s">
        <v>1087</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1098</v>
      </c>
      <c r="B726" s="27" t="s">
        <v>1257</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1315</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1246</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1204</v>
      </c>
      <c r="B729" s="27" t="s">
        <v>1306</v>
      </c>
      <c r="C729" s="27" t="s">
        <v>1087</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1102</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1173</v>
      </c>
      <c r="B731" s="27" t="s">
        <v>1305</v>
      </c>
      <c r="C731" s="27" t="s">
        <v>1087</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1316</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1317</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1122</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1295</v>
      </c>
      <c r="B735" s="27" t="s">
        <v>1142</v>
      </c>
      <c r="C735" s="27" t="s">
        <v>1123</v>
      </c>
      <c r="D735" s="27" t="s">
        <v>1014</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1098</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1075</v>
      </c>
      <c r="B737" s="27" t="s">
        <v>1318</v>
      </c>
      <c r="C737" s="27" t="s">
        <v>1013</v>
      </c>
      <c r="D737" s="27" t="s">
        <v>1014</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1184</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1117</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1022</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row>
    <row r="742" spans="1:12">
      <c r="A742" s="20" t="s">
        <v>1319</v>
      </c>
    </row>
    <row r="743" spans="1:12">
      <c r="A743" s="20" t="s">
        <v>1057</v>
      </c>
      <c r="B743" s="27" t="s">
        <v>1038</v>
      </c>
      <c r="C743" s="27" t="s">
        <v>1013</v>
      </c>
      <c r="D743" s="27" t="s">
        <v>1014</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100</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1017</v>
      </c>
      <c r="B745" s="27" t="s">
        <v>1033</v>
      </c>
      <c r="C745" s="27" t="s">
        <v>1013</v>
      </c>
      <c r="D745" s="27" t="s">
        <v>1014</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1050</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1320</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1041</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1189</v>
      </c>
      <c r="B749" s="27" t="s">
        <v>1070</v>
      </c>
      <c r="C749" s="27" t="s">
        <v>1044</v>
      </c>
      <c r="D749" s="27" t="s">
        <v>1014</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1321</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1322</v>
      </c>
      <c r="B751" s="27" t="s">
        <v>1043</v>
      </c>
      <c r="C751" s="27" t="s">
        <v>1087</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1098</v>
      </c>
      <c r="B752" s="27" t="s">
        <v>1308</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1236</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1079</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1323</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1324</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1032</v>
      </c>
      <c r="B757" s="27" t="s">
        <v>1135</v>
      </c>
      <c r="C757" s="27" t="s">
        <v>1013</v>
      </c>
      <c r="D757" s="27" t="s">
        <v>1014</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1022</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row>
    <row r="760" spans="1:12">
      <c r="A760" s="20" t="s">
        <v>1325</v>
      </c>
    </row>
    <row r="761" spans="1:12">
      <c r="A761" s="20" t="s">
        <v>1057</v>
      </c>
      <c r="B761" s="27" t="s">
        <v>1038</v>
      </c>
      <c r="C761" s="27" t="s">
        <v>1013</v>
      </c>
      <c r="D761" s="27" t="s">
        <v>1014</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1283</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140</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187</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1098</v>
      </c>
      <c r="B765" s="27" t="s">
        <v>1012</v>
      </c>
      <c r="C765" s="27" t="s">
        <v>1108</v>
      </c>
      <c r="D765" s="27" t="s">
        <v>1014</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1027</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1031</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1027</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1210</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1027</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1032</v>
      </c>
      <c r="B771" s="27" t="s">
        <v>1018</v>
      </c>
      <c r="C771" s="27" t="s">
        <v>1013</v>
      </c>
      <c r="D771" s="27" t="s">
        <v>1014</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1326</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1079</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1105</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1106</v>
      </c>
      <c r="B775" s="27" t="s">
        <v>1043</v>
      </c>
      <c r="C775" s="27" t="s">
        <v>1087</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1022</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row>
    <row r="778" spans="1:12">
      <c r="A778" s="20" t="s">
        <v>1327</v>
      </c>
    </row>
    <row r="779" spans="1:12">
      <c r="A779" s="20" t="s">
        <v>1170</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1016</v>
      </c>
      <c r="B780" s="27" t="s">
        <v>1026</v>
      </c>
      <c r="C780" s="27" t="s">
        <v>1163</v>
      </c>
      <c r="D780" s="27" t="s">
        <v>1014</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1011</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1122</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258</v>
      </c>
      <c r="B783" s="27" t="s">
        <v>1038</v>
      </c>
      <c r="C783" s="27" t="s">
        <v>1123</v>
      </c>
      <c r="D783" s="27" t="s">
        <v>1014</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1098</v>
      </c>
      <c r="B784" s="27" t="s">
        <v>1018</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1328</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1329</v>
      </c>
      <c r="B786" s="27" t="s">
        <v>1020</v>
      </c>
      <c r="C786" s="27" t="s">
        <v>1013</v>
      </c>
      <c r="D786" s="27" t="s">
        <v>1014</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1330</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1166</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1331</v>
      </c>
      <c r="B789" s="27" t="s">
        <v>1067</v>
      </c>
      <c r="C789" s="27" t="s">
        <v>1087</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11</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1262</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1102</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1122</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1239</v>
      </c>
      <c r="B794" s="27" t="s">
        <v>1043</v>
      </c>
      <c r="C794" s="27" t="s">
        <v>1123</v>
      </c>
      <c r="D794" s="27" t="s">
        <v>1014</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1098</v>
      </c>
      <c r="B795" s="27" t="s">
        <v>1308</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1328</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1329</v>
      </c>
      <c r="B797" s="27" t="s">
        <v>1135</v>
      </c>
      <c r="C797" s="27" t="s">
        <v>1013</v>
      </c>
      <c r="D797" s="27" t="s">
        <v>1014</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1330</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1166</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1331</v>
      </c>
      <c r="B800" s="27" t="s">
        <v>1090</v>
      </c>
      <c r="C800" s="27" t="s">
        <v>1087</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1133</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row>
    <row r="803" spans="1:12">
      <c r="A803" s="20" t="s">
        <v>1332</v>
      </c>
    </row>
    <row r="804" spans="1:12">
      <c r="A804" s="20" t="s">
        <v>1217</v>
      </c>
      <c r="B804" s="27" t="s">
        <v>1038</v>
      </c>
      <c r="C804" s="27" t="s">
        <v>1013</v>
      </c>
      <c r="D804" s="27" t="s">
        <v>1014</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1063</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200</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1333</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1334</v>
      </c>
      <c r="B808" s="27" t="s">
        <v>1012</v>
      </c>
      <c r="C808" s="27" t="s">
        <v>1087</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1040</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1335</v>
      </c>
      <c r="B810" s="27" t="s">
        <v>1043</v>
      </c>
      <c r="C810" s="27" t="s">
        <v>1087</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618</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1177</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1017</v>
      </c>
      <c r="B813" s="27" t="s">
        <v>1018</v>
      </c>
      <c r="C813" s="27" t="s">
        <v>1013</v>
      </c>
      <c r="D813" s="27" t="s">
        <v>1014</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196</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1032</v>
      </c>
      <c r="B815" s="27" t="s">
        <v>1020</v>
      </c>
      <c r="C815" s="27" t="s">
        <v>1013</v>
      </c>
      <c r="D815" s="27" t="s">
        <v>1014</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1015</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1336</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1022</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row>
    <row r="820" spans="1:12">
      <c r="A820" s="20" t="s">
        <v>1337</v>
      </c>
    </row>
    <row r="821" spans="1:12">
      <c r="A821" s="20" t="s">
        <v>1338</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1022</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row>
    <row r="824" spans="1:12">
      <c r="A824" s="20" t="s">
        <v>1339</v>
      </c>
    </row>
    <row r="825" spans="1:12">
      <c r="A825" s="20" t="s">
        <v>1036</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1017</v>
      </c>
      <c r="B826" s="27" t="s">
        <v>1038</v>
      </c>
      <c r="C826" s="27" t="s">
        <v>1013</v>
      </c>
      <c r="D826" s="27" t="s">
        <v>1014</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1063</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1323</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200</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1064</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1040</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1019</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1340</v>
      </c>
      <c r="B833" s="27" t="s">
        <v>1026</v>
      </c>
      <c r="C833" s="27" t="s">
        <v>1021</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1046</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1341</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1032</v>
      </c>
      <c r="B836" s="27" t="s">
        <v>1070</v>
      </c>
      <c r="C836" s="27" t="s">
        <v>1013</v>
      </c>
      <c r="D836" s="27" t="s">
        <v>1014</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1342</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1040</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1122</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1209</v>
      </c>
      <c r="B840" s="27" t="s">
        <v>1026</v>
      </c>
      <c r="C840" s="27" t="s">
        <v>1123</v>
      </c>
      <c r="D840" s="27" t="s">
        <v>1014</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1098</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1017</v>
      </c>
      <c r="B842" s="27" t="s">
        <v>1018</v>
      </c>
      <c r="C842" s="27" t="s">
        <v>1013</v>
      </c>
      <c r="D842" s="27" t="s">
        <v>1014</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1050</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1183</v>
      </c>
      <c r="B844" s="27" t="s">
        <v>1067</v>
      </c>
      <c r="C844" s="27" t="s">
        <v>1087</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1022</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row>
    <row r="847" spans="1:12">
      <c r="A847" s="20" t="s">
        <v>1343</v>
      </c>
    </row>
    <row r="848" spans="1:12">
      <c r="A848" s="20" t="s">
        <v>1217</v>
      </c>
      <c r="B848" s="27" t="s">
        <v>1038</v>
      </c>
      <c r="C848" s="27" t="s">
        <v>1013</v>
      </c>
      <c r="D848" s="27" t="s">
        <v>1014</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1299</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1117</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1122</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1344</v>
      </c>
      <c r="B852" s="27" t="s">
        <v>1026</v>
      </c>
      <c r="C852" s="27" t="s">
        <v>1123</v>
      </c>
      <c r="D852" s="27" t="s">
        <v>1014</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1102</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1345</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1027</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1345</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1346</v>
      </c>
      <c r="B857" s="27" t="s">
        <v>1026</v>
      </c>
      <c r="C857" s="27" t="s">
        <v>1087</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1040</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1271</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1347</v>
      </c>
      <c r="B860" s="27" t="s">
        <v>1043</v>
      </c>
      <c r="C860" s="27" t="s">
        <v>1101</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1027</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1031</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1348</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1057</v>
      </c>
      <c r="B864" s="27" t="s">
        <v>1033</v>
      </c>
      <c r="C864" s="27" t="s">
        <v>1013</v>
      </c>
      <c r="D864" s="27" t="s">
        <v>1014</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1349</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100</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1017</v>
      </c>
      <c r="B867" s="27" t="s">
        <v>1018</v>
      </c>
      <c r="C867" s="27" t="s">
        <v>1013</v>
      </c>
      <c r="D867" s="27" t="s">
        <v>1014</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1060</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22</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1046</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26</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1077</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1350</v>
      </c>
      <c r="B873" s="27" t="s">
        <v>1135</v>
      </c>
      <c r="C873" s="27" t="s">
        <v>1087</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1027</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1351</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1191</v>
      </c>
      <c r="B876" s="27" t="s">
        <v>1137</v>
      </c>
      <c r="C876" s="27" t="s">
        <v>1101</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1027</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1083</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1122</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1352</v>
      </c>
      <c r="B880" s="27" t="s">
        <v>1137</v>
      </c>
      <c r="C880" s="27" t="s">
        <v>1123</v>
      </c>
      <c r="D880" s="27" t="s">
        <v>1014</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1027</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1046</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1353</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1019</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1034</v>
      </c>
      <c r="B885" s="27" t="s">
        <v>1306</v>
      </c>
      <c r="C885" s="27" t="s">
        <v>1021</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1260</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1017</v>
      </c>
      <c r="B887" s="27" t="s">
        <v>1318</v>
      </c>
      <c r="C887" s="27" t="s">
        <v>1013</v>
      </c>
      <c r="D887" s="27" t="s">
        <v>1014</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1354</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1334</v>
      </c>
      <c r="B889" s="27" t="s">
        <v>1142</v>
      </c>
      <c r="C889" s="27" t="s">
        <v>1087</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1027</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1260</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1017</v>
      </c>
      <c r="B892" s="27" t="s">
        <v>1018</v>
      </c>
      <c r="C892" s="27" t="s">
        <v>1013</v>
      </c>
      <c r="D892" s="27" t="s">
        <v>1014</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1355</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1172</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1356</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1239</v>
      </c>
      <c r="B896" s="27" t="s">
        <v>1067</v>
      </c>
      <c r="C896" s="27" t="s">
        <v>1044</v>
      </c>
      <c r="D896" s="27" t="s">
        <v>1014</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618</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1357</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1027</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1117</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618</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1358</v>
      </c>
      <c r="B902" s="27" t="s">
        <v>1026</v>
      </c>
      <c r="C902" s="27" t="s">
        <v>1087</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1027</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1177</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1017</v>
      </c>
      <c r="B905" s="27" t="s">
        <v>1033</v>
      </c>
      <c r="C905" s="27" t="s">
        <v>1013</v>
      </c>
      <c r="D905" s="27" t="s">
        <v>1014</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140</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1336</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1022</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row>
    <row r="910" spans="1:12">
      <c r="A910" s="20" t="s">
        <v>1359</v>
      </c>
    </row>
    <row r="911" spans="1:12">
      <c r="A911" s="20" t="s">
        <v>1360</v>
      </c>
      <c r="B911" s="27" t="s">
        <v>1038</v>
      </c>
      <c r="C911" s="27" t="s">
        <v>1087</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214</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1361</v>
      </c>
      <c r="B913" s="27" t="s">
        <v>1012</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1040</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1362</v>
      </c>
      <c r="B915" s="27" t="s">
        <v>1043</v>
      </c>
      <c r="C915" s="27" t="s">
        <v>1068</v>
      </c>
      <c r="D915" s="27" t="s">
        <v>1014</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1363</v>
      </c>
      <c r="B916" s="27" t="s">
        <v>1026</v>
      </c>
      <c r="C916" s="27" t="s">
        <v>1071</v>
      </c>
      <c r="D916" s="27" t="s">
        <v>1014</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1027</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1031</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1075</v>
      </c>
      <c r="B919" s="27" t="s">
        <v>1033</v>
      </c>
      <c r="C919" s="27" t="s">
        <v>1013</v>
      </c>
      <c r="D919" s="27" t="s">
        <v>1014</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140</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1032</v>
      </c>
      <c r="B921" s="27" t="s">
        <v>1070</v>
      </c>
      <c r="C921" s="27" t="s">
        <v>1013</v>
      </c>
      <c r="D921" s="27" t="s">
        <v>1014</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1364</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1365</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1098</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1049</v>
      </c>
      <c r="B925" s="27" t="s">
        <v>1018</v>
      </c>
      <c r="C925" s="27" t="s">
        <v>1013</v>
      </c>
      <c r="D925" s="27" t="s">
        <v>1014</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1366</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1079</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218</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1154</v>
      </c>
      <c r="B929" s="27" t="s">
        <v>1020</v>
      </c>
      <c r="C929" s="27" t="s">
        <v>1013</v>
      </c>
      <c r="D929" s="27" t="s">
        <v>1014</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1367</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1022</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row>
    <row r="933" spans="1:12">
      <c r="A933" s="20" t="s">
        <v>1368</v>
      </c>
    </row>
    <row r="934" spans="1:12">
      <c r="A934" s="20" t="s">
        <v>1369</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1171</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1122</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1370</v>
      </c>
      <c r="B937" s="27" t="s">
        <v>1038</v>
      </c>
      <c r="C937" s="27" t="s">
        <v>1123</v>
      </c>
      <c r="D937" s="27" t="s">
        <v>1014</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1315</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218</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1154</v>
      </c>
      <c r="B940" s="27" t="s">
        <v>1012</v>
      </c>
      <c r="C940" s="27" t="s">
        <v>1013</v>
      </c>
      <c r="D940" s="27" t="s">
        <v>1014</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1367</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1022</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row>
    <row r="944" spans="1:12">
      <c r="A944" s="20" t="s">
        <v>1371</v>
      </c>
    </row>
    <row r="945" spans="1:12">
      <c r="A945" s="20" t="s">
        <v>1036</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1027</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1372</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1027</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1037</v>
      </c>
      <c r="B949" s="27" t="s">
        <v>1038</v>
      </c>
      <c r="C949" s="27" t="s">
        <v>1039</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1011</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1373</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1046</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1362</v>
      </c>
      <c r="B953" s="27" t="s">
        <v>1043</v>
      </c>
      <c r="C953" s="27" t="s">
        <v>1068</v>
      </c>
      <c r="D953" s="27" t="s">
        <v>1014</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1374</v>
      </c>
      <c r="B954" s="27" t="s">
        <v>1026</v>
      </c>
      <c r="C954" s="27" t="s">
        <v>1071</v>
      </c>
      <c r="D954" s="27" t="s">
        <v>1014</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1053</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1075</v>
      </c>
      <c r="B956" s="27" t="s">
        <v>1033</v>
      </c>
      <c r="C956" s="27" t="s">
        <v>1013</v>
      </c>
      <c r="D956" s="27" t="s">
        <v>1014</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1299</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1171</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1373</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1046</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1362</v>
      </c>
      <c r="B961" s="27" t="s">
        <v>1067</v>
      </c>
      <c r="C961" s="27" t="s">
        <v>1068</v>
      </c>
      <c r="D961" s="27" t="s">
        <v>1014</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1374</v>
      </c>
      <c r="B962" s="27" t="s">
        <v>1043</v>
      </c>
      <c r="C962" s="27" t="s">
        <v>1071</v>
      </c>
      <c r="D962" s="27" t="s">
        <v>1014</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1172</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1334</v>
      </c>
      <c r="B964" s="27" t="s">
        <v>1067</v>
      </c>
      <c r="C964" s="27" t="s">
        <v>1087</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1022</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row>
    <row r="967" spans="1:12">
      <c r="A967" s="20" t="s">
        <v>1375</v>
      </c>
    </row>
    <row r="968" spans="1:12">
      <c r="A968" s="20" t="s">
        <v>1170</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1049</v>
      </c>
      <c r="B969" s="27" t="s">
        <v>1038</v>
      </c>
      <c r="C969" s="27" t="s">
        <v>1013</v>
      </c>
      <c r="D969" s="27" t="s">
        <v>1014</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35</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537</v>
      </c>
      <c r="B971" s="27" t="s">
        <v>1070</v>
      </c>
      <c r="C971" s="27" t="s">
        <v>1059</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1049</v>
      </c>
      <c r="B972" s="27" t="s">
        <v>1033</v>
      </c>
      <c r="C972" s="27" t="s">
        <v>1013</v>
      </c>
      <c r="D972" s="27" t="s">
        <v>1014</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1299</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544</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1373</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1046</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1200</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row>
    <row r="979" spans="1:12">
      <c r="A979" s="20" t="s">
        <v>1376</v>
      </c>
    </row>
    <row r="980" spans="1:12">
      <c r="A980" s="20" t="s">
        <v>1377</v>
      </c>
      <c r="B980" s="27" t="s">
        <v>1038</v>
      </c>
      <c r="C980" s="27" t="s">
        <v>1013</v>
      </c>
      <c r="D980" s="27" t="s">
        <v>1014</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1299</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544</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1373</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1046</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1378</v>
      </c>
      <c r="B985" s="27" t="s">
        <v>1043</v>
      </c>
      <c r="C985" s="27" t="s">
        <v>1068</v>
      </c>
      <c r="D985" s="27" t="s">
        <v>1014</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1379</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1380</v>
      </c>
      <c r="B987" s="27" t="s">
        <v>1026</v>
      </c>
      <c r="C987" s="27" t="s">
        <v>1071</v>
      </c>
      <c r="D987" s="27" t="s">
        <v>1014</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1022</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row>
    <row r="990" spans="1:12">
      <c r="A990" s="20" t="s">
        <v>1381</v>
      </c>
    </row>
    <row r="991" spans="1:12">
      <c r="A991" s="20" t="s">
        <v>1382</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1027</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1049</v>
      </c>
      <c r="B993" s="27" t="s">
        <v>1038</v>
      </c>
      <c r="C993" s="27" t="s">
        <v>1013</v>
      </c>
      <c r="D993" s="27" t="s">
        <v>1014</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1299</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544</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1022</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row>
    <row r="998" spans="1:12">
      <c r="A998" s="20" t="s">
        <v>1383</v>
      </c>
    </row>
    <row r="999" spans="1:12">
      <c r="A999" s="20" t="s">
        <v>1036</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1041</v>
      </c>
      <c r="B1000" s="27" t="s">
        <v>1038</v>
      </c>
      <c r="C1000" s="27" t="s">
        <v>1108</v>
      </c>
      <c r="D1000" s="27" t="s">
        <v>1014</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1384</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1329</v>
      </c>
      <c r="B1002" s="27" t="s">
        <v>1012</v>
      </c>
      <c r="C1002" s="27" t="s">
        <v>1013</v>
      </c>
      <c r="D1002" s="27" t="s">
        <v>1014</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1385</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1046</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1386</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1254</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1022</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row>
    <row r="1009" spans="1:12">
      <c r="A1009" s="20" t="s">
        <v>1387</v>
      </c>
    </row>
    <row r="1010" spans="1:12">
      <c r="A1010" s="20" t="s">
        <v>1388</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1019</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1389</v>
      </c>
      <c r="B1012" s="27" t="s">
        <v>1043</v>
      </c>
      <c r="C1012" s="27" t="s">
        <v>1021</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1192</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1027</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1057</v>
      </c>
      <c r="B1015" s="27" t="s">
        <v>1038</v>
      </c>
      <c r="C1015" s="27" t="s">
        <v>1013</v>
      </c>
      <c r="D1015" s="27" t="s">
        <v>1014</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1390</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1019</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244</v>
      </c>
      <c r="B1018" s="27" t="s">
        <v>1012</v>
      </c>
      <c r="C1018" s="27" t="s">
        <v>1021</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1172</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144</v>
      </c>
      <c r="B1020" s="27" t="s">
        <v>1043</v>
      </c>
      <c r="C1020" s="27" t="s">
        <v>1087</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1391</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1392</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1181</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1393</v>
      </c>
      <c r="B1024" s="27" t="s">
        <v>1067</v>
      </c>
      <c r="C1024" s="27" t="s">
        <v>1094</v>
      </c>
      <c r="D1024" s="27" t="s">
        <v>1014</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1022</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row>
    <row r="1027" spans="1:12">
      <c r="A1027" s="20" t="s">
        <v>1394</v>
      </c>
    </row>
    <row r="1028" spans="1:12">
      <c r="A1028" s="20" t="s">
        <v>1024</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1395</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244</v>
      </c>
      <c r="B1030" s="27" t="s">
        <v>1026</v>
      </c>
      <c r="C1030" s="27" t="s">
        <v>1021</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1022</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row>
    <row r="1033" spans="1:12">
      <c r="A1033" s="20" t="s">
        <v>1396</v>
      </c>
    </row>
    <row r="1034" spans="1:12">
      <c r="A1034" s="20" t="s">
        <v>1036</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1057</v>
      </c>
      <c r="B1035" s="27" t="s">
        <v>1038</v>
      </c>
      <c r="C1035" s="27" t="s">
        <v>1013</v>
      </c>
      <c r="D1035" s="27" t="s">
        <v>1014</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1397</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248</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1046</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1353</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1398</v>
      </c>
      <c r="B1040" s="27" t="s">
        <v>1070</v>
      </c>
      <c r="C1040" s="27" t="s">
        <v>1087</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1133</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1398</v>
      </c>
      <c r="B1042" s="27" t="s">
        <v>1067</v>
      </c>
      <c r="C1042" s="27" t="s">
        <v>1087</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1046</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537</v>
      </c>
      <c r="B1044" s="27" t="s">
        <v>1067</v>
      </c>
      <c r="C1044" s="27" t="s">
        <v>1059</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1126</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1027</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1399</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1076</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1027</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1122</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1400</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1401</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1402</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1134</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1131</v>
      </c>
      <c r="B1055" s="27" t="s">
        <v>1308</v>
      </c>
      <c r="C1055" s="27" t="s">
        <v>1123</v>
      </c>
      <c r="D1055" s="27" t="s">
        <v>1014</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1040</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1403</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1404</v>
      </c>
      <c r="B1058" s="27" t="s">
        <v>1137</v>
      </c>
      <c r="C1058" s="27" t="s">
        <v>1087</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1022</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row>
    <row r="1061" spans="1:12">
      <c r="A1061" s="20" t="s">
        <v>1405</v>
      </c>
    </row>
    <row r="1062" spans="1:12">
      <c r="A1062" s="20" t="s">
        <v>1057</v>
      </c>
      <c r="B1062" s="27" t="s">
        <v>1038</v>
      </c>
      <c r="C1062" s="27" t="s">
        <v>1013</v>
      </c>
      <c r="D1062" s="27" t="s">
        <v>1014</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1190</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1079</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35</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537</v>
      </c>
      <c r="B1066" s="27" t="s">
        <v>1033</v>
      </c>
      <c r="C1066" s="27" t="s">
        <v>1059</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1046</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140</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1027</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1364</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1057</v>
      </c>
      <c r="B1071" s="27" t="s">
        <v>1033</v>
      </c>
      <c r="C1071" s="27" t="s">
        <v>1013</v>
      </c>
      <c r="D1071" s="27" t="s">
        <v>1014</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1227</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1190</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537</v>
      </c>
      <c r="B1074" s="27" t="s">
        <v>1070</v>
      </c>
      <c r="C1074" s="27" t="s">
        <v>1059</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1057</v>
      </c>
      <c r="B1075" s="27" t="s">
        <v>1308</v>
      </c>
      <c r="C1075" s="27" t="s">
        <v>1013</v>
      </c>
      <c r="D1075" s="27" t="s">
        <v>1014</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140</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1133</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1057</v>
      </c>
      <c r="B1078" s="27" t="s">
        <v>1018</v>
      </c>
      <c r="C1078" s="27" t="s">
        <v>1013</v>
      </c>
      <c r="D1078" s="27" t="s">
        <v>1014</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1390</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1019</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244</v>
      </c>
      <c r="B1081" s="27" t="s">
        <v>1020</v>
      </c>
      <c r="C1081" s="27" t="s">
        <v>1021</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1031</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1057</v>
      </c>
      <c r="B1083" s="27" t="s">
        <v>1308</v>
      </c>
      <c r="C1083" s="27" t="s">
        <v>1013</v>
      </c>
      <c r="D1083" s="27" t="s">
        <v>1014</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1406</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1117</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1022</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row>
    <row r="1088" spans="1:12">
      <c r="A1088" s="20" t="s">
        <v>1407</v>
      </c>
    </row>
    <row r="1089" spans="1:12">
      <c r="A1089" s="20" t="s">
        <v>1036</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1302</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1399</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1098</v>
      </c>
      <c r="B1092" s="27" t="s">
        <v>1043</v>
      </c>
      <c r="C1092" s="27" t="s">
        <v>1108</v>
      </c>
      <c r="D1092" s="27" t="s">
        <v>1014</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1027</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1057</v>
      </c>
      <c r="B1094" s="27" t="s">
        <v>1038</v>
      </c>
      <c r="C1094" s="27" t="s">
        <v>1013</v>
      </c>
      <c r="D1094" s="27" t="s">
        <v>1014</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1390</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1019</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244</v>
      </c>
      <c r="B1097" s="27" t="s">
        <v>1012</v>
      </c>
      <c r="C1097" s="27" t="s">
        <v>1021</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1172</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1408</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1409</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879</v>
      </c>
      <c r="B1101" s="27" t="s">
        <v>1070</v>
      </c>
      <c r="C1101" s="27" t="s">
        <v>1087</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1022</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row>
    <row r="1104" spans="1:12">
      <c r="A1104" s="20" t="s">
        <v>1410</v>
      </c>
    </row>
    <row r="1105" spans="1:12">
      <c r="A1105" s="20" t="s">
        <v>1411</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258</v>
      </c>
      <c r="B1106" s="27" t="s">
        <v>1026</v>
      </c>
      <c r="C1106" s="27" t="s">
        <v>1087</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1027</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1287</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1175</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1022</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row>
    <row r="1112" spans="1:12">
      <c r="A1112" s="20" t="s">
        <v>1412</v>
      </c>
    </row>
    <row r="1113" spans="1:12">
      <c r="A1113" s="20" t="s">
        <v>1360</v>
      </c>
      <c r="B1113" s="27" t="s">
        <v>1038</v>
      </c>
      <c r="C1113" s="27" t="s">
        <v>1087</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1085</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1300</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1413</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1022</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row>
    <row r="1119" spans="1:12">
      <c r="A1119" s="20" t="s">
        <v>1080</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1414</v>
      </c>
    </row>
    <row r="1121" spans="1:12">
      <c r="A1121" s="20" t="s">
        <v>1121</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1057</v>
      </c>
      <c r="B1122" s="27" t="s">
        <v>1038</v>
      </c>
      <c r="C1122" s="27" t="s">
        <v>1013</v>
      </c>
      <c r="D1122" s="27" t="s">
        <v>1014</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1390</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1019</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244</v>
      </c>
      <c r="B1125" s="27" t="s">
        <v>1012</v>
      </c>
      <c r="C1125" s="27" t="s">
        <v>1021</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1172</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1098</v>
      </c>
      <c r="B1127" s="27" t="s">
        <v>1043</v>
      </c>
      <c r="C1127" s="27" t="s">
        <v>1108</v>
      </c>
      <c r="D1127" s="27" t="s">
        <v>1014</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1309</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1027</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1031</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1057</v>
      </c>
      <c r="B1131" s="27" t="s">
        <v>1033</v>
      </c>
      <c r="C1131" s="27" t="s">
        <v>1013</v>
      </c>
      <c r="D1131" s="27" t="s">
        <v>1014</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1415</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1079</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49</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511</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1173</v>
      </c>
      <c r="B1136" s="27" t="s">
        <v>1018</v>
      </c>
      <c r="C1136" s="27" t="s">
        <v>1087</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1416</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1041</v>
      </c>
      <c r="B1138" s="27" t="s">
        <v>1308</v>
      </c>
      <c r="C1138" s="27" t="s">
        <v>1108</v>
      </c>
      <c r="D1138" s="27" t="s">
        <v>1014</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1397</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1091</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1417</v>
      </c>
      <c r="B1141" s="27" t="s">
        <v>1067</v>
      </c>
      <c r="C1141" s="27" t="s">
        <v>1094</v>
      </c>
      <c r="D1141" s="27" t="s">
        <v>1014</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1027</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1091</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511</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1075</v>
      </c>
      <c r="B1145" s="27" t="s">
        <v>1033</v>
      </c>
      <c r="C1145" s="27" t="s">
        <v>1013</v>
      </c>
      <c r="D1145" s="27" t="s">
        <v>1014</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1416</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1418</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1419</v>
      </c>
      <c r="B1148" s="27" t="s">
        <v>1020</v>
      </c>
      <c r="C1148" s="27" t="s">
        <v>1087</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1420</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1040</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1019</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1421</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1027</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1422</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1177</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1019</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1423</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1209</v>
      </c>
      <c r="B1158" s="27" t="s">
        <v>1067</v>
      </c>
      <c r="C1158" s="27" t="s">
        <v>1021</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1027</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1397</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1424</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1117</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1425</v>
      </c>
      <c r="B1163" s="27" t="s">
        <v>1090</v>
      </c>
      <c r="C1163" s="27" t="s">
        <v>1087</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1011</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1426</v>
      </c>
      <c r="B1165" s="27" t="s">
        <v>1067</v>
      </c>
      <c r="C1165" s="27" t="s">
        <v>1071</v>
      </c>
      <c r="D1165" s="27" t="s">
        <v>1014</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1022</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row>
    <row r="1168" spans="1:12">
      <c r="A1168" s="20" t="s">
        <v>1427</v>
      </c>
    </row>
    <row r="1169" spans="1:12">
      <c r="A1169" s="20" t="s">
        <v>1170</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1027</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1049</v>
      </c>
      <c r="B1171" s="27" t="s">
        <v>1038</v>
      </c>
      <c r="C1171" s="27" t="s">
        <v>1013</v>
      </c>
      <c r="D1171" s="27" t="s">
        <v>1014</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35</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1027</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1057</v>
      </c>
      <c r="B1174" s="27" t="s">
        <v>1033</v>
      </c>
      <c r="C1174" s="27" t="s">
        <v>1013</v>
      </c>
      <c r="D1174" s="27" t="s">
        <v>1014</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140</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537</v>
      </c>
      <c r="B1176" s="27" t="s">
        <v>1070</v>
      </c>
      <c r="C1176" s="27" t="s">
        <v>1059</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1057</v>
      </c>
      <c r="B1177" s="27" t="s">
        <v>1308</v>
      </c>
      <c r="C1177" s="27" t="s">
        <v>1013</v>
      </c>
      <c r="D1177" s="27" t="s">
        <v>1014</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140</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1022</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row>
    <row r="1181" spans="1:12">
      <c r="A1181" s="20" t="s">
        <v>1428</v>
      </c>
    </row>
    <row r="1182" spans="1:12">
      <c r="A1182" s="20" t="s">
        <v>1057</v>
      </c>
      <c r="B1182" s="27" t="s">
        <v>1038</v>
      </c>
      <c r="C1182" s="27" t="s">
        <v>1013</v>
      </c>
      <c r="D1182" s="27" t="s">
        <v>1014</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1390</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1122</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244</v>
      </c>
      <c r="B1185" s="27" t="s">
        <v>1012</v>
      </c>
      <c r="C1185" s="27" t="s">
        <v>1123</v>
      </c>
      <c r="D1185" s="27" t="s">
        <v>1014</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1027</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1057</v>
      </c>
      <c r="B1187" s="27" t="s">
        <v>1033</v>
      </c>
      <c r="C1187" s="27" t="s">
        <v>1013</v>
      </c>
      <c r="D1187" s="27" t="s">
        <v>1014</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1406</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1117</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1022</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row>
    <row r="1192" spans="1:12">
      <c r="A1192" s="20" t="s">
        <v>1429</v>
      </c>
    </row>
    <row r="1193" spans="1:12">
      <c r="A1193" s="20" t="s">
        <v>1057</v>
      </c>
      <c r="B1193" s="27" t="s">
        <v>1033</v>
      </c>
      <c r="C1193" s="27" t="s">
        <v>1013</v>
      </c>
      <c r="D1193" s="27" t="s">
        <v>1014</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923</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1027</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1057</v>
      </c>
      <c r="B1196" s="27" t="s">
        <v>1038</v>
      </c>
      <c r="C1196" s="27" t="s">
        <v>1013</v>
      </c>
      <c r="D1196" s="27" t="s">
        <v>1014</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1096</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1019</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1430</v>
      </c>
      <c r="B1199" s="27" t="s">
        <v>1026</v>
      </c>
      <c r="C1199" s="27" t="s">
        <v>1021</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1022</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row>
    <row r="1202" spans="1:12">
      <c r="A1202" s="20" t="s">
        <v>1431</v>
      </c>
    </row>
    <row r="1203" spans="1:12">
      <c r="A1203" s="20" t="s">
        <v>1217</v>
      </c>
      <c r="B1203" s="27" t="s">
        <v>1038</v>
      </c>
      <c r="C1203" s="27" t="s">
        <v>1013</v>
      </c>
      <c r="D1203" s="27" t="s">
        <v>1014</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279</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1027</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1017</v>
      </c>
      <c r="B1206" s="27" t="s">
        <v>1033</v>
      </c>
      <c r="C1206" s="27" t="s">
        <v>1013</v>
      </c>
      <c r="D1206" s="27" t="s">
        <v>1014</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1432</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1027</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1017</v>
      </c>
      <c r="B1209" s="27" t="s">
        <v>1033</v>
      </c>
      <c r="C1209" s="27" t="s">
        <v>1013</v>
      </c>
      <c r="D1209" s="27" t="s">
        <v>1014</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26</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1046</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1433</v>
      </c>
      <c r="B1212" s="27" t="s">
        <v>1043</v>
      </c>
      <c r="C1212" s="27" t="s">
        <v>1087</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1022</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row>
    <row r="1215" spans="1:12">
      <c r="A1215" s="20" t="s">
        <v>1434</v>
      </c>
    </row>
    <row r="1216" spans="1:12">
      <c r="A1216" s="20" t="s">
        <v>1115</v>
      </c>
      <c r="B1216" s="27" t="s">
        <v>1038</v>
      </c>
      <c r="C1216" s="27" t="s">
        <v>1013</v>
      </c>
      <c r="D1216" s="27" t="s">
        <v>1014</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1011</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559</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1022</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row>
    <row r="1221" spans="1:12">
      <c r="A1221" s="20" t="s">
        <v>1435</v>
      </c>
    </row>
    <row r="1222" spans="1:12">
      <c r="A1222" s="20" t="s">
        <v>1436</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1437</v>
      </c>
      <c r="B1223" s="27" t="s">
        <v>1026</v>
      </c>
      <c r="C1223" s="27" t="s">
        <v>1094</v>
      </c>
      <c r="D1223" s="27" t="s">
        <v>1014</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1438</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row>
    <row r="1226" spans="1:12">
      <c r="A1226" s="20" t="s">
        <v>1439</v>
      </c>
    </row>
    <row r="1227" spans="1:12">
      <c r="A1227" s="20" t="s">
        <v>1170</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1356</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1440</v>
      </c>
      <c r="B1229" s="27" t="s">
        <v>1038</v>
      </c>
      <c r="C1229" s="27" t="s">
        <v>1044</v>
      </c>
      <c r="D1229" s="27" t="s">
        <v>1014</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1441</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1329</v>
      </c>
      <c r="B1231" s="27" t="s">
        <v>1012</v>
      </c>
      <c r="C1231" s="27" t="s">
        <v>1013</v>
      </c>
      <c r="D1231" s="27" t="s">
        <v>1014</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1027</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1031</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1057</v>
      </c>
      <c r="B1234" s="27" t="s">
        <v>1033</v>
      </c>
      <c r="C1234" s="27" t="s">
        <v>1013</v>
      </c>
      <c r="D1234" s="27" t="s">
        <v>1014</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1415</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1079</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1386</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1254</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511</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1027</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1031</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1442</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1057</v>
      </c>
      <c r="B1243" s="27" t="s">
        <v>1308</v>
      </c>
      <c r="C1243" s="27" t="s">
        <v>1013</v>
      </c>
      <c r="D1243" s="27" t="s">
        <v>1014</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1190</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1022</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row>
    <row r="1247" spans="1:12">
      <c r="A1247" s="20" t="s">
        <v>1443</v>
      </c>
    </row>
    <row r="1248" spans="1:12">
      <c r="A1248" s="20" t="s">
        <v>1036</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1098</v>
      </c>
      <c r="B1249" s="27" t="s">
        <v>1038</v>
      </c>
      <c r="C1249" s="27" t="s">
        <v>1108</v>
      </c>
      <c r="D1249" s="27" t="s">
        <v>1014</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1011</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1062</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1238</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1444</v>
      </c>
      <c r="B1253" s="27" t="s">
        <v>1033</v>
      </c>
      <c r="C1253" s="27" t="s">
        <v>1044</v>
      </c>
      <c r="D1253" s="27" t="s">
        <v>1014</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1098</v>
      </c>
      <c r="B1254" s="27" t="s">
        <v>1308</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1085</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1445</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1329</v>
      </c>
      <c r="B1257" s="27" t="s">
        <v>1135</v>
      </c>
      <c r="C1257" s="27" t="s">
        <v>1013</v>
      </c>
      <c r="D1257" s="27" t="s">
        <v>1014</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1413</v>
      </c>
      <c r="B1258" s="27" t="s">
        <v>1308</v>
      </c>
      <c r="C1258" s="27" t="s">
        <v>1087</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1085</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1079</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1349</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1444</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1166</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1076</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1022</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row>
    <row r="1267" spans="1:12">
      <c r="A1267" s="20" t="s">
        <v>1446</v>
      </c>
    </row>
    <row r="1268" spans="1:12">
      <c r="A1268" s="20" t="s">
        <v>1082</v>
      </c>
      <c r="B1268" s="27" t="s">
        <v>1038</v>
      </c>
      <c r="C1268" s="27" t="s">
        <v>1013</v>
      </c>
      <c r="D1268" s="27" t="s">
        <v>1014</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1085</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1447</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1173</v>
      </c>
      <c r="B1271" s="27" t="s">
        <v>1026</v>
      </c>
      <c r="C1271" s="27" t="s">
        <v>1087</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1027</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1448</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1173</v>
      </c>
      <c r="B1274" s="27" t="s">
        <v>1026</v>
      </c>
      <c r="C1274" s="27" t="s">
        <v>1087</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1027</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1449</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1173</v>
      </c>
      <c r="B1277" s="27" t="s">
        <v>1026</v>
      </c>
      <c r="C1277" s="27" t="s">
        <v>1087</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1022</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row>
    <row r="1280" spans="1:12">
      <c r="A1280" s="20" t="s">
        <v>1450</v>
      </c>
    </row>
    <row r="1281" spans="1:12">
      <c r="A1281" s="20" t="s">
        <v>1082</v>
      </c>
      <c r="B1281" s="27" t="s">
        <v>1038</v>
      </c>
      <c r="C1281" s="27" t="s">
        <v>1013</v>
      </c>
      <c r="D1281" s="27" t="s">
        <v>1014</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1085</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1451</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1148</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1122</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1173</v>
      </c>
      <c r="B1286" s="27" t="s">
        <v>1026</v>
      </c>
      <c r="C1286" s="27" t="s">
        <v>1123</v>
      </c>
      <c r="D1286" s="27" t="s">
        <v>1014</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1040</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1041</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1042</v>
      </c>
      <c r="B1289" s="27" t="s">
        <v>1026</v>
      </c>
      <c r="C1289" s="27" t="s">
        <v>1044</v>
      </c>
      <c r="D1289" s="27" t="s">
        <v>1014</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1022</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row>
    <row r="1292" spans="1:12">
      <c r="A1292" s="20" t="s">
        <v>1452</v>
      </c>
    </row>
    <row r="1293" spans="1:12">
      <c r="A1293" s="20" t="s">
        <v>1036</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1032</v>
      </c>
      <c r="B1294" s="27" t="s">
        <v>1038</v>
      </c>
      <c r="C1294" s="27" t="s">
        <v>1013</v>
      </c>
      <c r="D1294" s="27" t="s">
        <v>1014</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1227</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1453</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1329</v>
      </c>
      <c r="B1297" s="27" t="s">
        <v>1012</v>
      </c>
      <c r="C1297" s="27" t="s">
        <v>1013</v>
      </c>
      <c r="D1297" s="27" t="s">
        <v>1014</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1364</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471</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1022</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row>
    <row r="1302" spans="1:12">
      <c r="A1302" s="20" t="s">
        <v>1454</v>
      </c>
    </row>
    <row r="1303" spans="1:12">
      <c r="A1303" s="20" t="s">
        <v>1170</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1455</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1057</v>
      </c>
      <c r="B1305" s="27" t="s">
        <v>1038</v>
      </c>
      <c r="C1305" s="27" t="s">
        <v>1013</v>
      </c>
      <c r="D1305" s="27" t="s">
        <v>1014</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1416</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1027</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1049</v>
      </c>
      <c r="B1308" s="27" t="s">
        <v>1033</v>
      </c>
      <c r="C1308" s="27" t="s">
        <v>1013</v>
      </c>
      <c r="D1308" s="27" t="s">
        <v>1014</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35</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1027</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12</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1011</v>
      </c>
      <c r="B1312" s="27" t="s">
        <v>1070</v>
      </c>
      <c r="C1312" s="27" t="s">
        <v>1013</v>
      </c>
      <c r="D1312" s="27" t="s">
        <v>1014</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60</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1456</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1022</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row>
    <row r="1317" spans="1:12">
      <c r="A1317" s="20" t="s">
        <v>1457</v>
      </c>
    </row>
    <row r="1318" spans="1:12">
      <c r="A1318" s="20" t="s">
        <v>1217</v>
      </c>
      <c r="B1318" s="27" t="s">
        <v>1038</v>
      </c>
      <c r="C1318" s="27" t="s">
        <v>1013</v>
      </c>
      <c r="D1318" s="27" t="s">
        <v>1014</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1299</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1166</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1019</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1458</v>
      </c>
      <c r="B1322" s="27" t="s">
        <v>1026</v>
      </c>
      <c r="C1322" s="27" t="s">
        <v>1021</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1040</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1041</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1189</v>
      </c>
      <c r="B1325" s="27" t="s">
        <v>1026</v>
      </c>
      <c r="C1325" s="27" t="s">
        <v>1044</v>
      </c>
      <c r="D1325" s="27" t="s">
        <v>1014</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1055</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1017</v>
      </c>
      <c r="B1327" s="27" t="s">
        <v>1033</v>
      </c>
      <c r="C1327" s="27" t="s">
        <v>1013</v>
      </c>
      <c r="D1327" s="27" t="s">
        <v>1014</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140</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1079</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22</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1122</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1459</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1460</v>
      </c>
      <c r="B1333" s="27" t="s">
        <v>1070</v>
      </c>
      <c r="C1333" s="27" t="s">
        <v>1123</v>
      </c>
      <c r="D1333" s="27" t="s">
        <v>1014</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1046</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1334</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1098</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1017</v>
      </c>
      <c r="B1337" s="27" t="s">
        <v>1257</v>
      </c>
      <c r="C1337" s="27" t="s">
        <v>1013</v>
      </c>
      <c r="D1337" s="27" t="s">
        <v>1014</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1288</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1046</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1022</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row>
    <row r="1342" spans="1:12">
      <c r="A1342" s="20" t="s">
        <v>1461</v>
      </c>
    </row>
    <row r="1343" spans="1:12">
      <c r="A1343" s="20" t="s">
        <v>1217</v>
      </c>
      <c r="B1343" s="27" t="s">
        <v>1038</v>
      </c>
      <c r="C1343" s="27" t="s">
        <v>1013</v>
      </c>
      <c r="D1343" s="27" t="s">
        <v>1014</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317</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1172</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1032</v>
      </c>
      <c r="B1346" s="27" t="s">
        <v>1026</v>
      </c>
      <c r="C1346" s="27" t="s">
        <v>1013</v>
      </c>
      <c r="D1346" s="27" t="s">
        <v>1014</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1462</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1022</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row>
    <row r="1350" spans="1:12">
      <c r="A1350" s="20" t="s">
        <v>1080</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1463</v>
      </c>
    </row>
    <row r="1352" spans="1:12">
      <c r="A1352" s="20" t="s">
        <v>1217</v>
      </c>
      <c r="B1352" s="27" t="s">
        <v>1038</v>
      </c>
      <c r="C1352" s="27" t="s">
        <v>1013</v>
      </c>
      <c r="D1352" s="27" t="s">
        <v>1014</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317</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1172</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1032</v>
      </c>
      <c r="B1355" s="27" t="s">
        <v>1026</v>
      </c>
      <c r="C1355" s="27" t="s">
        <v>1013</v>
      </c>
      <c r="D1355" s="27" t="s">
        <v>1014</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1040</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1464</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1465</v>
      </c>
      <c r="B1358" s="27" t="s">
        <v>1026</v>
      </c>
      <c r="C1358" s="27" t="s">
        <v>1087</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1321</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1395</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1466</v>
      </c>
      <c r="B1361" s="27" t="s">
        <v>1026</v>
      </c>
      <c r="C1361" s="27" t="s">
        <v>1087</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1420</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1032</v>
      </c>
      <c r="B1363" s="27" t="s">
        <v>1043</v>
      </c>
      <c r="C1363" s="27" t="s">
        <v>1013</v>
      </c>
      <c r="D1363" s="27" t="s">
        <v>1014</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1133</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1091</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1334</v>
      </c>
      <c r="B1366" s="27" t="s">
        <v>1012</v>
      </c>
      <c r="C1366" s="27" t="s">
        <v>1087</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1022</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1091</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row>
    <row r="1370" spans="1:12">
      <c r="A1370" s="20" t="s">
        <v>1467</v>
      </c>
    </row>
    <row r="1371" spans="1:12">
      <c r="A1371" s="20" t="s">
        <v>1468</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1027</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1084</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810</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1469</v>
      </c>
      <c r="B1375" s="27" t="s">
        <v>1038</v>
      </c>
      <c r="C1375" s="27" t="s">
        <v>1087</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1391</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1098</v>
      </c>
      <c r="B1377" s="27" t="s">
        <v>1043</v>
      </c>
      <c r="C1377" s="27" t="s">
        <v>1108</v>
      </c>
      <c r="D1377" s="27" t="s">
        <v>1014</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1027</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1031</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1057</v>
      </c>
      <c r="B1380" s="27" t="s">
        <v>1033</v>
      </c>
      <c r="C1380" s="27" t="s">
        <v>1013</v>
      </c>
      <c r="D1380" s="27" t="s">
        <v>1014</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100</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1017</v>
      </c>
      <c r="B1382" s="27" t="s">
        <v>1018</v>
      </c>
      <c r="C1382" s="27" t="s">
        <v>1013</v>
      </c>
      <c r="D1382" s="27" t="s">
        <v>1014</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35</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537</v>
      </c>
      <c r="B1384" s="27" t="s">
        <v>1135</v>
      </c>
      <c r="C1384" s="27" t="s">
        <v>1059</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1238</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1469</v>
      </c>
      <c r="B1386" s="27" t="s">
        <v>1308</v>
      </c>
      <c r="C1386" s="27" t="s">
        <v>1044</v>
      </c>
      <c r="D1386" s="27" t="s">
        <v>1014</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810</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1022</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row>
    <row r="1390" spans="1:12">
      <c r="A1390" s="20" t="s">
        <v>1470</v>
      </c>
    </row>
    <row r="1391" spans="1:12">
      <c r="A1391" s="20" t="s">
        <v>1217</v>
      </c>
      <c r="B1391" s="27" t="s">
        <v>1038</v>
      </c>
      <c r="C1391" s="27" t="s">
        <v>1013</v>
      </c>
      <c r="D1391" s="27" t="s">
        <v>1014</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1063</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1471</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1472</v>
      </c>
      <c r="B1394" s="27" t="s">
        <v>1012</v>
      </c>
      <c r="C1394" s="27" t="s">
        <v>1087</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1040</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1473</v>
      </c>
      <c r="B1396" s="27" t="s">
        <v>1026</v>
      </c>
      <c r="C1396" s="27" t="s">
        <v>1087</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1027</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1040</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1474</v>
      </c>
      <c r="B1399" s="27" t="s">
        <v>1026</v>
      </c>
      <c r="C1399" s="27" t="s">
        <v>1087</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1027</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1031</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1475</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1040</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1335</v>
      </c>
      <c r="B1404" s="27" t="s">
        <v>1026</v>
      </c>
      <c r="C1404" s="27" t="s">
        <v>1087</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1476</v>
      </c>
      <c r="B1405" s="27" t="s">
        <v>1043</v>
      </c>
      <c r="C1405" s="27" t="s">
        <v>1013</v>
      </c>
      <c r="D1405" s="27" t="s">
        <v>1014</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1027</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1031</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1084</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1011</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1210</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1477</v>
      </c>
      <c r="B1411" s="27" t="s">
        <v>1033</v>
      </c>
      <c r="C1411" s="27" t="s">
        <v>1101</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1017</v>
      </c>
      <c r="B1412" s="27" t="s">
        <v>1308</v>
      </c>
      <c r="C1412" s="27" t="s">
        <v>1013</v>
      </c>
      <c r="D1412" s="27" t="s">
        <v>1014</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1478</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1079</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22</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1022</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row>
    <row r="1418" spans="1:12">
      <c r="A1418" s="20" t="s">
        <v>1479</v>
      </c>
    </row>
    <row r="1419" spans="1:12">
      <c r="A1419" s="20" t="s">
        <v>1377</v>
      </c>
      <c r="B1419" s="27" t="s">
        <v>1038</v>
      </c>
      <c r="C1419" s="27" t="s">
        <v>1013</v>
      </c>
      <c r="D1419" s="27" t="s">
        <v>1014</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1050</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1227</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495</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1019</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1480</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1481</v>
      </c>
      <c r="B1425" s="27" t="s">
        <v>1033</v>
      </c>
      <c r="C1425" s="27" t="s">
        <v>1021</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1031</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1173</v>
      </c>
      <c r="B1427" s="27" t="s">
        <v>1067</v>
      </c>
      <c r="C1427" s="27" t="s">
        <v>1087</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1315</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49</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1022</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row>
    <row r="1432" spans="1:12">
      <c r="A1432" s="20" t="s">
        <v>1482</v>
      </c>
    </row>
    <row r="1433" spans="1:12">
      <c r="A1433" s="20" t="s">
        <v>335</v>
      </c>
      <c r="B1433" s="27" t="s">
        <v>1026</v>
      </c>
      <c r="C1433" s="27" t="s">
        <v>1094</v>
      </c>
      <c r="D1433" s="27" t="s">
        <v>1014</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1027</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1483</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1027</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1122</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1484</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1027</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1485</v>
      </c>
      <c r="B1440" s="27" t="s">
        <v>1067</v>
      </c>
      <c r="C1440" s="27" t="s">
        <v>1094</v>
      </c>
      <c r="D1440" s="27" t="s">
        <v>1014</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1027</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1486</v>
      </c>
      <c r="B1442" s="27" t="s">
        <v>1067</v>
      </c>
      <c r="C1442" s="27" t="s">
        <v>1087</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1102</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1487</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1488</v>
      </c>
      <c r="B1445" s="27" t="s">
        <v>1090</v>
      </c>
      <c r="C1445" s="27" t="s">
        <v>1087</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1027</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1489</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1490</v>
      </c>
      <c r="B1448" s="27" t="s">
        <v>1026</v>
      </c>
      <c r="C1448" s="27" t="s">
        <v>1123</v>
      </c>
      <c r="D1448" s="27" t="s">
        <v>1014</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1022</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row>
    <row r="1451" spans="1:12">
      <c r="A1451" s="20" t="s">
        <v>1491</v>
      </c>
    </row>
    <row r="1452" spans="1:12">
      <c r="A1452" s="20" t="s">
        <v>1377</v>
      </c>
      <c r="B1452" s="27" t="s">
        <v>1038</v>
      </c>
      <c r="C1452" s="27" t="s">
        <v>1013</v>
      </c>
      <c r="D1452" s="27" t="s">
        <v>1014</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35</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1027</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1049</v>
      </c>
      <c r="B1455" s="27" t="s">
        <v>1033</v>
      </c>
      <c r="C1455" s="27" t="s">
        <v>1013</v>
      </c>
      <c r="D1455" s="27" t="s">
        <v>1014</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1050</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1061</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1378</v>
      </c>
      <c r="B1458" s="27" t="s">
        <v>1067</v>
      </c>
      <c r="C1458" s="27" t="s">
        <v>1068</v>
      </c>
      <c r="D1458" s="27" t="s">
        <v>1014</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1492</v>
      </c>
      <c r="B1459" s="27" t="s">
        <v>1070</v>
      </c>
      <c r="C1459" s="27" t="s">
        <v>1071</v>
      </c>
      <c r="D1459" s="27" t="s">
        <v>1014</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1022</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row>
    <row r="1462" spans="1:12">
      <c r="A1462" s="20" t="s">
        <v>1493</v>
      </c>
    </row>
    <row r="1463" spans="1:12">
      <c r="A1463" s="20" t="s">
        <v>1146</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810</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1494</v>
      </c>
      <c r="B1465" s="27" t="s">
        <v>1038</v>
      </c>
      <c r="C1465" s="27" t="s">
        <v>1087</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1031</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1269</v>
      </c>
      <c r="B1467" s="27" t="s">
        <v>1043</v>
      </c>
      <c r="C1467" s="27" t="s">
        <v>1087</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1321</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1122</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1173</v>
      </c>
      <c r="B1470" s="27" t="s">
        <v>1043</v>
      </c>
      <c r="C1470" s="27" t="s">
        <v>1123</v>
      </c>
      <c r="D1470" s="27" t="s">
        <v>1014</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1017</v>
      </c>
      <c r="B1471" s="27" t="s">
        <v>1308</v>
      </c>
      <c r="C1471" s="27" t="s">
        <v>1013</v>
      </c>
      <c r="D1471" s="27" t="s">
        <v>1014</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1288</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1046</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187</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1085</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1495</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1015</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1027</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1364</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60</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1496</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1022</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row>
    <row r="1484" spans="1:12">
      <c r="A1484" s="20" t="s">
        <v>1497</v>
      </c>
    </row>
    <row r="1485" spans="1:12">
      <c r="A1485" s="20" t="s">
        <v>1498</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1494</v>
      </c>
      <c r="B1486" s="27" t="s">
        <v>1012</v>
      </c>
      <c r="C1486" s="27" t="s">
        <v>1087</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1027</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1499</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1500</v>
      </c>
      <c r="B1489" s="27" t="s">
        <v>1070</v>
      </c>
      <c r="C1489" s="27" t="s">
        <v>1087</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1027</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1499</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1501</v>
      </c>
      <c r="B1492" s="27" t="s">
        <v>1067</v>
      </c>
      <c r="C1492" s="27" t="s">
        <v>1087</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1022</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row>
    <row r="1495" spans="1:12">
      <c r="A1495" s="20" t="s">
        <v>1502</v>
      </c>
    </row>
    <row r="1496" spans="1:12">
      <c r="A1496" s="20" t="s">
        <v>1503</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1079</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236</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1504</v>
      </c>
      <c r="B1499" s="27" t="s">
        <v>1012</v>
      </c>
      <c r="C1499" s="27" t="s">
        <v>1147</v>
      </c>
      <c r="D1499" s="27" t="s">
        <v>1014</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1391</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1505</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1022</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row>
    <row r="1504" spans="1:12">
      <c r="A1504" s="20" t="s">
        <v>1506</v>
      </c>
    </row>
    <row r="1505" spans="1:12">
      <c r="A1505" s="20" t="s">
        <v>1170</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1016</v>
      </c>
      <c r="B1506" s="27" t="s">
        <v>1026</v>
      </c>
      <c r="C1506" s="27" t="s">
        <v>1163</v>
      </c>
      <c r="D1506" s="27" t="s">
        <v>1014</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1011</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1122</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258</v>
      </c>
      <c r="B1509" s="27" t="s">
        <v>1038</v>
      </c>
      <c r="C1509" s="27" t="s">
        <v>1123</v>
      </c>
      <c r="D1509" s="27" t="s">
        <v>1014</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1133</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row>
    <row r="1512" spans="1:12">
      <c r="A1512" s="20" t="s">
        <v>1507</v>
      </c>
    </row>
    <row r="1513" spans="1:12">
      <c r="A1513" s="20" t="s">
        <v>1508</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1049</v>
      </c>
      <c r="B1514" s="27" t="s">
        <v>1033</v>
      </c>
      <c r="C1514" s="27" t="s">
        <v>1013</v>
      </c>
      <c r="D1514" s="27" t="s">
        <v>1014</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507</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1500</v>
      </c>
      <c r="B1516" s="27" t="s">
        <v>1070</v>
      </c>
      <c r="C1516" s="27" t="s">
        <v>1087</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1027</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1049</v>
      </c>
      <c r="B1518" s="27" t="s">
        <v>1038</v>
      </c>
      <c r="C1518" s="27" t="s">
        <v>1013</v>
      </c>
      <c r="D1518" s="27" t="s">
        <v>1014</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196</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1046</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1509</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1122</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1500</v>
      </c>
      <c r="B1523" s="27" t="s">
        <v>1070</v>
      </c>
      <c r="C1523" s="27" t="s">
        <v>1123</v>
      </c>
      <c r="D1523" s="27" t="s">
        <v>1014</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1027</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1031</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1017</v>
      </c>
      <c r="B1526" s="27" t="s">
        <v>1033</v>
      </c>
      <c r="C1526" s="27" t="s">
        <v>1013</v>
      </c>
      <c r="D1526" s="27" t="s">
        <v>1014</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1299</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544</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1098</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487</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1166</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1510</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1098</v>
      </c>
      <c r="B1533" s="27" t="s">
        <v>1020</v>
      </c>
      <c r="C1533" s="27" t="s">
        <v>1108</v>
      </c>
      <c r="D1533" s="27" t="s">
        <v>1014</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1022</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row>
    <row r="1536" spans="1:12">
      <c r="A1536" s="20" t="s">
        <v>1511</v>
      </c>
    </row>
    <row r="1537" spans="1:12">
      <c r="A1537" s="20" t="s">
        <v>1036</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1122</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1477</v>
      </c>
      <c r="B1539" s="27" t="s">
        <v>1026</v>
      </c>
      <c r="C1539" s="27" t="s">
        <v>1123</v>
      </c>
      <c r="D1539" s="27" t="s">
        <v>1014</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1098</v>
      </c>
      <c r="B1540" s="27" t="s">
        <v>1070</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1057</v>
      </c>
      <c r="B1541" s="27" t="s">
        <v>1033</v>
      </c>
      <c r="C1541" s="27" t="s">
        <v>1013</v>
      </c>
      <c r="D1541" s="27" t="s">
        <v>1014</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1050</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495</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1098</v>
      </c>
      <c r="B1544" s="27" t="s">
        <v>1018</v>
      </c>
      <c r="C1544" s="27" t="s">
        <v>1108</v>
      </c>
      <c r="D1544" s="27" t="s">
        <v>1014</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1126</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1062</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1017</v>
      </c>
      <c r="B1547" s="27" t="s">
        <v>1308</v>
      </c>
      <c r="C1547" s="27" t="s">
        <v>1013</v>
      </c>
      <c r="D1547" s="27" t="s">
        <v>1014</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1299</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1336</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1040</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1195</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1512</v>
      </c>
      <c r="B1552" s="27" t="s">
        <v>1067</v>
      </c>
      <c r="C1552" s="27" t="s">
        <v>1021</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1102</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464</v>
      </c>
      <c r="B1554" s="27" t="s">
        <v>1090</v>
      </c>
      <c r="C1554" s="27" t="s">
        <v>1101</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1148</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1262</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1057</v>
      </c>
      <c r="B1557" s="27" t="s">
        <v>1257</v>
      </c>
      <c r="C1557" s="27" t="s">
        <v>1013</v>
      </c>
      <c r="D1557" s="27" t="s">
        <v>1014</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1063</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200</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1513</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1031</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1514</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200</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1046</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427</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1515</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1022</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row>
    <row r="1569" spans="1:12">
      <c r="A1569" s="20" t="s">
        <v>1516</v>
      </c>
    </row>
    <row r="1570" spans="1:12">
      <c r="A1570" s="20" t="s">
        <v>1388</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56</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1191</v>
      </c>
      <c r="B1572" s="27" t="s">
        <v>1043</v>
      </c>
      <c r="C1572" s="27" t="s">
        <v>1101</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1192</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1027</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1084</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1397</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1019</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244</v>
      </c>
      <c r="B1578" s="27" t="s">
        <v>1038</v>
      </c>
      <c r="C1578" s="27" t="s">
        <v>1021</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1517</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1027</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1019</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1518</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244</v>
      </c>
      <c r="B1583" s="27" t="s">
        <v>1043</v>
      </c>
      <c r="C1583" s="27" t="s">
        <v>1021</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1027</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1098</v>
      </c>
      <c r="B1585" s="27" t="s">
        <v>1308</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1519</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1122</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1512</v>
      </c>
      <c r="B1588" s="27" t="s">
        <v>1135</v>
      </c>
      <c r="C1588" s="27" t="s">
        <v>1123</v>
      </c>
      <c r="D1588" s="27" t="s">
        <v>1014</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1102</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1520</v>
      </c>
      <c r="B1590" s="27" t="s">
        <v>1137</v>
      </c>
      <c r="C1590" s="27" t="s">
        <v>1087</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1046</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1122</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1521</v>
      </c>
      <c r="B1593" s="27" t="s">
        <v>1090</v>
      </c>
      <c r="C1593" s="27" t="s">
        <v>1123</v>
      </c>
      <c r="D1593" s="27" t="s">
        <v>1014</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1027</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1522</v>
      </c>
      <c r="B1595" s="27" t="s">
        <v>1137</v>
      </c>
      <c r="C1595" s="27" t="s">
        <v>1087</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1031</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1234</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1523</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1524</v>
      </c>
      <c r="B1599" s="27" t="s">
        <v>1137</v>
      </c>
      <c r="C1599" s="27" t="s">
        <v>1087</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1022</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row>
    <row r="1602" spans="1:12">
      <c r="A1602" s="20" t="s">
        <v>1525</v>
      </c>
    </row>
    <row r="1603" spans="1:12">
      <c r="A1603" s="20" t="s">
        <v>1526</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367</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1022</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row>
    <row r="1607" spans="1:12">
      <c r="A1607" s="20" t="s">
        <v>1527</v>
      </c>
    </row>
    <row r="1608" spans="1:12">
      <c r="A1608" s="20" t="s">
        <v>1528</v>
      </c>
      <c r="B1608" s="27" t="s">
        <v>1038</v>
      </c>
      <c r="C1608" s="27" t="s">
        <v>1087</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1102</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1529</v>
      </c>
      <c r="B1610" s="27" t="s">
        <v>1043</v>
      </c>
      <c r="C1610" s="27" t="s">
        <v>1087</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1085</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1530</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1046</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427</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1256</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1041</v>
      </c>
      <c r="B1616" s="27" t="s">
        <v>1018</v>
      </c>
      <c r="C1616" s="27" t="s">
        <v>1108</v>
      </c>
      <c r="D1616" s="27" t="s">
        <v>1014</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1397</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1199</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1022</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row>
    <row r="1621" spans="1:12">
      <c r="A1621" s="20" t="s">
        <v>1531</v>
      </c>
    </row>
    <row r="1622" spans="1:12">
      <c r="A1622" s="20" t="s">
        <v>1528</v>
      </c>
      <c r="B1622" s="27" t="s">
        <v>1038</v>
      </c>
      <c r="C1622" s="27" t="s">
        <v>1087</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1102</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1529</v>
      </c>
      <c r="B1624" s="27" t="s">
        <v>1043</v>
      </c>
      <c r="C1624" s="27" t="s">
        <v>1087</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1478</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22</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1064</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1530</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1053</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1032</v>
      </c>
      <c r="B1630" s="27" t="s">
        <v>1033</v>
      </c>
      <c r="C1630" s="27" t="s">
        <v>1013</v>
      </c>
      <c r="D1630" s="27" t="s">
        <v>1014</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1011</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1019</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1532</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1533</v>
      </c>
      <c r="B1634" s="27" t="s">
        <v>1026</v>
      </c>
      <c r="C1634" s="27" t="s">
        <v>1021</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1022</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row>
    <row r="1637" spans="1:12">
      <c r="A1637" s="20" t="s">
        <v>1534</v>
      </c>
    </row>
    <row r="1638" spans="1:12">
      <c r="A1638" s="20" t="s">
        <v>1392</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1535</v>
      </c>
      <c r="B1639" s="27" t="s">
        <v>1038</v>
      </c>
      <c r="C1639" s="27" t="s">
        <v>1123</v>
      </c>
      <c r="D1639" s="27" t="s">
        <v>1014</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1536</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1077</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1022</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row>
    <row r="1644" spans="1:12">
      <c r="A1644" s="20" t="s">
        <v>1537</v>
      </c>
    </row>
    <row r="1645" spans="1:12">
      <c r="A1645" s="20" t="s">
        <v>1392</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1535</v>
      </c>
      <c r="B1646" s="27" t="s">
        <v>1038</v>
      </c>
      <c r="C1646" s="27" t="s">
        <v>1123</v>
      </c>
      <c r="D1646" s="27" t="s">
        <v>1014</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1536</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1077</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1538</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1122</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1539</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1540</v>
      </c>
      <c r="B1652" s="27" t="s">
        <v>1026</v>
      </c>
      <c r="C1652" s="27" t="s">
        <v>1094</v>
      </c>
      <c r="D1652" s="27" t="s">
        <v>1014</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1027</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1538</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1541</v>
      </c>
      <c r="B1655" s="27" t="s">
        <v>1043</v>
      </c>
      <c r="C1655" s="27" t="s">
        <v>1094</v>
      </c>
      <c r="D1655" s="27" t="s">
        <v>1014</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1027</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1538</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1542</v>
      </c>
      <c r="B1658" s="27" t="s">
        <v>1067</v>
      </c>
      <c r="C1658" s="27" t="s">
        <v>1094</v>
      </c>
      <c r="D1658" s="27" t="s">
        <v>1014</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1027</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1538</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1543</v>
      </c>
      <c r="B1661" s="27" t="s">
        <v>1067</v>
      </c>
      <c r="C1661" s="27" t="s">
        <v>1094</v>
      </c>
      <c r="D1661" s="27" t="s">
        <v>1014</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1027</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1031</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1032</v>
      </c>
      <c r="B1664" s="27" t="s">
        <v>1033</v>
      </c>
      <c r="C1664" s="27" t="s">
        <v>1013</v>
      </c>
      <c r="D1664" s="27" t="s">
        <v>1014</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1397</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1076</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1122</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1459</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1133</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1210</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1544</v>
      </c>
      <c r="B1671" s="27" t="s">
        <v>1043</v>
      </c>
      <c r="C1671" s="27" t="s">
        <v>1101</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1027</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1210</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1545</v>
      </c>
      <c r="B1674" s="27" t="s">
        <v>1067</v>
      </c>
      <c r="C1674" s="27" t="s">
        <v>1101</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1027</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692</v>
      </c>
      <c r="B1676" s="27" t="s">
        <v>1067</v>
      </c>
      <c r="C1676" s="27" t="s">
        <v>1087</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1166</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1076</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1022</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row>
    <row r="1681" spans="1:12">
      <c r="A1681" s="20" t="s">
        <v>1546</v>
      </c>
    </row>
    <row r="1682" spans="1:12">
      <c r="A1682" s="20" t="s">
        <v>1115</v>
      </c>
      <c r="B1682" s="27" t="s">
        <v>1038</v>
      </c>
      <c r="C1682" s="27" t="s">
        <v>1013</v>
      </c>
      <c r="D1682" s="27" t="s">
        <v>1014</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1236</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1079</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384</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1022</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row>
    <row r="1688" spans="1:12">
      <c r="A1688" s="20" t="s">
        <v>1547</v>
      </c>
    </row>
    <row r="1689" spans="1:12">
      <c r="A1689" s="20" t="s">
        <v>1115</v>
      </c>
      <c r="B1689" s="27" t="s">
        <v>1038</v>
      </c>
      <c r="C1689" s="27" t="s">
        <v>1013</v>
      </c>
      <c r="D1689" s="27" t="s">
        <v>1014</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1236</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1079</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384</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1062</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1017</v>
      </c>
      <c r="B1694" s="27" t="s">
        <v>1033</v>
      </c>
      <c r="C1694" s="27" t="s">
        <v>1013</v>
      </c>
      <c r="D1694" s="27" t="s">
        <v>1014</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187</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1548</v>
      </c>
      <c r="B1696" s="27" t="s">
        <v>1070</v>
      </c>
      <c r="C1696" s="27" t="s">
        <v>1087</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1027</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1017</v>
      </c>
      <c r="B1698" s="27" t="s">
        <v>1018</v>
      </c>
      <c r="C1698" s="27" t="s">
        <v>1013</v>
      </c>
      <c r="D1698" s="27" t="s">
        <v>1014</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187</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537</v>
      </c>
      <c r="B1700" s="27" t="s">
        <v>1020</v>
      </c>
      <c r="C1700" s="27" t="s">
        <v>1059</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1017</v>
      </c>
      <c r="B1701" s="27" t="s">
        <v>1257</v>
      </c>
      <c r="C1701" s="27" t="s">
        <v>1013</v>
      </c>
      <c r="D1701" s="27" t="s">
        <v>1014</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427</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1027</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537</v>
      </c>
      <c r="B1704" s="27" t="s">
        <v>1012</v>
      </c>
      <c r="C1704" s="27" t="s">
        <v>1059</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1017</v>
      </c>
      <c r="B1705" s="27" t="s">
        <v>1018</v>
      </c>
      <c r="C1705" s="27" t="s">
        <v>1013</v>
      </c>
      <c r="D1705" s="27" t="s">
        <v>1014</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100</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1017</v>
      </c>
      <c r="B1707" s="27" t="s">
        <v>1308</v>
      </c>
      <c r="C1707" s="27" t="s">
        <v>1013</v>
      </c>
      <c r="D1707" s="27" t="s">
        <v>1014</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427</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1027</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537</v>
      </c>
      <c r="B1710" s="27" t="s">
        <v>1012</v>
      </c>
      <c r="C1710" s="27" t="s">
        <v>1059</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1549</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1174</v>
      </c>
      <c r="B1712" s="27" t="s">
        <v>1020</v>
      </c>
      <c r="C1712" s="27" t="s">
        <v>1013</v>
      </c>
      <c r="D1712" s="27" t="s">
        <v>1014</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1550</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1551</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1022</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row>
    <row r="1717" spans="1:12">
      <c r="A1717" s="20" t="s">
        <v>1552</v>
      </c>
    </row>
    <row r="1718" spans="1:12">
      <c r="A1718" s="20" t="s">
        <v>1217</v>
      </c>
      <c r="B1718" s="27" t="s">
        <v>1038</v>
      </c>
      <c r="C1718" s="27" t="s">
        <v>1013</v>
      </c>
      <c r="D1718" s="27" t="s">
        <v>1014</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140</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1079</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187</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1019</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1553</v>
      </c>
      <c r="B1723" s="27" t="s">
        <v>1012</v>
      </c>
      <c r="C1723" s="27" t="s">
        <v>1021</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1102</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1554</v>
      </c>
      <c r="B1725" s="27" t="s">
        <v>1043</v>
      </c>
      <c r="C1725" s="27" t="s">
        <v>1087</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1538</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1019</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1555</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1556</v>
      </c>
      <c r="B1729" s="27" t="s">
        <v>1026</v>
      </c>
      <c r="C1729" s="27" t="s">
        <v>1021</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1557</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1174</v>
      </c>
      <c r="B1731" s="27" t="s">
        <v>1020</v>
      </c>
      <c r="C1731" s="27" t="s">
        <v>1013</v>
      </c>
      <c r="D1731" s="27" t="s">
        <v>1014</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1535</v>
      </c>
      <c r="B1732" s="27" t="s">
        <v>1020</v>
      </c>
      <c r="C1732" s="27" t="s">
        <v>1087</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1027</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1031</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1057</v>
      </c>
      <c r="B1735" s="27" t="s">
        <v>1033</v>
      </c>
      <c r="C1735" s="27" t="s">
        <v>1013</v>
      </c>
      <c r="D1735" s="27" t="s">
        <v>1014</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140</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49</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1098</v>
      </c>
      <c r="B1738" s="27" t="s">
        <v>1070</v>
      </c>
      <c r="C1738" s="27" t="s">
        <v>1108</v>
      </c>
      <c r="D1738" s="27" t="s">
        <v>1014</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1027</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1057</v>
      </c>
      <c r="B1740" s="27" t="s">
        <v>1018</v>
      </c>
      <c r="C1740" s="27" t="s">
        <v>1013</v>
      </c>
      <c r="D1740" s="27" t="s">
        <v>1014</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100</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1017</v>
      </c>
      <c r="B1742" s="27" t="s">
        <v>1308</v>
      </c>
      <c r="C1742" s="27" t="s">
        <v>1013</v>
      </c>
      <c r="D1742" s="27" t="s">
        <v>1014</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1076</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140</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1022</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row>
    <row r="1747" spans="1:12">
      <c r="A1747" s="20" t="s">
        <v>1558</v>
      </c>
    </row>
    <row r="1748" spans="1:12">
      <c r="A1748" s="20" t="s">
        <v>1170</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1049</v>
      </c>
      <c r="B1749" s="27" t="s">
        <v>1038</v>
      </c>
      <c r="C1749" s="27" t="s">
        <v>1013</v>
      </c>
      <c r="D1749" s="27" t="s">
        <v>1014</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35</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537</v>
      </c>
      <c r="B1751" s="27" t="s">
        <v>1012</v>
      </c>
      <c r="C1751" s="27" t="s">
        <v>1059</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1200</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row>
    <row r="1754" spans="1:12">
      <c r="A1754" s="20" t="s">
        <v>1559</v>
      </c>
    </row>
    <row r="1755" spans="1:12">
      <c r="A1755" s="20" t="s">
        <v>1392</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1560</v>
      </c>
      <c r="B1756" s="27" t="s">
        <v>1038</v>
      </c>
      <c r="C1756" s="27" t="s">
        <v>1071</v>
      </c>
      <c r="D1756" s="27" t="s">
        <v>1014</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1102</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1098</v>
      </c>
      <c r="B1758" s="27" t="s">
        <v>1043</v>
      </c>
      <c r="C1758" s="27" t="s">
        <v>1108</v>
      </c>
      <c r="D1758" s="27" t="s">
        <v>1014</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1045</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1064</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402</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1022</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row>
    <row r="1764" spans="1:12">
      <c r="A1764" s="20" t="s">
        <v>1561</v>
      </c>
    </row>
    <row r="1765" spans="1:12">
      <c r="A1765" s="20" t="s">
        <v>1562</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1062</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1016</v>
      </c>
      <c r="B1767" s="27" t="s">
        <v>1026</v>
      </c>
      <c r="C1767" s="27" t="s">
        <v>1163</v>
      </c>
      <c r="D1767" s="27" t="s">
        <v>1014</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1011</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1019</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1197</v>
      </c>
      <c r="B1770" s="27" t="s">
        <v>1033</v>
      </c>
      <c r="C1770" s="27" t="s">
        <v>1021</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1133</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1392</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1539</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1540</v>
      </c>
      <c r="B1774" s="27" t="s">
        <v>1033</v>
      </c>
      <c r="C1774" s="27" t="s">
        <v>1094</v>
      </c>
      <c r="D1774" s="27" t="s">
        <v>1014</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1126</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1262</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1102</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1122</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1287</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1563</v>
      </c>
      <c r="B1780" s="27" t="s">
        <v>1043</v>
      </c>
      <c r="C1780" s="27" t="s">
        <v>1123</v>
      </c>
      <c r="D1780" s="27" t="s">
        <v>1014</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1040</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1122</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1189</v>
      </c>
      <c r="B1783" s="27" t="s">
        <v>1067</v>
      </c>
      <c r="C1783" s="27" t="s">
        <v>1123</v>
      </c>
      <c r="D1783" s="27" t="s">
        <v>1014</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1055</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1122</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1523</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1564</v>
      </c>
      <c r="B1787" s="27" t="s">
        <v>1308</v>
      </c>
      <c r="C1787" s="27" t="s">
        <v>1123</v>
      </c>
      <c r="D1787" s="27" t="s">
        <v>1014</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1391</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1521</v>
      </c>
      <c r="B1789" s="27" t="s">
        <v>1137</v>
      </c>
      <c r="C1789" s="27" t="s">
        <v>1087</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1126</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1300</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1565</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1022</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row>
    <row r="1795" spans="1:12">
      <c r="A1795" s="20" t="s">
        <v>1566</v>
      </c>
    </row>
    <row r="1796" spans="1:12">
      <c r="A1796" s="20" t="s">
        <v>1282</v>
      </c>
      <c r="B1796" s="27" t="s">
        <v>1038</v>
      </c>
      <c r="C1796" s="27" t="s">
        <v>1108</v>
      </c>
      <c r="D1796" s="27" t="s">
        <v>1014</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1126</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1285</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1027</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1031</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1017</v>
      </c>
      <c r="B1801" s="27" t="s">
        <v>1033</v>
      </c>
      <c r="C1801" s="27" t="s">
        <v>1013</v>
      </c>
      <c r="D1801" s="27" t="s">
        <v>1014</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1478</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60</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1567</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1102</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1568</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1022</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row>
    <row r="1809" spans="1:12">
      <c r="A1809" s="20" t="s">
        <v>1569</v>
      </c>
    </row>
    <row r="1810" spans="1:12">
      <c r="A1810" s="20" t="s">
        <v>1115</v>
      </c>
      <c r="B1810" s="27" t="s">
        <v>1038</v>
      </c>
      <c r="C1810" s="27" t="s">
        <v>1013</v>
      </c>
      <c r="D1810" s="27" t="s">
        <v>1014</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1011</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1518</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1022</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row>
    <row r="1815" spans="1:12">
      <c r="A1815" s="20" t="s">
        <v>1570</v>
      </c>
    </row>
    <row r="1816" spans="1:12">
      <c r="A1816" s="20" t="s">
        <v>1571</v>
      </c>
      <c r="B1816" s="27" t="s">
        <v>1043</v>
      </c>
      <c r="C1816" s="27" t="s">
        <v>1059</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1572</v>
      </c>
      <c r="B1817" s="27" t="s">
        <v>1038</v>
      </c>
      <c r="C1817" s="27" t="s">
        <v>1280</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1102</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1019</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258</v>
      </c>
      <c r="B1820" s="27" t="s">
        <v>1043</v>
      </c>
      <c r="C1820" s="27" t="s">
        <v>1021</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1573</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1098</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1017</v>
      </c>
      <c r="B1823" s="27" t="s">
        <v>1033</v>
      </c>
      <c r="C1823" s="27" t="s">
        <v>1013</v>
      </c>
      <c r="D1823" s="27" t="s">
        <v>1014</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1415</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140</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1098</v>
      </c>
      <c r="B1826" s="27" t="s">
        <v>1070</v>
      </c>
      <c r="C1826" s="27" t="s">
        <v>1108</v>
      </c>
      <c r="D1826" s="27" t="s">
        <v>1014</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1200</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row>
    <row r="1829" spans="1:12">
      <c r="A1829" s="20" t="s">
        <v>1574</v>
      </c>
    </row>
    <row r="1830" spans="1:12">
      <c r="A1830" s="20" t="s">
        <v>1575</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1027</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1057</v>
      </c>
      <c r="B1832" s="27" t="s">
        <v>1038</v>
      </c>
      <c r="C1832" s="27" t="s">
        <v>1013</v>
      </c>
      <c r="D1832" s="27" t="s">
        <v>1014</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49</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1032</v>
      </c>
      <c r="B1834" s="27" t="s">
        <v>1012</v>
      </c>
      <c r="C1834" s="27" t="s">
        <v>1013</v>
      </c>
      <c r="D1834" s="27" t="s">
        <v>1014</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1022</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row>
    <row r="1837" spans="1:12">
      <c r="A1837" s="20" t="s">
        <v>1576</v>
      </c>
    </row>
    <row r="1838" spans="1:12">
      <c r="A1838" s="20" t="s">
        <v>1057</v>
      </c>
      <c r="B1838" s="27" t="s">
        <v>1038</v>
      </c>
      <c r="C1838" s="27" t="s">
        <v>1013</v>
      </c>
      <c r="D1838" s="27" t="s">
        <v>1014</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140</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49</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1032</v>
      </c>
      <c r="B1841" s="27" t="s">
        <v>1012</v>
      </c>
      <c r="C1841" s="27" t="s">
        <v>1013</v>
      </c>
      <c r="D1841" s="27" t="s">
        <v>1014</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1022</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row>
    <row r="1844" spans="1:12">
      <c r="A1844" s="20" t="s">
        <v>1577</v>
      </c>
    </row>
    <row r="1845" spans="1:12">
      <c r="A1845" s="20" t="s">
        <v>1578</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1027</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1190</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1237</v>
      </c>
      <c r="B1848" s="27" t="s">
        <v>1038</v>
      </c>
      <c r="C1848" s="27" t="s">
        <v>1039</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22</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1521</v>
      </c>
      <c r="B1850" s="27" t="s">
        <v>1012</v>
      </c>
      <c r="C1850" s="27" t="s">
        <v>1087</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1016</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1200</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row>
    <row r="1854" spans="1:12">
      <c r="A1854" s="20" t="s">
        <v>1579</v>
      </c>
    </row>
    <row r="1855" spans="1:12">
      <c r="A1855" s="20" t="s">
        <v>1580</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1262</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1581</v>
      </c>
      <c r="B1857" s="27" t="s">
        <v>1038</v>
      </c>
      <c r="C1857" s="27" t="s">
        <v>1101</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1040</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1041</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1582</v>
      </c>
      <c r="B1860" s="27" t="s">
        <v>1043</v>
      </c>
      <c r="C1860" s="27" t="s">
        <v>1044</v>
      </c>
      <c r="D1860" s="27" t="s">
        <v>1014</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1128</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1513</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1583</v>
      </c>
      <c r="B1863" s="27" t="s">
        <v>1043</v>
      </c>
      <c r="C1863" s="27" t="s">
        <v>1068</v>
      </c>
      <c r="D1863" s="27" t="s">
        <v>1014</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75</v>
      </c>
      <c r="B1864" s="27" t="s">
        <v>1012</v>
      </c>
      <c r="C1864" s="27" t="s">
        <v>1071</v>
      </c>
      <c r="D1864" s="27" t="s">
        <v>1014</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1102</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1521</v>
      </c>
      <c r="B1866" s="27" t="s">
        <v>1043</v>
      </c>
      <c r="C1866" s="27" t="s">
        <v>1087</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1200</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row>
    <row r="1869" spans="1:12">
      <c r="A1869" s="20" t="s">
        <v>1584</v>
      </c>
    </row>
    <row r="1870" spans="1:12">
      <c r="A1870" s="20" t="s">
        <v>1585</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1079</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414</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1586</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471</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1022</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row>
    <row r="1877" spans="1:12">
      <c r="A1877" s="20" t="s">
        <v>1587</v>
      </c>
    </row>
    <row r="1878" spans="1:12">
      <c r="A1878" s="20" t="s">
        <v>1585</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1079</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414</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1040</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1041</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1588</v>
      </c>
      <c r="B1883" s="27" t="s">
        <v>1026</v>
      </c>
      <c r="C1883" s="27" t="s">
        <v>1044</v>
      </c>
      <c r="D1883" s="27" t="s">
        <v>1014</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1166</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1076</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1027</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1589</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1032</v>
      </c>
      <c r="B1888" s="27" t="s">
        <v>1033</v>
      </c>
      <c r="C1888" s="27" t="s">
        <v>1013</v>
      </c>
      <c r="D1888" s="27" t="s">
        <v>1014</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1573</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1590</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1272</v>
      </c>
      <c r="B1891" s="27" t="s">
        <v>1043</v>
      </c>
      <c r="C1891" s="27" t="s">
        <v>1101</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1040</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1122</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1189</v>
      </c>
      <c r="B1894" s="27" t="s">
        <v>1043</v>
      </c>
      <c r="C1894" s="27" t="s">
        <v>1123</v>
      </c>
      <c r="D1894" s="27" t="s">
        <v>1014</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1591</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1592</v>
      </c>
      <c r="B1896" s="27" t="s">
        <v>1043</v>
      </c>
      <c r="C1896" s="27" t="s">
        <v>1087</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1022</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row>
    <row r="1899" spans="1:12">
      <c r="A1899" s="20" t="s">
        <v>1593</v>
      </c>
    </row>
    <row r="1900" spans="1:12">
      <c r="A1900" s="20" t="s">
        <v>1282</v>
      </c>
      <c r="B1900" s="27" t="s">
        <v>1038</v>
      </c>
      <c r="C1900" s="27" t="s">
        <v>1108</v>
      </c>
      <c r="D1900" s="27" t="s">
        <v>1014</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1011</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1019</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1073</v>
      </c>
      <c r="B1903" s="27" t="s">
        <v>1026</v>
      </c>
      <c r="C1903" s="27" t="s">
        <v>1021</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1102</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1168</v>
      </c>
      <c r="B1905" s="27" t="s">
        <v>1026</v>
      </c>
      <c r="C1905" s="27" t="s">
        <v>1087</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1102</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1521</v>
      </c>
      <c r="B1907" s="27" t="s">
        <v>1043</v>
      </c>
      <c r="C1907" s="27" t="s">
        <v>1087</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11</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86</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1195</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1594</v>
      </c>
      <c r="B1911" s="27" t="s">
        <v>1026</v>
      </c>
      <c r="C1911" s="27" t="s">
        <v>1021</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1022</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row>
    <row r="1914" spans="1:12">
      <c r="A1914" s="20" t="s">
        <v>1080</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1595</v>
      </c>
    </row>
    <row r="1916" spans="1:12">
      <c r="A1916" s="20" t="s">
        <v>1170</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1596</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1032</v>
      </c>
      <c r="B1918" s="27" t="s">
        <v>1033</v>
      </c>
      <c r="C1918" s="27" t="s">
        <v>1013</v>
      </c>
      <c r="D1918" s="27" t="s">
        <v>1014</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1190</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1079</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414</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1016</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1027</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1017</v>
      </c>
      <c r="B1924" s="27" t="s">
        <v>1038</v>
      </c>
      <c r="C1924" s="27" t="s">
        <v>1013</v>
      </c>
      <c r="D1924" s="27" t="s">
        <v>1014</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1050</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442</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1032</v>
      </c>
      <c r="B1927" s="27" t="s">
        <v>1012</v>
      </c>
      <c r="C1927" s="27" t="s">
        <v>1013</v>
      </c>
      <c r="D1927" s="27" t="s">
        <v>1014</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1254</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1102</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1244</v>
      </c>
      <c r="B1930" s="27" t="s">
        <v>1043</v>
      </c>
      <c r="C1930" s="27" t="s">
        <v>1068</v>
      </c>
      <c r="D1930" s="27" t="s">
        <v>1014</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1597</v>
      </c>
      <c r="B1931" s="27" t="s">
        <v>1026</v>
      </c>
      <c r="C1931" s="27" t="s">
        <v>1071</v>
      </c>
      <c r="D1931" s="27" t="s">
        <v>1014</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1027</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1031</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1173</v>
      </c>
      <c r="B1934" s="27" t="s">
        <v>1033</v>
      </c>
      <c r="C1934" s="27" t="s">
        <v>1087</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1148</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1598</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1599</v>
      </c>
      <c r="B1937" s="27" t="s">
        <v>1067</v>
      </c>
      <c r="C1937" s="27" t="s">
        <v>1094</v>
      </c>
      <c r="D1937" s="27" t="s">
        <v>1014</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1050</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26</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1420</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1600</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1601</v>
      </c>
      <c r="B1942" s="27" t="s">
        <v>1020</v>
      </c>
      <c r="C1942" s="27" t="s">
        <v>1087</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1102</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464</v>
      </c>
      <c r="B1944" s="27" t="s">
        <v>1090</v>
      </c>
      <c r="C1944" s="27" t="s">
        <v>1087</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1031</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1602</v>
      </c>
      <c r="B1946" s="27" t="s">
        <v>1137</v>
      </c>
      <c r="C1946" s="27" t="s">
        <v>1087</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1538</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1603</v>
      </c>
      <c r="B1948" s="27" t="s">
        <v>1067</v>
      </c>
      <c r="C1948" s="27" t="s">
        <v>1087</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1148</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1091</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1604</v>
      </c>
      <c r="B1951" s="27" t="s">
        <v>1090</v>
      </c>
      <c r="C1951" s="27" t="s">
        <v>1094</v>
      </c>
      <c r="D1951" s="27" t="s">
        <v>1014</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1091</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1031</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1091</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1605</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1606</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1607</v>
      </c>
      <c r="B1957" s="27" t="s">
        <v>1137</v>
      </c>
      <c r="C1957" s="27" t="s">
        <v>1094</v>
      </c>
      <c r="D1957" s="27" t="s">
        <v>1014</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1022</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1091</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row>
    <row r="1961" spans="1:12">
      <c r="A1961" s="20" t="s">
        <v>1608</v>
      </c>
    </row>
    <row r="1962" spans="1:12">
      <c r="A1962" s="20" t="s">
        <v>1036</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1075</v>
      </c>
      <c r="B1963" s="27" t="s">
        <v>1038</v>
      </c>
      <c r="C1963" s="27" t="s">
        <v>1013</v>
      </c>
      <c r="D1963" s="27" t="s">
        <v>1014</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1050</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140</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1032</v>
      </c>
      <c r="B1966" s="27" t="s">
        <v>1012</v>
      </c>
      <c r="C1966" s="27" t="s">
        <v>1013</v>
      </c>
      <c r="D1966" s="27" t="s">
        <v>1014</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1062</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1075</v>
      </c>
      <c r="B1968" s="27" t="s">
        <v>1033</v>
      </c>
      <c r="C1968" s="27" t="s">
        <v>1013</v>
      </c>
      <c r="D1968" s="27" t="s">
        <v>1014</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140</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1079</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1609</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1610</v>
      </c>
      <c r="B1972" s="27" t="s">
        <v>1070</v>
      </c>
      <c r="C1972" s="27" t="s">
        <v>1087</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1031</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1544</v>
      </c>
      <c r="B1974" s="27" t="s">
        <v>1067</v>
      </c>
      <c r="C1974" s="27" t="s">
        <v>1087</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1022</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row>
    <row r="1977" spans="1:12">
      <c r="A1977" s="20" t="s">
        <v>1611</v>
      </c>
    </row>
    <row r="1978" spans="1:12">
      <c r="A1978" s="20" t="s">
        <v>1082</v>
      </c>
      <c r="B1978" s="27" t="s">
        <v>1038</v>
      </c>
      <c r="C1978" s="27" t="s">
        <v>1013</v>
      </c>
      <c r="D1978" s="27" t="s">
        <v>1014</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140</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1079</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49</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1098</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1356</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1239</v>
      </c>
      <c r="B1984" s="27" t="s">
        <v>1033</v>
      </c>
      <c r="C1984" s="27" t="s">
        <v>1044</v>
      </c>
      <c r="D1984" s="27" t="s">
        <v>1014</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1612</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1122</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1459</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1027</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1589</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1075</v>
      </c>
      <c r="B1990" s="27" t="s">
        <v>1033</v>
      </c>
      <c r="C1990" s="27" t="s">
        <v>1013</v>
      </c>
      <c r="D1990" s="27" t="s">
        <v>1014</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1299</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1613</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200</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1122</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1459</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1022</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row>
    <row r="1998" spans="1:12">
      <c r="A1998" s="20" t="s">
        <v>1614</v>
      </c>
    </row>
    <row r="1999" spans="1:12">
      <c r="A1999" s="20" t="s">
        <v>1036</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1032</v>
      </c>
      <c r="B2000" s="27" t="s">
        <v>1038</v>
      </c>
      <c r="C2000" s="27" t="s">
        <v>1013</v>
      </c>
      <c r="D2000" s="27" t="s">
        <v>1014</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1011</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1615</v>
      </c>
      <c r="B2002" s="27" t="s">
        <v>1026</v>
      </c>
      <c r="C2002" s="27" t="s">
        <v>1147</v>
      </c>
      <c r="D2002" s="27" t="s">
        <v>1014</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1017</v>
      </c>
      <c r="B2003" s="27" t="s">
        <v>1033</v>
      </c>
      <c r="C2003" s="27" t="s">
        <v>1013</v>
      </c>
      <c r="D2003" s="27" t="s">
        <v>1014</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196</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1046</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1616</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1027</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1031</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1017</v>
      </c>
      <c r="B2009" s="27" t="s">
        <v>1033</v>
      </c>
      <c r="C2009" s="27" t="s">
        <v>1013</v>
      </c>
      <c r="D2009" s="27" t="s">
        <v>1014</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196</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1046</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1616</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1032</v>
      </c>
      <c r="B2013" s="27" t="s">
        <v>1020</v>
      </c>
      <c r="C2013" s="27" t="s">
        <v>1013</v>
      </c>
      <c r="D2013" s="27" t="s">
        <v>1014</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1283</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1302</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1022</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row>
    <row r="2018" spans="1:12">
      <c r="A2018" s="20" t="s">
        <v>1617</v>
      </c>
    </row>
    <row r="2019" spans="1:12">
      <c r="A2019" s="20" t="s">
        <v>1125</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1618</v>
      </c>
      <c r="B2020" s="27" t="s">
        <v>1038</v>
      </c>
      <c r="C2020" s="27" t="s">
        <v>1044</v>
      </c>
      <c r="D2020" s="27" t="s">
        <v>1014</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1397</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1019</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1619</v>
      </c>
      <c r="B2023" s="27" t="s">
        <v>1026</v>
      </c>
      <c r="C2023" s="27" t="s">
        <v>1021</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1027</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1620</v>
      </c>
      <c r="B2025" s="27" t="s">
        <v>1026</v>
      </c>
      <c r="C2025" s="27" t="s">
        <v>1094</v>
      </c>
      <c r="D2025" s="27" t="s">
        <v>1014</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1621</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1022</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row>
    <row r="2029" spans="1:12">
      <c r="A2029" s="20" t="s">
        <v>1622</v>
      </c>
    </row>
    <row r="2030" spans="1:12">
      <c r="A2030" s="20" t="s">
        <v>1623</v>
      </c>
      <c r="B2030" s="27" t="s">
        <v>1038</v>
      </c>
      <c r="C2030" s="27" t="s">
        <v>1013</v>
      </c>
      <c r="D2030" s="27" t="s">
        <v>1014</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1384</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1262</v>
      </c>
      <c r="B2032" s="27" t="s">
        <v>1012</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1102</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1122</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1624</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1625</v>
      </c>
      <c r="B2036" s="27" t="s">
        <v>1043</v>
      </c>
      <c r="C2036" s="27" t="s">
        <v>1123</v>
      </c>
      <c r="D2036" s="27" t="s">
        <v>1014</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1102</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1626</v>
      </c>
      <c r="B2038" s="27" t="s">
        <v>1067</v>
      </c>
      <c r="C2038" s="27" t="s">
        <v>1087</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1301</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1538</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1174</v>
      </c>
      <c r="B2041" s="27" t="s">
        <v>1026</v>
      </c>
      <c r="C2041" s="27" t="s">
        <v>1013</v>
      </c>
      <c r="D2041" s="27" t="s">
        <v>1014</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1022</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row>
    <row r="2044" spans="1:12">
      <c r="A2044" s="20" t="s">
        <v>1627</v>
      </c>
    </row>
    <row r="2045" spans="1:12">
      <c r="A2045" s="20" t="s">
        <v>1628</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464</v>
      </c>
      <c r="B2046" s="27" t="s">
        <v>1026</v>
      </c>
      <c r="C2046" s="27" t="s">
        <v>1101</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1027</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1210</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1629</v>
      </c>
      <c r="B2049" s="27" t="s">
        <v>1026</v>
      </c>
      <c r="C2049" s="27" t="s">
        <v>1101</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1022</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row>
    <row r="2052" spans="1:12">
      <c r="A2052" s="20" t="s">
        <v>1630</v>
      </c>
    </row>
    <row r="2053" spans="1:12">
      <c r="A2053" s="20" t="s">
        <v>1631</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11</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132</v>
      </c>
      <c r="B2055" s="27" t="s">
        <v>1026</v>
      </c>
      <c r="C2055" s="27" t="s">
        <v>1087</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1027</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1213</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1022</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row>
    <row r="2060" spans="1:12">
      <c r="A2060" s="20" t="s">
        <v>1632</v>
      </c>
    </row>
    <row r="2061" spans="1:12">
      <c r="A2061" s="20" t="s">
        <v>1282</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1618</v>
      </c>
      <c r="B2062" s="27" t="s">
        <v>1038</v>
      </c>
      <c r="C2062" s="27" t="s">
        <v>1044</v>
      </c>
      <c r="D2062" s="27" t="s">
        <v>1014</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1040</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1122</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1633</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1027</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544</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1364</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471</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1022</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row>
    <row r="2072" spans="1:12">
      <c r="A2072" s="20" t="s">
        <v>1634</v>
      </c>
    </row>
    <row r="2073" spans="1:12">
      <c r="A2073" s="20" t="s">
        <v>1635</v>
      </c>
      <c r="B2073" s="27" t="s">
        <v>1043</v>
      </c>
      <c r="C2073" s="27" t="s">
        <v>1068</v>
      </c>
      <c r="D2073" s="27" t="s">
        <v>1014</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1636</v>
      </c>
      <c r="B2074" s="27" t="s">
        <v>1038</v>
      </c>
      <c r="C2074" s="27" t="s">
        <v>1071</v>
      </c>
      <c r="D2074" s="27" t="s">
        <v>1014</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1126</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1637</v>
      </c>
      <c r="B2076" s="27" t="s">
        <v>1026</v>
      </c>
      <c r="C2076" s="27" t="s">
        <v>1094</v>
      </c>
      <c r="D2076" s="27" t="s">
        <v>1014</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1638</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1022</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row>
    <row r="2080" spans="1:12">
      <c r="A2080" s="20" t="s">
        <v>1639</v>
      </c>
    </row>
    <row r="2081" spans="1:12">
      <c r="A2081" s="20" t="s">
        <v>1623</v>
      </c>
      <c r="B2081" s="27" t="s">
        <v>1038</v>
      </c>
      <c r="C2081" s="27" t="s">
        <v>1013</v>
      </c>
      <c r="D2081" s="27" t="s">
        <v>1014</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1227</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1640</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1019</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1641</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1523</v>
      </c>
      <c r="B2086" s="27" t="s">
        <v>1012</v>
      </c>
      <c r="C2086" s="27" t="s">
        <v>1021</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1321</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1019</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1553</v>
      </c>
      <c r="B2089" s="27" t="s">
        <v>1026</v>
      </c>
      <c r="C2089" s="27" t="s">
        <v>1021</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1102</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1026</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1173</v>
      </c>
      <c r="B2092" s="27" t="s">
        <v>1043</v>
      </c>
      <c r="C2092" s="27" t="s">
        <v>1087</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1022</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row>
    <row r="2095" spans="1:12">
      <c r="A2095" s="20" t="s">
        <v>1642</v>
      </c>
    </row>
    <row r="2096" spans="1:12">
      <c r="A2096" s="20" t="s">
        <v>1115</v>
      </c>
      <c r="B2096" s="27" t="s">
        <v>1038</v>
      </c>
      <c r="C2096" s="27" t="s">
        <v>1013</v>
      </c>
      <c r="D2096" s="27" t="s">
        <v>1014</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1643</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483</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1122</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1644</v>
      </c>
      <c r="B2100" s="27" t="s">
        <v>1012</v>
      </c>
      <c r="C2100" s="27" t="s">
        <v>1123</v>
      </c>
      <c r="D2100" s="27" t="s">
        <v>1014</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1102</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1645</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1046</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1646</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1647</v>
      </c>
      <c r="B2105" s="27" t="s">
        <v>1043</v>
      </c>
      <c r="C2105" s="27" t="s">
        <v>1101</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1040</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1122</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1648</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1189</v>
      </c>
      <c r="B2109" s="27" t="s">
        <v>1043</v>
      </c>
      <c r="C2109" s="27" t="s">
        <v>1123</v>
      </c>
      <c r="D2109" s="27" t="s">
        <v>1014</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1278</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1592</v>
      </c>
      <c r="B2111" s="27" t="s">
        <v>1026</v>
      </c>
      <c r="C2111" s="27" t="s">
        <v>1280</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1022</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row>
    <row r="2114" spans="1:12">
      <c r="A2114" s="20" t="s">
        <v>1649</v>
      </c>
    </row>
    <row r="2115" spans="1:12">
      <c r="A2115" s="20" t="s">
        <v>1650</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487</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1027</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1015</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1200</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row>
    <row r="2121" spans="1:12">
      <c r="A2121" s="20" t="s">
        <v>1651</v>
      </c>
    </row>
    <row r="2122" spans="1:12">
      <c r="A2122" s="20" t="s">
        <v>1652</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1027</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1032</v>
      </c>
      <c r="B2124" s="27" t="s">
        <v>1038</v>
      </c>
      <c r="C2124" s="27" t="s">
        <v>1013</v>
      </c>
      <c r="D2124" s="27" t="s">
        <v>1014</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1011</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487</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1027</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1653</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1098</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1637</v>
      </c>
      <c r="B2130" s="27" t="s">
        <v>1033</v>
      </c>
      <c r="C2130" s="27" t="s">
        <v>1094</v>
      </c>
      <c r="D2130" s="27" t="s">
        <v>1014</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1654</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1420</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1655</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1172</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144</v>
      </c>
      <c r="B2135" s="27" t="s">
        <v>1067</v>
      </c>
      <c r="C2135" s="27" t="s">
        <v>1087</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1031</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1656</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1657</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1658</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1075</v>
      </c>
      <c r="B2140" s="27" t="s">
        <v>1308</v>
      </c>
      <c r="C2140" s="27" t="s">
        <v>1013</v>
      </c>
      <c r="D2140" s="27" t="s">
        <v>1014</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810</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1031</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1098</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1173</v>
      </c>
      <c r="B2144" s="27" t="s">
        <v>1308</v>
      </c>
      <c r="C2144" s="27" t="s">
        <v>1087</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1659</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1046</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1227</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1660</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1122</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1661</v>
      </c>
      <c r="B2150" s="27" t="s">
        <v>1306</v>
      </c>
      <c r="C2150" s="27" t="s">
        <v>1123</v>
      </c>
      <c r="D2150" s="27" t="s">
        <v>1014</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1022</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row>
    <row r="2153" spans="1:12">
      <c r="A2153" s="20" t="s">
        <v>1662</v>
      </c>
    </row>
    <row r="2154" spans="1:12">
      <c r="A2154" s="20" t="s">
        <v>1036</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1663</v>
      </c>
      <c r="B2155" s="27" t="s">
        <v>1038</v>
      </c>
      <c r="C2155" s="27" t="s">
        <v>1013</v>
      </c>
      <c r="D2155" s="27" t="s">
        <v>1014</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1349</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1656</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1032</v>
      </c>
      <c r="B2158" s="27" t="s">
        <v>1012</v>
      </c>
      <c r="C2158" s="27" t="s">
        <v>1013</v>
      </c>
      <c r="D2158" s="27" t="s">
        <v>1014</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1098</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1209</v>
      </c>
      <c r="B2160" s="27" t="s">
        <v>1012</v>
      </c>
      <c r="C2160" s="27" t="s">
        <v>1044</v>
      </c>
      <c r="D2160" s="27" t="s">
        <v>1014</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1022</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row>
    <row r="2163" spans="1:12">
      <c r="A2163" s="20" t="s">
        <v>1664</v>
      </c>
    </row>
    <row r="2164" spans="1:12">
      <c r="A2164" s="20" t="s">
        <v>1121</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1027</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1637</v>
      </c>
      <c r="B2166" s="27" t="s">
        <v>1038</v>
      </c>
      <c r="C2166" s="27" t="s">
        <v>1094</v>
      </c>
      <c r="D2166" s="27" t="s">
        <v>1014</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1011</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1019</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1665</v>
      </c>
      <c r="B2169" s="27" t="s">
        <v>1026</v>
      </c>
      <c r="C2169" s="27" t="s">
        <v>1021</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1022</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row>
    <row r="2172" spans="1:12">
      <c r="A2172" s="20" t="s">
        <v>1666</v>
      </c>
    </row>
    <row r="2173" spans="1:12">
      <c r="A2173" s="20" t="s">
        <v>1508</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1637</v>
      </c>
      <c r="B2174" s="27" t="s">
        <v>1033</v>
      </c>
      <c r="C2174" s="27" t="s">
        <v>1094</v>
      </c>
      <c r="D2174" s="27" t="s">
        <v>1014</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1667</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1040</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1019</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1402</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1668</v>
      </c>
      <c r="B2179" s="27" t="s">
        <v>1043</v>
      </c>
      <c r="C2179" s="27" t="s">
        <v>1021</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1027</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1663</v>
      </c>
      <c r="B2181" s="27" t="s">
        <v>1038</v>
      </c>
      <c r="C2181" s="27" t="s">
        <v>1013</v>
      </c>
      <c r="D2181" s="27" t="s">
        <v>1014</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1366</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1079</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503</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1316</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1669</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1670</v>
      </c>
      <c r="B2187" s="27" t="s">
        <v>1026</v>
      </c>
      <c r="C2187" s="27" t="s">
        <v>1087</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1022</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row>
    <row r="2190" spans="1:12">
      <c r="A2190" s="20" t="s">
        <v>1671</v>
      </c>
    </row>
    <row r="2191" spans="1:12">
      <c r="A2191" s="20" t="s">
        <v>1623</v>
      </c>
      <c r="B2191" s="27" t="s">
        <v>1038</v>
      </c>
      <c r="C2191" s="27" t="s">
        <v>1013</v>
      </c>
      <c r="D2191" s="27" t="s">
        <v>1014</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507</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1672</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1673</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1166</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1674</v>
      </c>
      <c r="B2196" s="27" t="s">
        <v>1043</v>
      </c>
      <c r="C2196" s="27" t="s">
        <v>1087</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1062</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1173</v>
      </c>
      <c r="B2198" s="27" t="s">
        <v>1033</v>
      </c>
      <c r="C2198" s="27" t="s">
        <v>1087</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1148</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1046</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733</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1675</v>
      </c>
      <c r="B2202" s="27" t="s">
        <v>1020</v>
      </c>
      <c r="C2202" s="27" t="s">
        <v>1013</v>
      </c>
      <c r="D2202" s="27" t="s">
        <v>1014</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1098</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1075</v>
      </c>
      <c r="B2204" s="27" t="s">
        <v>1308</v>
      </c>
      <c r="C2204" s="27" t="s">
        <v>1013</v>
      </c>
      <c r="D2204" s="27" t="s">
        <v>1014</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1676</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1055</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1677</v>
      </c>
      <c r="B2207" s="27" t="s">
        <v>1305</v>
      </c>
      <c r="C2207" s="27" t="s">
        <v>1068</v>
      </c>
      <c r="D2207" s="27" t="s">
        <v>1014</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1647</v>
      </c>
      <c r="B2208" s="27" t="s">
        <v>1257</v>
      </c>
      <c r="C2208" s="27" t="s">
        <v>1071</v>
      </c>
      <c r="D2208" s="27" t="s">
        <v>1014</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26</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1046</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1678</v>
      </c>
      <c r="B2211" s="27" t="s">
        <v>1137</v>
      </c>
      <c r="C2211" s="27" t="s">
        <v>1087</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1022</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row>
    <row r="2214" spans="1:12">
      <c r="A2214" s="20" t="s">
        <v>1679</v>
      </c>
    </row>
    <row r="2215" spans="1:12">
      <c r="A2215" s="20" t="s">
        <v>1036</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511</v>
      </c>
      <c r="B2216" s="27" t="s">
        <v>1026</v>
      </c>
      <c r="C2216" s="27" t="s">
        <v>1059</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1200</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row>
    <row r="2219" spans="1:12">
      <c r="A2219" s="20" t="s">
        <v>1680</v>
      </c>
    </row>
    <row r="2220" spans="1:12">
      <c r="A2220" s="20" t="s">
        <v>1578</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1637</v>
      </c>
      <c r="B2221" s="27" t="s">
        <v>1038</v>
      </c>
      <c r="C2221" s="27" t="s">
        <v>1094</v>
      </c>
      <c r="D2221" s="27" t="s">
        <v>1014</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1681</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1019</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1523</v>
      </c>
      <c r="B2224" s="27" t="s">
        <v>1012</v>
      </c>
      <c r="C2224" s="27" t="s">
        <v>1021</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1022</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row>
    <row r="2227" spans="1:12">
      <c r="A2227" s="20" t="s">
        <v>1682</v>
      </c>
    </row>
    <row r="2228" spans="1:12">
      <c r="A2228" s="20" t="s">
        <v>1057</v>
      </c>
      <c r="B2228" s="27" t="s">
        <v>1038</v>
      </c>
      <c r="C2228" s="27" t="s">
        <v>1013</v>
      </c>
      <c r="D2228" s="27" t="s">
        <v>1014</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140</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1079</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196</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1046</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495</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1041</v>
      </c>
      <c r="B2234" s="27" t="s">
        <v>1070</v>
      </c>
      <c r="C2234" s="27" t="s">
        <v>1108</v>
      </c>
      <c r="D2234" s="27" t="s">
        <v>1014</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1027</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1589</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144</v>
      </c>
      <c r="B2237" s="27" t="s">
        <v>1033</v>
      </c>
      <c r="C2237" s="27" t="s">
        <v>1087</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810</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1683</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1022</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row>
    <row r="2242" spans="1:12">
      <c r="A2242" s="20" t="s">
        <v>1684</v>
      </c>
    </row>
    <row r="2243" spans="1:12">
      <c r="A2243" s="20" t="s">
        <v>1377</v>
      </c>
      <c r="B2243" s="27" t="s">
        <v>1038</v>
      </c>
      <c r="C2243" s="27" t="s">
        <v>1013</v>
      </c>
      <c r="D2243" s="27" t="s">
        <v>1014</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236</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1154</v>
      </c>
      <c r="B2245" s="27" t="s">
        <v>1012</v>
      </c>
      <c r="C2245" s="27" t="s">
        <v>1013</v>
      </c>
      <c r="D2245" s="27" t="s">
        <v>1014</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1301</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1027</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136</v>
      </c>
      <c r="B2248" s="27" t="s">
        <v>1033</v>
      </c>
      <c r="C2248" s="27" t="s">
        <v>1087</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1685</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1077</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1027</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1518</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1224</v>
      </c>
      <c r="B2253" s="27" t="s">
        <v>1026</v>
      </c>
      <c r="C2253" s="27" t="s">
        <v>1087</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1022</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row>
    <row r="2256" spans="1:12">
      <c r="A2256" s="20" t="s">
        <v>1686</v>
      </c>
    </row>
    <row r="2257" spans="1:12">
      <c r="A2257" s="20" t="s">
        <v>1036</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1098</v>
      </c>
      <c r="B2258" s="27" t="s">
        <v>1038</v>
      </c>
      <c r="C2258" s="27" t="s">
        <v>1108</v>
      </c>
      <c r="D2258" s="27" t="s">
        <v>1014</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1011</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1687</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1022</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row>
    <row r="2263" spans="1:12">
      <c r="A2263" s="20" t="s">
        <v>1688</v>
      </c>
    </row>
    <row r="2264" spans="1:12">
      <c r="A2264" s="20" t="s">
        <v>1217</v>
      </c>
      <c r="B2264" s="27" t="s">
        <v>1038</v>
      </c>
      <c r="C2264" s="27" t="s">
        <v>1013</v>
      </c>
      <c r="D2264" s="27" t="s">
        <v>1014</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22</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1521</v>
      </c>
      <c r="B2266" s="27" t="s">
        <v>1012</v>
      </c>
      <c r="C2266" s="27" t="s">
        <v>1087</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1040</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1041</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1588</v>
      </c>
      <c r="B2269" s="27" t="s">
        <v>1026</v>
      </c>
      <c r="C2269" s="27" t="s">
        <v>1044</v>
      </c>
      <c r="D2269" s="27" t="s">
        <v>1014</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1336</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1022</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row>
    <row r="2273" spans="1:12">
      <c r="A2273" s="20" t="s">
        <v>1689</v>
      </c>
    </row>
    <row r="2274" spans="1:12">
      <c r="A2274" s="20" t="s">
        <v>1036</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1032</v>
      </c>
      <c r="B2275" s="27" t="s">
        <v>1038</v>
      </c>
      <c r="C2275" s="27" t="s">
        <v>1013</v>
      </c>
      <c r="D2275" s="27" t="s">
        <v>1014</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1011</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1690</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1691</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1027</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1031</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1692</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1302</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1647</v>
      </c>
      <c r="B2283" s="27" t="s">
        <v>1033</v>
      </c>
      <c r="C2283" s="27" t="s">
        <v>1087</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810</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1300</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1046</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75</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1102</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1032</v>
      </c>
      <c r="B2289" s="27" t="s">
        <v>1067</v>
      </c>
      <c r="C2289" s="27" t="s">
        <v>1013</v>
      </c>
      <c r="D2289" s="27" t="s">
        <v>1014</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1515</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1062</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1032</v>
      </c>
      <c r="B2292" s="27" t="s">
        <v>1308</v>
      </c>
      <c r="C2292" s="27" t="s">
        <v>1013</v>
      </c>
      <c r="D2292" s="27" t="s">
        <v>1014</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1011</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1227</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1019</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1693</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1694</v>
      </c>
      <c r="B2297" s="27" t="s">
        <v>1067</v>
      </c>
      <c r="C2297" s="27" t="s">
        <v>1021</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1022</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row>
    <row r="2300" spans="1:12">
      <c r="A2300" s="20" t="s">
        <v>1695</v>
      </c>
    </row>
    <row r="2301" spans="1:12">
      <c r="A2301" s="20" t="s">
        <v>1036</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1075</v>
      </c>
      <c r="B2302" s="27" t="s">
        <v>1038</v>
      </c>
      <c r="C2302" s="27" t="s">
        <v>1013</v>
      </c>
      <c r="D2302" s="27" t="s">
        <v>1014</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1299</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544</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1227</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1300</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1046</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75</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1102</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1521</v>
      </c>
      <c r="B2310" s="27" t="s">
        <v>1043</v>
      </c>
      <c r="C2310" s="27" t="s">
        <v>1087</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1022</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row>
    <row r="2313" spans="1:12">
      <c r="A2313" s="20" t="s">
        <v>1696</v>
      </c>
    </row>
    <row r="2314" spans="1:12">
      <c r="A2314" s="20" t="s">
        <v>1571</v>
      </c>
      <c r="B2314" s="27" t="s">
        <v>1026</v>
      </c>
      <c r="C2314" s="27" t="s">
        <v>1059</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1172</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1235</v>
      </c>
      <c r="B2316" s="27" t="s">
        <v>1026</v>
      </c>
      <c r="C2316" s="27" t="s">
        <v>1087</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1200</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row>
    <row r="2319" spans="1:12">
      <c r="A2319" s="20" t="s">
        <v>1697</v>
      </c>
    </row>
    <row r="2320" spans="1:12">
      <c r="A2320" s="20" t="s">
        <v>1010</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1011</v>
      </c>
      <c r="B2321" s="27" t="s">
        <v>1012</v>
      </c>
      <c r="C2321" s="27" t="s">
        <v>1013</v>
      </c>
      <c r="D2321" s="27" t="s">
        <v>1014</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22</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1098</v>
      </c>
      <c r="B2323" s="27" t="s">
        <v>1070</v>
      </c>
      <c r="C2323" s="27" t="s">
        <v>1108</v>
      </c>
      <c r="D2323" s="27" t="s">
        <v>1014</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1022</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row>
    <row r="2326" spans="1:12">
      <c r="A2326" s="20" t="s">
        <v>1698</v>
      </c>
    </row>
    <row r="2327" spans="1:12">
      <c r="A2327" s="20" t="s">
        <v>1699</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544</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1200</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row>
    <row r="2331" spans="1:12">
      <c r="A2331" s="20" t="s">
        <v>1700</v>
      </c>
    </row>
    <row r="2332" spans="1:12">
      <c r="A2332" s="20" t="s">
        <v>1024</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1701</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1702</v>
      </c>
      <c r="B2334" s="27" t="s">
        <v>1038</v>
      </c>
      <c r="C2334" s="27" t="s">
        <v>1071</v>
      </c>
      <c r="D2334" s="27" t="s">
        <v>1014</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1102</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1703</v>
      </c>
      <c r="B2336" s="27" t="s">
        <v>1043</v>
      </c>
      <c r="C2336" s="27" t="s">
        <v>1147</v>
      </c>
      <c r="D2336" s="27" t="s">
        <v>1014</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1390</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1329</v>
      </c>
      <c r="B2338" s="27" t="s">
        <v>1012</v>
      </c>
      <c r="C2338" s="27" t="s">
        <v>1013</v>
      </c>
      <c r="D2338" s="27" t="s">
        <v>1014</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1019</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1704</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1705</v>
      </c>
      <c r="B2341" s="27" t="s">
        <v>1043</v>
      </c>
      <c r="C2341" s="27" t="s">
        <v>1021</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1192</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1031</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1706</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1707</v>
      </c>
      <c r="B2345" s="27" t="s">
        <v>1018</v>
      </c>
      <c r="C2345" s="27" t="s">
        <v>1013</v>
      </c>
      <c r="D2345" s="27" t="s">
        <v>1014</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1416</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1057</v>
      </c>
      <c r="B2347" s="27" t="s">
        <v>1308</v>
      </c>
      <c r="C2347" s="27" t="s">
        <v>1013</v>
      </c>
      <c r="D2347" s="27" t="s">
        <v>1014</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1397</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1019</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1395</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1708</v>
      </c>
      <c r="B2351" s="27" t="s">
        <v>1067</v>
      </c>
      <c r="C2351" s="27" t="s">
        <v>1021</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1022</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row>
    <row r="2354" spans="1:12">
      <c r="A2354" s="20" t="s">
        <v>1709</v>
      </c>
    </row>
    <row r="2355" spans="1:12">
      <c r="A2355" s="20" t="s">
        <v>1628</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1262</v>
      </c>
      <c r="B2356" s="27" t="s">
        <v>1038</v>
      </c>
      <c r="C2356" s="27" t="s">
        <v>1101</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1011</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1128</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1706</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1098</v>
      </c>
      <c r="B2360" s="27" t="s">
        <v>1012</v>
      </c>
      <c r="C2360" s="27" t="s">
        <v>1108</v>
      </c>
      <c r="D2360" s="27" t="s">
        <v>1014</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1083</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1022</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row>
    <row r="2364" spans="1:12">
      <c r="A2364" s="20" t="s">
        <v>1710</v>
      </c>
    </row>
    <row r="2365" spans="1:12">
      <c r="A2365" s="20" t="s">
        <v>1711</v>
      </c>
      <c r="B2365" s="27" t="s">
        <v>1038</v>
      </c>
      <c r="C2365" s="27" t="s">
        <v>1013</v>
      </c>
      <c r="D2365" s="27" t="s">
        <v>1014</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1397</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1079</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1300</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1046</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1712</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1713</v>
      </c>
      <c r="B2371" s="27" t="s">
        <v>1067</v>
      </c>
      <c r="C2371" s="27" t="s">
        <v>1068</v>
      </c>
      <c r="D2371" s="27" t="s">
        <v>1014</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1179</v>
      </c>
      <c r="B2372" s="27" t="s">
        <v>1070</v>
      </c>
      <c r="C2372" s="27" t="s">
        <v>1071</v>
      </c>
      <c r="D2372" s="27" t="s">
        <v>1014</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1714</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1235</v>
      </c>
      <c r="B2374" s="27" t="s">
        <v>1043</v>
      </c>
      <c r="C2374" s="27" t="s">
        <v>1087</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1027</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1210</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1209</v>
      </c>
      <c r="B2377" s="27" t="s">
        <v>1026</v>
      </c>
      <c r="C2377" s="27" t="s">
        <v>1101</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1022</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row>
    <row r="2380" spans="1:12">
      <c r="A2380" s="20" t="s">
        <v>1715</v>
      </c>
    </row>
    <row r="2381" spans="1:12">
      <c r="A2381" s="20" t="s">
        <v>1716</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1022</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row>
    <row r="2384" spans="1:12">
      <c r="A2384" s="20" t="s">
        <v>1717</v>
      </c>
    </row>
    <row r="2385" spans="1:12">
      <c r="A2385" s="20" t="s">
        <v>1699</v>
      </c>
      <c r="B2385" s="27" t="s">
        <v>1026</v>
      </c>
      <c r="C2385" s="27" t="s">
        <v>1059</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1200</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row>
    <row r="2388" spans="1:12">
      <c r="A2388" s="20" t="s">
        <v>1718</v>
      </c>
    </row>
    <row r="2389" spans="1:12">
      <c r="A2389" s="20" t="s">
        <v>1578</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1017</v>
      </c>
      <c r="B2390" s="27" t="s">
        <v>1038</v>
      </c>
      <c r="C2390" s="27" t="s">
        <v>1013</v>
      </c>
      <c r="D2390" s="27" t="s">
        <v>1014</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140</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1079</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22</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1235</v>
      </c>
      <c r="B2394" s="27" t="s">
        <v>1012</v>
      </c>
      <c r="C2394" s="27" t="s">
        <v>1087</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1022</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row>
    <row r="2397" spans="1:12">
      <c r="A2397" s="20" t="s">
        <v>1719</v>
      </c>
    </row>
    <row r="2398" spans="1:12">
      <c r="A2398" s="20" t="s">
        <v>1036</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1049</v>
      </c>
      <c r="B2399" s="27" t="s">
        <v>1038</v>
      </c>
      <c r="C2399" s="27" t="s">
        <v>1013</v>
      </c>
      <c r="D2399" s="27" t="s">
        <v>1014</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35</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537</v>
      </c>
      <c r="B2401" s="27" t="s">
        <v>1012</v>
      </c>
      <c r="C2401" s="27" t="s">
        <v>1059</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1200</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row>
    <row r="2404" spans="1:12">
      <c r="A2404" s="20" t="s">
        <v>1720</v>
      </c>
    </row>
    <row r="2405" spans="1:12">
      <c r="A2405" s="20" t="s">
        <v>1217</v>
      </c>
      <c r="B2405" s="27" t="s">
        <v>1038</v>
      </c>
      <c r="C2405" s="27" t="s">
        <v>1013</v>
      </c>
      <c r="D2405" s="27" t="s">
        <v>1014</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1190</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1079</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22</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1235</v>
      </c>
      <c r="B2409" s="27" t="s">
        <v>1012</v>
      </c>
      <c r="C2409" s="27" t="s">
        <v>1087</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t="s">
        <v>1040</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1041</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1588</v>
      </c>
      <c r="B2412" s="27" t="s">
        <v>1026</v>
      </c>
      <c r="C2412" s="27" t="s">
        <v>1044</v>
      </c>
      <c r="D2412" s="27" t="s">
        <v>1014</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1721</v>
      </c>
      <c r="B2413" s="27" t="s">
        <v>1026</v>
      </c>
      <c r="C2413" s="27" t="s">
        <v>1087</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1022</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row>
    <row r="2416" spans="1:12">
      <c r="A2416" s="20" t="s">
        <v>1722</v>
      </c>
    </row>
    <row r="2417" spans="1:12">
      <c r="A2417" s="20" t="s">
        <v>1723</v>
      </c>
      <c r="B2417" s="27" t="s">
        <v>1026</v>
      </c>
      <c r="C2417" s="27" t="s">
        <v>1087</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1027</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1057</v>
      </c>
      <c r="B2419" s="27" t="s">
        <v>1038</v>
      </c>
      <c r="C2419" s="27" t="s">
        <v>1013</v>
      </c>
      <c r="D2419" s="27" t="s">
        <v>1014</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140</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1079</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35</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1027</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1724</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1019</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1618</v>
      </c>
      <c r="B2426" s="27" t="s">
        <v>1033</v>
      </c>
      <c r="C2426" s="27" t="s">
        <v>1021</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1725</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1117</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1019</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1726</v>
      </c>
      <c r="B2430" s="27" t="s">
        <v>1043</v>
      </c>
      <c r="C2430" s="27" t="s">
        <v>1021</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1040</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1727</v>
      </c>
      <c r="B2432" s="27" t="s">
        <v>1067</v>
      </c>
      <c r="C2432" s="27" t="s">
        <v>1094</v>
      </c>
      <c r="D2432" s="27" t="s">
        <v>1014</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1041</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1728</v>
      </c>
      <c r="B2434" s="27" t="s">
        <v>1043</v>
      </c>
      <c r="C2434" s="27" t="s">
        <v>1044</v>
      </c>
      <c r="D2434" s="27" t="s">
        <v>1014</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1027</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1031</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1663</v>
      </c>
      <c r="B2437" s="27" t="s">
        <v>1033</v>
      </c>
      <c r="C2437" s="27" t="s">
        <v>1013</v>
      </c>
      <c r="D2437" s="27" t="s">
        <v>1014</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1011</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1729</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1046</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1730</v>
      </c>
      <c r="B2441" s="27" t="s">
        <v>1043</v>
      </c>
      <c r="C2441" s="27" t="s">
        <v>1094</v>
      </c>
      <c r="D2441" s="27" t="s">
        <v>1014</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1027</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1015</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1336</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1663</v>
      </c>
      <c r="B2445" s="27" t="s">
        <v>1033</v>
      </c>
      <c r="C2445" s="27" t="s">
        <v>1013</v>
      </c>
      <c r="D2445" s="27" t="s">
        <v>1014</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1011</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1731</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1732</v>
      </c>
      <c r="B2448" s="27" t="s">
        <v>1026</v>
      </c>
      <c r="C2448" s="27" t="s">
        <v>1094</v>
      </c>
      <c r="D2448" s="27" t="s">
        <v>1014</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1022</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row>
    <row r="2451" spans="1:12">
      <c r="A2451" s="20" t="s">
        <v>1733</v>
      </c>
    </row>
    <row r="2452" spans="1:12">
      <c r="A2452" s="20" t="s">
        <v>1036</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1663</v>
      </c>
      <c r="B2453" s="27" t="s">
        <v>1038</v>
      </c>
      <c r="C2453" s="27" t="s">
        <v>1013</v>
      </c>
      <c r="D2453" s="27" t="s">
        <v>1014</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1011</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1300</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1046</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1295</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1040</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1019</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1704</v>
      </c>
      <c r="B2460" s="27" t="s">
        <v>1043</v>
      </c>
      <c r="C2460" s="27" t="s">
        <v>1021</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1102</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1734</v>
      </c>
      <c r="B2462" s="27" t="s">
        <v>1067</v>
      </c>
      <c r="C2462" s="27" t="s">
        <v>1087</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1027</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1663</v>
      </c>
      <c r="B2464" s="27" t="s">
        <v>1033</v>
      </c>
      <c r="C2464" s="27" t="s">
        <v>1013</v>
      </c>
      <c r="D2464" s="27" t="s">
        <v>1014</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1011</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1300</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1046</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1735</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1019</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1736</v>
      </c>
      <c r="B2470" s="27" t="s">
        <v>1020</v>
      </c>
      <c r="C2470" s="27" t="s">
        <v>1021</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1027</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1031</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1663</v>
      </c>
      <c r="B2473" s="27" t="s">
        <v>1018</v>
      </c>
      <c r="C2473" s="27" t="s">
        <v>1013</v>
      </c>
      <c r="D2473" s="27" t="s">
        <v>1014</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1011</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1300</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1046</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377</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1046</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1737</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1738</v>
      </c>
      <c r="B2480" s="27" t="s">
        <v>1090</v>
      </c>
      <c r="C2480" s="27" t="s">
        <v>1094</v>
      </c>
      <c r="D2480" s="27" t="s">
        <v>1014</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1027</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1031</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1663</v>
      </c>
      <c r="B2483" s="27" t="s">
        <v>1033</v>
      </c>
      <c r="C2483" s="27" t="s">
        <v>1013</v>
      </c>
      <c r="D2483" s="27" t="s">
        <v>1014</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1011</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1300</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1046</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1739</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1262</v>
      </c>
      <c r="B2488" s="27" t="s">
        <v>1020</v>
      </c>
      <c r="C2488" s="27" t="s">
        <v>1071</v>
      </c>
      <c r="D2488" s="27" t="s">
        <v>1014</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1102</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1356</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1740</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1029</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1741</v>
      </c>
      <c r="B2493" s="27" t="s">
        <v>1090</v>
      </c>
      <c r="C2493" s="27" t="s">
        <v>1044</v>
      </c>
      <c r="D2493" s="27" t="s">
        <v>1014</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1742</v>
      </c>
      <c r="B2494" s="27" t="s">
        <v>1043</v>
      </c>
      <c r="C2494" s="27" t="s">
        <v>1087</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1022</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row>
    <row r="2497" spans="1:12">
      <c r="A2497" s="20" t="s">
        <v>1743</v>
      </c>
    </row>
    <row r="2498" spans="1:12">
      <c r="A2498" s="20" t="s">
        <v>1036</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1663</v>
      </c>
      <c r="B2499" s="27" t="s">
        <v>1038</v>
      </c>
      <c r="C2499" s="27" t="s">
        <v>1013</v>
      </c>
      <c r="D2499" s="27" t="s">
        <v>1014</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1236</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1079</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35</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1098</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1663</v>
      </c>
      <c r="B2504" s="27" t="s">
        <v>1033</v>
      </c>
      <c r="C2504" s="27" t="s">
        <v>1013</v>
      </c>
      <c r="D2504" s="27" t="s">
        <v>1014</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1011</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1744</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1321</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1019</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1745</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136</v>
      </c>
      <c r="B2510" s="27" t="s">
        <v>1043</v>
      </c>
      <c r="C2510" s="27" t="s">
        <v>1021</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1027</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1031</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1017</v>
      </c>
      <c r="B2513" s="27" t="s">
        <v>1033</v>
      </c>
      <c r="C2513" s="27" t="s">
        <v>1013</v>
      </c>
      <c r="D2513" s="27" t="s">
        <v>1014</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140</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1079</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1746</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1062</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1098</v>
      </c>
      <c r="B2518" s="27" t="s">
        <v>1033</v>
      </c>
      <c r="C2518" s="27" t="s">
        <v>1108</v>
      </c>
      <c r="D2518" s="27" t="s">
        <v>1014</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1011</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1122</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1209</v>
      </c>
      <c r="B2521" s="27" t="s">
        <v>1026</v>
      </c>
      <c r="C2521" s="27" t="s">
        <v>1123</v>
      </c>
      <c r="D2521" s="27" t="s">
        <v>1014</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1122</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1189</v>
      </c>
      <c r="B2523" s="27" t="s">
        <v>1018</v>
      </c>
      <c r="C2523" s="27" t="s">
        <v>1123</v>
      </c>
      <c r="D2523" s="27" t="s">
        <v>1014</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1258</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1022</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row>
    <row r="2527" spans="1:12">
      <c r="A2527" s="20" t="s">
        <v>1747</v>
      </c>
    </row>
    <row r="2528" spans="1:12">
      <c r="A2528" s="20" t="s">
        <v>1282</v>
      </c>
      <c r="B2528" s="27" t="s">
        <v>1038</v>
      </c>
      <c r="C2528" s="27" t="s">
        <v>1108</v>
      </c>
      <c r="D2528" s="27" t="s">
        <v>1014</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1011</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1122</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1118</v>
      </c>
      <c r="B2531" s="27" t="s">
        <v>1026</v>
      </c>
      <c r="C2531" s="27" t="s">
        <v>1123</v>
      </c>
      <c r="D2531" s="27" t="s">
        <v>1014</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1017</v>
      </c>
      <c r="B2532" s="27" t="s">
        <v>1033</v>
      </c>
      <c r="C2532" s="27" t="s">
        <v>1013</v>
      </c>
      <c r="D2532" s="27" t="s">
        <v>1014</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1184</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1117</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1022</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row>
    <row r="2537" spans="1:12">
      <c r="A2537" s="20" t="s">
        <v>1748</v>
      </c>
    </row>
    <row r="2538" spans="1:12">
      <c r="A2538" s="20" t="s">
        <v>1503</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1079</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587</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1032</v>
      </c>
      <c r="B2541" s="27" t="s">
        <v>1033</v>
      </c>
      <c r="C2541" s="27" t="s">
        <v>1013</v>
      </c>
      <c r="D2541" s="27" t="s">
        <v>1014</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1126</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1079</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1022</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row>
    <row r="2546" spans="1:12">
      <c r="A2546" s="20" t="s">
        <v>1749</v>
      </c>
    </row>
    <row r="2547" spans="1:12">
      <c r="A2547" s="20" t="s">
        <v>1575</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1027</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1017</v>
      </c>
      <c r="B2549" s="27" t="s">
        <v>1038</v>
      </c>
      <c r="C2549" s="27" t="s">
        <v>1013</v>
      </c>
      <c r="D2549" s="27" t="s">
        <v>1014</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591</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1046</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214</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1568</v>
      </c>
      <c r="B2553" s="27" t="s">
        <v>1070</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1040</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1750</v>
      </c>
      <c r="B2555" s="27" t="s">
        <v>1043</v>
      </c>
      <c r="C2555" s="27" t="s">
        <v>1087</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1022</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row>
    <row r="2558" spans="1:12">
      <c r="A2558" s="20" t="s">
        <v>1751</v>
      </c>
    </row>
    <row r="2559" spans="1:12">
      <c r="A2559" s="20" t="s">
        <v>1217</v>
      </c>
      <c r="B2559" s="27" t="s">
        <v>1038</v>
      </c>
      <c r="C2559" s="27" t="s">
        <v>1013</v>
      </c>
      <c r="D2559" s="27" t="s">
        <v>1014</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591</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1046</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140</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1032</v>
      </c>
      <c r="B2563" s="27" t="s">
        <v>1070</v>
      </c>
      <c r="C2563" s="27" t="s">
        <v>1013</v>
      </c>
      <c r="D2563" s="27" t="s">
        <v>1014</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1022</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row>
    <row r="2566" spans="1:12">
      <c r="A2566" s="20" t="s">
        <v>1752</v>
      </c>
    </row>
    <row r="2567" spans="1:12">
      <c r="A2567" s="20" t="s">
        <v>1753</v>
      </c>
      <c r="B2567" s="27" t="s">
        <v>1038</v>
      </c>
      <c r="C2567" s="27" t="s">
        <v>1039</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236</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1362</v>
      </c>
      <c r="B2569" s="27" t="s">
        <v>1043</v>
      </c>
      <c r="C2569" s="27" t="s">
        <v>1068</v>
      </c>
      <c r="D2569" s="27" t="s">
        <v>1014</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1754</v>
      </c>
      <c r="B2570" s="27" t="s">
        <v>1012</v>
      </c>
      <c r="C2570" s="27" t="s">
        <v>1071</v>
      </c>
      <c r="D2570" s="27" t="s">
        <v>1014</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1041</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1728</v>
      </c>
      <c r="B2572" s="27" t="s">
        <v>1026</v>
      </c>
      <c r="C2572" s="27" t="s">
        <v>1044</v>
      </c>
      <c r="D2572" s="27" t="s">
        <v>1014</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1200</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row>
    <row r="2575" spans="1:12">
      <c r="A2575" s="20" t="s">
        <v>1755</v>
      </c>
    </row>
    <row r="2576" spans="1:12">
      <c r="A2576" s="20" t="s">
        <v>601</v>
      </c>
      <c r="B2576" s="27" t="s">
        <v>1026</v>
      </c>
      <c r="C2576" s="27" t="s">
        <v>1094</v>
      </c>
      <c r="D2576" s="27" t="s">
        <v>1014</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1027</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1019</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1395</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1756</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1046</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507</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1049</v>
      </c>
      <c r="B2583" s="27" t="s">
        <v>1020</v>
      </c>
      <c r="C2583" s="27" t="s">
        <v>1013</v>
      </c>
      <c r="D2583" s="27" t="s">
        <v>1014</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1300</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1022</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row>
    <row r="2587" spans="1:12">
      <c r="A2587" s="20" t="s">
        <v>1757</v>
      </c>
    </row>
    <row r="2588" spans="1:12">
      <c r="A2588" s="20" t="s">
        <v>1057</v>
      </c>
      <c r="B2588" s="27" t="s">
        <v>1038</v>
      </c>
      <c r="C2588" s="27" t="s">
        <v>1013</v>
      </c>
      <c r="D2588" s="27" t="s">
        <v>1014</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35</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1049</v>
      </c>
      <c r="B2590" s="27" t="s">
        <v>1033</v>
      </c>
      <c r="C2590" s="27" t="s">
        <v>1013</v>
      </c>
      <c r="D2590" s="27" t="s">
        <v>1014</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1190</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1062</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1758</v>
      </c>
      <c r="B2593" s="27" t="s">
        <v>1018</v>
      </c>
      <c r="C2593" s="27" t="s">
        <v>1071</v>
      </c>
      <c r="D2593" s="27" t="s">
        <v>1014</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1102</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1759</v>
      </c>
      <c r="B2595" s="27" t="s">
        <v>1090</v>
      </c>
      <c r="C2595" s="27" t="s">
        <v>1094</v>
      </c>
      <c r="D2595" s="27" t="s">
        <v>1014</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140</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1278</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1279</v>
      </c>
      <c r="B2598" s="27" t="s">
        <v>1067</v>
      </c>
      <c r="C2598" s="27" t="s">
        <v>1280</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1022</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row>
    <row r="2601" spans="1:12">
      <c r="A2601" s="20" t="s">
        <v>1760</v>
      </c>
    </row>
    <row r="2602" spans="1:12">
      <c r="A2602" s="20" t="s">
        <v>1082</v>
      </c>
      <c r="B2602" s="27" t="s">
        <v>1038</v>
      </c>
      <c r="C2602" s="27" t="s">
        <v>1013</v>
      </c>
      <c r="D2602" s="27" t="s">
        <v>1014</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236</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1122</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1253</v>
      </c>
      <c r="B2605" s="27" t="s">
        <v>1012</v>
      </c>
      <c r="C2605" s="27" t="s">
        <v>1123</v>
      </c>
      <c r="D2605" s="27" t="s">
        <v>1014</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1027</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1031</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1075</v>
      </c>
      <c r="B2608" s="27" t="s">
        <v>1033</v>
      </c>
      <c r="C2608" s="27" t="s">
        <v>1013</v>
      </c>
      <c r="D2608" s="27" t="s">
        <v>1014</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236</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1761</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1762</v>
      </c>
      <c r="B2611" s="27" t="s">
        <v>1070</v>
      </c>
      <c r="C2611" s="27" t="s">
        <v>1087</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1027</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1031</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1032</v>
      </c>
      <c r="B2614" s="27" t="s">
        <v>1018</v>
      </c>
      <c r="C2614" s="27" t="s">
        <v>1013</v>
      </c>
      <c r="D2614" s="27" t="s">
        <v>1014</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1236</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1079</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384</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1657</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1763</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1017</v>
      </c>
      <c r="B2620" s="27" t="s">
        <v>1308</v>
      </c>
      <c r="C2620" s="27" t="s">
        <v>1013</v>
      </c>
      <c r="D2620" s="27" t="s">
        <v>1014</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1353</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1254</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1098</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1075</v>
      </c>
      <c r="B2624" s="27" t="s">
        <v>1257</v>
      </c>
      <c r="C2624" s="27" t="s">
        <v>1013</v>
      </c>
      <c r="D2624" s="27" t="s">
        <v>1014</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1299</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1764</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1022</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row>
    <row r="2629" spans="1:12">
      <c r="A2629" s="20" t="s">
        <v>1765</v>
      </c>
    </row>
    <row r="2630" spans="1:12">
      <c r="A2630" s="20" t="s">
        <v>1392</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1535</v>
      </c>
      <c r="B2631" s="27" t="s">
        <v>1038</v>
      </c>
      <c r="C2631" s="27" t="s">
        <v>1123</v>
      </c>
      <c r="D2631" s="27" t="s">
        <v>1014</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1656</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1032</v>
      </c>
      <c r="B2633" s="27" t="s">
        <v>1033</v>
      </c>
      <c r="C2633" s="27" t="s">
        <v>1013</v>
      </c>
      <c r="D2633" s="27" t="s">
        <v>1014</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1076</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1122</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1034</v>
      </c>
      <c r="B2636" s="27" t="s">
        <v>1026</v>
      </c>
      <c r="C2636" s="27" t="s">
        <v>1123</v>
      </c>
      <c r="D2636" s="27" t="s">
        <v>1014</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1022</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row>
    <row r="2639" spans="1:12">
      <c r="A2639" s="20" t="s">
        <v>1766</v>
      </c>
    </row>
    <row r="2640" spans="1:12">
      <c r="A2640" s="20" t="s">
        <v>1082</v>
      </c>
      <c r="B2640" s="27" t="s">
        <v>1038</v>
      </c>
      <c r="C2640" s="27" t="s">
        <v>1013</v>
      </c>
      <c r="D2640" s="27" t="s">
        <v>1014</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1767</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1378</v>
      </c>
      <c r="B2642" s="27" t="s">
        <v>1043</v>
      </c>
      <c r="C2642" s="27" t="s">
        <v>1068</v>
      </c>
      <c r="D2642" s="27" t="s">
        <v>1014</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630</v>
      </c>
      <c r="B2643" s="27" t="s">
        <v>1012</v>
      </c>
      <c r="C2643" s="27" t="s">
        <v>1071</v>
      </c>
      <c r="D2643" s="27" t="s">
        <v>1014</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1022</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row>
    <row r="2646" spans="1:12">
      <c r="A2646" s="20" t="s">
        <v>1768</v>
      </c>
    </row>
    <row r="2647" spans="1:12">
      <c r="A2647" s="20" t="s">
        <v>1082</v>
      </c>
      <c r="B2647" s="27" t="s">
        <v>1038</v>
      </c>
      <c r="C2647" s="27" t="s">
        <v>1013</v>
      </c>
      <c r="D2647" s="27" t="s">
        <v>1014</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1613</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200</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140</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618</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1177</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1098</v>
      </c>
      <c r="B2653" s="27" t="s">
        <v>1026</v>
      </c>
      <c r="C2653" s="27" t="s">
        <v>1108</v>
      </c>
      <c r="D2653" s="27" t="s">
        <v>1014</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1022</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row>
    <row r="2656" spans="1:12">
      <c r="A2656" s="20" t="s">
        <v>1769</v>
      </c>
    </row>
    <row r="2657" spans="1:12">
      <c r="A2657" s="20" t="s">
        <v>1115</v>
      </c>
      <c r="B2657" s="27" t="s">
        <v>1038</v>
      </c>
      <c r="C2657" s="27" t="s">
        <v>1013</v>
      </c>
      <c r="D2657" s="27" t="s">
        <v>1014</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1011</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1770</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1027</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1049</v>
      </c>
      <c r="B2661" s="27" t="s">
        <v>1033</v>
      </c>
      <c r="C2661" s="27" t="s">
        <v>1013</v>
      </c>
      <c r="D2661" s="27" t="s">
        <v>1014</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39</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1046</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1771</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119</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1275</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1772</v>
      </c>
      <c r="B2667" s="27" t="s">
        <v>1020</v>
      </c>
      <c r="C2667" s="27" t="s">
        <v>1101</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1391</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1773</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630</v>
      </c>
      <c r="B2670" s="27" t="s">
        <v>1067</v>
      </c>
      <c r="C2670" s="27" t="s">
        <v>1087</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1200</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row>
    <row r="2673" spans="1:12">
      <c r="A2673" s="20" t="s">
        <v>1774</v>
      </c>
    </row>
    <row r="2674" spans="1:12">
      <c r="A2674" s="20" t="s">
        <v>1057</v>
      </c>
      <c r="B2674" s="27" t="s">
        <v>1038</v>
      </c>
      <c r="C2674" s="27" t="s">
        <v>1013</v>
      </c>
      <c r="D2674" s="27" t="s">
        <v>1014</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1096</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1775</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1321</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1049</v>
      </c>
      <c r="B2678" s="27" t="s">
        <v>1026</v>
      </c>
      <c r="C2678" s="27" t="s">
        <v>1013</v>
      </c>
      <c r="D2678" s="27" t="s">
        <v>1014</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1022</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row>
    <row r="2681" spans="1:12">
      <c r="A2681" s="20" t="s">
        <v>1776</v>
      </c>
    </row>
    <row r="2682" spans="1:12">
      <c r="A2682" s="20" t="s">
        <v>634</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630</v>
      </c>
      <c r="B2683" s="27" t="s">
        <v>1026</v>
      </c>
      <c r="C2683" s="27" t="s">
        <v>1087</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1022</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row>
    <row r="2686" spans="1:12">
      <c r="A2686" s="20" t="s">
        <v>1777</v>
      </c>
    </row>
    <row r="2687" spans="1:12">
      <c r="A2687" s="20" t="s">
        <v>634</v>
      </c>
      <c r="B2687" s="27" t="s">
        <v>1026</v>
      </c>
      <c r="C2687" s="27" t="s">
        <v>1094</v>
      </c>
      <c r="D2687" s="27" t="s">
        <v>1014</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1022</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row>
    <row r="2690" spans="1:12">
      <c r="A2690" s="20" t="s">
        <v>1778</v>
      </c>
    </row>
    <row r="2691" spans="1:12">
      <c r="A2691" s="20" t="s">
        <v>1699</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140</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1017</v>
      </c>
      <c r="B2693" s="27" t="s">
        <v>1038</v>
      </c>
      <c r="C2693" s="27" t="s">
        <v>1013</v>
      </c>
      <c r="D2693" s="27" t="s">
        <v>1014</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140</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1098</v>
      </c>
      <c r="B2695" s="27" t="s">
        <v>1012</v>
      </c>
      <c r="C2695" s="27" t="s">
        <v>1108</v>
      </c>
      <c r="D2695" s="27" t="s">
        <v>1014</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1200</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row>
    <row r="2698" spans="1:12">
      <c r="A2698" s="20" t="s">
        <v>1778</v>
      </c>
    </row>
    <row r="2699" spans="1:12">
      <c r="A2699" s="20" t="s">
        <v>1699</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140</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1017</v>
      </c>
      <c r="B2701" s="27" t="s">
        <v>1038</v>
      </c>
      <c r="C2701" s="27" t="s">
        <v>1013</v>
      </c>
      <c r="D2701" s="27" t="s">
        <v>1014</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140</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1098</v>
      </c>
      <c r="B2703" s="27" t="s">
        <v>1012</v>
      </c>
      <c r="C2703" s="27" t="s">
        <v>1108</v>
      </c>
      <c r="D2703" s="27" t="s">
        <v>1014</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1200</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row>
    <row r="2706" spans="1:12">
      <c r="A2706" s="20" t="s">
        <v>1779</v>
      </c>
    </row>
    <row r="2707" spans="1:12">
      <c r="A2707" s="20" t="s">
        <v>1652</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1027</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1057</v>
      </c>
      <c r="B2709" s="27" t="s">
        <v>1038</v>
      </c>
      <c r="C2709" s="27" t="s">
        <v>1013</v>
      </c>
      <c r="D2709" s="27" t="s">
        <v>1014</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100</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1057</v>
      </c>
      <c r="B2711" s="27" t="s">
        <v>1033</v>
      </c>
      <c r="C2711" s="27" t="s">
        <v>1013</v>
      </c>
      <c r="D2711" s="27" t="s">
        <v>1014</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49</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1027</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1017</v>
      </c>
      <c r="B2714" s="27" t="s">
        <v>1033</v>
      </c>
      <c r="C2714" s="27" t="s">
        <v>1013</v>
      </c>
      <c r="D2714" s="27" t="s">
        <v>1014</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647</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1780</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1781</v>
      </c>
      <c r="B2717" s="27" t="s">
        <v>1070</v>
      </c>
      <c r="C2717" s="27" t="s">
        <v>1094</v>
      </c>
      <c r="D2717" s="27" t="s">
        <v>1014</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1022</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row>
    <row r="2720" spans="1:12">
      <c r="A2720" s="20" t="s">
        <v>1782</v>
      </c>
    </row>
    <row r="2721" spans="1:12">
      <c r="A2721" s="20" t="s">
        <v>1217</v>
      </c>
      <c r="B2721" s="27" t="s">
        <v>1038</v>
      </c>
      <c r="C2721" s="27" t="s">
        <v>1013</v>
      </c>
      <c r="D2721" s="27" t="s">
        <v>1014</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647</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1780</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1783</v>
      </c>
      <c r="B2724" s="27" t="s">
        <v>1012</v>
      </c>
      <c r="C2724" s="27" t="s">
        <v>1087</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1022</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row>
    <row r="2727" spans="1:12">
      <c r="A2727" s="20" t="s">
        <v>1784</v>
      </c>
    </row>
    <row r="2728" spans="1:12">
      <c r="A2728" s="20" t="s">
        <v>1217</v>
      </c>
      <c r="B2728" s="27" t="s">
        <v>1038</v>
      </c>
      <c r="C2728" s="27" t="s">
        <v>1013</v>
      </c>
      <c r="D2728" s="27" t="s">
        <v>1014</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140</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1079</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651</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1122</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1785</v>
      </c>
      <c r="B2733" s="27" t="s">
        <v>1012</v>
      </c>
      <c r="C2733" s="27" t="s">
        <v>1123</v>
      </c>
      <c r="D2733" s="27" t="s">
        <v>1014</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1022</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row>
    <row r="2736" spans="1:12">
      <c r="A2736" s="20" t="s">
        <v>1786</v>
      </c>
    </row>
    <row r="2737" spans="1:12">
      <c r="A2737" s="20" t="s">
        <v>1036</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1017</v>
      </c>
      <c r="B2738" s="27" t="s">
        <v>1038</v>
      </c>
      <c r="C2738" s="27" t="s">
        <v>1013</v>
      </c>
      <c r="D2738" s="27" t="s">
        <v>1014</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1478</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1079</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1133</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1787</v>
      </c>
      <c r="B2742" s="27" t="s">
        <v>1026</v>
      </c>
      <c r="C2742" s="27" t="s">
        <v>1068</v>
      </c>
      <c r="D2742" s="27" t="s">
        <v>1014</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1134</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714</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1788</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1789</v>
      </c>
      <c r="B2746" s="27" t="s">
        <v>1026</v>
      </c>
      <c r="C2746" s="27" t="s">
        <v>1071</v>
      </c>
      <c r="D2746" s="27" t="s">
        <v>1014</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1022</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row>
    <row r="2749" spans="1:12">
      <c r="A2749" s="20" t="s">
        <v>1790</v>
      </c>
    </row>
    <row r="2750" spans="1:12">
      <c r="A2750" s="20" t="s">
        <v>1115</v>
      </c>
      <c r="B2750" s="27" t="s">
        <v>1038</v>
      </c>
      <c r="C2750" s="27" t="s">
        <v>1013</v>
      </c>
      <c r="D2750" s="27" t="s">
        <v>1014</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1011</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1791</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1046</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1226</v>
      </c>
      <c r="B2754" s="27" t="s">
        <v>1026</v>
      </c>
      <c r="C2754" s="27" t="s">
        <v>1087</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1102</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1173</v>
      </c>
      <c r="B2756" s="27" t="s">
        <v>1043</v>
      </c>
      <c r="C2756" s="27" t="s">
        <v>1087</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1022</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row>
    <row r="2759" spans="1:12">
      <c r="A2759" s="20" t="s">
        <v>1792</v>
      </c>
    </row>
    <row r="2760" spans="1:12">
      <c r="A2760" s="20" t="s">
        <v>1115</v>
      </c>
      <c r="B2760" s="27" t="s">
        <v>1038</v>
      </c>
      <c r="C2760" s="27" t="s">
        <v>1013</v>
      </c>
      <c r="D2760" s="27" t="s">
        <v>1014</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1011</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968</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1793</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1794</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1031</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1795</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11</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1796</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1046</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1238</v>
      </c>
      <c r="B2770" s="27" t="s">
        <v>1043</v>
      </c>
      <c r="C2770" s="27" t="s">
        <v>1108</v>
      </c>
      <c r="D2770" s="27" t="s">
        <v>1014</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1102</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1174</v>
      </c>
      <c r="B2772" s="27" t="s">
        <v>1067</v>
      </c>
      <c r="C2772" s="27" t="s">
        <v>1013</v>
      </c>
      <c r="D2772" s="27" t="s">
        <v>1014</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1797</v>
      </c>
      <c r="B2773" s="27" t="s">
        <v>1308</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1050</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1171</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1798</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1032</v>
      </c>
      <c r="B2777" s="27" t="s">
        <v>1135</v>
      </c>
      <c r="C2777" s="27" t="s">
        <v>1013</v>
      </c>
      <c r="D2777" s="27" t="s">
        <v>1014</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1022</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row>
    <row r="2780" spans="1:12">
      <c r="A2780" s="20" t="s">
        <v>1799</v>
      </c>
    </row>
    <row r="2781" spans="1:12">
      <c r="A2781" s="20" t="s">
        <v>1121</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1017</v>
      </c>
      <c r="B2782" s="27" t="s">
        <v>1038</v>
      </c>
      <c r="C2782" s="27" t="s">
        <v>1013</v>
      </c>
      <c r="D2782" s="27" t="s">
        <v>1014</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667</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1301</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1538</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1032</v>
      </c>
      <c r="B2786" s="27" t="s">
        <v>1043</v>
      </c>
      <c r="C2786" s="27" t="s">
        <v>1013</v>
      </c>
      <c r="D2786" s="27" t="s">
        <v>1014</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1027</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1031</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1055</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140</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1017</v>
      </c>
      <c r="B2791" s="27" t="s">
        <v>1033</v>
      </c>
      <c r="C2791" s="27" t="s">
        <v>1013</v>
      </c>
      <c r="D2791" s="27" t="s">
        <v>1014</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667</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1200</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row>
    <row r="2795" spans="1:12">
      <c r="A2795" s="20" t="s">
        <v>1800</v>
      </c>
    </row>
    <row r="2796" spans="1:12">
      <c r="A2796" s="20" t="s">
        <v>1217</v>
      </c>
      <c r="B2796" s="27" t="s">
        <v>1038</v>
      </c>
      <c r="C2796" s="27" t="s">
        <v>1013</v>
      </c>
      <c r="D2796" s="27" t="s">
        <v>1014</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671</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1047</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1122</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1801</v>
      </c>
      <c r="B2800" s="27" t="s">
        <v>1026</v>
      </c>
      <c r="C2800" s="27" t="s">
        <v>1071</v>
      </c>
      <c r="D2800" s="27" t="s">
        <v>1014</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1102</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1780</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1802</v>
      </c>
      <c r="B2803" s="27" t="s">
        <v>1043</v>
      </c>
      <c r="C2803" s="27" t="s">
        <v>1094</v>
      </c>
      <c r="D2803" s="27" t="s">
        <v>1014</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1022</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row>
    <row r="2806" spans="1:12">
      <c r="A2806" s="20" t="s">
        <v>1803</v>
      </c>
    </row>
    <row r="2807" spans="1:12">
      <c r="A2807" s="20" t="s">
        <v>1282</v>
      </c>
      <c r="B2807" s="27" t="s">
        <v>1038</v>
      </c>
      <c r="C2807" s="27" t="s">
        <v>1108</v>
      </c>
      <c r="D2807" s="27" t="s">
        <v>1014</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1011</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1804</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1022</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row>
    <row r="2812" spans="1:12">
      <c r="A2812" s="20" t="s">
        <v>1805</v>
      </c>
    </row>
    <row r="2813" spans="1:12">
      <c r="A2813" s="20" t="s">
        <v>1057</v>
      </c>
      <c r="B2813" s="27" t="s">
        <v>1038</v>
      </c>
      <c r="C2813" s="27" t="s">
        <v>1013</v>
      </c>
      <c r="D2813" s="27" t="s">
        <v>1014</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591</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1780</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1802</v>
      </c>
      <c r="B2816" s="27" t="s">
        <v>1012</v>
      </c>
      <c r="C2816" s="27" t="s">
        <v>1094</v>
      </c>
      <c r="D2816" s="27" t="s">
        <v>1014</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1022</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row>
    <row r="2819" spans="1:12">
      <c r="A2819" s="20" t="s">
        <v>1806</v>
      </c>
    </row>
    <row r="2820" spans="1:12">
      <c r="A2820" s="20" t="s">
        <v>1436</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682</v>
      </c>
      <c r="B2821" s="27" t="s">
        <v>1026</v>
      </c>
      <c r="C2821" s="27" t="s">
        <v>1094</v>
      </c>
      <c r="D2821" s="27" t="s">
        <v>1014</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1438</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row>
    <row r="2824" spans="1:12">
      <c r="A2824" s="20" t="s">
        <v>1807</v>
      </c>
    </row>
    <row r="2825" spans="1:12">
      <c r="A2825" s="20" t="s">
        <v>1170</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1027</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1049</v>
      </c>
      <c r="B2827" s="27" t="s">
        <v>1038</v>
      </c>
      <c r="C2827" s="27" t="s">
        <v>1013</v>
      </c>
      <c r="D2827" s="27" t="s">
        <v>1014</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35</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1027</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1032</v>
      </c>
      <c r="B2830" s="27" t="s">
        <v>1033</v>
      </c>
      <c r="C2830" s="27" t="s">
        <v>1013</v>
      </c>
      <c r="D2830" s="27" t="s">
        <v>1014</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1011</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1283</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1019</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1532</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258</v>
      </c>
      <c r="B2835" s="27" t="s">
        <v>1026</v>
      </c>
      <c r="C2835" s="27" t="s">
        <v>1021</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1062</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1041</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1253</v>
      </c>
      <c r="B2838" s="27" t="s">
        <v>1018</v>
      </c>
      <c r="C2838" s="27" t="s">
        <v>1044</v>
      </c>
      <c r="D2838" s="27" t="s">
        <v>1014</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1126</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1808</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1027</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1031</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1017</v>
      </c>
      <c r="B2843" s="27" t="s">
        <v>1033</v>
      </c>
      <c r="C2843" s="27" t="s">
        <v>1013</v>
      </c>
      <c r="D2843" s="27" t="s">
        <v>1014</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1809</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1204</v>
      </c>
      <c r="B2845" s="27" t="s">
        <v>1070</v>
      </c>
      <c r="C2845" s="27" t="s">
        <v>1087</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1102</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1772</v>
      </c>
      <c r="B2847" s="27" t="s">
        <v>1067</v>
      </c>
      <c r="C2847" s="27" t="s">
        <v>1087</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1117</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1032</v>
      </c>
      <c r="B2849" s="27" t="s">
        <v>1043</v>
      </c>
      <c r="C2849" s="27" t="s">
        <v>1013</v>
      </c>
      <c r="D2849" s="27" t="s">
        <v>1014</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1022</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row>
    <row r="2852" spans="1:12">
      <c r="A2852" s="20" t="s">
        <v>1810</v>
      </c>
    </row>
    <row r="2853" spans="1:12">
      <c r="A2853" s="20" t="s">
        <v>1036</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1057</v>
      </c>
      <c r="B2854" s="27" t="s">
        <v>1038</v>
      </c>
      <c r="C2854" s="27" t="s">
        <v>1013</v>
      </c>
      <c r="D2854" s="27" t="s">
        <v>1014</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22</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1076</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1811</v>
      </c>
      <c r="B2857" s="27" t="s">
        <v>1012</v>
      </c>
      <c r="C2857" s="27" t="s">
        <v>1021</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1102</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1395</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1812</v>
      </c>
      <c r="B2860" s="27" t="s">
        <v>1043</v>
      </c>
      <c r="C2860" s="27" t="s">
        <v>1087</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1016</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1022</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row>
    <row r="2864" spans="1:12">
      <c r="A2864" s="20" t="s">
        <v>1813</v>
      </c>
    </row>
    <row r="2865" spans="1:12">
      <c r="A2865" s="20" t="s">
        <v>1814</v>
      </c>
      <c r="B2865" s="27" t="s">
        <v>1026</v>
      </c>
      <c r="C2865" s="27" t="s">
        <v>1071</v>
      </c>
      <c r="D2865" s="27" t="s">
        <v>1014</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1102</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1032</v>
      </c>
      <c r="B2867" s="27" t="s">
        <v>1026</v>
      </c>
      <c r="C2867" s="27" t="s">
        <v>1013</v>
      </c>
      <c r="D2867" s="27" t="s">
        <v>1014</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1144</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1815</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1027</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1816</v>
      </c>
      <c r="B2871" s="27" t="s">
        <v>1026</v>
      </c>
      <c r="C2871" s="27" t="s">
        <v>1087</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1053</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1817</v>
      </c>
      <c r="B2873" s="27" t="s">
        <v>1026</v>
      </c>
      <c r="C2873" s="27" t="s">
        <v>1087</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1027</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1816</v>
      </c>
      <c r="B2875" s="27" t="s">
        <v>1043</v>
      </c>
      <c r="C2875" s="27" t="s">
        <v>1087</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1053</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1818</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11</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1057</v>
      </c>
      <c r="B2879" s="27" t="s">
        <v>1033</v>
      </c>
      <c r="C2879" s="27" t="s">
        <v>1013</v>
      </c>
      <c r="D2879" s="27" t="s">
        <v>1014</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140</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1079</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1171</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35</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537</v>
      </c>
      <c r="B2884" s="27" t="s">
        <v>1043</v>
      </c>
      <c r="C2884" s="27" t="s">
        <v>1059</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1098</v>
      </c>
      <c r="B2885" s="27" t="s">
        <v>1018</v>
      </c>
      <c r="C2885" s="27" t="s">
        <v>1108</v>
      </c>
      <c r="D2885" s="27" t="s">
        <v>1014</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1126</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1589</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1017</v>
      </c>
      <c r="B2888" s="27" t="s">
        <v>1018</v>
      </c>
      <c r="C2888" s="27" t="s">
        <v>1013</v>
      </c>
      <c r="D2888" s="27" t="s">
        <v>1014</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1299</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1819</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1204</v>
      </c>
      <c r="B2891" s="27" t="s">
        <v>1020</v>
      </c>
      <c r="C2891" s="27" t="s">
        <v>1087</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1102</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1772</v>
      </c>
      <c r="B2893" s="27" t="s">
        <v>1090</v>
      </c>
      <c r="C2893" s="27" t="s">
        <v>1087</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1117</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1032</v>
      </c>
      <c r="B2895" s="27" t="s">
        <v>1067</v>
      </c>
      <c r="C2895" s="27" t="s">
        <v>1013</v>
      </c>
      <c r="D2895" s="27" t="s">
        <v>1014</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11</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1032</v>
      </c>
      <c r="B2897" s="27" t="s">
        <v>1033</v>
      </c>
      <c r="C2897" s="27" t="s">
        <v>1013</v>
      </c>
      <c r="D2897" s="27" t="s">
        <v>1014</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1011</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1816</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1022</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row>
    <row r="2902" spans="1:12">
      <c r="A2902" s="20" t="s">
        <v>1719</v>
      </c>
    </row>
    <row r="2903" spans="1:12">
      <c r="A2903" s="20" t="s">
        <v>1036</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1049</v>
      </c>
      <c r="B2904" s="27" t="s">
        <v>1038</v>
      </c>
      <c r="C2904" s="27" t="s">
        <v>1013</v>
      </c>
      <c r="D2904" s="27" t="s">
        <v>1014</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35</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537</v>
      </c>
      <c r="B2906" s="27" t="s">
        <v>1012</v>
      </c>
      <c r="C2906" s="27" t="s">
        <v>1059</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1200</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row>
    <row r="2909" spans="1:12">
      <c r="A2909" s="20" t="s">
        <v>1080</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1820</v>
      </c>
    </row>
    <row r="2911" spans="1:12">
      <c r="A2911" s="20" t="s">
        <v>1508</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1057</v>
      </c>
      <c r="B2912" s="27" t="s">
        <v>1033</v>
      </c>
      <c r="C2912" s="27" t="s">
        <v>1013</v>
      </c>
      <c r="D2912" s="27" t="s">
        <v>1014</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495</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1041</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1253</v>
      </c>
      <c r="B2915" s="27" t="s">
        <v>1070</v>
      </c>
      <c r="C2915" s="27" t="s">
        <v>1044</v>
      </c>
      <c r="D2915" s="27" t="s">
        <v>1014</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1027</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1173</v>
      </c>
      <c r="B2917" s="27" t="s">
        <v>1038</v>
      </c>
      <c r="C2917" s="27" t="s">
        <v>1087</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698</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1166</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1329</v>
      </c>
      <c r="B2920" s="27" t="s">
        <v>1026</v>
      </c>
      <c r="C2920" s="27" t="s">
        <v>1013</v>
      </c>
      <c r="D2920" s="27" t="s">
        <v>1014</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1027</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1031</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1075</v>
      </c>
      <c r="B2923" s="27" t="s">
        <v>1033</v>
      </c>
      <c r="C2923" s="27" t="s">
        <v>1013</v>
      </c>
      <c r="D2923" s="27" t="s">
        <v>1014</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495</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1027</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1091</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1571</v>
      </c>
      <c r="B2927" s="27" t="s">
        <v>1020</v>
      </c>
      <c r="C2927" s="27" t="s">
        <v>1059</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140</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1049</v>
      </c>
      <c r="B2929" s="27" t="s">
        <v>1018</v>
      </c>
      <c r="C2929" s="27" t="s">
        <v>1013</v>
      </c>
      <c r="D2929" s="27" t="s">
        <v>1014</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714</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1200</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row>
    <row r="2933" spans="1:12">
      <c r="A2933" s="20" t="s">
        <v>1821</v>
      </c>
    </row>
    <row r="2934" spans="1:12">
      <c r="A2934" s="20" t="s">
        <v>1010</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1173</v>
      </c>
      <c r="B2935" s="27" t="s">
        <v>1012</v>
      </c>
      <c r="C2935" s="27" t="s">
        <v>1087</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140</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537</v>
      </c>
      <c r="B2937" s="27" t="s">
        <v>1020</v>
      </c>
      <c r="C2937" s="27" t="s">
        <v>1059</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1075</v>
      </c>
      <c r="B2938" s="27" t="s">
        <v>1018</v>
      </c>
      <c r="C2938" s="27" t="s">
        <v>1013</v>
      </c>
      <c r="D2938" s="27" t="s">
        <v>1014</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39</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1046</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140</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1022</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row>
    <row r="2944" spans="1:12">
      <c r="A2944" s="20" t="s">
        <v>1080</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1822</v>
      </c>
    </row>
    <row r="2946" spans="1:12">
      <c r="A2946" s="20" t="s">
        <v>1115</v>
      </c>
      <c r="B2946" s="27" t="s">
        <v>1038</v>
      </c>
      <c r="C2946" s="27" t="s">
        <v>1013</v>
      </c>
      <c r="D2946" s="27" t="s">
        <v>1014</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1549</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1154</v>
      </c>
      <c r="B2948" s="27" t="s">
        <v>1033</v>
      </c>
      <c r="C2948" s="27" t="s">
        <v>1013</v>
      </c>
      <c r="D2948" s="27" t="s">
        <v>1014</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1550</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487</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1022</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1091</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row>
    <row r="2954" spans="1:12">
      <c r="A2954" s="20" t="s">
        <v>1719</v>
      </c>
    </row>
    <row r="2955" spans="1:12">
      <c r="A2955" s="20" t="s">
        <v>1036</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1049</v>
      </c>
      <c r="B2956" s="27" t="s">
        <v>1038</v>
      </c>
      <c r="C2956" s="27" t="s">
        <v>1013</v>
      </c>
      <c r="D2956" s="27" t="s">
        <v>1014</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35</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537</v>
      </c>
      <c r="B2958" s="27" t="s">
        <v>1012</v>
      </c>
      <c r="C2958" s="27" t="s">
        <v>1059</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1200</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row>
    <row r="2961" spans="1:12">
      <c r="A2961" s="20" t="s">
        <v>1823</v>
      </c>
    </row>
    <row r="2962" spans="1:12">
      <c r="A2962" s="20" t="s">
        <v>1377</v>
      </c>
      <c r="B2962" s="27" t="s">
        <v>1038</v>
      </c>
      <c r="C2962" s="27" t="s">
        <v>1013</v>
      </c>
      <c r="D2962" s="27" t="s">
        <v>1014</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1299</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1824</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1022</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row>
    <row r="2967" spans="1:12">
      <c r="A2967" s="20" t="s">
        <v>1080</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1825</v>
      </c>
    </row>
    <row r="2969" spans="1:12">
      <c r="A2969" s="20" t="s">
        <v>1578</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1057</v>
      </c>
      <c r="B2970" s="27" t="s">
        <v>1038</v>
      </c>
      <c r="C2970" s="27" t="s">
        <v>1013</v>
      </c>
      <c r="D2970" s="27" t="s">
        <v>1014</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140</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1079</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714</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1256</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1032</v>
      </c>
      <c r="B2975" s="27" t="s">
        <v>1033</v>
      </c>
      <c r="C2975" s="27" t="s">
        <v>1013</v>
      </c>
      <c r="D2975" s="27" t="s">
        <v>1014</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1011</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1122</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1826</v>
      </c>
      <c r="B2978" s="27" t="s">
        <v>1026</v>
      </c>
      <c r="C2978" s="27" t="s">
        <v>1071</v>
      </c>
      <c r="D2978" s="27" t="s">
        <v>1014</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1102</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1827</v>
      </c>
      <c r="B2980" s="27" t="s">
        <v>1043</v>
      </c>
      <c r="C2980" s="27" t="s">
        <v>1094</v>
      </c>
      <c r="D2980" s="27" t="s">
        <v>1014</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1797</v>
      </c>
      <c r="B2981" s="27" t="s">
        <v>1018</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1011</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1828</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1027</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1091</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1829</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1027</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1057</v>
      </c>
      <c r="B2988" s="27" t="s">
        <v>1308</v>
      </c>
      <c r="C2988" s="27" t="s">
        <v>1013</v>
      </c>
      <c r="D2988" s="27" t="s">
        <v>1014</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1096</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544</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1300</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1046</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236</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1122</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1501</v>
      </c>
      <c r="B2995" s="27" t="s">
        <v>1306</v>
      </c>
      <c r="C2995" s="27" t="s">
        <v>1071</v>
      </c>
      <c r="D2995" s="27" t="s">
        <v>1014</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1102</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1066</v>
      </c>
      <c r="B2997" s="27" t="s">
        <v>1143</v>
      </c>
      <c r="C2997" s="27" t="s">
        <v>1068</v>
      </c>
      <c r="D2997" s="27" t="s">
        <v>1014</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1830</v>
      </c>
      <c r="B2998" s="27" t="s">
        <v>1305</v>
      </c>
      <c r="C2998" s="27" t="s">
        <v>1071</v>
      </c>
      <c r="D2998" s="27" t="s">
        <v>1014</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1117</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1831</v>
      </c>
      <c r="B3000" s="27" t="s">
        <v>1137</v>
      </c>
      <c r="C3000" s="27" t="s">
        <v>1087</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1027</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1091</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1088</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1099</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1832</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1833</v>
      </c>
      <c r="B3006" s="27" t="s">
        <v>1026</v>
      </c>
      <c r="C3006" s="27" t="s">
        <v>1101</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1797</v>
      </c>
      <c r="B3007" s="27" t="s">
        <v>1018</v>
      </c>
      <c r="C3007" s="27" t="s">
        <v>1059</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1834</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1046</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1835</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1677</v>
      </c>
      <c r="B3011" s="27" t="s">
        <v>1137</v>
      </c>
      <c r="C3011" s="27" t="s">
        <v>1068</v>
      </c>
      <c r="D3011" s="27" t="s">
        <v>1014</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1836</v>
      </c>
      <c r="B3012" s="27" t="s">
        <v>1135</v>
      </c>
      <c r="C3012" s="27" t="s">
        <v>1071</v>
      </c>
      <c r="D3012" s="27" t="s">
        <v>1014</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1321</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1837</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1838</v>
      </c>
      <c r="B3015" s="27" t="s">
        <v>1090</v>
      </c>
      <c r="C3015" s="27" t="s">
        <v>1087</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1022</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row>
    <row r="3018" spans="1:12">
      <c r="A3018" s="20" t="s">
        <v>1839</v>
      </c>
    </row>
    <row r="3019" spans="1:12">
      <c r="A3019" s="20" t="s">
        <v>1508</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1049</v>
      </c>
      <c r="B3020" s="27" t="s">
        <v>1033</v>
      </c>
      <c r="C3020" s="27" t="s">
        <v>1013</v>
      </c>
      <c r="D3020" s="27" t="s">
        <v>1014</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t="s">
        <v>1840</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1565</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1122</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1841</v>
      </c>
      <c r="B3024" s="27" t="s">
        <v>1070</v>
      </c>
      <c r="C3024" s="27" t="s">
        <v>1123</v>
      </c>
      <c r="D3024" s="27" t="s">
        <v>1014</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1055</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1842</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1031</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1843</v>
      </c>
      <c r="B3028" s="27" t="s">
        <v>1318</v>
      </c>
      <c r="C3028" s="27" t="s">
        <v>1087</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1844</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1501</v>
      </c>
      <c r="B3030" s="27" t="s">
        <v>1067</v>
      </c>
      <c r="C3030" s="27" t="s">
        <v>1087</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1031</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1335</v>
      </c>
      <c r="B3032" s="27" t="s">
        <v>1090</v>
      </c>
      <c r="C3032" s="27" t="s">
        <v>1087</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1027</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1049</v>
      </c>
      <c r="B3034" s="27" t="s">
        <v>1038</v>
      </c>
      <c r="C3034" s="27" t="s">
        <v>1013</v>
      </c>
      <c r="D3034" s="27" t="s">
        <v>1014</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718</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1330</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1040</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1019</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1845</v>
      </c>
      <c r="B3039" s="27" t="s">
        <v>1026</v>
      </c>
      <c r="C3039" s="27" t="s">
        <v>1021</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1049</v>
      </c>
      <c r="B3040" s="27" t="s">
        <v>1033</v>
      </c>
      <c r="C3040" s="27" t="s">
        <v>1013</v>
      </c>
      <c r="D3040" s="27" t="s">
        <v>1014</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140</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1079</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39</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1046</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60</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1022</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row>
    <row r="3048" spans="1:12">
      <c r="A3048" s="20" t="s">
        <v>1846</v>
      </c>
    </row>
    <row r="3049" spans="1:12">
      <c r="A3049" s="20" t="s">
        <v>1377</v>
      </c>
      <c r="B3049" s="27" t="s">
        <v>1038</v>
      </c>
      <c r="C3049" s="27" t="s">
        <v>1013</v>
      </c>
      <c r="D3049" s="27" t="s">
        <v>1014</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718</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1330</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1040</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1847</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1848</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1849</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1850</v>
      </c>
      <c r="B3056" s="27" t="s">
        <v>1026</v>
      </c>
      <c r="C3056" s="27" t="s">
        <v>1094</v>
      </c>
      <c r="D3056" s="27" t="s">
        <v>1014</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1022</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row>
    <row r="3059" spans="1:12">
      <c r="A3059" s="20" t="s">
        <v>1851</v>
      </c>
    </row>
    <row r="3060" spans="1:12">
      <c r="A3060" s="20" t="s">
        <v>1623</v>
      </c>
      <c r="B3060" s="27" t="s">
        <v>1033</v>
      </c>
      <c r="C3060" s="27" t="s">
        <v>1013</v>
      </c>
      <c r="D3060" s="27" t="s">
        <v>1014</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1203</v>
      </c>
      <c r="B3061" s="27" t="s">
        <v>1038</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1852</v>
      </c>
      <c r="B3062" s="27" t="s">
        <v>1070</v>
      </c>
      <c r="C3062" s="27" t="s">
        <v>1071</v>
      </c>
      <c r="D3062" s="27" t="s">
        <v>1014</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1102</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1677</v>
      </c>
      <c r="B3064" s="27" t="s">
        <v>1090</v>
      </c>
      <c r="C3064" s="27" t="s">
        <v>1068</v>
      </c>
      <c r="D3064" s="27" t="s">
        <v>1014</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1173</v>
      </c>
      <c r="B3065" s="27" t="s">
        <v>1067</v>
      </c>
      <c r="C3065" s="27" t="s">
        <v>1071</v>
      </c>
      <c r="D3065" s="27" t="s">
        <v>1014</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1129</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1853</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1098</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1854</v>
      </c>
      <c r="B3069" s="27" t="s">
        <v>1020</v>
      </c>
      <c r="C3069" s="27" t="s">
        <v>1044</v>
      </c>
      <c r="D3069" s="27" t="s">
        <v>1014</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1027</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1855</v>
      </c>
      <c r="B3071" s="27" t="s">
        <v>1090</v>
      </c>
      <c r="C3071" s="27" t="s">
        <v>1087</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1031</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1856</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1297</v>
      </c>
      <c r="B3074" s="27" t="s">
        <v>1090</v>
      </c>
      <c r="C3074" s="27" t="s">
        <v>1087</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1085</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471</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618</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1401</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1177</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1122</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1857</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1858</v>
      </c>
      <c r="B3082" s="27" t="s">
        <v>1026</v>
      </c>
      <c r="C3082" s="27" t="s">
        <v>1123</v>
      </c>
      <c r="D3082" s="27" t="s">
        <v>1014</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1017</v>
      </c>
      <c r="B3083" s="27" t="s">
        <v>1018</v>
      </c>
      <c r="C3083" s="27" t="s">
        <v>1013</v>
      </c>
      <c r="D3083" s="27" t="s">
        <v>1014</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35</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1050</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1859</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1122</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1860</v>
      </c>
      <c r="B3088" s="27" t="s">
        <v>1135</v>
      </c>
      <c r="C3088" s="27" t="s">
        <v>1123</v>
      </c>
      <c r="D3088" s="27" t="s">
        <v>1014</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1102</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1861</v>
      </c>
      <c r="B3090" s="27" t="s">
        <v>1137</v>
      </c>
      <c r="C3090" s="27" t="s">
        <v>1087</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1022</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row>
    <row r="3093" spans="1:12">
      <c r="A3093" s="20" t="s">
        <v>1862</v>
      </c>
    </row>
    <row r="3094" spans="1:12">
      <c r="A3094" s="20" t="s">
        <v>1863</v>
      </c>
      <c r="B3094" s="27" t="s">
        <v>1026</v>
      </c>
      <c r="C3094" s="27" t="s">
        <v>1087</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1102</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1864</v>
      </c>
      <c r="B3096" s="27" t="s">
        <v>1026</v>
      </c>
      <c r="C3096" s="27" t="s">
        <v>1087</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1102</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1865</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1866</v>
      </c>
      <c r="B3099" s="27" t="s">
        <v>1043</v>
      </c>
      <c r="C3099" s="27" t="s">
        <v>1087</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1040</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1019</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1588</v>
      </c>
      <c r="B3102" s="27" t="s">
        <v>1026</v>
      </c>
      <c r="C3102" s="27" t="s">
        <v>1021</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1098</v>
      </c>
      <c r="B3103" s="27" t="s">
        <v>1018</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1045</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1064</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1867</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1691</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1177</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1130</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1026</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1129</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1041</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136</v>
      </c>
      <c r="B3113" s="27" t="s">
        <v>1067</v>
      </c>
      <c r="C3113" s="27" t="s">
        <v>1044</v>
      </c>
      <c r="D3113" s="27" t="s">
        <v>1014</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1022</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row>
    <row r="3116" spans="1:12">
      <c r="A3116" s="20" t="s">
        <v>1868</v>
      </c>
    </row>
    <row r="3117" spans="1:12">
      <c r="A3117" s="20" t="s">
        <v>1869</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1027</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140</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1079</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733</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1329</v>
      </c>
      <c r="B3122" s="27" t="s">
        <v>1012</v>
      </c>
      <c r="C3122" s="27" t="s">
        <v>1013</v>
      </c>
      <c r="D3122" s="27" t="s">
        <v>1014</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1084</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810</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1210</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1870</v>
      </c>
      <c r="B3126" s="27" t="s">
        <v>1033</v>
      </c>
      <c r="C3126" s="27" t="s">
        <v>1101</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1046</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1356</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1239</v>
      </c>
      <c r="B3129" s="27" t="s">
        <v>1067</v>
      </c>
      <c r="C3129" s="27" t="s">
        <v>1044</v>
      </c>
      <c r="D3129" s="27" t="s">
        <v>1014</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1022</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row>
    <row r="3132" spans="1:12">
      <c r="A3132" s="20" t="s">
        <v>1871</v>
      </c>
    </row>
    <row r="3133" spans="1:12">
      <c r="A3133" s="20" t="s">
        <v>1146</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810</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1022</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row>
    <row r="3137" spans="1:12">
      <c r="A3137" s="20" t="s">
        <v>1872</v>
      </c>
    </row>
    <row r="3138" spans="1:12">
      <c r="A3138" s="20" t="s">
        <v>1146</v>
      </c>
      <c r="B3138" s="27" t="s">
        <v>1026</v>
      </c>
      <c r="C3138" s="27" t="s">
        <v>1147</v>
      </c>
      <c r="D3138" s="27" t="s">
        <v>1014</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1495</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810</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1022</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row>
    <row r="3143" spans="1:12">
      <c r="A3143" s="20" t="s">
        <v>1873</v>
      </c>
    </row>
    <row r="3144" spans="1:12">
      <c r="A3144" s="20" t="s">
        <v>1575</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1027</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1122</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1400</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1874</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1512</v>
      </c>
      <c r="B3149" s="27" t="s">
        <v>1038</v>
      </c>
      <c r="C3149" s="27" t="s">
        <v>1123</v>
      </c>
      <c r="D3149" s="27" t="s">
        <v>1014</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1017</v>
      </c>
      <c r="B3150" s="27" t="s">
        <v>1018</v>
      </c>
      <c r="C3150" s="27" t="s">
        <v>1013</v>
      </c>
      <c r="D3150" s="27" t="s">
        <v>1014</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1299</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1040</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1122</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1633</v>
      </c>
      <c r="B3154" s="27" t="s">
        <v>1043</v>
      </c>
      <c r="C3154" s="27" t="s">
        <v>1123</v>
      </c>
      <c r="D3154" s="27" t="s">
        <v>1014</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1102</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1015</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1336</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1126</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1041</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1875</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1876</v>
      </c>
      <c r="B3161" s="27" t="s">
        <v>1026</v>
      </c>
      <c r="C3161" s="27" t="s">
        <v>1044</v>
      </c>
      <c r="D3161" s="27" t="s">
        <v>1014</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1877</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1878</v>
      </c>
      <c r="B3163" s="27" t="s">
        <v>1026</v>
      </c>
      <c r="C3163" s="27" t="s">
        <v>1087</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1102</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1408</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1409</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879</v>
      </c>
      <c r="B3167" s="27" t="s">
        <v>1043</v>
      </c>
      <c r="C3167" s="27" t="s">
        <v>1087</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1031</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1122</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1879</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1880</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1022</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row>
    <row r="3174" spans="1:12">
      <c r="A3174" s="20" t="s">
        <v>1881</v>
      </c>
    </row>
    <row r="3175" spans="1:12">
      <c r="A3175" s="20" t="s">
        <v>1115</v>
      </c>
      <c r="B3175" s="27" t="s">
        <v>1038</v>
      </c>
      <c r="C3175" s="27" t="s">
        <v>1013</v>
      </c>
      <c r="D3175" s="27" t="s">
        <v>1014</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1011</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1195</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1882</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1883</v>
      </c>
      <c r="B3179" s="27" t="s">
        <v>1026</v>
      </c>
      <c r="C3179" s="27" t="s">
        <v>1021</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1022</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row>
    <row r="3182" spans="1:12">
      <c r="A3182" s="20" t="s">
        <v>1884</v>
      </c>
    </row>
    <row r="3183" spans="1:12">
      <c r="A3183" s="20" t="s">
        <v>1115</v>
      </c>
      <c r="B3183" s="27" t="s">
        <v>1038</v>
      </c>
      <c r="C3183" s="27" t="s">
        <v>1013</v>
      </c>
      <c r="D3183" s="27" t="s">
        <v>1014</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1045</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1046</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1660</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1022</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row>
    <row r="3189" spans="1:12">
      <c r="A3189" s="20" t="s">
        <v>1885</v>
      </c>
    </row>
    <row r="3190" spans="1:12">
      <c r="A3190" s="20" t="s">
        <v>1115</v>
      </c>
      <c r="B3190" s="27" t="s">
        <v>1038</v>
      </c>
      <c r="C3190" s="27" t="s">
        <v>1013</v>
      </c>
      <c r="D3190" s="27" t="s">
        <v>1014</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1011</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1019</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1883</v>
      </c>
      <c r="B3193" s="27" t="s">
        <v>1026</v>
      </c>
      <c r="C3193" s="27" t="s">
        <v>1021</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1172</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1886</v>
      </c>
      <c r="B3195" s="27" t="s">
        <v>1026</v>
      </c>
      <c r="C3195" s="27" t="s">
        <v>1087</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1027</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1172</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1887</v>
      </c>
      <c r="B3198" s="27" t="s">
        <v>1026</v>
      </c>
      <c r="C3198" s="27" t="s">
        <v>1087</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1022</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row>
    <row r="3201" spans="1:12">
      <c r="A3201" s="20" t="s">
        <v>1888</v>
      </c>
    </row>
    <row r="3202" spans="1:12">
      <c r="A3202" s="20" t="s">
        <v>1115</v>
      </c>
      <c r="B3202" s="27" t="s">
        <v>1038</v>
      </c>
      <c r="C3202" s="27" t="s">
        <v>1013</v>
      </c>
      <c r="D3202" s="27" t="s">
        <v>1014</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1011</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1889</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1027</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1032</v>
      </c>
      <c r="B3206" s="27" t="s">
        <v>1033</v>
      </c>
      <c r="C3206" s="27" t="s">
        <v>1013</v>
      </c>
      <c r="D3206" s="27" t="s">
        <v>1014</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1011</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544</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1335</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1022</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row>
    <row r="3212" spans="1:12">
      <c r="A3212" s="20" t="s">
        <v>1890</v>
      </c>
    </row>
    <row r="3213" spans="1:12">
      <c r="A3213" s="20" t="s">
        <v>1891</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1892</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258</v>
      </c>
      <c r="B3215" s="27" t="s">
        <v>1038</v>
      </c>
      <c r="C3215" s="27" t="s">
        <v>1280</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1017</v>
      </c>
      <c r="B3216" s="27" t="s">
        <v>1018</v>
      </c>
      <c r="C3216" s="27" t="s">
        <v>1013</v>
      </c>
      <c r="D3216" s="27" t="s">
        <v>1014</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1893</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1027</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1278</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1894</v>
      </c>
      <c r="B3220" s="27" t="s">
        <v>1043</v>
      </c>
      <c r="C3220" s="27" t="s">
        <v>1280</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1102</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1895</v>
      </c>
      <c r="B3222" s="27" t="s">
        <v>1067</v>
      </c>
      <c r="C3222" s="27" t="s">
        <v>1087</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1027</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1278</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1896</v>
      </c>
      <c r="B3225" s="27" t="s">
        <v>1043</v>
      </c>
      <c r="C3225" s="27" t="s">
        <v>1280</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1102</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1897</v>
      </c>
      <c r="B3227" s="27" t="s">
        <v>1067</v>
      </c>
      <c r="C3227" s="27" t="s">
        <v>1087</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1027</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1278</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1898</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1899</v>
      </c>
      <c r="B3231" s="27" t="s">
        <v>1038</v>
      </c>
      <c r="C3231" s="27" t="s">
        <v>1280</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1045</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1064</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1900</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1129</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1188</v>
      </c>
      <c r="B3236" s="27" t="s">
        <v>1026</v>
      </c>
      <c r="C3236" s="27" t="s">
        <v>1087</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1022</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row>
    <row r="3239" spans="1:12">
      <c r="A3239" s="20" t="s">
        <v>1901</v>
      </c>
    </row>
    <row r="3240" spans="1:12">
      <c r="A3240" s="20" t="s">
        <v>1377</v>
      </c>
      <c r="B3240" s="27" t="s">
        <v>1038</v>
      </c>
      <c r="C3240" s="27" t="s">
        <v>1013</v>
      </c>
      <c r="D3240" s="27" t="s">
        <v>1014</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t="s">
        <v>35</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1027</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1084</v>
      </c>
      <c r="B3243" s="27" t="s">
        <v>1033</v>
      </c>
      <c r="C3243" s="27" t="s">
        <v>1147</v>
      </c>
      <c r="D3243" s="27" t="s">
        <v>1014</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1085</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1079</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1902</v>
      </c>
      <c r="B3246" s="27" t="s">
        <v>1026</v>
      </c>
      <c r="C3246" s="27" t="s">
        <v>1087</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1040</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1122</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1903</v>
      </c>
      <c r="B3249" s="27" t="s">
        <v>1043</v>
      </c>
      <c r="C3249" s="27" t="s">
        <v>1071</v>
      </c>
      <c r="D3249" s="27" t="s">
        <v>1014</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1102</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1904</v>
      </c>
      <c r="B3251" s="27" t="s">
        <v>1067</v>
      </c>
      <c r="C3251" s="27" t="s">
        <v>1094</v>
      </c>
      <c r="D3251" s="27" t="s">
        <v>1014</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1022</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row>
    <row r="3254" spans="1:12">
      <c r="A3254" s="20" t="s">
        <v>1905</v>
      </c>
    </row>
    <row r="3255" spans="1:12">
      <c r="A3255" s="20" t="s">
        <v>1146</v>
      </c>
      <c r="B3255" s="27" t="s">
        <v>1038</v>
      </c>
      <c r="C3255" s="27" t="s">
        <v>1147</v>
      </c>
      <c r="D3255" s="27" t="s">
        <v>1014</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1397</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1079</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1130</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1906</v>
      </c>
      <c r="B3259" s="27" t="s">
        <v>1026</v>
      </c>
      <c r="C3259" s="27" t="s">
        <v>1021</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1022</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row>
    <row r="3262" spans="1:12">
      <c r="A3262" s="20" t="s">
        <v>1435</v>
      </c>
    </row>
    <row r="3263" spans="1:12">
      <c r="A3263" s="20" t="s">
        <v>1436</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1437</v>
      </c>
      <c r="B3264" s="27" t="s">
        <v>1026</v>
      </c>
      <c r="C3264" s="27" t="s">
        <v>1094</v>
      </c>
      <c r="D3264" s="27" t="s">
        <v>1014</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1438</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row>
    <row r="3267" spans="1:12">
      <c r="A3267" s="20" t="s">
        <v>1907</v>
      </c>
    </row>
    <row r="3268" spans="1:12">
      <c r="A3268" s="20" t="s">
        <v>1146</v>
      </c>
      <c r="B3268" s="27" t="s">
        <v>1038</v>
      </c>
      <c r="C3268" s="27" t="s">
        <v>1147</v>
      </c>
      <c r="D3268" s="27" t="s">
        <v>1014</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1085</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1079</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1908</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1909</v>
      </c>
      <c r="B3272" s="27" t="s">
        <v>1026</v>
      </c>
      <c r="C3272" s="27" t="s">
        <v>1087</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1022</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row>
    <row r="3275" spans="1:12">
      <c r="A3275" s="20" t="s">
        <v>1910</v>
      </c>
    </row>
    <row r="3276" spans="1:12">
      <c r="A3276" s="20" t="s">
        <v>1217</v>
      </c>
      <c r="B3276" s="27" t="s">
        <v>1038</v>
      </c>
      <c r="C3276" s="27" t="s">
        <v>1013</v>
      </c>
      <c r="D3276" s="27" t="s">
        <v>1014</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1681</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1032</v>
      </c>
      <c r="B3278" s="27" t="s">
        <v>1012</v>
      </c>
      <c r="C3278" s="27" t="s">
        <v>1013</v>
      </c>
      <c r="D3278" s="27" t="s">
        <v>1014</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1076</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1022</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row>
    <row r="3282" spans="1:12">
      <c r="A3282" s="20" t="s">
        <v>1911</v>
      </c>
    </row>
    <row r="3283" spans="1:12">
      <c r="A3283" s="20" t="s">
        <v>1217</v>
      </c>
      <c r="B3283" s="27" t="s">
        <v>1038</v>
      </c>
      <c r="C3283" s="27" t="s">
        <v>1013</v>
      </c>
      <c r="D3283" s="27" t="s">
        <v>1014</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1681</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1032</v>
      </c>
      <c r="B3285" s="27" t="s">
        <v>1012</v>
      </c>
      <c r="C3285" s="27" t="s">
        <v>1013</v>
      </c>
      <c r="D3285" s="27" t="s">
        <v>1014</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1731</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1122</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1591</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1912</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1191</v>
      </c>
      <c r="B3290" s="27" t="s">
        <v>1026</v>
      </c>
      <c r="C3290" s="27" t="s">
        <v>1155</v>
      </c>
      <c r="D3290" s="27" t="s">
        <v>1014</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1022</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row>
    <row r="3293" spans="1:12">
      <c r="A3293" s="20" t="s">
        <v>1913</v>
      </c>
    </row>
    <row r="3294" spans="1:12">
      <c r="A3294" s="20" t="s">
        <v>1036</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1099</v>
      </c>
      <c r="B3295" s="27" t="s">
        <v>1038</v>
      </c>
      <c r="C3295" s="27" t="s">
        <v>1071</v>
      </c>
      <c r="D3295" s="27" t="s">
        <v>1014</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1102</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1032</v>
      </c>
      <c r="B3297" s="27" t="s">
        <v>1043</v>
      </c>
      <c r="C3297" s="27" t="s">
        <v>1013</v>
      </c>
      <c r="D3297" s="27" t="s">
        <v>1014</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1914</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1027</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1031</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1099</v>
      </c>
      <c r="B3301" s="27" t="s">
        <v>1033</v>
      </c>
      <c r="C3301" s="27" t="s">
        <v>1071</v>
      </c>
      <c r="D3301" s="27" t="s">
        <v>1014</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1102</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1032</v>
      </c>
      <c r="B3303" s="27" t="s">
        <v>1067</v>
      </c>
      <c r="C3303" s="27" t="s">
        <v>1013</v>
      </c>
      <c r="D3303" s="27" t="s">
        <v>1014</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1190</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1079</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1022</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row>
    <row r="3308" spans="1:12">
      <c r="A3308" s="20" t="s">
        <v>1915</v>
      </c>
    </row>
    <row r="3309" spans="1:12">
      <c r="A3309" s="20" t="s">
        <v>1217</v>
      </c>
      <c r="B3309" s="27" t="s">
        <v>1038</v>
      </c>
      <c r="C3309" s="27" t="s">
        <v>1013</v>
      </c>
      <c r="D3309" s="27" t="s">
        <v>1014</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1725</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1916</v>
      </c>
      <c r="B3311" s="27" t="s">
        <v>1012</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1102</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1122</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1253</v>
      </c>
      <c r="B3314" s="27" t="s">
        <v>1043</v>
      </c>
      <c r="C3314" s="27" t="s">
        <v>1123</v>
      </c>
      <c r="D3314" s="27" t="s">
        <v>1014</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1098</v>
      </c>
      <c r="B3315" s="27" t="s">
        <v>1308</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1190</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1079</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1022</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row>
    <row r="3320" spans="1:12">
      <c r="A3320" s="20" t="s">
        <v>1917</v>
      </c>
    </row>
    <row r="3321" spans="1:12">
      <c r="A3321" s="20" t="s">
        <v>1575</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1017</v>
      </c>
      <c r="B3322" s="27" t="s">
        <v>1038</v>
      </c>
      <c r="C3322" s="27" t="s">
        <v>1013</v>
      </c>
      <c r="D3322" s="27" t="s">
        <v>1014</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1050</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140</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1032</v>
      </c>
      <c r="B3325" s="27" t="s">
        <v>1012</v>
      </c>
      <c r="C3325" s="27" t="s">
        <v>1013</v>
      </c>
      <c r="D3325" s="27" t="s">
        <v>1014</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1040</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1019</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618</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1918</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1209</v>
      </c>
      <c r="B3330" s="27" t="s">
        <v>1026</v>
      </c>
      <c r="C3330" s="27" t="s">
        <v>1021</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11</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1031</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1084</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810</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1919</v>
      </c>
      <c r="B3335" s="27" t="s">
        <v>1033</v>
      </c>
      <c r="C3335" s="27" t="s">
        <v>1087</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1027</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968</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11</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1589</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1017</v>
      </c>
      <c r="B3340" s="27" t="s">
        <v>1033</v>
      </c>
      <c r="C3340" s="27" t="s">
        <v>1013</v>
      </c>
      <c r="D3340" s="27" t="s">
        <v>1014</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1050</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442</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1615</v>
      </c>
      <c r="B3343" s="27" t="s">
        <v>1070</v>
      </c>
      <c r="C3343" s="27" t="s">
        <v>1147</v>
      </c>
      <c r="D3343" s="27" t="s">
        <v>1014</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1148</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1920</v>
      </c>
      <c r="B3345" s="27" t="s">
        <v>1067</v>
      </c>
      <c r="C3345" s="27" t="s">
        <v>1087</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row>
    <row r="3347" spans="1:12">
      <c r="A3347" s="20" t="s">
        <v>1921</v>
      </c>
    </row>
    <row r="3348" spans="1:12">
      <c r="A3348" s="20" t="s">
        <v>1024</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1047</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1895</v>
      </c>
      <c r="B3350" s="27" t="s">
        <v>1026</v>
      </c>
      <c r="C3350" s="27" t="s">
        <v>1021</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1027</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1031</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t="s">
        <v>1098</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1253</v>
      </c>
      <c r="B3354" s="27" t="s">
        <v>1018</v>
      </c>
      <c r="C3354" s="27" t="s">
        <v>1087</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1050</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1922</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1226</v>
      </c>
      <c r="B3357" s="27" t="s">
        <v>1020</v>
      </c>
      <c r="C3357" s="27" t="s">
        <v>1087</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1102</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1173</v>
      </c>
      <c r="B3359" s="27" t="s">
        <v>1090</v>
      </c>
      <c r="C3359" s="27" t="s">
        <v>1087</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1027</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1226</v>
      </c>
      <c r="B3361" s="27" t="s">
        <v>1043</v>
      </c>
      <c r="C3361" s="27" t="s">
        <v>1087</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1102</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1173</v>
      </c>
      <c r="B3363" s="27" t="s">
        <v>1067</v>
      </c>
      <c r="C3363" s="27" t="s">
        <v>1087</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1027</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t="s">
        <v>794</v>
      </c>
      <c r="E3365" s="21">
        <f>IF(D3365="?OLD","!!!","")</f>
        <v/>
      </c>
      <c r="F3365" s="22" t="str">
        <f>IF(OR(E3365="",E3365="!!!"),"",IF(NOT(ISNA(VLOOKUP(E3365,E$1:E3364,1,FALSE()))),"OLD",IF(AND(E3365&lt;&gt;"",E3365&lt;&gt;"!!!"),"NEW","")))</f>
        <v> </v>
      </c>
      <c r="G3365" s="23" t="str">
        <f>IF(OR(E3365="",E3365="!!!"),"",IF(OR(J3365=0,AND(J3365=1,K3365=1),AND(J3365=1,I3365="SBJ"),AND(J3365=1,I3365=0)),"?IN_FOCUS",IF(J3365&lt;=2,"?ACTIVATED",IF(J3365&lt;&gt;"","?FAMILIAR",IF(F3365="NEW",IF(ISNA(VLOOKUP(E3365,#REF!,1,FALSE())),"?TYPE_IDENTIFIABLE","?REFERENTIAL"),"_")))))</f>
        <v> </v>
      </c>
      <c r="H3365" s="24" t="str">
        <f>IF(J3365&lt;&gt;1,"",IF(I3365="SBJ","CB","?"))</f>
        <v> </v>
      </c>
      <c r="I3365" s="25" t="str">
        <f>IF(OR(E3365="",E3365="!!!",F3365="NEW"),"",INDEX(B3364:B$2,-1+SUMPRODUCT(MAX(ROW(E3364:E$2)*(E3365=E3364:E$2)))))</f>
        <v> </v>
      </c>
      <c r="J3365" s="25" t="str">
        <f>IF(OR(E3365="",E3365="!!!",F3365="NEW"),"",COUNTBLANK(OFFSET(A$1,,,SUMPRODUCT(MAX(ROW(E$2:E3365)*(E3365=E$2:E3365)))))-COUNTBLANK(OFFSET(A$1,,,SUMPRODUCT(MAX(ROW(E$1:E3364)*(E2=E$1:E3364))))))</f>
        <v> </v>
      </c>
      <c r="K3365" s="25" t="str">
        <f>IF(OR(E3365="",E3365="!!!",F3365="NEW"),"",INDEX(J$1:J3364,SUMPRODUCT(MAX(ROW(E$1:E3364)*(E3365=E$1:E3364)))))</f>
        <v> </v>
      </c>
      <c r="L3365" s="26"/>
    </row>
    <row r="3366" spans="1:12">
      <c r="A3366" s="20" t="s">
        <v>1362</v>
      </c>
      <c r="B3366" s="27" t="s">
        <v>1043</v>
      </c>
      <c r="C3366" s="27" t="s">
        <v>1068</v>
      </c>
      <c r="D3366" s="27" t="s">
        <v>1014</v>
      </c>
      <c r="E3366" s="21">
        <f>IF(D3366="?OLD","!!!","")</f>
        <v/>
      </c>
      <c r="F3366" s="22" t="str">
        <f>IF(OR(E3366="",E3366="!!!"),"",IF(NOT(ISNA(VLOOKUP(E3366,E$1:E3365,1,FALSE()))),"OLD",IF(AND(E3366&lt;&gt;"",E3366&lt;&gt;"!!!"),"NEW","")))</f>
        <v> </v>
      </c>
      <c r="G3366" s="23" t="str">
        <f>IF(OR(E3366="",E3366="!!!"),"",IF(OR(J3366=0,AND(J3366=1,K3366=1),AND(J3366=1,I3366="SBJ"),AND(J3366=1,I3366=0)),"?IN_FOCUS",IF(J3366&lt;=2,"?ACTIVATED",IF(J3366&lt;&gt;"","?FAMILIAR",IF(F3366="NEW",IF(ISNA(VLOOKUP(E3366,#REF!,1,FALSE())),"?TYPE_IDENTIFIABLE","?REFERENTIAL"),"_")))))</f>
        <v> </v>
      </c>
      <c r="H3366" s="24" t="str">
        <f>IF(J3366&lt;&gt;1,"",IF(I3366="SBJ","CB","?"))</f>
        <v> </v>
      </c>
      <c r="I3366" s="25" t="str">
        <f>IF(OR(E3366="",E3366="!!!",F3366="NEW"),"",INDEX(B3365:B$2,-1+SUMPRODUCT(MAX(ROW(E3365:E$2)*(E3366=E3365:E$2)))))</f>
        <v> </v>
      </c>
      <c r="J3366" s="25" t="str">
        <f>IF(OR(E3366="",E3366="!!!",F3366="NEW"),"",COUNTBLANK(OFFSET(A$1,,,SUMPRODUCT(MAX(ROW(E$2:E3366)*(E3366=E$2:E3366)))))-COUNTBLANK(OFFSET(A$1,,,SUMPRODUCT(MAX(ROW(E$1:E3365)*(E2=E$1:E3365))))))</f>
        <v> </v>
      </c>
      <c r="K3366" s="25" t="str">
        <f>IF(OR(E3366="",E3366="!!!",F3366="NEW"),"",INDEX(J$1:J3365,SUMPRODUCT(MAX(ROW(E$1:E3365)*(E3366=E$1:E3365)))))</f>
        <v> </v>
      </c>
      <c r="L3366" s="26"/>
    </row>
    <row r="3367" spans="1:12">
      <c r="A3367" s="20" t="s">
        <v>1644</v>
      </c>
      <c r="B3367" s="27" t="s">
        <v>1012</v>
      </c>
      <c r="C3367" s="27" t="s">
        <v>1071</v>
      </c>
      <c r="D3367" s="27" t="s">
        <v>1014</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1022</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row>
    <row r="3370" spans="1:12">
      <c r="A3370" s="20" t="s">
        <v>1923</v>
      </c>
    </row>
    <row r="3371" spans="1:12">
      <c r="A3371" s="20" t="s">
        <v>1377</v>
      </c>
      <c r="B3371" s="27" t="s">
        <v>1038</v>
      </c>
      <c r="C3371" s="27" t="s">
        <v>1013</v>
      </c>
      <c r="D3371" s="27" t="s">
        <v>1014</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140</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1079</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39</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1046</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140</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1098</v>
      </c>
      <c r="B3377" s="27" t="s">
        <v>1070</v>
      </c>
      <c r="C3377" s="27" t="s">
        <v>1108</v>
      </c>
      <c r="D3377" s="27" t="s">
        <v>1014</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1200</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row>
    <row r="3380" spans="1:12">
      <c r="A3380" s="20" t="s">
        <v>1924</v>
      </c>
    </row>
    <row r="3381" spans="1:12">
      <c r="A3381" s="20" t="s">
        <v>1057</v>
      </c>
      <c r="B3381" s="27" t="s">
        <v>1038</v>
      </c>
      <c r="C3381" s="27" t="s">
        <v>1013</v>
      </c>
      <c r="D3381" s="27" t="s">
        <v>1014</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22</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1046</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495</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1027</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1057</v>
      </c>
      <c r="B3386" s="27" t="s">
        <v>1033</v>
      </c>
      <c r="C3386" s="27" t="s">
        <v>1013</v>
      </c>
      <c r="D3386" s="27" t="s">
        <v>1014</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140</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1079</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49</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1032</v>
      </c>
      <c r="B3390" s="27" t="s">
        <v>1070</v>
      </c>
      <c r="C3390" s="27" t="s">
        <v>1013</v>
      </c>
      <c r="D3390" s="27" t="s">
        <v>1014</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1022</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row>
    <row r="3393" spans="1:12">
      <c r="A3393" s="20" t="s">
        <v>1925</v>
      </c>
    </row>
    <row r="3394" spans="1:12">
      <c r="A3394" s="20" t="s">
        <v>1217</v>
      </c>
      <c r="B3394" s="27" t="s">
        <v>1038</v>
      </c>
      <c r="C3394" s="27" t="s">
        <v>1013</v>
      </c>
      <c r="D3394" s="27" t="s">
        <v>1014</v>
      </c>
      <c r="E3394" s="21">
        <f>IF(D3394="?OLD","!!!","")</f>
        <v/>
      </c>
      <c r="F3394" s="22" t="str">
        <f>IF(OR(E3394="",E3394="!!!"),"",IF(NOT(ISNA(VLOOKUP(E3394,E$1:E3393,1,FALSE()))),"OLD",IF(AND(E3394&lt;&gt;"",E3394&lt;&gt;"!!!"),"NEW","")))</f>
        <v> </v>
      </c>
      <c r="G3394" s="23" t="str">
        <f>IF(OR(E3394="",E3394="!!!"),"",IF(OR(J3394=0,AND(J3394=1,K3394=1),AND(J3394=1,I3394="SBJ"),AND(J3394=1,I3394=0)),"?IN_FOCUS",IF(J3394&lt;=2,"?ACTIVATED",IF(J3394&lt;&gt;"","?FAMILIAR",IF(F3394="NEW",IF(ISNA(VLOOKUP(E3394,#REF!,1,FALSE())),"?TYPE_IDENTIFIABLE","?REFERENTIAL"),"_")))))</f>
        <v> </v>
      </c>
      <c r="H3394" s="24" t="str">
        <f>IF(J3394&lt;&gt;1,"",IF(I3394="SBJ","CB","?"))</f>
        <v> </v>
      </c>
      <c r="I3394" s="25" t="str">
        <f>IF(OR(E3394="",E3394="!!!",F3394="NEW"),"",INDEX(B3393:B$2,-1+SUMPRODUCT(MAX(ROW(E3393:E$2)*(E3394=E3393:E$2)))))</f>
        <v> </v>
      </c>
      <c r="J3394" s="25" t="str">
        <f>IF(OR(E3394="",E3394="!!!",F3394="NEW"),"",COUNTBLANK(OFFSET(A$1,,,SUMPRODUCT(MAX(ROW(E$2:E3394)*(E3394=E$2:E3394)))))-COUNTBLANK(OFFSET(A$1,,,SUMPRODUCT(MAX(ROW(E$1:E3393)*(E2=E$1:E3393))))))</f>
        <v> </v>
      </c>
      <c r="K3394" s="25" t="str">
        <f>IF(OR(E3394="",E3394="!!!",F3394="NEW"),"",INDEX(J$1:J3393,SUMPRODUCT(MAX(ROW(E$1:E3393)*(E3394=E$1:E3393)))))</f>
        <v> </v>
      </c>
      <c r="L3394" s="26"/>
    </row>
    <row r="3395" spans="1:12">
      <c r="A3395" s="20" t="s">
        <v>804</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1046</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1408</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1409</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879</v>
      </c>
      <c r="B3399" s="27" t="s">
        <v>1026</v>
      </c>
      <c r="C3399" s="27" t="s">
        <v>1087</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1022</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row>
    <row r="3402" spans="1:12">
      <c r="A3402" s="20" t="s">
        <v>1778</v>
      </c>
    </row>
    <row r="3403" spans="1:12">
      <c r="A3403" s="20" t="s">
        <v>1699</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140</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1017</v>
      </c>
      <c r="B3405" s="27" t="s">
        <v>1038</v>
      </c>
      <c r="C3405" s="27" t="s">
        <v>1013</v>
      </c>
      <c r="D3405" s="27" t="s">
        <v>1014</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140</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1098</v>
      </c>
      <c r="B3407" s="27" t="s">
        <v>1012</v>
      </c>
      <c r="C3407" s="27" t="s">
        <v>1108</v>
      </c>
      <c r="D3407" s="27" t="s">
        <v>1014</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1200</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row>
    <row r="3410" spans="1:12">
      <c r="A3410" s="20" t="s">
        <v>1926</v>
      </c>
    </row>
    <row r="3411" spans="1:12">
      <c r="A3411" s="20" t="s">
        <v>1652</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1027</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1122</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1239</v>
      </c>
      <c r="B3414" s="27" t="s">
        <v>1038</v>
      </c>
      <c r="C3414" s="27" t="s">
        <v>1123</v>
      </c>
      <c r="D3414" s="27" t="s">
        <v>1014</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1057</v>
      </c>
      <c r="B3415" s="27" t="s">
        <v>1018</v>
      </c>
      <c r="C3415" s="27" t="s">
        <v>1013</v>
      </c>
      <c r="D3415" s="27" t="s">
        <v>1014</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1927</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t="s">
        <v>1928</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t="s">
        <v>810</v>
      </c>
      <c r="E3418" s="21">
        <f>IF(D3418="?OLD","!!!","")</f>
        <v/>
      </c>
      <c r="F3418" s="22" t="str">
        <f>IF(OR(E3418="",E3418="!!!"),"",IF(NOT(ISNA(VLOOKUP(E3418,E$1:E3417,1,FALSE()))),"OLD",IF(AND(E3418&lt;&gt;"",E3418&lt;&gt;"!!!"),"NEW","")))</f>
        <v> </v>
      </c>
      <c r="G3418" s="23" t="str">
        <f>IF(OR(E3418="",E3418="!!!"),"",IF(OR(J3418=0,AND(J3418=1,K3418=1),AND(J3418=1,I3418="SBJ"),AND(J3418=1,I3418=0)),"?IN_FOCUS",IF(J3418&lt;=2,"?ACTIVATED",IF(J3418&lt;&gt;"","?FAMILIAR",IF(F3418="NEW",IF(ISNA(VLOOKUP(E3418,#REF!,1,FALSE())),"?TYPE_IDENTIFIABLE","?REFERENTIAL"),"_")))))</f>
        <v> </v>
      </c>
      <c r="H3418" s="24" t="str">
        <f>IF(J3418&lt;&gt;1,"",IF(I3418="SBJ","CB","?"))</f>
        <v> </v>
      </c>
      <c r="I3418" s="25" t="str">
        <f>IF(OR(E3418="",E3418="!!!",F3418="NEW"),"",INDEX(B3417:B$2,-1+SUMPRODUCT(MAX(ROW(E3417:E$2)*(E3418=E3417:E$2)))))</f>
        <v> </v>
      </c>
      <c r="J3418" s="25" t="str">
        <f>IF(OR(E3418="",E3418="!!!",F3418="NEW"),"",COUNTBLANK(OFFSET(A$1,,,SUMPRODUCT(MAX(ROW(E$2:E3418)*(E3418=E$2:E3418)))))-COUNTBLANK(OFFSET(A$1,,,SUMPRODUCT(MAX(ROW(E$1:E3417)*(E2=E$1:E3417))))))</f>
        <v> </v>
      </c>
      <c r="K3418" s="25" t="str">
        <f>IF(OR(E3418="",E3418="!!!",F3418="NEW"),"",INDEX(J$1:J3417,SUMPRODUCT(MAX(ROW(E$1:E3417)*(E3418=E$1:E3417)))))</f>
        <v> </v>
      </c>
      <c r="L3418" s="26"/>
    </row>
    <row r="3419" spans="1:12">
      <c r="A3419" s="20" t="s">
        <v>1133</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row>
    <row r="3421" spans="1:12">
      <c r="A3421" s="20" t="s">
        <v>1929</v>
      </c>
    </row>
    <row r="3422" spans="1:12">
      <c r="A3422" s="20" t="s">
        <v>1930</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1271</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1931</v>
      </c>
      <c r="B3424" s="27" t="s">
        <v>1026</v>
      </c>
      <c r="C3424" s="27" t="s">
        <v>1101</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1027</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1932</v>
      </c>
      <c r="B3426" s="27" t="s">
        <v>1026</v>
      </c>
      <c r="C3426" s="27" t="s">
        <v>1087</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1027</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1933</v>
      </c>
      <c r="B3428" s="27" t="s">
        <v>1026</v>
      </c>
      <c r="C3428" s="27" t="s">
        <v>1087</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1027</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1934</v>
      </c>
      <c r="B3430" s="27" t="s">
        <v>1026</v>
      </c>
      <c r="C3430" s="27" t="s">
        <v>1087</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1027</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t="s">
        <v>1017</v>
      </c>
      <c r="B3432" s="27" t="s">
        <v>1033</v>
      </c>
      <c r="C3432" s="27" t="s">
        <v>1013</v>
      </c>
      <c r="D3432" s="27" t="s">
        <v>1014</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140</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1079</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39</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1935</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1347</v>
      </c>
      <c r="B3437" s="27" t="s">
        <v>1070</v>
      </c>
      <c r="C3437" s="27" t="s">
        <v>1087</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1102</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1122</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1459</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t="s">
        <v>258</v>
      </c>
      <c r="B3441" s="27" t="s">
        <v>1067</v>
      </c>
      <c r="C3441" s="27" t="s">
        <v>1123</v>
      </c>
      <c r="D3441" s="27" t="s">
        <v>1014</v>
      </c>
      <c r="E3441" s="21">
        <f>IF(D3441="?OLD","!!!","")</f>
        <v/>
      </c>
      <c r="F3441" s="22" t="str">
        <f>IF(OR(E3441="",E3441="!!!"),"",IF(NOT(ISNA(VLOOKUP(E3441,E$1:E3440,1,FALSE()))),"OLD",IF(AND(E3441&lt;&gt;"",E3441&lt;&gt;"!!!"),"NEW","")))</f>
        <v> </v>
      </c>
      <c r="G3441" s="23" t="str">
        <f>IF(OR(E3441="",E3441="!!!"),"",IF(OR(J3441=0,AND(J3441=1,K3441=1),AND(J3441=1,I3441="SBJ"),AND(J3441=1,I3441=0)),"?IN_FOCUS",IF(J3441&lt;=2,"?ACTIVATED",IF(J3441&lt;&gt;"","?FAMILIAR",IF(F3441="NEW",IF(ISNA(VLOOKUP(E3441,#REF!,1,FALSE())),"?TYPE_IDENTIFIABLE","?REFERENTIAL"),"_")))))</f>
        <v> </v>
      </c>
      <c r="H3441" s="24" t="str">
        <f>IF(J3441&lt;&gt;1,"",IF(I3441="SBJ","CB","?"))</f>
        <v> </v>
      </c>
      <c r="I3441" s="25" t="str">
        <f>IF(OR(E3441="",E3441="!!!",F3441="NEW"),"",INDEX(B3440:B$2,-1+SUMPRODUCT(MAX(ROW(E3440:E$2)*(E3441=E3440:E$2)))))</f>
        <v> </v>
      </c>
      <c r="J3441" s="25" t="str">
        <f>IF(OR(E3441="",E3441="!!!",F3441="NEW"),"",COUNTBLANK(OFFSET(A$1,,,SUMPRODUCT(MAX(ROW(E$2:E3441)*(E3441=E$2:E3441)))))-COUNTBLANK(OFFSET(A$1,,,SUMPRODUCT(MAX(ROW(E$1:E3440)*(E2=E$1:E3440))))))</f>
        <v> </v>
      </c>
      <c r="K3441" s="25" t="str">
        <f>IF(OR(E3441="",E3441="!!!",F3441="NEW"),"",INDEX(J$1:J3440,SUMPRODUCT(MAX(ROW(E$1:E3440)*(E3441=E$1:E3440)))))</f>
        <v> </v>
      </c>
      <c r="L3441" s="26"/>
    </row>
    <row r="3442" spans="1:12">
      <c r="A3442" s="20" t="s">
        <v>1027</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1098</v>
      </c>
      <c r="B3443" s="27" t="s">
        <v>1033</v>
      </c>
      <c r="C3443" s="27" t="s">
        <v>1108</v>
      </c>
      <c r="D3443" s="27" t="s">
        <v>1014</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1011</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1824</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1022</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row>
    <row r="3448" spans="1:12">
      <c r="A3448" s="20" t="s">
        <v>1936</v>
      </c>
    </row>
    <row r="3449" spans="1:12">
      <c r="A3449" s="20" t="s">
        <v>1217</v>
      </c>
      <c r="B3449" s="27" t="s">
        <v>1038</v>
      </c>
      <c r="C3449" s="27" t="s">
        <v>1013</v>
      </c>
      <c r="D3449" s="27" t="s">
        <v>1014</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140</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1079</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1937</v>
      </c>
      <c r="B3452" s="27" t="s">
        <v>1026</v>
      </c>
      <c r="C3452" s="27" t="s">
        <v>1087</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1938</v>
      </c>
      <c r="E3453" s="21">
        <f>IF(D3453="?OLD","!!!","")</f>
        <v/>
      </c>
      <c r="F3453" s="22" t="str">
        <f>IF(OR(E3453="",E3453="!!!"),"",IF(NOT(ISNA(VLOOKUP(E3453,E$1:E3452,1,FALSE()))),"OLD",IF(AND(E3453&lt;&gt;"",E3453&lt;&gt;"!!!"),"NEW","")))</f>
        <v> </v>
      </c>
      <c r="G3453" s="23" t="str">
        <f>IF(OR(E3453="",E3453="!!!"),"",IF(OR(J3453=0,AND(J3453=1,K3453=1),AND(J3453=1,I3453="SBJ"),AND(J3453=1,I3453=0)),"?IN_FOCUS",IF(J3453&lt;=2,"?ACTIVATED",IF(J3453&lt;&gt;"","?FAMILIAR",IF(F3453="NEW",IF(ISNA(VLOOKUP(E3453,#REF!,1,FALSE())),"?TYPE_IDENTIFIABLE","?REFERENTIAL"),"_")))))</f>
        <v> </v>
      </c>
      <c r="H3453" s="24" t="str">
        <f>IF(J3453&lt;&gt;1,"",IF(I3453="SBJ","CB","?"))</f>
        <v> </v>
      </c>
      <c r="I3453" s="25" t="str">
        <f>IF(OR(E3453="",E3453="!!!",F3453="NEW"),"",INDEX(B3452:B$2,-1+SUMPRODUCT(MAX(ROW(E3452:E$2)*(E3453=E3452:E$2)))))</f>
        <v> </v>
      </c>
      <c r="J3453" s="25" t="str">
        <f>IF(OR(E3453="",E3453="!!!",F3453="NEW"),"",COUNTBLANK(OFFSET(A$1,,,SUMPRODUCT(MAX(ROW(E$2:E3453)*(E3453=E$2:E3453)))))-COUNTBLANK(OFFSET(A$1,,,SUMPRODUCT(MAX(ROW(E$1:E3452)*(E2=E$1:E3452))))))</f>
        <v> </v>
      </c>
      <c r="K3453" s="25" t="str">
        <f>IF(OR(E3453="",E3453="!!!",F3453="NEW"),"",INDEX(J$1:J3452,SUMPRODUCT(MAX(ROW(E$1:E3452)*(E3453=E$1:E3452)))))</f>
        <v> </v>
      </c>
      <c r="L3453" s="26"/>
    </row>
    <row r="3454" spans="1:12">
      <c r="A3454" s="20" t="s">
        <v>1939</v>
      </c>
      <c r="B3454" s="27" t="s">
        <v>1070</v>
      </c>
      <c r="C3454" s="27" t="s">
        <v>1087</v>
      </c>
      <c r="E3454" s="21">
        <f>IF(D3454="?OLD","!!!","")</f>
        <v/>
      </c>
      <c r="F3454" s="22" t="str">
        <f>IF(OR(E3454="",E3454="!!!"),"",IF(NOT(ISNA(VLOOKUP(E3454,E$1:E3453,1,FALSE()))),"OLD",IF(AND(E3454&lt;&gt;"",E3454&lt;&gt;"!!!"),"NEW","")))</f>
        <v> </v>
      </c>
      <c r="G3454" s="23" t="str">
        <f>IF(OR(E3454="",E3454="!!!"),"",IF(OR(J3454=0,AND(J3454=1,K3454=1),AND(J3454=1,I3454="SBJ"),AND(J3454=1,I3454=0)),"?IN_FOCUS",IF(J3454&lt;=2,"?ACTIVATED",IF(J3454&lt;&gt;"","?FAMILIAR",IF(F3454="NEW",IF(ISNA(VLOOKUP(E3454,#REF!,1,FALSE())),"?TYPE_IDENTIFIABLE","?REFERENTIAL"),"_")))))</f>
        <v> </v>
      </c>
      <c r="H3454" s="24" t="str">
        <f>IF(J3454&lt;&gt;1,"",IF(I3454="SBJ","CB","?"))</f>
        <v> </v>
      </c>
      <c r="I3454" s="25" t="str">
        <f>IF(OR(E3454="",E3454="!!!",F3454="NEW"),"",INDEX(B3453:B$2,-1+SUMPRODUCT(MAX(ROW(E3453:E$2)*(E3454=E3453:E$2)))))</f>
        <v> </v>
      </c>
      <c r="J3454" s="25" t="str">
        <f>IF(OR(E3454="",E3454="!!!",F3454="NEW"),"",COUNTBLANK(OFFSET(A$1,,,SUMPRODUCT(MAX(ROW(E$2:E3454)*(E3454=E$2:E3454)))))-COUNTBLANK(OFFSET(A$1,,,SUMPRODUCT(MAX(ROW(E$1:E3453)*(E2=E$1:E3453))))))</f>
        <v> </v>
      </c>
      <c r="K3454" s="25" t="str">
        <f>IF(OR(E3454="",E3454="!!!",F3454="NEW"),"",INDEX(J$1:J3453,SUMPRODUCT(MAX(ROW(E$1:E3453)*(E3454=E$1:E3453)))))</f>
        <v> </v>
      </c>
      <c r="L3454" s="26"/>
    </row>
    <row r="3455" spans="1:12">
      <c r="A3455" s="20" t="s">
        <v>1022</v>
      </c>
      <c r="E3455" s="21">
        <f>IF(D3455="?OLD","!!!","")</f>
        <v/>
      </c>
      <c r="F3455" s="22" t="str">
        <f>IF(OR(E3455="",E3455="!!!"),"",IF(NOT(ISNA(VLOOKUP(E3455,E$1:E3454,1,FALSE()))),"OLD",IF(AND(E3455&lt;&gt;"",E3455&lt;&gt;"!!!"),"NEW","")))</f>
        <v> </v>
      </c>
      <c r="G3455" s="23" t="str">
        <f>IF(OR(E3455="",E3455="!!!"),"",IF(OR(J3455=0,AND(J3455=1,K3455=1),AND(J3455=1,I3455="SBJ"),AND(J3455=1,I3455=0)),"?IN_FOCUS",IF(J3455&lt;=2,"?ACTIVATED",IF(J3455&lt;&gt;"","?FAMILIAR",IF(F3455="NEW",IF(ISNA(VLOOKUP(E3455,#REF!,1,FALSE())),"?TYPE_IDENTIFIABLE","?REFERENTIAL"),"_")))))</f>
        <v> </v>
      </c>
      <c r="H3455" s="24" t="str">
        <f>IF(J3455&lt;&gt;1,"",IF(I3455="SBJ","CB","?"))</f>
        <v> </v>
      </c>
      <c r="I3455" s="25" t="str">
        <f>IF(OR(E3455="",E3455="!!!",F3455="NEW"),"",INDEX(B3454:B$2,-1+SUMPRODUCT(MAX(ROW(E3454:E$2)*(E3455=E3454:E$2)))))</f>
        <v> </v>
      </c>
      <c r="J3455" s="25" t="str">
        <f>IF(OR(E3455="",E3455="!!!",F3455="NEW"),"",COUNTBLANK(OFFSET(A$1,,,SUMPRODUCT(MAX(ROW(E$2:E3455)*(E3455=E$2:E3455)))))-COUNTBLANK(OFFSET(A$1,,,SUMPRODUCT(MAX(ROW(E$1:E3454)*(E2=E$1:E3454))))))</f>
        <v> </v>
      </c>
      <c r="K3455" s="25" t="str">
        <f>IF(OR(E3455="",E3455="!!!",F3455="NEW"),"",INDEX(J$1:J3454,SUMPRODUCT(MAX(ROW(E$1:E3454)*(E3455=E$1:E3454)))))</f>
        <v> </v>
      </c>
      <c r="L3455" s="26"/>
    </row>
    <row r="3456" spans="1:12">
      <c r="A3456" s="20"/>
    </row>
    <row r="3457" spans="1:12">
      <c r="A3457" s="20" t="s">
        <v>1940</v>
      </c>
    </row>
    <row r="3458" spans="1:12">
      <c r="A3458" s="20" t="s">
        <v>1217</v>
      </c>
      <c r="B3458" s="27" t="s">
        <v>1038</v>
      </c>
      <c r="C3458" s="27" t="s">
        <v>1013</v>
      </c>
      <c r="D3458" s="27" t="s">
        <v>1014</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140</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1079</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39</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1937</v>
      </c>
      <c r="B3462" s="27" t="s">
        <v>1012</v>
      </c>
      <c r="C3462" s="27" t="s">
        <v>1087</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1941</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1942</v>
      </c>
      <c r="B3464" s="27" t="s">
        <v>1020</v>
      </c>
      <c r="C3464" s="27" t="s">
        <v>1087</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1022</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row>
    <row r="3467" spans="1:12">
      <c r="A3467" s="20" t="s">
        <v>1943</v>
      </c>
    </row>
    <row r="3468" spans="1:12">
      <c r="A3468" s="20" t="s">
        <v>1036</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1049</v>
      </c>
      <c r="B3469" s="27" t="s">
        <v>1038</v>
      </c>
      <c r="C3469" s="27" t="s">
        <v>1013</v>
      </c>
      <c r="D3469" s="27" t="s">
        <v>1014</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35</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537</v>
      </c>
      <c r="B3471" s="27" t="s">
        <v>1026</v>
      </c>
      <c r="C3471" s="27" t="s">
        <v>1059</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1066</v>
      </c>
      <c r="B3472" s="27" t="s">
        <v>1067</v>
      </c>
      <c r="C3472" s="27" t="s">
        <v>1068</v>
      </c>
      <c r="D3472" s="27" t="s">
        <v>1014</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1944</v>
      </c>
      <c r="B3473" s="27" t="s">
        <v>1033</v>
      </c>
      <c r="C3473" s="27" t="s">
        <v>1071</v>
      </c>
      <c r="D3473" s="27" t="s">
        <v>1014</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t="s">
        <v>1046</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t="s">
        <v>1076</v>
      </c>
      <c r="B3475" s="27" t="s">
        <v>1067</v>
      </c>
      <c r="C3475" s="27" t="s">
        <v>1071</v>
      </c>
      <c r="D3475" s="27" t="s">
        <v>1014</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1102</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t="s">
        <v>1098</v>
      </c>
      <c r="B3477" s="27" t="s">
        <v>1090</v>
      </c>
      <c r="C3477" s="27" t="s">
        <v>1108</v>
      </c>
      <c r="D3477" s="27" t="s">
        <v>1014</v>
      </c>
      <c r="E3477" s="21">
        <f>IF(D3477="?OLD","!!!","")</f>
        <v/>
      </c>
      <c r="F3477" s="22" t="str">
        <f>IF(OR(E3477="",E3477="!!!"),"",IF(NOT(ISNA(VLOOKUP(E3477,E$1:E3476,1,FALSE()))),"OLD",IF(AND(E3477&lt;&gt;"",E3477&lt;&gt;"!!!"),"NEW","")))</f>
        <v> </v>
      </c>
      <c r="G3477" s="23" t="str">
        <f>IF(OR(E3477="",E3477="!!!"),"",IF(OR(J3477=0,AND(J3477=1,K3477=1),AND(J3477=1,I3477="SBJ"),AND(J3477=1,I3477=0)),"?IN_FOCUS",IF(J3477&lt;=2,"?ACTIVATED",IF(J3477&lt;&gt;"","?FAMILIAR",IF(F3477="NEW",IF(ISNA(VLOOKUP(E3477,#REF!,1,FALSE())),"?TYPE_IDENTIFIABLE","?REFERENTIAL"),"_")))))</f>
        <v> </v>
      </c>
      <c r="H3477" s="24" t="str">
        <f>IF(J3477&lt;&gt;1,"",IF(I3477="SBJ","CB","?"))</f>
        <v> </v>
      </c>
      <c r="I3477" s="25" t="str">
        <f>IF(OR(E3477="",E3477="!!!",F3477="NEW"),"",INDEX(B3476:B$2,-1+SUMPRODUCT(MAX(ROW(E3476:E$2)*(E3477=E3476:E$2)))))</f>
        <v> </v>
      </c>
      <c r="J3477" s="25" t="str">
        <f>IF(OR(E3477="",E3477="!!!",F3477="NEW"),"",COUNTBLANK(OFFSET(A$1,,,SUMPRODUCT(MAX(ROW(E$2:E3477)*(E3477=E$2:E3477)))))-COUNTBLANK(OFFSET(A$1,,,SUMPRODUCT(MAX(ROW(E$1:E3476)*(E2=E$1:E3476))))))</f>
        <v> </v>
      </c>
      <c r="K3477" s="25" t="str">
        <f>IF(OR(E3477="",E3477="!!!",F3477="NEW"),"",INDEX(J$1:J3476,SUMPRODUCT(MAX(ROW(E$1:E3476)*(E3477=E$1:E3476)))))</f>
        <v> </v>
      </c>
      <c r="L3477" s="26"/>
    </row>
    <row r="3478" spans="1:12">
      <c r="A3478" s="20" t="s">
        <v>1126</v>
      </c>
      <c r="E3478" s="21">
        <f>IF(D3478="?OLD","!!!","")</f>
        <v/>
      </c>
      <c r="F3478" s="22" t="str">
        <f>IF(OR(E3478="",E3478="!!!"),"",IF(NOT(ISNA(VLOOKUP(E3478,E$1:E3477,1,FALSE()))),"OLD",IF(AND(E3478&lt;&gt;"",E3478&lt;&gt;"!!!"),"NEW","")))</f>
        <v> </v>
      </c>
      <c r="G3478" s="23" t="str">
        <f>IF(OR(E3478="",E3478="!!!"),"",IF(OR(J3478=0,AND(J3478=1,K3478=1),AND(J3478=1,I3478="SBJ"),AND(J3478=1,I3478=0)),"?IN_FOCUS",IF(J3478&lt;=2,"?ACTIVATED",IF(J3478&lt;&gt;"","?FAMILIAR",IF(F3478="NEW",IF(ISNA(VLOOKUP(E3478,#REF!,1,FALSE())),"?TYPE_IDENTIFIABLE","?REFERENTIAL"),"_")))))</f>
        <v> </v>
      </c>
      <c r="H3478" s="24" t="str">
        <f>IF(J3478&lt;&gt;1,"",IF(I3478="SBJ","CB","?"))</f>
        <v> </v>
      </c>
      <c r="I3478" s="25" t="str">
        <f>IF(OR(E3478="",E3478="!!!",F3478="NEW"),"",INDEX(B3477:B$2,-1+SUMPRODUCT(MAX(ROW(E3477:E$2)*(E3478=E3477:E$2)))))</f>
        <v> </v>
      </c>
      <c r="J3478" s="25" t="str">
        <f>IF(OR(E3478="",E3478="!!!",F3478="NEW"),"",COUNTBLANK(OFFSET(A$1,,,SUMPRODUCT(MAX(ROW(E$2:E3478)*(E3478=E$2:E3478)))))-COUNTBLANK(OFFSET(A$1,,,SUMPRODUCT(MAX(ROW(E$1:E3477)*(E2=E$1:E3477))))))</f>
        <v> </v>
      </c>
      <c r="K3478" s="25" t="str">
        <f>IF(OR(E3478="",E3478="!!!",F3478="NEW"),"",INDEX(J$1:J3477,SUMPRODUCT(MAX(ROW(E$1:E3477)*(E3478=E$1:E3477)))))</f>
        <v> </v>
      </c>
      <c r="L3478" s="26"/>
    </row>
    <row r="3479" spans="1:12">
      <c r="A3479" s="20" t="s">
        <v>1200</v>
      </c>
      <c r="E3479" s="21">
        <f>IF(D3479="?OLD","!!!","")</f>
        <v/>
      </c>
      <c r="F3479" s="22" t="str">
        <f>IF(OR(E3479="",E3479="!!!"),"",IF(NOT(ISNA(VLOOKUP(E3479,E$1:E3478,1,FALSE()))),"OLD",IF(AND(E3479&lt;&gt;"",E3479&lt;&gt;"!!!"),"NEW","")))</f>
        <v> </v>
      </c>
      <c r="G3479" s="23" t="str">
        <f>IF(OR(E3479="",E3479="!!!"),"",IF(OR(J3479=0,AND(J3479=1,K3479=1),AND(J3479=1,I3479="SBJ"),AND(J3479=1,I3479=0)),"?IN_FOCUS",IF(J3479&lt;=2,"?ACTIVATED",IF(J3479&lt;&gt;"","?FAMILIAR",IF(F3479="NEW",IF(ISNA(VLOOKUP(E3479,#REF!,1,FALSE())),"?TYPE_IDENTIFIABLE","?REFERENTIAL"),"_")))))</f>
        <v> </v>
      </c>
      <c r="H3479" s="24" t="str">
        <f>IF(J3479&lt;&gt;1,"",IF(I3479="SBJ","CB","?"))</f>
        <v> </v>
      </c>
      <c r="I3479" s="25" t="str">
        <f>IF(OR(E3479="",E3479="!!!",F3479="NEW"),"",INDEX(B3478:B$2,-1+SUMPRODUCT(MAX(ROW(E3478:E$2)*(E3479=E3478:E$2)))))</f>
        <v> </v>
      </c>
      <c r="J3479" s="25" t="str">
        <f>IF(OR(E3479="",E3479="!!!",F3479="NEW"),"",COUNTBLANK(OFFSET(A$1,,,SUMPRODUCT(MAX(ROW(E$2:E3479)*(E3479=E$2:E3479)))))-COUNTBLANK(OFFSET(A$1,,,SUMPRODUCT(MAX(ROW(E$1:E3478)*(E2=E$1:E3478))))))</f>
        <v> </v>
      </c>
      <c r="K3479" s="25" t="str">
        <f>IF(OR(E3479="",E3479="!!!",F3479="NEW"),"",INDEX(J$1:J3478,SUMPRODUCT(MAX(ROW(E$1:E3478)*(E3479=E$1:E3478)))))</f>
        <v> </v>
      </c>
      <c r="L3479" s="26"/>
    </row>
    <row r="3480" spans="1:12">
      <c r="A3480" s="20"/>
    </row>
    <row r="3481" spans="1:12">
      <c r="A3481" s="20" t="s">
        <v>1945</v>
      </c>
    </row>
    <row r="3482" spans="1:12">
      <c r="A3482" s="20" t="s">
        <v>1946</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1027</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1049</v>
      </c>
      <c r="B3484" s="27" t="s">
        <v>1038</v>
      </c>
      <c r="C3484" s="27" t="s">
        <v>1013</v>
      </c>
      <c r="D3484" s="27" t="s">
        <v>1014</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1299</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1015</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t="s">
        <v>1022</v>
      </c>
      <c r="E3487" s="21">
        <f>IF(D3487="?OLD","!!!","")</f>
        <v/>
      </c>
      <c r="F3487" s="22" t="str">
        <f>IF(OR(E3487="",E3487="!!!"),"",IF(NOT(ISNA(VLOOKUP(E3487,E$1:E3486,1,FALSE()))),"OLD",IF(AND(E3487&lt;&gt;"",E3487&lt;&gt;"!!!"),"NEW","")))</f>
        <v> </v>
      </c>
      <c r="G3487" s="23" t="str">
        <f>IF(OR(E3487="",E3487="!!!"),"",IF(OR(J3487=0,AND(J3487=1,K3487=1),AND(J3487=1,I3487="SBJ"),AND(J3487=1,I3487=0)),"?IN_FOCUS",IF(J3487&lt;=2,"?ACTIVATED",IF(J3487&lt;&gt;"","?FAMILIAR",IF(F3487="NEW",IF(ISNA(VLOOKUP(E3487,#REF!,1,FALSE())),"?TYPE_IDENTIFIABLE","?REFERENTIAL"),"_")))))</f>
        <v> </v>
      </c>
      <c r="H3487" s="24" t="str">
        <f>IF(J3487&lt;&gt;1,"",IF(I3487="SBJ","CB","?"))</f>
        <v> </v>
      </c>
      <c r="I3487" s="25" t="str">
        <f>IF(OR(E3487="",E3487="!!!",F3487="NEW"),"",INDEX(B3486:B$2,-1+SUMPRODUCT(MAX(ROW(E3486:E$2)*(E3487=E3486:E$2)))))</f>
        <v> </v>
      </c>
      <c r="J3487" s="25" t="str">
        <f>IF(OR(E3487="",E3487="!!!",F3487="NEW"),"",COUNTBLANK(OFFSET(A$1,,,SUMPRODUCT(MAX(ROW(E$2:E3487)*(E3487=E$2:E3487)))))-COUNTBLANK(OFFSET(A$1,,,SUMPRODUCT(MAX(ROW(E$1:E3486)*(E2=E$1:E3486))))))</f>
        <v> </v>
      </c>
      <c r="K3487" s="25" t="str">
        <f>IF(OR(E3487="",E3487="!!!",F3487="NEW"),"",INDEX(J$1:J3486,SUMPRODUCT(MAX(ROW(E$1:E3486)*(E3487=E$1:E3486)))))</f>
        <v> </v>
      </c>
      <c r="L3487" s="26"/>
    </row>
    <row r="3488" spans="1:12">
      <c r="A3488" s="20"/>
    </row>
    <row r="3489" spans="1:12">
      <c r="A3489" s="20" t="s">
        <v>1947</v>
      </c>
    </row>
    <row r="3490" spans="1:12">
      <c r="A3490" s="20" t="s">
        <v>1010</v>
      </c>
      <c r="E3490" s="21">
        <f>IF(D3490="?OLD","!!!","")</f>
        <v/>
      </c>
      <c r="F3490" s="22" t="str">
        <f>IF(OR(E3490="",E3490="!!!"),"",IF(NOT(ISNA(VLOOKUP(E3490,E$1:E3489,1,FALSE()))),"OLD",IF(AND(E3490&lt;&gt;"",E3490&lt;&gt;"!!!"),"NEW","")))</f>
        <v> </v>
      </c>
      <c r="G3490" s="23" t="str">
        <f>IF(OR(E3490="",E3490="!!!"),"",IF(OR(J3490=0,AND(J3490=1,K3490=1),AND(J3490=1,I3490="SBJ"),AND(J3490=1,I3490=0)),"?IN_FOCUS",IF(J3490&lt;=2,"?ACTIVATED",IF(J3490&lt;&gt;"","?FAMILIAR",IF(F3490="NEW",IF(ISNA(VLOOKUP(E3490,#REF!,1,FALSE())),"?TYPE_IDENTIFIABLE","?REFERENTIAL"),"_")))))</f>
        <v> </v>
      </c>
      <c r="H3490" s="24" t="str">
        <f>IF(J3490&lt;&gt;1,"",IF(I3490="SBJ","CB","?"))</f>
        <v> </v>
      </c>
      <c r="I3490" s="25" t="str">
        <f>IF(OR(E3490="",E3490="!!!",F3490="NEW"),"",INDEX(B3489:B$2,-1+SUMPRODUCT(MAX(ROW(E3489:E$2)*(E3490=E3489:E$2)))))</f>
        <v> </v>
      </c>
      <c r="J3490" s="25" t="str">
        <f>IF(OR(E3490="",E3490="!!!",F3490="NEW"),"",COUNTBLANK(OFFSET(A$1,,,SUMPRODUCT(MAX(ROW(E$2:E3490)*(E3490=E$2:E3490)))))-COUNTBLANK(OFFSET(A$1,,,SUMPRODUCT(MAX(ROW(E$1:E3489)*(E2=E$1:E3489))))))</f>
        <v> </v>
      </c>
      <c r="K3490" s="25" t="str">
        <f>IF(OR(E3490="",E3490="!!!",F3490="NEW"),"",INDEX(J$1:J3489,SUMPRODUCT(MAX(ROW(E$1:E3489)*(E3490=E$1:E3489)))))</f>
        <v> </v>
      </c>
      <c r="L3490" s="26"/>
    </row>
    <row r="3491" spans="1:12">
      <c r="A3491" s="20" t="s">
        <v>1011</v>
      </c>
      <c r="B3491" s="27" t="s">
        <v>1012</v>
      </c>
      <c r="C3491" s="27" t="s">
        <v>1013</v>
      </c>
      <c r="D3491" s="27" t="s">
        <v>1014</v>
      </c>
      <c r="E3491" s="21">
        <f>IF(D3491="?OLD","!!!","")</f>
        <v/>
      </c>
      <c r="F3491" s="22" t="str">
        <f>IF(OR(E3491="",E3491="!!!"),"",IF(NOT(ISNA(VLOOKUP(E3491,E$1:E3490,1,FALSE()))),"OLD",IF(AND(E3491&lt;&gt;"",E3491&lt;&gt;"!!!"),"NEW","")))</f>
        <v> </v>
      </c>
      <c r="G3491" s="23" t="str">
        <f>IF(OR(E3491="",E3491="!!!"),"",IF(OR(J3491=0,AND(J3491=1,K3491=1),AND(J3491=1,I3491="SBJ"),AND(J3491=1,I3491=0)),"?IN_FOCUS",IF(J3491&lt;=2,"?ACTIVATED",IF(J3491&lt;&gt;"","?FAMILIAR",IF(F3491="NEW",IF(ISNA(VLOOKUP(E3491,#REF!,1,FALSE())),"?TYPE_IDENTIFIABLE","?REFERENTIAL"),"_")))))</f>
        <v> </v>
      </c>
      <c r="H3491" s="24" t="str">
        <f>IF(J3491&lt;&gt;1,"",IF(I3491="SBJ","CB","?"))</f>
        <v> </v>
      </c>
      <c r="I3491" s="25" t="str">
        <f>IF(OR(E3491="",E3491="!!!",F3491="NEW"),"",INDEX(B3490:B$2,-1+SUMPRODUCT(MAX(ROW(E3490:E$2)*(E3491=E3490:E$2)))))</f>
        <v> </v>
      </c>
      <c r="J3491" s="25" t="str">
        <f>IF(OR(E3491="",E3491="!!!",F3491="NEW"),"",COUNTBLANK(OFFSET(A$1,,,SUMPRODUCT(MAX(ROW(E$2:E3491)*(E3491=E$2:E3491)))))-COUNTBLANK(OFFSET(A$1,,,SUMPRODUCT(MAX(ROW(E$1:E3490)*(E2=E$1:E3490))))))</f>
        <v> </v>
      </c>
      <c r="K3491" s="25" t="str">
        <f>IF(OR(E3491="",E3491="!!!",F3491="NEW"),"",INDEX(J$1:J3490,SUMPRODUCT(MAX(ROW(E$1:E3490)*(E3491=E$1:E3490)))))</f>
        <v> </v>
      </c>
      <c r="L3491" s="26"/>
    </row>
    <row r="3492" spans="1:12">
      <c r="A3492" s="20" t="s">
        <v>1948</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1032</v>
      </c>
      <c r="B3493" s="27" t="s">
        <v>1070</v>
      </c>
      <c r="C3493" s="27" t="s">
        <v>1013</v>
      </c>
      <c r="D3493" s="27" t="s">
        <v>1014</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1022</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row>
    <row r="3496" spans="1:12">
      <c r="A3496" s="20" t="s">
        <v>1949</v>
      </c>
    </row>
    <row r="3497" spans="1:12">
      <c r="A3497" s="20" t="s">
        <v>1115</v>
      </c>
      <c r="B3497" s="27" t="s">
        <v>1038</v>
      </c>
      <c r="C3497" s="27" t="s">
        <v>1013</v>
      </c>
      <c r="D3497" s="27" t="s">
        <v>1014</v>
      </c>
      <c r="E3497" s="21">
        <f>IF(D3497="?OLD","!!!","")</f>
        <v/>
      </c>
      <c r="F3497" s="22" t="str">
        <f>IF(OR(E3497="",E3497="!!!"),"",IF(NOT(ISNA(VLOOKUP(E3497,E$1:E3496,1,FALSE()))),"OLD",IF(AND(E3497&lt;&gt;"",E3497&lt;&gt;"!!!"),"NEW","")))</f>
        <v> </v>
      </c>
      <c r="G3497" s="23" t="str">
        <f>IF(OR(E3497="",E3497="!!!"),"",IF(OR(J3497=0,AND(J3497=1,K3497=1),AND(J3497=1,I3497="SBJ"),AND(J3497=1,I3497=0)),"?IN_FOCUS",IF(J3497&lt;=2,"?ACTIVATED",IF(J3497&lt;&gt;"","?FAMILIAR",IF(F3497="NEW",IF(ISNA(VLOOKUP(E3497,#REF!,1,FALSE())),"?TYPE_IDENTIFIABLE","?REFERENTIAL"),"_")))))</f>
        <v> </v>
      </c>
      <c r="H3497" s="24" t="str">
        <f>IF(J3497&lt;&gt;1,"",IF(I3497="SBJ","CB","?"))</f>
        <v> </v>
      </c>
      <c r="I3497" s="25" t="str">
        <f>IF(OR(E3497="",E3497="!!!",F3497="NEW"),"",INDEX(B3496:B$2,-1+SUMPRODUCT(MAX(ROW(E3496:E$2)*(E3497=E3496:E$2)))))</f>
        <v> </v>
      </c>
      <c r="J3497" s="25" t="str">
        <f>IF(OR(E3497="",E3497="!!!",F3497="NEW"),"",COUNTBLANK(OFFSET(A$1,,,SUMPRODUCT(MAX(ROW(E$2:E3497)*(E3497=E$2:E3497)))))-COUNTBLANK(OFFSET(A$1,,,SUMPRODUCT(MAX(ROW(E$1:E3496)*(E2=E$1:E3496))))))</f>
        <v> </v>
      </c>
      <c r="K3497" s="25" t="str">
        <f>IF(OR(E3497="",E3497="!!!",F3497="NEW"),"",INDEX(J$1:J3496,SUMPRODUCT(MAX(ROW(E$1:E3496)*(E3497=E$1:E3496)))))</f>
        <v> </v>
      </c>
      <c r="L3497" s="26"/>
    </row>
    <row r="3498" spans="1:12">
      <c r="A3498" s="20" t="s">
        <v>1011</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1199</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t="s">
        <v>1027</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t="s">
        <v>1017</v>
      </c>
      <c r="B3501" s="27" t="s">
        <v>1033</v>
      </c>
      <c r="C3501" s="27" t="s">
        <v>1013</v>
      </c>
      <c r="D3501" s="27" t="s">
        <v>1014</v>
      </c>
      <c r="E3501" s="21">
        <f>IF(D3501="?OLD","!!!","")</f>
        <v/>
      </c>
      <c r="F3501" s="22" t="str">
        <f>IF(OR(E3501="",E3501="!!!"),"",IF(NOT(ISNA(VLOOKUP(E3501,E$1:E3500,1,FALSE()))),"OLD",IF(AND(E3501&lt;&gt;"",E3501&lt;&gt;"!!!"),"NEW","")))</f>
        <v> </v>
      </c>
      <c r="G3501" s="23" t="str">
        <f>IF(OR(E3501="",E3501="!!!"),"",IF(OR(J3501=0,AND(J3501=1,K3501=1),AND(J3501=1,I3501="SBJ"),AND(J3501=1,I3501=0)),"?IN_FOCUS",IF(J3501&lt;=2,"?ACTIVATED",IF(J3501&lt;&gt;"","?FAMILIAR",IF(F3501="NEW",IF(ISNA(VLOOKUP(E3501,#REF!,1,FALSE())),"?TYPE_IDENTIFIABLE","?REFERENTIAL"),"_")))))</f>
        <v> </v>
      </c>
      <c r="H3501" s="24" t="str">
        <f>IF(J3501&lt;&gt;1,"",IF(I3501="SBJ","CB","?"))</f>
        <v> </v>
      </c>
      <c r="I3501" s="25" t="str">
        <f>IF(OR(E3501="",E3501="!!!",F3501="NEW"),"",INDEX(B3500:B$2,-1+SUMPRODUCT(MAX(ROW(E3500:E$2)*(E3501=E3500:E$2)))))</f>
        <v> </v>
      </c>
      <c r="J3501" s="25" t="str">
        <f>IF(OR(E3501="",E3501="!!!",F3501="NEW"),"",COUNTBLANK(OFFSET(A$1,,,SUMPRODUCT(MAX(ROW(E$2:E3501)*(E3501=E$2:E3501)))))-COUNTBLANK(OFFSET(A$1,,,SUMPRODUCT(MAX(ROW(E$1:E3500)*(E2=E$1:E3500))))))</f>
        <v> </v>
      </c>
      <c r="K3501" s="25" t="str">
        <f>IF(OR(E3501="",E3501="!!!",F3501="NEW"),"",INDEX(J$1:J3500,SUMPRODUCT(MAX(ROW(E$1:E3500)*(E3501=E$1:E3500)))))</f>
        <v> </v>
      </c>
      <c r="L3501" s="26"/>
    </row>
    <row r="3502" spans="1:12">
      <c r="A3502" s="20" t="s">
        <v>1063</v>
      </c>
      <c r="E3502" s="21">
        <f>IF(D3502="?OLD","!!!","")</f>
        <v/>
      </c>
      <c r="F3502" s="22" t="str">
        <f>IF(OR(E3502="",E3502="!!!"),"",IF(NOT(ISNA(VLOOKUP(E3502,E$1:E3501,1,FALSE()))),"OLD",IF(AND(E3502&lt;&gt;"",E3502&lt;&gt;"!!!"),"NEW","")))</f>
        <v> </v>
      </c>
      <c r="G3502" s="23" t="str">
        <f>IF(OR(E3502="",E3502="!!!"),"",IF(OR(J3502=0,AND(J3502=1,K3502=1),AND(J3502=1,I3502="SBJ"),AND(J3502=1,I3502=0)),"?IN_FOCUS",IF(J3502&lt;=2,"?ACTIVATED",IF(J3502&lt;&gt;"","?FAMILIAR",IF(F3502="NEW",IF(ISNA(VLOOKUP(E3502,#REF!,1,FALSE())),"?TYPE_IDENTIFIABLE","?REFERENTIAL"),"_")))))</f>
        <v> </v>
      </c>
      <c r="H3502" s="24" t="str">
        <f>IF(J3502&lt;&gt;1,"",IF(I3502="SBJ","CB","?"))</f>
        <v> </v>
      </c>
      <c r="I3502" s="25" t="str">
        <f>IF(OR(E3502="",E3502="!!!",F3502="NEW"),"",INDEX(B3501:B$2,-1+SUMPRODUCT(MAX(ROW(E3501:E$2)*(E3502=E3501:E$2)))))</f>
        <v> </v>
      </c>
      <c r="J3502" s="25" t="str">
        <f>IF(OR(E3502="",E3502="!!!",F3502="NEW"),"",COUNTBLANK(OFFSET(A$1,,,SUMPRODUCT(MAX(ROW(E$2:E3502)*(E3502=E$2:E3502)))))-COUNTBLANK(OFFSET(A$1,,,SUMPRODUCT(MAX(ROW(E$1:E3501)*(E2=E$1:E3501))))))</f>
        <v> </v>
      </c>
      <c r="K3502" s="25" t="str">
        <f>IF(OR(E3502="",E3502="!!!",F3502="NEW"),"",INDEX(J$1:J3501,SUMPRODUCT(MAX(ROW(E$1:E3501)*(E3502=E$1:E3501)))))</f>
        <v> </v>
      </c>
      <c r="L3502" s="26"/>
    </row>
    <row r="3503" spans="1:12">
      <c r="A3503" s="20" t="s">
        <v>1725</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1019</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1950</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879</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1951</v>
      </c>
      <c r="B3507" s="27" t="s">
        <v>1070</v>
      </c>
      <c r="C3507" s="27" t="s">
        <v>1021</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t="s">
        <v>1027</v>
      </c>
      <c r="E3508" s="21">
        <f>IF(D3508="?OLD","!!!","")</f>
        <v/>
      </c>
      <c r="F3508" s="22" t="str">
        <f>IF(OR(E3508="",E3508="!!!"),"",IF(NOT(ISNA(VLOOKUP(E3508,E$1:E3507,1,FALSE()))),"OLD",IF(AND(E3508&lt;&gt;"",E3508&lt;&gt;"!!!"),"NEW","")))</f>
        <v> </v>
      </c>
      <c r="G3508" s="23" t="str">
        <f>IF(OR(E3508="",E3508="!!!"),"",IF(OR(J3508=0,AND(J3508=1,K3508=1),AND(J3508=1,I3508="SBJ"),AND(J3508=1,I3508=0)),"?IN_FOCUS",IF(J3508&lt;=2,"?ACTIVATED",IF(J3508&lt;&gt;"","?FAMILIAR",IF(F3508="NEW",IF(ISNA(VLOOKUP(E3508,#REF!,1,FALSE())),"?TYPE_IDENTIFIABLE","?REFERENTIAL"),"_")))))</f>
        <v> </v>
      </c>
      <c r="H3508" s="24" t="str">
        <f>IF(J3508&lt;&gt;1,"",IF(I3508="SBJ","CB","?"))</f>
        <v> </v>
      </c>
      <c r="I3508" s="25" t="str">
        <f>IF(OR(E3508="",E3508="!!!",F3508="NEW"),"",INDEX(B3507:B$2,-1+SUMPRODUCT(MAX(ROW(E3507:E$2)*(E3508=E3507:E$2)))))</f>
        <v> </v>
      </c>
      <c r="J3508" s="25" t="str">
        <f>IF(OR(E3508="",E3508="!!!",F3508="NEW"),"",COUNTBLANK(OFFSET(A$1,,,SUMPRODUCT(MAX(ROW(E$2:E3508)*(E3508=E$2:E3508)))))-COUNTBLANK(OFFSET(A$1,,,SUMPRODUCT(MAX(ROW(E$1:E3507)*(E2=E$1:E3507))))))</f>
        <v> </v>
      </c>
      <c r="K3508" s="25" t="str">
        <f>IF(OR(E3508="",E3508="!!!",F3508="NEW"),"",INDEX(J$1:J3507,SUMPRODUCT(MAX(ROW(E$1:E3507)*(E3508=E$1:E3507)))))</f>
        <v> </v>
      </c>
      <c r="L3508" s="26"/>
    </row>
    <row r="3509" spans="1:12">
      <c r="A3509" s="20" t="s">
        <v>1589</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1041</v>
      </c>
      <c r="B3510" s="27" t="s">
        <v>1033</v>
      </c>
      <c r="C3510" s="27" t="s">
        <v>1108</v>
      </c>
      <c r="D3510" s="27" t="s">
        <v>1014</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1126</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1079</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1335</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1022</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row>
    <row r="3516" spans="1:12">
      <c r="A3516" s="20" t="s">
        <v>1952</v>
      </c>
    </row>
    <row r="3517" spans="1:12">
      <c r="A3517" s="20" t="s">
        <v>1125</v>
      </c>
      <c r="B3517" s="27" t="s">
        <v>1038</v>
      </c>
      <c r="C3517" s="27" t="s">
        <v>1108</v>
      </c>
      <c r="D3517" s="27" t="s">
        <v>1014</v>
      </c>
      <c r="E3517" s="21">
        <f>IF(D3517="?OLD","!!!","")</f>
        <v/>
      </c>
      <c r="F3517" s="22" t="str">
        <f>IF(OR(E3517="",E3517="!!!"),"",IF(NOT(ISNA(VLOOKUP(E3517,E$1:E3516,1,FALSE()))),"OLD",IF(AND(E3517&lt;&gt;"",E3517&lt;&gt;"!!!"),"NEW","")))</f>
        <v> </v>
      </c>
      <c r="G3517" s="23" t="str">
        <f>IF(OR(E3517="",E3517="!!!"),"",IF(OR(J3517=0,AND(J3517=1,K3517=1),AND(J3517=1,I3517="SBJ"),AND(J3517=1,I3517=0)),"?IN_FOCUS",IF(J3517&lt;=2,"?ACTIVATED",IF(J3517&lt;&gt;"","?FAMILIAR",IF(F3517="NEW",IF(ISNA(VLOOKUP(E3517,#REF!,1,FALSE())),"?TYPE_IDENTIFIABLE","?REFERENTIAL"),"_")))))</f>
        <v> </v>
      </c>
      <c r="H3517" s="24" t="str">
        <f>IF(J3517&lt;&gt;1,"",IF(I3517="SBJ","CB","?"))</f>
        <v> </v>
      </c>
      <c r="I3517" s="25" t="str">
        <f>IF(OR(E3517="",E3517="!!!",F3517="NEW"),"",INDEX(B3516:B$2,-1+SUMPRODUCT(MAX(ROW(E3516:E$2)*(E3517=E3516:E$2)))))</f>
        <v> </v>
      </c>
      <c r="J3517" s="25" t="str">
        <f>IF(OR(E3517="",E3517="!!!",F3517="NEW"),"",COUNTBLANK(OFFSET(A$1,,,SUMPRODUCT(MAX(ROW(E$2:E3517)*(E3517=E$2:E3517)))))-COUNTBLANK(OFFSET(A$1,,,SUMPRODUCT(MAX(ROW(E$1:E3516)*(E2=E$1:E3516))))))</f>
        <v> </v>
      </c>
      <c r="K3517" s="25" t="str">
        <f>IF(OR(E3517="",E3517="!!!",F3517="NEW"),"",INDEX(J$1:J3516,SUMPRODUCT(MAX(ROW(E$1:E3516)*(E3517=E$1:E3516)))))</f>
        <v> </v>
      </c>
      <c r="L3517" s="26"/>
    </row>
    <row r="3518" spans="1:12">
      <c r="A3518" s="20" t="s">
        <v>1045</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1953</v>
      </c>
      <c r="B3519" s="27" t="s">
        <v>1012</v>
      </c>
      <c r="C3519" s="27" t="s">
        <v>1147</v>
      </c>
      <c r="D3519" s="27" t="s">
        <v>1014</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1046</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t="s">
        <v>140</v>
      </c>
      <c r="E3521" s="21">
        <f>IF(D3521="?OLD","!!!","")</f>
        <v/>
      </c>
      <c r="F3521" s="22" t="str">
        <f>IF(OR(E3521="",E3521="!!!"),"",IF(NOT(ISNA(VLOOKUP(E3521,E$1:E3520,1,FALSE()))),"OLD",IF(AND(E3521&lt;&gt;"",E3521&lt;&gt;"!!!"),"NEW","")))</f>
        <v> </v>
      </c>
      <c r="G3521" s="23" t="str">
        <f>IF(OR(E3521="",E3521="!!!"),"",IF(OR(J3521=0,AND(J3521=1,K3521=1),AND(J3521=1,I3521="SBJ"),AND(J3521=1,I3521=0)),"?IN_FOCUS",IF(J3521&lt;=2,"?ACTIVATED",IF(J3521&lt;&gt;"","?FAMILIAR",IF(F3521="NEW",IF(ISNA(VLOOKUP(E3521,#REF!,1,FALSE())),"?TYPE_IDENTIFIABLE","?REFERENTIAL"),"_")))))</f>
        <v> </v>
      </c>
      <c r="H3521" s="24" t="str">
        <f>IF(J3521&lt;&gt;1,"",IF(I3521="SBJ","CB","?"))</f>
        <v> </v>
      </c>
      <c r="I3521" s="25" t="str">
        <f>IF(OR(E3521="",E3521="!!!",F3521="NEW"),"",INDEX(B3520:B$2,-1+SUMPRODUCT(MAX(ROW(E3520:E$2)*(E3521=E3520:E$2)))))</f>
        <v> </v>
      </c>
      <c r="J3521" s="25" t="str">
        <f>IF(OR(E3521="",E3521="!!!",F3521="NEW"),"",COUNTBLANK(OFFSET(A$1,,,SUMPRODUCT(MAX(ROW(E$2:E3521)*(E3521=E$2:E3521)))))-COUNTBLANK(OFFSET(A$1,,,SUMPRODUCT(MAX(ROW(E$1:E3520)*(E2=E$1:E3520))))))</f>
        <v> </v>
      </c>
      <c r="K3521" s="25" t="str">
        <f>IF(OR(E3521="",E3521="!!!",F3521="NEW"),"",INDEX(J$1:J3520,SUMPRODUCT(MAX(ROW(E$1:E3520)*(E3521=E$1:E3520)))))</f>
        <v> </v>
      </c>
      <c r="L3521" s="26"/>
    </row>
    <row r="3522" spans="1:12">
      <c r="A3522" s="20" t="s">
        <v>1321</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t="s">
        <v>1335</v>
      </c>
      <c r="B3523" s="27" t="s">
        <v>1067</v>
      </c>
      <c r="C3523" s="27" t="s">
        <v>1087</v>
      </c>
      <c r="E3523" s="21">
        <f>IF(D3523="?OLD","!!!","")</f>
        <v/>
      </c>
      <c r="F3523" s="22" t="str">
        <f>IF(OR(E3523="",E3523="!!!"),"",IF(NOT(ISNA(VLOOKUP(E3523,E$1:E3522,1,FALSE()))),"OLD",IF(AND(E3523&lt;&gt;"",E3523&lt;&gt;"!!!"),"NEW","")))</f>
        <v> </v>
      </c>
      <c r="G3523" s="23" t="str">
        <f>IF(OR(E3523="",E3523="!!!"),"",IF(OR(J3523=0,AND(J3523=1,K3523=1),AND(J3523=1,I3523="SBJ"),AND(J3523=1,I3523=0)),"?IN_FOCUS",IF(J3523&lt;=2,"?ACTIVATED",IF(J3523&lt;&gt;"","?FAMILIAR",IF(F3523="NEW",IF(ISNA(VLOOKUP(E3523,#REF!,1,FALSE())),"?TYPE_IDENTIFIABLE","?REFERENTIAL"),"_")))))</f>
        <v> </v>
      </c>
      <c r="H3523" s="24" t="str">
        <f>IF(J3523&lt;&gt;1,"",IF(I3523="SBJ","CB","?"))</f>
        <v> </v>
      </c>
      <c r="I3523" s="25" t="str">
        <f>IF(OR(E3523="",E3523="!!!",F3523="NEW"),"",INDEX(B3522:B$2,-1+SUMPRODUCT(MAX(ROW(E3522:E$2)*(E3523=E3522:E$2)))))</f>
        <v> </v>
      </c>
      <c r="J3523" s="25" t="str">
        <f>IF(OR(E3523="",E3523="!!!",F3523="NEW"),"",COUNTBLANK(OFFSET(A$1,,,SUMPRODUCT(MAX(ROW(E$2:E3523)*(E3523=E$2:E3523)))))-COUNTBLANK(OFFSET(A$1,,,SUMPRODUCT(MAX(ROW(E$1:E3522)*(E2=E$1:E3522))))))</f>
        <v> </v>
      </c>
      <c r="K3523" s="25" t="str">
        <f>IF(OR(E3523="",E3523="!!!",F3523="NEW"),"",INDEX(J$1:J3522,SUMPRODUCT(MAX(ROW(E$1:E3522)*(E3523=E$1:E3522)))))</f>
        <v> </v>
      </c>
      <c r="L3523" s="26"/>
    </row>
    <row r="3524" spans="1:12">
      <c r="A3524" s="20" t="s">
        <v>1022</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row>
    <row r="3526" spans="1:12">
      <c r="A3526" s="20" t="s">
        <v>1954</v>
      </c>
    </row>
    <row r="3527" spans="1:12">
      <c r="A3527" s="20" t="s">
        <v>1115</v>
      </c>
      <c r="B3527" s="27" t="s">
        <v>1038</v>
      </c>
      <c r="C3527" s="27" t="s">
        <v>1013</v>
      </c>
      <c r="D3527" s="27" t="s">
        <v>1014</v>
      </c>
      <c r="E3527" s="21">
        <f>IF(D3527="?OLD","!!!","")</f>
        <v/>
      </c>
      <c r="F3527" s="22" t="str">
        <f>IF(OR(E3527="",E3527="!!!"),"",IF(NOT(ISNA(VLOOKUP(E3527,E$1:E3526,1,FALSE()))),"OLD",IF(AND(E3527&lt;&gt;"",E3527&lt;&gt;"!!!"),"NEW","")))</f>
        <v> </v>
      </c>
      <c r="G3527" s="23" t="str">
        <f>IF(OR(E3527="",E3527="!!!"),"",IF(OR(J3527=0,AND(J3527=1,K3527=1),AND(J3527=1,I3527="SBJ"),AND(J3527=1,I3527=0)),"?IN_FOCUS",IF(J3527&lt;=2,"?ACTIVATED",IF(J3527&lt;&gt;"","?FAMILIAR",IF(F3527="NEW",IF(ISNA(VLOOKUP(E3527,#REF!,1,FALSE())),"?TYPE_IDENTIFIABLE","?REFERENTIAL"),"_")))))</f>
        <v> </v>
      </c>
      <c r="H3527" s="24" t="str">
        <f>IF(J3527&lt;&gt;1,"",IF(I3527="SBJ","CB","?"))</f>
        <v> </v>
      </c>
      <c r="I3527" s="25" t="str">
        <f>IF(OR(E3527="",E3527="!!!",F3527="NEW"),"",INDEX(B3526:B$2,-1+SUMPRODUCT(MAX(ROW(E3526:E$2)*(E3527=E3526:E$2)))))</f>
        <v> </v>
      </c>
      <c r="J3527" s="25" t="str">
        <f>IF(OR(E3527="",E3527="!!!",F3527="NEW"),"",COUNTBLANK(OFFSET(A$1,,,SUMPRODUCT(MAX(ROW(E$2:E3527)*(E3527=E$2:E3527)))))-COUNTBLANK(OFFSET(A$1,,,SUMPRODUCT(MAX(ROW(E$1:E3526)*(E2=E$1:E3526))))))</f>
        <v> </v>
      </c>
      <c r="K3527" s="25" t="str">
        <f>IF(OR(E3527="",E3527="!!!",F3527="NEW"),"",INDEX(J$1:J3526,SUMPRODUCT(MAX(ROW(E$1:E3526)*(E3527=E$1:E3526)))))</f>
        <v> </v>
      </c>
      <c r="L3527" s="26"/>
    </row>
    <row r="3528" spans="1:12">
      <c r="A3528" s="20" t="s">
        <v>1011</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1955</v>
      </c>
      <c r="B3529" s="27" t="s">
        <v>1026</v>
      </c>
      <c r="C3529" s="27" t="s">
        <v>1087</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1027</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1032</v>
      </c>
      <c r="B3531" s="27" t="s">
        <v>1033</v>
      </c>
      <c r="C3531" s="27" t="s">
        <v>1013</v>
      </c>
      <c r="D3531" s="27" t="s">
        <v>1014</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1011</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1956</v>
      </c>
      <c r="B3533" s="27" t="s">
        <v>1026</v>
      </c>
      <c r="C3533" s="27" t="s">
        <v>1087</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1027</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t="s">
        <v>1032</v>
      </c>
      <c r="B3535" s="27" t="s">
        <v>1033</v>
      </c>
      <c r="C3535" s="27" t="s">
        <v>1013</v>
      </c>
      <c r="D3535" s="27" t="s">
        <v>1014</v>
      </c>
      <c r="E3535" s="21">
        <f>IF(D3535="?OLD","!!!","")</f>
        <v/>
      </c>
      <c r="F3535" s="22" t="str">
        <f>IF(OR(E3535="",E3535="!!!"),"",IF(NOT(ISNA(VLOOKUP(E3535,E$1:E3534,1,FALSE()))),"OLD",IF(AND(E3535&lt;&gt;"",E3535&lt;&gt;"!!!"),"NEW","")))</f>
        <v> </v>
      </c>
      <c r="G3535" s="23" t="str">
        <f>IF(OR(E3535="",E3535="!!!"),"",IF(OR(J3535=0,AND(J3535=1,K3535=1),AND(J3535=1,I3535="SBJ"),AND(J3535=1,I3535=0)),"?IN_FOCUS",IF(J3535&lt;=2,"?ACTIVATED",IF(J3535&lt;&gt;"","?FAMILIAR",IF(F3535="NEW",IF(ISNA(VLOOKUP(E3535,#REF!,1,FALSE())),"?TYPE_IDENTIFIABLE","?REFERENTIAL"),"_")))))</f>
        <v> </v>
      </c>
      <c r="H3535" s="24" t="str">
        <f>IF(J3535&lt;&gt;1,"",IF(I3535="SBJ","CB","?"))</f>
        <v> </v>
      </c>
      <c r="I3535" s="25" t="str">
        <f>IF(OR(E3535="",E3535="!!!",F3535="NEW"),"",INDEX(B3534:B$2,-1+SUMPRODUCT(MAX(ROW(E3534:E$2)*(E3535=E3534:E$2)))))</f>
        <v> </v>
      </c>
      <c r="J3535" s="25" t="str">
        <f>IF(OR(E3535="",E3535="!!!",F3535="NEW"),"",COUNTBLANK(OFFSET(A$1,,,SUMPRODUCT(MAX(ROW(E$2:E3535)*(E3535=E$2:E3535)))))-COUNTBLANK(OFFSET(A$1,,,SUMPRODUCT(MAX(ROW(E$1:E3534)*(E2=E$1:E3534))))))</f>
        <v> </v>
      </c>
      <c r="K3535" s="25" t="str">
        <f>IF(OR(E3535="",E3535="!!!",F3535="NEW"),"",INDEX(J$1:J3534,SUMPRODUCT(MAX(ROW(E$1:E3534)*(E3535=E$1:E3534)))))</f>
        <v> </v>
      </c>
      <c r="L3535" s="26"/>
    </row>
    <row r="3536" spans="1:12">
      <c r="A3536" s="20" t="s">
        <v>1011</v>
      </c>
      <c r="E3536" s="21">
        <f>IF(D3536="?OLD","!!!","")</f>
        <v/>
      </c>
      <c r="F3536" s="22" t="str">
        <f>IF(OR(E3536="",E3536="!!!"),"",IF(NOT(ISNA(VLOOKUP(E3536,E$1:E3535,1,FALSE()))),"OLD",IF(AND(E3536&lt;&gt;"",E3536&lt;&gt;"!!!"),"NEW","")))</f>
        <v> </v>
      </c>
      <c r="G3536" s="23" t="str">
        <f>IF(OR(E3536="",E3536="!!!"),"",IF(OR(J3536=0,AND(J3536=1,K3536=1),AND(J3536=1,I3536="SBJ"),AND(J3536=1,I3536=0)),"?IN_FOCUS",IF(J3536&lt;=2,"?ACTIVATED",IF(J3536&lt;&gt;"","?FAMILIAR",IF(F3536="NEW",IF(ISNA(VLOOKUP(E3536,#REF!,1,FALSE())),"?TYPE_IDENTIFIABLE","?REFERENTIAL"),"_")))))</f>
        <v> </v>
      </c>
      <c r="H3536" s="24" t="str">
        <f>IF(J3536&lt;&gt;1,"",IF(I3536="SBJ","CB","?"))</f>
        <v> </v>
      </c>
      <c r="I3536" s="25" t="str">
        <f>IF(OR(E3536="",E3536="!!!",F3536="NEW"),"",INDEX(B3535:B$2,-1+SUMPRODUCT(MAX(ROW(E3535:E$2)*(E3536=E3535:E$2)))))</f>
        <v> </v>
      </c>
      <c r="J3536" s="25" t="str">
        <f>IF(OR(E3536="",E3536="!!!",F3536="NEW"),"",COUNTBLANK(OFFSET(A$1,,,SUMPRODUCT(MAX(ROW(E$2:E3536)*(E3536=E$2:E3536)))))-COUNTBLANK(OFFSET(A$1,,,SUMPRODUCT(MAX(ROW(E$1:E3535)*(E2=E$1:E3535))))))</f>
        <v> </v>
      </c>
      <c r="K3536" s="25" t="str">
        <f>IF(OR(E3536="",E3536="!!!",F3536="NEW"),"",INDEX(J$1:J3535,SUMPRODUCT(MAX(ROW(E$1:E3535)*(E3536=E$1:E3535)))))</f>
        <v> </v>
      </c>
      <c r="L3536" s="26"/>
    </row>
    <row r="3537" spans="1:12">
      <c r="A3537" s="20" t="s">
        <v>1957</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t="s">
        <v>1253</v>
      </c>
      <c r="B3538" s="27" t="s">
        <v>1026</v>
      </c>
      <c r="C3538" s="27" t="s">
        <v>1087</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t="s">
        <v>1022</v>
      </c>
      <c r="E3539" s="21">
        <f>IF(D3539="?OLD","!!!","")</f>
        <v/>
      </c>
      <c r="F3539" s="22" t="str">
        <f>IF(OR(E3539="",E3539="!!!"),"",IF(NOT(ISNA(VLOOKUP(E3539,E$1:E3538,1,FALSE()))),"OLD",IF(AND(E3539&lt;&gt;"",E3539&lt;&gt;"!!!"),"NEW","")))</f>
        <v> </v>
      </c>
      <c r="G3539" s="23" t="str">
        <f>IF(OR(E3539="",E3539="!!!"),"",IF(OR(J3539=0,AND(J3539=1,K3539=1),AND(J3539=1,I3539="SBJ"),AND(J3539=1,I3539=0)),"?IN_FOCUS",IF(J3539&lt;=2,"?ACTIVATED",IF(J3539&lt;&gt;"","?FAMILIAR",IF(F3539="NEW",IF(ISNA(VLOOKUP(E3539,#REF!,1,FALSE())),"?TYPE_IDENTIFIABLE","?REFERENTIAL"),"_")))))</f>
        <v> </v>
      </c>
      <c r="H3539" s="24" t="str">
        <f>IF(J3539&lt;&gt;1,"",IF(I3539="SBJ","CB","?"))</f>
        <v> </v>
      </c>
      <c r="I3539" s="25" t="str">
        <f>IF(OR(E3539="",E3539="!!!",F3539="NEW"),"",INDEX(B3538:B$2,-1+SUMPRODUCT(MAX(ROW(E3538:E$2)*(E3539=E3538:E$2)))))</f>
        <v> </v>
      </c>
      <c r="J3539" s="25" t="str">
        <f>IF(OR(E3539="",E3539="!!!",F3539="NEW"),"",COUNTBLANK(OFFSET(A$1,,,SUMPRODUCT(MAX(ROW(E$2:E3539)*(E3539=E$2:E3539)))))-COUNTBLANK(OFFSET(A$1,,,SUMPRODUCT(MAX(ROW(E$1:E3538)*(E2=E$1:E3538))))))</f>
        <v> </v>
      </c>
      <c r="K3539" s="25" t="str">
        <f>IF(OR(E3539="",E3539="!!!",F3539="NEW"),"",INDEX(J$1:J3538,SUMPRODUCT(MAX(ROW(E$1:E3538)*(E3539=E$1:E3538)))))</f>
        <v> </v>
      </c>
      <c r="L3539" s="26"/>
    </row>
    <row r="3540" spans="1:12">
      <c r="A3540" s="20"/>
    </row>
    <row r="3541" spans="1:12">
      <c r="A3541" s="20" t="s">
        <v>1958</v>
      </c>
    </row>
    <row r="3542" spans="1:12">
      <c r="A3542" s="20" t="s">
        <v>1377</v>
      </c>
      <c r="B3542" s="27" t="s">
        <v>1038</v>
      </c>
      <c r="C3542" s="27" t="s">
        <v>1013</v>
      </c>
      <c r="D3542" s="27" t="s">
        <v>1014</v>
      </c>
      <c r="E3542" s="21">
        <f>IF(D3542="?OLD","!!!","")</f>
        <v/>
      </c>
      <c r="F3542" s="22" t="str">
        <f>IF(OR(E3542="",E3542="!!!"),"",IF(NOT(ISNA(VLOOKUP(E3542,E$1:E3541,1,FALSE()))),"OLD",IF(AND(E3542&lt;&gt;"",E3542&lt;&gt;"!!!"),"NEW","")))</f>
        <v> </v>
      </c>
      <c r="G3542" s="23" t="str">
        <f>IF(OR(E3542="",E3542="!!!"),"",IF(OR(J3542=0,AND(J3542=1,K3542=1),AND(J3542=1,I3542="SBJ"),AND(J3542=1,I3542=0)),"?IN_FOCUS",IF(J3542&lt;=2,"?ACTIVATED",IF(J3542&lt;&gt;"","?FAMILIAR",IF(F3542="NEW",IF(ISNA(VLOOKUP(E3542,#REF!,1,FALSE())),"?TYPE_IDENTIFIABLE","?REFERENTIAL"),"_")))))</f>
        <v> </v>
      </c>
      <c r="H3542" s="24" t="str">
        <f>IF(J3542&lt;&gt;1,"",IF(I3542="SBJ","CB","?"))</f>
        <v> </v>
      </c>
      <c r="I3542" s="25" t="str">
        <f>IF(OR(E3542="",E3542="!!!",F3542="NEW"),"",INDEX(B3541:B$2,-1+SUMPRODUCT(MAX(ROW(E3541:E$2)*(E3542=E3541:E$2)))))</f>
        <v> </v>
      </c>
      <c r="J3542" s="25" t="str">
        <f>IF(OR(E3542="",E3542="!!!",F3542="NEW"),"",COUNTBLANK(OFFSET(A$1,,,SUMPRODUCT(MAX(ROW(E$2:E3542)*(E3542=E$2:E3542)))))-COUNTBLANK(OFFSET(A$1,,,SUMPRODUCT(MAX(ROW(E$1:E3541)*(E2=E$1:E3541))))))</f>
        <v> </v>
      </c>
      <c r="K3542" s="25" t="str">
        <f>IF(OR(E3542="",E3542="!!!",F3542="NEW"),"",INDEX(J$1:J3541,SUMPRODUCT(MAX(ROW(E$1:E3541)*(E3542=E$1:E3541)))))</f>
        <v> </v>
      </c>
      <c r="L3542" s="26"/>
    </row>
    <row r="3543" spans="1:12">
      <c r="A3543" s="20" t="s">
        <v>35</v>
      </c>
      <c r="E3543" s="21">
        <f>IF(D3543="?OLD","!!!","")</f>
        <v/>
      </c>
      <c r="F3543" s="22" t="str">
        <f>IF(OR(E3543="",E3543="!!!"),"",IF(NOT(ISNA(VLOOKUP(E3543,E$1:E3542,1,FALSE()))),"OLD",IF(AND(E3543&lt;&gt;"",E3543&lt;&gt;"!!!"),"NEW","")))</f>
        <v> </v>
      </c>
      <c r="G3543" s="23" t="str">
        <f>IF(OR(E3543="",E3543="!!!"),"",IF(OR(J3543=0,AND(J3543=1,K3543=1),AND(J3543=1,I3543="SBJ"),AND(J3543=1,I3543=0)),"?IN_FOCUS",IF(J3543&lt;=2,"?ACTIVATED",IF(J3543&lt;&gt;"","?FAMILIAR",IF(F3543="NEW",IF(ISNA(VLOOKUP(E3543,#REF!,1,FALSE())),"?TYPE_IDENTIFIABLE","?REFERENTIAL"),"_")))))</f>
        <v> </v>
      </c>
      <c r="H3543" s="24" t="str">
        <f>IF(J3543&lt;&gt;1,"",IF(I3543="SBJ","CB","?"))</f>
        <v> </v>
      </c>
      <c r="I3543" s="25" t="str">
        <f>IF(OR(E3543="",E3543="!!!",F3543="NEW"),"",INDEX(B3542:B$2,-1+SUMPRODUCT(MAX(ROW(E3542:E$2)*(E3543=E3542:E$2)))))</f>
        <v> </v>
      </c>
      <c r="J3543" s="25" t="str">
        <f>IF(OR(E3543="",E3543="!!!",F3543="NEW"),"",COUNTBLANK(OFFSET(A$1,,,SUMPRODUCT(MAX(ROW(E$2:E3543)*(E3543=E$2:E3543)))))-COUNTBLANK(OFFSET(A$1,,,SUMPRODUCT(MAX(ROW(E$1:E3542)*(E2=E$1:E3542))))))</f>
        <v> </v>
      </c>
      <c r="K3543" s="25" t="str">
        <f>IF(OR(E3543="",E3543="!!!",F3543="NEW"),"",INDEX(J$1:J3542,SUMPRODUCT(MAX(ROW(E$1:E3542)*(E3543=E$1:E3542)))))</f>
        <v> </v>
      </c>
      <c r="L3543" s="26"/>
    </row>
    <row r="3544" spans="1:12">
      <c r="A3544" s="20" t="s">
        <v>1335</v>
      </c>
      <c r="B3544" s="27" t="s">
        <v>1033</v>
      </c>
      <c r="C3544" s="27" t="s">
        <v>1087</v>
      </c>
      <c r="E3544" s="21">
        <f>IF(D3544="?OLD","!!!","")</f>
        <v/>
      </c>
      <c r="F3544" s="22" t="str">
        <f>IF(OR(E3544="",E3544="!!!"),"",IF(NOT(ISNA(VLOOKUP(E3544,E$1:E3543,1,FALSE()))),"OLD",IF(AND(E3544&lt;&gt;"",E3544&lt;&gt;"!!!"),"NEW","")))</f>
        <v> </v>
      </c>
      <c r="G3544" s="23" t="str">
        <f>IF(OR(E3544="",E3544="!!!"),"",IF(OR(J3544=0,AND(J3544=1,K3544=1),AND(J3544=1,I3544="SBJ"),AND(J3544=1,I3544=0)),"?IN_FOCUS",IF(J3544&lt;=2,"?ACTIVATED",IF(J3544&lt;&gt;"","?FAMILIAR",IF(F3544="NEW",IF(ISNA(VLOOKUP(E3544,#REF!,1,FALSE())),"?TYPE_IDENTIFIABLE","?REFERENTIAL"),"_")))))</f>
        <v> </v>
      </c>
      <c r="H3544" s="24" t="str">
        <f>IF(J3544&lt;&gt;1,"",IF(I3544="SBJ","CB","?"))</f>
        <v> </v>
      </c>
      <c r="I3544" s="25" t="str">
        <f>IF(OR(E3544="",E3544="!!!",F3544="NEW"),"",INDEX(B3543:B$2,-1+SUMPRODUCT(MAX(ROW(E3543:E$2)*(E3544=E3543:E$2)))))</f>
        <v> </v>
      </c>
      <c r="J3544" s="25" t="str">
        <f>IF(OR(E3544="",E3544="!!!",F3544="NEW"),"",COUNTBLANK(OFFSET(A$1,,,SUMPRODUCT(MAX(ROW(E$2:E3544)*(E3544=E$2:E3544)))))-COUNTBLANK(OFFSET(A$1,,,SUMPRODUCT(MAX(ROW(E$1:E3543)*(E2=E$1:E3543))))))</f>
        <v> </v>
      </c>
      <c r="K3544" s="25" t="str">
        <f>IF(OR(E3544="",E3544="!!!",F3544="NEW"),"",INDEX(J$1:J3543,SUMPRODUCT(MAX(ROW(E$1:E3543)*(E3544=E$1:E3543)))))</f>
        <v> </v>
      </c>
      <c r="L3544" s="26"/>
    </row>
    <row r="3545" spans="1:12">
      <c r="A3545" s="20" t="s">
        <v>1126</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1079</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1019</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t="s">
        <v>818</v>
      </c>
      <c r="B3548" s="27" t="s">
        <v>1026</v>
      </c>
      <c r="C3548" s="27" t="s">
        <v>1021</v>
      </c>
      <c r="E3548" s="21">
        <f>IF(D3548="?OLD","!!!","")</f>
        <v/>
      </c>
      <c r="F3548" s="22" t="str">
        <f>IF(OR(E3548="",E3548="!!!"),"",IF(NOT(ISNA(VLOOKUP(E3548,E$1:E3547,1,FALSE()))),"OLD",IF(AND(E3548&lt;&gt;"",E3548&lt;&gt;"!!!"),"NEW","")))</f>
        <v> </v>
      </c>
      <c r="G3548" s="23" t="str">
        <f>IF(OR(E3548="",E3548="!!!"),"",IF(OR(J3548=0,AND(J3548=1,K3548=1),AND(J3548=1,I3548="SBJ"),AND(J3548=1,I3548=0)),"?IN_FOCUS",IF(J3548&lt;=2,"?ACTIVATED",IF(J3548&lt;&gt;"","?FAMILIAR",IF(F3548="NEW",IF(ISNA(VLOOKUP(E3548,#REF!,1,FALSE())),"?TYPE_IDENTIFIABLE","?REFERENTIAL"),"_")))))</f>
        <v> </v>
      </c>
      <c r="H3548" s="24" t="str">
        <f>IF(J3548&lt;&gt;1,"",IF(I3548="SBJ","CB","?"))</f>
        <v> </v>
      </c>
      <c r="I3548" s="25" t="str">
        <f>IF(OR(E3548="",E3548="!!!",F3548="NEW"),"",INDEX(B3547:B$2,-1+SUMPRODUCT(MAX(ROW(E3547:E$2)*(E3548=E3547:E$2)))))</f>
        <v> </v>
      </c>
      <c r="J3548" s="25" t="str">
        <f>IF(OR(E3548="",E3548="!!!",F3548="NEW"),"",COUNTBLANK(OFFSET(A$1,,,SUMPRODUCT(MAX(ROW(E$2:E3548)*(E3548=E$2:E3548)))))-COUNTBLANK(OFFSET(A$1,,,SUMPRODUCT(MAX(ROW(E$1:E3547)*(E2=E$1:E3547))))))</f>
        <v> </v>
      </c>
      <c r="K3548" s="25" t="str">
        <f>IF(OR(E3548="",E3548="!!!",F3548="NEW"),"",INDEX(J$1:J3547,SUMPRODUCT(MAX(ROW(E$1:E3547)*(E3548=E$1:E3547)))))</f>
        <v> </v>
      </c>
      <c r="L3548" s="26"/>
    </row>
    <row r="3549" spans="1:12">
      <c r="A3549" s="20" t="s">
        <v>1022</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row>
    <row r="3551" spans="1:12">
      <c r="A3551" s="20" t="s">
        <v>1959</v>
      </c>
    </row>
    <row r="3552" spans="1:12">
      <c r="A3552" s="20" t="s">
        <v>1115</v>
      </c>
      <c r="B3552" s="27" t="s">
        <v>1038</v>
      </c>
      <c r="C3552" s="27" t="s">
        <v>1013</v>
      </c>
      <c r="D3552" s="27" t="s">
        <v>1014</v>
      </c>
      <c r="E3552" s="21">
        <f>IF(D3552="?OLD","!!!","")</f>
        <v/>
      </c>
      <c r="F3552" s="22" t="str">
        <f>IF(OR(E3552="",E3552="!!!"),"",IF(NOT(ISNA(VLOOKUP(E3552,E$1:E3551,1,FALSE()))),"OLD",IF(AND(E3552&lt;&gt;"",E3552&lt;&gt;"!!!"),"NEW","")))</f>
        <v> </v>
      </c>
      <c r="G3552" s="23" t="str">
        <f>IF(OR(E3552="",E3552="!!!"),"",IF(OR(J3552=0,AND(J3552=1,K3552=1),AND(J3552=1,I3552="SBJ"),AND(J3552=1,I3552=0)),"?IN_FOCUS",IF(J3552&lt;=2,"?ACTIVATED",IF(J3552&lt;&gt;"","?FAMILIAR",IF(F3552="NEW",IF(ISNA(VLOOKUP(E3552,#REF!,1,FALSE())),"?TYPE_IDENTIFIABLE","?REFERENTIAL"),"_")))))</f>
        <v> </v>
      </c>
      <c r="H3552" s="24" t="str">
        <f>IF(J3552&lt;&gt;1,"",IF(I3552="SBJ","CB","?"))</f>
        <v> </v>
      </c>
      <c r="I3552" s="25" t="str">
        <f>IF(OR(E3552="",E3552="!!!",F3552="NEW"),"",INDEX(B3551:B$2,-1+SUMPRODUCT(MAX(ROW(E3551:E$2)*(E3552=E3551:E$2)))))</f>
        <v> </v>
      </c>
      <c r="J3552" s="25" t="str">
        <f>IF(OR(E3552="",E3552="!!!",F3552="NEW"),"",COUNTBLANK(OFFSET(A$1,,,SUMPRODUCT(MAX(ROW(E$2:E3552)*(E3552=E$2:E3552)))))-COUNTBLANK(OFFSET(A$1,,,SUMPRODUCT(MAX(ROW(E$1:E3551)*(E2=E$1:E3551))))))</f>
        <v> </v>
      </c>
      <c r="K3552" s="25" t="str">
        <f>IF(OR(E3552="",E3552="!!!",F3552="NEW"),"",INDEX(J$1:J3551,SUMPRODUCT(MAX(ROW(E$1:E3551)*(E3552=E$1:E3551)))))</f>
        <v> </v>
      </c>
      <c r="L3552" s="26"/>
    </row>
    <row r="3553" spans="1:12">
      <c r="A3553" s="20" t="s">
        <v>1011</v>
      </c>
      <c r="E3553" s="21">
        <f>IF(D3553="?OLD","!!!","")</f>
        <v/>
      </c>
      <c r="F3553" s="22" t="str">
        <f>IF(OR(E3553="",E3553="!!!"),"",IF(NOT(ISNA(VLOOKUP(E3553,E$1:E3552,1,FALSE()))),"OLD",IF(AND(E3553&lt;&gt;"",E3553&lt;&gt;"!!!"),"NEW","")))</f>
        <v> </v>
      </c>
      <c r="G3553" s="23" t="str">
        <f>IF(OR(E3553="",E3553="!!!"),"",IF(OR(J3553=0,AND(J3553=1,K3553=1),AND(J3553=1,I3553="SBJ"),AND(J3553=1,I3553=0)),"?IN_FOCUS",IF(J3553&lt;=2,"?ACTIVATED",IF(J3553&lt;&gt;"","?FAMILIAR",IF(F3553="NEW",IF(ISNA(VLOOKUP(E3553,#REF!,1,FALSE())),"?TYPE_IDENTIFIABLE","?REFERENTIAL"),"_")))))</f>
        <v> </v>
      </c>
      <c r="H3553" s="24" t="str">
        <f>IF(J3553&lt;&gt;1,"",IF(I3553="SBJ","CB","?"))</f>
        <v> </v>
      </c>
      <c r="I3553" s="25" t="str">
        <f>IF(OR(E3553="",E3553="!!!",F3553="NEW"),"",INDEX(B3552:B$2,-1+SUMPRODUCT(MAX(ROW(E3552:E$2)*(E3553=E3552:E$2)))))</f>
        <v> </v>
      </c>
      <c r="J3553" s="25" t="str">
        <f>IF(OR(E3553="",E3553="!!!",F3553="NEW"),"",COUNTBLANK(OFFSET(A$1,,,SUMPRODUCT(MAX(ROW(E$2:E3553)*(E3553=E$2:E3553)))))-COUNTBLANK(OFFSET(A$1,,,SUMPRODUCT(MAX(ROW(E$1:E3552)*(E2=E$1:E3552))))))</f>
        <v> </v>
      </c>
      <c r="K3553" s="25" t="str">
        <f>IF(OR(E3553="",E3553="!!!",F3553="NEW"),"",INDEX(J$1:J3552,SUMPRODUCT(MAX(ROW(E$1:E3552)*(E3553=E$1:E3552)))))</f>
        <v> </v>
      </c>
      <c r="L3553" s="26"/>
    </row>
    <row r="3554" spans="1:12">
      <c r="A3554" s="20" t="s">
        <v>544</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t="s">
        <v>1019</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1588</v>
      </c>
      <c r="B3556" s="27" t="s">
        <v>1026</v>
      </c>
      <c r="C3556" s="27" t="s">
        <v>1021</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1022</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row>
    <row r="3559" spans="1:12">
      <c r="A3559" s="20" t="s">
        <v>1960</v>
      </c>
    </row>
    <row r="3560" spans="1:12">
      <c r="A3560" s="20" t="s">
        <v>1115</v>
      </c>
      <c r="B3560" s="27" t="s">
        <v>1038</v>
      </c>
      <c r="C3560" s="27" t="s">
        <v>1013</v>
      </c>
      <c r="D3560" s="27" t="s">
        <v>1014</v>
      </c>
      <c r="E3560" s="21">
        <f>IF(D3560="?OLD","!!!","")</f>
        <v/>
      </c>
      <c r="F3560" s="22" t="str">
        <f>IF(OR(E3560="",E3560="!!!"),"",IF(NOT(ISNA(VLOOKUP(E3560,E$1:E3559,1,FALSE()))),"OLD",IF(AND(E3560&lt;&gt;"",E3560&lt;&gt;"!!!"),"NEW","")))</f>
        <v> </v>
      </c>
      <c r="G3560" s="23" t="str">
        <f>IF(OR(E3560="",E3560="!!!"),"",IF(OR(J3560=0,AND(J3560=1,K3560=1),AND(J3560=1,I3560="SBJ"),AND(J3560=1,I3560=0)),"?IN_FOCUS",IF(J3560&lt;=2,"?ACTIVATED",IF(J3560&lt;&gt;"","?FAMILIAR",IF(F3560="NEW",IF(ISNA(VLOOKUP(E3560,#REF!,1,FALSE())),"?TYPE_IDENTIFIABLE","?REFERENTIAL"),"_")))))</f>
        <v> </v>
      </c>
      <c r="H3560" s="24" t="str">
        <f>IF(J3560&lt;&gt;1,"",IF(I3560="SBJ","CB","?"))</f>
        <v> </v>
      </c>
      <c r="I3560" s="25" t="str">
        <f>IF(OR(E3560="",E3560="!!!",F3560="NEW"),"",INDEX(B3559:B$2,-1+SUMPRODUCT(MAX(ROW(E3559:E$2)*(E3560=E3559:E$2)))))</f>
        <v> </v>
      </c>
      <c r="J3560" s="25" t="str">
        <f>IF(OR(E3560="",E3560="!!!",F3560="NEW"),"",COUNTBLANK(OFFSET(A$1,,,SUMPRODUCT(MAX(ROW(E$2:E3560)*(E3560=E$2:E3560)))))-COUNTBLANK(OFFSET(A$1,,,SUMPRODUCT(MAX(ROW(E$1:E3559)*(E2=E$1:E3559))))))</f>
        <v> </v>
      </c>
      <c r="K3560" s="25" t="str">
        <f>IF(OR(E3560="",E3560="!!!",F3560="NEW"),"",INDEX(J$1:J3559,SUMPRODUCT(MAX(ROW(E$1:E3559)*(E3560=E$1:E3559)))))</f>
        <v> </v>
      </c>
      <c r="L3560" s="26"/>
    </row>
    <row r="3561" spans="1:12">
      <c r="A3561" s="20" t="s">
        <v>1011</v>
      </c>
      <c r="E3561" s="21">
        <f>IF(D3561="?OLD","!!!","")</f>
        <v/>
      </c>
      <c r="F3561" s="22" t="str">
        <f>IF(OR(E3561="",E3561="!!!"),"",IF(NOT(ISNA(VLOOKUP(E3561,E$1:E3560,1,FALSE()))),"OLD",IF(AND(E3561&lt;&gt;"",E3561&lt;&gt;"!!!"),"NEW","")))</f>
        <v> </v>
      </c>
      <c r="G3561" s="23" t="str">
        <f>IF(OR(E3561="",E3561="!!!"),"",IF(OR(J3561=0,AND(J3561=1,K3561=1),AND(J3561=1,I3561="SBJ"),AND(J3561=1,I3561=0)),"?IN_FOCUS",IF(J3561&lt;=2,"?ACTIVATED",IF(J3561&lt;&gt;"","?FAMILIAR",IF(F3561="NEW",IF(ISNA(VLOOKUP(E3561,#REF!,1,FALSE())),"?TYPE_IDENTIFIABLE","?REFERENTIAL"),"_")))))</f>
        <v> </v>
      </c>
      <c r="H3561" s="24" t="str">
        <f>IF(J3561&lt;&gt;1,"",IF(I3561="SBJ","CB","?"))</f>
        <v> </v>
      </c>
      <c r="I3561" s="25" t="str">
        <f>IF(OR(E3561="",E3561="!!!",F3561="NEW"),"",INDEX(B3560:B$2,-1+SUMPRODUCT(MAX(ROW(E3560:E$2)*(E3561=E3560:E$2)))))</f>
        <v> </v>
      </c>
      <c r="J3561" s="25" t="str">
        <f>IF(OR(E3561="",E3561="!!!",F3561="NEW"),"",COUNTBLANK(OFFSET(A$1,,,SUMPRODUCT(MAX(ROW(E$2:E3561)*(E3561=E$2:E3561)))))-COUNTBLANK(OFFSET(A$1,,,SUMPRODUCT(MAX(ROW(E$1:E3560)*(E2=E$1:E3560))))))</f>
        <v> </v>
      </c>
      <c r="K3561" s="25" t="str">
        <f>IF(OR(E3561="",E3561="!!!",F3561="NEW"),"",INDEX(J$1:J3560,SUMPRODUCT(MAX(ROW(E$1:E3560)*(E3561=E$1:E3560)))))</f>
        <v> </v>
      </c>
      <c r="L3561" s="26"/>
    </row>
    <row r="3562" spans="1:12">
      <c r="A3562" s="20" t="s">
        <v>544</v>
      </c>
      <c r="E3562" s="21">
        <f>IF(D3562="?OLD","!!!","")</f>
        <v/>
      </c>
      <c r="F3562" s="22" t="str">
        <f>IF(OR(E3562="",E3562="!!!"),"",IF(NOT(ISNA(VLOOKUP(E3562,E$1:E3561,1,FALSE()))),"OLD",IF(AND(E3562&lt;&gt;"",E3562&lt;&gt;"!!!"),"NEW","")))</f>
        <v> </v>
      </c>
      <c r="G3562" s="23" t="str">
        <f>IF(OR(E3562="",E3562="!!!"),"",IF(OR(J3562=0,AND(J3562=1,K3562=1),AND(J3562=1,I3562="SBJ"),AND(J3562=1,I3562=0)),"?IN_FOCUS",IF(J3562&lt;=2,"?ACTIVATED",IF(J3562&lt;&gt;"","?FAMILIAR",IF(F3562="NEW",IF(ISNA(VLOOKUP(E3562,#REF!,1,FALSE())),"?TYPE_IDENTIFIABLE","?REFERENTIAL"),"_")))))</f>
        <v> </v>
      </c>
      <c r="H3562" s="24" t="str">
        <f>IF(J3562&lt;&gt;1,"",IF(I3562="SBJ","CB","?"))</f>
        <v> </v>
      </c>
      <c r="I3562" s="25" t="str">
        <f>IF(OR(E3562="",E3562="!!!",F3562="NEW"),"",INDEX(B3561:B$2,-1+SUMPRODUCT(MAX(ROW(E3561:E$2)*(E3562=E3561:E$2)))))</f>
        <v> </v>
      </c>
      <c r="J3562" s="25" t="str">
        <f>IF(OR(E3562="",E3562="!!!",F3562="NEW"),"",COUNTBLANK(OFFSET(A$1,,,SUMPRODUCT(MAX(ROW(E$2:E3562)*(E3562=E$2:E3562)))))-COUNTBLANK(OFFSET(A$1,,,SUMPRODUCT(MAX(ROW(E$1:E3561)*(E2=E$1:E3561))))))</f>
        <v> </v>
      </c>
      <c r="K3562" s="25" t="str">
        <f>IF(OR(E3562="",E3562="!!!",F3562="NEW"),"",INDEX(J$1:J3561,SUMPRODUCT(MAX(ROW(E$1:E3561)*(E3562=E$1:E3561)))))</f>
        <v> </v>
      </c>
      <c r="L3562" s="26"/>
    </row>
    <row r="3563" spans="1:12">
      <c r="A3563" s="20" t="s">
        <v>1171</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1195</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1961</v>
      </c>
      <c r="B3565" s="27" t="s">
        <v>1026</v>
      </c>
      <c r="C3565" s="27" t="s">
        <v>1021</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t="s">
        <v>1053</v>
      </c>
      <c r="E3566" s="21">
        <f>IF(D3566="?OLD","!!!","")</f>
        <v/>
      </c>
      <c r="F3566" s="22" t="str">
        <f>IF(OR(E3566="",E3566="!!!"),"",IF(NOT(ISNA(VLOOKUP(E3566,E$1:E3565,1,FALSE()))),"OLD",IF(AND(E3566&lt;&gt;"",E3566&lt;&gt;"!!!"),"NEW","")))</f>
        <v> </v>
      </c>
      <c r="G3566" s="23" t="str">
        <f>IF(OR(E3566="",E3566="!!!"),"",IF(OR(J3566=0,AND(J3566=1,K3566=1),AND(J3566=1,I3566="SBJ"),AND(J3566=1,I3566=0)),"?IN_FOCUS",IF(J3566&lt;=2,"?ACTIVATED",IF(J3566&lt;&gt;"","?FAMILIAR",IF(F3566="NEW",IF(ISNA(VLOOKUP(E3566,#REF!,1,FALSE())),"?TYPE_IDENTIFIABLE","?REFERENTIAL"),"_")))))</f>
        <v> </v>
      </c>
      <c r="H3566" s="24" t="str">
        <f>IF(J3566&lt;&gt;1,"",IF(I3566="SBJ","CB","?"))</f>
        <v> </v>
      </c>
      <c r="I3566" s="25" t="str">
        <f>IF(OR(E3566="",E3566="!!!",F3566="NEW"),"",INDEX(B3565:B$2,-1+SUMPRODUCT(MAX(ROW(E3565:E$2)*(E3566=E3565:E$2)))))</f>
        <v> </v>
      </c>
      <c r="J3566" s="25" t="str">
        <f>IF(OR(E3566="",E3566="!!!",F3566="NEW"),"",COUNTBLANK(OFFSET(A$1,,,SUMPRODUCT(MAX(ROW(E$2:E3566)*(E3566=E$2:E3566)))))-COUNTBLANK(OFFSET(A$1,,,SUMPRODUCT(MAX(ROW(E$1:E3565)*(E2=E$1:E3565))))))</f>
        <v> </v>
      </c>
      <c r="K3566" s="25" t="str">
        <f>IF(OR(E3566="",E3566="!!!",F3566="NEW"),"",INDEX(J$1:J3565,SUMPRODUCT(MAX(ROW(E$1:E3565)*(E3566=E$1:E3565)))))</f>
        <v> </v>
      </c>
      <c r="L3566" s="26"/>
    </row>
    <row r="3567" spans="1:12">
      <c r="A3567" s="20" t="s">
        <v>1032</v>
      </c>
      <c r="B3567" s="27" t="s">
        <v>1033</v>
      </c>
      <c r="C3567" s="27" t="s">
        <v>1013</v>
      </c>
      <c r="D3567" s="27" t="s">
        <v>1014</v>
      </c>
      <c r="E3567" s="21">
        <f>IF(D3567="?OLD","!!!","")</f>
        <v/>
      </c>
      <c r="F3567" s="22" t="str">
        <f>IF(OR(E3567="",E3567="!!!"),"",IF(NOT(ISNA(VLOOKUP(E3567,E$1:E3566,1,FALSE()))),"OLD",IF(AND(E3567&lt;&gt;"",E3567&lt;&gt;"!!!"),"NEW","")))</f>
        <v> </v>
      </c>
      <c r="G3567" s="23" t="str">
        <f>IF(OR(E3567="",E3567="!!!"),"",IF(OR(J3567=0,AND(J3567=1,K3567=1),AND(J3567=1,I3567="SBJ"),AND(J3567=1,I3567=0)),"?IN_FOCUS",IF(J3567&lt;=2,"?ACTIVATED",IF(J3567&lt;&gt;"","?FAMILIAR",IF(F3567="NEW",IF(ISNA(VLOOKUP(E3567,#REF!,1,FALSE())),"?TYPE_IDENTIFIABLE","?REFERENTIAL"),"_")))))</f>
        <v> </v>
      </c>
      <c r="H3567" s="24" t="str">
        <f>IF(J3567&lt;&gt;1,"",IF(I3567="SBJ","CB","?"))</f>
        <v> </v>
      </c>
      <c r="I3567" s="25" t="str">
        <f>IF(OR(E3567="",E3567="!!!",F3567="NEW"),"",INDEX(B3566:B$2,-1+SUMPRODUCT(MAX(ROW(E3566:E$2)*(E3567=E3566:E$2)))))</f>
        <v> </v>
      </c>
      <c r="J3567" s="25" t="str">
        <f>IF(OR(E3567="",E3567="!!!",F3567="NEW"),"",COUNTBLANK(OFFSET(A$1,,,SUMPRODUCT(MAX(ROW(E$2:E3567)*(E3567=E$2:E3567)))))-COUNTBLANK(OFFSET(A$1,,,SUMPRODUCT(MAX(ROW(E$1:E3566)*(E2=E$1:E3566))))))</f>
        <v> </v>
      </c>
      <c r="K3567" s="25" t="str">
        <f>IF(OR(E3567="",E3567="!!!",F3567="NEW"),"",INDEX(J$1:J3566,SUMPRODUCT(MAX(ROW(E$1:E3566)*(E3567=E$1:E3566)))))</f>
        <v> </v>
      </c>
      <c r="L3567" s="26"/>
    </row>
    <row r="3568" spans="1:12">
      <c r="A3568" s="20" t="s">
        <v>1011</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1019</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1962</v>
      </c>
      <c r="B3570" s="27" t="s">
        <v>1026</v>
      </c>
      <c r="C3570" s="27" t="s">
        <v>1021</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1022</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row>
    <row r="3573" spans="1:12">
      <c r="A3573" s="20" t="s">
        <v>1963</v>
      </c>
    </row>
    <row r="3574" spans="1:12">
      <c r="A3574" s="20" t="s">
        <v>1115</v>
      </c>
      <c r="B3574" s="27" t="s">
        <v>1038</v>
      </c>
      <c r="C3574" s="27" t="s">
        <v>1013</v>
      </c>
      <c r="D3574" s="27" t="s">
        <v>1014</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t="s">
        <v>1011</v>
      </c>
      <c r="E3575" s="21">
        <f>IF(D3575="?OLD","!!!","")</f>
        <v/>
      </c>
      <c r="F3575" s="22" t="str">
        <f>IF(OR(E3575="",E3575="!!!"),"",IF(NOT(ISNA(VLOOKUP(E3575,E$1:E3574,1,FALSE()))),"OLD",IF(AND(E3575&lt;&gt;"",E3575&lt;&gt;"!!!"),"NEW","")))</f>
        <v> </v>
      </c>
      <c r="G3575" s="23" t="str">
        <f>IF(OR(E3575="",E3575="!!!"),"",IF(OR(J3575=0,AND(J3575=1,K3575=1),AND(J3575=1,I3575="SBJ"),AND(J3575=1,I3575=0)),"?IN_FOCUS",IF(J3575&lt;=2,"?ACTIVATED",IF(J3575&lt;&gt;"","?FAMILIAR",IF(F3575="NEW",IF(ISNA(VLOOKUP(E3575,#REF!,1,FALSE())),"?TYPE_IDENTIFIABLE","?REFERENTIAL"),"_")))))</f>
        <v> </v>
      </c>
      <c r="H3575" s="24" t="str">
        <f>IF(J3575&lt;&gt;1,"",IF(I3575="SBJ","CB","?"))</f>
        <v> </v>
      </c>
      <c r="I3575" s="25" t="str">
        <f>IF(OR(E3575="",E3575="!!!",F3575="NEW"),"",INDEX(B3574:B$2,-1+SUMPRODUCT(MAX(ROW(E3574:E$2)*(E3575=E3574:E$2)))))</f>
        <v> </v>
      </c>
      <c r="J3575" s="25" t="str">
        <f>IF(OR(E3575="",E3575="!!!",F3575="NEW"),"",COUNTBLANK(OFFSET(A$1,,,SUMPRODUCT(MAX(ROW(E$2:E3575)*(E3575=E$2:E3575)))))-COUNTBLANK(OFFSET(A$1,,,SUMPRODUCT(MAX(ROW(E$1:E3574)*(E2=E$1:E3574))))))</f>
        <v> </v>
      </c>
      <c r="K3575" s="25" t="str">
        <f>IF(OR(E3575="",E3575="!!!",F3575="NEW"),"",INDEX(J$1:J3574,SUMPRODUCT(MAX(ROW(E$1:E3574)*(E3575=E$1:E3574)))))</f>
        <v> </v>
      </c>
      <c r="L3575" s="26"/>
    </row>
    <row r="3576" spans="1:12">
      <c r="A3576" s="20" t="s">
        <v>1019</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t="s">
        <v>1962</v>
      </c>
      <c r="B3577" s="27" t="s">
        <v>1026</v>
      </c>
      <c r="C3577" s="27" t="s">
        <v>1021</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1027</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t="s">
        <v>1031</v>
      </c>
      <c r="E3579" s="21">
        <f>IF(D3579="?OLD","!!!","")</f>
        <v/>
      </c>
      <c r="F3579" s="22" t="str">
        <f>IF(OR(E3579="",E3579="!!!"),"",IF(NOT(ISNA(VLOOKUP(E3579,E$1:E3578,1,FALSE()))),"OLD",IF(AND(E3579&lt;&gt;"",E3579&lt;&gt;"!!!"),"NEW","")))</f>
        <v> </v>
      </c>
      <c r="G3579" s="23" t="str">
        <f>IF(OR(E3579="",E3579="!!!"),"",IF(OR(J3579=0,AND(J3579=1,K3579=1),AND(J3579=1,I3579="SBJ"),AND(J3579=1,I3579=0)),"?IN_FOCUS",IF(J3579&lt;=2,"?ACTIVATED",IF(J3579&lt;&gt;"","?FAMILIAR",IF(F3579="NEW",IF(ISNA(VLOOKUP(E3579,#REF!,1,FALSE())),"?TYPE_IDENTIFIABLE","?REFERENTIAL"),"_")))))</f>
        <v> </v>
      </c>
      <c r="H3579" s="24" t="str">
        <f>IF(J3579&lt;&gt;1,"",IF(I3579="SBJ","CB","?"))</f>
        <v> </v>
      </c>
      <c r="I3579" s="25" t="str">
        <f>IF(OR(E3579="",E3579="!!!",F3579="NEW"),"",INDEX(B3578:B$2,-1+SUMPRODUCT(MAX(ROW(E3578:E$2)*(E3579=E3578:E$2)))))</f>
        <v> </v>
      </c>
      <c r="J3579" s="25" t="str">
        <f>IF(OR(E3579="",E3579="!!!",F3579="NEW"),"",COUNTBLANK(OFFSET(A$1,,,SUMPRODUCT(MAX(ROW(E$2:E3579)*(E3579=E$2:E3579)))))-COUNTBLANK(OFFSET(A$1,,,SUMPRODUCT(MAX(ROW(E$1:E3578)*(E2=E$1:E3578))))))</f>
        <v> </v>
      </c>
      <c r="K3579" s="25" t="str">
        <f>IF(OR(E3579="",E3579="!!!",F3579="NEW"),"",INDEX(J$1:J3578,SUMPRODUCT(MAX(ROW(E$1:E3578)*(E3579=E$1:E3578)))))</f>
        <v> </v>
      </c>
      <c r="L3579" s="26"/>
    </row>
    <row r="3580" spans="1:12">
      <c r="A3580" s="20" t="s">
        <v>1475</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1032</v>
      </c>
      <c r="B3581" s="27" t="s">
        <v>1033</v>
      </c>
      <c r="C3581" s="27" t="s">
        <v>1013</v>
      </c>
      <c r="D3581" s="27" t="s">
        <v>1014</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1258</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1031</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1475</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1032</v>
      </c>
      <c r="B3585" s="27" t="s">
        <v>1018</v>
      </c>
      <c r="C3585" s="27" t="s">
        <v>1013</v>
      </c>
      <c r="D3585" s="27" t="s">
        <v>1014</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1236</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t="s">
        <v>1079</v>
      </c>
      <c r="E3587" s="21">
        <f>IF(D3587="?OLD","!!!","")</f>
        <v/>
      </c>
      <c r="F3587" s="22" t="str">
        <f>IF(OR(E3587="",E3587="!!!"),"",IF(NOT(ISNA(VLOOKUP(E3587,E$1:E3586,1,FALSE()))),"OLD",IF(AND(E3587&lt;&gt;"",E3587&lt;&gt;"!!!"),"NEW","")))</f>
        <v> </v>
      </c>
      <c r="G3587" s="23" t="str">
        <f>IF(OR(E3587="",E3587="!!!"),"",IF(OR(J3587=0,AND(J3587=1,K3587=1),AND(J3587=1,I3587="SBJ"),AND(J3587=1,I3587=0)),"?IN_FOCUS",IF(J3587&lt;=2,"?ACTIVATED",IF(J3587&lt;&gt;"","?FAMILIAR",IF(F3587="NEW",IF(ISNA(VLOOKUP(E3587,#REF!,1,FALSE())),"?TYPE_IDENTIFIABLE","?REFERENTIAL"),"_")))))</f>
        <v> </v>
      </c>
      <c r="H3587" s="24" t="str">
        <f>IF(J3587&lt;&gt;1,"",IF(I3587="SBJ","CB","?"))</f>
        <v> </v>
      </c>
      <c r="I3587" s="25" t="str">
        <f>IF(OR(E3587="",E3587="!!!",F3587="NEW"),"",INDEX(B3586:B$2,-1+SUMPRODUCT(MAX(ROW(E3586:E$2)*(E3587=E3586:E$2)))))</f>
        <v> </v>
      </c>
      <c r="J3587" s="25" t="str">
        <f>IF(OR(E3587="",E3587="!!!",F3587="NEW"),"",COUNTBLANK(OFFSET(A$1,,,SUMPRODUCT(MAX(ROW(E$2:E3587)*(E3587=E$2:E3587)))))-COUNTBLANK(OFFSET(A$1,,,SUMPRODUCT(MAX(ROW(E$1:E3586)*(E2=E$1:E3586))))))</f>
        <v> </v>
      </c>
      <c r="K3587" s="25" t="str">
        <f>IF(OR(E3587="",E3587="!!!",F3587="NEW"),"",INDEX(J$1:J3586,SUMPRODUCT(MAX(ROW(E$1:E3586)*(E3587=E$1:E3586)))))</f>
        <v> </v>
      </c>
      <c r="L3587" s="26"/>
    </row>
    <row r="3588" spans="1:12">
      <c r="A3588" s="20" t="s">
        <v>1027</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t="s">
        <v>1589</v>
      </c>
      <c r="E3589" s="21">
        <f>IF(D3589="?OLD","!!!","")</f>
        <v/>
      </c>
      <c r="F3589" s="22" t="str">
        <f>IF(OR(E3589="",E3589="!!!"),"",IF(NOT(ISNA(VLOOKUP(E3589,E$1:E3588,1,FALSE()))),"OLD",IF(AND(E3589&lt;&gt;"",E3589&lt;&gt;"!!!"),"NEW","")))</f>
        <v> </v>
      </c>
      <c r="G3589" s="23" t="str">
        <f>IF(OR(E3589="",E3589="!!!"),"",IF(OR(J3589=0,AND(J3589=1,K3589=1),AND(J3589=1,I3589="SBJ"),AND(J3589=1,I3589=0)),"?IN_FOCUS",IF(J3589&lt;=2,"?ACTIVATED",IF(J3589&lt;&gt;"","?FAMILIAR",IF(F3589="NEW",IF(ISNA(VLOOKUP(E3589,#REF!,1,FALSE())),"?TYPE_IDENTIFIABLE","?REFERENTIAL"),"_")))))</f>
        <v> </v>
      </c>
      <c r="H3589" s="24" t="str">
        <f>IF(J3589&lt;&gt;1,"",IF(I3589="SBJ","CB","?"))</f>
        <v> </v>
      </c>
      <c r="I3589" s="25" t="str">
        <f>IF(OR(E3589="",E3589="!!!",F3589="NEW"),"",INDEX(B3588:B$2,-1+SUMPRODUCT(MAX(ROW(E3588:E$2)*(E3589=E3588:E$2)))))</f>
        <v> </v>
      </c>
      <c r="J3589" s="25" t="str">
        <f>IF(OR(E3589="",E3589="!!!",F3589="NEW"),"",COUNTBLANK(OFFSET(A$1,,,SUMPRODUCT(MAX(ROW(E$2:E3589)*(E3589=E$2:E3589)))))-COUNTBLANK(OFFSET(A$1,,,SUMPRODUCT(MAX(ROW(E$1:E3588)*(E2=E$1:E3588))))))</f>
        <v> </v>
      </c>
      <c r="K3589" s="25" t="str">
        <f>IF(OR(E3589="",E3589="!!!",F3589="NEW"),"",INDEX(J$1:J3588,SUMPRODUCT(MAX(ROW(E$1:E3588)*(E3589=E$1:E3588)))))</f>
        <v> </v>
      </c>
      <c r="L3589" s="26"/>
    </row>
    <row r="3590" spans="1:12">
      <c r="A3590" s="20" t="s">
        <v>1122</v>
      </c>
      <c r="E3590" s="21">
        <f>IF(D3590="?OLD","!!!","")</f>
        <v/>
      </c>
      <c r="F3590" s="22" t="str">
        <f>IF(OR(E3590="",E3590="!!!"),"",IF(NOT(ISNA(VLOOKUP(E3590,E$1:E3589,1,FALSE()))),"OLD",IF(AND(E3590&lt;&gt;"",E3590&lt;&gt;"!!!"),"NEW","")))</f>
        <v> </v>
      </c>
      <c r="G3590" s="23" t="str">
        <f>IF(OR(E3590="",E3590="!!!"),"",IF(OR(J3590=0,AND(J3590=1,K3590=1),AND(J3590=1,I3590="SBJ"),AND(J3590=1,I3590=0)),"?IN_FOCUS",IF(J3590&lt;=2,"?ACTIVATED",IF(J3590&lt;&gt;"","?FAMILIAR",IF(F3590="NEW",IF(ISNA(VLOOKUP(E3590,#REF!,1,FALSE())),"?TYPE_IDENTIFIABLE","?REFERENTIAL"),"_")))))</f>
        <v> </v>
      </c>
      <c r="H3590" s="24" t="str">
        <f>IF(J3590&lt;&gt;1,"",IF(I3590="SBJ","CB","?"))</f>
        <v> </v>
      </c>
      <c r="I3590" s="25" t="str">
        <f>IF(OR(E3590="",E3590="!!!",F3590="NEW"),"",INDEX(B3589:B$2,-1+SUMPRODUCT(MAX(ROW(E3589:E$2)*(E3590=E3589:E$2)))))</f>
        <v> </v>
      </c>
      <c r="J3590" s="25" t="str">
        <f>IF(OR(E3590="",E3590="!!!",F3590="NEW"),"",COUNTBLANK(OFFSET(A$1,,,SUMPRODUCT(MAX(ROW(E$2:E3590)*(E3590=E$2:E3590)))))-COUNTBLANK(OFFSET(A$1,,,SUMPRODUCT(MAX(ROW(E$1:E3589)*(E2=E$1:E3589))))))</f>
        <v> </v>
      </c>
      <c r="K3590" s="25" t="str">
        <f>IF(OR(E3590="",E3590="!!!",F3590="NEW"),"",INDEX(J$1:J3589,SUMPRODUCT(MAX(ROW(E$1:E3589)*(E3590=E$1:E3589)))))</f>
        <v> </v>
      </c>
      <c r="L3590" s="26"/>
    </row>
    <row r="3591" spans="1:12">
      <c r="A3591" s="20" t="s">
        <v>1961</v>
      </c>
      <c r="B3591" s="27" t="s">
        <v>1033</v>
      </c>
      <c r="C3591" s="27" t="s">
        <v>1123</v>
      </c>
      <c r="D3591" s="27" t="s">
        <v>1014</v>
      </c>
      <c r="E3591" s="21">
        <f>IF(D3591="?OLD","!!!","")</f>
        <v/>
      </c>
      <c r="F3591" s="22" t="str">
        <f>IF(OR(E3591="",E3591="!!!"),"",IF(NOT(ISNA(VLOOKUP(E3591,E$1:E3590,1,FALSE()))),"OLD",IF(AND(E3591&lt;&gt;"",E3591&lt;&gt;"!!!"),"NEW","")))</f>
        <v> </v>
      </c>
      <c r="G3591" s="23" t="str">
        <f>IF(OR(E3591="",E3591="!!!"),"",IF(OR(J3591=0,AND(J3591=1,K3591=1),AND(J3591=1,I3591="SBJ"),AND(J3591=1,I3591=0)),"?IN_FOCUS",IF(J3591&lt;=2,"?ACTIVATED",IF(J3591&lt;&gt;"","?FAMILIAR",IF(F3591="NEW",IF(ISNA(VLOOKUP(E3591,#REF!,1,FALSE())),"?TYPE_IDENTIFIABLE","?REFERENTIAL"),"_")))))</f>
        <v> </v>
      </c>
      <c r="H3591" s="24" t="str">
        <f>IF(J3591&lt;&gt;1,"",IF(I3591="SBJ","CB","?"))</f>
        <v> </v>
      </c>
      <c r="I3591" s="25" t="str">
        <f>IF(OR(E3591="",E3591="!!!",F3591="NEW"),"",INDEX(B3590:B$2,-1+SUMPRODUCT(MAX(ROW(E3590:E$2)*(E3591=E3590:E$2)))))</f>
        <v> </v>
      </c>
      <c r="J3591" s="25" t="str">
        <f>IF(OR(E3591="",E3591="!!!",F3591="NEW"),"",COUNTBLANK(OFFSET(A$1,,,SUMPRODUCT(MAX(ROW(E$2:E3591)*(E3591=E$2:E3591)))))-COUNTBLANK(OFFSET(A$1,,,SUMPRODUCT(MAX(ROW(E$1:E3590)*(E2=E$1:E3590))))))</f>
        <v> </v>
      </c>
      <c r="K3591" s="25" t="str">
        <f>IF(OR(E3591="",E3591="!!!",F3591="NEW"),"",INDEX(J$1:J3590,SUMPRODUCT(MAX(ROW(E$1:E3590)*(E3591=E$1:E3590)))))</f>
        <v> </v>
      </c>
      <c r="L3591" s="26"/>
    </row>
    <row r="3592" spans="1:12">
      <c r="A3592" s="20" t="s">
        <v>1098</v>
      </c>
      <c r="E3592" s="21">
        <f>IF(D3592="?OLD","!!!","")</f>
        <v/>
      </c>
      <c r="F3592" s="22" t="str">
        <f>IF(OR(E3592="",E3592="!!!"),"",IF(NOT(ISNA(VLOOKUP(E3592,E$1:E3591,1,FALSE()))),"OLD",IF(AND(E3592&lt;&gt;"",E3592&lt;&gt;"!!!"),"NEW","")))</f>
        <v> </v>
      </c>
      <c r="G3592" s="23" t="str">
        <f>IF(OR(E3592="",E3592="!!!"),"",IF(OR(J3592=0,AND(J3592=1,K3592=1),AND(J3592=1,I3592="SBJ"),AND(J3592=1,I3592=0)),"?IN_FOCUS",IF(J3592&lt;=2,"?ACTIVATED",IF(J3592&lt;&gt;"","?FAMILIAR",IF(F3592="NEW",IF(ISNA(VLOOKUP(E3592,#REF!,1,FALSE())),"?TYPE_IDENTIFIABLE","?REFERENTIAL"),"_")))))</f>
        <v> </v>
      </c>
      <c r="H3592" s="24" t="str">
        <f>IF(J3592&lt;&gt;1,"",IF(I3592="SBJ","CB","?"))</f>
        <v> </v>
      </c>
      <c r="I3592" s="25" t="str">
        <f>IF(OR(E3592="",E3592="!!!",F3592="NEW"),"",INDEX(B3591:B$2,-1+SUMPRODUCT(MAX(ROW(E3591:E$2)*(E3592=E3591:E$2)))))</f>
        <v> </v>
      </c>
      <c r="J3592" s="25" t="str">
        <f>IF(OR(E3592="",E3592="!!!",F3592="NEW"),"",COUNTBLANK(OFFSET(A$1,,,SUMPRODUCT(MAX(ROW(E$2:E3592)*(E3592=E$2:E3592)))))-COUNTBLANK(OFFSET(A$1,,,SUMPRODUCT(MAX(ROW(E$1:E3591)*(E2=E$1:E3591))))))</f>
        <v> </v>
      </c>
      <c r="K3592" s="25" t="str">
        <f>IF(OR(E3592="",E3592="!!!",F3592="NEW"),"",INDEX(J$1:J3591,SUMPRODUCT(MAX(ROW(E$1:E3591)*(E3592=E$1:E3591)))))</f>
        <v> </v>
      </c>
      <c r="L3592" s="26"/>
    </row>
    <row r="3593" spans="1:12">
      <c r="A3593" s="20" t="s">
        <v>1017</v>
      </c>
      <c r="B3593" s="27" t="s">
        <v>1308</v>
      </c>
      <c r="C3593" s="27" t="s">
        <v>1013</v>
      </c>
      <c r="D3593" s="27" t="s">
        <v>1014</v>
      </c>
      <c r="E3593" s="21">
        <f>IF(D3593="?OLD","!!!","")</f>
        <v/>
      </c>
      <c r="F3593" s="22" t="str">
        <f>IF(OR(E3593="",E3593="!!!"),"",IF(NOT(ISNA(VLOOKUP(E3593,E$1:E3592,1,FALSE()))),"OLD",IF(AND(E3593&lt;&gt;"",E3593&lt;&gt;"!!!"),"NEW","")))</f>
        <v> </v>
      </c>
      <c r="G3593" s="23" t="str">
        <f>IF(OR(E3593="",E3593="!!!"),"",IF(OR(J3593=0,AND(J3593=1,K3593=1),AND(J3593=1,I3593="SBJ"),AND(J3593=1,I3593=0)),"?IN_FOCUS",IF(J3593&lt;=2,"?ACTIVATED",IF(J3593&lt;&gt;"","?FAMILIAR",IF(F3593="NEW",IF(ISNA(VLOOKUP(E3593,#REF!,1,FALSE())),"?TYPE_IDENTIFIABLE","?REFERENTIAL"),"_")))))</f>
        <v> </v>
      </c>
      <c r="H3593" s="24" t="str">
        <f>IF(J3593&lt;&gt;1,"",IF(I3593="SBJ","CB","?"))</f>
        <v> </v>
      </c>
      <c r="I3593" s="25" t="str">
        <f>IF(OR(E3593="",E3593="!!!",F3593="NEW"),"",INDEX(B3592:B$2,-1+SUMPRODUCT(MAX(ROW(E3592:E$2)*(E3593=E3592:E$2)))))</f>
        <v> </v>
      </c>
      <c r="J3593" s="25" t="str">
        <f>IF(OR(E3593="",E3593="!!!",F3593="NEW"),"",COUNTBLANK(OFFSET(A$1,,,SUMPRODUCT(MAX(ROW(E$2:E3593)*(E3593=E$2:E3593)))))-COUNTBLANK(OFFSET(A$1,,,SUMPRODUCT(MAX(ROW(E$1:E3592)*(E2=E$1:E3592))))))</f>
        <v> </v>
      </c>
      <c r="K3593" s="25" t="str">
        <f>IF(OR(E3593="",E3593="!!!",F3593="NEW"),"",INDEX(J$1:J3592,SUMPRODUCT(MAX(ROW(E$1:E3592)*(E3593=E$1:E3592)))))</f>
        <v> </v>
      </c>
      <c r="L3593" s="26"/>
    </row>
    <row r="3594" spans="1:12">
      <c r="A3594" s="20" t="s">
        <v>1478</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544</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1964</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t="s">
        <v>1335</v>
      </c>
      <c r="B3597" s="27" t="s">
        <v>1135</v>
      </c>
      <c r="C3597" s="27" t="s">
        <v>1087</v>
      </c>
      <c r="E3597" s="21">
        <f>IF(D3597="?OLD","!!!","")</f>
        <v/>
      </c>
      <c r="F3597" s="22" t="str">
        <f>IF(OR(E3597="",E3597="!!!"),"",IF(NOT(ISNA(VLOOKUP(E3597,E$1:E3596,1,FALSE()))),"OLD",IF(AND(E3597&lt;&gt;"",E3597&lt;&gt;"!!!"),"NEW","")))</f>
        <v> </v>
      </c>
      <c r="G3597" s="23" t="str">
        <f>IF(OR(E3597="",E3597="!!!"),"",IF(OR(J3597=0,AND(J3597=1,K3597=1),AND(J3597=1,I3597="SBJ"),AND(J3597=1,I3597=0)),"?IN_FOCUS",IF(J3597&lt;=2,"?ACTIVATED",IF(J3597&lt;&gt;"","?FAMILIAR",IF(F3597="NEW",IF(ISNA(VLOOKUP(E3597,#REF!,1,FALSE())),"?TYPE_IDENTIFIABLE","?REFERENTIAL"),"_")))))</f>
        <v> </v>
      </c>
      <c r="H3597" s="24" t="str">
        <f>IF(J3597&lt;&gt;1,"",IF(I3597="SBJ","CB","?"))</f>
        <v> </v>
      </c>
      <c r="I3597" s="25" t="str">
        <f>IF(OR(E3597="",E3597="!!!",F3597="NEW"),"",INDEX(B3596:B$2,-1+SUMPRODUCT(MAX(ROW(E3596:E$2)*(E3597=E3596:E$2)))))</f>
        <v> </v>
      </c>
      <c r="J3597" s="25" t="str">
        <f>IF(OR(E3597="",E3597="!!!",F3597="NEW"),"",COUNTBLANK(OFFSET(A$1,,,SUMPRODUCT(MAX(ROW(E$2:E3597)*(E3597=E$2:E3597)))))-COUNTBLANK(OFFSET(A$1,,,SUMPRODUCT(MAX(ROW(E$1:E3596)*(E2=E$1:E3596))))))</f>
        <v> </v>
      </c>
      <c r="K3597" s="25" t="str">
        <f>IF(OR(E3597="",E3597="!!!",F3597="NEW"),"",INDEX(J$1:J3596,SUMPRODUCT(MAX(ROW(E$1:E3596)*(E3597=E$1:E3596)))))</f>
        <v> </v>
      </c>
      <c r="L3597" s="26"/>
    </row>
    <row r="3598" spans="1:12">
      <c r="A3598" s="20" t="s">
        <v>1046</v>
      </c>
      <c r="E3598" s="21">
        <f>IF(D3598="?OLD","!!!","")</f>
        <v/>
      </c>
      <c r="F3598" s="22" t="str">
        <f>IF(OR(E3598="",E3598="!!!"),"",IF(NOT(ISNA(VLOOKUP(E3598,E$1:E3597,1,FALSE()))),"OLD",IF(AND(E3598&lt;&gt;"",E3598&lt;&gt;"!!!"),"NEW","")))</f>
        <v> </v>
      </c>
      <c r="G3598" s="23" t="str">
        <f>IF(OR(E3598="",E3598="!!!"),"",IF(OR(J3598=0,AND(J3598=1,K3598=1),AND(J3598=1,I3598="SBJ"),AND(J3598=1,I3598=0)),"?IN_FOCUS",IF(J3598&lt;=2,"?ACTIVATED",IF(J3598&lt;&gt;"","?FAMILIAR",IF(F3598="NEW",IF(ISNA(VLOOKUP(E3598,#REF!,1,FALSE())),"?TYPE_IDENTIFIABLE","?REFERENTIAL"),"_")))))</f>
        <v> </v>
      </c>
      <c r="H3598" s="24" t="str">
        <f>IF(J3598&lt;&gt;1,"",IF(I3598="SBJ","CB","?"))</f>
        <v> </v>
      </c>
      <c r="I3598" s="25" t="str">
        <f>IF(OR(E3598="",E3598="!!!",F3598="NEW"),"",INDEX(B3597:B$2,-1+SUMPRODUCT(MAX(ROW(E3597:E$2)*(E3598=E3597:E$2)))))</f>
        <v> </v>
      </c>
      <c r="J3598" s="25" t="str">
        <f>IF(OR(E3598="",E3598="!!!",F3598="NEW"),"",COUNTBLANK(OFFSET(A$1,,,SUMPRODUCT(MAX(ROW(E$2:E3598)*(E3598=E$2:E3598)))))-COUNTBLANK(OFFSET(A$1,,,SUMPRODUCT(MAX(ROW(E$1:E3597)*(E2=E$1:E3597))))))</f>
        <v> </v>
      </c>
      <c r="K3598" s="25" t="str">
        <f>IF(OR(E3598="",E3598="!!!",F3598="NEW"),"",INDEX(J$1:J3597,SUMPRODUCT(MAX(ROW(E$1:E3597)*(E3598=E$1:E3597)))))</f>
        <v> </v>
      </c>
      <c r="L3598" s="26"/>
    </row>
    <row r="3599" spans="1:12">
      <c r="A3599" s="20" t="s">
        <v>140</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1965</v>
      </c>
      <c r="B3600" s="27" t="s">
        <v>1305</v>
      </c>
      <c r="C3600" s="27" t="s">
        <v>1068</v>
      </c>
      <c r="D3600" s="27" t="s">
        <v>1014</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1966</v>
      </c>
      <c r="B3601" s="27" t="s">
        <v>1306</v>
      </c>
      <c r="C3601" s="27" t="s">
        <v>1071</v>
      </c>
      <c r="D3601" s="27" t="s">
        <v>1014</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1062</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1017</v>
      </c>
      <c r="B3603" s="27" t="s">
        <v>1257</v>
      </c>
      <c r="C3603" s="27" t="s">
        <v>1013</v>
      </c>
      <c r="D3603" s="27" t="s">
        <v>1014</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t="s">
        <v>1299</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t="s">
        <v>1967</v>
      </c>
      <c r="E3605" s="21">
        <f>IF(D3605="?OLD","!!!","")</f>
        <v/>
      </c>
      <c r="F3605" s="22" t="str">
        <f>IF(OR(E3605="",E3605="!!!"),"",IF(NOT(ISNA(VLOOKUP(E3605,E$1:E3604,1,FALSE()))),"OLD",IF(AND(E3605&lt;&gt;"",E3605&lt;&gt;"!!!"),"NEW","")))</f>
        <v> </v>
      </c>
      <c r="G3605" s="23" t="str">
        <f>IF(OR(E3605="",E3605="!!!"),"",IF(OR(J3605=0,AND(J3605=1,K3605=1),AND(J3605=1,I3605="SBJ"),AND(J3605=1,I3605=0)),"?IN_FOCUS",IF(J3605&lt;=2,"?ACTIVATED",IF(J3605&lt;&gt;"","?FAMILIAR",IF(F3605="NEW",IF(ISNA(VLOOKUP(E3605,#REF!,1,FALSE())),"?TYPE_IDENTIFIABLE","?REFERENTIAL"),"_")))))</f>
        <v> </v>
      </c>
      <c r="H3605" s="24" t="str">
        <f>IF(J3605&lt;&gt;1,"",IF(I3605="SBJ","CB","?"))</f>
        <v> </v>
      </c>
      <c r="I3605" s="25" t="str">
        <f>IF(OR(E3605="",E3605="!!!",F3605="NEW"),"",INDEX(B3604:B$2,-1+SUMPRODUCT(MAX(ROW(E3604:E$2)*(E3605=E3604:E$2)))))</f>
        <v> </v>
      </c>
      <c r="J3605" s="25" t="str">
        <f>IF(OR(E3605="",E3605="!!!",F3605="NEW"),"",COUNTBLANK(OFFSET(A$1,,,SUMPRODUCT(MAX(ROW(E$2:E3605)*(E3605=E$2:E3605)))))-COUNTBLANK(OFFSET(A$1,,,SUMPRODUCT(MAX(ROW(E$1:E3604)*(E2=E$1:E3604))))))</f>
        <v> </v>
      </c>
      <c r="K3605" s="25" t="str">
        <f>IF(OR(E3605="",E3605="!!!",F3605="NEW"),"",INDEX(J$1:J3604,SUMPRODUCT(MAX(ROW(E$1:E3604)*(E3605=E$1:E3604)))))</f>
        <v> </v>
      </c>
      <c r="L3605" s="26"/>
    </row>
    <row r="3606" spans="1:12">
      <c r="A3606" s="20" t="s">
        <v>1027</v>
      </c>
      <c r="E3606" s="21">
        <f>IF(D3606="?OLD","!!!","")</f>
        <v/>
      </c>
      <c r="F3606" s="22" t="str">
        <f>IF(OR(E3606="",E3606="!!!"),"",IF(NOT(ISNA(VLOOKUP(E3606,E$1:E3605,1,FALSE()))),"OLD",IF(AND(E3606&lt;&gt;"",E3606&lt;&gt;"!!!"),"NEW","")))</f>
        <v> </v>
      </c>
      <c r="G3606" s="23" t="str">
        <f>IF(OR(E3606="",E3606="!!!"),"",IF(OR(J3606=0,AND(J3606=1,K3606=1),AND(J3606=1,I3606="SBJ"),AND(J3606=1,I3606=0)),"?IN_FOCUS",IF(J3606&lt;=2,"?ACTIVATED",IF(J3606&lt;&gt;"","?FAMILIAR",IF(F3606="NEW",IF(ISNA(VLOOKUP(E3606,#REF!,1,FALSE())),"?TYPE_IDENTIFIABLE","?REFERENTIAL"),"_")))))</f>
        <v> </v>
      </c>
      <c r="H3606" s="24" t="str">
        <f>IF(J3606&lt;&gt;1,"",IF(I3606="SBJ","CB","?"))</f>
        <v> </v>
      </c>
      <c r="I3606" s="25" t="str">
        <f>IF(OR(E3606="",E3606="!!!",F3606="NEW"),"",INDEX(B3605:B$2,-1+SUMPRODUCT(MAX(ROW(E3605:E$2)*(E3606=E3605:E$2)))))</f>
        <v> </v>
      </c>
      <c r="J3606" s="25" t="str">
        <f>IF(OR(E3606="",E3606="!!!",F3606="NEW"),"",COUNTBLANK(OFFSET(A$1,,,SUMPRODUCT(MAX(ROW(E$2:E3606)*(E3606=E$2:E3606)))))-COUNTBLANK(OFFSET(A$1,,,SUMPRODUCT(MAX(ROW(E$1:E3605)*(E2=E$1:E3605))))))</f>
        <v> </v>
      </c>
      <c r="K3606" s="25" t="str">
        <f>IF(OR(E3606="",E3606="!!!",F3606="NEW"),"",INDEX(J$1:J3605,SUMPRODUCT(MAX(ROW(E$1:E3605)*(E3606=E$1:E3605)))))</f>
        <v> </v>
      </c>
      <c r="L3606" s="26"/>
    </row>
    <row r="3607" spans="1:12">
      <c r="A3607" s="20" t="s">
        <v>1126</v>
      </c>
      <c r="E3607" s="21">
        <f>IF(D3607="?OLD","!!!","")</f>
        <v/>
      </c>
      <c r="F3607" s="22" t="str">
        <f>IF(OR(E3607="",E3607="!!!"),"",IF(NOT(ISNA(VLOOKUP(E3607,E$1:E3606,1,FALSE()))),"OLD",IF(AND(E3607&lt;&gt;"",E3607&lt;&gt;"!!!"),"NEW","")))</f>
        <v> </v>
      </c>
      <c r="G3607" s="23" t="str">
        <f>IF(OR(E3607="",E3607="!!!"),"",IF(OR(J3607=0,AND(J3607=1,K3607=1),AND(J3607=1,I3607="SBJ"),AND(J3607=1,I3607=0)),"?IN_FOCUS",IF(J3607&lt;=2,"?ACTIVATED",IF(J3607&lt;&gt;"","?FAMILIAR",IF(F3607="NEW",IF(ISNA(VLOOKUP(E3607,#REF!,1,FALSE())),"?TYPE_IDENTIFIABLE","?REFERENTIAL"),"_")))))</f>
        <v> </v>
      </c>
      <c r="H3607" s="24" t="str">
        <f>IF(J3607&lt;&gt;1,"",IF(I3607="SBJ","CB","?"))</f>
        <v> </v>
      </c>
      <c r="I3607" s="25" t="str">
        <f>IF(OR(E3607="",E3607="!!!",F3607="NEW"),"",INDEX(B3606:B$2,-1+SUMPRODUCT(MAX(ROW(E3606:E$2)*(E3607=E3606:E$2)))))</f>
        <v> </v>
      </c>
      <c r="J3607" s="25" t="str">
        <f>IF(OR(E3607="",E3607="!!!",F3607="NEW"),"",COUNTBLANK(OFFSET(A$1,,,SUMPRODUCT(MAX(ROW(E$2:E3607)*(E3607=E$2:E3607)))))-COUNTBLANK(OFFSET(A$1,,,SUMPRODUCT(MAX(ROW(E$1:E3606)*(E2=E$1:E3606))))))</f>
        <v> </v>
      </c>
      <c r="K3607" s="25" t="str">
        <f>IF(OR(E3607="",E3607="!!!",F3607="NEW"),"",INDEX(J$1:J3606,SUMPRODUCT(MAX(ROW(E$1:E3606)*(E3607=E$1:E3606)))))</f>
        <v> </v>
      </c>
      <c r="L3607" s="26"/>
    </row>
    <row r="3608" spans="1:12">
      <c r="A3608" s="20" t="s">
        <v>1283</v>
      </c>
      <c r="E3608" s="21">
        <f>IF(D3608="?OLD","!!!","")</f>
        <v/>
      </c>
      <c r="F3608" s="22" t="str">
        <f>IF(OR(E3608="",E3608="!!!"),"",IF(NOT(ISNA(VLOOKUP(E3608,E$1:E3607,1,FALSE()))),"OLD",IF(AND(E3608&lt;&gt;"",E3608&lt;&gt;"!!!"),"NEW","")))</f>
        <v> </v>
      </c>
      <c r="G3608" s="23" t="str">
        <f>IF(OR(E3608="",E3608="!!!"),"",IF(OR(J3608=0,AND(J3608=1,K3608=1),AND(J3608=1,I3608="SBJ"),AND(J3608=1,I3608=0)),"?IN_FOCUS",IF(J3608&lt;=2,"?ACTIVATED",IF(J3608&lt;&gt;"","?FAMILIAR",IF(F3608="NEW",IF(ISNA(VLOOKUP(E3608,#REF!,1,FALSE())),"?TYPE_IDENTIFIABLE","?REFERENTIAL"),"_")))))</f>
        <v> </v>
      </c>
      <c r="H3608" s="24" t="str">
        <f>IF(J3608&lt;&gt;1,"",IF(I3608="SBJ","CB","?"))</f>
        <v> </v>
      </c>
      <c r="I3608" s="25" t="str">
        <f>IF(OR(E3608="",E3608="!!!",F3608="NEW"),"",INDEX(B3607:B$2,-1+SUMPRODUCT(MAX(ROW(E3607:E$2)*(E3608=E3607:E$2)))))</f>
        <v> </v>
      </c>
      <c r="J3608" s="25" t="str">
        <f>IF(OR(E3608="",E3608="!!!",F3608="NEW"),"",COUNTBLANK(OFFSET(A$1,,,SUMPRODUCT(MAX(ROW(E$2:E3608)*(E3608=E$2:E3608)))))-COUNTBLANK(OFFSET(A$1,,,SUMPRODUCT(MAX(ROW(E$1:E3607)*(E2=E$1:E3607))))))</f>
        <v> </v>
      </c>
      <c r="K3608" s="25" t="str">
        <f>IF(OR(E3608="",E3608="!!!",F3608="NEW"),"",INDEX(J$1:J3607,SUMPRODUCT(MAX(ROW(E$1:E3607)*(E3608=E$1:E3607)))))</f>
        <v> </v>
      </c>
      <c r="L3608" s="26"/>
    </row>
    <row r="3609" spans="1:12">
      <c r="A3609" s="20" t="s">
        <v>1586</v>
      </c>
      <c r="E3609" s="21">
        <f>IF(D3609="?OLD","!!!","")</f>
        <v/>
      </c>
      <c r="F3609" s="22" t="str">
        <f>IF(OR(E3609="",E3609="!!!"),"",IF(NOT(ISNA(VLOOKUP(E3609,E$1:E3608,1,FALSE()))),"OLD",IF(AND(E3609&lt;&gt;"",E3609&lt;&gt;"!!!"),"NEW","")))</f>
        <v> </v>
      </c>
      <c r="G3609" s="23" t="str">
        <f>IF(OR(E3609="",E3609="!!!"),"",IF(OR(J3609=0,AND(J3609=1,K3609=1),AND(J3609=1,I3609="SBJ"),AND(J3609=1,I3609=0)),"?IN_FOCUS",IF(J3609&lt;=2,"?ACTIVATED",IF(J3609&lt;&gt;"","?FAMILIAR",IF(F3609="NEW",IF(ISNA(VLOOKUP(E3609,#REF!,1,FALSE())),"?TYPE_IDENTIFIABLE","?REFERENTIAL"),"_")))))</f>
        <v> </v>
      </c>
      <c r="H3609" s="24" t="str">
        <f>IF(J3609&lt;&gt;1,"",IF(I3609="SBJ","CB","?"))</f>
        <v> </v>
      </c>
      <c r="I3609" s="25" t="str">
        <f>IF(OR(E3609="",E3609="!!!",F3609="NEW"),"",INDEX(B3608:B$2,-1+SUMPRODUCT(MAX(ROW(E3608:E$2)*(E3609=E3608:E$2)))))</f>
        <v> </v>
      </c>
      <c r="J3609" s="25" t="str">
        <f>IF(OR(E3609="",E3609="!!!",F3609="NEW"),"",COUNTBLANK(OFFSET(A$1,,,SUMPRODUCT(MAX(ROW(E$2:E3609)*(E3609=E$2:E3609)))))-COUNTBLANK(OFFSET(A$1,,,SUMPRODUCT(MAX(ROW(E$1:E3608)*(E2=E$1:E3608))))))</f>
        <v> </v>
      </c>
      <c r="K3609" s="25" t="str">
        <f>IF(OR(E3609="",E3609="!!!",F3609="NEW"),"",INDEX(J$1:J3608,SUMPRODUCT(MAX(ROW(E$1:E3608)*(E3609=E$1:E3608)))))</f>
        <v> </v>
      </c>
      <c r="L3609" s="26"/>
    </row>
    <row r="3610" spans="1:12">
      <c r="A3610" s="20" t="s">
        <v>1968</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1027</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1031</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1032</v>
      </c>
      <c r="B3613" s="27" t="s">
        <v>1018</v>
      </c>
      <c r="C3613" s="27" t="s">
        <v>1013</v>
      </c>
      <c r="D3613" s="27" t="s">
        <v>1014</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t="s">
        <v>1011</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1969</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t="s">
        <v>1226</v>
      </c>
      <c r="B3616" s="27" t="s">
        <v>1020</v>
      </c>
      <c r="C3616" s="27" t="s">
        <v>1087</v>
      </c>
      <c r="E3616" s="21">
        <f>IF(D3616="?OLD","!!!","")</f>
        <v/>
      </c>
      <c r="F3616" s="22" t="str">
        <f>IF(OR(E3616="",E3616="!!!"),"",IF(NOT(ISNA(VLOOKUP(E3616,E$1:E3615,1,FALSE()))),"OLD",IF(AND(E3616&lt;&gt;"",E3616&lt;&gt;"!!!"),"NEW","")))</f>
        <v> </v>
      </c>
      <c r="G3616" s="23" t="str">
        <f>IF(OR(E3616="",E3616="!!!"),"",IF(OR(J3616=0,AND(J3616=1,K3616=1),AND(J3616=1,I3616="SBJ"),AND(J3616=1,I3616=0)),"?IN_FOCUS",IF(J3616&lt;=2,"?ACTIVATED",IF(J3616&lt;&gt;"","?FAMILIAR",IF(F3616="NEW",IF(ISNA(VLOOKUP(E3616,#REF!,1,FALSE())),"?TYPE_IDENTIFIABLE","?REFERENTIAL"),"_")))))</f>
        <v> </v>
      </c>
      <c r="H3616" s="24" t="str">
        <f>IF(J3616&lt;&gt;1,"",IF(I3616="SBJ","CB","?"))</f>
        <v> </v>
      </c>
      <c r="I3616" s="25" t="str">
        <f>IF(OR(E3616="",E3616="!!!",F3616="NEW"),"",INDEX(B3615:B$2,-1+SUMPRODUCT(MAX(ROW(E3615:E$2)*(E3616=E3615:E$2)))))</f>
        <v> </v>
      </c>
      <c r="J3616" s="25" t="str">
        <f>IF(OR(E3616="",E3616="!!!",F3616="NEW"),"",COUNTBLANK(OFFSET(A$1,,,SUMPRODUCT(MAX(ROW(E$2:E3616)*(E3616=E$2:E3616)))))-COUNTBLANK(OFFSET(A$1,,,SUMPRODUCT(MAX(ROW(E$1:E3615)*(E2=E$1:E3615))))))</f>
        <v> </v>
      </c>
      <c r="K3616" s="25" t="str">
        <f>IF(OR(E3616="",E3616="!!!",F3616="NEW"),"",INDEX(J$1:J3615,SUMPRODUCT(MAX(ROW(E$1:E3615)*(E3616=E$1:E3615)))))</f>
        <v> </v>
      </c>
      <c r="L3616" s="26"/>
    </row>
    <row r="3617" spans="1:12">
      <c r="A3617" s="20" t="s">
        <v>1102</v>
      </c>
      <c r="E3617" s="21">
        <f>IF(D3617="?OLD","!!!","")</f>
        <v/>
      </c>
      <c r="F3617" s="22" t="str">
        <f>IF(OR(E3617="",E3617="!!!"),"",IF(NOT(ISNA(VLOOKUP(E3617,E$1:E3616,1,FALSE()))),"OLD",IF(AND(E3617&lt;&gt;"",E3617&lt;&gt;"!!!"),"NEW","")))</f>
        <v> </v>
      </c>
      <c r="G3617" s="23" t="str">
        <f>IF(OR(E3617="",E3617="!!!"),"",IF(OR(J3617=0,AND(J3617=1,K3617=1),AND(J3617=1,I3617="SBJ"),AND(J3617=1,I3617=0)),"?IN_FOCUS",IF(J3617&lt;=2,"?ACTIVATED",IF(J3617&lt;&gt;"","?FAMILIAR",IF(F3617="NEW",IF(ISNA(VLOOKUP(E3617,#REF!,1,FALSE())),"?TYPE_IDENTIFIABLE","?REFERENTIAL"),"_")))))</f>
        <v> </v>
      </c>
      <c r="H3617" s="24" t="str">
        <f>IF(J3617&lt;&gt;1,"",IF(I3617="SBJ","CB","?"))</f>
        <v> </v>
      </c>
      <c r="I3617" s="25" t="str">
        <f>IF(OR(E3617="",E3617="!!!",F3617="NEW"),"",INDEX(B3616:B$2,-1+SUMPRODUCT(MAX(ROW(E3616:E$2)*(E3617=E3616:E$2)))))</f>
        <v> </v>
      </c>
      <c r="J3617" s="25" t="str">
        <f>IF(OR(E3617="",E3617="!!!",F3617="NEW"),"",COUNTBLANK(OFFSET(A$1,,,SUMPRODUCT(MAX(ROW(E$2:E3617)*(E3617=E$2:E3617)))))-COUNTBLANK(OFFSET(A$1,,,SUMPRODUCT(MAX(ROW(E$1:E3616)*(E2=E$1:E3616))))))</f>
        <v> </v>
      </c>
      <c r="K3617" s="25" t="str">
        <f>IF(OR(E3617="",E3617="!!!",F3617="NEW"),"",INDEX(J$1:J3616,SUMPRODUCT(MAX(ROW(E$1:E3616)*(E3617=E$1:E3616)))))</f>
        <v> </v>
      </c>
      <c r="L3617" s="26"/>
    </row>
    <row r="3618" spans="1:12">
      <c r="A3618" s="20" t="s">
        <v>1173</v>
      </c>
      <c r="B3618" s="27" t="s">
        <v>1090</v>
      </c>
      <c r="C3618" s="27" t="s">
        <v>1087</v>
      </c>
      <c r="E3618" s="21">
        <f>IF(D3618="?OLD","!!!","")</f>
        <v/>
      </c>
      <c r="F3618" s="22" t="str">
        <f>IF(OR(E3618="",E3618="!!!"),"",IF(NOT(ISNA(VLOOKUP(E3618,E$1:E3617,1,FALSE()))),"OLD",IF(AND(E3618&lt;&gt;"",E3618&lt;&gt;"!!!"),"NEW","")))</f>
        <v> </v>
      </c>
      <c r="G3618" s="23" t="str">
        <f>IF(OR(E3618="",E3618="!!!"),"",IF(OR(J3618=0,AND(J3618=1,K3618=1),AND(J3618=1,I3618="SBJ"),AND(J3618=1,I3618=0)),"?IN_FOCUS",IF(J3618&lt;=2,"?ACTIVATED",IF(J3618&lt;&gt;"","?FAMILIAR",IF(F3618="NEW",IF(ISNA(VLOOKUP(E3618,#REF!,1,FALSE())),"?TYPE_IDENTIFIABLE","?REFERENTIAL"),"_")))))</f>
        <v> </v>
      </c>
      <c r="H3618" s="24" t="str">
        <f>IF(J3618&lt;&gt;1,"",IF(I3618="SBJ","CB","?"))</f>
        <v> </v>
      </c>
      <c r="I3618" s="25" t="str">
        <f>IF(OR(E3618="",E3618="!!!",F3618="NEW"),"",INDEX(B3617:B$2,-1+SUMPRODUCT(MAX(ROW(E3617:E$2)*(E3618=E3617:E$2)))))</f>
        <v> </v>
      </c>
      <c r="J3618" s="25" t="str">
        <f>IF(OR(E3618="",E3618="!!!",F3618="NEW"),"",COUNTBLANK(OFFSET(A$1,,,SUMPRODUCT(MAX(ROW(E$2:E3618)*(E3618=E$2:E3618)))))-COUNTBLANK(OFFSET(A$1,,,SUMPRODUCT(MAX(ROW(E$1:E3617)*(E2=E$1:E3617))))))</f>
        <v> </v>
      </c>
      <c r="K3618" s="25" t="str">
        <f>IF(OR(E3618="",E3618="!!!",F3618="NEW"),"",INDEX(J$1:J3617,SUMPRODUCT(MAX(ROW(E$1:E3617)*(E3618=E$1:E3617)))))</f>
        <v> </v>
      </c>
      <c r="L3618" s="26"/>
    </row>
    <row r="3619" spans="1:12">
      <c r="A3619" s="20" t="s">
        <v>1538</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1970</v>
      </c>
      <c r="B3620" s="27" t="s">
        <v>1067</v>
      </c>
      <c r="C3620" s="27" t="s">
        <v>1087</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t="s">
        <v>1022</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row>
    <row r="3623" spans="1:12">
      <c r="A3623" s="20" t="s">
        <v>1971</v>
      </c>
    </row>
    <row r="3624" spans="1:12">
      <c r="A3624" s="20" t="s">
        <v>1377</v>
      </c>
      <c r="B3624" s="27" t="s">
        <v>1038</v>
      </c>
      <c r="C3624" s="27" t="s">
        <v>1013</v>
      </c>
      <c r="D3624" s="27" t="s">
        <v>1014</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35</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1027</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1040</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t="s">
        <v>1122</v>
      </c>
      <c r="E3628" s="21">
        <f>IF(D3628="?OLD","!!!","")</f>
        <v/>
      </c>
      <c r="F3628" s="22" t="str">
        <f>IF(OR(E3628="",E3628="!!!"),"",IF(NOT(ISNA(VLOOKUP(E3628,E$1:E3627,1,FALSE()))),"OLD",IF(AND(E3628&lt;&gt;"",E3628&lt;&gt;"!!!"),"NEW","")))</f>
        <v> </v>
      </c>
      <c r="G3628" s="23" t="str">
        <f>IF(OR(E3628="",E3628="!!!"),"",IF(OR(J3628=0,AND(J3628=1,K3628=1),AND(J3628=1,I3628="SBJ"),AND(J3628=1,I3628=0)),"?IN_FOCUS",IF(J3628&lt;=2,"?ACTIVATED",IF(J3628&lt;&gt;"","?FAMILIAR",IF(F3628="NEW",IF(ISNA(VLOOKUP(E3628,#REF!,1,FALSE())),"?TYPE_IDENTIFIABLE","?REFERENTIAL"),"_")))))</f>
        <v> </v>
      </c>
      <c r="H3628" s="24" t="str">
        <f>IF(J3628&lt;&gt;1,"",IF(I3628="SBJ","CB","?"))</f>
        <v> </v>
      </c>
      <c r="I3628" s="25" t="str">
        <f>IF(OR(E3628="",E3628="!!!",F3628="NEW"),"",INDEX(B3627:B$2,-1+SUMPRODUCT(MAX(ROW(E3627:E$2)*(E3628=E3627:E$2)))))</f>
        <v> </v>
      </c>
      <c r="J3628" s="25" t="str">
        <f>IF(OR(E3628="",E3628="!!!",F3628="NEW"),"",COUNTBLANK(OFFSET(A$1,,,SUMPRODUCT(MAX(ROW(E$2:E3628)*(E3628=E$2:E3628)))))-COUNTBLANK(OFFSET(A$1,,,SUMPRODUCT(MAX(ROW(E$1:E3627)*(E2=E$1:E3627))))))</f>
        <v> </v>
      </c>
      <c r="K3628" s="25" t="str">
        <f>IF(OR(E3628="",E3628="!!!",F3628="NEW"),"",INDEX(J$1:J3627,SUMPRODUCT(MAX(ROW(E$1:E3627)*(E3628=E$1:E3627)))))</f>
        <v> </v>
      </c>
      <c r="L3628" s="26"/>
    </row>
    <row r="3629" spans="1:12">
      <c r="A3629" s="20" t="s">
        <v>1972</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203</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1191</v>
      </c>
      <c r="B3631" s="27" t="s">
        <v>1026</v>
      </c>
      <c r="C3631" s="27" t="s">
        <v>1155</v>
      </c>
      <c r="D3631" s="27" t="s">
        <v>1014</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1017</v>
      </c>
      <c r="B3632" s="27" t="s">
        <v>1033</v>
      </c>
      <c r="C3632" s="27" t="s">
        <v>1013</v>
      </c>
      <c r="D3632" s="27" t="s">
        <v>1014</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1299</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1300</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t="s">
        <v>1046</v>
      </c>
      <c r="E3635" s="21">
        <f>IF(D3635="?OLD","!!!","")</f>
        <v/>
      </c>
      <c r="F3635" s="22" t="str">
        <f>IF(OR(E3635="",E3635="!!!"),"",IF(NOT(ISNA(VLOOKUP(E3635,E$1:E3634,1,FALSE()))),"OLD",IF(AND(E3635&lt;&gt;"",E3635&lt;&gt;"!!!"),"NEW","")))</f>
        <v> </v>
      </c>
      <c r="G3635" s="23" t="str">
        <f>IF(OR(E3635="",E3635="!!!"),"",IF(OR(J3635=0,AND(J3635=1,K3635=1),AND(J3635=1,I3635="SBJ"),AND(J3635=1,I3635=0)),"?IN_FOCUS",IF(J3635&lt;=2,"?ACTIVATED",IF(J3635&lt;&gt;"","?FAMILIAR",IF(F3635="NEW",IF(ISNA(VLOOKUP(E3635,#REF!,1,FALSE())),"?TYPE_IDENTIFIABLE","?REFERENTIAL"),"_")))))</f>
        <v> </v>
      </c>
      <c r="H3635" s="24" t="str">
        <f>IF(J3635&lt;&gt;1,"",IF(I3635="SBJ","CB","?"))</f>
        <v> </v>
      </c>
      <c r="I3635" s="25" t="str">
        <f>IF(OR(E3635="",E3635="!!!",F3635="NEW"),"",INDEX(B3634:B$2,-1+SUMPRODUCT(MAX(ROW(E3634:E$2)*(E3635=E3634:E$2)))))</f>
        <v> </v>
      </c>
      <c r="J3635" s="25" t="str">
        <f>IF(OR(E3635="",E3635="!!!",F3635="NEW"),"",COUNTBLANK(OFFSET(A$1,,,SUMPRODUCT(MAX(ROW(E$2:E3635)*(E3635=E$2:E3635)))))-COUNTBLANK(OFFSET(A$1,,,SUMPRODUCT(MAX(ROW(E$1:E3634)*(E2=E$1:E3634))))))</f>
        <v> </v>
      </c>
      <c r="K3635" s="25" t="str">
        <f>IF(OR(E3635="",E3635="!!!",F3635="NEW"),"",INDEX(J$1:J3634,SUMPRODUCT(MAX(ROW(E$1:E3634)*(E3635=E$1:E3634)))))</f>
        <v> </v>
      </c>
      <c r="L3635" s="26"/>
    </row>
    <row r="3636" spans="1:12">
      <c r="A3636" s="20" t="s">
        <v>22</v>
      </c>
      <c r="E3636" s="21">
        <f>IF(D3636="?OLD","!!!","")</f>
        <v/>
      </c>
      <c r="F3636" s="22" t="str">
        <f>IF(OR(E3636="",E3636="!!!"),"",IF(NOT(ISNA(VLOOKUP(E3636,E$1:E3635,1,FALSE()))),"OLD",IF(AND(E3636&lt;&gt;"",E3636&lt;&gt;"!!!"),"NEW","")))</f>
        <v> </v>
      </c>
      <c r="G3636" s="23" t="str">
        <f>IF(OR(E3636="",E3636="!!!"),"",IF(OR(J3636=0,AND(J3636=1,K3636=1),AND(J3636=1,I3636="SBJ"),AND(J3636=1,I3636=0)),"?IN_FOCUS",IF(J3636&lt;=2,"?ACTIVATED",IF(J3636&lt;&gt;"","?FAMILIAR",IF(F3636="NEW",IF(ISNA(VLOOKUP(E3636,#REF!,1,FALSE())),"?TYPE_IDENTIFIABLE","?REFERENTIAL"),"_")))))</f>
        <v> </v>
      </c>
      <c r="H3636" s="24" t="str">
        <f>IF(J3636&lt;&gt;1,"",IF(I3636="SBJ","CB","?"))</f>
        <v> </v>
      </c>
      <c r="I3636" s="25" t="str">
        <f>IF(OR(E3636="",E3636="!!!",F3636="NEW"),"",INDEX(B3635:B$2,-1+SUMPRODUCT(MAX(ROW(E3635:E$2)*(E3636=E3635:E$2)))))</f>
        <v> </v>
      </c>
      <c r="J3636" s="25" t="str">
        <f>IF(OR(E3636="",E3636="!!!",F3636="NEW"),"",COUNTBLANK(OFFSET(A$1,,,SUMPRODUCT(MAX(ROW(E$2:E3636)*(E3636=E$2:E3636)))))-COUNTBLANK(OFFSET(A$1,,,SUMPRODUCT(MAX(ROW(E$1:E3635)*(E2=E$1:E3635))))))</f>
        <v> </v>
      </c>
      <c r="K3636" s="25" t="str">
        <f>IF(OR(E3636="",E3636="!!!",F3636="NEW"),"",INDEX(J$1:J3635,SUMPRODUCT(MAX(ROW(E$1:E3635)*(E3636=E$1:E3635)))))</f>
        <v> </v>
      </c>
      <c r="L3636" s="26"/>
    </row>
    <row r="3637" spans="1:12">
      <c r="A3637" s="20" t="s">
        <v>1046</v>
      </c>
      <c r="E3637" s="21">
        <f>IF(D3637="?OLD","!!!","")</f>
        <v/>
      </c>
      <c r="F3637" s="22" t="str">
        <f>IF(OR(E3637="",E3637="!!!"),"",IF(NOT(ISNA(VLOOKUP(E3637,E$1:E3636,1,FALSE()))),"OLD",IF(AND(E3637&lt;&gt;"",E3637&lt;&gt;"!!!"),"NEW","")))</f>
        <v> </v>
      </c>
      <c r="G3637" s="23" t="str">
        <f>IF(OR(E3637="",E3637="!!!"),"",IF(OR(J3637=0,AND(J3637=1,K3637=1),AND(J3637=1,I3637="SBJ"),AND(J3637=1,I3637=0)),"?IN_FOCUS",IF(J3637&lt;=2,"?ACTIVATED",IF(J3637&lt;&gt;"","?FAMILIAR",IF(F3637="NEW",IF(ISNA(VLOOKUP(E3637,#REF!,1,FALSE())),"?TYPE_IDENTIFIABLE","?REFERENTIAL"),"_")))))</f>
        <v> </v>
      </c>
      <c r="H3637" s="24" t="str">
        <f>IF(J3637&lt;&gt;1,"",IF(I3637="SBJ","CB","?"))</f>
        <v> </v>
      </c>
      <c r="I3637" s="25" t="str">
        <f>IF(OR(E3637="",E3637="!!!",F3637="NEW"),"",INDEX(B3636:B$2,-1+SUMPRODUCT(MAX(ROW(E3636:E$2)*(E3637=E3636:E$2)))))</f>
        <v> </v>
      </c>
      <c r="J3637" s="25" t="str">
        <f>IF(OR(E3637="",E3637="!!!",F3637="NEW"),"",COUNTBLANK(OFFSET(A$1,,,SUMPRODUCT(MAX(ROW(E$2:E3637)*(E3637=E$2:E3637)))))-COUNTBLANK(OFFSET(A$1,,,SUMPRODUCT(MAX(ROW(E$1:E3636)*(E2=E$1:E3636))))))</f>
        <v> </v>
      </c>
      <c r="K3637" s="25" t="str">
        <f>IF(OR(E3637="",E3637="!!!",F3637="NEW"),"",INDEX(J$1:J3636,SUMPRODUCT(MAX(ROW(E$1:E3636)*(E3637=E$1:E3636)))))</f>
        <v> </v>
      </c>
      <c r="L3637" s="26"/>
    </row>
    <row r="3638" spans="1:12">
      <c r="A3638" s="20" t="s">
        <v>1973</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278</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1974</v>
      </c>
      <c r="B3640" s="27" t="s">
        <v>1305</v>
      </c>
      <c r="C3640" s="27" t="s">
        <v>1101</v>
      </c>
      <c r="E3640" s="21">
        <f>IF(D3640="?OLD","!!!","")</f>
        <v/>
      </c>
      <c r="F3640" s="22" t="str">
        <f>IF(OR(E3640="",E3640="!!!"),"",IF(NOT(ISNA(VLOOKUP(E3640,E$1:E3639,1,FALSE()))),"OLD",IF(AND(E3640&lt;&gt;"",E3640&lt;&gt;"!!!"),"NEW","")))</f>
        <v> </v>
      </c>
      <c r="G3640" s="23" t="str">
        <f>IF(OR(E3640="",E3640="!!!"),"",IF(OR(J3640=0,AND(J3640=1,K3640=1),AND(J3640=1,I3640="SBJ"),AND(J3640=1,I3640=0)),"?IN_FOCUS",IF(J3640&lt;=2,"?ACTIVATED",IF(J3640&lt;&gt;"","?FAMILIAR",IF(F3640="NEW",IF(ISNA(VLOOKUP(E3640,#REF!,1,FALSE())),"?TYPE_IDENTIFIABLE","?REFERENTIAL"),"_")))))</f>
        <v> </v>
      </c>
      <c r="H3640" s="24" t="str">
        <f>IF(J3640&lt;&gt;1,"",IF(I3640="SBJ","CB","?"))</f>
        <v> </v>
      </c>
      <c r="I3640" s="25" t="str">
        <f>IF(OR(E3640="",E3640="!!!",F3640="NEW"),"",INDEX(B3639:B$2,-1+SUMPRODUCT(MAX(ROW(E3639:E$2)*(E3640=E3639:E$2)))))</f>
        <v> </v>
      </c>
      <c r="J3640" s="25" t="str">
        <f>IF(OR(E3640="",E3640="!!!",F3640="NEW"),"",COUNTBLANK(OFFSET(A$1,,,SUMPRODUCT(MAX(ROW(E$2:E3640)*(E3640=E$2:E3640)))))-COUNTBLANK(OFFSET(A$1,,,SUMPRODUCT(MAX(ROW(E$1:E3639)*(E2=E$1:E3639))))))</f>
        <v> </v>
      </c>
      <c r="K3640" s="25" t="str">
        <f>IF(OR(E3640="",E3640="!!!",F3640="NEW"),"",INDEX(J$1:J3639,SUMPRODUCT(MAX(ROW(E$1:E3639)*(E3640=E$1:E3639)))))</f>
        <v> </v>
      </c>
      <c r="L3640" s="26"/>
    </row>
    <row r="3641" spans="1:12">
      <c r="A3641" s="20" t="s">
        <v>618</v>
      </c>
      <c r="E3641" s="21">
        <f>IF(D3641="?OLD","!!!","")</f>
        <v/>
      </c>
      <c r="F3641" s="22" t="str">
        <f>IF(OR(E3641="",E3641="!!!"),"",IF(NOT(ISNA(VLOOKUP(E3641,E$1:E3640,1,FALSE()))),"OLD",IF(AND(E3641&lt;&gt;"",E3641&lt;&gt;"!!!"),"NEW","")))</f>
        <v> </v>
      </c>
      <c r="G3641" s="23" t="str">
        <f>IF(OR(E3641="",E3641="!!!"),"",IF(OR(J3641=0,AND(J3641=1,K3641=1),AND(J3641=1,I3641="SBJ"),AND(J3641=1,I3641=0)),"?IN_FOCUS",IF(J3641&lt;=2,"?ACTIVATED",IF(J3641&lt;&gt;"","?FAMILIAR",IF(F3641="NEW",IF(ISNA(VLOOKUP(E3641,#REF!,1,FALSE())),"?TYPE_IDENTIFIABLE","?REFERENTIAL"),"_")))))</f>
        <v> </v>
      </c>
      <c r="H3641" s="24" t="str">
        <f>IF(J3641&lt;&gt;1,"",IF(I3641="SBJ","CB","?"))</f>
        <v> </v>
      </c>
      <c r="I3641" s="25" t="str">
        <f>IF(OR(E3641="",E3641="!!!",F3641="NEW"),"",INDEX(B3640:B$2,-1+SUMPRODUCT(MAX(ROW(E3640:E$2)*(E3641=E3640:E$2)))))</f>
        <v> </v>
      </c>
      <c r="J3641" s="25" t="str">
        <f>IF(OR(E3641="",E3641="!!!",F3641="NEW"),"",COUNTBLANK(OFFSET(A$1,,,SUMPRODUCT(MAX(ROW(E$2:E3641)*(E3641=E$2:E3641)))))-COUNTBLANK(OFFSET(A$1,,,SUMPRODUCT(MAX(ROW(E$1:E3640)*(E2=E$1:E3640))))))</f>
        <v> </v>
      </c>
      <c r="K3641" s="25" t="str">
        <f>IF(OR(E3641="",E3641="!!!",F3641="NEW"),"",INDEX(J$1:J3640,SUMPRODUCT(MAX(ROW(E$1:E3640)*(E3641=E$1:E3640)))))</f>
        <v> </v>
      </c>
      <c r="L3641" s="26"/>
    </row>
    <row r="3642" spans="1:12">
      <c r="A3642" s="20" t="s">
        <v>879</v>
      </c>
      <c r="B3642" s="27" t="s">
        <v>1135</v>
      </c>
      <c r="C3642" s="27" t="s">
        <v>1087</v>
      </c>
      <c r="E3642" s="21">
        <f>IF(D3642="?OLD","!!!","")</f>
        <v/>
      </c>
      <c r="F3642" s="22" t="str">
        <f>IF(OR(E3642="",E3642="!!!"),"",IF(NOT(ISNA(VLOOKUP(E3642,E$1:E3641,1,FALSE()))),"OLD",IF(AND(E3642&lt;&gt;"",E3642&lt;&gt;"!!!"),"NEW","")))</f>
        <v> </v>
      </c>
      <c r="G3642" s="23" t="str">
        <f>IF(OR(E3642="",E3642="!!!"),"",IF(OR(J3642=0,AND(J3642=1,K3642=1),AND(J3642=1,I3642="SBJ"),AND(J3642=1,I3642=0)),"?IN_FOCUS",IF(J3642&lt;=2,"?ACTIVATED",IF(J3642&lt;&gt;"","?FAMILIAR",IF(F3642="NEW",IF(ISNA(VLOOKUP(E3642,#REF!,1,FALSE())),"?TYPE_IDENTIFIABLE","?REFERENTIAL"),"_")))))</f>
        <v> </v>
      </c>
      <c r="H3642" s="24" t="str">
        <f>IF(J3642&lt;&gt;1,"",IF(I3642="SBJ","CB","?"))</f>
        <v> </v>
      </c>
      <c r="I3642" s="25" t="str">
        <f>IF(OR(E3642="",E3642="!!!",F3642="NEW"),"",INDEX(B3641:B$2,-1+SUMPRODUCT(MAX(ROW(E3641:E$2)*(E3642=E3641:E$2)))))</f>
        <v> </v>
      </c>
      <c r="J3642" s="25" t="str">
        <f>IF(OR(E3642="",E3642="!!!",F3642="NEW"),"",COUNTBLANK(OFFSET(A$1,,,SUMPRODUCT(MAX(ROW(E$2:E3642)*(E3642=E$2:E3642)))))-COUNTBLANK(OFFSET(A$1,,,SUMPRODUCT(MAX(ROW(E$1:E3641)*(E2=E$1:E3641))))))</f>
        <v> </v>
      </c>
      <c r="K3642" s="25" t="str">
        <f>IF(OR(E3642="",E3642="!!!",F3642="NEW"),"",INDEX(J$1:J3641,SUMPRODUCT(MAX(ROW(E$1:E3641)*(E3642=E$1:E3641)))))</f>
        <v> </v>
      </c>
      <c r="L3642" s="26"/>
    </row>
    <row r="3643" spans="1:12">
      <c r="A3643" s="20" t="s">
        <v>1177</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1017</v>
      </c>
      <c r="B3644" s="27" t="s">
        <v>1033</v>
      </c>
      <c r="C3644" s="27" t="s">
        <v>1013</v>
      </c>
      <c r="D3644" s="27" t="s">
        <v>1014</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140</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t="s">
        <v>1015</v>
      </c>
      <c r="E3646" s="21">
        <f>IF(D3646="?OLD","!!!","")</f>
        <v/>
      </c>
      <c r="F3646" s="22" t="str">
        <f>IF(OR(E3646="",E3646="!!!"),"",IF(NOT(ISNA(VLOOKUP(E3646,E$1:E3645,1,FALSE()))),"OLD",IF(AND(E3646&lt;&gt;"",E3646&lt;&gt;"!!!"),"NEW","")))</f>
        <v> </v>
      </c>
      <c r="G3646" s="23" t="str">
        <f>IF(OR(E3646="",E3646="!!!"),"",IF(OR(J3646=0,AND(J3646=1,K3646=1),AND(J3646=1,I3646="SBJ"),AND(J3646=1,I3646=0)),"?IN_FOCUS",IF(J3646&lt;=2,"?ACTIVATED",IF(J3646&lt;&gt;"","?FAMILIAR",IF(F3646="NEW",IF(ISNA(VLOOKUP(E3646,#REF!,1,FALSE())),"?TYPE_IDENTIFIABLE","?REFERENTIAL"),"_")))))</f>
        <v> </v>
      </c>
      <c r="H3646" s="24" t="str">
        <f>IF(J3646&lt;&gt;1,"",IF(I3646="SBJ","CB","?"))</f>
        <v> </v>
      </c>
      <c r="I3646" s="25" t="str">
        <f>IF(OR(E3646="",E3646="!!!",F3646="NEW"),"",INDEX(B3645:B$2,-1+SUMPRODUCT(MAX(ROW(E3645:E$2)*(E3646=E3645:E$2)))))</f>
        <v> </v>
      </c>
      <c r="J3646" s="25" t="str">
        <f>IF(OR(E3646="",E3646="!!!",F3646="NEW"),"",COUNTBLANK(OFFSET(A$1,,,SUMPRODUCT(MAX(ROW(E$2:E3646)*(E3646=E$2:E3646)))))-COUNTBLANK(OFFSET(A$1,,,SUMPRODUCT(MAX(ROW(E$1:E3645)*(E2=E$1:E3645))))))</f>
        <v> </v>
      </c>
      <c r="K3646" s="25" t="str">
        <f>IF(OR(E3646="",E3646="!!!",F3646="NEW"),"",INDEX(J$1:J3645,SUMPRODUCT(MAX(ROW(E$1:E3645)*(E3646=E$1:E3645)))))</f>
        <v> </v>
      </c>
      <c r="L3646" s="26"/>
    </row>
    <row r="3647" spans="1:12">
      <c r="A3647" s="20" t="s">
        <v>1336</v>
      </c>
      <c r="E3647" s="21">
        <f>IF(D3647="?OLD","!!!","")</f>
        <v/>
      </c>
      <c r="F3647" s="22" t="str">
        <f>IF(OR(E3647="",E3647="!!!"),"",IF(NOT(ISNA(VLOOKUP(E3647,E$1:E3646,1,FALSE()))),"OLD",IF(AND(E3647&lt;&gt;"",E3647&lt;&gt;"!!!"),"NEW","")))</f>
        <v> </v>
      </c>
      <c r="G3647" s="23" t="str">
        <f>IF(OR(E3647="",E3647="!!!"),"",IF(OR(J3647=0,AND(J3647=1,K3647=1),AND(J3647=1,I3647="SBJ"),AND(J3647=1,I3647=0)),"?IN_FOCUS",IF(J3647&lt;=2,"?ACTIVATED",IF(J3647&lt;&gt;"","?FAMILIAR",IF(F3647="NEW",IF(ISNA(VLOOKUP(E3647,#REF!,1,FALSE())),"?TYPE_IDENTIFIABLE","?REFERENTIAL"),"_")))))</f>
        <v> </v>
      </c>
      <c r="H3647" s="24" t="str">
        <f>IF(J3647&lt;&gt;1,"",IF(I3647="SBJ","CB","?"))</f>
        <v> </v>
      </c>
      <c r="I3647" s="25" t="str">
        <f>IF(OR(E3647="",E3647="!!!",F3647="NEW"),"",INDEX(B3646:B$2,-1+SUMPRODUCT(MAX(ROW(E3646:E$2)*(E3647=E3646:E$2)))))</f>
        <v> </v>
      </c>
      <c r="J3647" s="25" t="str">
        <f>IF(OR(E3647="",E3647="!!!",F3647="NEW"),"",COUNTBLANK(OFFSET(A$1,,,SUMPRODUCT(MAX(ROW(E$2:E3647)*(E3647=E$2:E3647)))))-COUNTBLANK(OFFSET(A$1,,,SUMPRODUCT(MAX(ROW(E$1:E3646)*(E2=E$1:E3646))))))</f>
        <v> </v>
      </c>
      <c r="K3647" s="25" t="str">
        <f>IF(OR(E3647="",E3647="!!!",F3647="NEW"),"",INDEX(J$1:J3646,SUMPRODUCT(MAX(ROW(E$1:E3646)*(E3647=E$1:E3646)))))</f>
        <v> </v>
      </c>
      <c r="L3647" s="26"/>
    </row>
    <row r="3648" spans="1:12">
      <c r="A3648" s="20" t="s">
        <v>1027</v>
      </c>
      <c r="E3648" s="21">
        <f>IF(D3648="?OLD","!!!","")</f>
        <v/>
      </c>
      <c r="F3648" s="22" t="str">
        <f>IF(OR(E3648="",E3648="!!!"),"",IF(NOT(ISNA(VLOOKUP(E3648,E$1:E3647,1,FALSE()))),"OLD",IF(AND(E3648&lt;&gt;"",E3648&lt;&gt;"!!!"),"NEW","")))</f>
        <v> </v>
      </c>
      <c r="G3648" s="23" t="str">
        <f>IF(OR(E3648="",E3648="!!!"),"",IF(OR(J3648=0,AND(J3648=1,K3648=1),AND(J3648=1,I3648="SBJ"),AND(J3648=1,I3648=0)),"?IN_FOCUS",IF(J3648&lt;=2,"?ACTIVATED",IF(J3648&lt;&gt;"","?FAMILIAR",IF(F3648="NEW",IF(ISNA(VLOOKUP(E3648,#REF!,1,FALSE())),"?TYPE_IDENTIFIABLE","?REFERENTIAL"),"_")))))</f>
        <v> </v>
      </c>
      <c r="H3648" s="24" t="str">
        <f>IF(J3648&lt;&gt;1,"",IF(I3648="SBJ","CB","?"))</f>
        <v> </v>
      </c>
      <c r="I3648" s="25" t="str">
        <f>IF(OR(E3648="",E3648="!!!",F3648="NEW"),"",INDEX(B3647:B$2,-1+SUMPRODUCT(MAX(ROW(E3647:E$2)*(E3648=E3647:E$2)))))</f>
        <v> </v>
      </c>
      <c r="J3648" s="25" t="str">
        <f>IF(OR(E3648="",E3648="!!!",F3648="NEW"),"",COUNTBLANK(OFFSET(A$1,,,SUMPRODUCT(MAX(ROW(E$2:E3648)*(E3648=E$2:E3648)))))-COUNTBLANK(OFFSET(A$1,,,SUMPRODUCT(MAX(ROW(E$1:E3647)*(E2=E$1:E3647))))))</f>
        <v> </v>
      </c>
      <c r="K3648" s="25" t="str">
        <f>IF(OR(E3648="",E3648="!!!",F3648="NEW"),"",INDEX(J$1:J3647,SUMPRODUCT(MAX(ROW(E$1:E3647)*(E3648=E$1:E3647)))))</f>
        <v> </v>
      </c>
      <c r="L3648" s="26"/>
    </row>
    <row r="3649" spans="1:12">
      <c r="A3649" s="20" t="s">
        <v>278</v>
      </c>
      <c r="E3649" s="21">
        <f>IF(D3649="?OLD","!!!","")</f>
        <v/>
      </c>
      <c r="F3649" s="22" t="str">
        <f>IF(OR(E3649="",E3649="!!!"),"",IF(NOT(ISNA(VLOOKUP(E3649,E$1:E3648,1,FALSE()))),"OLD",IF(AND(E3649&lt;&gt;"",E3649&lt;&gt;"!!!"),"NEW","")))</f>
        <v> </v>
      </c>
      <c r="G3649" s="23" t="str">
        <f>IF(OR(E3649="",E3649="!!!"),"",IF(OR(J3649=0,AND(J3649=1,K3649=1),AND(J3649=1,I3649="SBJ"),AND(J3649=1,I3649=0)),"?IN_FOCUS",IF(J3649&lt;=2,"?ACTIVATED",IF(J3649&lt;&gt;"","?FAMILIAR",IF(F3649="NEW",IF(ISNA(VLOOKUP(E3649,#REF!,1,FALSE())),"?TYPE_IDENTIFIABLE","?REFERENTIAL"),"_")))))</f>
        <v> </v>
      </c>
      <c r="H3649" s="24" t="str">
        <f>IF(J3649&lt;&gt;1,"",IF(I3649="SBJ","CB","?"))</f>
        <v> </v>
      </c>
      <c r="I3649" s="25" t="str">
        <f>IF(OR(E3649="",E3649="!!!",F3649="NEW"),"",INDEX(B3648:B$2,-1+SUMPRODUCT(MAX(ROW(E3648:E$2)*(E3649=E3648:E$2)))))</f>
        <v> </v>
      </c>
      <c r="J3649" s="25" t="str">
        <f>IF(OR(E3649="",E3649="!!!",F3649="NEW"),"",COUNTBLANK(OFFSET(A$1,,,SUMPRODUCT(MAX(ROW(E$2:E3649)*(E3649=E$2:E3649)))))-COUNTBLANK(OFFSET(A$1,,,SUMPRODUCT(MAX(ROW(E$1:E3648)*(E2=E$1:E3648))))))</f>
        <v> </v>
      </c>
      <c r="K3649" s="25" t="str">
        <f>IF(OR(E3649="",E3649="!!!",F3649="NEW"),"",INDEX(J$1:J3648,SUMPRODUCT(MAX(ROW(E$1:E3648)*(E3649=E$1:E3648)))))</f>
        <v> </v>
      </c>
      <c r="L3649" s="26"/>
    </row>
    <row r="3650" spans="1:12">
      <c r="A3650" s="20" t="s">
        <v>1974</v>
      </c>
      <c r="B3650" s="27" t="s">
        <v>1026</v>
      </c>
      <c r="C3650" s="27" t="s">
        <v>1101</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t="s">
        <v>1022</v>
      </c>
      <c r="E3651" s="21">
        <f>IF(D3651="?OLD","!!!","")</f>
        <v/>
      </c>
      <c r="F3651" s="22" t="str">
        <f>IF(OR(E3651="",E3651="!!!"),"",IF(NOT(ISNA(VLOOKUP(E3651,E$1:E3650,1,FALSE()))),"OLD",IF(AND(E3651&lt;&gt;"",E3651&lt;&gt;"!!!"),"NEW","")))</f>
        <v> </v>
      </c>
      <c r="G3651" s="23" t="str">
        <f>IF(OR(E3651="",E3651="!!!"),"",IF(OR(J3651=0,AND(J3651=1,K3651=1),AND(J3651=1,I3651="SBJ"),AND(J3651=1,I3651=0)),"?IN_FOCUS",IF(J3651&lt;=2,"?ACTIVATED",IF(J3651&lt;&gt;"","?FAMILIAR",IF(F3651="NEW",IF(ISNA(VLOOKUP(E3651,#REF!,1,FALSE())),"?TYPE_IDENTIFIABLE","?REFERENTIAL"),"_")))))</f>
        <v> </v>
      </c>
      <c r="H3651" s="24" t="str">
        <f>IF(J3651&lt;&gt;1,"",IF(I3651="SBJ","CB","?"))</f>
        <v> </v>
      </c>
      <c r="I3651" s="25" t="str">
        <f>IF(OR(E3651="",E3651="!!!",F3651="NEW"),"",INDEX(B3650:B$2,-1+SUMPRODUCT(MAX(ROW(E3650:E$2)*(E3651=E3650:E$2)))))</f>
        <v> </v>
      </c>
      <c r="J3651" s="25" t="str">
        <f>IF(OR(E3651="",E3651="!!!",F3651="NEW"),"",COUNTBLANK(OFFSET(A$1,,,SUMPRODUCT(MAX(ROW(E$2:E3651)*(E3651=E$2:E3651)))))-COUNTBLANK(OFFSET(A$1,,,SUMPRODUCT(MAX(ROW(E$1:E3650)*(E2=E$1:E3650))))))</f>
        <v> </v>
      </c>
      <c r="K3651" s="25" t="str">
        <f>IF(OR(E3651="",E3651="!!!",F3651="NEW"),"",INDEX(J$1:J3650,SUMPRODUCT(MAX(ROW(E$1:E3650)*(E3651=E$1:E3650)))))</f>
        <v> </v>
      </c>
      <c r="L3651" s="26"/>
    </row>
    <row r="3652" spans="1:12">
      <c r="A3652" s="20"/>
    </row>
    <row r="3653" spans="1:12">
      <c r="A3653" s="20" t="s">
        <v>1975</v>
      </c>
    </row>
    <row r="3654" spans="1:12">
      <c r="A3654" s="20" t="s">
        <v>1125</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864</v>
      </c>
      <c r="B3655" s="27" t="s">
        <v>1026</v>
      </c>
      <c r="C3655" s="27" t="s">
        <v>1044</v>
      </c>
      <c r="D3655" s="27" t="s">
        <v>1014</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1040</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1850</v>
      </c>
      <c r="B3657" s="27" t="s">
        <v>1026</v>
      </c>
      <c r="C3657" s="27" t="s">
        <v>1094</v>
      </c>
      <c r="D3657" s="27" t="s">
        <v>1014</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t="s">
        <v>1731</v>
      </c>
      <c r="E3658" s="21">
        <f>IF(D3658="?OLD","!!!","")</f>
        <v/>
      </c>
      <c r="F3658" s="22" t="str">
        <f>IF(OR(E3658="",E3658="!!!"),"",IF(NOT(ISNA(VLOOKUP(E3658,E$1:E3657,1,FALSE()))),"OLD",IF(AND(E3658&lt;&gt;"",E3658&lt;&gt;"!!!"),"NEW","")))</f>
        <v> </v>
      </c>
      <c r="G3658" s="23" t="str">
        <f>IF(OR(E3658="",E3658="!!!"),"",IF(OR(J3658=0,AND(J3658=1,K3658=1),AND(J3658=1,I3658="SBJ"),AND(J3658=1,I3658=0)),"?IN_FOCUS",IF(J3658&lt;=2,"?ACTIVATED",IF(J3658&lt;&gt;"","?FAMILIAR",IF(F3658="NEW",IF(ISNA(VLOOKUP(E3658,#REF!,1,FALSE())),"?TYPE_IDENTIFIABLE","?REFERENTIAL"),"_")))))</f>
        <v> </v>
      </c>
      <c r="H3658" s="24" t="str">
        <f>IF(J3658&lt;&gt;1,"",IF(I3658="SBJ","CB","?"))</f>
        <v> </v>
      </c>
      <c r="I3658" s="25" t="str">
        <f>IF(OR(E3658="",E3658="!!!",F3658="NEW"),"",INDEX(B3657:B$2,-1+SUMPRODUCT(MAX(ROW(E3657:E$2)*(E3658=E3657:E$2)))))</f>
        <v> </v>
      </c>
      <c r="J3658" s="25" t="str">
        <f>IF(OR(E3658="",E3658="!!!",F3658="NEW"),"",COUNTBLANK(OFFSET(A$1,,,SUMPRODUCT(MAX(ROW(E$2:E3658)*(E3658=E$2:E3658)))))-COUNTBLANK(OFFSET(A$1,,,SUMPRODUCT(MAX(ROW(E$1:E3657)*(E2=E$1:E3657))))))</f>
        <v> </v>
      </c>
      <c r="K3658" s="25" t="str">
        <f>IF(OR(E3658="",E3658="!!!",F3658="NEW"),"",INDEX(J$1:J3657,SUMPRODUCT(MAX(ROW(E$1:E3657)*(E3658=E$1:E3657)))))</f>
        <v> </v>
      </c>
      <c r="L3658" s="26"/>
    </row>
    <row r="3659" spans="1:12">
      <c r="A3659" s="20" t="s">
        <v>1122</v>
      </c>
      <c r="E3659" s="21">
        <f>IF(D3659="?OLD","!!!","")</f>
        <v/>
      </c>
      <c r="F3659" s="22" t="str">
        <f>IF(OR(E3659="",E3659="!!!"),"",IF(NOT(ISNA(VLOOKUP(E3659,E$1:E3658,1,FALSE()))),"OLD",IF(AND(E3659&lt;&gt;"",E3659&lt;&gt;"!!!"),"NEW","")))</f>
        <v> </v>
      </c>
      <c r="G3659" s="23" t="str">
        <f>IF(OR(E3659="",E3659="!!!"),"",IF(OR(J3659=0,AND(J3659=1,K3659=1),AND(J3659=1,I3659="SBJ"),AND(J3659=1,I3659=0)),"?IN_FOCUS",IF(J3659&lt;=2,"?ACTIVATED",IF(J3659&lt;&gt;"","?FAMILIAR",IF(F3659="NEW",IF(ISNA(VLOOKUP(E3659,#REF!,1,FALSE())),"?TYPE_IDENTIFIABLE","?REFERENTIAL"),"_")))))</f>
        <v> </v>
      </c>
      <c r="H3659" s="24" t="str">
        <f>IF(J3659&lt;&gt;1,"",IF(I3659="SBJ","CB","?"))</f>
        <v> </v>
      </c>
      <c r="I3659" s="25" t="str">
        <f>IF(OR(E3659="",E3659="!!!",F3659="NEW"),"",INDEX(B3658:B$2,-1+SUMPRODUCT(MAX(ROW(E3658:E$2)*(E3659=E3658:E$2)))))</f>
        <v> </v>
      </c>
      <c r="J3659" s="25" t="str">
        <f>IF(OR(E3659="",E3659="!!!",F3659="NEW"),"",COUNTBLANK(OFFSET(A$1,,,SUMPRODUCT(MAX(ROW(E$2:E3659)*(E3659=E$2:E3659)))))-COUNTBLANK(OFFSET(A$1,,,SUMPRODUCT(MAX(ROW(E$1:E3658)*(E2=E$1:E3658))))))</f>
        <v> </v>
      </c>
      <c r="K3659" s="25" t="str">
        <f>IF(OR(E3659="",E3659="!!!",F3659="NEW"),"",INDEX(J$1:J3658,SUMPRODUCT(MAX(ROW(E$1:E3658)*(E3659=E$1:E3658)))))</f>
        <v> </v>
      </c>
      <c r="L3659" s="26"/>
    </row>
    <row r="3660" spans="1:12">
      <c r="A3660" s="20" t="s">
        <v>1591</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t="s">
        <v>127</v>
      </c>
      <c r="E3661" s="21">
        <f>IF(D3661="?OLD","!!!","")</f>
        <v/>
      </c>
      <c r="F3661" s="22" t="str">
        <f>IF(OR(E3661="",E3661="!!!"),"",IF(NOT(ISNA(VLOOKUP(E3661,E$1:E3660,1,FALSE()))),"OLD",IF(AND(E3661&lt;&gt;"",E3661&lt;&gt;"!!!"),"NEW","")))</f>
        <v> </v>
      </c>
      <c r="G3661" s="23" t="str">
        <f>IF(OR(E3661="",E3661="!!!"),"",IF(OR(J3661=0,AND(J3661=1,K3661=1),AND(J3661=1,I3661="SBJ"),AND(J3661=1,I3661=0)),"?IN_FOCUS",IF(J3661&lt;=2,"?ACTIVATED",IF(J3661&lt;&gt;"","?FAMILIAR",IF(F3661="NEW",IF(ISNA(VLOOKUP(E3661,#REF!,1,FALSE())),"?TYPE_IDENTIFIABLE","?REFERENTIAL"),"_")))))</f>
        <v> </v>
      </c>
      <c r="H3661" s="24" t="str">
        <f>IF(J3661&lt;&gt;1,"",IF(I3661="SBJ","CB","?"))</f>
        <v> </v>
      </c>
      <c r="I3661" s="25" t="str">
        <f>IF(OR(E3661="",E3661="!!!",F3661="NEW"),"",INDEX(B3660:B$2,-1+SUMPRODUCT(MAX(ROW(E3660:E$2)*(E3661=E3660:E$2)))))</f>
        <v> </v>
      </c>
      <c r="J3661" s="25" t="str">
        <f>IF(OR(E3661="",E3661="!!!",F3661="NEW"),"",COUNTBLANK(OFFSET(A$1,,,SUMPRODUCT(MAX(ROW(E$2:E3661)*(E3661=E$2:E3661)))))-COUNTBLANK(OFFSET(A$1,,,SUMPRODUCT(MAX(ROW(E$1:E3660)*(E2=E$1:E3660))))))</f>
        <v> </v>
      </c>
      <c r="K3661" s="25" t="str">
        <f>IF(OR(E3661="",E3661="!!!",F3661="NEW"),"",INDEX(J$1:J3660,SUMPRODUCT(MAX(ROW(E$1:E3660)*(E3661=E$1:E3660)))))</f>
        <v> </v>
      </c>
      <c r="L3661" s="26"/>
    </row>
    <row r="3662" spans="1:12">
      <c r="A3662" s="20" t="s">
        <v>1191</v>
      </c>
      <c r="B3662" s="27" t="s">
        <v>1026</v>
      </c>
      <c r="C3662" s="27" t="s">
        <v>1155</v>
      </c>
      <c r="D3662" s="27" t="s">
        <v>1014</v>
      </c>
      <c r="E3662" s="21">
        <f>IF(D3662="?OLD","!!!","")</f>
        <v/>
      </c>
      <c r="F3662" s="22" t="str">
        <f>IF(OR(E3662="",E3662="!!!"),"",IF(NOT(ISNA(VLOOKUP(E3662,E$1:E3661,1,FALSE()))),"OLD",IF(AND(E3662&lt;&gt;"",E3662&lt;&gt;"!!!"),"NEW","")))</f>
        <v> </v>
      </c>
      <c r="G3662" s="23" t="str">
        <f>IF(OR(E3662="",E3662="!!!"),"",IF(OR(J3662=0,AND(J3662=1,K3662=1),AND(J3662=1,I3662="SBJ"),AND(J3662=1,I3662=0)),"?IN_FOCUS",IF(J3662&lt;=2,"?ACTIVATED",IF(J3662&lt;&gt;"","?FAMILIAR",IF(F3662="NEW",IF(ISNA(VLOOKUP(E3662,#REF!,1,FALSE())),"?TYPE_IDENTIFIABLE","?REFERENTIAL"),"_")))))</f>
        <v> </v>
      </c>
      <c r="H3662" s="24" t="str">
        <f>IF(J3662&lt;&gt;1,"",IF(I3662="SBJ","CB","?"))</f>
        <v> </v>
      </c>
      <c r="I3662" s="25" t="str">
        <f>IF(OR(E3662="",E3662="!!!",F3662="NEW"),"",INDEX(B3661:B$2,-1+SUMPRODUCT(MAX(ROW(E3661:E$2)*(E3662=E3661:E$2)))))</f>
        <v> </v>
      </c>
      <c r="J3662" s="25" t="str">
        <f>IF(OR(E3662="",E3662="!!!",F3662="NEW"),"",COUNTBLANK(OFFSET(A$1,,,SUMPRODUCT(MAX(ROW(E$2:E3662)*(E3662=E$2:E3662)))))-COUNTBLANK(OFFSET(A$1,,,SUMPRODUCT(MAX(ROW(E$1:E3661)*(E2=E$1:E3661))))))</f>
        <v> </v>
      </c>
      <c r="K3662" s="25" t="str">
        <f>IF(OR(E3662="",E3662="!!!",F3662="NEW"),"",INDEX(J$1:J3661,SUMPRODUCT(MAX(ROW(E$1:E3661)*(E3662=E$1:E3661)))))</f>
        <v> </v>
      </c>
      <c r="L3662" s="26"/>
    </row>
    <row r="3663" spans="1:12">
      <c r="A3663" s="20" t="s">
        <v>1022</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row>
    <row r="3665" spans="1:12">
      <c r="A3665" s="20" t="s">
        <v>1976</v>
      </c>
    </row>
    <row r="3666" spans="1:12">
      <c r="A3666" s="20" t="s">
        <v>868</v>
      </c>
      <c r="E3666" s="21">
        <f>IF(D3666="?OLD","!!!","")</f>
        <v/>
      </c>
      <c r="F3666" s="22" t="str">
        <f>IF(OR(E3666="",E3666="!!!"),"",IF(NOT(ISNA(VLOOKUP(E3666,E$1:E3665,1,FALSE()))),"OLD",IF(AND(E3666&lt;&gt;"",E3666&lt;&gt;"!!!"),"NEW","")))</f>
        <v> </v>
      </c>
      <c r="G3666" s="23" t="str">
        <f>IF(OR(E3666="",E3666="!!!"),"",IF(OR(J3666=0,AND(J3666=1,K3666=1),AND(J3666=1,I3666="SBJ"),AND(J3666=1,I3666=0)),"?IN_FOCUS",IF(J3666&lt;=2,"?ACTIVATED",IF(J3666&lt;&gt;"","?FAMILIAR",IF(F3666="NEW",IF(ISNA(VLOOKUP(E3666,#REF!,1,FALSE())),"?TYPE_IDENTIFIABLE","?REFERENTIAL"),"_")))))</f>
        <v> </v>
      </c>
      <c r="H3666" s="24" t="str">
        <f>IF(J3666&lt;&gt;1,"",IF(I3666="SBJ","CB","?"))</f>
        <v> </v>
      </c>
      <c r="I3666" s="25" t="str">
        <f>IF(OR(E3666="",E3666="!!!",F3666="NEW"),"",INDEX(B3665:B$2,-1+SUMPRODUCT(MAX(ROW(E3665:E$2)*(E3666=E3665:E$2)))))</f>
        <v> </v>
      </c>
      <c r="J3666" s="25" t="str">
        <f>IF(OR(E3666="",E3666="!!!",F3666="NEW"),"",COUNTBLANK(OFFSET(A$1,,,SUMPRODUCT(MAX(ROW(E$2:E3666)*(E3666=E$2:E3666)))))-COUNTBLANK(OFFSET(A$1,,,SUMPRODUCT(MAX(ROW(E$1:E3665)*(E2=E$1:E3665))))))</f>
        <v> </v>
      </c>
      <c r="K3666" s="25" t="str">
        <f>IF(OR(E3666="",E3666="!!!",F3666="NEW"),"",INDEX(J$1:J3665,SUMPRODUCT(MAX(ROW(E$1:E3665)*(E3666=E$1:E3665)))))</f>
        <v> </v>
      </c>
      <c r="L3666" s="26"/>
    </row>
    <row r="3667" spans="1:12">
      <c r="A3667" s="20" t="s">
        <v>1022</v>
      </c>
      <c r="E3667" s="21">
        <f>IF(D3667="?OLD","!!!","")</f>
        <v/>
      </c>
      <c r="F3667" s="22" t="str">
        <f>IF(OR(E3667="",E3667="!!!"),"",IF(NOT(ISNA(VLOOKUP(E3667,E$1:E3666,1,FALSE()))),"OLD",IF(AND(E3667&lt;&gt;"",E3667&lt;&gt;"!!!"),"NEW","")))</f>
        <v> </v>
      </c>
      <c r="G3667" s="23" t="str">
        <f>IF(OR(E3667="",E3667="!!!"),"",IF(OR(J3667=0,AND(J3667=1,K3667=1),AND(J3667=1,I3667="SBJ"),AND(J3667=1,I3667=0)),"?IN_FOCUS",IF(J3667&lt;=2,"?ACTIVATED",IF(J3667&lt;&gt;"","?FAMILIAR",IF(F3667="NEW",IF(ISNA(VLOOKUP(E3667,#REF!,1,FALSE())),"?TYPE_IDENTIFIABLE","?REFERENTIAL"),"_")))))</f>
        <v> </v>
      </c>
      <c r="H3667" s="24" t="str">
        <f>IF(J3667&lt;&gt;1,"",IF(I3667="SBJ","CB","?"))</f>
        <v> </v>
      </c>
      <c r="I3667" s="25" t="str">
        <f>IF(OR(E3667="",E3667="!!!",F3667="NEW"),"",INDEX(B3666:B$2,-1+SUMPRODUCT(MAX(ROW(E3666:E$2)*(E3667=E3666:E$2)))))</f>
        <v> </v>
      </c>
      <c r="J3667" s="25" t="str">
        <f>IF(OR(E3667="",E3667="!!!",F3667="NEW"),"",COUNTBLANK(OFFSET(A$1,,,SUMPRODUCT(MAX(ROW(E$2:E3667)*(E3667=E$2:E3667)))))-COUNTBLANK(OFFSET(A$1,,,SUMPRODUCT(MAX(ROW(E$1:E3666)*(E2=E$1:E3666))))))</f>
        <v> </v>
      </c>
      <c r="K3667" s="25" t="str">
        <f>IF(OR(E3667="",E3667="!!!",F3667="NEW"),"",INDEX(J$1:J3666,SUMPRODUCT(MAX(ROW(E$1:E3666)*(E3667=E$1:E3666)))))</f>
        <v> </v>
      </c>
      <c r="L3667" s="26"/>
    </row>
    <row r="3668" spans="1:12">
      <c r="A3668" s="20"/>
    </row>
    <row r="3669" spans="1:12">
      <c r="A3669" s="20" t="s">
        <v>1976</v>
      </c>
    </row>
    <row r="3670" spans="1:12">
      <c r="A3670" s="20" t="s">
        <v>868</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t="s">
        <v>1022</v>
      </c>
      <c r="E3671" s="21">
        <f>IF(D3671="?OLD","!!!","")</f>
        <v/>
      </c>
      <c r="F3671" s="22" t="str">
        <f>IF(OR(E3671="",E3671="!!!"),"",IF(NOT(ISNA(VLOOKUP(E3671,E$1:E3670,1,FALSE()))),"OLD",IF(AND(E3671&lt;&gt;"",E3671&lt;&gt;"!!!"),"NEW","")))</f>
        <v> </v>
      </c>
      <c r="G3671" s="23" t="str">
        <f>IF(OR(E3671="",E3671="!!!"),"",IF(OR(J3671=0,AND(J3671=1,K3671=1),AND(J3671=1,I3671="SBJ"),AND(J3671=1,I3671=0)),"?IN_FOCUS",IF(J3671&lt;=2,"?ACTIVATED",IF(J3671&lt;&gt;"","?FAMILIAR",IF(F3671="NEW",IF(ISNA(VLOOKUP(E3671,#REF!,1,FALSE())),"?TYPE_IDENTIFIABLE","?REFERENTIAL"),"_")))))</f>
        <v> </v>
      </c>
      <c r="H3671" s="24" t="str">
        <f>IF(J3671&lt;&gt;1,"",IF(I3671="SBJ","CB","?"))</f>
        <v> </v>
      </c>
      <c r="I3671" s="25" t="str">
        <f>IF(OR(E3671="",E3671="!!!",F3671="NEW"),"",INDEX(B3670:B$2,-1+SUMPRODUCT(MAX(ROW(E3670:E$2)*(E3671=E3670:E$2)))))</f>
        <v> </v>
      </c>
      <c r="J3671" s="25" t="str">
        <f>IF(OR(E3671="",E3671="!!!",F3671="NEW"),"",COUNTBLANK(OFFSET(A$1,,,SUMPRODUCT(MAX(ROW(E$2:E3671)*(E3671=E$2:E3671)))))-COUNTBLANK(OFFSET(A$1,,,SUMPRODUCT(MAX(ROW(E$1:E3670)*(E2=E$1:E3670))))))</f>
        <v> </v>
      </c>
      <c r="K3671" s="25" t="str">
        <f>IF(OR(E3671="",E3671="!!!",F3671="NEW"),"",INDEX(J$1:J3670,SUMPRODUCT(MAX(ROW(E$1:E3670)*(E3671=E$1:E3670)))))</f>
        <v> </v>
      </c>
      <c r="L3671" s="26"/>
    </row>
    <row r="3672" spans="1:12">
      <c r="A3672" s="20"/>
    </row>
    <row r="3673" spans="1:12">
      <c r="A3673" s="20" t="s">
        <v>1977</v>
      </c>
    </row>
    <row r="3674" spans="1:12">
      <c r="A3674" s="20" t="s">
        <v>1082</v>
      </c>
      <c r="B3674" s="27" t="s">
        <v>1038</v>
      </c>
      <c r="C3674" s="27" t="s">
        <v>1013</v>
      </c>
      <c r="D3674" s="27" t="s">
        <v>1014</v>
      </c>
      <c r="E3674" s="21">
        <f>IF(D3674="?OLD","!!!","")</f>
        <v/>
      </c>
      <c r="F3674" s="22" t="str">
        <f>IF(OR(E3674="",E3674="!!!"),"",IF(NOT(ISNA(VLOOKUP(E3674,E$1:E3673,1,FALSE()))),"OLD",IF(AND(E3674&lt;&gt;"",E3674&lt;&gt;"!!!"),"NEW","")))</f>
        <v> </v>
      </c>
      <c r="G3674" s="23" t="str">
        <f>IF(OR(E3674="",E3674="!!!"),"",IF(OR(J3674=0,AND(J3674=1,K3674=1),AND(J3674=1,I3674="SBJ"),AND(J3674=1,I3674=0)),"?IN_FOCUS",IF(J3674&lt;=2,"?ACTIVATED",IF(J3674&lt;&gt;"","?FAMILIAR",IF(F3674="NEW",IF(ISNA(VLOOKUP(E3674,#REF!,1,FALSE())),"?TYPE_IDENTIFIABLE","?REFERENTIAL"),"_")))))</f>
        <v> </v>
      </c>
      <c r="H3674" s="24" t="str">
        <f>IF(J3674&lt;&gt;1,"",IF(I3674="SBJ","CB","?"))</f>
        <v> </v>
      </c>
      <c r="I3674" s="25" t="str">
        <f>IF(OR(E3674="",E3674="!!!",F3674="NEW"),"",INDEX(B3673:B$2,-1+SUMPRODUCT(MAX(ROW(E3673:E$2)*(E3674=E3673:E$2)))))</f>
        <v> </v>
      </c>
      <c r="J3674" s="25" t="str">
        <f>IF(OR(E3674="",E3674="!!!",F3674="NEW"),"",COUNTBLANK(OFFSET(A$1,,,SUMPRODUCT(MAX(ROW(E$2:E3674)*(E3674=E$2:E3674)))))-COUNTBLANK(OFFSET(A$1,,,SUMPRODUCT(MAX(ROW(E$1:E3673)*(E2=E$1:E3673))))))</f>
        <v> </v>
      </c>
      <c r="K3674" s="25" t="str">
        <f>IF(OR(E3674="",E3674="!!!",F3674="NEW"),"",INDEX(J$1:J3673,SUMPRODUCT(MAX(ROW(E$1:E3673)*(E3674=E$1:E3673)))))</f>
        <v> </v>
      </c>
      <c r="L3674" s="26"/>
    </row>
    <row r="3675" spans="1:12">
      <c r="A3675" s="20" t="s">
        <v>196</v>
      </c>
      <c r="E3675" s="21">
        <f>IF(D3675="?OLD","!!!","")</f>
        <v/>
      </c>
      <c r="F3675" s="22" t="str">
        <f>IF(OR(E3675="",E3675="!!!"),"",IF(NOT(ISNA(VLOOKUP(E3675,E$1:E3674,1,FALSE()))),"OLD",IF(AND(E3675&lt;&gt;"",E3675&lt;&gt;"!!!"),"NEW","")))</f>
        <v> </v>
      </c>
      <c r="G3675" s="23" t="str">
        <f>IF(OR(E3675="",E3675="!!!"),"",IF(OR(J3675=0,AND(J3675=1,K3675=1),AND(J3675=1,I3675="SBJ"),AND(J3675=1,I3675=0)),"?IN_FOCUS",IF(J3675&lt;=2,"?ACTIVATED",IF(J3675&lt;&gt;"","?FAMILIAR",IF(F3675="NEW",IF(ISNA(VLOOKUP(E3675,#REF!,1,FALSE())),"?TYPE_IDENTIFIABLE","?REFERENTIAL"),"_")))))</f>
        <v> </v>
      </c>
      <c r="H3675" s="24" t="str">
        <f>IF(J3675&lt;&gt;1,"",IF(I3675="SBJ","CB","?"))</f>
        <v> </v>
      </c>
      <c r="I3675" s="25" t="str">
        <f>IF(OR(E3675="",E3675="!!!",F3675="NEW"),"",INDEX(B3674:B$2,-1+SUMPRODUCT(MAX(ROW(E3674:E$2)*(E3675=E3674:E$2)))))</f>
        <v> </v>
      </c>
      <c r="J3675" s="25" t="str">
        <f>IF(OR(E3675="",E3675="!!!",F3675="NEW"),"",COUNTBLANK(OFFSET(A$1,,,SUMPRODUCT(MAX(ROW(E$2:E3675)*(E3675=E$2:E3675)))))-COUNTBLANK(OFFSET(A$1,,,SUMPRODUCT(MAX(ROW(E$1:E3674)*(E2=E$1:E3674))))))</f>
        <v> </v>
      </c>
      <c r="K3675" s="25" t="str">
        <f>IF(OR(E3675="",E3675="!!!",F3675="NEW"),"",INDEX(J$1:J3674,SUMPRODUCT(MAX(ROW(E$1:E3674)*(E3675=E$1:E3674)))))</f>
        <v> </v>
      </c>
      <c r="L3675" s="26"/>
    </row>
    <row r="3676" spans="1:12">
      <c r="A3676" s="20" t="s">
        <v>1032</v>
      </c>
      <c r="B3676" s="27" t="s">
        <v>1012</v>
      </c>
      <c r="C3676" s="27" t="s">
        <v>1013</v>
      </c>
      <c r="D3676" s="27" t="s">
        <v>1014</v>
      </c>
      <c r="E3676" s="21">
        <f>IF(D3676="?OLD","!!!","")</f>
        <v/>
      </c>
      <c r="F3676" s="22" t="str">
        <f>IF(OR(E3676="",E3676="!!!"),"",IF(NOT(ISNA(VLOOKUP(E3676,E$1:E3675,1,FALSE()))),"OLD",IF(AND(E3676&lt;&gt;"",E3676&lt;&gt;"!!!"),"NEW","")))</f>
        <v> </v>
      </c>
      <c r="G3676" s="23" t="str">
        <f>IF(OR(E3676="",E3676="!!!"),"",IF(OR(J3676=0,AND(J3676=1,K3676=1),AND(J3676=1,I3676="SBJ"),AND(J3676=1,I3676=0)),"?IN_FOCUS",IF(J3676&lt;=2,"?ACTIVATED",IF(J3676&lt;&gt;"","?FAMILIAR",IF(F3676="NEW",IF(ISNA(VLOOKUP(E3676,#REF!,1,FALSE())),"?TYPE_IDENTIFIABLE","?REFERENTIAL"),"_")))))</f>
        <v> </v>
      </c>
      <c r="H3676" s="24" t="str">
        <f>IF(J3676&lt;&gt;1,"",IF(I3676="SBJ","CB","?"))</f>
        <v> </v>
      </c>
      <c r="I3676" s="25" t="str">
        <f>IF(OR(E3676="",E3676="!!!",F3676="NEW"),"",INDEX(B3675:B$2,-1+SUMPRODUCT(MAX(ROW(E3675:E$2)*(E3676=E3675:E$2)))))</f>
        <v> </v>
      </c>
      <c r="J3676" s="25" t="str">
        <f>IF(OR(E3676="",E3676="!!!",F3676="NEW"),"",COUNTBLANK(OFFSET(A$1,,,SUMPRODUCT(MAX(ROW(E$2:E3676)*(E3676=E$2:E3676)))))-COUNTBLANK(OFFSET(A$1,,,SUMPRODUCT(MAX(ROW(E$1:E3675)*(E2=E$1:E3675))))))</f>
        <v> </v>
      </c>
      <c r="K3676" s="25" t="str">
        <f>IF(OR(E3676="",E3676="!!!",F3676="NEW"),"",INDEX(J$1:J3675,SUMPRODUCT(MAX(ROW(E$1:E3675)*(E3676=E$1:E3675)))))</f>
        <v> </v>
      </c>
      <c r="L3676" s="26"/>
    </row>
    <row r="3677" spans="1:12">
      <c r="A3677" s="20" t="s">
        <v>1027</v>
      </c>
      <c r="E3677" s="21">
        <f>IF(D3677="?OLD","!!!","")</f>
        <v/>
      </c>
      <c r="F3677" s="22" t="str">
        <f>IF(OR(E3677="",E3677="!!!"),"",IF(NOT(ISNA(VLOOKUP(E3677,E$1:E3676,1,FALSE()))),"OLD",IF(AND(E3677&lt;&gt;"",E3677&lt;&gt;"!!!"),"NEW","")))</f>
        <v> </v>
      </c>
      <c r="G3677" s="23" t="str">
        <f>IF(OR(E3677="",E3677="!!!"),"",IF(OR(J3677=0,AND(J3677=1,K3677=1),AND(J3677=1,I3677="SBJ"),AND(J3677=1,I3677=0)),"?IN_FOCUS",IF(J3677&lt;=2,"?ACTIVATED",IF(J3677&lt;&gt;"","?FAMILIAR",IF(F3677="NEW",IF(ISNA(VLOOKUP(E3677,#REF!,1,FALSE())),"?TYPE_IDENTIFIABLE","?REFERENTIAL"),"_")))))</f>
        <v> </v>
      </c>
      <c r="H3677" s="24" t="str">
        <f>IF(J3677&lt;&gt;1,"",IF(I3677="SBJ","CB","?"))</f>
        <v> </v>
      </c>
      <c r="I3677" s="25" t="str">
        <f>IF(OR(E3677="",E3677="!!!",F3677="NEW"),"",INDEX(B3676:B$2,-1+SUMPRODUCT(MAX(ROW(E3676:E$2)*(E3677=E3676:E$2)))))</f>
        <v> </v>
      </c>
      <c r="J3677" s="25" t="str">
        <f>IF(OR(E3677="",E3677="!!!",F3677="NEW"),"",COUNTBLANK(OFFSET(A$1,,,SUMPRODUCT(MAX(ROW(E$2:E3677)*(E3677=E$2:E3677)))))-COUNTBLANK(OFFSET(A$1,,,SUMPRODUCT(MAX(ROW(E$1:E3676)*(E2=E$1:E3676))))))</f>
        <v> </v>
      </c>
      <c r="K3677" s="25" t="str">
        <f>IF(OR(E3677="",E3677="!!!",F3677="NEW"),"",INDEX(J$1:J3676,SUMPRODUCT(MAX(ROW(E$1:E3676)*(E3677=E$1:E3676)))))</f>
        <v> </v>
      </c>
      <c r="L3677" s="26"/>
    </row>
    <row r="3678" spans="1:12">
      <c r="A3678" s="20" t="s">
        <v>1031</v>
      </c>
      <c r="E3678" s="21">
        <f>IF(D3678="?OLD","!!!","")</f>
        <v/>
      </c>
      <c r="F3678" s="22" t="str">
        <f>IF(OR(E3678="",E3678="!!!"),"",IF(NOT(ISNA(VLOOKUP(E3678,E$1:E3677,1,FALSE()))),"OLD",IF(AND(E3678&lt;&gt;"",E3678&lt;&gt;"!!!"),"NEW","")))</f>
        <v> </v>
      </c>
      <c r="G3678" s="23" t="str">
        <f>IF(OR(E3678="",E3678="!!!"),"",IF(OR(J3678=0,AND(J3678=1,K3678=1),AND(J3678=1,I3678="SBJ"),AND(J3678=1,I3678=0)),"?IN_FOCUS",IF(J3678&lt;=2,"?ACTIVATED",IF(J3678&lt;&gt;"","?FAMILIAR",IF(F3678="NEW",IF(ISNA(VLOOKUP(E3678,#REF!,1,FALSE())),"?TYPE_IDENTIFIABLE","?REFERENTIAL"),"_")))))</f>
        <v> </v>
      </c>
      <c r="H3678" s="24" t="str">
        <f>IF(J3678&lt;&gt;1,"",IF(I3678="SBJ","CB","?"))</f>
        <v> </v>
      </c>
      <c r="I3678" s="25" t="str">
        <f>IF(OR(E3678="",E3678="!!!",F3678="NEW"),"",INDEX(B3677:B$2,-1+SUMPRODUCT(MAX(ROW(E3677:E$2)*(E3678=E3677:E$2)))))</f>
        <v> </v>
      </c>
      <c r="J3678" s="25" t="str">
        <f>IF(OR(E3678="",E3678="!!!",F3678="NEW"),"",COUNTBLANK(OFFSET(A$1,,,SUMPRODUCT(MAX(ROW(E$2:E3678)*(E3678=E$2:E3678)))))-COUNTBLANK(OFFSET(A$1,,,SUMPRODUCT(MAX(ROW(E$1:E3677)*(E2=E$1:E3677))))))</f>
        <v> </v>
      </c>
      <c r="K3678" s="25" t="str">
        <f>IF(OR(E3678="",E3678="!!!",F3678="NEW"),"",INDEX(J$1:J3677,SUMPRODUCT(MAX(ROW(E$1:E3677)*(E3678=E$1:E3677)))))</f>
        <v> </v>
      </c>
      <c r="L3678" s="26"/>
    </row>
    <row r="3679" spans="1:12">
      <c r="A3679" s="20" t="s">
        <v>1017</v>
      </c>
      <c r="B3679" s="27" t="s">
        <v>1033</v>
      </c>
      <c r="C3679" s="27" t="s">
        <v>1013</v>
      </c>
      <c r="D3679" s="27" t="s">
        <v>1014</v>
      </c>
      <c r="E3679" s="21">
        <f>IF(D3679="?OLD","!!!","")</f>
        <v/>
      </c>
      <c r="F3679" s="22" t="str">
        <f>IF(OR(E3679="",E3679="!!!"),"",IF(NOT(ISNA(VLOOKUP(E3679,E$1:E3678,1,FALSE()))),"OLD",IF(AND(E3679&lt;&gt;"",E3679&lt;&gt;"!!!"),"NEW","")))</f>
        <v> </v>
      </c>
      <c r="G3679" s="23" t="str">
        <f>IF(OR(E3679="",E3679="!!!"),"",IF(OR(J3679=0,AND(J3679=1,K3679=1),AND(J3679=1,I3679="SBJ"),AND(J3679=1,I3679=0)),"?IN_FOCUS",IF(J3679&lt;=2,"?ACTIVATED",IF(J3679&lt;&gt;"","?FAMILIAR",IF(F3679="NEW",IF(ISNA(VLOOKUP(E3679,#REF!,1,FALSE())),"?TYPE_IDENTIFIABLE","?REFERENTIAL"),"_")))))</f>
        <v> </v>
      </c>
      <c r="H3679" s="24" t="str">
        <f>IF(J3679&lt;&gt;1,"",IF(I3679="SBJ","CB","?"))</f>
        <v> </v>
      </c>
      <c r="I3679" s="25" t="str">
        <f>IF(OR(E3679="",E3679="!!!",F3679="NEW"),"",INDEX(B3678:B$2,-1+SUMPRODUCT(MAX(ROW(E3678:E$2)*(E3679=E3678:E$2)))))</f>
        <v> </v>
      </c>
      <c r="J3679" s="25" t="str">
        <f>IF(OR(E3679="",E3679="!!!",F3679="NEW"),"",COUNTBLANK(OFFSET(A$1,,,SUMPRODUCT(MAX(ROW(E$2:E3679)*(E3679=E$2:E3679)))))-COUNTBLANK(OFFSET(A$1,,,SUMPRODUCT(MAX(ROW(E$1:E3678)*(E2=E$1:E3678))))))</f>
        <v> </v>
      </c>
      <c r="K3679" s="25" t="str">
        <f>IF(OR(E3679="",E3679="!!!",F3679="NEW"),"",INDEX(J$1:J3678,SUMPRODUCT(MAX(ROW(E$1:E3678)*(E3679=E$1:E3678)))))</f>
        <v> </v>
      </c>
      <c r="L3679" s="26"/>
    </row>
    <row r="3680" spans="1:12">
      <c r="A3680" s="20" t="s">
        <v>1299</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544</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1557</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1032</v>
      </c>
      <c r="B3683" s="27" t="s">
        <v>1070</v>
      </c>
      <c r="C3683" s="27" t="s">
        <v>1013</v>
      </c>
      <c r="D3683" s="27" t="s">
        <v>1014</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t="s">
        <v>1046</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1154</v>
      </c>
      <c r="B3685" s="27" t="s">
        <v>1043</v>
      </c>
      <c r="C3685" s="27" t="s">
        <v>1013</v>
      </c>
      <c r="D3685" s="27" t="s">
        <v>1014</v>
      </c>
      <c r="E3685" s="21">
        <f>IF(D3685="?OLD","!!!","")</f>
        <v/>
      </c>
      <c r="F3685" s="22" t="str">
        <f>IF(OR(E3685="",E3685="!!!"),"",IF(NOT(ISNA(VLOOKUP(E3685,E$1:E3684,1,FALSE()))),"OLD",IF(AND(E3685&lt;&gt;"",E3685&lt;&gt;"!!!"),"NEW","")))</f>
        <v> </v>
      </c>
      <c r="G3685" s="23" t="str">
        <f>IF(OR(E3685="",E3685="!!!"),"",IF(OR(J3685=0,AND(J3685=1,K3685=1),AND(J3685=1,I3685="SBJ"),AND(J3685=1,I3685=0)),"?IN_FOCUS",IF(J3685&lt;=2,"?ACTIVATED",IF(J3685&lt;&gt;"","?FAMILIAR",IF(F3685="NEW",IF(ISNA(VLOOKUP(E3685,#REF!,1,FALSE())),"?TYPE_IDENTIFIABLE","?REFERENTIAL"),"_")))))</f>
        <v> </v>
      </c>
      <c r="H3685" s="24" t="str">
        <f>IF(J3685&lt;&gt;1,"",IF(I3685="SBJ","CB","?"))</f>
        <v> </v>
      </c>
      <c r="I3685" s="25" t="str">
        <f>IF(OR(E3685="",E3685="!!!",F3685="NEW"),"",INDEX(B3684:B$2,-1+SUMPRODUCT(MAX(ROW(E3684:E$2)*(E3685=E3684:E$2)))))</f>
        <v> </v>
      </c>
      <c r="J3685" s="25" t="str">
        <f>IF(OR(E3685="",E3685="!!!",F3685="NEW"),"",COUNTBLANK(OFFSET(A$1,,,SUMPRODUCT(MAX(ROW(E$2:E3685)*(E3685=E$2:E3685)))))-COUNTBLANK(OFFSET(A$1,,,SUMPRODUCT(MAX(ROW(E$1:E3684)*(E2=E$1:E3684))))))</f>
        <v> </v>
      </c>
      <c r="K3685" s="25" t="str">
        <f>IF(OR(E3685="",E3685="!!!",F3685="NEW"),"",INDEX(J$1:J3684,SUMPRODUCT(MAX(ROW(E$1:E3684)*(E3685=E$1:E3684)))))</f>
        <v> </v>
      </c>
      <c r="L3685" s="26"/>
    </row>
    <row r="3686" spans="1:12">
      <c r="A3686" s="20" t="s">
        <v>1022</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row>
    <row r="3688" spans="1:12">
      <c r="A3688" s="20" t="s">
        <v>1679</v>
      </c>
    </row>
    <row r="3689" spans="1:12">
      <c r="A3689" s="20" t="s">
        <v>1036</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t="s">
        <v>511</v>
      </c>
      <c r="B3690" s="27" t="s">
        <v>1026</v>
      </c>
      <c r="C3690" s="27" t="s">
        <v>1059</v>
      </c>
      <c r="E3690" s="21">
        <f>IF(D3690="?OLD","!!!","")</f>
        <v/>
      </c>
      <c r="F3690" s="22" t="str">
        <f>IF(OR(E3690="",E3690="!!!"),"",IF(NOT(ISNA(VLOOKUP(E3690,E$1:E3689,1,FALSE()))),"OLD",IF(AND(E3690&lt;&gt;"",E3690&lt;&gt;"!!!"),"NEW","")))</f>
        <v> </v>
      </c>
      <c r="G3690" s="23" t="str">
        <f>IF(OR(E3690="",E3690="!!!"),"",IF(OR(J3690=0,AND(J3690=1,K3690=1),AND(J3690=1,I3690="SBJ"),AND(J3690=1,I3690=0)),"?IN_FOCUS",IF(J3690&lt;=2,"?ACTIVATED",IF(J3690&lt;&gt;"","?FAMILIAR",IF(F3690="NEW",IF(ISNA(VLOOKUP(E3690,#REF!,1,FALSE())),"?TYPE_IDENTIFIABLE","?REFERENTIAL"),"_")))))</f>
        <v> </v>
      </c>
      <c r="H3690" s="24" t="str">
        <f>IF(J3690&lt;&gt;1,"",IF(I3690="SBJ","CB","?"))</f>
        <v> </v>
      </c>
      <c r="I3690" s="25" t="str">
        <f>IF(OR(E3690="",E3690="!!!",F3690="NEW"),"",INDEX(B3689:B$2,-1+SUMPRODUCT(MAX(ROW(E3689:E$2)*(E3690=E3689:E$2)))))</f>
        <v> </v>
      </c>
      <c r="J3690" s="25" t="str">
        <f>IF(OR(E3690="",E3690="!!!",F3690="NEW"),"",COUNTBLANK(OFFSET(A$1,,,SUMPRODUCT(MAX(ROW(E$2:E3690)*(E3690=E$2:E3690)))))-COUNTBLANK(OFFSET(A$1,,,SUMPRODUCT(MAX(ROW(E$1:E3689)*(E2=E$1:E3689))))))</f>
        <v> </v>
      </c>
      <c r="K3690" s="25" t="str">
        <f>IF(OR(E3690="",E3690="!!!",F3690="NEW"),"",INDEX(J$1:J3689,SUMPRODUCT(MAX(ROW(E$1:E3689)*(E3690=E$1:E3689)))))</f>
        <v> </v>
      </c>
      <c r="L3690" s="26"/>
    </row>
    <row r="3691" spans="1:12">
      <c r="A3691" s="20" t="s">
        <v>1200</v>
      </c>
      <c r="E3691" s="21">
        <f>IF(D3691="?OLD","!!!","")</f>
        <v/>
      </c>
      <c r="F3691" s="22" t="str">
        <f>IF(OR(E3691="",E3691="!!!"),"",IF(NOT(ISNA(VLOOKUP(E3691,E$1:E3690,1,FALSE()))),"OLD",IF(AND(E3691&lt;&gt;"",E3691&lt;&gt;"!!!"),"NEW","")))</f>
        <v> </v>
      </c>
      <c r="G3691" s="23" t="str">
        <f>IF(OR(E3691="",E3691="!!!"),"",IF(OR(J3691=0,AND(J3691=1,K3691=1),AND(J3691=1,I3691="SBJ"),AND(J3691=1,I3691=0)),"?IN_FOCUS",IF(J3691&lt;=2,"?ACTIVATED",IF(J3691&lt;&gt;"","?FAMILIAR",IF(F3691="NEW",IF(ISNA(VLOOKUP(E3691,#REF!,1,FALSE())),"?TYPE_IDENTIFIABLE","?REFERENTIAL"),"_")))))</f>
        <v> </v>
      </c>
      <c r="H3691" s="24" t="str">
        <f>IF(J3691&lt;&gt;1,"",IF(I3691="SBJ","CB","?"))</f>
        <v> </v>
      </c>
      <c r="I3691" s="25" t="str">
        <f>IF(OR(E3691="",E3691="!!!",F3691="NEW"),"",INDEX(B3690:B$2,-1+SUMPRODUCT(MAX(ROW(E3690:E$2)*(E3691=E3690:E$2)))))</f>
        <v> </v>
      </c>
      <c r="J3691" s="25" t="str">
        <f>IF(OR(E3691="",E3691="!!!",F3691="NEW"),"",COUNTBLANK(OFFSET(A$1,,,SUMPRODUCT(MAX(ROW(E$2:E3691)*(E3691=E$2:E3691)))))-COUNTBLANK(OFFSET(A$1,,,SUMPRODUCT(MAX(ROW(E$1:E3690)*(E2=E$1:E3690))))))</f>
        <v> </v>
      </c>
      <c r="K3691" s="25" t="str">
        <f>IF(OR(E3691="",E3691="!!!",F3691="NEW"),"",INDEX(J$1:J3690,SUMPRODUCT(MAX(ROW(E$1:E3690)*(E3691=E$1:E3690)))))</f>
        <v> </v>
      </c>
      <c r="L3691" s="26"/>
    </row>
    <row r="3692" spans="1:12">
      <c r="A3692" s="20"/>
    </row>
    <row r="3693" spans="1:12">
      <c r="A3693" s="20" t="s">
        <v>1978</v>
      </c>
    </row>
    <row r="3694" spans="1:12">
      <c r="A3694" s="20" t="s">
        <v>1979</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t="s">
        <v>1409</v>
      </c>
      <c r="E3695" s="21">
        <f>IF(D3695="?OLD","!!!","")</f>
        <v/>
      </c>
      <c r="F3695" s="22" t="str">
        <f>IF(OR(E3695="",E3695="!!!"),"",IF(NOT(ISNA(VLOOKUP(E3695,E$1:E3694,1,FALSE()))),"OLD",IF(AND(E3695&lt;&gt;"",E3695&lt;&gt;"!!!"),"NEW","")))</f>
        <v> </v>
      </c>
      <c r="G3695" s="23" t="str">
        <f>IF(OR(E3695="",E3695="!!!"),"",IF(OR(J3695=0,AND(J3695=1,K3695=1),AND(J3695=1,I3695="SBJ"),AND(J3695=1,I3695=0)),"?IN_FOCUS",IF(J3695&lt;=2,"?ACTIVATED",IF(J3695&lt;&gt;"","?FAMILIAR",IF(F3695="NEW",IF(ISNA(VLOOKUP(E3695,#REF!,1,FALSE())),"?TYPE_IDENTIFIABLE","?REFERENTIAL"),"_")))))</f>
        <v> </v>
      </c>
      <c r="H3695" s="24" t="str">
        <f>IF(J3695&lt;&gt;1,"",IF(I3695="SBJ","CB","?"))</f>
        <v> </v>
      </c>
      <c r="I3695" s="25" t="str">
        <f>IF(OR(E3695="",E3695="!!!",F3695="NEW"),"",INDEX(B3694:B$2,-1+SUMPRODUCT(MAX(ROW(E3694:E$2)*(E3695=E3694:E$2)))))</f>
        <v> </v>
      </c>
      <c r="J3695" s="25" t="str">
        <f>IF(OR(E3695="",E3695="!!!",F3695="NEW"),"",COUNTBLANK(OFFSET(A$1,,,SUMPRODUCT(MAX(ROW(E$2:E3695)*(E3695=E$2:E3695)))))-COUNTBLANK(OFFSET(A$1,,,SUMPRODUCT(MAX(ROW(E$1:E3694)*(E2=E$1:E3694))))))</f>
        <v> </v>
      </c>
      <c r="K3695" s="25" t="str">
        <f>IF(OR(E3695="",E3695="!!!",F3695="NEW"),"",INDEX(J$1:J3694,SUMPRODUCT(MAX(ROW(E$1:E3694)*(E3695=E$1:E3694)))))</f>
        <v> </v>
      </c>
      <c r="L3695" s="26"/>
    </row>
    <row r="3696" spans="1:12">
      <c r="A3696" s="20" t="s">
        <v>879</v>
      </c>
      <c r="B3696" s="27" t="s">
        <v>1026</v>
      </c>
      <c r="C3696" s="27" t="s">
        <v>1087</v>
      </c>
      <c r="E3696" s="21">
        <f>IF(D3696="?OLD","!!!","")</f>
        <v/>
      </c>
      <c r="F3696" s="22" t="str">
        <f>IF(OR(E3696="",E3696="!!!"),"",IF(NOT(ISNA(VLOOKUP(E3696,E$1:E3695,1,FALSE()))),"OLD",IF(AND(E3696&lt;&gt;"",E3696&lt;&gt;"!!!"),"NEW","")))</f>
        <v> </v>
      </c>
      <c r="G3696" s="23" t="str">
        <f>IF(OR(E3696="",E3696="!!!"),"",IF(OR(J3696=0,AND(J3696=1,K3696=1),AND(J3696=1,I3696="SBJ"),AND(J3696=1,I3696=0)),"?IN_FOCUS",IF(J3696&lt;=2,"?ACTIVATED",IF(J3696&lt;&gt;"","?FAMILIAR",IF(F3696="NEW",IF(ISNA(VLOOKUP(E3696,#REF!,1,FALSE())),"?TYPE_IDENTIFIABLE","?REFERENTIAL"),"_")))))</f>
        <v> </v>
      </c>
      <c r="H3696" s="24" t="str">
        <f>IF(J3696&lt;&gt;1,"",IF(I3696="SBJ","CB","?"))</f>
        <v> </v>
      </c>
      <c r="I3696" s="25" t="str">
        <f>IF(OR(E3696="",E3696="!!!",F3696="NEW"),"",INDEX(B3695:B$2,-1+SUMPRODUCT(MAX(ROW(E3695:E$2)*(E3696=E3695:E$2)))))</f>
        <v> </v>
      </c>
      <c r="J3696" s="25" t="str">
        <f>IF(OR(E3696="",E3696="!!!",F3696="NEW"),"",COUNTBLANK(OFFSET(A$1,,,SUMPRODUCT(MAX(ROW(E$2:E3696)*(E3696=E$2:E3696)))))-COUNTBLANK(OFFSET(A$1,,,SUMPRODUCT(MAX(ROW(E$1:E3695)*(E2=E$1:E3695))))))</f>
        <v> </v>
      </c>
      <c r="K3696" s="25" t="str">
        <f>IF(OR(E3696="",E3696="!!!",F3696="NEW"),"",INDEX(J$1:J3695,SUMPRODUCT(MAX(ROW(E$1:E3695)*(E3696=E$1:E3695)))))</f>
        <v> </v>
      </c>
      <c r="L3696" s="26"/>
    </row>
    <row r="3697" spans="1:12">
      <c r="A3697" s="20" t="s">
        <v>1022</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row>
    <row r="3699" spans="1:12">
      <c r="A3699" s="20" t="s">
        <v>1980</v>
      </c>
    </row>
    <row r="3700" spans="1:12">
      <c r="A3700" s="20" t="s">
        <v>1217</v>
      </c>
      <c r="B3700" s="27" t="s">
        <v>1038</v>
      </c>
      <c r="C3700" s="27" t="s">
        <v>1013</v>
      </c>
      <c r="D3700" s="27" t="s">
        <v>1014</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140</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t="s">
        <v>1079</v>
      </c>
      <c r="E3702" s="21">
        <f>IF(D3702="?OLD","!!!","")</f>
        <v/>
      </c>
      <c r="F3702" s="22" t="str">
        <f>IF(OR(E3702="",E3702="!!!"),"",IF(NOT(ISNA(VLOOKUP(E3702,E$1:E3701,1,FALSE()))),"OLD",IF(AND(E3702&lt;&gt;"",E3702&lt;&gt;"!!!"),"NEW","")))</f>
        <v> </v>
      </c>
      <c r="G3702" s="23" t="str">
        <f>IF(OR(E3702="",E3702="!!!"),"",IF(OR(J3702=0,AND(J3702=1,K3702=1),AND(J3702=1,I3702="SBJ"),AND(J3702=1,I3702=0)),"?IN_FOCUS",IF(J3702&lt;=2,"?ACTIVATED",IF(J3702&lt;&gt;"","?FAMILIAR",IF(F3702="NEW",IF(ISNA(VLOOKUP(E3702,#REF!,1,FALSE())),"?TYPE_IDENTIFIABLE","?REFERENTIAL"),"_")))))</f>
        <v> </v>
      </c>
      <c r="H3702" s="24" t="str">
        <f>IF(J3702&lt;&gt;1,"",IF(I3702="SBJ","CB","?"))</f>
        <v> </v>
      </c>
      <c r="I3702" s="25" t="str">
        <f>IF(OR(E3702="",E3702="!!!",F3702="NEW"),"",INDEX(B3701:B$2,-1+SUMPRODUCT(MAX(ROW(E3701:E$2)*(E3702=E3701:E$2)))))</f>
        <v> </v>
      </c>
      <c r="J3702" s="25" t="str">
        <f>IF(OR(E3702="",E3702="!!!",F3702="NEW"),"",COUNTBLANK(OFFSET(A$1,,,SUMPRODUCT(MAX(ROW(E$2:E3702)*(E3702=E$2:E3702)))))-COUNTBLANK(OFFSET(A$1,,,SUMPRODUCT(MAX(ROW(E$1:E3701)*(E2=E$1:E3701))))))</f>
        <v> </v>
      </c>
      <c r="K3702" s="25" t="str">
        <f>IF(OR(E3702="",E3702="!!!",F3702="NEW"),"",INDEX(J$1:J3701,SUMPRODUCT(MAX(ROW(E$1:E3701)*(E3702=E$1:E3701)))))</f>
        <v> </v>
      </c>
      <c r="L3702" s="26"/>
    </row>
    <row r="3703" spans="1:12">
      <c r="A3703" s="20" t="s">
        <v>39</v>
      </c>
      <c r="E3703" s="21">
        <f>IF(D3703="?OLD","!!!","")</f>
        <v/>
      </c>
      <c r="F3703" s="22" t="str">
        <f>IF(OR(E3703="",E3703="!!!"),"",IF(NOT(ISNA(VLOOKUP(E3703,E$1:E3702,1,FALSE()))),"OLD",IF(AND(E3703&lt;&gt;"",E3703&lt;&gt;"!!!"),"NEW","")))</f>
        <v> </v>
      </c>
      <c r="G3703" s="23" t="str">
        <f>IF(OR(E3703="",E3703="!!!"),"",IF(OR(J3703=0,AND(J3703=1,K3703=1),AND(J3703=1,I3703="SBJ"),AND(J3703=1,I3703=0)),"?IN_FOCUS",IF(J3703&lt;=2,"?ACTIVATED",IF(J3703&lt;&gt;"","?FAMILIAR",IF(F3703="NEW",IF(ISNA(VLOOKUP(E3703,#REF!,1,FALSE())),"?TYPE_IDENTIFIABLE","?REFERENTIAL"),"_")))))</f>
        <v> </v>
      </c>
      <c r="H3703" s="24" t="str">
        <f>IF(J3703&lt;&gt;1,"",IF(I3703="SBJ","CB","?"))</f>
        <v> </v>
      </c>
      <c r="I3703" s="25" t="str">
        <f>IF(OR(E3703="",E3703="!!!",F3703="NEW"),"",INDEX(B3702:B$2,-1+SUMPRODUCT(MAX(ROW(E3702:E$2)*(E3703=E3702:E$2)))))</f>
        <v> </v>
      </c>
      <c r="J3703" s="25" t="str">
        <f>IF(OR(E3703="",E3703="!!!",F3703="NEW"),"",COUNTBLANK(OFFSET(A$1,,,SUMPRODUCT(MAX(ROW(E$2:E3703)*(E3703=E$2:E3703)))))-COUNTBLANK(OFFSET(A$1,,,SUMPRODUCT(MAX(ROW(E$1:E3702)*(E2=E$1:E3702))))))</f>
        <v> </v>
      </c>
      <c r="K3703" s="25" t="str">
        <f>IF(OR(E3703="",E3703="!!!",F3703="NEW"),"",INDEX(J$1:J3702,SUMPRODUCT(MAX(ROW(E$1:E3702)*(E3703=E$1:E3702)))))</f>
        <v> </v>
      </c>
      <c r="L3703" s="26"/>
    </row>
    <row r="3704" spans="1:12">
      <c r="A3704" s="20" t="s">
        <v>1046</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t="s">
        <v>1981</v>
      </c>
      <c r="E3705" s="21">
        <f>IF(D3705="?OLD","!!!","")</f>
        <v/>
      </c>
      <c r="F3705" s="22" t="str">
        <f>IF(OR(E3705="",E3705="!!!"),"",IF(NOT(ISNA(VLOOKUP(E3705,E$1:E3704,1,FALSE()))),"OLD",IF(AND(E3705&lt;&gt;"",E3705&lt;&gt;"!!!"),"NEW","")))</f>
        <v> </v>
      </c>
      <c r="G3705" s="23" t="str">
        <f>IF(OR(E3705="",E3705="!!!"),"",IF(OR(J3705=0,AND(J3705=1,K3705=1),AND(J3705=1,I3705="SBJ"),AND(J3705=1,I3705=0)),"?IN_FOCUS",IF(J3705&lt;=2,"?ACTIVATED",IF(J3705&lt;&gt;"","?FAMILIAR",IF(F3705="NEW",IF(ISNA(VLOOKUP(E3705,#REF!,1,FALSE())),"?TYPE_IDENTIFIABLE","?REFERENTIAL"),"_")))))</f>
        <v> </v>
      </c>
      <c r="H3705" s="24" t="str">
        <f>IF(J3705&lt;&gt;1,"",IF(I3705="SBJ","CB","?"))</f>
        <v> </v>
      </c>
      <c r="I3705" s="25" t="str">
        <f>IF(OR(E3705="",E3705="!!!",F3705="NEW"),"",INDEX(B3704:B$2,-1+SUMPRODUCT(MAX(ROW(E3704:E$2)*(E3705=E3704:E$2)))))</f>
        <v> </v>
      </c>
      <c r="J3705" s="25" t="str">
        <f>IF(OR(E3705="",E3705="!!!",F3705="NEW"),"",COUNTBLANK(OFFSET(A$1,,,SUMPRODUCT(MAX(ROW(E$2:E3705)*(E3705=E$2:E3705)))))-COUNTBLANK(OFFSET(A$1,,,SUMPRODUCT(MAX(ROW(E$1:E3704)*(E2=E$1:E3704))))))</f>
        <v> </v>
      </c>
      <c r="K3705" s="25" t="str">
        <f>IF(OR(E3705="",E3705="!!!",F3705="NEW"),"",INDEX(J$1:J3704,SUMPRODUCT(MAX(ROW(E$1:E3704)*(E3705=E$1:E3704)))))</f>
        <v> </v>
      </c>
      <c r="L3705" s="26"/>
    </row>
    <row r="3706" spans="1:12">
      <c r="A3706" s="20" t="s">
        <v>1173</v>
      </c>
      <c r="B3706" s="27" t="s">
        <v>1070</v>
      </c>
      <c r="C3706" s="27" t="s">
        <v>1087</v>
      </c>
      <c r="E3706" s="21">
        <f>IF(D3706="?OLD","!!!","")</f>
        <v/>
      </c>
      <c r="F3706" s="22" t="str">
        <f>IF(OR(E3706="",E3706="!!!"),"",IF(NOT(ISNA(VLOOKUP(E3706,E$1:E3705,1,FALSE()))),"OLD",IF(AND(E3706&lt;&gt;"",E3706&lt;&gt;"!!!"),"NEW","")))</f>
        <v> </v>
      </c>
      <c r="G3706" s="23" t="str">
        <f>IF(OR(E3706="",E3706="!!!"),"",IF(OR(J3706=0,AND(J3706=1,K3706=1),AND(J3706=1,I3706="SBJ"),AND(J3706=1,I3706=0)),"?IN_FOCUS",IF(J3706&lt;=2,"?ACTIVATED",IF(J3706&lt;&gt;"","?FAMILIAR",IF(F3706="NEW",IF(ISNA(VLOOKUP(E3706,#REF!,1,FALSE())),"?TYPE_IDENTIFIABLE","?REFERENTIAL"),"_")))))</f>
        <v> </v>
      </c>
      <c r="H3706" s="24" t="str">
        <f>IF(J3706&lt;&gt;1,"",IF(I3706="SBJ","CB","?"))</f>
        <v> </v>
      </c>
      <c r="I3706" s="25" t="str">
        <f>IF(OR(E3706="",E3706="!!!",F3706="NEW"),"",INDEX(B3705:B$2,-1+SUMPRODUCT(MAX(ROW(E3705:E$2)*(E3706=E3705:E$2)))))</f>
        <v> </v>
      </c>
      <c r="J3706" s="25" t="str">
        <f>IF(OR(E3706="",E3706="!!!",F3706="NEW"),"",COUNTBLANK(OFFSET(A$1,,,SUMPRODUCT(MAX(ROW(E$2:E3706)*(E3706=E$2:E3706)))))-COUNTBLANK(OFFSET(A$1,,,SUMPRODUCT(MAX(ROW(E$1:E3705)*(E2=E$1:E3705))))))</f>
        <v> </v>
      </c>
      <c r="K3706" s="25" t="str">
        <f>IF(OR(E3706="",E3706="!!!",F3706="NEW"),"",INDEX(J$1:J3705,SUMPRODUCT(MAX(ROW(E$1:E3705)*(E3706=E$1:E3705)))))</f>
        <v> </v>
      </c>
      <c r="L3706" s="26"/>
    </row>
    <row r="3707" spans="1:12">
      <c r="A3707" s="20" t="s">
        <v>1046</v>
      </c>
      <c r="E3707" s="21">
        <f>IF(D3707="?OLD","!!!","")</f>
        <v/>
      </c>
      <c r="F3707" s="22" t="str">
        <f>IF(OR(E3707="",E3707="!!!"),"",IF(NOT(ISNA(VLOOKUP(E3707,E$1:E3706,1,FALSE()))),"OLD",IF(AND(E3707&lt;&gt;"",E3707&lt;&gt;"!!!"),"NEW","")))</f>
        <v> </v>
      </c>
      <c r="G3707" s="23" t="str">
        <f>IF(OR(E3707="",E3707="!!!"),"",IF(OR(J3707=0,AND(J3707=1,K3707=1),AND(J3707=1,I3707="SBJ"),AND(J3707=1,I3707=0)),"?IN_FOCUS",IF(J3707&lt;=2,"?ACTIVATED",IF(J3707&lt;&gt;"","?FAMILIAR",IF(F3707="NEW",IF(ISNA(VLOOKUP(E3707,#REF!,1,FALSE())),"?TYPE_IDENTIFIABLE","?REFERENTIAL"),"_")))))</f>
        <v> </v>
      </c>
      <c r="H3707" s="24" t="str">
        <f>IF(J3707&lt;&gt;1,"",IF(I3707="SBJ","CB","?"))</f>
        <v> </v>
      </c>
      <c r="I3707" s="25" t="str">
        <f>IF(OR(E3707="",E3707="!!!",F3707="NEW"),"",INDEX(B3706:B$2,-1+SUMPRODUCT(MAX(ROW(E3706:E$2)*(E3707=E3706:E$2)))))</f>
        <v> </v>
      </c>
      <c r="J3707" s="25" t="str">
        <f>IF(OR(E3707="",E3707="!!!",F3707="NEW"),"",COUNTBLANK(OFFSET(A$1,,,SUMPRODUCT(MAX(ROW(E$2:E3707)*(E3707=E$2:E3707)))))-COUNTBLANK(OFFSET(A$1,,,SUMPRODUCT(MAX(ROW(E$1:E3706)*(E2=E$1:E3706))))))</f>
        <v> </v>
      </c>
      <c r="K3707" s="25" t="str">
        <f>IF(OR(E3707="",E3707="!!!",F3707="NEW"),"",INDEX(J$1:J3706,SUMPRODUCT(MAX(ROW(E$1:E3706)*(E3707=E$1:E3706)))))</f>
        <v> </v>
      </c>
      <c r="L3707" s="26"/>
    </row>
    <row r="3708" spans="1:12">
      <c r="A3708" s="20" t="s">
        <v>1893</v>
      </c>
      <c r="E3708" s="21">
        <f>IF(D3708="?OLD","!!!","")</f>
        <v/>
      </c>
      <c r="F3708" s="22" t="str">
        <f>IF(OR(E3708="",E3708="!!!"),"",IF(NOT(ISNA(VLOOKUP(E3708,E$1:E3707,1,FALSE()))),"OLD",IF(AND(E3708&lt;&gt;"",E3708&lt;&gt;"!!!"),"NEW","")))</f>
        <v> </v>
      </c>
      <c r="G3708" s="23" t="str">
        <f>IF(OR(E3708="",E3708="!!!"),"",IF(OR(J3708=0,AND(J3708=1,K3708=1),AND(J3708=1,I3708="SBJ"),AND(J3708=1,I3708=0)),"?IN_FOCUS",IF(J3708&lt;=2,"?ACTIVATED",IF(J3708&lt;&gt;"","?FAMILIAR",IF(F3708="NEW",IF(ISNA(VLOOKUP(E3708,#REF!,1,FALSE())),"?TYPE_IDENTIFIABLE","?REFERENTIAL"),"_")))))</f>
        <v> </v>
      </c>
      <c r="H3708" s="24" t="str">
        <f>IF(J3708&lt;&gt;1,"",IF(I3708="SBJ","CB","?"))</f>
        <v> </v>
      </c>
      <c r="I3708" s="25" t="str">
        <f>IF(OR(E3708="",E3708="!!!",F3708="NEW"),"",INDEX(B3707:B$2,-1+SUMPRODUCT(MAX(ROW(E3707:E$2)*(E3708=E3707:E$2)))))</f>
        <v> </v>
      </c>
      <c r="J3708" s="25" t="str">
        <f>IF(OR(E3708="",E3708="!!!",F3708="NEW"),"",COUNTBLANK(OFFSET(A$1,,,SUMPRODUCT(MAX(ROW(E$2:E3708)*(E3708=E$2:E3708)))))-COUNTBLANK(OFFSET(A$1,,,SUMPRODUCT(MAX(ROW(E$1:E3707)*(E2=E$1:E3707))))))</f>
        <v> </v>
      </c>
      <c r="K3708" s="25" t="str">
        <f>IF(OR(E3708="",E3708="!!!",F3708="NEW"),"",INDEX(J$1:J3707,SUMPRODUCT(MAX(ROW(E$1:E3707)*(E3708=E$1:E3707)))))</f>
        <v> </v>
      </c>
      <c r="L3708" s="26"/>
    </row>
    <row r="3709" spans="1:12">
      <c r="A3709" s="20" t="s">
        <v>1098</v>
      </c>
      <c r="E3709" s="21">
        <f>IF(D3709="?OLD","!!!","")</f>
        <v/>
      </c>
      <c r="F3709" s="22" t="str">
        <f>IF(OR(E3709="",E3709="!!!"),"",IF(NOT(ISNA(VLOOKUP(E3709,E$1:E3708,1,FALSE()))),"OLD",IF(AND(E3709&lt;&gt;"",E3709&lt;&gt;"!!!"),"NEW","")))</f>
        <v> </v>
      </c>
      <c r="G3709" s="23" t="str">
        <f>IF(OR(E3709="",E3709="!!!"),"",IF(OR(J3709=0,AND(J3709=1,K3709=1),AND(J3709=1,I3709="SBJ"),AND(J3709=1,I3709=0)),"?IN_FOCUS",IF(J3709&lt;=2,"?ACTIVATED",IF(J3709&lt;&gt;"","?FAMILIAR",IF(F3709="NEW",IF(ISNA(VLOOKUP(E3709,#REF!,1,FALSE())),"?TYPE_IDENTIFIABLE","?REFERENTIAL"),"_")))))</f>
        <v> </v>
      </c>
      <c r="H3709" s="24" t="str">
        <f>IF(J3709&lt;&gt;1,"",IF(I3709="SBJ","CB","?"))</f>
        <v> </v>
      </c>
      <c r="I3709" s="25" t="str">
        <f>IF(OR(E3709="",E3709="!!!",F3709="NEW"),"",INDEX(B3708:B$2,-1+SUMPRODUCT(MAX(ROW(E3708:E$2)*(E3709=E3708:E$2)))))</f>
        <v> </v>
      </c>
      <c r="J3709" s="25" t="str">
        <f>IF(OR(E3709="",E3709="!!!",F3709="NEW"),"",COUNTBLANK(OFFSET(A$1,,,SUMPRODUCT(MAX(ROW(E$2:E3709)*(E3709=E$2:E3709)))))-COUNTBLANK(OFFSET(A$1,,,SUMPRODUCT(MAX(ROW(E$1:E3708)*(E2=E$1:E3708))))))</f>
        <v> </v>
      </c>
      <c r="K3709" s="25" t="str">
        <f>IF(OR(E3709="",E3709="!!!",F3709="NEW"),"",INDEX(J$1:J3708,SUMPRODUCT(MAX(ROW(E$1:E3708)*(E3709=E$1:E3708)))))</f>
        <v> </v>
      </c>
      <c r="L3709" s="26"/>
    </row>
    <row r="3710" spans="1:12">
      <c r="A3710" s="20" t="s">
        <v>1982</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1253</v>
      </c>
      <c r="B3711" s="27" t="s">
        <v>1020</v>
      </c>
      <c r="C3711" s="27" t="s">
        <v>1044</v>
      </c>
      <c r="D3711" s="27" t="s">
        <v>1014</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1027</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1148</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1983</v>
      </c>
      <c r="B3714" s="27" t="s">
        <v>1026</v>
      </c>
      <c r="C3714" s="27" t="s">
        <v>1087</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1391</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t="s">
        <v>1984</v>
      </c>
      <c r="B3716" s="27" t="s">
        <v>1043</v>
      </c>
      <c r="C3716" s="27" t="s">
        <v>1087</v>
      </c>
      <c r="E3716" s="21">
        <f>IF(D3716="?OLD","!!!","")</f>
        <v/>
      </c>
      <c r="F3716" s="22" t="str">
        <f>IF(OR(E3716="",E3716="!!!"),"",IF(NOT(ISNA(VLOOKUP(E3716,E$1:E3715,1,FALSE()))),"OLD",IF(AND(E3716&lt;&gt;"",E3716&lt;&gt;"!!!"),"NEW","")))</f>
        <v> </v>
      </c>
      <c r="G3716" s="23" t="str">
        <f>IF(OR(E3716="",E3716="!!!"),"",IF(OR(J3716=0,AND(J3716=1,K3716=1),AND(J3716=1,I3716="SBJ"),AND(J3716=1,I3716=0)),"?IN_FOCUS",IF(J3716&lt;=2,"?ACTIVATED",IF(J3716&lt;&gt;"","?FAMILIAR",IF(F3716="NEW",IF(ISNA(VLOOKUP(E3716,#REF!,1,FALSE())),"?TYPE_IDENTIFIABLE","?REFERENTIAL"),"_")))))</f>
        <v> </v>
      </c>
      <c r="H3716" s="24" t="str">
        <f>IF(J3716&lt;&gt;1,"",IF(I3716="SBJ","CB","?"))</f>
        <v> </v>
      </c>
      <c r="I3716" s="25" t="str">
        <f>IF(OR(E3716="",E3716="!!!",F3716="NEW"),"",INDEX(B3715:B$2,-1+SUMPRODUCT(MAX(ROW(E3715:E$2)*(E3716=E3715:E$2)))))</f>
        <v> </v>
      </c>
      <c r="J3716" s="25" t="str">
        <f>IF(OR(E3716="",E3716="!!!",F3716="NEW"),"",COUNTBLANK(OFFSET(A$1,,,SUMPRODUCT(MAX(ROW(E$2:E3716)*(E3716=E$2:E3716)))))-COUNTBLANK(OFFSET(A$1,,,SUMPRODUCT(MAX(ROW(E$1:E3715)*(E2=E$1:E3715))))))</f>
        <v> </v>
      </c>
      <c r="K3716" s="25" t="str">
        <f>IF(OR(E3716="",E3716="!!!",F3716="NEW"),"",INDEX(J$1:J3715,SUMPRODUCT(MAX(ROW(E$1:E3715)*(E3716=E$1:E3715)))))</f>
        <v> </v>
      </c>
      <c r="L3716" s="26"/>
    </row>
    <row r="3717" spans="1:12">
      <c r="A3717" s="20" t="s">
        <v>1022</v>
      </c>
      <c r="E3717" s="21">
        <f>IF(D3717="?OLD","!!!","")</f>
        <v/>
      </c>
      <c r="F3717" s="22" t="str">
        <f>IF(OR(E3717="",E3717="!!!"),"",IF(NOT(ISNA(VLOOKUP(E3717,E$1:E3716,1,FALSE()))),"OLD",IF(AND(E3717&lt;&gt;"",E3717&lt;&gt;"!!!"),"NEW","")))</f>
        <v> </v>
      </c>
      <c r="G3717" s="23" t="str">
        <f>IF(OR(E3717="",E3717="!!!"),"",IF(OR(J3717=0,AND(J3717=1,K3717=1),AND(J3717=1,I3717="SBJ"),AND(J3717=1,I3717=0)),"?IN_FOCUS",IF(J3717&lt;=2,"?ACTIVATED",IF(J3717&lt;&gt;"","?FAMILIAR",IF(F3717="NEW",IF(ISNA(VLOOKUP(E3717,#REF!,1,FALSE())),"?TYPE_IDENTIFIABLE","?REFERENTIAL"),"_")))))</f>
        <v> </v>
      </c>
      <c r="H3717" s="24" t="str">
        <f>IF(J3717&lt;&gt;1,"",IF(I3717="SBJ","CB","?"))</f>
        <v> </v>
      </c>
      <c r="I3717" s="25" t="str">
        <f>IF(OR(E3717="",E3717="!!!",F3717="NEW"),"",INDEX(B3716:B$2,-1+SUMPRODUCT(MAX(ROW(E3716:E$2)*(E3717=E3716:E$2)))))</f>
        <v> </v>
      </c>
      <c r="J3717" s="25" t="str">
        <f>IF(OR(E3717="",E3717="!!!",F3717="NEW"),"",COUNTBLANK(OFFSET(A$1,,,SUMPRODUCT(MAX(ROW(E$2:E3717)*(E3717=E$2:E3717)))))-COUNTBLANK(OFFSET(A$1,,,SUMPRODUCT(MAX(ROW(E$1:E3716)*(E2=E$1:E3716))))))</f>
        <v> </v>
      </c>
      <c r="K3717" s="25" t="str">
        <f>IF(OR(E3717="",E3717="!!!",F3717="NEW"),"",INDEX(J$1:J3716,SUMPRODUCT(MAX(ROW(E$1:E3716)*(E3717=E$1:E3716)))))</f>
        <v> </v>
      </c>
      <c r="L3717" s="26"/>
    </row>
    <row r="3718" spans="1:12">
      <c r="A3718" s="20"/>
    </row>
    <row r="3719" spans="1:12">
      <c r="A3719" s="20" t="s">
        <v>1985</v>
      </c>
    </row>
    <row r="3720" spans="1:12">
      <c r="A3720" s="20" t="s">
        <v>1986</v>
      </c>
      <c r="B3720" s="27" t="s">
        <v>1038</v>
      </c>
      <c r="C3720" s="27" t="s">
        <v>1094</v>
      </c>
      <c r="D3720" s="27" t="s">
        <v>1014</v>
      </c>
      <c r="E3720" s="21">
        <f>IF(D3720="?OLD","!!!","")</f>
        <v/>
      </c>
      <c r="F3720" s="22" t="str">
        <f>IF(OR(E3720="",E3720="!!!"),"",IF(NOT(ISNA(VLOOKUP(E3720,E$1:E3719,1,FALSE()))),"OLD",IF(AND(E3720&lt;&gt;"",E3720&lt;&gt;"!!!"),"NEW","")))</f>
        <v> </v>
      </c>
      <c r="G3720" s="23" t="str">
        <f>IF(OR(E3720="",E3720="!!!"),"",IF(OR(J3720=0,AND(J3720=1,K3720=1),AND(J3720=1,I3720="SBJ"),AND(J3720=1,I3720=0)),"?IN_FOCUS",IF(J3720&lt;=2,"?ACTIVATED",IF(J3720&lt;&gt;"","?FAMILIAR",IF(F3720="NEW",IF(ISNA(VLOOKUP(E3720,#REF!,1,FALSE())),"?TYPE_IDENTIFIABLE","?REFERENTIAL"),"_")))))</f>
        <v> </v>
      </c>
      <c r="H3720" s="24" t="str">
        <f>IF(J3720&lt;&gt;1,"",IF(I3720="SBJ","CB","?"))</f>
        <v> </v>
      </c>
      <c r="I3720" s="25" t="str">
        <f>IF(OR(E3720="",E3720="!!!",F3720="NEW"),"",INDEX(B3719:B$2,-1+SUMPRODUCT(MAX(ROW(E3719:E$2)*(E3720=E3719:E$2)))))</f>
        <v> </v>
      </c>
      <c r="J3720" s="25" t="str">
        <f>IF(OR(E3720="",E3720="!!!",F3720="NEW"),"",COUNTBLANK(OFFSET(A$1,,,SUMPRODUCT(MAX(ROW(E$2:E3720)*(E3720=E$2:E3720)))))-COUNTBLANK(OFFSET(A$1,,,SUMPRODUCT(MAX(ROW(E$1:E3719)*(E2=E$1:E3719))))))</f>
        <v> </v>
      </c>
      <c r="K3720" s="25" t="str">
        <f>IF(OR(E3720="",E3720="!!!",F3720="NEW"),"",INDEX(J$1:J3719,SUMPRODUCT(MAX(ROW(E$1:E3719)*(E3720=E$1:E3719)))))</f>
        <v> </v>
      </c>
      <c r="L3720" s="26"/>
    </row>
    <row r="3721" spans="1:12">
      <c r="A3721" s="20" t="s">
        <v>1011</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t="s">
        <v>1615</v>
      </c>
      <c r="B3722" s="27" t="s">
        <v>1026</v>
      </c>
      <c r="C3722" s="27" t="s">
        <v>1147</v>
      </c>
      <c r="D3722" s="27" t="s">
        <v>1014</v>
      </c>
      <c r="E3722" s="21">
        <f>IF(D3722="?OLD","!!!","")</f>
        <v/>
      </c>
      <c r="F3722" s="22" t="str">
        <f>IF(OR(E3722="",E3722="!!!"),"",IF(NOT(ISNA(VLOOKUP(E3722,E$1:E3721,1,FALSE()))),"OLD",IF(AND(E3722&lt;&gt;"",E3722&lt;&gt;"!!!"),"NEW","")))</f>
        <v> </v>
      </c>
      <c r="G3722" s="23" t="str">
        <f>IF(OR(E3722="",E3722="!!!"),"",IF(OR(J3722=0,AND(J3722=1,K3722=1),AND(J3722=1,I3722="SBJ"),AND(J3722=1,I3722=0)),"?IN_FOCUS",IF(J3722&lt;=2,"?ACTIVATED",IF(J3722&lt;&gt;"","?FAMILIAR",IF(F3722="NEW",IF(ISNA(VLOOKUP(E3722,#REF!,1,FALSE())),"?TYPE_IDENTIFIABLE","?REFERENTIAL"),"_")))))</f>
        <v> </v>
      </c>
      <c r="H3722" s="24" t="str">
        <f>IF(J3722&lt;&gt;1,"",IF(I3722="SBJ","CB","?"))</f>
        <v> </v>
      </c>
      <c r="I3722" s="25" t="str">
        <f>IF(OR(E3722="",E3722="!!!",F3722="NEW"),"",INDEX(B3721:B$2,-1+SUMPRODUCT(MAX(ROW(E3721:E$2)*(E3722=E3721:E$2)))))</f>
        <v> </v>
      </c>
      <c r="J3722" s="25" t="str">
        <f>IF(OR(E3722="",E3722="!!!",F3722="NEW"),"",COUNTBLANK(OFFSET(A$1,,,SUMPRODUCT(MAX(ROW(E$2:E3722)*(E3722=E$2:E3722)))))-COUNTBLANK(OFFSET(A$1,,,SUMPRODUCT(MAX(ROW(E$1:E3721)*(E2=E$1:E3721))))))</f>
        <v> </v>
      </c>
      <c r="K3722" s="25" t="str">
        <f>IF(OR(E3722="",E3722="!!!",F3722="NEW"),"",INDEX(J$1:J3721,SUMPRODUCT(MAX(ROW(E$1:E3721)*(E3722=E$1:E3721)))))</f>
        <v> </v>
      </c>
      <c r="L3722" s="26"/>
    </row>
    <row r="3723" spans="1:12">
      <c r="A3723" s="20" t="s">
        <v>1098</v>
      </c>
      <c r="B3723" s="27" t="s">
        <v>1070</v>
      </c>
      <c r="E3723" s="21">
        <f>IF(D3723="?OLD","!!!","")</f>
        <v/>
      </c>
      <c r="F3723" s="22" t="str">
        <f>IF(OR(E3723="",E3723="!!!"),"",IF(NOT(ISNA(VLOOKUP(E3723,E$1:E3722,1,FALSE()))),"OLD",IF(AND(E3723&lt;&gt;"",E3723&lt;&gt;"!!!"),"NEW","")))</f>
        <v> </v>
      </c>
      <c r="G3723" s="23" t="str">
        <f>IF(OR(E3723="",E3723="!!!"),"",IF(OR(J3723=0,AND(J3723=1,K3723=1),AND(J3723=1,I3723="SBJ"),AND(J3723=1,I3723=0)),"?IN_FOCUS",IF(J3723&lt;=2,"?ACTIVATED",IF(J3723&lt;&gt;"","?FAMILIAR",IF(F3723="NEW",IF(ISNA(VLOOKUP(E3723,#REF!,1,FALSE())),"?TYPE_IDENTIFIABLE","?REFERENTIAL"),"_")))))</f>
        <v> </v>
      </c>
      <c r="H3723" s="24" t="str">
        <f>IF(J3723&lt;&gt;1,"",IF(I3723="SBJ","CB","?"))</f>
        <v> </v>
      </c>
      <c r="I3723" s="25" t="str">
        <f>IF(OR(E3723="",E3723="!!!",F3723="NEW"),"",INDEX(B3722:B$2,-1+SUMPRODUCT(MAX(ROW(E3722:E$2)*(E3723=E3722:E$2)))))</f>
        <v> </v>
      </c>
      <c r="J3723" s="25" t="str">
        <f>IF(OR(E3723="",E3723="!!!",F3723="NEW"),"",COUNTBLANK(OFFSET(A$1,,,SUMPRODUCT(MAX(ROW(E$2:E3723)*(E3723=E$2:E3723)))))-COUNTBLANK(OFFSET(A$1,,,SUMPRODUCT(MAX(ROW(E$1:E3722)*(E2=E$1:E3722))))))</f>
        <v> </v>
      </c>
      <c r="K3723" s="25" t="str">
        <f>IF(OR(E3723="",E3723="!!!",F3723="NEW"),"",INDEX(J$1:J3722,SUMPRODUCT(MAX(ROW(E$1:E3722)*(E3723=E$1:E3722)))))</f>
        <v> </v>
      </c>
      <c r="L3723" s="26"/>
    </row>
    <row r="3724" spans="1:12">
      <c r="A3724" s="20" t="s">
        <v>1758</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1019</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t="s">
        <v>1275</v>
      </c>
      <c r="E3726" s="21">
        <f>IF(D3726="?OLD","!!!","")</f>
        <v/>
      </c>
      <c r="F3726" s="22" t="str">
        <f>IF(OR(E3726="",E3726="!!!"),"",IF(NOT(ISNA(VLOOKUP(E3726,E$1:E3725,1,FALSE()))),"OLD",IF(AND(E3726&lt;&gt;"",E3726&lt;&gt;"!!!"),"NEW","")))</f>
        <v> </v>
      </c>
      <c r="G3726" s="23" t="str">
        <f>IF(OR(E3726="",E3726="!!!"),"",IF(OR(J3726=0,AND(J3726=1,K3726=1),AND(J3726=1,I3726="SBJ"),AND(J3726=1,I3726=0)),"?IN_FOCUS",IF(J3726&lt;=2,"?ACTIVATED",IF(J3726&lt;&gt;"","?FAMILIAR",IF(F3726="NEW",IF(ISNA(VLOOKUP(E3726,#REF!,1,FALSE())),"?TYPE_IDENTIFIABLE","?REFERENTIAL"),"_")))))</f>
        <v> </v>
      </c>
      <c r="H3726" s="24" t="str">
        <f>IF(J3726&lt;&gt;1,"",IF(I3726="SBJ","CB","?"))</f>
        <v> </v>
      </c>
      <c r="I3726" s="25" t="str">
        <f>IF(OR(E3726="",E3726="!!!",F3726="NEW"),"",INDEX(B3725:B$2,-1+SUMPRODUCT(MAX(ROW(E3725:E$2)*(E3726=E3725:E$2)))))</f>
        <v> </v>
      </c>
      <c r="J3726" s="25" t="str">
        <f>IF(OR(E3726="",E3726="!!!",F3726="NEW"),"",COUNTBLANK(OFFSET(A$1,,,SUMPRODUCT(MAX(ROW(E$2:E3726)*(E3726=E$2:E3726)))))-COUNTBLANK(OFFSET(A$1,,,SUMPRODUCT(MAX(ROW(E$1:E3725)*(E2=E$1:E3725))))))</f>
        <v> </v>
      </c>
      <c r="K3726" s="25" t="str">
        <f>IF(OR(E3726="",E3726="!!!",F3726="NEW"),"",INDEX(J$1:J3725,SUMPRODUCT(MAX(ROW(E$1:E3725)*(E3726=E$1:E3725)))))</f>
        <v> </v>
      </c>
      <c r="L3726" s="26"/>
    </row>
    <row r="3727" spans="1:12">
      <c r="A3727" s="20" t="s">
        <v>1173</v>
      </c>
      <c r="B3727" s="27" t="s">
        <v>1033</v>
      </c>
      <c r="C3727" s="27" t="s">
        <v>1101</v>
      </c>
      <c r="E3727" s="21">
        <f>IF(D3727="?OLD","!!!","")</f>
        <v/>
      </c>
      <c r="F3727" s="22" t="str">
        <f>IF(OR(E3727="",E3727="!!!"),"",IF(NOT(ISNA(VLOOKUP(E3727,E$1:E3726,1,FALSE()))),"OLD",IF(AND(E3727&lt;&gt;"",E3727&lt;&gt;"!!!"),"NEW","")))</f>
        <v> </v>
      </c>
      <c r="G3727" s="23" t="str">
        <f>IF(OR(E3727="",E3727="!!!"),"",IF(OR(J3727=0,AND(J3727=1,K3727=1),AND(J3727=1,I3727="SBJ"),AND(J3727=1,I3727=0)),"?IN_FOCUS",IF(J3727&lt;=2,"?ACTIVATED",IF(J3727&lt;&gt;"","?FAMILIAR",IF(F3727="NEW",IF(ISNA(VLOOKUP(E3727,#REF!,1,FALSE())),"?TYPE_IDENTIFIABLE","?REFERENTIAL"),"_")))))</f>
        <v> </v>
      </c>
      <c r="H3727" s="24" t="str">
        <f>IF(J3727&lt;&gt;1,"",IF(I3727="SBJ","CB","?"))</f>
        <v> </v>
      </c>
      <c r="I3727" s="25" t="str">
        <f>IF(OR(E3727="",E3727="!!!",F3727="NEW"),"",INDEX(B3726:B$2,-1+SUMPRODUCT(MAX(ROW(E3726:E$2)*(E3727=E3726:E$2)))))</f>
        <v> </v>
      </c>
      <c r="J3727" s="25" t="str">
        <f>IF(OR(E3727="",E3727="!!!",F3727="NEW"),"",COUNTBLANK(OFFSET(A$1,,,SUMPRODUCT(MAX(ROW(E$2:E3727)*(E3727=E$2:E3727)))))-COUNTBLANK(OFFSET(A$1,,,SUMPRODUCT(MAX(ROW(E$1:E3726)*(E2=E$1:E3726))))))</f>
        <v> </v>
      </c>
      <c r="K3727" s="25" t="str">
        <f>IF(OR(E3727="",E3727="!!!",F3727="NEW"),"",INDEX(J$1:J3726,SUMPRODUCT(MAX(ROW(E$1:E3726)*(E3727=E$1:E3726)))))</f>
        <v> </v>
      </c>
      <c r="L3727" s="26"/>
    </row>
    <row r="3728" spans="1:12">
      <c r="A3728" s="20" t="s">
        <v>1893</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1022</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row>
    <row r="3731" spans="1:12">
      <c r="A3731" s="20" t="s">
        <v>1987</v>
      </c>
    </row>
    <row r="3732" spans="1:12">
      <c r="A3732" s="20" t="s">
        <v>1115</v>
      </c>
      <c r="B3732" s="27" t="s">
        <v>1038</v>
      </c>
      <c r="C3732" s="27" t="s">
        <v>1013</v>
      </c>
      <c r="D3732" s="27" t="s">
        <v>1014</v>
      </c>
      <c r="E3732" s="21">
        <f>IF(D3732="?OLD","!!!","")</f>
        <v/>
      </c>
      <c r="F3732" s="22" t="str">
        <f>IF(OR(E3732="",E3732="!!!"),"",IF(NOT(ISNA(VLOOKUP(E3732,E$1:E3731,1,FALSE()))),"OLD",IF(AND(E3732&lt;&gt;"",E3732&lt;&gt;"!!!"),"NEW","")))</f>
        <v> </v>
      </c>
      <c r="G3732" s="23" t="str">
        <f>IF(OR(E3732="",E3732="!!!"),"",IF(OR(J3732=0,AND(J3732=1,K3732=1),AND(J3732=1,I3732="SBJ"),AND(J3732=1,I3732=0)),"?IN_FOCUS",IF(J3732&lt;=2,"?ACTIVATED",IF(J3732&lt;&gt;"","?FAMILIAR",IF(F3732="NEW",IF(ISNA(VLOOKUP(E3732,#REF!,1,FALSE())),"?TYPE_IDENTIFIABLE","?REFERENTIAL"),"_")))))</f>
        <v> </v>
      </c>
      <c r="H3732" s="24" t="str">
        <f>IF(J3732&lt;&gt;1,"",IF(I3732="SBJ","CB","?"))</f>
        <v> </v>
      </c>
      <c r="I3732" s="25" t="str">
        <f>IF(OR(E3732="",E3732="!!!",F3732="NEW"),"",INDEX(B3731:B$2,-1+SUMPRODUCT(MAX(ROW(E3731:E$2)*(E3732=E3731:E$2)))))</f>
        <v> </v>
      </c>
      <c r="J3732" s="25" t="str">
        <f>IF(OR(E3732="",E3732="!!!",F3732="NEW"),"",COUNTBLANK(OFFSET(A$1,,,SUMPRODUCT(MAX(ROW(E$2:E3732)*(E3732=E$2:E3732)))))-COUNTBLANK(OFFSET(A$1,,,SUMPRODUCT(MAX(ROW(E$1:E3731)*(E2=E$1:E3731))))))</f>
        <v> </v>
      </c>
      <c r="K3732" s="25" t="str">
        <f>IF(OR(E3732="",E3732="!!!",F3732="NEW"),"",INDEX(J$1:J3731,SUMPRODUCT(MAX(ROW(E$1:E3731)*(E3732=E$1:E3731)))))</f>
        <v> </v>
      </c>
      <c r="L3732" s="26"/>
    </row>
    <row r="3733" spans="1:12">
      <c r="A3733" s="20" t="s">
        <v>1011</v>
      </c>
      <c r="E3733" s="21">
        <f>IF(D3733="?OLD","!!!","")</f>
        <v/>
      </c>
      <c r="F3733" s="22" t="str">
        <f>IF(OR(E3733="",E3733="!!!"),"",IF(NOT(ISNA(VLOOKUP(E3733,E$1:E3732,1,FALSE()))),"OLD",IF(AND(E3733&lt;&gt;"",E3733&lt;&gt;"!!!"),"NEW","")))</f>
        <v> </v>
      </c>
      <c r="G3733" s="23" t="str">
        <f>IF(OR(E3733="",E3733="!!!"),"",IF(OR(J3733=0,AND(J3733=1,K3733=1),AND(J3733=1,I3733="SBJ"),AND(J3733=1,I3733=0)),"?IN_FOCUS",IF(J3733&lt;=2,"?ACTIVATED",IF(J3733&lt;&gt;"","?FAMILIAR",IF(F3733="NEW",IF(ISNA(VLOOKUP(E3733,#REF!,1,FALSE())),"?TYPE_IDENTIFIABLE","?REFERENTIAL"),"_")))))</f>
        <v> </v>
      </c>
      <c r="H3733" s="24" t="str">
        <f>IF(J3733&lt;&gt;1,"",IF(I3733="SBJ","CB","?"))</f>
        <v> </v>
      </c>
      <c r="I3733" s="25" t="str">
        <f>IF(OR(E3733="",E3733="!!!",F3733="NEW"),"",INDEX(B3732:B$2,-1+SUMPRODUCT(MAX(ROW(E3732:E$2)*(E3733=E3732:E$2)))))</f>
        <v> </v>
      </c>
      <c r="J3733" s="25" t="str">
        <f>IF(OR(E3733="",E3733="!!!",F3733="NEW"),"",COUNTBLANK(OFFSET(A$1,,,SUMPRODUCT(MAX(ROW(E$2:E3733)*(E3733=E$2:E3733)))))-COUNTBLANK(OFFSET(A$1,,,SUMPRODUCT(MAX(ROW(E$1:E3732)*(E2=E$1:E3732))))))</f>
        <v> </v>
      </c>
      <c r="K3733" s="25" t="str">
        <f>IF(OR(E3733="",E3733="!!!",F3733="NEW"),"",INDEX(J$1:J3732,SUMPRODUCT(MAX(ROW(E$1:E3732)*(E3733=E$1:E3732)))))</f>
        <v> </v>
      </c>
      <c r="L3733" s="26"/>
    </row>
    <row r="3734" spans="1:12">
      <c r="A3734" s="20" t="s">
        <v>1572</v>
      </c>
      <c r="E3734" s="21">
        <f>IF(D3734="?OLD","!!!","")</f>
        <v/>
      </c>
      <c r="F3734" s="22" t="str">
        <f>IF(OR(E3734="",E3734="!!!"),"",IF(NOT(ISNA(VLOOKUP(E3734,E$1:E3733,1,FALSE()))),"OLD",IF(AND(E3734&lt;&gt;"",E3734&lt;&gt;"!!!"),"NEW","")))</f>
        <v> </v>
      </c>
      <c r="G3734" s="23" t="str">
        <f>IF(OR(E3734="",E3734="!!!"),"",IF(OR(J3734=0,AND(J3734=1,K3734=1),AND(J3734=1,I3734="SBJ"),AND(J3734=1,I3734=0)),"?IN_FOCUS",IF(J3734&lt;=2,"?ACTIVATED",IF(J3734&lt;&gt;"","?FAMILIAR",IF(F3734="NEW",IF(ISNA(VLOOKUP(E3734,#REF!,1,FALSE())),"?TYPE_IDENTIFIABLE","?REFERENTIAL"),"_")))))</f>
        <v> </v>
      </c>
      <c r="H3734" s="24" t="str">
        <f>IF(J3734&lt;&gt;1,"",IF(I3734="SBJ","CB","?"))</f>
        <v> </v>
      </c>
      <c r="I3734" s="25" t="str">
        <f>IF(OR(E3734="",E3734="!!!",F3734="NEW"),"",INDEX(B3733:B$2,-1+SUMPRODUCT(MAX(ROW(E3733:E$2)*(E3734=E3733:E$2)))))</f>
        <v> </v>
      </c>
      <c r="J3734" s="25" t="str">
        <f>IF(OR(E3734="",E3734="!!!",F3734="NEW"),"",COUNTBLANK(OFFSET(A$1,,,SUMPRODUCT(MAX(ROW(E$2:E3734)*(E3734=E$2:E3734)))))-COUNTBLANK(OFFSET(A$1,,,SUMPRODUCT(MAX(ROW(E$1:E3733)*(E2=E$1:E3733))))))</f>
        <v> </v>
      </c>
      <c r="K3734" s="25" t="str">
        <f>IF(OR(E3734="",E3734="!!!",F3734="NEW"),"",INDEX(J$1:J3733,SUMPRODUCT(MAX(ROW(E$1:E3733)*(E3734=E$1:E3733)))))</f>
        <v> </v>
      </c>
      <c r="L3734" s="26"/>
    </row>
    <row r="3735" spans="1:12">
      <c r="A3735" s="20" t="s">
        <v>1102</v>
      </c>
      <c r="E3735" s="21">
        <f>IF(D3735="?OLD","!!!","")</f>
        <v/>
      </c>
      <c r="F3735" s="22" t="str">
        <f>IF(OR(E3735="",E3735="!!!"),"",IF(NOT(ISNA(VLOOKUP(E3735,E$1:E3734,1,FALSE()))),"OLD",IF(AND(E3735&lt;&gt;"",E3735&lt;&gt;"!!!"),"NEW","")))</f>
        <v> </v>
      </c>
      <c r="G3735" s="23" t="str">
        <f>IF(OR(E3735="",E3735="!!!"),"",IF(OR(J3735=0,AND(J3735=1,K3735=1),AND(J3735=1,I3735="SBJ"),AND(J3735=1,I3735=0)),"?IN_FOCUS",IF(J3735&lt;=2,"?ACTIVATED",IF(J3735&lt;&gt;"","?FAMILIAR",IF(F3735="NEW",IF(ISNA(VLOOKUP(E3735,#REF!,1,FALSE())),"?TYPE_IDENTIFIABLE","?REFERENTIAL"),"_")))))</f>
        <v> </v>
      </c>
      <c r="H3735" s="24" t="str">
        <f>IF(J3735&lt;&gt;1,"",IF(I3735="SBJ","CB","?"))</f>
        <v> </v>
      </c>
      <c r="I3735" s="25" t="str">
        <f>IF(OR(E3735="",E3735="!!!",F3735="NEW"),"",INDEX(B3734:B$2,-1+SUMPRODUCT(MAX(ROW(E3734:E$2)*(E3735=E3734:E$2)))))</f>
        <v> </v>
      </c>
      <c r="J3735" s="25" t="str">
        <f>IF(OR(E3735="",E3735="!!!",F3735="NEW"),"",COUNTBLANK(OFFSET(A$1,,,SUMPRODUCT(MAX(ROW(E$2:E3735)*(E3735=E$2:E3735)))))-COUNTBLANK(OFFSET(A$1,,,SUMPRODUCT(MAX(ROW(E$1:E3734)*(E2=E$1:E3734))))))</f>
        <v> </v>
      </c>
      <c r="K3735" s="25" t="str">
        <f>IF(OR(E3735="",E3735="!!!",F3735="NEW"),"",INDEX(J$1:J3734,SUMPRODUCT(MAX(ROW(E$1:E3734)*(E3735=E$1:E3734)))))</f>
        <v> </v>
      </c>
      <c r="L3735" s="26"/>
    </row>
    <row r="3736" spans="1:12">
      <c r="A3736" s="20" t="s">
        <v>1148</v>
      </c>
      <c r="E3736" s="21">
        <f>IF(D3736="?OLD","!!!","")</f>
        <v/>
      </c>
      <c r="F3736" s="22" t="str">
        <f>IF(OR(E3736="",E3736="!!!"),"",IF(NOT(ISNA(VLOOKUP(E3736,E$1:E3735,1,FALSE()))),"OLD",IF(AND(E3736&lt;&gt;"",E3736&lt;&gt;"!!!"),"NEW","")))</f>
        <v> </v>
      </c>
      <c r="G3736" s="23" t="str">
        <f>IF(OR(E3736="",E3736="!!!"),"",IF(OR(J3736=0,AND(J3736=1,K3736=1),AND(J3736=1,I3736="SBJ"),AND(J3736=1,I3736=0)),"?IN_FOCUS",IF(J3736&lt;=2,"?ACTIVATED",IF(J3736&lt;&gt;"","?FAMILIAR",IF(F3736="NEW",IF(ISNA(VLOOKUP(E3736,#REF!,1,FALSE())),"?TYPE_IDENTIFIABLE","?REFERENTIAL"),"_")))))</f>
        <v> </v>
      </c>
      <c r="H3736" s="24" t="str">
        <f>IF(J3736&lt;&gt;1,"",IF(I3736="SBJ","CB","?"))</f>
        <v> </v>
      </c>
      <c r="I3736" s="25" t="str">
        <f>IF(OR(E3736="",E3736="!!!",F3736="NEW"),"",INDEX(B3735:B$2,-1+SUMPRODUCT(MAX(ROW(E3735:E$2)*(E3736=E3735:E$2)))))</f>
        <v> </v>
      </c>
      <c r="J3736" s="25" t="str">
        <f>IF(OR(E3736="",E3736="!!!",F3736="NEW"),"",COUNTBLANK(OFFSET(A$1,,,SUMPRODUCT(MAX(ROW(E$2:E3736)*(E3736=E$2:E3736)))))-COUNTBLANK(OFFSET(A$1,,,SUMPRODUCT(MAX(ROW(E$1:E3735)*(E2=E$1:E3735))))))</f>
        <v> </v>
      </c>
      <c r="K3736" s="25" t="str">
        <f>IF(OR(E3736="",E3736="!!!",F3736="NEW"),"",INDEX(J$1:J3735,SUMPRODUCT(MAX(ROW(E$1:E3735)*(E3736=E$1:E3735)))))</f>
        <v> </v>
      </c>
      <c r="L3736" s="26"/>
    </row>
    <row r="3737" spans="1:12">
      <c r="A3737" s="20" t="s">
        <v>1019</v>
      </c>
      <c r="E3737" s="21">
        <f>IF(D3737="?OLD","!!!","")</f>
        <v/>
      </c>
      <c r="F3737" s="22" t="str">
        <f>IF(OR(E3737="",E3737="!!!"),"",IF(NOT(ISNA(VLOOKUP(E3737,E$1:E3736,1,FALSE()))),"OLD",IF(AND(E3737&lt;&gt;"",E3737&lt;&gt;"!!!"),"NEW","")))</f>
        <v> </v>
      </c>
      <c r="G3737" s="23" t="str">
        <f>IF(OR(E3737="",E3737="!!!"),"",IF(OR(J3737=0,AND(J3737=1,K3737=1),AND(J3737=1,I3737="SBJ"),AND(J3737=1,I3737=0)),"?IN_FOCUS",IF(J3737&lt;=2,"?ACTIVATED",IF(J3737&lt;&gt;"","?FAMILIAR",IF(F3737="NEW",IF(ISNA(VLOOKUP(E3737,#REF!,1,FALSE())),"?TYPE_IDENTIFIABLE","?REFERENTIAL"),"_")))))</f>
        <v> </v>
      </c>
      <c r="H3737" s="24" t="str">
        <f>IF(J3737&lt;&gt;1,"",IF(I3737="SBJ","CB","?"))</f>
        <v> </v>
      </c>
      <c r="I3737" s="25" t="str">
        <f>IF(OR(E3737="",E3737="!!!",F3737="NEW"),"",INDEX(B3736:B$2,-1+SUMPRODUCT(MAX(ROW(E3736:E$2)*(E3737=E3736:E$2)))))</f>
        <v> </v>
      </c>
      <c r="J3737" s="25" t="str">
        <f>IF(OR(E3737="",E3737="!!!",F3737="NEW"),"",COUNTBLANK(OFFSET(A$1,,,SUMPRODUCT(MAX(ROW(E$2:E3737)*(E3737=E$2:E3737)))))-COUNTBLANK(OFFSET(A$1,,,SUMPRODUCT(MAX(ROW(E$1:E3736)*(E2=E$1:E3736))))))</f>
        <v> </v>
      </c>
      <c r="K3737" s="25" t="str">
        <f>IF(OR(E3737="",E3737="!!!",F3737="NEW"),"",INDEX(J$1:J3736,SUMPRODUCT(MAX(ROW(E$1:E3736)*(E3737=E$1:E3736)))))</f>
        <v> </v>
      </c>
      <c r="L3737" s="26"/>
    </row>
    <row r="3738" spans="1:12">
      <c r="A3738" s="20" t="s">
        <v>1988</v>
      </c>
      <c r="B3738" s="27" t="s">
        <v>1026</v>
      </c>
      <c r="C3738" s="27" t="s">
        <v>1021</v>
      </c>
      <c r="E3738" s="21">
        <f>IF(D3738="?OLD","!!!","")</f>
        <v/>
      </c>
      <c r="F3738" s="22" t="str">
        <f>IF(OR(E3738="",E3738="!!!"),"",IF(NOT(ISNA(VLOOKUP(E3738,E$1:E3737,1,FALSE()))),"OLD",IF(AND(E3738&lt;&gt;"",E3738&lt;&gt;"!!!"),"NEW","")))</f>
        <v> </v>
      </c>
      <c r="G3738" s="23" t="str">
        <f>IF(OR(E3738="",E3738="!!!"),"",IF(OR(J3738=0,AND(J3738=1,K3738=1),AND(J3738=1,I3738="SBJ"),AND(J3738=1,I3738=0)),"?IN_FOCUS",IF(J3738&lt;=2,"?ACTIVATED",IF(J3738&lt;&gt;"","?FAMILIAR",IF(F3738="NEW",IF(ISNA(VLOOKUP(E3738,#REF!,1,FALSE())),"?TYPE_IDENTIFIABLE","?REFERENTIAL"),"_")))))</f>
        <v> </v>
      </c>
      <c r="H3738" s="24" t="str">
        <f>IF(J3738&lt;&gt;1,"",IF(I3738="SBJ","CB","?"))</f>
        <v> </v>
      </c>
      <c r="I3738" s="25" t="str">
        <f>IF(OR(E3738="",E3738="!!!",F3738="NEW"),"",INDEX(B3737:B$2,-1+SUMPRODUCT(MAX(ROW(E3737:E$2)*(E3738=E3737:E$2)))))</f>
        <v> </v>
      </c>
      <c r="J3738" s="25" t="str">
        <f>IF(OR(E3738="",E3738="!!!",F3738="NEW"),"",COUNTBLANK(OFFSET(A$1,,,SUMPRODUCT(MAX(ROW(E$2:E3738)*(E3738=E$2:E3738)))))-COUNTBLANK(OFFSET(A$1,,,SUMPRODUCT(MAX(ROW(E$1:E3737)*(E2=E$1:E3737))))))</f>
        <v> </v>
      </c>
      <c r="K3738" s="25" t="str">
        <f>IF(OR(E3738="",E3738="!!!",F3738="NEW"),"",INDEX(J$1:J3737,SUMPRODUCT(MAX(ROW(E$1:E3737)*(E3738=E$1:E3737)))))</f>
        <v> </v>
      </c>
      <c r="L3738" s="26"/>
    </row>
    <row r="3739" spans="1:12">
      <c r="A3739" s="20" t="s">
        <v>1022</v>
      </c>
      <c r="E3739" s="21">
        <f>IF(D3739="?OLD","!!!","")</f>
        <v/>
      </c>
      <c r="F3739" s="22" t="str">
        <f>IF(OR(E3739="",E3739="!!!"),"",IF(NOT(ISNA(VLOOKUP(E3739,E$1:E3738,1,FALSE()))),"OLD",IF(AND(E3739&lt;&gt;"",E3739&lt;&gt;"!!!"),"NEW","")))</f>
        <v> </v>
      </c>
      <c r="G3739" s="23" t="str">
        <f>IF(OR(E3739="",E3739="!!!"),"",IF(OR(J3739=0,AND(J3739=1,K3739=1),AND(J3739=1,I3739="SBJ"),AND(J3739=1,I3739=0)),"?IN_FOCUS",IF(J3739&lt;=2,"?ACTIVATED",IF(J3739&lt;&gt;"","?FAMILIAR",IF(F3739="NEW",IF(ISNA(VLOOKUP(E3739,#REF!,1,FALSE())),"?TYPE_IDENTIFIABLE","?REFERENTIAL"),"_")))))</f>
        <v> </v>
      </c>
      <c r="H3739" s="24" t="str">
        <f>IF(J3739&lt;&gt;1,"",IF(I3739="SBJ","CB","?"))</f>
        <v> </v>
      </c>
      <c r="I3739" s="25" t="str">
        <f>IF(OR(E3739="",E3739="!!!",F3739="NEW"),"",INDEX(B3738:B$2,-1+SUMPRODUCT(MAX(ROW(E3738:E$2)*(E3739=E3738:E$2)))))</f>
        <v> </v>
      </c>
      <c r="J3739" s="25" t="str">
        <f>IF(OR(E3739="",E3739="!!!",F3739="NEW"),"",COUNTBLANK(OFFSET(A$1,,,SUMPRODUCT(MAX(ROW(E$2:E3739)*(E3739=E$2:E3739)))))-COUNTBLANK(OFFSET(A$1,,,SUMPRODUCT(MAX(ROW(E$1:E3738)*(E2=E$1:E3738))))))</f>
        <v> </v>
      </c>
      <c r="K3739" s="25" t="str">
        <f>IF(OR(E3739="",E3739="!!!",F3739="NEW"),"",INDEX(J$1:J3738,SUMPRODUCT(MAX(ROW(E$1:E3738)*(E3739=E$1:E3738)))))</f>
        <v> </v>
      </c>
      <c r="L3739" s="26"/>
    </row>
    <row r="3740" spans="1:12">
      <c r="A3740" s="20"/>
    </row>
    <row r="3741" spans="1:12">
      <c r="A3741" s="20" t="s">
        <v>1989</v>
      </c>
    </row>
    <row r="3742" spans="1:12">
      <c r="A3742" s="20" t="s">
        <v>1115</v>
      </c>
      <c r="B3742" s="27" t="s">
        <v>1038</v>
      </c>
      <c r="C3742" s="27" t="s">
        <v>1013</v>
      </c>
      <c r="D3742" s="27" t="s">
        <v>1014</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1011</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1227</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1019</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t="s">
        <v>1553</v>
      </c>
      <c r="B3746" s="27" t="s">
        <v>1026</v>
      </c>
      <c r="C3746" s="27" t="s">
        <v>1021</v>
      </c>
      <c r="E3746" s="21">
        <f>IF(D3746="?OLD","!!!","")</f>
        <v/>
      </c>
      <c r="F3746" s="22" t="str">
        <f>IF(OR(E3746="",E3746="!!!"),"",IF(NOT(ISNA(VLOOKUP(E3746,E$1:E3745,1,FALSE()))),"OLD",IF(AND(E3746&lt;&gt;"",E3746&lt;&gt;"!!!"),"NEW","")))</f>
        <v> </v>
      </c>
      <c r="G3746" s="23" t="str">
        <f>IF(OR(E3746="",E3746="!!!"),"",IF(OR(J3746=0,AND(J3746=1,K3746=1),AND(J3746=1,I3746="SBJ"),AND(J3746=1,I3746=0)),"?IN_FOCUS",IF(J3746&lt;=2,"?ACTIVATED",IF(J3746&lt;&gt;"","?FAMILIAR",IF(F3746="NEW",IF(ISNA(VLOOKUP(E3746,#REF!,1,FALSE())),"?TYPE_IDENTIFIABLE","?REFERENTIAL"),"_")))))</f>
        <v> </v>
      </c>
      <c r="H3746" s="24" t="str">
        <f>IF(J3746&lt;&gt;1,"",IF(I3746="SBJ","CB","?"))</f>
        <v> </v>
      </c>
      <c r="I3746" s="25" t="str">
        <f>IF(OR(E3746="",E3746="!!!",F3746="NEW"),"",INDEX(B3745:B$2,-1+SUMPRODUCT(MAX(ROW(E3745:E$2)*(E3746=E3745:E$2)))))</f>
        <v> </v>
      </c>
      <c r="J3746" s="25" t="str">
        <f>IF(OR(E3746="",E3746="!!!",F3746="NEW"),"",COUNTBLANK(OFFSET(A$1,,,SUMPRODUCT(MAX(ROW(E$2:E3746)*(E3746=E$2:E3746)))))-COUNTBLANK(OFFSET(A$1,,,SUMPRODUCT(MAX(ROW(E$1:E3745)*(E2=E$1:E3745))))))</f>
        <v> </v>
      </c>
      <c r="K3746" s="25" t="str">
        <f>IF(OR(E3746="",E3746="!!!",F3746="NEW"),"",INDEX(J$1:J3745,SUMPRODUCT(MAX(ROW(E$1:E3745)*(E3746=E$1:E3745)))))</f>
        <v> </v>
      </c>
      <c r="L3746" s="26"/>
    </row>
    <row r="3747" spans="1:12">
      <c r="A3747" s="20" t="s">
        <v>1102</v>
      </c>
      <c r="E3747" s="21">
        <f>IF(D3747="?OLD","!!!","")</f>
        <v/>
      </c>
      <c r="F3747" s="22" t="str">
        <f>IF(OR(E3747="",E3747="!!!"),"",IF(NOT(ISNA(VLOOKUP(E3747,E$1:E3746,1,FALSE()))),"OLD",IF(AND(E3747&lt;&gt;"",E3747&lt;&gt;"!!!"),"NEW","")))</f>
        <v> </v>
      </c>
      <c r="G3747" s="23" t="str">
        <f>IF(OR(E3747="",E3747="!!!"),"",IF(OR(J3747=0,AND(J3747=1,K3747=1),AND(J3747=1,I3747="SBJ"),AND(J3747=1,I3747=0)),"?IN_FOCUS",IF(J3747&lt;=2,"?ACTIVATED",IF(J3747&lt;&gt;"","?FAMILIAR",IF(F3747="NEW",IF(ISNA(VLOOKUP(E3747,#REF!,1,FALSE())),"?TYPE_IDENTIFIABLE","?REFERENTIAL"),"_")))))</f>
        <v> </v>
      </c>
      <c r="H3747" s="24" t="str">
        <f>IF(J3747&lt;&gt;1,"",IF(I3747="SBJ","CB","?"))</f>
        <v> </v>
      </c>
      <c r="I3747" s="25" t="str">
        <f>IF(OR(E3747="",E3747="!!!",F3747="NEW"),"",INDEX(B3746:B$2,-1+SUMPRODUCT(MAX(ROW(E3746:E$2)*(E3747=E3746:E$2)))))</f>
        <v> </v>
      </c>
      <c r="J3747" s="25" t="str">
        <f>IF(OR(E3747="",E3747="!!!",F3747="NEW"),"",COUNTBLANK(OFFSET(A$1,,,SUMPRODUCT(MAX(ROW(E$2:E3747)*(E3747=E$2:E3747)))))-COUNTBLANK(OFFSET(A$1,,,SUMPRODUCT(MAX(ROW(E$1:E3746)*(E2=E$1:E3746))))))</f>
        <v> </v>
      </c>
      <c r="K3747" s="25" t="str">
        <f>IF(OR(E3747="",E3747="!!!",F3747="NEW"),"",INDEX(J$1:J3746,SUMPRODUCT(MAX(ROW(E$1:E3746)*(E3747=E$1:E3746)))))</f>
        <v> </v>
      </c>
      <c r="L3747" s="26"/>
    </row>
    <row r="3748" spans="1:12">
      <c r="A3748" s="20" t="s">
        <v>1990</v>
      </c>
      <c r="B3748" s="27" t="s">
        <v>1026</v>
      </c>
      <c r="C3748" s="27" t="s">
        <v>1087</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t="s">
        <v>1022</v>
      </c>
      <c r="E3749" s="21">
        <f>IF(D3749="?OLD","!!!","")</f>
        <v/>
      </c>
      <c r="F3749" s="22" t="str">
        <f>IF(OR(E3749="",E3749="!!!"),"",IF(NOT(ISNA(VLOOKUP(E3749,E$1:E3748,1,FALSE()))),"OLD",IF(AND(E3749&lt;&gt;"",E3749&lt;&gt;"!!!"),"NEW","")))</f>
        <v> </v>
      </c>
      <c r="G3749" s="23" t="str">
        <f>IF(OR(E3749="",E3749="!!!"),"",IF(OR(J3749=0,AND(J3749=1,K3749=1),AND(J3749=1,I3749="SBJ"),AND(J3749=1,I3749=0)),"?IN_FOCUS",IF(J3749&lt;=2,"?ACTIVATED",IF(J3749&lt;&gt;"","?FAMILIAR",IF(F3749="NEW",IF(ISNA(VLOOKUP(E3749,#REF!,1,FALSE())),"?TYPE_IDENTIFIABLE","?REFERENTIAL"),"_")))))</f>
        <v> </v>
      </c>
      <c r="H3749" s="24" t="str">
        <f>IF(J3749&lt;&gt;1,"",IF(I3749="SBJ","CB","?"))</f>
        <v> </v>
      </c>
      <c r="I3749" s="25" t="str">
        <f>IF(OR(E3749="",E3749="!!!",F3749="NEW"),"",INDEX(B3748:B$2,-1+SUMPRODUCT(MAX(ROW(E3748:E$2)*(E3749=E3748:E$2)))))</f>
        <v> </v>
      </c>
      <c r="J3749" s="25" t="str">
        <f>IF(OR(E3749="",E3749="!!!",F3749="NEW"),"",COUNTBLANK(OFFSET(A$1,,,SUMPRODUCT(MAX(ROW(E$2:E3749)*(E3749=E$2:E3749)))))-COUNTBLANK(OFFSET(A$1,,,SUMPRODUCT(MAX(ROW(E$1:E3748)*(E2=E$1:E3748))))))</f>
        <v> </v>
      </c>
      <c r="K3749" s="25" t="str">
        <f>IF(OR(E3749="",E3749="!!!",F3749="NEW"),"",INDEX(J$1:J3748,SUMPRODUCT(MAX(ROW(E$1:E3748)*(E3749=E$1:E3748)))))</f>
        <v> </v>
      </c>
      <c r="L3749" s="26"/>
    </row>
    <row r="3750" spans="1:12">
      <c r="A3750" s="20"/>
    </row>
    <row r="3751" spans="1:12">
      <c r="A3751" s="20" t="s">
        <v>1991</v>
      </c>
    </row>
    <row r="3752" spans="1:12">
      <c r="A3752" s="20" t="s">
        <v>1115</v>
      </c>
      <c r="B3752" s="27" t="s">
        <v>1038</v>
      </c>
      <c r="C3752" s="27" t="s">
        <v>1013</v>
      </c>
      <c r="D3752" s="27" t="s">
        <v>1014</v>
      </c>
      <c r="E3752" s="21">
        <f>IF(D3752="?OLD","!!!","")</f>
        <v/>
      </c>
      <c r="F3752" s="22" t="str">
        <f>IF(OR(E3752="",E3752="!!!"),"",IF(NOT(ISNA(VLOOKUP(E3752,E$1:E3751,1,FALSE()))),"OLD",IF(AND(E3752&lt;&gt;"",E3752&lt;&gt;"!!!"),"NEW","")))</f>
        <v> </v>
      </c>
      <c r="G3752" s="23" t="str">
        <f>IF(OR(E3752="",E3752="!!!"),"",IF(OR(J3752=0,AND(J3752=1,K3752=1),AND(J3752=1,I3752="SBJ"),AND(J3752=1,I3752=0)),"?IN_FOCUS",IF(J3752&lt;=2,"?ACTIVATED",IF(J3752&lt;&gt;"","?FAMILIAR",IF(F3752="NEW",IF(ISNA(VLOOKUP(E3752,#REF!,1,FALSE())),"?TYPE_IDENTIFIABLE","?REFERENTIAL"),"_")))))</f>
        <v> </v>
      </c>
      <c r="H3752" s="24" t="str">
        <f>IF(J3752&lt;&gt;1,"",IF(I3752="SBJ","CB","?"))</f>
        <v> </v>
      </c>
      <c r="I3752" s="25" t="str">
        <f>IF(OR(E3752="",E3752="!!!",F3752="NEW"),"",INDEX(B3751:B$2,-1+SUMPRODUCT(MAX(ROW(E3751:E$2)*(E3752=E3751:E$2)))))</f>
        <v> </v>
      </c>
      <c r="J3752" s="25" t="str">
        <f>IF(OR(E3752="",E3752="!!!",F3752="NEW"),"",COUNTBLANK(OFFSET(A$1,,,SUMPRODUCT(MAX(ROW(E$2:E3752)*(E3752=E$2:E3752)))))-COUNTBLANK(OFFSET(A$1,,,SUMPRODUCT(MAX(ROW(E$1:E3751)*(E2=E$1:E3751))))))</f>
        <v> </v>
      </c>
      <c r="K3752" s="25" t="str">
        <f>IF(OR(E3752="",E3752="!!!",F3752="NEW"),"",INDEX(J$1:J3751,SUMPRODUCT(MAX(ROW(E$1:E3751)*(E3752=E$1:E3751)))))</f>
        <v> </v>
      </c>
      <c r="L3752" s="26"/>
    </row>
    <row r="3753" spans="1:12">
      <c r="A3753" s="20" t="s">
        <v>1789</v>
      </c>
      <c r="E3753" s="21">
        <f>IF(D3753="?OLD","!!!","")</f>
        <v/>
      </c>
      <c r="F3753" s="22" t="str">
        <f>IF(OR(E3753="",E3753="!!!"),"",IF(NOT(ISNA(VLOOKUP(E3753,E$1:E3752,1,FALSE()))),"OLD",IF(AND(E3753&lt;&gt;"",E3753&lt;&gt;"!!!"),"NEW","")))</f>
        <v> </v>
      </c>
      <c r="G3753" s="23" t="str">
        <f>IF(OR(E3753="",E3753="!!!"),"",IF(OR(J3753=0,AND(J3753=1,K3753=1),AND(J3753=1,I3753="SBJ"),AND(J3753=1,I3753=0)),"?IN_FOCUS",IF(J3753&lt;=2,"?ACTIVATED",IF(J3753&lt;&gt;"","?FAMILIAR",IF(F3753="NEW",IF(ISNA(VLOOKUP(E3753,#REF!,1,FALSE())),"?TYPE_IDENTIFIABLE","?REFERENTIAL"),"_")))))</f>
        <v> </v>
      </c>
      <c r="H3753" s="24" t="str">
        <f>IF(J3753&lt;&gt;1,"",IF(I3753="SBJ","CB","?"))</f>
        <v> </v>
      </c>
      <c r="I3753" s="25" t="str">
        <f>IF(OR(E3753="",E3753="!!!",F3753="NEW"),"",INDEX(B3752:B$2,-1+SUMPRODUCT(MAX(ROW(E3752:E$2)*(E3753=E3752:E$2)))))</f>
        <v> </v>
      </c>
      <c r="J3753" s="25" t="str">
        <f>IF(OR(E3753="",E3753="!!!",F3753="NEW"),"",COUNTBLANK(OFFSET(A$1,,,SUMPRODUCT(MAX(ROW(E$2:E3753)*(E3753=E$2:E3753)))))-COUNTBLANK(OFFSET(A$1,,,SUMPRODUCT(MAX(ROW(E$1:E3752)*(E2=E$1:E3752))))))</f>
        <v> </v>
      </c>
      <c r="K3753" s="25" t="str">
        <f>IF(OR(E3753="",E3753="!!!",F3753="NEW"),"",INDEX(J$1:J3752,SUMPRODUCT(MAX(ROW(E$1:E3752)*(E3753=E$1:E3752)))))</f>
        <v> </v>
      </c>
      <c r="L3753" s="26"/>
    </row>
    <row r="3754" spans="1:12">
      <c r="A3754" s="20" t="s">
        <v>1022</v>
      </c>
      <c r="E3754" s="21">
        <f>IF(D3754="?OLD","!!!","")</f>
        <v/>
      </c>
      <c r="F3754" s="22" t="str">
        <f>IF(OR(E3754="",E3754="!!!"),"",IF(NOT(ISNA(VLOOKUP(E3754,E$1:E3753,1,FALSE()))),"OLD",IF(AND(E3754&lt;&gt;"",E3754&lt;&gt;"!!!"),"NEW","")))</f>
        <v> </v>
      </c>
      <c r="G3754" s="23" t="str">
        <f>IF(OR(E3754="",E3754="!!!"),"",IF(OR(J3754=0,AND(J3754=1,K3754=1),AND(J3754=1,I3754="SBJ"),AND(J3754=1,I3754=0)),"?IN_FOCUS",IF(J3754&lt;=2,"?ACTIVATED",IF(J3754&lt;&gt;"","?FAMILIAR",IF(F3754="NEW",IF(ISNA(VLOOKUP(E3754,#REF!,1,FALSE())),"?TYPE_IDENTIFIABLE","?REFERENTIAL"),"_")))))</f>
        <v> </v>
      </c>
      <c r="H3754" s="24" t="str">
        <f>IF(J3754&lt;&gt;1,"",IF(I3754="SBJ","CB","?"))</f>
        <v> </v>
      </c>
      <c r="I3754" s="25" t="str">
        <f>IF(OR(E3754="",E3754="!!!",F3754="NEW"),"",INDEX(B3753:B$2,-1+SUMPRODUCT(MAX(ROW(E3753:E$2)*(E3754=E3753:E$2)))))</f>
        <v> </v>
      </c>
      <c r="J3754" s="25" t="str">
        <f>IF(OR(E3754="",E3754="!!!",F3754="NEW"),"",COUNTBLANK(OFFSET(A$1,,,SUMPRODUCT(MAX(ROW(E$2:E3754)*(E3754=E$2:E3754)))))-COUNTBLANK(OFFSET(A$1,,,SUMPRODUCT(MAX(ROW(E$1:E3753)*(E2=E$1:E3753))))))</f>
        <v> </v>
      </c>
      <c r="K3754" s="25" t="str">
        <f>IF(OR(E3754="",E3754="!!!",F3754="NEW"),"",INDEX(J$1:J3753,SUMPRODUCT(MAX(ROW(E$1:E3753)*(E3754=E$1:E3753)))))</f>
        <v> </v>
      </c>
      <c r="L3754" s="26"/>
    </row>
    <row r="3755" spans="1:12">
      <c r="A3755" s="20"/>
    </row>
    <row r="3756" spans="1:12">
      <c r="A3756" s="20" t="s">
        <v>1992</v>
      </c>
    </row>
    <row r="3757" spans="1:12">
      <c r="A3757" s="20" t="s">
        <v>1115</v>
      </c>
      <c r="B3757" s="27" t="s">
        <v>1038</v>
      </c>
      <c r="C3757" s="27" t="s">
        <v>1013</v>
      </c>
      <c r="D3757" s="27" t="s">
        <v>1014</v>
      </c>
      <c r="E3757" s="21">
        <f>IF(D3757="?OLD","!!!","")</f>
        <v/>
      </c>
      <c r="F3757" s="22" t="str">
        <f>IF(OR(E3757="",E3757="!!!"),"",IF(NOT(ISNA(VLOOKUP(E3757,E$1:E3756,1,FALSE()))),"OLD",IF(AND(E3757&lt;&gt;"",E3757&lt;&gt;"!!!"),"NEW","")))</f>
        <v> </v>
      </c>
      <c r="G3757" s="23" t="str">
        <f>IF(OR(E3757="",E3757="!!!"),"",IF(OR(J3757=0,AND(J3757=1,K3757=1),AND(J3757=1,I3757="SBJ"),AND(J3757=1,I3757=0)),"?IN_FOCUS",IF(J3757&lt;=2,"?ACTIVATED",IF(J3757&lt;&gt;"","?FAMILIAR",IF(F3757="NEW",IF(ISNA(VLOOKUP(E3757,#REF!,1,FALSE())),"?TYPE_IDENTIFIABLE","?REFERENTIAL"),"_")))))</f>
        <v> </v>
      </c>
      <c r="H3757" s="24" t="str">
        <f>IF(J3757&lt;&gt;1,"",IF(I3757="SBJ","CB","?"))</f>
        <v> </v>
      </c>
      <c r="I3757" s="25" t="str">
        <f>IF(OR(E3757="",E3757="!!!",F3757="NEW"),"",INDEX(B3756:B$2,-1+SUMPRODUCT(MAX(ROW(E3756:E$2)*(E3757=E3756:E$2)))))</f>
        <v> </v>
      </c>
      <c r="J3757" s="25" t="str">
        <f>IF(OR(E3757="",E3757="!!!",F3757="NEW"),"",COUNTBLANK(OFFSET(A$1,,,SUMPRODUCT(MAX(ROW(E$2:E3757)*(E3757=E$2:E3757)))))-COUNTBLANK(OFFSET(A$1,,,SUMPRODUCT(MAX(ROW(E$1:E3756)*(E2=E$1:E3756))))))</f>
        <v> </v>
      </c>
      <c r="K3757" s="25" t="str">
        <f>IF(OR(E3757="",E3757="!!!",F3757="NEW"),"",INDEX(J$1:J3756,SUMPRODUCT(MAX(ROW(E$1:E3756)*(E3757=E$1:E3756)))))</f>
        <v> </v>
      </c>
      <c r="L3757" s="26"/>
    </row>
    <row r="3758" spans="1:12">
      <c r="A3758" s="20" t="s">
        <v>1236</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t="s">
        <v>1079</v>
      </c>
      <c r="E3759" s="21">
        <f>IF(D3759="?OLD","!!!","")</f>
        <v/>
      </c>
      <c r="F3759" s="22" t="str">
        <f>IF(OR(E3759="",E3759="!!!"),"",IF(NOT(ISNA(VLOOKUP(E3759,E$1:E3758,1,FALSE()))),"OLD",IF(AND(E3759&lt;&gt;"",E3759&lt;&gt;"!!!"),"NEW","")))</f>
        <v> </v>
      </c>
      <c r="G3759" s="23" t="str">
        <f>IF(OR(E3759="",E3759="!!!"),"",IF(OR(J3759=0,AND(J3759=1,K3759=1),AND(J3759=1,I3759="SBJ"),AND(J3759=1,I3759=0)),"?IN_FOCUS",IF(J3759&lt;=2,"?ACTIVATED",IF(J3759&lt;&gt;"","?FAMILIAR",IF(F3759="NEW",IF(ISNA(VLOOKUP(E3759,#REF!,1,FALSE())),"?TYPE_IDENTIFIABLE","?REFERENTIAL"),"_")))))</f>
        <v> </v>
      </c>
      <c r="H3759" s="24" t="str">
        <f>IF(J3759&lt;&gt;1,"",IF(I3759="SBJ","CB","?"))</f>
        <v> </v>
      </c>
      <c r="I3759" s="25" t="str">
        <f>IF(OR(E3759="",E3759="!!!",F3759="NEW"),"",INDEX(B3758:B$2,-1+SUMPRODUCT(MAX(ROW(E3758:E$2)*(E3759=E3758:E$2)))))</f>
        <v> </v>
      </c>
      <c r="J3759" s="25" t="str">
        <f>IF(OR(E3759="",E3759="!!!",F3759="NEW"),"",COUNTBLANK(OFFSET(A$1,,,SUMPRODUCT(MAX(ROW(E$2:E3759)*(E3759=E$2:E3759)))))-COUNTBLANK(OFFSET(A$1,,,SUMPRODUCT(MAX(ROW(E$1:E3758)*(E2=E$1:E3758))))))</f>
        <v> </v>
      </c>
      <c r="K3759" s="25" t="str">
        <f>IF(OR(E3759="",E3759="!!!",F3759="NEW"),"",INDEX(J$1:J3758,SUMPRODUCT(MAX(ROW(E$1:E3758)*(E3759=E$1:E3758)))))</f>
        <v> </v>
      </c>
      <c r="L3759" s="26"/>
    </row>
    <row r="3760" spans="1:12">
      <c r="A3760" s="20" t="s">
        <v>22</v>
      </c>
      <c r="E3760" s="21">
        <f>IF(D3760="?OLD","!!!","")</f>
        <v/>
      </c>
      <c r="F3760" s="22" t="str">
        <f>IF(OR(E3760="",E3760="!!!"),"",IF(NOT(ISNA(VLOOKUP(E3760,E$1:E3759,1,FALSE()))),"OLD",IF(AND(E3760&lt;&gt;"",E3760&lt;&gt;"!!!"),"NEW","")))</f>
        <v> </v>
      </c>
      <c r="G3760" s="23" t="str">
        <f>IF(OR(E3760="",E3760="!!!"),"",IF(OR(J3760=0,AND(J3760=1,K3760=1),AND(J3760=1,I3760="SBJ"),AND(J3760=1,I3760=0)),"?IN_FOCUS",IF(J3760&lt;=2,"?ACTIVATED",IF(J3760&lt;&gt;"","?FAMILIAR",IF(F3760="NEW",IF(ISNA(VLOOKUP(E3760,#REF!,1,FALSE())),"?TYPE_IDENTIFIABLE","?REFERENTIAL"),"_")))))</f>
        <v> </v>
      </c>
      <c r="H3760" s="24" t="str">
        <f>IF(J3760&lt;&gt;1,"",IF(I3760="SBJ","CB","?"))</f>
        <v> </v>
      </c>
      <c r="I3760" s="25" t="str">
        <f>IF(OR(E3760="",E3760="!!!",F3760="NEW"),"",INDEX(B3759:B$2,-1+SUMPRODUCT(MAX(ROW(E3759:E$2)*(E3760=E3759:E$2)))))</f>
        <v> </v>
      </c>
      <c r="J3760" s="25" t="str">
        <f>IF(OR(E3760="",E3760="!!!",F3760="NEW"),"",COUNTBLANK(OFFSET(A$1,,,SUMPRODUCT(MAX(ROW(E$2:E3760)*(E3760=E$2:E3760)))))-COUNTBLANK(OFFSET(A$1,,,SUMPRODUCT(MAX(ROW(E$1:E3759)*(E2=E$1:E3759))))))</f>
        <v> </v>
      </c>
      <c r="K3760" s="25" t="str">
        <f>IF(OR(E3760="",E3760="!!!",F3760="NEW"),"",INDEX(J$1:J3759,SUMPRODUCT(MAX(ROW(E$1:E3759)*(E3760=E$1:E3759)))))</f>
        <v> </v>
      </c>
      <c r="L3760" s="26"/>
    </row>
    <row r="3761" spans="1:12">
      <c r="A3761" s="20" t="s">
        <v>1993</v>
      </c>
      <c r="B3761" s="27" t="s">
        <v>1012</v>
      </c>
      <c r="C3761" s="27" t="s">
        <v>1087</v>
      </c>
      <c r="E3761" s="21">
        <f>IF(D3761="?OLD","!!!","")</f>
        <v/>
      </c>
      <c r="F3761" s="22" t="str">
        <f>IF(OR(E3761="",E3761="!!!"),"",IF(NOT(ISNA(VLOOKUP(E3761,E$1:E3760,1,FALSE()))),"OLD",IF(AND(E3761&lt;&gt;"",E3761&lt;&gt;"!!!"),"NEW","")))</f>
        <v> </v>
      </c>
      <c r="G3761" s="23" t="str">
        <f>IF(OR(E3761="",E3761="!!!"),"",IF(OR(J3761=0,AND(J3761=1,K3761=1),AND(J3761=1,I3761="SBJ"),AND(J3761=1,I3761=0)),"?IN_FOCUS",IF(J3761&lt;=2,"?ACTIVATED",IF(J3761&lt;&gt;"","?FAMILIAR",IF(F3761="NEW",IF(ISNA(VLOOKUP(E3761,#REF!,1,FALSE())),"?TYPE_IDENTIFIABLE","?REFERENTIAL"),"_")))))</f>
        <v> </v>
      </c>
      <c r="H3761" s="24" t="str">
        <f>IF(J3761&lt;&gt;1,"",IF(I3761="SBJ","CB","?"))</f>
        <v> </v>
      </c>
      <c r="I3761" s="25" t="str">
        <f>IF(OR(E3761="",E3761="!!!",F3761="NEW"),"",INDEX(B3760:B$2,-1+SUMPRODUCT(MAX(ROW(E3760:E$2)*(E3761=E3760:E$2)))))</f>
        <v> </v>
      </c>
      <c r="J3761" s="25" t="str">
        <f>IF(OR(E3761="",E3761="!!!",F3761="NEW"),"",COUNTBLANK(OFFSET(A$1,,,SUMPRODUCT(MAX(ROW(E$2:E3761)*(E3761=E$2:E3761)))))-COUNTBLANK(OFFSET(A$1,,,SUMPRODUCT(MAX(ROW(E$1:E3760)*(E2=E$1:E3760))))))</f>
        <v> </v>
      </c>
      <c r="K3761" s="25" t="str">
        <f>IF(OR(E3761="",E3761="!!!",F3761="NEW"),"",INDEX(J$1:J3760,SUMPRODUCT(MAX(ROW(E$1:E3760)*(E3761=E$1:E3760)))))</f>
        <v> </v>
      </c>
      <c r="L3761" s="26"/>
    </row>
    <row r="3762" spans="1:12">
      <c r="A3762" s="20" t="s">
        <v>1027</v>
      </c>
      <c r="E3762" s="21">
        <f>IF(D3762="?OLD","!!!","")</f>
        <v/>
      </c>
      <c r="F3762" s="22" t="str">
        <f>IF(OR(E3762="",E3762="!!!"),"",IF(NOT(ISNA(VLOOKUP(E3762,E$1:E3761,1,FALSE()))),"OLD",IF(AND(E3762&lt;&gt;"",E3762&lt;&gt;"!!!"),"NEW","")))</f>
        <v> </v>
      </c>
      <c r="G3762" s="23" t="str">
        <f>IF(OR(E3762="",E3762="!!!"),"",IF(OR(J3762=0,AND(J3762=1,K3762=1),AND(J3762=1,I3762="SBJ"),AND(J3762=1,I3762=0)),"?IN_FOCUS",IF(J3762&lt;=2,"?ACTIVATED",IF(J3762&lt;&gt;"","?FAMILIAR",IF(F3762="NEW",IF(ISNA(VLOOKUP(E3762,#REF!,1,FALSE())),"?TYPE_IDENTIFIABLE","?REFERENTIAL"),"_")))))</f>
        <v> </v>
      </c>
      <c r="H3762" s="24" t="str">
        <f>IF(J3762&lt;&gt;1,"",IF(I3762="SBJ","CB","?"))</f>
        <v> </v>
      </c>
      <c r="I3762" s="25" t="str">
        <f>IF(OR(E3762="",E3762="!!!",F3762="NEW"),"",INDEX(B3761:B$2,-1+SUMPRODUCT(MAX(ROW(E3761:E$2)*(E3762=E3761:E$2)))))</f>
        <v> </v>
      </c>
      <c r="J3762" s="25" t="str">
        <f>IF(OR(E3762="",E3762="!!!",F3762="NEW"),"",COUNTBLANK(OFFSET(A$1,,,SUMPRODUCT(MAX(ROW(E$2:E3762)*(E3762=E$2:E3762)))))-COUNTBLANK(OFFSET(A$1,,,SUMPRODUCT(MAX(ROW(E$1:E3761)*(E2=E$1:E3761))))))</f>
        <v> </v>
      </c>
      <c r="K3762" s="25" t="str">
        <f>IF(OR(E3762="",E3762="!!!",F3762="NEW"),"",INDEX(J$1:J3761,SUMPRODUCT(MAX(ROW(E$1:E3761)*(E3762=E$1:E3761)))))</f>
        <v> </v>
      </c>
      <c r="L3762" s="26"/>
    </row>
    <row r="3763" spans="1:12">
      <c r="A3763" s="20" t="s">
        <v>1032</v>
      </c>
      <c r="B3763" s="27" t="s">
        <v>1033</v>
      </c>
      <c r="C3763" s="27" t="s">
        <v>1013</v>
      </c>
      <c r="D3763" s="27" t="s">
        <v>1014</v>
      </c>
      <c r="E3763" s="21">
        <f>IF(D3763="?OLD","!!!","")</f>
        <v/>
      </c>
      <c r="F3763" s="22" t="str">
        <f>IF(OR(E3763="",E3763="!!!"),"",IF(NOT(ISNA(VLOOKUP(E3763,E$1:E3762,1,FALSE()))),"OLD",IF(AND(E3763&lt;&gt;"",E3763&lt;&gt;"!!!"),"NEW","")))</f>
        <v> </v>
      </c>
      <c r="G3763" s="23" t="str">
        <f>IF(OR(E3763="",E3763="!!!"),"",IF(OR(J3763=0,AND(J3763=1,K3763=1),AND(J3763=1,I3763="SBJ"),AND(J3763=1,I3763=0)),"?IN_FOCUS",IF(J3763&lt;=2,"?ACTIVATED",IF(J3763&lt;&gt;"","?FAMILIAR",IF(F3763="NEW",IF(ISNA(VLOOKUP(E3763,#REF!,1,FALSE())),"?TYPE_IDENTIFIABLE","?REFERENTIAL"),"_")))))</f>
        <v> </v>
      </c>
      <c r="H3763" s="24" t="str">
        <f>IF(J3763&lt;&gt;1,"",IF(I3763="SBJ","CB","?"))</f>
        <v> </v>
      </c>
      <c r="I3763" s="25" t="str">
        <f>IF(OR(E3763="",E3763="!!!",F3763="NEW"),"",INDEX(B3762:B$2,-1+SUMPRODUCT(MAX(ROW(E3762:E$2)*(E3763=E3762:E$2)))))</f>
        <v> </v>
      </c>
      <c r="J3763" s="25" t="str">
        <f>IF(OR(E3763="",E3763="!!!",F3763="NEW"),"",COUNTBLANK(OFFSET(A$1,,,SUMPRODUCT(MAX(ROW(E$2:E3763)*(E3763=E$2:E3763)))))-COUNTBLANK(OFFSET(A$1,,,SUMPRODUCT(MAX(ROW(E$1:E3762)*(E2=E$1:E3762))))))</f>
        <v> </v>
      </c>
      <c r="K3763" s="25" t="str">
        <f>IF(OR(E3763="",E3763="!!!",F3763="NEW"),"",INDEX(J$1:J3762,SUMPRODUCT(MAX(ROW(E$1:E3762)*(E3763=E$1:E3762)))))</f>
        <v> </v>
      </c>
      <c r="L3763" s="26"/>
    </row>
    <row r="3764" spans="1:12">
      <c r="A3764" s="20" t="s">
        <v>1236</v>
      </c>
      <c r="E3764" s="21">
        <f>IF(D3764="?OLD","!!!","")</f>
        <v/>
      </c>
      <c r="F3764" s="22" t="str">
        <f>IF(OR(E3764="",E3764="!!!"),"",IF(NOT(ISNA(VLOOKUP(E3764,E$1:E3763,1,FALSE()))),"OLD",IF(AND(E3764&lt;&gt;"",E3764&lt;&gt;"!!!"),"NEW","")))</f>
        <v> </v>
      </c>
      <c r="G3764" s="23" t="str">
        <f>IF(OR(E3764="",E3764="!!!"),"",IF(OR(J3764=0,AND(J3764=1,K3764=1),AND(J3764=1,I3764="SBJ"),AND(J3764=1,I3764=0)),"?IN_FOCUS",IF(J3764&lt;=2,"?ACTIVATED",IF(J3764&lt;&gt;"","?FAMILIAR",IF(F3764="NEW",IF(ISNA(VLOOKUP(E3764,#REF!,1,FALSE())),"?TYPE_IDENTIFIABLE","?REFERENTIAL"),"_")))))</f>
        <v> </v>
      </c>
      <c r="H3764" s="24" t="str">
        <f>IF(J3764&lt;&gt;1,"",IF(I3764="SBJ","CB","?"))</f>
        <v> </v>
      </c>
      <c r="I3764" s="25" t="str">
        <f>IF(OR(E3764="",E3764="!!!",F3764="NEW"),"",INDEX(B3763:B$2,-1+SUMPRODUCT(MAX(ROW(E3763:E$2)*(E3764=E3763:E$2)))))</f>
        <v> </v>
      </c>
      <c r="J3764" s="25" t="str">
        <f>IF(OR(E3764="",E3764="!!!",F3764="NEW"),"",COUNTBLANK(OFFSET(A$1,,,SUMPRODUCT(MAX(ROW(E$2:E3764)*(E3764=E$2:E3764)))))-COUNTBLANK(OFFSET(A$1,,,SUMPRODUCT(MAX(ROW(E$1:E3763)*(E2=E$1:E3763))))))</f>
        <v> </v>
      </c>
      <c r="K3764" s="25" t="str">
        <f>IF(OR(E3764="",E3764="!!!",F3764="NEW"),"",INDEX(J$1:J3763,SUMPRODUCT(MAX(ROW(E$1:E3763)*(E3764=E$1:E3763)))))</f>
        <v> </v>
      </c>
      <c r="L3764" s="26"/>
    </row>
    <row r="3765" spans="1:12">
      <c r="A3765" s="20" t="s">
        <v>1079</v>
      </c>
      <c r="E3765" s="21">
        <f>IF(D3765="?OLD","!!!","")</f>
        <v/>
      </c>
      <c r="F3765" s="22" t="str">
        <f>IF(OR(E3765="",E3765="!!!"),"",IF(NOT(ISNA(VLOOKUP(E3765,E$1:E3764,1,FALSE()))),"OLD",IF(AND(E3765&lt;&gt;"",E3765&lt;&gt;"!!!"),"NEW","")))</f>
        <v> </v>
      </c>
      <c r="G3765" s="23" t="str">
        <f>IF(OR(E3765="",E3765="!!!"),"",IF(OR(J3765=0,AND(J3765=1,K3765=1),AND(J3765=1,I3765="SBJ"),AND(J3765=1,I3765=0)),"?IN_FOCUS",IF(J3765&lt;=2,"?ACTIVATED",IF(J3765&lt;&gt;"","?FAMILIAR",IF(F3765="NEW",IF(ISNA(VLOOKUP(E3765,#REF!,1,FALSE())),"?TYPE_IDENTIFIABLE","?REFERENTIAL"),"_")))))</f>
        <v> </v>
      </c>
      <c r="H3765" s="24" t="str">
        <f>IF(J3765&lt;&gt;1,"",IF(I3765="SBJ","CB","?"))</f>
        <v> </v>
      </c>
      <c r="I3765" s="25" t="str">
        <f>IF(OR(E3765="",E3765="!!!",F3765="NEW"),"",INDEX(B3764:B$2,-1+SUMPRODUCT(MAX(ROW(E3764:E$2)*(E3765=E3764:E$2)))))</f>
        <v> </v>
      </c>
      <c r="J3765" s="25" t="str">
        <f>IF(OR(E3765="",E3765="!!!",F3765="NEW"),"",COUNTBLANK(OFFSET(A$1,,,SUMPRODUCT(MAX(ROW(E$2:E3765)*(E3765=E$2:E3765)))))-COUNTBLANK(OFFSET(A$1,,,SUMPRODUCT(MAX(ROW(E$1:E3764)*(E2=E$1:E3764))))))</f>
        <v> </v>
      </c>
      <c r="K3765" s="25" t="str">
        <f>IF(OR(E3765="",E3765="!!!",F3765="NEW"),"",INDEX(J$1:J3764,SUMPRODUCT(MAX(ROW(E$1:E3764)*(E3765=E$1:E3764)))))</f>
        <v> </v>
      </c>
      <c r="L3765" s="26"/>
    </row>
    <row r="3766" spans="1:12">
      <c r="A3766" s="20" t="s">
        <v>22</v>
      </c>
      <c r="E3766" s="21">
        <f>IF(D3766="?OLD","!!!","")</f>
        <v/>
      </c>
      <c r="F3766" s="22" t="str">
        <f>IF(OR(E3766="",E3766="!!!"),"",IF(NOT(ISNA(VLOOKUP(E3766,E$1:E3765,1,FALSE()))),"OLD",IF(AND(E3766&lt;&gt;"",E3766&lt;&gt;"!!!"),"NEW","")))</f>
        <v> </v>
      </c>
      <c r="G3766" s="23" t="str">
        <f>IF(OR(E3766="",E3766="!!!"),"",IF(OR(J3766=0,AND(J3766=1,K3766=1),AND(J3766=1,I3766="SBJ"),AND(J3766=1,I3766=0)),"?IN_FOCUS",IF(J3766&lt;=2,"?ACTIVATED",IF(J3766&lt;&gt;"","?FAMILIAR",IF(F3766="NEW",IF(ISNA(VLOOKUP(E3766,#REF!,1,FALSE())),"?TYPE_IDENTIFIABLE","?REFERENTIAL"),"_")))))</f>
        <v> </v>
      </c>
      <c r="H3766" s="24" t="str">
        <f>IF(J3766&lt;&gt;1,"",IF(I3766="SBJ","CB","?"))</f>
        <v> </v>
      </c>
      <c r="I3766" s="25" t="str">
        <f>IF(OR(E3766="",E3766="!!!",F3766="NEW"),"",INDEX(B3765:B$2,-1+SUMPRODUCT(MAX(ROW(E3765:E$2)*(E3766=E3765:E$2)))))</f>
        <v> </v>
      </c>
      <c r="J3766" s="25" t="str">
        <f>IF(OR(E3766="",E3766="!!!",F3766="NEW"),"",COUNTBLANK(OFFSET(A$1,,,SUMPRODUCT(MAX(ROW(E$2:E3766)*(E3766=E$2:E3766)))))-COUNTBLANK(OFFSET(A$1,,,SUMPRODUCT(MAX(ROW(E$1:E3765)*(E2=E$1:E3765))))))</f>
        <v> </v>
      </c>
      <c r="K3766" s="25" t="str">
        <f>IF(OR(E3766="",E3766="!!!",F3766="NEW"),"",INDEX(J$1:J3765,SUMPRODUCT(MAX(ROW(E$1:E3765)*(E3766=E$1:E3765)))))</f>
        <v> </v>
      </c>
      <c r="L3766" s="26"/>
    </row>
    <row r="3767" spans="1:12">
      <c r="A3767" s="20" t="s">
        <v>1994</v>
      </c>
      <c r="B3767" s="27" t="s">
        <v>1070</v>
      </c>
      <c r="C3767" s="27" t="s">
        <v>1087</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1027</v>
      </c>
      <c r="E3768" s="21">
        <f>IF(D3768="?OLD","!!!","")</f>
        <v/>
      </c>
      <c r="F3768" s="22" t="str">
        <f>IF(OR(E3768="",E3768="!!!"),"",IF(NOT(ISNA(VLOOKUP(E3768,E$1:E3767,1,FALSE()))),"OLD",IF(AND(E3768&lt;&gt;"",E3768&lt;&gt;"!!!"),"NEW","")))</f>
        <v> </v>
      </c>
      <c r="G3768" s="23" t="str">
        <f>IF(OR(E3768="",E3768="!!!"),"",IF(OR(J3768=0,AND(J3768=1,K3768=1),AND(J3768=1,I3768="SBJ"),AND(J3768=1,I3768=0)),"?IN_FOCUS",IF(J3768&lt;=2,"?ACTIVATED",IF(J3768&lt;&gt;"","?FAMILIAR",IF(F3768="NEW",IF(ISNA(VLOOKUP(E3768,#REF!,1,FALSE())),"?TYPE_IDENTIFIABLE","?REFERENTIAL"),"_")))))</f>
        <v> </v>
      </c>
      <c r="H3768" s="24" t="str">
        <f>IF(J3768&lt;&gt;1,"",IF(I3768="SBJ","CB","?"))</f>
        <v> </v>
      </c>
      <c r="I3768" s="25" t="str">
        <f>IF(OR(E3768="",E3768="!!!",F3768="NEW"),"",INDEX(B3767:B$2,-1+SUMPRODUCT(MAX(ROW(E3767:E$2)*(E3768=E3767:E$2)))))</f>
        <v> </v>
      </c>
      <c r="J3768" s="25" t="str">
        <f>IF(OR(E3768="",E3768="!!!",F3768="NEW"),"",COUNTBLANK(OFFSET(A$1,,,SUMPRODUCT(MAX(ROW(E$2:E3768)*(E3768=E$2:E3768)))))-COUNTBLANK(OFFSET(A$1,,,SUMPRODUCT(MAX(ROW(E$1:E3767)*(E2=E$1:E3767))))))</f>
        <v> </v>
      </c>
      <c r="K3768" s="25" t="str">
        <f>IF(OR(E3768="",E3768="!!!",F3768="NEW"),"",INDEX(J$1:J3767,SUMPRODUCT(MAX(ROW(E$1:E3767)*(E3768=E$1:E3767)))))</f>
        <v> </v>
      </c>
      <c r="L3768" s="26"/>
    </row>
    <row r="3769" spans="1:12">
      <c r="A3769" s="20" t="s">
        <v>1031</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t="s">
        <v>1995</v>
      </c>
      <c r="B3770" s="27" t="s">
        <v>1033</v>
      </c>
      <c r="C3770" s="27" t="s">
        <v>1087</v>
      </c>
      <c r="E3770" s="21">
        <f>IF(D3770="?OLD","!!!","")</f>
        <v/>
      </c>
      <c r="F3770" s="22" t="str">
        <f>IF(OR(E3770="",E3770="!!!"),"",IF(NOT(ISNA(VLOOKUP(E3770,E$1:E3769,1,FALSE()))),"OLD",IF(AND(E3770&lt;&gt;"",E3770&lt;&gt;"!!!"),"NEW","")))</f>
        <v> </v>
      </c>
      <c r="G3770" s="23" t="str">
        <f>IF(OR(E3770="",E3770="!!!"),"",IF(OR(J3770=0,AND(J3770=1,K3770=1),AND(J3770=1,I3770="SBJ"),AND(J3770=1,I3770=0)),"?IN_FOCUS",IF(J3770&lt;=2,"?ACTIVATED",IF(J3770&lt;&gt;"","?FAMILIAR",IF(F3770="NEW",IF(ISNA(VLOOKUP(E3770,#REF!,1,FALSE())),"?TYPE_IDENTIFIABLE","?REFERENTIAL"),"_")))))</f>
        <v> </v>
      </c>
      <c r="H3770" s="24" t="str">
        <f>IF(J3770&lt;&gt;1,"",IF(I3770="SBJ","CB","?"))</f>
        <v> </v>
      </c>
      <c r="I3770" s="25" t="str">
        <f>IF(OR(E3770="",E3770="!!!",F3770="NEW"),"",INDEX(B3769:B$2,-1+SUMPRODUCT(MAX(ROW(E3769:E$2)*(E3770=E3769:E$2)))))</f>
        <v> </v>
      </c>
      <c r="J3770" s="25" t="str">
        <f>IF(OR(E3770="",E3770="!!!",F3770="NEW"),"",COUNTBLANK(OFFSET(A$1,,,SUMPRODUCT(MAX(ROW(E$2:E3770)*(E3770=E$2:E3770)))))-COUNTBLANK(OFFSET(A$1,,,SUMPRODUCT(MAX(ROW(E$1:E3769)*(E2=E$1:E3769))))))</f>
        <v> </v>
      </c>
      <c r="K3770" s="25" t="str">
        <f>IF(OR(E3770="",E3770="!!!",F3770="NEW"),"",INDEX(J$1:J3769,SUMPRODUCT(MAX(ROW(E$1:E3769)*(E3770=E$1:E3769)))))</f>
        <v> </v>
      </c>
      <c r="L3770" s="26"/>
    </row>
    <row r="3771" spans="1:12">
      <c r="A3771" s="20" t="s">
        <v>810</v>
      </c>
      <c r="E3771" s="21">
        <f>IF(D3771="?OLD","!!!","")</f>
        <v/>
      </c>
      <c r="F3771" s="22" t="str">
        <f>IF(OR(E3771="",E3771="!!!"),"",IF(NOT(ISNA(VLOOKUP(E3771,E$1:E3770,1,FALSE()))),"OLD",IF(AND(E3771&lt;&gt;"",E3771&lt;&gt;"!!!"),"NEW","")))</f>
        <v> </v>
      </c>
      <c r="G3771" s="23" t="str">
        <f>IF(OR(E3771="",E3771="!!!"),"",IF(OR(J3771=0,AND(J3771=1,K3771=1),AND(J3771=1,I3771="SBJ"),AND(J3771=1,I3771=0)),"?IN_FOCUS",IF(J3771&lt;=2,"?ACTIVATED",IF(J3771&lt;&gt;"","?FAMILIAR",IF(F3771="NEW",IF(ISNA(VLOOKUP(E3771,#REF!,1,FALSE())),"?TYPE_IDENTIFIABLE","?REFERENTIAL"),"_")))))</f>
        <v> </v>
      </c>
      <c r="H3771" s="24" t="str">
        <f>IF(J3771&lt;&gt;1,"",IF(I3771="SBJ","CB","?"))</f>
        <v> </v>
      </c>
      <c r="I3771" s="25" t="str">
        <f>IF(OR(E3771="",E3771="!!!",F3771="NEW"),"",INDEX(B3770:B$2,-1+SUMPRODUCT(MAX(ROW(E3770:E$2)*(E3771=E3770:E$2)))))</f>
        <v> </v>
      </c>
      <c r="J3771" s="25" t="str">
        <f>IF(OR(E3771="",E3771="!!!",F3771="NEW"),"",COUNTBLANK(OFFSET(A$1,,,SUMPRODUCT(MAX(ROW(E$2:E3771)*(E3771=E$2:E3771)))))-COUNTBLANK(OFFSET(A$1,,,SUMPRODUCT(MAX(ROW(E$1:E3770)*(E2=E$1:E3770))))))</f>
        <v> </v>
      </c>
      <c r="K3771" s="25" t="str">
        <f>IF(OR(E3771="",E3771="!!!",F3771="NEW"),"",INDEX(J$1:J3770,SUMPRODUCT(MAX(ROW(E$1:E3770)*(E3771=E$1:E3770)))))</f>
        <v> </v>
      </c>
      <c r="L3771" s="26"/>
    </row>
    <row r="3772" spans="1:12">
      <c r="A3772" s="20" t="s">
        <v>1996</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t="s">
        <v>1076</v>
      </c>
      <c r="B3773" s="27" t="s">
        <v>1070</v>
      </c>
      <c r="C3773" s="27" t="s">
        <v>1071</v>
      </c>
      <c r="D3773" s="27" t="s">
        <v>1014</v>
      </c>
      <c r="E3773" s="21">
        <f>IF(D3773="?OLD","!!!","")</f>
        <v/>
      </c>
      <c r="F3773" s="22" t="str">
        <f>IF(OR(E3773="",E3773="!!!"),"",IF(NOT(ISNA(VLOOKUP(E3773,E$1:E3772,1,FALSE()))),"OLD",IF(AND(E3773&lt;&gt;"",E3773&lt;&gt;"!!!"),"NEW","")))</f>
        <v> </v>
      </c>
      <c r="G3773" s="23" t="str">
        <f>IF(OR(E3773="",E3773="!!!"),"",IF(OR(J3773=0,AND(J3773=1,K3773=1),AND(J3773=1,I3773="SBJ"),AND(J3773=1,I3773=0)),"?IN_FOCUS",IF(J3773&lt;=2,"?ACTIVATED",IF(J3773&lt;&gt;"","?FAMILIAR",IF(F3773="NEW",IF(ISNA(VLOOKUP(E3773,#REF!,1,FALSE())),"?TYPE_IDENTIFIABLE","?REFERENTIAL"),"_")))))</f>
        <v> </v>
      </c>
      <c r="H3773" s="24" t="str">
        <f>IF(J3773&lt;&gt;1,"",IF(I3773="SBJ","CB","?"))</f>
        <v> </v>
      </c>
      <c r="I3773" s="25" t="str">
        <f>IF(OR(E3773="",E3773="!!!",F3773="NEW"),"",INDEX(B3772:B$2,-1+SUMPRODUCT(MAX(ROW(E3772:E$2)*(E3773=E3772:E$2)))))</f>
        <v> </v>
      </c>
      <c r="J3773" s="25" t="str">
        <f>IF(OR(E3773="",E3773="!!!",F3773="NEW"),"",COUNTBLANK(OFFSET(A$1,,,SUMPRODUCT(MAX(ROW(E$2:E3773)*(E3773=E$2:E3773)))))-COUNTBLANK(OFFSET(A$1,,,SUMPRODUCT(MAX(ROW(E$1:E3772)*(E2=E$1:E3772))))))</f>
        <v> </v>
      </c>
      <c r="K3773" s="25" t="str">
        <f>IF(OR(E3773="",E3773="!!!",F3773="NEW"),"",INDEX(J$1:J3772,SUMPRODUCT(MAX(ROW(E$1:E3772)*(E3773=E$1:E3772)))))</f>
        <v> </v>
      </c>
      <c r="L3773" s="26"/>
    </row>
    <row r="3774" spans="1:12">
      <c r="A3774" s="20" t="s">
        <v>1102</v>
      </c>
      <c r="E3774" s="21">
        <f>IF(D3774="?OLD","!!!","")</f>
        <v/>
      </c>
      <c r="F3774" s="22" t="str">
        <f>IF(OR(E3774="",E3774="!!!"),"",IF(NOT(ISNA(VLOOKUP(E3774,E$1:E3773,1,FALSE()))),"OLD",IF(AND(E3774&lt;&gt;"",E3774&lt;&gt;"!!!"),"NEW","")))</f>
        <v> </v>
      </c>
      <c r="G3774" s="23" t="str">
        <f>IF(OR(E3774="",E3774="!!!"),"",IF(OR(J3774=0,AND(J3774=1,K3774=1),AND(J3774=1,I3774="SBJ"),AND(J3774=1,I3774=0)),"?IN_FOCUS",IF(J3774&lt;=2,"?ACTIVATED",IF(J3774&lt;&gt;"","?FAMILIAR",IF(F3774="NEW",IF(ISNA(VLOOKUP(E3774,#REF!,1,FALSE())),"?TYPE_IDENTIFIABLE","?REFERENTIAL"),"_")))))</f>
        <v> </v>
      </c>
      <c r="H3774" s="24" t="str">
        <f>IF(J3774&lt;&gt;1,"",IF(I3774="SBJ","CB","?"))</f>
        <v> </v>
      </c>
      <c r="I3774" s="25" t="str">
        <f>IF(OR(E3774="",E3774="!!!",F3774="NEW"),"",INDEX(B3773:B$2,-1+SUMPRODUCT(MAX(ROW(E3773:E$2)*(E3774=E3773:E$2)))))</f>
        <v> </v>
      </c>
      <c r="J3774" s="25" t="str">
        <f>IF(OR(E3774="",E3774="!!!",F3774="NEW"),"",COUNTBLANK(OFFSET(A$1,,,SUMPRODUCT(MAX(ROW(E$2:E3774)*(E3774=E$2:E3774)))))-COUNTBLANK(OFFSET(A$1,,,SUMPRODUCT(MAX(ROW(E$1:E3773)*(E2=E$1:E3773))))))</f>
        <v> </v>
      </c>
      <c r="K3774" s="25" t="str">
        <f>IF(OR(E3774="",E3774="!!!",F3774="NEW"),"",INDEX(J$1:J3773,SUMPRODUCT(MAX(ROW(E$1:E3773)*(E3774=E$1:E3773)))))</f>
        <v> </v>
      </c>
      <c r="L3774" s="26"/>
    </row>
    <row r="3775" spans="1:12">
      <c r="A3775" s="20" t="s">
        <v>1098</v>
      </c>
      <c r="B3775" s="27" t="s">
        <v>1067</v>
      </c>
      <c r="C3775" s="27" t="s">
        <v>1108</v>
      </c>
      <c r="D3775" s="27" t="s">
        <v>1014</v>
      </c>
      <c r="E3775" s="21">
        <f>IF(D3775="?OLD","!!!","")</f>
        <v/>
      </c>
      <c r="F3775" s="22" t="str">
        <f>IF(OR(E3775="",E3775="!!!"),"",IF(NOT(ISNA(VLOOKUP(E3775,E$1:E3774,1,FALSE()))),"OLD",IF(AND(E3775&lt;&gt;"",E3775&lt;&gt;"!!!"),"NEW","")))</f>
        <v> </v>
      </c>
      <c r="G3775" s="23" t="str">
        <f>IF(OR(E3775="",E3775="!!!"),"",IF(OR(J3775=0,AND(J3775=1,K3775=1),AND(J3775=1,I3775="SBJ"),AND(J3775=1,I3775=0)),"?IN_FOCUS",IF(J3775&lt;=2,"?ACTIVATED",IF(J3775&lt;&gt;"","?FAMILIAR",IF(F3775="NEW",IF(ISNA(VLOOKUP(E3775,#REF!,1,FALSE())),"?TYPE_IDENTIFIABLE","?REFERENTIAL"),"_")))))</f>
        <v> </v>
      </c>
      <c r="H3775" s="24" t="str">
        <f>IF(J3775&lt;&gt;1,"",IF(I3775="SBJ","CB","?"))</f>
        <v> </v>
      </c>
      <c r="I3775" s="25" t="str">
        <f>IF(OR(E3775="",E3775="!!!",F3775="NEW"),"",INDEX(B3774:B$2,-1+SUMPRODUCT(MAX(ROW(E3774:E$2)*(E3775=E3774:E$2)))))</f>
        <v> </v>
      </c>
      <c r="J3775" s="25" t="str">
        <f>IF(OR(E3775="",E3775="!!!",F3775="NEW"),"",COUNTBLANK(OFFSET(A$1,,,SUMPRODUCT(MAX(ROW(E$2:E3775)*(E3775=E$2:E3775)))))-COUNTBLANK(OFFSET(A$1,,,SUMPRODUCT(MAX(ROW(E$1:E3774)*(E2=E$1:E3774))))))</f>
        <v> </v>
      </c>
      <c r="K3775" s="25" t="str">
        <f>IF(OR(E3775="",E3775="!!!",F3775="NEW"),"",INDEX(J$1:J3774,SUMPRODUCT(MAX(ROW(E$1:E3774)*(E3775=E$1:E3774)))))</f>
        <v> </v>
      </c>
      <c r="L3775" s="26"/>
    </row>
    <row r="3776" spans="1:12">
      <c r="A3776" s="20" t="s">
        <v>1047</v>
      </c>
      <c r="E3776" s="21">
        <f>IF(D3776="?OLD","!!!","")</f>
        <v/>
      </c>
      <c r="F3776" s="22" t="str">
        <f>IF(OR(E3776="",E3776="!!!"),"",IF(NOT(ISNA(VLOOKUP(E3776,E$1:E3775,1,FALSE()))),"OLD",IF(AND(E3776&lt;&gt;"",E3776&lt;&gt;"!!!"),"NEW","")))</f>
        <v> </v>
      </c>
      <c r="G3776" s="23" t="str">
        <f>IF(OR(E3776="",E3776="!!!"),"",IF(OR(J3776=0,AND(J3776=1,K3776=1),AND(J3776=1,I3776="SBJ"),AND(J3776=1,I3776=0)),"?IN_FOCUS",IF(J3776&lt;=2,"?ACTIVATED",IF(J3776&lt;&gt;"","?FAMILIAR",IF(F3776="NEW",IF(ISNA(VLOOKUP(E3776,#REF!,1,FALSE())),"?TYPE_IDENTIFIABLE","?REFERENTIAL"),"_")))))</f>
        <v> </v>
      </c>
      <c r="H3776" s="24" t="str">
        <f>IF(J3776&lt;&gt;1,"",IF(I3776="SBJ","CB","?"))</f>
        <v> </v>
      </c>
      <c r="I3776" s="25" t="str">
        <f>IF(OR(E3776="",E3776="!!!",F3776="NEW"),"",INDEX(B3775:B$2,-1+SUMPRODUCT(MAX(ROW(E3775:E$2)*(E3776=E3775:E$2)))))</f>
        <v> </v>
      </c>
      <c r="J3776" s="25" t="str">
        <f>IF(OR(E3776="",E3776="!!!",F3776="NEW"),"",COUNTBLANK(OFFSET(A$1,,,SUMPRODUCT(MAX(ROW(E$2:E3776)*(E3776=E$2:E3776)))))-COUNTBLANK(OFFSET(A$1,,,SUMPRODUCT(MAX(ROW(E$1:E3775)*(E2=E$1:E3775))))))</f>
        <v> </v>
      </c>
      <c r="K3776" s="25" t="str">
        <f>IF(OR(E3776="",E3776="!!!",F3776="NEW"),"",INDEX(J$1:J3775,SUMPRODUCT(MAX(ROW(E$1:E3775)*(E3776=E$1:E3775)))))</f>
        <v> </v>
      </c>
      <c r="L3776" s="26"/>
    </row>
    <row r="3777" spans="1:12">
      <c r="A3777" s="20" t="s">
        <v>1032</v>
      </c>
      <c r="B3777" s="27" t="s">
        <v>1043</v>
      </c>
      <c r="C3777" s="27" t="s">
        <v>1013</v>
      </c>
      <c r="D3777" s="27" t="s">
        <v>1014</v>
      </c>
      <c r="E3777" s="21">
        <f>IF(D3777="?OLD","!!!","")</f>
        <v/>
      </c>
      <c r="F3777" s="22" t="str">
        <f>IF(OR(E3777="",E3777="!!!"),"",IF(NOT(ISNA(VLOOKUP(E3777,E$1:E3776,1,FALSE()))),"OLD",IF(AND(E3777&lt;&gt;"",E3777&lt;&gt;"!!!"),"NEW","")))</f>
        <v> </v>
      </c>
      <c r="G3777" s="23" t="str">
        <f>IF(OR(E3777="",E3777="!!!"),"",IF(OR(J3777=0,AND(J3777=1,K3777=1),AND(J3777=1,I3777="SBJ"),AND(J3777=1,I3777=0)),"?IN_FOCUS",IF(J3777&lt;=2,"?ACTIVATED",IF(J3777&lt;&gt;"","?FAMILIAR",IF(F3777="NEW",IF(ISNA(VLOOKUP(E3777,#REF!,1,FALSE())),"?TYPE_IDENTIFIABLE","?REFERENTIAL"),"_")))))</f>
        <v> </v>
      </c>
      <c r="H3777" s="24" t="str">
        <f>IF(J3777&lt;&gt;1,"",IF(I3777="SBJ","CB","?"))</f>
        <v> </v>
      </c>
      <c r="I3777" s="25" t="str">
        <f>IF(OR(E3777="",E3777="!!!",F3777="NEW"),"",INDEX(B3776:B$2,-1+SUMPRODUCT(MAX(ROW(E3776:E$2)*(E3777=E3776:E$2)))))</f>
        <v> </v>
      </c>
      <c r="J3777" s="25" t="str">
        <f>IF(OR(E3777="",E3777="!!!",F3777="NEW"),"",COUNTBLANK(OFFSET(A$1,,,SUMPRODUCT(MAX(ROW(E$2:E3777)*(E3777=E$2:E3777)))))-COUNTBLANK(OFFSET(A$1,,,SUMPRODUCT(MAX(ROW(E$1:E3776)*(E2=E$1:E3776))))))</f>
        <v> </v>
      </c>
      <c r="K3777" s="25" t="str">
        <f>IF(OR(E3777="",E3777="!!!",F3777="NEW"),"",INDEX(J$1:J3776,SUMPRODUCT(MAX(ROW(E$1:E3776)*(E3777=E$1:E3776)))))</f>
        <v> </v>
      </c>
      <c r="L3777" s="26"/>
    </row>
    <row r="3778" spans="1:12">
      <c r="A3778" s="20" t="s">
        <v>1015</v>
      </c>
      <c r="E3778" s="21">
        <f>IF(D3778="?OLD","!!!","")</f>
        <v/>
      </c>
      <c r="F3778" s="22" t="str">
        <f>IF(OR(E3778="",E3778="!!!"),"",IF(NOT(ISNA(VLOOKUP(E3778,E$1:E3777,1,FALSE()))),"OLD",IF(AND(E3778&lt;&gt;"",E3778&lt;&gt;"!!!"),"NEW","")))</f>
        <v> </v>
      </c>
      <c r="G3778" s="23" t="str">
        <f>IF(OR(E3778="",E3778="!!!"),"",IF(OR(J3778=0,AND(J3778=1,K3778=1),AND(J3778=1,I3778="SBJ"),AND(J3778=1,I3778=0)),"?IN_FOCUS",IF(J3778&lt;=2,"?ACTIVATED",IF(J3778&lt;&gt;"","?FAMILIAR",IF(F3778="NEW",IF(ISNA(VLOOKUP(E3778,#REF!,1,FALSE())),"?TYPE_IDENTIFIABLE","?REFERENTIAL"),"_")))))</f>
        <v> </v>
      </c>
      <c r="H3778" s="24" t="str">
        <f>IF(J3778&lt;&gt;1,"",IF(I3778="SBJ","CB","?"))</f>
        <v> </v>
      </c>
      <c r="I3778" s="25" t="str">
        <f>IF(OR(E3778="",E3778="!!!",F3778="NEW"),"",INDEX(B3777:B$2,-1+SUMPRODUCT(MAX(ROW(E3777:E$2)*(E3778=E3777:E$2)))))</f>
        <v> </v>
      </c>
      <c r="J3778" s="25" t="str">
        <f>IF(OR(E3778="",E3778="!!!",F3778="NEW"),"",COUNTBLANK(OFFSET(A$1,,,SUMPRODUCT(MAX(ROW(E$2:E3778)*(E3778=E$2:E3778)))))-COUNTBLANK(OFFSET(A$1,,,SUMPRODUCT(MAX(ROW(E$1:E3777)*(E2=E$1:E3777))))))</f>
        <v> </v>
      </c>
      <c r="K3778" s="25" t="str">
        <f>IF(OR(E3778="",E3778="!!!",F3778="NEW"),"",INDEX(J$1:J3777,SUMPRODUCT(MAX(ROW(E$1:E3777)*(E3778=E$1:E3777)))))</f>
        <v> </v>
      </c>
      <c r="L3778" s="26"/>
    </row>
    <row r="3779" spans="1:12">
      <c r="A3779" s="20" t="s">
        <v>1336</v>
      </c>
      <c r="E3779" s="21">
        <f>IF(D3779="?OLD","!!!","")</f>
        <v/>
      </c>
      <c r="F3779" s="22" t="str">
        <f>IF(OR(E3779="",E3779="!!!"),"",IF(NOT(ISNA(VLOOKUP(E3779,E$1:E3778,1,FALSE()))),"OLD",IF(AND(E3779&lt;&gt;"",E3779&lt;&gt;"!!!"),"NEW","")))</f>
        <v> </v>
      </c>
      <c r="G3779" s="23" t="str">
        <f>IF(OR(E3779="",E3779="!!!"),"",IF(OR(J3779=0,AND(J3779=1,K3779=1),AND(J3779=1,I3779="SBJ"),AND(J3779=1,I3779=0)),"?IN_FOCUS",IF(J3779&lt;=2,"?ACTIVATED",IF(J3779&lt;&gt;"","?FAMILIAR",IF(F3779="NEW",IF(ISNA(VLOOKUP(E3779,#REF!,1,FALSE())),"?TYPE_IDENTIFIABLE","?REFERENTIAL"),"_")))))</f>
        <v> </v>
      </c>
      <c r="H3779" s="24" t="str">
        <f>IF(J3779&lt;&gt;1,"",IF(I3779="SBJ","CB","?"))</f>
        <v> </v>
      </c>
      <c r="I3779" s="25" t="str">
        <f>IF(OR(E3779="",E3779="!!!",F3779="NEW"),"",INDEX(B3778:B$2,-1+SUMPRODUCT(MAX(ROW(E3778:E$2)*(E3779=E3778:E$2)))))</f>
        <v> </v>
      </c>
      <c r="J3779" s="25" t="str">
        <f>IF(OR(E3779="",E3779="!!!",F3779="NEW"),"",COUNTBLANK(OFFSET(A$1,,,SUMPRODUCT(MAX(ROW(E$2:E3779)*(E3779=E$2:E3779)))))-COUNTBLANK(OFFSET(A$1,,,SUMPRODUCT(MAX(ROW(E$1:E3778)*(E2=E$1:E3778))))))</f>
        <v> </v>
      </c>
      <c r="K3779" s="25" t="str">
        <f>IF(OR(E3779="",E3779="!!!",F3779="NEW"),"",INDEX(J$1:J3778,SUMPRODUCT(MAX(ROW(E$1:E3778)*(E3779=E$1:E3778)))))</f>
        <v> </v>
      </c>
      <c r="L3779" s="26"/>
    </row>
    <row r="3780" spans="1:12">
      <c r="A3780" s="20" t="s">
        <v>1022</v>
      </c>
      <c r="E3780" s="21">
        <f>IF(D3780="?OLD","!!!","")</f>
        <v/>
      </c>
      <c r="F3780" s="22" t="str">
        <f>IF(OR(E3780="",E3780="!!!"),"",IF(NOT(ISNA(VLOOKUP(E3780,E$1:E3779,1,FALSE()))),"OLD",IF(AND(E3780&lt;&gt;"",E3780&lt;&gt;"!!!"),"NEW","")))</f>
        <v> </v>
      </c>
      <c r="G3780" s="23" t="str">
        <f>IF(OR(E3780="",E3780="!!!"),"",IF(OR(J3780=0,AND(J3780=1,K3780=1),AND(J3780=1,I3780="SBJ"),AND(J3780=1,I3780=0)),"?IN_FOCUS",IF(J3780&lt;=2,"?ACTIVATED",IF(J3780&lt;&gt;"","?FAMILIAR",IF(F3780="NEW",IF(ISNA(VLOOKUP(E3780,#REF!,1,FALSE())),"?TYPE_IDENTIFIABLE","?REFERENTIAL"),"_")))))</f>
        <v> </v>
      </c>
      <c r="H3780" s="24" t="str">
        <f>IF(J3780&lt;&gt;1,"",IF(I3780="SBJ","CB","?"))</f>
        <v> </v>
      </c>
      <c r="I3780" s="25" t="str">
        <f>IF(OR(E3780="",E3780="!!!",F3780="NEW"),"",INDEX(B3779:B$2,-1+SUMPRODUCT(MAX(ROW(E3779:E$2)*(E3780=E3779:E$2)))))</f>
        <v> </v>
      </c>
      <c r="J3780" s="25" t="str">
        <f>IF(OR(E3780="",E3780="!!!",F3780="NEW"),"",COUNTBLANK(OFFSET(A$1,,,SUMPRODUCT(MAX(ROW(E$2:E3780)*(E3780=E$2:E3780)))))-COUNTBLANK(OFFSET(A$1,,,SUMPRODUCT(MAX(ROW(E$1:E3779)*(E2=E$1:E3779))))))</f>
        <v> </v>
      </c>
      <c r="K3780" s="25" t="str">
        <f>IF(OR(E3780="",E3780="!!!",F3780="NEW"),"",INDEX(J$1:J3779,SUMPRODUCT(MAX(ROW(E$1:E3779)*(E3780=E$1:E3779)))))</f>
        <v> </v>
      </c>
      <c r="L3780" s="26"/>
    </row>
    <row r="3781" spans="1:12">
      <c r="A3781" s="20"/>
    </row>
    <row r="3782" spans="1:12">
      <c r="A3782" s="20" t="s">
        <v>1997</v>
      </c>
    </row>
    <row r="3783" spans="1:12">
      <c r="A3783" s="20" t="s">
        <v>1036</v>
      </c>
      <c r="E3783" s="21">
        <f>IF(D3783="?OLD","!!!","")</f>
        <v/>
      </c>
      <c r="F3783" s="22" t="str">
        <f>IF(OR(E3783="",E3783="!!!"),"",IF(NOT(ISNA(VLOOKUP(E3783,E$1:E3782,1,FALSE()))),"OLD",IF(AND(E3783&lt;&gt;"",E3783&lt;&gt;"!!!"),"NEW","")))</f>
        <v> </v>
      </c>
      <c r="G3783" s="23" t="str">
        <f>IF(OR(E3783="",E3783="!!!"),"",IF(OR(J3783=0,AND(J3783=1,K3783=1),AND(J3783=1,I3783="SBJ"),AND(J3783=1,I3783=0)),"?IN_FOCUS",IF(J3783&lt;=2,"?ACTIVATED",IF(J3783&lt;&gt;"","?FAMILIAR",IF(F3783="NEW",IF(ISNA(VLOOKUP(E3783,#REF!,1,FALSE())),"?TYPE_IDENTIFIABLE","?REFERENTIAL"),"_")))))</f>
        <v> </v>
      </c>
      <c r="H3783" s="24" t="str">
        <f>IF(J3783&lt;&gt;1,"",IF(I3783="SBJ","CB","?"))</f>
        <v> </v>
      </c>
      <c r="I3783" s="25" t="str">
        <f>IF(OR(E3783="",E3783="!!!",F3783="NEW"),"",INDEX(B3782:B$2,-1+SUMPRODUCT(MAX(ROW(E3782:E$2)*(E3783=E3782:E$2)))))</f>
        <v> </v>
      </c>
      <c r="J3783" s="25" t="str">
        <f>IF(OR(E3783="",E3783="!!!",F3783="NEW"),"",COUNTBLANK(OFFSET(A$1,,,SUMPRODUCT(MAX(ROW(E$2:E3783)*(E3783=E$2:E3783)))))-COUNTBLANK(OFFSET(A$1,,,SUMPRODUCT(MAX(ROW(E$1:E3782)*(E2=E$1:E3782))))))</f>
        <v> </v>
      </c>
      <c r="K3783" s="25" t="str">
        <f>IF(OR(E3783="",E3783="!!!",F3783="NEW"),"",INDEX(J$1:J3782,SUMPRODUCT(MAX(ROW(E$1:E3782)*(E3783=E$1:E3782)))))</f>
        <v> </v>
      </c>
      <c r="L3783" s="26"/>
    </row>
    <row r="3784" spans="1:12">
      <c r="A3784" s="20" t="s">
        <v>1455</v>
      </c>
      <c r="E3784" s="21">
        <f>IF(D3784="?OLD","!!!","")</f>
        <v/>
      </c>
      <c r="F3784" s="22" t="str">
        <f>IF(OR(E3784="",E3784="!!!"),"",IF(NOT(ISNA(VLOOKUP(E3784,E$1:E3783,1,FALSE()))),"OLD",IF(AND(E3784&lt;&gt;"",E3784&lt;&gt;"!!!"),"NEW","")))</f>
        <v> </v>
      </c>
      <c r="G3784" s="23" t="str">
        <f>IF(OR(E3784="",E3784="!!!"),"",IF(OR(J3784=0,AND(J3784=1,K3784=1),AND(J3784=1,I3784="SBJ"),AND(J3784=1,I3784=0)),"?IN_FOCUS",IF(J3784&lt;=2,"?ACTIVATED",IF(J3784&lt;&gt;"","?FAMILIAR",IF(F3784="NEW",IF(ISNA(VLOOKUP(E3784,#REF!,1,FALSE())),"?TYPE_IDENTIFIABLE","?REFERENTIAL"),"_")))))</f>
        <v> </v>
      </c>
      <c r="H3784" s="24" t="str">
        <f>IF(J3784&lt;&gt;1,"",IF(I3784="SBJ","CB","?"))</f>
        <v> </v>
      </c>
      <c r="I3784" s="25" t="str">
        <f>IF(OR(E3784="",E3784="!!!",F3784="NEW"),"",INDEX(B3783:B$2,-1+SUMPRODUCT(MAX(ROW(E3783:E$2)*(E3784=E3783:E$2)))))</f>
        <v> </v>
      </c>
      <c r="J3784" s="25" t="str">
        <f>IF(OR(E3784="",E3784="!!!",F3784="NEW"),"",COUNTBLANK(OFFSET(A$1,,,SUMPRODUCT(MAX(ROW(E$2:E3784)*(E3784=E$2:E3784)))))-COUNTBLANK(OFFSET(A$1,,,SUMPRODUCT(MAX(ROW(E$1:E3783)*(E2=E$1:E3783))))))</f>
        <v> </v>
      </c>
      <c r="K3784" s="25" t="str">
        <f>IF(OR(E3784="",E3784="!!!",F3784="NEW"),"",INDEX(J$1:J3783,SUMPRODUCT(MAX(ROW(E$1:E3783)*(E3784=E$1:E3783)))))</f>
        <v> </v>
      </c>
      <c r="L3784" s="26"/>
    </row>
    <row r="3785" spans="1:12">
      <c r="A3785" s="20" t="s">
        <v>1173</v>
      </c>
      <c r="B3785" s="27" t="s">
        <v>1038</v>
      </c>
      <c r="C3785" s="27" t="s">
        <v>1087</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t="s">
        <v>1998</v>
      </c>
      <c r="E3786" s="21">
        <f>IF(D3786="?OLD","!!!","")</f>
        <v/>
      </c>
      <c r="F3786" s="22" t="str">
        <f>IF(OR(E3786="",E3786="!!!"),"",IF(NOT(ISNA(VLOOKUP(E3786,E$1:E3785,1,FALSE()))),"OLD",IF(AND(E3786&lt;&gt;"",E3786&lt;&gt;"!!!"),"NEW","")))</f>
        <v> </v>
      </c>
      <c r="G3786" s="23" t="str">
        <f>IF(OR(E3786="",E3786="!!!"),"",IF(OR(J3786=0,AND(J3786=1,K3786=1),AND(J3786=1,I3786="SBJ"),AND(J3786=1,I3786=0)),"?IN_FOCUS",IF(J3786&lt;=2,"?ACTIVATED",IF(J3786&lt;&gt;"","?FAMILIAR",IF(F3786="NEW",IF(ISNA(VLOOKUP(E3786,#REF!,1,FALSE())),"?TYPE_IDENTIFIABLE","?REFERENTIAL"),"_")))))</f>
        <v> </v>
      </c>
      <c r="H3786" s="24" t="str">
        <f>IF(J3786&lt;&gt;1,"",IF(I3786="SBJ","CB","?"))</f>
        <v> </v>
      </c>
      <c r="I3786" s="25" t="str">
        <f>IF(OR(E3786="",E3786="!!!",F3786="NEW"),"",INDEX(B3785:B$2,-1+SUMPRODUCT(MAX(ROW(E3785:E$2)*(E3786=E3785:E$2)))))</f>
        <v> </v>
      </c>
      <c r="J3786" s="25" t="str">
        <f>IF(OR(E3786="",E3786="!!!",F3786="NEW"),"",COUNTBLANK(OFFSET(A$1,,,SUMPRODUCT(MAX(ROW(E$2:E3786)*(E3786=E$2:E3786)))))-COUNTBLANK(OFFSET(A$1,,,SUMPRODUCT(MAX(ROW(E$1:E3785)*(E2=E$1:E3785))))))</f>
        <v> </v>
      </c>
      <c r="K3786" s="25" t="str">
        <f>IF(OR(E3786="",E3786="!!!",F3786="NEW"),"",INDEX(J$1:J3785,SUMPRODUCT(MAX(ROW(E$1:E3785)*(E3786=E$1:E3785)))))</f>
        <v> </v>
      </c>
      <c r="L3786" s="26"/>
    </row>
    <row r="3787" spans="1:12">
      <c r="A3787" s="20" t="s">
        <v>60</v>
      </c>
      <c r="E3787" s="21">
        <f>IF(D3787="?OLD","!!!","")</f>
        <v/>
      </c>
      <c r="F3787" s="22" t="str">
        <f>IF(OR(E3787="",E3787="!!!"),"",IF(NOT(ISNA(VLOOKUP(E3787,E$1:E3786,1,FALSE()))),"OLD",IF(AND(E3787&lt;&gt;"",E3787&lt;&gt;"!!!"),"NEW","")))</f>
        <v> </v>
      </c>
      <c r="G3787" s="23" t="str">
        <f>IF(OR(E3787="",E3787="!!!"),"",IF(OR(J3787=0,AND(J3787=1,K3787=1),AND(J3787=1,I3787="SBJ"),AND(J3787=1,I3787=0)),"?IN_FOCUS",IF(J3787&lt;=2,"?ACTIVATED",IF(J3787&lt;&gt;"","?FAMILIAR",IF(F3787="NEW",IF(ISNA(VLOOKUP(E3787,#REF!,1,FALSE())),"?TYPE_IDENTIFIABLE","?REFERENTIAL"),"_")))))</f>
        <v> </v>
      </c>
      <c r="H3787" s="24" t="str">
        <f>IF(J3787&lt;&gt;1,"",IF(I3787="SBJ","CB","?"))</f>
        <v> </v>
      </c>
      <c r="I3787" s="25" t="str">
        <f>IF(OR(E3787="",E3787="!!!",F3787="NEW"),"",INDEX(B3786:B$2,-1+SUMPRODUCT(MAX(ROW(E3786:E$2)*(E3787=E3786:E$2)))))</f>
        <v> </v>
      </c>
      <c r="J3787" s="25" t="str">
        <f>IF(OR(E3787="",E3787="!!!",F3787="NEW"),"",COUNTBLANK(OFFSET(A$1,,,SUMPRODUCT(MAX(ROW(E$2:E3787)*(E3787=E$2:E3787)))))-COUNTBLANK(OFFSET(A$1,,,SUMPRODUCT(MAX(ROW(E$1:E3786)*(E2=E$1:E3786))))))</f>
        <v> </v>
      </c>
      <c r="K3787" s="25" t="str">
        <f>IF(OR(E3787="",E3787="!!!",F3787="NEW"),"",INDEX(J$1:J3786,SUMPRODUCT(MAX(ROW(E$1:E3786)*(E3787=E$1:E3786)))))</f>
        <v> </v>
      </c>
      <c r="L3787" s="26"/>
    </row>
    <row r="3788" spans="1:12">
      <c r="A3788" s="20" t="s">
        <v>1999</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t="s">
        <v>1046</v>
      </c>
      <c r="E3789" s="21">
        <f>IF(D3789="?OLD","!!!","")</f>
        <v/>
      </c>
      <c r="F3789" s="22" t="str">
        <f>IF(OR(E3789="",E3789="!!!"),"",IF(NOT(ISNA(VLOOKUP(E3789,E$1:E3788,1,FALSE()))),"OLD",IF(AND(E3789&lt;&gt;"",E3789&lt;&gt;"!!!"),"NEW","")))</f>
        <v> </v>
      </c>
      <c r="G3789" s="23" t="str">
        <f>IF(OR(E3789="",E3789="!!!"),"",IF(OR(J3789=0,AND(J3789=1,K3789=1),AND(J3789=1,I3789="SBJ"),AND(J3789=1,I3789=0)),"?IN_FOCUS",IF(J3789&lt;=2,"?ACTIVATED",IF(J3789&lt;&gt;"","?FAMILIAR",IF(F3789="NEW",IF(ISNA(VLOOKUP(E3789,#REF!,1,FALSE())),"?TYPE_IDENTIFIABLE","?REFERENTIAL"),"_")))))</f>
        <v> </v>
      </c>
      <c r="H3789" s="24" t="str">
        <f>IF(J3789&lt;&gt;1,"",IF(I3789="SBJ","CB","?"))</f>
        <v> </v>
      </c>
      <c r="I3789" s="25" t="str">
        <f>IF(OR(E3789="",E3789="!!!",F3789="NEW"),"",INDEX(B3788:B$2,-1+SUMPRODUCT(MAX(ROW(E3788:E$2)*(E3789=E3788:E$2)))))</f>
        <v> </v>
      </c>
      <c r="J3789" s="25" t="str">
        <f>IF(OR(E3789="",E3789="!!!",F3789="NEW"),"",COUNTBLANK(OFFSET(A$1,,,SUMPRODUCT(MAX(ROW(E$2:E3789)*(E3789=E$2:E3789)))))-COUNTBLANK(OFFSET(A$1,,,SUMPRODUCT(MAX(ROW(E$1:E3788)*(E2=E$1:E3788))))))</f>
        <v> </v>
      </c>
      <c r="K3789" s="25" t="str">
        <f>IF(OR(E3789="",E3789="!!!",F3789="NEW"),"",INDEX(J$1:J3788,SUMPRODUCT(MAX(ROW(E$1:E3788)*(E3789=E$1:E3788)))))</f>
        <v> </v>
      </c>
      <c r="L3789" s="26"/>
    </row>
    <row r="3790" spans="1:12">
      <c r="A3790" s="20" t="s">
        <v>1893</v>
      </c>
      <c r="E3790" s="21">
        <f>IF(D3790="?OLD","!!!","")</f>
        <v/>
      </c>
      <c r="F3790" s="22" t="str">
        <f>IF(OR(E3790="",E3790="!!!"),"",IF(NOT(ISNA(VLOOKUP(E3790,E$1:E3789,1,FALSE()))),"OLD",IF(AND(E3790&lt;&gt;"",E3790&lt;&gt;"!!!"),"NEW","")))</f>
        <v> </v>
      </c>
      <c r="G3790" s="23" t="str">
        <f>IF(OR(E3790="",E3790="!!!"),"",IF(OR(J3790=0,AND(J3790=1,K3790=1),AND(J3790=1,I3790="SBJ"),AND(J3790=1,I3790=0)),"?IN_FOCUS",IF(J3790&lt;=2,"?ACTIVATED",IF(J3790&lt;&gt;"","?FAMILIAR",IF(F3790="NEW",IF(ISNA(VLOOKUP(E3790,#REF!,1,FALSE())),"?TYPE_IDENTIFIABLE","?REFERENTIAL"),"_")))))</f>
        <v> </v>
      </c>
      <c r="H3790" s="24" t="str">
        <f>IF(J3790&lt;&gt;1,"",IF(I3790="SBJ","CB","?"))</f>
        <v> </v>
      </c>
      <c r="I3790" s="25" t="str">
        <f>IF(OR(E3790="",E3790="!!!",F3790="NEW"),"",INDEX(B3789:B$2,-1+SUMPRODUCT(MAX(ROW(E3789:E$2)*(E3790=E3789:E$2)))))</f>
        <v> </v>
      </c>
      <c r="J3790" s="25" t="str">
        <f>IF(OR(E3790="",E3790="!!!",F3790="NEW"),"",COUNTBLANK(OFFSET(A$1,,,SUMPRODUCT(MAX(ROW(E$2:E3790)*(E3790=E$2:E3790)))))-COUNTBLANK(OFFSET(A$1,,,SUMPRODUCT(MAX(ROW(E$1:E3789)*(E2=E$1:E3789))))))</f>
        <v> </v>
      </c>
      <c r="K3790" s="25" t="str">
        <f>IF(OR(E3790="",E3790="!!!",F3790="NEW"),"",INDEX(J$1:J3789,SUMPRODUCT(MAX(ROW(E$1:E3789)*(E3790=E$1:E3789)))))</f>
        <v> </v>
      </c>
      <c r="L3790" s="26"/>
    </row>
    <row r="3791" spans="1:12">
      <c r="A3791" s="20" t="s">
        <v>1032</v>
      </c>
      <c r="B3791" s="27" t="s">
        <v>1070</v>
      </c>
      <c r="C3791" s="27" t="s">
        <v>1013</v>
      </c>
      <c r="D3791" s="27" t="s">
        <v>1014</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t="s">
        <v>1031</v>
      </c>
      <c r="E3792" s="21">
        <f>IF(D3792="?OLD","!!!","")</f>
        <v/>
      </c>
      <c r="F3792" s="22" t="str">
        <f>IF(OR(E3792="",E3792="!!!"),"",IF(NOT(ISNA(VLOOKUP(E3792,E$1:E3791,1,FALSE()))),"OLD",IF(AND(E3792&lt;&gt;"",E3792&lt;&gt;"!!!"),"NEW","")))</f>
        <v> </v>
      </c>
      <c r="G3792" s="23" t="str">
        <f>IF(OR(E3792="",E3792="!!!"),"",IF(OR(J3792=0,AND(J3792=1,K3792=1),AND(J3792=1,I3792="SBJ"),AND(J3792=1,I3792=0)),"?IN_FOCUS",IF(J3792&lt;=2,"?ACTIVATED",IF(J3792&lt;&gt;"","?FAMILIAR",IF(F3792="NEW",IF(ISNA(VLOOKUP(E3792,#REF!,1,FALSE())),"?TYPE_IDENTIFIABLE","?REFERENTIAL"),"_")))))</f>
        <v> </v>
      </c>
      <c r="H3792" s="24" t="str">
        <f>IF(J3792&lt;&gt;1,"",IF(I3792="SBJ","CB","?"))</f>
        <v> </v>
      </c>
      <c r="I3792" s="25" t="str">
        <f>IF(OR(E3792="",E3792="!!!",F3792="NEW"),"",INDEX(B3791:B$2,-1+SUMPRODUCT(MAX(ROW(E3791:E$2)*(E3792=E3791:E$2)))))</f>
        <v> </v>
      </c>
      <c r="J3792" s="25" t="str">
        <f>IF(OR(E3792="",E3792="!!!",F3792="NEW"),"",COUNTBLANK(OFFSET(A$1,,,SUMPRODUCT(MAX(ROW(E$2:E3792)*(E3792=E$2:E3792)))))-COUNTBLANK(OFFSET(A$1,,,SUMPRODUCT(MAX(ROW(E$1:E3791)*(E2=E$1:E3791))))))</f>
        <v> </v>
      </c>
      <c r="K3792" s="25" t="str">
        <f>IF(OR(E3792="",E3792="!!!",F3792="NEW"),"",INDEX(J$1:J3791,SUMPRODUCT(MAX(ROW(E$1:E3791)*(E3792=E$1:E3791)))))</f>
        <v> </v>
      </c>
      <c r="L3792" s="26"/>
    </row>
    <row r="3793" spans="1:12">
      <c r="A3793" s="20" t="s">
        <v>1075</v>
      </c>
      <c r="B3793" s="27" t="s">
        <v>1033</v>
      </c>
      <c r="C3793" s="27" t="s">
        <v>1013</v>
      </c>
      <c r="D3793" s="27" t="s">
        <v>1014</v>
      </c>
      <c r="E3793" s="21">
        <f>IF(D3793="?OLD","!!!","")</f>
        <v/>
      </c>
      <c r="F3793" s="22" t="str">
        <f>IF(OR(E3793="",E3793="!!!"),"",IF(NOT(ISNA(VLOOKUP(E3793,E$1:E3792,1,FALSE()))),"OLD",IF(AND(E3793&lt;&gt;"",E3793&lt;&gt;"!!!"),"NEW","")))</f>
        <v> </v>
      </c>
      <c r="G3793" s="23" t="str">
        <f>IF(OR(E3793="",E3793="!!!"),"",IF(OR(J3793=0,AND(J3793=1,K3793=1),AND(J3793=1,I3793="SBJ"),AND(J3793=1,I3793=0)),"?IN_FOCUS",IF(J3793&lt;=2,"?ACTIVATED",IF(J3793&lt;&gt;"","?FAMILIAR",IF(F3793="NEW",IF(ISNA(VLOOKUP(E3793,#REF!,1,FALSE())),"?TYPE_IDENTIFIABLE","?REFERENTIAL"),"_")))))</f>
        <v> </v>
      </c>
      <c r="H3793" s="24" t="str">
        <f>IF(J3793&lt;&gt;1,"",IF(I3793="SBJ","CB","?"))</f>
        <v> </v>
      </c>
      <c r="I3793" s="25" t="str">
        <f>IF(OR(E3793="",E3793="!!!",F3793="NEW"),"",INDEX(B3792:B$2,-1+SUMPRODUCT(MAX(ROW(E3792:E$2)*(E3793=E3792:E$2)))))</f>
        <v> </v>
      </c>
      <c r="J3793" s="25" t="str">
        <f>IF(OR(E3793="",E3793="!!!",F3793="NEW"),"",COUNTBLANK(OFFSET(A$1,,,SUMPRODUCT(MAX(ROW(E$2:E3793)*(E3793=E$2:E3793)))))-COUNTBLANK(OFFSET(A$1,,,SUMPRODUCT(MAX(ROW(E$1:E3792)*(E2=E$1:E3792))))))</f>
        <v> </v>
      </c>
      <c r="K3793" s="25" t="str">
        <f>IF(OR(E3793="",E3793="!!!",F3793="NEW"),"",INDEX(J$1:J3792,SUMPRODUCT(MAX(ROW(E$1:E3792)*(E3793=E$1:E3792)))))</f>
        <v> </v>
      </c>
      <c r="L3793" s="26"/>
    </row>
    <row r="3794" spans="1:12">
      <c r="A3794" s="20" t="s">
        <v>1060</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t="s">
        <v>60</v>
      </c>
      <c r="E3795" s="21">
        <f>IF(D3795="?OLD","!!!","")</f>
        <v/>
      </c>
      <c r="F3795" s="22" t="str">
        <f>IF(OR(E3795="",E3795="!!!"),"",IF(NOT(ISNA(VLOOKUP(E3795,E$1:E3794,1,FALSE()))),"OLD",IF(AND(E3795&lt;&gt;"",E3795&lt;&gt;"!!!"),"NEW","")))</f>
        <v> </v>
      </c>
      <c r="G3795" s="23" t="str">
        <f>IF(OR(E3795="",E3795="!!!"),"",IF(OR(J3795=0,AND(J3795=1,K3795=1),AND(J3795=1,I3795="SBJ"),AND(J3795=1,I3795=0)),"?IN_FOCUS",IF(J3795&lt;=2,"?ACTIVATED",IF(J3795&lt;&gt;"","?FAMILIAR",IF(F3795="NEW",IF(ISNA(VLOOKUP(E3795,#REF!,1,FALSE())),"?TYPE_IDENTIFIABLE","?REFERENTIAL"),"_")))))</f>
        <v> </v>
      </c>
      <c r="H3795" s="24" t="str">
        <f>IF(J3795&lt;&gt;1,"",IF(I3795="SBJ","CB","?"))</f>
        <v> </v>
      </c>
      <c r="I3795" s="25" t="str">
        <f>IF(OR(E3795="",E3795="!!!",F3795="NEW"),"",INDEX(B3794:B$2,-1+SUMPRODUCT(MAX(ROW(E3794:E$2)*(E3795=E3794:E$2)))))</f>
        <v> </v>
      </c>
      <c r="J3795" s="25" t="str">
        <f>IF(OR(E3795="",E3795="!!!",F3795="NEW"),"",COUNTBLANK(OFFSET(A$1,,,SUMPRODUCT(MAX(ROW(E$2:E3795)*(E3795=E$2:E3795)))))-COUNTBLANK(OFFSET(A$1,,,SUMPRODUCT(MAX(ROW(E$1:E3794)*(E2=E$1:E3794))))))</f>
        <v> </v>
      </c>
      <c r="K3795" s="25" t="str">
        <f>IF(OR(E3795="",E3795="!!!",F3795="NEW"),"",INDEX(J$1:J3794,SUMPRODUCT(MAX(ROW(E$1:E3794)*(E3795=E$1:E3794)))))</f>
        <v> </v>
      </c>
      <c r="L3795" s="26"/>
    </row>
    <row r="3796" spans="1:12">
      <c r="A3796" s="20" t="s">
        <v>1999</v>
      </c>
      <c r="E3796" s="21">
        <f>IF(D3796="?OLD","!!!","")</f>
        <v/>
      </c>
      <c r="F3796" s="22" t="str">
        <f>IF(OR(E3796="",E3796="!!!"),"",IF(NOT(ISNA(VLOOKUP(E3796,E$1:E3795,1,FALSE()))),"OLD",IF(AND(E3796&lt;&gt;"",E3796&lt;&gt;"!!!"),"NEW","")))</f>
        <v> </v>
      </c>
      <c r="G3796" s="23" t="str">
        <f>IF(OR(E3796="",E3796="!!!"),"",IF(OR(J3796=0,AND(J3796=1,K3796=1),AND(J3796=1,I3796="SBJ"),AND(J3796=1,I3796=0)),"?IN_FOCUS",IF(J3796&lt;=2,"?ACTIVATED",IF(J3796&lt;&gt;"","?FAMILIAR",IF(F3796="NEW",IF(ISNA(VLOOKUP(E3796,#REF!,1,FALSE())),"?TYPE_IDENTIFIABLE","?REFERENTIAL"),"_")))))</f>
        <v> </v>
      </c>
      <c r="H3796" s="24" t="str">
        <f>IF(J3796&lt;&gt;1,"",IF(I3796="SBJ","CB","?"))</f>
        <v> </v>
      </c>
      <c r="I3796" s="25" t="str">
        <f>IF(OR(E3796="",E3796="!!!",F3796="NEW"),"",INDEX(B3795:B$2,-1+SUMPRODUCT(MAX(ROW(E3795:E$2)*(E3796=E3795:E$2)))))</f>
        <v> </v>
      </c>
      <c r="J3796" s="25" t="str">
        <f>IF(OR(E3796="",E3796="!!!",F3796="NEW"),"",COUNTBLANK(OFFSET(A$1,,,SUMPRODUCT(MAX(ROW(E$2:E3796)*(E3796=E$2:E3796)))))-COUNTBLANK(OFFSET(A$1,,,SUMPRODUCT(MAX(ROW(E$1:E3795)*(E2=E$1:E3795))))))</f>
        <v> </v>
      </c>
      <c r="K3796" s="25" t="str">
        <f>IF(OR(E3796="",E3796="!!!",F3796="NEW"),"",INDEX(J$1:J3795,SUMPRODUCT(MAX(ROW(E$1:E3795)*(E3796=E$1:E3795)))))</f>
        <v> </v>
      </c>
      <c r="L3796" s="26"/>
    </row>
    <row r="3797" spans="1:12">
      <c r="A3797" s="20" t="s">
        <v>1046</v>
      </c>
      <c r="E3797" s="21">
        <f>IF(D3797="?OLD","!!!","")</f>
        <v/>
      </c>
      <c r="F3797" s="22" t="str">
        <f>IF(OR(E3797="",E3797="!!!"),"",IF(NOT(ISNA(VLOOKUP(E3797,E$1:E3796,1,FALSE()))),"OLD",IF(AND(E3797&lt;&gt;"",E3797&lt;&gt;"!!!"),"NEW","")))</f>
        <v> </v>
      </c>
      <c r="G3797" s="23" t="str">
        <f>IF(OR(E3797="",E3797="!!!"),"",IF(OR(J3797=0,AND(J3797=1,K3797=1),AND(J3797=1,I3797="SBJ"),AND(J3797=1,I3797=0)),"?IN_FOCUS",IF(J3797&lt;=2,"?ACTIVATED",IF(J3797&lt;&gt;"","?FAMILIAR",IF(F3797="NEW",IF(ISNA(VLOOKUP(E3797,#REF!,1,FALSE())),"?TYPE_IDENTIFIABLE","?REFERENTIAL"),"_")))))</f>
        <v> </v>
      </c>
      <c r="H3797" s="24" t="str">
        <f>IF(J3797&lt;&gt;1,"",IF(I3797="SBJ","CB","?"))</f>
        <v> </v>
      </c>
      <c r="I3797" s="25" t="str">
        <f>IF(OR(E3797="",E3797="!!!",F3797="NEW"),"",INDEX(B3796:B$2,-1+SUMPRODUCT(MAX(ROW(E3796:E$2)*(E3797=E3796:E$2)))))</f>
        <v> </v>
      </c>
      <c r="J3797" s="25" t="str">
        <f>IF(OR(E3797="",E3797="!!!",F3797="NEW"),"",COUNTBLANK(OFFSET(A$1,,,SUMPRODUCT(MAX(ROW(E$2:E3797)*(E3797=E$2:E3797)))))-COUNTBLANK(OFFSET(A$1,,,SUMPRODUCT(MAX(ROW(E$1:E3796)*(E2=E$1:E3796))))))</f>
        <v> </v>
      </c>
      <c r="K3797" s="25" t="str">
        <f>IF(OR(E3797="",E3797="!!!",F3797="NEW"),"",INDEX(J$1:J3796,SUMPRODUCT(MAX(ROW(E$1:E3796)*(E3797=E$1:E3796)))))</f>
        <v> </v>
      </c>
      <c r="L3797" s="26"/>
    </row>
    <row r="3798" spans="1:12">
      <c r="A3798" s="20" t="s">
        <v>544</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t="s">
        <v>26</v>
      </c>
      <c r="E3799" s="21">
        <f>IF(D3799="?OLD","!!!","")</f>
        <v/>
      </c>
      <c r="F3799" s="22" t="str">
        <f>IF(OR(E3799="",E3799="!!!"),"",IF(NOT(ISNA(VLOOKUP(E3799,E$1:E3798,1,FALSE()))),"OLD",IF(AND(E3799&lt;&gt;"",E3799&lt;&gt;"!!!"),"NEW","")))</f>
        <v> </v>
      </c>
      <c r="G3799" s="23" t="str">
        <f>IF(OR(E3799="",E3799="!!!"),"",IF(OR(J3799=0,AND(J3799=1,K3799=1),AND(J3799=1,I3799="SBJ"),AND(J3799=1,I3799=0)),"?IN_FOCUS",IF(J3799&lt;=2,"?ACTIVATED",IF(J3799&lt;&gt;"","?FAMILIAR",IF(F3799="NEW",IF(ISNA(VLOOKUP(E3799,#REF!,1,FALSE())),"?TYPE_IDENTIFIABLE","?REFERENTIAL"),"_")))))</f>
        <v> </v>
      </c>
      <c r="H3799" s="24" t="str">
        <f>IF(J3799&lt;&gt;1,"",IF(I3799="SBJ","CB","?"))</f>
        <v> </v>
      </c>
      <c r="I3799" s="25" t="str">
        <f>IF(OR(E3799="",E3799="!!!",F3799="NEW"),"",INDEX(B3798:B$2,-1+SUMPRODUCT(MAX(ROW(E3798:E$2)*(E3799=E3798:E$2)))))</f>
        <v> </v>
      </c>
      <c r="J3799" s="25" t="str">
        <f>IF(OR(E3799="",E3799="!!!",F3799="NEW"),"",COUNTBLANK(OFFSET(A$1,,,SUMPRODUCT(MAX(ROW(E$2:E3799)*(E3799=E$2:E3799)))))-COUNTBLANK(OFFSET(A$1,,,SUMPRODUCT(MAX(ROW(E$1:E3798)*(E2=E$1:E3798))))))</f>
        <v> </v>
      </c>
      <c r="K3799" s="25" t="str">
        <f>IF(OR(E3799="",E3799="!!!",F3799="NEW"),"",INDEX(J$1:J3798,SUMPRODUCT(MAX(ROW(E$1:E3798)*(E3799=E$1:E3798)))))</f>
        <v> </v>
      </c>
      <c r="L3799" s="26"/>
    </row>
    <row r="3800" spans="1:12">
      <c r="A3800" s="20" t="s">
        <v>2000</v>
      </c>
      <c r="E3800" s="21">
        <f>IF(D3800="?OLD","!!!","")</f>
        <v/>
      </c>
      <c r="F3800" s="22" t="str">
        <f>IF(OR(E3800="",E3800="!!!"),"",IF(NOT(ISNA(VLOOKUP(E3800,E$1:E3799,1,FALSE()))),"OLD",IF(AND(E3800&lt;&gt;"",E3800&lt;&gt;"!!!"),"NEW","")))</f>
        <v> </v>
      </c>
      <c r="G3800" s="23" t="str">
        <f>IF(OR(E3800="",E3800="!!!"),"",IF(OR(J3800=0,AND(J3800=1,K3800=1),AND(J3800=1,I3800="SBJ"),AND(J3800=1,I3800=0)),"?IN_FOCUS",IF(J3800&lt;=2,"?ACTIVATED",IF(J3800&lt;&gt;"","?FAMILIAR",IF(F3800="NEW",IF(ISNA(VLOOKUP(E3800,#REF!,1,FALSE())),"?TYPE_IDENTIFIABLE","?REFERENTIAL"),"_")))))</f>
        <v> </v>
      </c>
      <c r="H3800" s="24" t="str">
        <f>IF(J3800&lt;&gt;1,"",IF(I3800="SBJ","CB","?"))</f>
        <v> </v>
      </c>
      <c r="I3800" s="25" t="str">
        <f>IF(OR(E3800="",E3800="!!!",F3800="NEW"),"",INDEX(B3799:B$2,-1+SUMPRODUCT(MAX(ROW(E3799:E$2)*(E3800=E3799:E$2)))))</f>
        <v> </v>
      </c>
      <c r="J3800" s="25" t="str">
        <f>IF(OR(E3800="",E3800="!!!",F3800="NEW"),"",COUNTBLANK(OFFSET(A$1,,,SUMPRODUCT(MAX(ROW(E$2:E3800)*(E3800=E$2:E3800)))))-COUNTBLANK(OFFSET(A$1,,,SUMPRODUCT(MAX(ROW(E$1:E3799)*(E2=E$1:E3799))))))</f>
        <v> </v>
      </c>
      <c r="K3800" s="25" t="str">
        <f>IF(OR(E3800="",E3800="!!!",F3800="NEW"),"",INDEX(J$1:J3799,SUMPRODUCT(MAX(ROW(E$1:E3799)*(E3800=E$1:E3799)))))</f>
        <v> </v>
      </c>
      <c r="L3800" s="26"/>
    </row>
    <row r="3801" spans="1:12">
      <c r="A3801" s="20" t="s">
        <v>1022</v>
      </c>
      <c r="E3801" s="21">
        <f>IF(D3801="?OLD","!!!","")</f>
        <v/>
      </c>
      <c r="F3801" s="22" t="str">
        <f>IF(OR(E3801="",E3801="!!!"),"",IF(NOT(ISNA(VLOOKUP(E3801,E$1:E3800,1,FALSE()))),"OLD",IF(AND(E3801&lt;&gt;"",E3801&lt;&gt;"!!!"),"NEW","")))</f>
        <v> </v>
      </c>
      <c r="G3801" s="23" t="str">
        <f>IF(OR(E3801="",E3801="!!!"),"",IF(OR(J3801=0,AND(J3801=1,K3801=1),AND(J3801=1,I3801="SBJ"),AND(J3801=1,I3801=0)),"?IN_FOCUS",IF(J3801&lt;=2,"?ACTIVATED",IF(J3801&lt;&gt;"","?FAMILIAR",IF(F3801="NEW",IF(ISNA(VLOOKUP(E3801,#REF!,1,FALSE())),"?TYPE_IDENTIFIABLE","?REFERENTIAL"),"_")))))</f>
        <v> </v>
      </c>
      <c r="H3801" s="24" t="str">
        <f>IF(J3801&lt;&gt;1,"",IF(I3801="SBJ","CB","?"))</f>
        <v> </v>
      </c>
      <c r="I3801" s="25" t="str">
        <f>IF(OR(E3801="",E3801="!!!",F3801="NEW"),"",INDEX(B3800:B$2,-1+SUMPRODUCT(MAX(ROW(E3800:E$2)*(E3801=E3800:E$2)))))</f>
        <v> </v>
      </c>
      <c r="J3801" s="25" t="str">
        <f>IF(OR(E3801="",E3801="!!!",F3801="NEW"),"",COUNTBLANK(OFFSET(A$1,,,SUMPRODUCT(MAX(ROW(E$2:E3801)*(E3801=E$2:E3801)))))-COUNTBLANK(OFFSET(A$1,,,SUMPRODUCT(MAX(ROW(E$1:E3800)*(E2=E$1:E3800))))))</f>
        <v> </v>
      </c>
      <c r="K3801" s="25" t="str">
        <f>IF(OR(E3801="",E3801="!!!",F3801="NEW"),"",INDEX(J$1:J3800,SUMPRODUCT(MAX(ROW(E$1:E3800)*(E3801=E$1:E3800)))))</f>
        <v> </v>
      </c>
      <c r="L3801" s="26"/>
    </row>
    <row r="3802" spans="1:12">
      <c r="A3802" s="20"/>
    </row>
    <row r="3803" spans="1:12">
      <c r="A3803" s="20" t="s">
        <v>2001</v>
      </c>
    </row>
    <row r="3804" spans="1:12">
      <c r="A3804" s="20" t="s">
        <v>1082</v>
      </c>
      <c r="B3804" s="27" t="s">
        <v>1038</v>
      </c>
      <c r="C3804" s="27" t="s">
        <v>1013</v>
      </c>
      <c r="D3804" s="27" t="s">
        <v>1014</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1998</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t="s">
        <v>1079</v>
      </c>
      <c r="E3806" s="21">
        <f>IF(D3806="?OLD","!!!","")</f>
        <v/>
      </c>
      <c r="F3806" s="22" t="str">
        <f>IF(OR(E3806="",E3806="!!!"),"",IF(NOT(ISNA(VLOOKUP(E3806,E$1:E3805,1,FALSE()))),"OLD",IF(AND(E3806&lt;&gt;"",E3806&lt;&gt;"!!!"),"NEW","")))</f>
        <v> </v>
      </c>
      <c r="G3806" s="23" t="str">
        <f>IF(OR(E3806="",E3806="!!!"),"",IF(OR(J3806=0,AND(J3806=1,K3806=1),AND(J3806=1,I3806="SBJ"),AND(J3806=1,I3806=0)),"?IN_FOCUS",IF(J3806&lt;=2,"?ACTIVATED",IF(J3806&lt;&gt;"","?FAMILIAR",IF(F3806="NEW",IF(ISNA(VLOOKUP(E3806,#REF!,1,FALSE())),"?TYPE_IDENTIFIABLE","?REFERENTIAL"),"_")))))</f>
        <v> </v>
      </c>
      <c r="H3806" s="24" t="str">
        <f>IF(J3806&lt;&gt;1,"",IF(I3806="SBJ","CB","?"))</f>
        <v> </v>
      </c>
      <c r="I3806" s="25" t="str">
        <f>IF(OR(E3806="",E3806="!!!",F3806="NEW"),"",INDEX(B3805:B$2,-1+SUMPRODUCT(MAX(ROW(E3805:E$2)*(E3806=E3805:E$2)))))</f>
        <v> </v>
      </c>
      <c r="J3806" s="25" t="str">
        <f>IF(OR(E3806="",E3806="!!!",F3806="NEW"),"",COUNTBLANK(OFFSET(A$1,,,SUMPRODUCT(MAX(ROW(E$2:E3806)*(E3806=E$2:E3806)))))-COUNTBLANK(OFFSET(A$1,,,SUMPRODUCT(MAX(ROW(E$1:E3805)*(E2=E$1:E3805))))))</f>
        <v> </v>
      </c>
      <c r="K3806" s="25" t="str">
        <f>IF(OR(E3806="",E3806="!!!",F3806="NEW"),"",INDEX(J$1:J3805,SUMPRODUCT(MAX(ROW(E$1:E3805)*(E3806=E$1:E3805)))))</f>
        <v> </v>
      </c>
      <c r="L3806" s="26"/>
    </row>
    <row r="3807" spans="1:12">
      <c r="A3807" s="20" t="s">
        <v>907</v>
      </c>
      <c r="E3807" s="21">
        <f>IF(D3807="?OLD","!!!","")</f>
        <v/>
      </c>
      <c r="F3807" s="22" t="str">
        <f>IF(OR(E3807="",E3807="!!!"),"",IF(NOT(ISNA(VLOOKUP(E3807,E$1:E3806,1,FALSE()))),"OLD",IF(AND(E3807&lt;&gt;"",E3807&lt;&gt;"!!!"),"NEW","")))</f>
        <v> </v>
      </c>
      <c r="G3807" s="23" t="str">
        <f>IF(OR(E3807="",E3807="!!!"),"",IF(OR(J3807=0,AND(J3807=1,K3807=1),AND(J3807=1,I3807="SBJ"),AND(J3807=1,I3807=0)),"?IN_FOCUS",IF(J3807&lt;=2,"?ACTIVATED",IF(J3807&lt;&gt;"","?FAMILIAR",IF(F3807="NEW",IF(ISNA(VLOOKUP(E3807,#REF!,1,FALSE())),"?TYPE_IDENTIFIABLE","?REFERENTIAL"),"_")))))</f>
        <v> </v>
      </c>
      <c r="H3807" s="24" t="str">
        <f>IF(J3807&lt;&gt;1,"",IF(I3807="SBJ","CB","?"))</f>
        <v> </v>
      </c>
      <c r="I3807" s="25" t="str">
        <f>IF(OR(E3807="",E3807="!!!",F3807="NEW"),"",INDEX(B3806:B$2,-1+SUMPRODUCT(MAX(ROW(E3806:E$2)*(E3807=E3806:E$2)))))</f>
        <v> </v>
      </c>
      <c r="J3807" s="25" t="str">
        <f>IF(OR(E3807="",E3807="!!!",F3807="NEW"),"",COUNTBLANK(OFFSET(A$1,,,SUMPRODUCT(MAX(ROW(E$2:E3807)*(E3807=E$2:E3807)))))-COUNTBLANK(OFFSET(A$1,,,SUMPRODUCT(MAX(ROW(E$1:E3806)*(E2=E$1:E3806))))))</f>
        <v> </v>
      </c>
      <c r="K3807" s="25" t="str">
        <f>IF(OR(E3807="",E3807="!!!",F3807="NEW"),"",INDEX(J$1:J3806,SUMPRODUCT(MAX(ROW(E$1:E3806)*(E3807=E$1:E3806)))))</f>
        <v> </v>
      </c>
      <c r="L3807" s="26"/>
    </row>
    <row r="3808" spans="1:12">
      <c r="A3808" s="20" t="s">
        <v>1027</v>
      </c>
      <c r="E3808" s="21">
        <f>IF(D3808="?OLD","!!!","")</f>
        <v/>
      </c>
      <c r="F3808" s="22" t="str">
        <f>IF(OR(E3808="",E3808="!!!"),"",IF(NOT(ISNA(VLOOKUP(E3808,E$1:E3807,1,FALSE()))),"OLD",IF(AND(E3808&lt;&gt;"",E3808&lt;&gt;"!!!"),"NEW","")))</f>
        <v> </v>
      </c>
      <c r="G3808" s="23" t="str">
        <f>IF(OR(E3808="",E3808="!!!"),"",IF(OR(J3808=0,AND(J3808=1,K3808=1),AND(J3808=1,I3808="SBJ"),AND(J3808=1,I3808=0)),"?IN_FOCUS",IF(J3808&lt;=2,"?ACTIVATED",IF(J3808&lt;&gt;"","?FAMILIAR",IF(F3808="NEW",IF(ISNA(VLOOKUP(E3808,#REF!,1,FALSE())),"?TYPE_IDENTIFIABLE","?REFERENTIAL"),"_")))))</f>
        <v> </v>
      </c>
      <c r="H3808" s="24" t="str">
        <f>IF(J3808&lt;&gt;1,"",IF(I3808="SBJ","CB","?"))</f>
        <v> </v>
      </c>
      <c r="I3808" s="25" t="str">
        <f>IF(OR(E3808="",E3808="!!!",F3808="NEW"),"",INDEX(B3807:B$2,-1+SUMPRODUCT(MAX(ROW(E3807:E$2)*(E3808=E3807:E$2)))))</f>
        <v> </v>
      </c>
      <c r="J3808" s="25" t="str">
        <f>IF(OR(E3808="",E3808="!!!",F3808="NEW"),"",COUNTBLANK(OFFSET(A$1,,,SUMPRODUCT(MAX(ROW(E$2:E3808)*(E3808=E$2:E3808)))))-COUNTBLANK(OFFSET(A$1,,,SUMPRODUCT(MAX(ROW(E$1:E3807)*(E2=E$1:E3807))))))</f>
        <v> </v>
      </c>
      <c r="K3808" s="25" t="str">
        <f>IF(OR(E3808="",E3808="!!!",F3808="NEW"),"",INDEX(J$1:J3807,SUMPRODUCT(MAX(ROW(E$1:E3807)*(E3808=E$1:E3807)))))</f>
        <v> </v>
      </c>
      <c r="L3808" s="26"/>
    </row>
    <row r="3809" spans="1:12">
      <c r="A3809" s="20" t="s">
        <v>1031</v>
      </c>
      <c r="E3809" s="21">
        <f>IF(D3809="?OLD","!!!","")</f>
        <v/>
      </c>
      <c r="F3809" s="22" t="str">
        <f>IF(OR(E3809="",E3809="!!!"),"",IF(NOT(ISNA(VLOOKUP(E3809,E$1:E3808,1,FALSE()))),"OLD",IF(AND(E3809&lt;&gt;"",E3809&lt;&gt;"!!!"),"NEW","")))</f>
        <v> </v>
      </c>
      <c r="G3809" s="23" t="str">
        <f>IF(OR(E3809="",E3809="!!!"),"",IF(OR(J3809=0,AND(J3809=1,K3809=1),AND(J3809=1,I3809="SBJ"),AND(J3809=1,I3809=0)),"?IN_FOCUS",IF(J3809&lt;=2,"?ACTIVATED",IF(J3809&lt;&gt;"","?FAMILIAR",IF(F3809="NEW",IF(ISNA(VLOOKUP(E3809,#REF!,1,FALSE())),"?TYPE_IDENTIFIABLE","?REFERENTIAL"),"_")))))</f>
        <v> </v>
      </c>
      <c r="H3809" s="24" t="str">
        <f>IF(J3809&lt;&gt;1,"",IF(I3809="SBJ","CB","?"))</f>
        <v> </v>
      </c>
      <c r="I3809" s="25" t="str">
        <f>IF(OR(E3809="",E3809="!!!",F3809="NEW"),"",INDEX(B3808:B$2,-1+SUMPRODUCT(MAX(ROW(E3808:E$2)*(E3809=E3808:E$2)))))</f>
        <v> </v>
      </c>
      <c r="J3809" s="25" t="str">
        <f>IF(OR(E3809="",E3809="!!!",F3809="NEW"),"",COUNTBLANK(OFFSET(A$1,,,SUMPRODUCT(MAX(ROW(E$2:E3809)*(E3809=E$2:E3809)))))-COUNTBLANK(OFFSET(A$1,,,SUMPRODUCT(MAX(ROW(E$1:E3808)*(E2=E$1:E3808))))))</f>
        <v> </v>
      </c>
      <c r="K3809" s="25" t="str">
        <f>IF(OR(E3809="",E3809="!!!",F3809="NEW"),"",INDEX(J$1:J3808,SUMPRODUCT(MAX(ROW(E$1:E3808)*(E3809=E$1:E3808)))))</f>
        <v> </v>
      </c>
      <c r="L3809" s="26"/>
    </row>
    <row r="3810" spans="1:12">
      <c r="A3810" s="20" t="s">
        <v>1049</v>
      </c>
      <c r="B3810" s="27" t="s">
        <v>1033</v>
      </c>
      <c r="C3810" s="27" t="s">
        <v>1013</v>
      </c>
      <c r="D3810" s="27" t="s">
        <v>1014</v>
      </c>
      <c r="E3810" s="21">
        <f>IF(D3810="?OLD","!!!","")</f>
        <v/>
      </c>
      <c r="F3810" s="22" t="str">
        <f>IF(OR(E3810="",E3810="!!!"),"",IF(NOT(ISNA(VLOOKUP(E3810,E$1:E3809,1,FALSE()))),"OLD",IF(AND(E3810&lt;&gt;"",E3810&lt;&gt;"!!!"),"NEW","")))</f>
        <v> </v>
      </c>
      <c r="G3810" s="23" t="str">
        <f>IF(OR(E3810="",E3810="!!!"),"",IF(OR(J3810=0,AND(J3810=1,K3810=1),AND(J3810=1,I3810="SBJ"),AND(J3810=1,I3810=0)),"?IN_FOCUS",IF(J3810&lt;=2,"?ACTIVATED",IF(J3810&lt;&gt;"","?FAMILIAR",IF(F3810="NEW",IF(ISNA(VLOOKUP(E3810,#REF!,1,FALSE())),"?TYPE_IDENTIFIABLE","?REFERENTIAL"),"_")))))</f>
        <v> </v>
      </c>
      <c r="H3810" s="24" t="str">
        <f>IF(J3810&lt;&gt;1,"",IF(I3810="SBJ","CB","?"))</f>
        <v> </v>
      </c>
      <c r="I3810" s="25" t="str">
        <f>IF(OR(E3810="",E3810="!!!",F3810="NEW"),"",INDEX(B3809:B$2,-1+SUMPRODUCT(MAX(ROW(E3809:E$2)*(E3810=E3809:E$2)))))</f>
        <v> </v>
      </c>
      <c r="J3810" s="25" t="str">
        <f>IF(OR(E3810="",E3810="!!!",F3810="NEW"),"",COUNTBLANK(OFFSET(A$1,,,SUMPRODUCT(MAX(ROW(E$2:E3810)*(E3810=E$2:E3810)))))-COUNTBLANK(OFFSET(A$1,,,SUMPRODUCT(MAX(ROW(E$1:E3809)*(E2=E$1:E3809))))))</f>
        <v> </v>
      </c>
      <c r="K3810" s="25" t="str">
        <f>IF(OR(E3810="",E3810="!!!",F3810="NEW"),"",INDEX(J$1:J3809,SUMPRODUCT(MAX(ROW(E$1:E3809)*(E3810=E$1:E3809)))))</f>
        <v> </v>
      </c>
      <c r="L3810" s="26"/>
    </row>
    <row r="3811" spans="1:12">
      <c r="A3811" s="20" t="s">
        <v>35</v>
      </c>
      <c r="E3811" s="21">
        <f>IF(D3811="?OLD","!!!","")</f>
        <v/>
      </c>
      <c r="F3811" s="22" t="str">
        <f>IF(OR(E3811="",E3811="!!!"),"",IF(NOT(ISNA(VLOOKUP(E3811,E$1:E3810,1,FALSE()))),"OLD",IF(AND(E3811&lt;&gt;"",E3811&lt;&gt;"!!!"),"NEW","")))</f>
        <v> </v>
      </c>
      <c r="G3811" s="23" t="str">
        <f>IF(OR(E3811="",E3811="!!!"),"",IF(OR(J3811=0,AND(J3811=1,K3811=1),AND(J3811=1,I3811="SBJ"),AND(J3811=1,I3811=0)),"?IN_FOCUS",IF(J3811&lt;=2,"?ACTIVATED",IF(J3811&lt;&gt;"","?FAMILIAR",IF(F3811="NEW",IF(ISNA(VLOOKUP(E3811,#REF!,1,FALSE())),"?TYPE_IDENTIFIABLE","?REFERENTIAL"),"_")))))</f>
        <v> </v>
      </c>
      <c r="H3811" s="24" t="str">
        <f>IF(J3811&lt;&gt;1,"",IF(I3811="SBJ","CB","?"))</f>
        <v> </v>
      </c>
      <c r="I3811" s="25" t="str">
        <f>IF(OR(E3811="",E3811="!!!",F3811="NEW"),"",INDEX(B3810:B$2,-1+SUMPRODUCT(MAX(ROW(E3810:E$2)*(E3811=E3810:E$2)))))</f>
        <v> </v>
      </c>
      <c r="J3811" s="25" t="str">
        <f>IF(OR(E3811="",E3811="!!!",F3811="NEW"),"",COUNTBLANK(OFFSET(A$1,,,SUMPRODUCT(MAX(ROW(E$2:E3811)*(E3811=E$2:E3811)))))-COUNTBLANK(OFFSET(A$1,,,SUMPRODUCT(MAX(ROW(E$1:E3810)*(E2=E$1:E3810))))))</f>
        <v> </v>
      </c>
      <c r="K3811" s="25" t="str">
        <f>IF(OR(E3811="",E3811="!!!",F3811="NEW"),"",INDEX(J$1:J3810,SUMPRODUCT(MAX(ROW(E$1:E3810)*(E3811=E$1:E3810)))))</f>
        <v> </v>
      </c>
      <c r="L3811" s="26"/>
    </row>
    <row r="3812" spans="1:12">
      <c r="A3812" s="20" t="s">
        <v>537</v>
      </c>
      <c r="B3812" s="27" t="s">
        <v>1070</v>
      </c>
      <c r="C3812" s="27" t="s">
        <v>1059</v>
      </c>
      <c r="E3812" s="21">
        <f>IF(D3812="?OLD","!!!","")</f>
        <v/>
      </c>
      <c r="F3812" s="22" t="str">
        <f>IF(OR(E3812="",E3812="!!!"),"",IF(NOT(ISNA(VLOOKUP(E3812,E$1:E3811,1,FALSE()))),"OLD",IF(AND(E3812&lt;&gt;"",E3812&lt;&gt;"!!!"),"NEW","")))</f>
        <v> </v>
      </c>
      <c r="G3812" s="23" t="str">
        <f>IF(OR(E3812="",E3812="!!!"),"",IF(OR(J3812=0,AND(J3812=1,K3812=1),AND(J3812=1,I3812="SBJ"),AND(J3812=1,I3812=0)),"?IN_FOCUS",IF(J3812&lt;=2,"?ACTIVATED",IF(J3812&lt;&gt;"","?FAMILIAR",IF(F3812="NEW",IF(ISNA(VLOOKUP(E3812,#REF!,1,FALSE())),"?TYPE_IDENTIFIABLE","?REFERENTIAL"),"_")))))</f>
        <v> </v>
      </c>
      <c r="H3812" s="24" t="str">
        <f>IF(J3812&lt;&gt;1,"",IF(I3812="SBJ","CB","?"))</f>
        <v> </v>
      </c>
      <c r="I3812" s="25" t="str">
        <f>IF(OR(E3812="",E3812="!!!",F3812="NEW"),"",INDEX(B3811:B$2,-1+SUMPRODUCT(MAX(ROW(E3811:E$2)*(E3812=E3811:E$2)))))</f>
        <v> </v>
      </c>
      <c r="J3812" s="25" t="str">
        <f>IF(OR(E3812="",E3812="!!!",F3812="NEW"),"",COUNTBLANK(OFFSET(A$1,,,SUMPRODUCT(MAX(ROW(E$2:E3812)*(E3812=E$2:E3812)))))-COUNTBLANK(OFFSET(A$1,,,SUMPRODUCT(MAX(ROW(E$1:E3811)*(E2=E$1:E3811))))))</f>
        <v> </v>
      </c>
      <c r="K3812" s="25" t="str">
        <f>IF(OR(E3812="",E3812="!!!",F3812="NEW"),"",INDEX(J$1:J3811,SUMPRODUCT(MAX(ROW(E$1:E3811)*(E3812=E$1:E3811)))))</f>
        <v> </v>
      </c>
      <c r="L3812" s="26"/>
    </row>
    <row r="3813" spans="1:12">
      <c r="A3813" s="20" t="s">
        <v>1200</v>
      </c>
      <c r="E3813" s="21">
        <f>IF(D3813="?OLD","!!!","")</f>
        <v/>
      </c>
      <c r="F3813" s="22" t="str">
        <f>IF(OR(E3813="",E3813="!!!"),"",IF(NOT(ISNA(VLOOKUP(E3813,E$1:E3812,1,FALSE()))),"OLD",IF(AND(E3813&lt;&gt;"",E3813&lt;&gt;"!!!"),"NEW","")))</f>
        <v> </v>
      </c>
      <c r="G3813" s="23" t="str">
        <f>IF(OR(E3813="",E3813="!!!"),"",IF(OR(J3813=0,AND(J3813=1,K3813=1),AND(J3813=1,I3813="SBJ"),AND(J3813=1,I3813=0)),"?IN_FOCUS",IF(J3813&lt;=2,"?ACTIVATED",IF(J3813&lt;&gt;"","?FAMILIAR",IF(F3813="NEW",IF(ISNA(VLOOKUP(E3813,#REF!,1,FALSE())),"?TYPE_IDENTIFIABLE","?REFERENTIAL"),"_")))))</f>
        <v> </v>
      </c>
      <c r="H3813" s="24" t="str">
        <f>IF(J3813&lt;&gt;1,"",IF(I3813="SBJ","CB","?"))</f>
        <v> </v>
      </c>
      <c r="I3813" s="25" t="str">
        <f>IF(OR(E3813="",E3813="!!!",F3813="NEW"),"",INDEX(B3812:B$2,-1+SUMPRODUCT(MAX(ROW(E3812:E$2)*(E3813=E3812:E$2)))))</f>
        <v> </v>
      </c>
      <c r="J3813" s="25" t="str">
        <f>IF(OR(E3813="",E3813="!!!",F3813="NEW"),"",COUNTBLANK(OFFSET(A$1,,,SUMPRODUCT(MAX(ROW(E$2:E3813)*(E3813=E$2:E3813)))))-COUNTBLANK(OFFSET(A$1,,,SUMPRODUCT(MAX(ROW(E$1:E3812)*(E2=E$1:E3812))))))</f>
        <v> </v>
      </c>
      <c r="K3813" s="25" t="str">
        <f>IF(OR(E3813="",E3813="!!!",F3813="NEW"),"",INDEX(J$1:J3812,SUMPRODUCT(MAX(ROW(E$1:E3812)*(E3813=E$1:E3812)))))</f>
        <v> </v>
      </c>
      <c r="L3813" s="26"/>
    </row>
    <row r="3814" spans="1:12">
      <c r="A3814" s="20"/>
    </row>
    <row r="3815" spans="1:12">
      <c r="A3815" s="20" t="s">
        <v>2002</v>
      </c>
    </row>
    <row r="3816" spans="1:12">
      <c r="A3816" s="20" t="s">
        <v>1282</v>
      </c>
      <c r="B3816" s="27" t="s">
        <v>1038</v>
      </c>
      <c r="C3816" s="27" t="s">
        <v>1108</v>
      </c>
      <c r="D3816" s="27" t="s">
        <v>1014</v>
      </c>
      <c r="E3816" s="21">
        <f>IF(D3816="?OLD","!!!","")</f>
        <v/>
      </c>
      <c r="F3816" s="22" t="str">
        <f>IF(OR(E3816="",E3816="!!!"),"",IF(NOT(ISNA(VLOOKUP(E3816,E$1:E3815,1,FALSE()))),"OLD",IF(AND(E3816&lt;&gt;"",E3816&lt;&gt;"!!!"),"NEW","")))</f>
        <v> </v>
      </c>
      <c r="G3816" s="23" t="str">
        <f>IF(OR(E3816="",E3816="!!!"),"",IF(OR(J3816=0,AND(J3816=1,K3816=1),AND(J3816=1,I3816="SBJ"),AND(J3816=1,I3816=0)),"?IN_FOCUS",IF(J3816&lt;=2,"?ACTIVATED",IF(J3816&lt;&gt;"","?FAMILIAR",IF(F3816="NEW",IF(ISNA(VLOOKUP(E3816,#REF!,1,FALSE())),"?TYPE_IDENTIFIABLE","?REFERENTIAL"),"_")))))</f>
        <v> </v>
      </c>
      <c r="H3816" s="24" t="str">
        <f>IF(J3816&lt;&gt;1,"",IF(I3816="SBJ","CB","?"))</f>
        <v> </v>
      </c>
      <c r="I3816" s="25" t="str">
        <f>IF(OR(E3816="",E3816="!!!",F3816="NEW"),"",INDEX(B3815:B$2,-1+SUMPRODUCT(MAX(ROW(E3815:E$2)*(E3816=E3815:E$2)))))</f>
        <v> </v>
      </c>
      <c r="J3816" s="25" t="str">
        <f>IF(OR(E3816="",E3816="!!!",F3816="NEW"),"",COUNTBLANK(OFFSET(A$1,,,SUMPRODUCT(MAX(ROW(E$2:E3816)*(E3816=E$2:E3816)))))-COUNTBLANK(OFFSET(A$1,,,SUMPRODUCT(MAX(ROW(E$1:E3815)*(E2=E$1:E3815))))))</f>
        <v> </v>
      </c>
      <c r="K3816" s="25" t="str">
        <f>IF(OR(E3816="",E3816="!!!",F3816="NEW"),"",INDEX(J$1:J3815,SUMPRODUCT(MAX(ROW(E$1:E3815)*(E3816=E$1:E3815)))))</f>
        <v> </v>
      </c>
      <c r="L3816" s="26"/>
    </row>
    <row r="3817" spans="1:12">
      <c r="A3817" s="20" t="s">
        <v>1998</v>
      </c>
      <c r="E3817" s="21">
        <f>IF(D3817="?OLD","!!!","")</f>
        <v/>
      </c>
      <c r="F3817" s="22" t="str">
        <f>IF(OR(E3817="",E3817="!!!"),"",IF(NOT(ISNA(VLOOKUP(E3817,E$1:E3816,1,FALSE()))),"OLD",IF(AND(E3817&lt;&gt;"",E3817&lt;&gt;"!!!"),"NEW","")))</f>
        <v> </v>
      </c>
      <c r="G3817" s="23" t="str">
        <f>IF(OR(E3817="",E3817="!!!"),"",IF(OR(J3817=0,AND(J3817=1,K3817=1),AND(J3817=1,I3817="SBJ"),AND(J3817=1,I3817=0)),"?IN_FOCUS",IF(J3817&lt;=2,"?ACTIVATED",IF(J3817&lt;&gt;"","?FAMILIAR",IF(F3817="NEW",IF(ISNA(VLOOKUP(E3817,#REF!,1,FALSE())),"?TYPE_IDENTIFIABLE","?REFERENTIAL"),"_")))))</f>
        <v> </v>
      </c>
      <c r="H3817" s="24" t="str">
        <f>IF(J3817&lt;&gt;1,"",IF(I3817="SBJ","CB","?"))</f>
        <v> </v>
      </c>
      <c r="I3817" s="25" t="str">
        <f>IF(OR(E3817="",E3817="!!!",F3817="NEW"),"",INDEX(B3816:B$2,-1+SUMPRODUCT(MAX(ROW(E3816:E$2)*(E3817=E3816:E$2)))))</f>
        <v> </v>
      </c>
      <c r="J3817" s="25" t="str">
        <f>IF(OR(E3817="",E3817="!!!",F3817="NEW"),"",COUNTBLANK(OFFSET(A$1,,,SUMPRODUCT(MAX(ROW(E$2:E3817)*(E3817=E$2:E3817)))))-COUNTBLANK(OFFSET(A$1,,,SUMPRODUCT(MAX(ROW(E$1:E3816)*(E2=E$1:E3816))))))</f>
        <v> </v>
      </c>
      <c r="K3817" s="25" t="str">
        <f>IF(OR(E3817="",E3817="!!!",F3817="NEW"),"",INDEX(J$1:J3816,SUMPRODUCT(MAX(ROW(E$1:E3816)*(E3817=E$1:E3816)))))</f>
        <v> </v>
      </c>
      <c r="L3817" s="26"/>
    </row>
    <row r="3818" spans="1:12">
      <c r="A3818" s="20" t="s">
        <v>60</v>
      </c>
      <c r="E3818" s="21">
        <f>IF(D3818="?OLD","!!!","")</f>
        <v/>
      </c>
      <c r="F3818" s="22" t="str">
        <f>IF(OR(E3818="",E3818="!!!"),"",IF(NOT(ISNA(VLOOKUP(E3818,E$1:E3817,1,FALSE()))),"OLD",IF(AND(E3818&lt;&gt;"",E3818&lt;&gt;"!!!"),"NEW","")))</f>
        <v> </v>
      </c>
      <c r="G3818" s="23" t="str">
        <f>IF(OR(E3818="",E3818="!!!"),"",IF(OR(J3818=0,AND(J3818=1,K3818=1),AND(J3818=1,I3818="SBJ"),AND(J3818=1,I3818=0)),"?IN_FOCUS",IF(J3818&lt;=2,"?ACTIVATED",IF(J3818&lt;&gt;"","?FAMILIAR",IF(F3818="NEW",IF(ISNA(VLOOKUP(E3818,#REF!,1,FALSE())),"?TYPE_IDENTIFIABLE","?REFERENTIAL"),"_")))))</f>
        <v> </v>
      </c>
      <c r="H3818" s="24" t="str">
        <f>IF(J3818&lt;&gt;1,"",IF(I3818="SBJ","CB","?"))</f>
        <v> </v>
      </c>
      <c r="I3818" s="25" t="str">
        <f>IF(OR(E3818="",E3818="!!!",F3818="NEW"),"",INDEX(B3817:B$2,-1+SUMPRODUCT(MAX(ROW(E3817:E$2)*(E3818=E3817:E$2)))))</f>
        <v> </v>
      </c>
      <c r="J3818" s="25" t="str">
        <f>IF(OR(E3818="",E3818="!!!",F3818="NEW"),"",COUNTBLANK(OFFSET(A$1,,,SUMPRODUCT(MAX(ROW(E$2:E3818)*(E3818=E$2:E3818)))))-COUNTBLANK(OFFSET(A$1,,,SUMPRODUCT(MAX(ROW(E$1:E3817)*(E2=E$1:E3817))))))</f>
        <v> </v>
      </c>
      <c r="K3818" s="25" t="str">
        <f>IF(OR(E3818="",E3818="!!!",F3818="NEW"),"",INDEX(J$1:J3817,SUMPRODUCT(MAX(ROW(E$1:E3817)*(E3818=E$1:E3817)))))</f>
        <v> </v>
      </c>
      <c r="L3818" s="26"/>
    </row>
    <row r="3819" spans="1:12">
      <c r="A3819" s="20" t="s">
        <v>2003</v>
      </c>
      <c r="E3819" s="21">
        <f>IF(D3819="?OLD","!!!","")</f>
        <v/>
      </c>
      <c r="F3819" s="22" t="str">
        <f>IF(OR(E3819="",E3819="!!!"),"",IF(NOT(ISNA(VLOOKUP(E3819,E$1:E3818,1,FALSE()))),"OLD",IF(AND(E3819&lt;&gt;"",E3819&lt;&gt;"!!!"),"NEW","")))</f>
        <v> </v>
      </c>
      <c r="G3819" s="23" t="str">
        <f>IF(OR(E3819="",E3819="!!!"),"",IF(OR(J3819=0,AND(J3819=1,K3819=1),AND(J3819=1,I3819="SBJ"),AND(J3819=1,I3819=0)),"?IN_FOCUS",IF(J3819&lt;=2,"?ACTIVATED",IF(J3819&lt;&gt;"","?FAMILIAR",IF(F3819="NEW",IF(ISNA(VLOOKUP(E3819,#REF!,1,FALSE())),"?TYPE_IDENTIFIABLE","?REFERENTIAL"),"_")))))</f>
        <v> </v>
      </c>
      <c r="H3819" s="24" t="str">
        <f>IF(J3819&lt;&gt;1,"",IF(I3819="SBJ","CB","?"))</f>
        <v> </v>
      </c>
      <c r="I3819" s="25" t="str">
        <f>IF(OR(E3819="",E3819="!!!",F3819="NEW"),"",INDEX(B3818:B$2,-1+SUMPRODUCT(MAX(ROW(E3818:E$2)*(E3819=E3818:E$2)))))</f>
        <v> </v>
      </c>
      <c r="J3819" s="25" t="str">
        <f>IF(OR(E3819="",E3819="!!!",F3819="NEW"),"",COUNTBLANK(OFFSET(A$1,,,SUMPRODUCT(MAX(ROW(E$2:E3819)*(E3819=E$2:E3819)))))-COUNTBLANK(OFFSET(A$1,,,SUMPRODUCT(MAX(ROW(E$1:E3818)*(E2=E$1:E3818))))))</f>
        <v> </v>
      </c>
      <c r="K3819" s="25" t="str">
        <f>IF(OR(E3819="",E3819="!!!",F3819="NEW"),"",INDEX(J$1:J3818,SUMPRODUCT(MAX(ROW(E$1:E3818)*(E3819=E$1:E3818)))))</f>
        <v> </v>
      </c>
      <c r="L3819" s="26"/>
    </row>
    <row r="3820" spans="1:12">
      <c r="A3820" s="20" t="s">
        <v>1022</v>
      </c>
      <c r="E3820" s="21">
        <f>IF(D3820="?OLD","!!!","")</f>
        <v/>
      </c>
      <c r="F3820" s="22" t="str">
        <f>IF(OR(E3820="",E3820="!!!"),"",IF(NOT(ISNA(VLOOKUP(E3820,E$1:E3819,1,FALSE()))),"OLD",IF(AND(E3820&lt;&gt;"",E3820&lt;&gt;"!!!"),"NEW","")))</f>
        <v> </v>
      </c>
      <c r="G3820" s="23" t="str">
        <f>IF(OR(E3820="",E3820="!!!"),"",IF(OR(J3820=0,AND(J3820=1,K3820=1),AND(J3820=1,I3820="SBJ"),AND(J3820=1,I3820=0)),"?IN_FOCUS",IF(J3820&lt;=2,"?ACTIVATED",IF(J3820&lt;&gt;"","?FAMILIAR",IF(F3820="NEW",IF(ISNA(VLOOKUP(E3820,#REF!,1,FALSE())),"?TYPE_IDENTIFIABLE","?REFERENTIAL"),"_")))))</f>
        <v> </v>
      </c>
      <c r="H3820" s="24" t="str">
        <f>IF(J3820&lt;&gt;1,"",IF(I3820="SBJ","CB","?"))</f>
        <v> </v>
      </c>
      <c r="I3820" s="25" t="str">
        <f>IF(OR(E3820="",E3820="!!!",F3820="NEW"),"",INDEX(B3819:B$2,-1+SUMPRODUCT(MAX(ROW(E3819:E$2)*(E3820=E3819:E$2)))))</f>
        <v> </v>
      </c>
      <c r="J3820" s="25" t="str">
        <f>IF(OR(E3820="",E3820="!!!",F3820="NEW"),"",COUNTBLANK(OFFSET(A$1,,,SUMPRODUCT(MAX(ROW(E$2:E3820)*(E3820=E$2:E3820)))))-COUNTBLANK(OFFSET(A$1,,,SUMPRODUCT(MAX(ROW(E$1:E3819)*(E2=E$1:E3819))))))</f>
        <v> </v>
      </c>
      <c r="K3820" s="25" t="str">
        <f>IF(OR(E3820="",E3820="!!!",F3820="NEW"),"",INDEX(J$1:J3819,SUMPRODUCT(MAX(ROW(E$1:E3819)*(E3820=E$1:E3819)))))</f>
        <v> </v>
      </c>
      <c r="L3820" s="26"/>
    </row>
    <row r="3821" spans="1:12">
      <c r="A3821" s="20"/>
    </row>
    <row r="3822" spans="1:12">
      <c r="A3822" s="20" t="s">
        <v>2004</v>
      </c>
    </row>
    <row r="3823" spans="1:12">
      <c r="A3823" s="20" t="s">
        <v>1115</v>
      </c>
      <c r="B3823" s="27" t="s">
        <v>1038</v>
      </c>
      <c r="C3823" s="27" t="s">
        <v>1013</v>
      </c>
      <c r="D3823" s="27" t="s">
        <v>1014</v>
      </c>
      <c r="E3823" s="21">
        <f>IF(D3823="?OLD","!!!","")</f>
        <v/>
      </c>
      <c r="F3823" s="22" t="str">
        <f>IF(OR(E3823="",E3823="!!!"),"",IF(NOT(ISNA(VLOOKUP(E3823,E$1:E3822,1,FALSE()))),"OLD",IF(AND(E3823&lt;&gt;"",E3823&lt;&gt;"!!!"),"NEW","")))</f>
        <v> </v>
      </c>
      <c r="G3823" s="23" t="str">
        <f>IF(OR(E3823="",E3823="!!!"),"",IF(OR(J3823=0,AND(J3823=1,K3823=1),AND(J3823=1,I3823="SBJ"),AND(J3823=1,I3823=0)),"?IN_FOCUS",IF(J3823&lt;=2,"?ACTIVATED",IF(J3823&lt;&gt;"","?FAMILIAR",IF(F3823="NEW",IF(ISNA(VLOOKUP(E3823,#REF!,1,FALSE())),"?TYPE_IDENTIFIABLE","?REFERENTIAL"),"_")))))</f>
        <v> </v>
      </c>
      <c r="H3823" s="24" t="str">
        <f>IF(J3823&lt;&gt;1,"",IF(I3823="SBJ","CB","?"))</f>
        <v> </v>
      </c>
      <c r="I3823" s="25" t="str">
        <f>IF(OR(E3823="",E3823="!!!",F3823="NEW"),"",INDEX(B3822:B$2,-1+SUMPRODUCT(MAX(ROW(E3822:E$2)*(E3823=E3822:E$2)))))</f>
        <v> </v>
      </c>
      <c r="J3823" s="25" t="str">
        <f>IF(OR(E3823="",E3823="!!!",F3823="NEW"),"",COUNTBLANK(OFFSET(A$1,,,SUMPRODUCT(MAX(ROW(E$2:E3823)*(E3823=E$2:E3823)))))-COUNTBLANK(OFFSET(A$1,,,SUMPRODUCT(MAX(ROW(E$1:E3822)*(E2=E$1:E3822))))))</f>
        <v> </v>
      </c>
      <c r="K3823" s="25" t="str">
        <f>IF(OR(E3823="",E3823="!!!",F3823="NEW"),"",INDEX(J$1:J3822,SUMPRODUCT(MAX(ROW(E$1:E3822)*(E3823=E$1:E3822)))))</f>
        <v> </v>
      </c>
      <c r="L3823" s="26"/>
    </row>
    <row r="3824" spans="1:12">
      <c r="A3824" s="20" t="s">
        <v>1998</v>
      </c>
      <c r="E3824" s="21">
        <f>IF(D3824="?OLD","!!!","")</f>
        <v/>
      </c>
      <c r="F3824" s="22" t="str">
        <f>IF(OR(E3824="",E3824="!!!"),"",IF(NOT(ISNA(VLOOKUP(E3824,E$1:E3823,1,FALSE()))),"OLD",IF(AND(E3824&lt;&gt;"",E3824&lt;&gt;"!!!"),"NEW","")))</f>
        <v> </v>
      </c>
      <c r="G3824" s="23" t="str">
        <f>IF(OR(E3824="",E3824="!!!"),"",IF(OR(J3824=0,AND(J3824=1,K3824=1),AND(J3824=1,I3824="SBJ"),AND(J3824=1,I3824=0)),"?IN_FOCUS",IF(J3824&lt;=2,"?ACTIVATED",IF(J3824&lt;&gt;"","?FAMILIAR",IF(F3824="NEW",IF(ISNA(VLOOKUP(E3824,#REF!,1,FALSE())),"?TYPE_IDENTIFIABLE","?REFERENTIAL"),"_")))))</f>
        <v> </v>
      </c>
      <c r="H3824" s="24" t="str">
        <f>IF(J3824&lt;&gt;1,"",IF(I3824="SBJ","CB","?"))</f>
        <v> </v>
      </c>
      <c r="I3824" s="25" t="str">
        <f>IF(OR(E3824="",E3824="!!!",F3824="NEW"),"",INDEX(B3823:B$2,-1+SUMPRODUCT(MAX(ROW(E3823:E$2)*(E3824=E3823:E$2)))))</f>
        <v> </v>
      </c>
      <c r="J3824" s="25" t="str">
        <f>IF(OR(E3824="",E3824="!!!",F3824="NEW"),"",COUNTBLANK(OFFSET(A$1,,,SUMPRODUCT(MAX(ROW(E$2:E3824)*(E3824=E$2:E3824)))))-COUNTBLANK(OFFSET(A$1,,,SUMPRODUCT(MAX(ROW(E$1:E3823)*(E2=E$1:E3823))))))</f>
        <v> </v>
      </c>
      <c r="K3824" s="25" t="str">
        <f>IF(OR(E3824="",E3824="!!!",F3824="NEW"),"",INDEX(J$1:J3823,SUMPRODUCT(MAX(ROW(E$1:E3823)*(E3824=E$1:E3823)))))</f>
        <v> </v>
      </c>
      <c r="L3824" s="26"/>
    </row>
    <row r="3825" spans="1:12">
      <c r="A3825" s="20" t="s">
        <v>1079</v>
      </c>
      <c r="E3825" s="21">
        <f>IF(D3825="?OLD","!!!","")</f>
        <v/>
      </c>
      <c r="F3825" s="22" t="str">
        <f>IF(OR(E3825="",E3825="!!!"),"",IF(NOT(ISNA(VLOOKUP(E3825,E$1:E3824,1,FALSE()))),"OLD",IF(AND(E3825&lt;&gt;"",E3825&lt;&gt;"!!!"),"NEW","")))</f>
        <v> </v>
      </c>
      <c r="G3825" s="23" t="str">
        <f>IF(OR(E3825="",E3825="!!!"),"",IF(OR(J3825=0,AND(J3825=1,K3825=1),AND(J3825=1,I3825="SBJ"),AND(J3825=1,I3825=0)),"?IN_FOCUS",IF(J3825&lt;=2,"?ACTIVATED",IF(J3825&lt;&gt;"","?FAMILIAR",IF(F3825="NEW",IF(ISNA(VLOOKUP(E3825,#REF!,1,FALSE())),"?TYPE_IDENTIFIABLE","?REFERENTIAL"),"_")))))</f>
        <v> </v>
      </c>
      <c r="H3825" s="24" t="str">
        <f>IF(J3825&lt;&gt;1,"",IF(I3825="SBJ","CB","?"))</f>
        <v> </v>
      </c>
      <c r="I3825" s="25" t="str">
        <f>IF(OR(E3825="",E3825="!!!",F3825="NEW"),"",INDEX(B3824:B$2,-1+SUMPRODUCT(MAX(ROW(E3824:E$2)*(E3825=E3824:E$2)))))</f>
        <v> </v>
      </c>
      <c r="J3825" s="25" t="str">
        <f>IF(OR(E3825="",E3825="!!!",F3825="NEW"),"",COUNTBLANK(OFFSET(A$1,,,SUMPRODUCT(MAX(ROW(E$2:E3825)*(E3825=E$2:E3825)))))-COUNTBLANK(OFFSET(A$1,,,SUMPRODUCT(MAX(ROW(E$1:E3824)*(E2=E$1:E3824))))))</f>
        <v> </v>
      </c>
      <c r="K3825" s="25" t="str">
        <f>IF(OR(E3825="",E3825="!!!",F3825="NEW"),"",INDEX(J$1:J3824,SUMPRODUCT(MAX(ROW(E$1:E3824)*(E3825=E$1:E3824)))))</f>
        <v> </v>
      </c>
      <c r="L3825" s="26"/>
    </row>
    <row r="3826" spans="1:12">
      <c r="A3826" s="20" t="s">
        <v>60</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t="s">
        <v>2005</v>
      </c>
      <c r="B3827" s="27" t="s">
        <v>1026</v>
      </c>
      <c r="C3827" s="27" t="s">
        <v>1094</v>
      </c>
      <c r="D3827" s="27" t="s">
        <v>1014</v>
      </c>
      <c r="E3827" s="21">
        <f>IF(D3827="?OLD","!!!","")</f>
        <v/>
      </c>
      <c r="F3827" s="22" t="str">
        <f>IF(OR(E3827="",E3827="!!!"),"",IF(NOT(ISNA(VLOOKUP(E3827,E$1:E3826,1,FALSE()))),"OLD",IF(AND(E3827&lt;&gt;"",E3827&lt;&gt;"!!!"),"NEW","")))</f>
        <v> </v>
      </c>
      <c r="G3827" s="23" t="str">
        <f>IF(OR(E3827="",E3827="!!!"),"",IF(OR(J3827=0,AND(J3827=1,K3827=1),AND(J3827=1,I3827="SBJ"),AND(J3827=1,I3827=0)),"?IN_FOCUS",IF(J3827&lt;=2,"?ACTIVATED",IF(J3827&lt;&gt;"","?FAMILIAR",IF(F3827="NEW",IF(ISNA(VLOOKUP(E3827,#REF!,1,FALSE())),"?TYPE_IDENTIFIABLE","?REFERENTIAL"),"_")))))</f>
        <v> </v>
      </c>
      <c r="H3827" s="24" t="str">
        <f>IF(J3827&lt;&gt;1,"",IF(I3827="SBJ","CB","?"))</f>
        <v> </v>
      </c>
      <c r="I3827" s="25" t="str">
        <f>IF(OR(E3827="",E3827="!!!",F3827="NEW"),"",INDEX(B3826:B$2,-1+SUMPRODUCT(MAX(ROW(E3826:E$2)*(E3827=E3826:E$2)))))</f>
        <v> </v>
      </c>
      <c r="J3827" s="25" t="str">
        <f>IF(OR(E3827="",E3827="!!!",F3827="NEW"),"",COUNTBLANK(OFFSET(A$1,,,SUMPRODUCT(MAX(ROW(E$2:E3827)*(E3827=E$2:E3827)))))-COUNTBLANK(OFFSET(A$1,,,SUMPRODUCT(MAX(ROW(E$1:E3826)*(E2=E$1:E3826))))))</f>
        <v> </v>
      </c>
      <c r="K3827" s="25" t="str">
        <f>IF(OR(E3827="",E3827="!!!",F3827="NEW"),"",INDEX(J$1:J3826,SUMPRODUCT(MAX(ROW(E$1:E3826)*(E3827=E$1:E3826)))))</f>
        <v> </v>
      </c>
      <c r="L3827" s="26"/>
    </row>
    <row r="3828" spans="1:12">
      <c r="A3828" s="20" t="s">
        <v>2006</v>
      </c>
      <c r="E3828" s="21">
        <f>IF(D3828="?OLD","!!!","")</f>
        <v/>
      </c>
      <c r="F3828" s="22" t="str">
        <f>IF(OR(E3828="",E3828="!!!"),"",IF(NOT(ISNA(VLOOKUP(E3828,E$1:E3827,1,FALSE()))),"OLD",IF(AND(E3828&lt;&gt;"",E3828&lt;&gt;"!!!"),"NEW","")))</f>
        <v> </v>
      </c>
      <c r="G3828" s="23" t="str">
        <f>IF(OR(E3828="",E3828="!!!"),"",IF(OR(J3828=0,AND(J3828=1,K3828=1),AND(J3828=1,I3828="SBJ"),AND(J3828=1,I3828=0)),"?IN_FOCUS",IF(J3828&lt;=2,"?ACTIVATED",IF(J3828&lt;&gt;"","?FAMILIAR",IF(F3828="NEW",IF(ISNA(VLOOKUP(E3828,#REF!,1,FALSE())),"?TYPE_IDENTIFIABLE","?REFERENTIAL"),"_")))))</f>
        <v> </v>
      </c>
      <c r="H3828" s="24" t="str">
        <f>IF(J3828&lt;&gt;1,"",IF(I3828="SBJ","CB","?"))</f>
        <v> </v>
      </c>
      <c r="I3828" s="25" t="str">
        <f>IF(OR(E3828="",E3828="!!!",F3828="NEW"),"",INDEX(B3827:B$2,-1+SUMPRODUCT(MAX(ROW(E3827:E$2)*(E3828=E3827:E$2)))))</f>
        <v> </v>
      </c>
      <c r="J3828" s="25" t="str">
        <f>IF(OR(E3828="",E3828="!!!",F3828="NEW"),"",COUNTBLANK(OFFSET(A$1,,,SUMPRODUCT(MAX(ROW(E$2:E3828)*(E3828=E$2:E3828)))))-COUNTBLANK(OFFSET(A$1,,,SUMPRODUCT(MAX(ROW(E$1:E3827)*(E2=E$1:E3827))))))</f>
        <v> </v>
      </c>
      <c r="K3828" s="25" t="str">
        <f>IF(OR(E3828="",E3828="!!!",F3828="NEW"),"",INDEX(J$1:J3827,SUMPRODUCT(MAX(ROW(E$1:E3827)*(E3828=E$1:E3827)))))</f>
        <v> </v>
      </c>
      <c r="L3828" s="26"/>
    </row>
    <row r="3829" spans="1:12">
      <c r="A3829" s="20" t="s">
        <v>1027</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t="s">
        <v>1589</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1032</v>
      </c>
      <c r="B3831" s="27" t="s">
        <v>1033</v>
      </c>
      <c r="C3831" s="27" t="s">
        <v>1013</v>
      </c>
      <c r="D3831" s="27" t="s">
        <v>1014</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t="s">
        <v>1998</v>
      </c>
      <c r="E3832" s="21">
        <f>IF(D3832="?OLD","!!!","")</f>
        <v/>
      </c>
      <c r="F3832" s="22" t="str">
        <f>IF(OR(E3832="",E3832="!!!"),"",IF(NOT(ISNA(VLOOKUP(E3832,E$1:E3831,1,FALSE()))),"OLD",IF(AND(E3832&lt;&gt;"",E3832&lt;&gt;"!!!"),"NEW","")))</f>
        <v> </v>
      </c>
      <c r="G3832" s="23" t="str">
        <f>IF(OR(E3832="",E3832="!!!"),"",IF(OR(J3832=0,AND(J3832=1,K3832=1),AND(J3832=1,I3832="SBJ"),AND(J3832=1,I3832=0)),"?IN_FOCUS",IF(J3832&lt;=2,"?ACTIVATED",IF(J3832&lt;&gt;"","?FAMILIAR",IF(F3832="NEW",IF(ISNA(VLOOKUP(E3832,#REF!,1,FALSE())),"?TYPE_IDENTIFIABLE","?REFERENTIAL"),"_")))))</f>
        <v> </v>
      </c>
      <c r="H3832" s="24" t="str">
        <f>IF(J3832&lt;&gt;1,"",IF(I3832="SBJ","CB","?"))</f>
        <v> </v>
      </c>
      <c r="I3832" s="25" t="str">
        <f>IF(OR(E3832="",E3832="!!!",F3832="NEW"),"",INDEX(B3831:B$2,-1+SUMPRODUCT(MAX(ROW(E3831:E$2)*(E3832=E3831:E$2)))))</f>
        <v> </v>
      </c>
      <c r="J3832" s="25" t="str">
        <f>IF(OR(E3832="",E3832="!!!",F3832="NEW"),"",COUNTBLANK(OFFSET(A$1,,,SUMPRODUCT(MAX(ROW(E$2:E3832)*(E3832=E$2:E3832)))))-COUNTBLANK(OFFSET(A$1,,,SUMPRODUCT(MAX(ROW(E$1:E3831)*(E2=E$1:E3831))))))</f>
        <v> </v>
      </c>
      <c r="K3832" s="25" t="str">
        <f>IF(OR(E3832="",E3832="!!!",F3832="NEW"),"",INDEX(J$1:J3831,SUMPRODUCT(MAX(ROW(E$1:E3831)*(E3832=E$1:E3831)))))</f>
        <v> </v>
      </c>
      <c r="L3832" s="26"/>
    </row>
    <row r="3833" spans="1:12">
      <c r="A3833" s="20" t="s">
        <v>60</v>
      </c>
      <c r="E3833" s="21">
        <f>IF(D3833="?OLD","!!!","")</f>
        <v/>
      </c>
      <c r="F3833" s="22" t="str">
        <f>IF(OR(E3833="",E3833="!!!"),"",IF(NOT(ISNA(VLOOKUP(E3833,E$1:E3832,1,FALSE()))),"OLD",IF(AND(E3833&lt;&gt;"",E3833&lt;&gt;"!!!"),"NEW","")))</f>
        <v> </v>
      </c>
      <c r="G3833" s="23" t="str">
        <f>IF(OR(E3833="",E3833="!!!"),"",IF(OR(J3833=0,AND(J3833=1,K3833=1),AND(J3833=1,I3833="SBJ"),AND(J3833=1,I3833=0)),"?IN_FOCUS",IF(J3833&lt;=2,"?ACTIVATED",IF(J3833&lt;&gt;"","?FAMILIAR",IF(F3833="NEW",IF(ISNA(VLOOKUP(E3833,#REF!,1,FALSE())),"?TYPE_IDENTIFIABLE","?REFERENTIAL"),"_")))))</f>
        <v> </v>
      </c>
      <c r="H3833" s="24" t="str">
        <f>IF(J3833&lt;&gt;1,"",IF(I3833="SBJ","CB","?"))</f>
        <v> </v>
      </c>
      <c r="I3833" s="25" t="str">
        <f>IF(OR(E3833="",E3833="!!!",F3833="NEW"),"",INDEX(B3832:B$2,-1+SUMPRODUCT(MAX(ROW(E3832:E$2)*(E3833=E3832:E$2)))))</f>
        <v> </v>
      </c>
      <c r="J3833" s="25" t="str">
        <f>IF(OR(E3833="",E3833="!!!",F3833="NEW"),"",COUNTBLANK(OFFSET(A$1,,,SUMPRODUCT(MAX(ROW(E$2:E3833)*(E3833=E$2:E3833)))))-COUNTBLANK(OFFSET(A$1,,,SUMPRODUCT(MAX(ROW(E$1:E3832)*(E2=E$1:E3832))))))</f>
        <v> </v>
      </c>
      <c r="K3833" s="25" t="str">
        <f>IF(OR(E3833="",E3833="!!!",F3833="NEW"),"",INDEX(J$1:J3832,SUMPRODUCT(MAX(ROW(E$1:E3832)*(E3833=E$1:E3832)))))</f>
        <v> </v>
      </c>
      <c r="L3833" s="26"/>
    </row>
    <row r="3834" spans="1:12">
      <c r="A3834" s="20" t="s">
        <v>2003</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t="s">
        <v>1022</v>
      </c>
      <c r="E3835" s="21">
        <f>IF(D3835="?OLD","!!!","")</f>
        <v/>
      </c>
      <c r="F3835" s="22" t="str">
        <f>IF(OR(E3835="",E3835="!!!"),"",IF(NOT(ISNA(VLOOKUP(E3835,E$1:E3834,1,FALSE()))),"OLD",IF(AND(E3835&lt;&gt;"",E3835&lt;&gt;"!!!"),"NEW","")))</f>
        <v> </v>
      </c>
      <c r="G3835" s="23" t="str">
        <f>IF(OR(E3835="",E3835="!!!"),"",IF(OR(J3835=0,AND(J3835=1,K3835=1),AND(J3835=1,I3835="SBJ"),AND(J3835=1,I3835=0)),"?IN_FOCUS",IF(J3835&lt;=2,"?ACTIVATED",IF(J3835&lt;&gt;"","?FAMILIAR",IF(F3835="NEW",IF(ISNA(VLOOKUP(E3835,#REF!,1,FALSE())),"?TYPE_IDENTIFIABLE","?REFERENTIAL"),"_")))))</f>
        <v> </v>
      </c>
      <c r="H3835" s="24" t="str">
        <f>IF(J3835&lt;&gt;1,"",IF(I3835="SBJ","CB","?"))</f>
        <v> </v>
      </c>
      <c r="I3835" s="25" t="str">
        <f>IF(OR(E3835="",E3835="!!!",F3835="NEW"),"",INDEX(B3834:B$2,-1+SUMPRODUCT(MAX(ROW(E3834:E$2)*(E3835=E3834:E$2)))))</f>
        <v> </v>
      </c>
      <c r="J3835" s="25" t="str">
        <f>IF(OR(E3835="",E3835="!!!",F3835="NEW"),"",COUNTBLANK(OFFSET(A$1,,,SUMPRODUCT(MAX(ROW(E$2:E3835)*(E3835=E$2:E3835)))))-COUNTBLANK(OFFSET(A$1,,,SUMPRODUCT(MAX(ROW(E$1:E3834)*(E2=E$1:E3834))))))</f>
        <v> </v>
      </c>
      <c r="K3835" s="25" t="str">
        <f>IF(OR(E3835="",E3835="!!!",F3835="NEW"),"",INDEX(J$1:J3834,SUMPRODUCT(MAX(ROW(E$1:E3834)*(E3835=E$1:E3834)))))</f>
        <v> </v>
      </c>
      <c r="L3835" s="26"/>
    </row>
    <row r="3836" spans="1:12">
      <c r="A3836" s="20"/>
    </row>
    <row r="3837" spans="1:12">
      <c r="A3837" s="20" t="s">
        <v>2007</v>
      </c>
    </row>
    <row r="3838" spans="1:12">
      <c r="A3838" s="20" t="s">
        <v>1036</v>
      </c>
      <c r="E3838" s="21">
        <f>IF(D3838="?OLD","!!!","")</f>
        <v/>
      </c>
      <c r="F3838" s="22" t="str">
        <f>IF(OR(E3838="",E3838="!!!"),"",IF(NOT(ISNA(VLOOKUP(E3838,E$1:E3837,1,FALSE()))),"OLD",IF(AND(E3838&lt;&gt;"",E3838&lt;&gt;"!!!"),"NEW","")))</f>
        <v> </v>
      </c>
      <c r="G3838" s="23" t="str">
        <f>IF(OR(E3838="",E3838="!!!"),"",IF(OR(J3838=0,AND(J3838=1,K3838=1),AND(J3838=1,I3838="SBJ"),AND(J3838=1,I3838=0)),"?IN_FOCUS",IF(J3838&lt;=2,"?ACTIVATED",IF(J3838&lt;&gt;"","?FAMILIAR",IF(F3838="NEW",IF(ISNA(VLOOKUP(E3838,#REF!,1,FALSE())),"?TYPE_IDENTIFIABLE","?REFERENTIAL"),"_")))))</f>
        <v> </v>
      </c>
      <c r="H3838" s="24" t="str">
        <f>IF(J3838&lt;&gt;1,"",IF(I3838="SBJ","CB","?"))</f>
        <v> </v>
      </c>
      <c r="I3838" s="25" t="str">
        <f>IF(OR(E3838="",E3838="!!!",F3838="NEW"),"",INDEX(B3837:B$2,-1+SUMPRODUCT(MAX(ROW(E3837:E$2)*(E3838=E3837:E$2)))))</f>
        <v> </v>
      </c>
      <c r="J3838" s="25" t="str">
        <f>IF(OR(E3838="",E3838="!!!",F3838="NEW"),"",COUNTBLANK(OFFSET(A$1,,,SUMPRODUCT(MAX(ROW(E$2:E3838)*(E3838=E$2:E3838)))))-COUNTBLANK(OFFSET(A$1,,,SUMPRODUCT(MAX(ROW(E$1:E3837)*(E2=E$1:E3837))))))</f>
        <v> </v>
      </c>
      <c r="K3838" s="25" t="str">
        <f>IF(OR(E3838="",E3838="!!!",F3838="NEW"),"",INDEX(J$1:J3837,SUMPRODUCT(MAX(ROW(E$1:E3837)*(E3838=E$1:E3837)))))</f>
        <v> </v>
      </c>
      <c r="L3838" s="26"/>
    </row>
    <row r="3839" spans="1:12">
      <c r="A3839" s="20" t="s">
        <v>1076</v>
      </c>
      <c r="B3839" s="27" t="s">
        <v>1038</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t="s">
        <v>1057</v>
      </c>
      <c r="B3840" s="27" t="s">
        <v>1018</v>
      </c>
      <c r="C3840" s="27" t="s">
        <v>1013</v>
      </c>
      <c r="D3840" s="27" t="s">
        <v>1014</v>
      </c>
      <c r="E3840" s="21">
        <f>IF(D3840="?OLD","!!!","")</f>
        <v/>
      </c>
      <c r="F3840" s="22" t="str">
        <f>IF(OR(E3840="",E3840="!!!"),"",IF(NOT(ISNA(VLOOKUP(E3840,E$1:E3839,1,FALSE()))),"OLD",IF(AND(E3840&lt;&gt;"",E3840&lt;&gt;"!!!"),"NEW","")))</f>
        <v> </v>
      </c>
      <c r="G3840" s="23" t="str">
        <f>IF(OR(E3840="",E3840="!!!"),"",IF(OR(J3840=0,AND(J3840=1,K3840=1),AND(J3840=1,I3840="SBJ"),AND(J3840=1,I3840=0)),"?IN_FOCUS",IF(J3840&lt;=2,"?ACTIVATED",IF(J3840&lt;&gt;"","?FAMILIAR",IF(F3840="NEW",IF(ISNA(VLOOKUP(E3840,#REF!,1,FALSE())),"?TYPE_IDENTIFIABLE","?REFERENTIAL"),"_")))))</f>
        <v> </v>
      </c>
      <c r="H3840" s="24" t="str">
        <f>IF(J3840&lt;&gt;1,"",IF(I3840="SBJ","CB","?"))</f>
        <v> </v>
      </c>
      <c r="I3840" s="25" t="str">
        <f>IF(OR(E3840="",E3840="!!!",F3840="NEW"),"",INDEX(B3839:B$2,-1+SUMPRODUCT(MAX(ROW(E3839:E$2)*(E3840=E3839:E$2)))))</f>
        <v> </v>
      </c>
      <c r="J3840" s="25" t="str">
        <f>IF(OR(E3840="",E3840="!!!",F3840="NEW"),"",COUNTBLANK(OFFSET(A$1,,,SUMPRODUCT(MAX(ROW(E$2:E3840)*(E3840=E$2:E3840)))))-COUNTBLANK(OFFSET(A$1,,,SUMPRODUCT(MAX(ROW(E$1:E3839)*(E2=E$1:E3839))))))</f>
        <v> </v>
      </c>
      <c r="K3840" s="25" t="str">
        <f>IF(OR(E3840="",E3840="!!!",F3840="NEW"),"",INDEX(J$1:J3839,SUMPRODUCT(MAX(ROW(E$1:E3839)*(E3840=E$1:E3839)))))</f>
        <v> </v>
      </c>
      <c r="L3840" s="26"/>
    </row>
    <row r="3841" spans="1:12">
      <c r="A3841" s="20" t="s">
        <v>1050</v>
      </c>
      <c r="E3841" s="21">
        <f>IF(D3841="?OLD","!!!","")</f>
        <v/>
      </c>
      <c r="F3841" s="22" t="str">
        <f>IF(OR(E3841="",E3841="!!!"),"",IF(NOT(ISNA(VLOOKUP(E3841,E$1:E3840,1,FALSE()))),"OLD",IF(AND(E3841&lt;&gt;"",E3841&lt;&gt;"!!!"),"NEW","")))</f>
        <v> </v>
      </c>
      <c r="G3841" s="23" t="str">
        <f>IF(OR(E3841="",E3841="!!!"),"",IF(OR(J3841=0,AND(J3841=1,K3841=1),AND(J3841=1,I3841="SBJ"),AND(J3841=1,I3841=0)),"?IN_FOCUS",IF(J3841&lt;=2,"?ACTIVATED",IF(J3841&lt;&gt;"","?FAMILIAR",IF(F3841="NEW",IF(ISNA(VLOOKUP(E3841,#REF!,1,FALSE())),"?TYPE_IDENTIFIABLE","?REFERENTIAL"),"_")))))</f>
        <v> </v>
      </c>
      <c r="H3841" s="24" t="str">
        <f>IF(J3841&lt;&gt;1,"",IF(I3841="SBJ","CB","?"))</f>
        <v> </v>
      </c>
      <c r="I3841" s="25" t="str">
        <f>IF(OR(E3841="",E3841="!!!",F3841="NEW"),"",INDEX(B3840:B$2,-1+SUMPRODUCT(MAX(ROW(E3840:E$2)*(E3841=E3840:E$2)))))</f>
        <v> </v>
      </c>
      <c r="J3841" s="25" t="str">
        <f>IF(OR(E3841="",E3841="!!!",F3841="NEW"),"",COUNTBLANK(OFFSET(A$1,,,SUMPRODUCT(MAX(ROW(E$2:E3841)*(E3841=E$2:E3841)))))-COUNTBLANK(OFFSET(A$1,,,SUMPRODUCT(MAX(ROW(E$1:E3840)*(E2=E$1:E3840))))))</f>
        <v> </v>
      </c>
      <c r="K3841" s="25" t="str">
        <f>IF(OR(E3841="",E3841="!!!",F3841="NEW"),"",INDEX(J$1:J3840,SUMPRODUCT(MAX(ROW(E$1:E3840)*(E3841=E$1:E3840)))))</f>
        <v> </v>
      </c>
      <c r="L3841" s="26"/>
    </row>
    <row r="3842" spans="1:12">
      <c r="A3842" s="20" t="s">
        <v>495</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1172</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1041</v>
      </c>
      <c r="B3844" s="27" t="s">
        <v>1067</v>
      </c>
      <c r="C3844" s="27" t="s">
        <v>1108</v>
      </c>
      <c r="D3844" s="27" t="s">
        <v>1014</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1126</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1133</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t="s">
        <v>1699</v>
      </c>
      <c r="E3847" s="21">
        <f>IF(D3847="?OLD","!!!","")</f>
        <v/>
      </c>
      <c r="F3847" s="22" t="str">
        <f>IF(OR(E3847="",E3847="!!!"),"",IF(NOT(ISNA(VLOOKUP(E3847,E$1:E3846,1,FALSE()))),"OLD",IF(AND(E3847&lt;&gt;"",E3847&lt;&gt;"!!!"),"NEW","")))</f>
        <v> </v>
      </c>
      <c r="G3847" s="23" t="str">
        <f>IF(OR(E3847="",E3847="!!!"),"",IF(OR(J3847=0,AND(J3847=1,K3847=1),AND(J3847=1,I3847="SBJ"),AND(J3847=1,I3847=0)),"?IN_FOCUS",IF(J3847&lt;=2,"?ACTIVATED",IF(J3847&lt;&gt;"","?FAMILIAR",IF(F3847="NEW",IF(ISNA(VLOOKUP(E3847,#REF!,1,FALSE())),"?TYPE_IDENTIFIABLE","?REFERENTIAL"),"_")))))</f>
        <v> </v>
      </c>
      <c r="H3847" s="24" t="str">
        <f>IF(J3847&lt;&gt;1,"",IF(I3847="SBJ","CB","?"))</f>
        <v> </v>
      </c>
      <c r="I3847" s="25" t="str">
        <f>IF(OR(E3847="",E3847="!!!",F3847="NEW"),"",INDEX(B3846:B$2,-1+SUMPRODUCT(MAX(ROW(E3846:E$2)*(E3847=E3846:E$2)))))</f>
        <v> </v>
      </c>
      <c r="J3847" s="25" t="str">
        <f>IF(OR(E3847="",E3847="!!!",F3847="NEW"),"",COUNTBLANK(OFFSET(A$1,,,SUMPRODUCT(MAX(ROW(E$2:E3847)*(E3847=E$2:E3847)))))-COUNTBLANK(OFFSET(A$1,,,SUMPRODUCT(MAX(ROW(E$1:E3846)*(E2=E$1:E3846))))))</f>
        <v> </v>
      </c>
      <c r="K3847" s="25" t="str">
        <f>IF(OR(E3847="",E3847="!!!",F3847="NEW"),"",INDEX(J$1:J3846,SUMPRODUCT(MAX(ROW(E$1:E3846)*(E3847=E$1:E3846)))))</f>
        <v> </v>
      </c>
      <c r="L3847" s="26"/>
    </row>
    <row r="3848" spans="1:12">
      <c r="A3848" s="20" t="s">
        <v>810</v>
      </c>
      <c r="E3848" s="21">
        <f>IF(D3848="?OLD","!!!","")</f>
        <v/>
      </c>
      <c r="F3848" s="22" t="str">
        <f>IF(OR(E3848="",E3848="!!!"),"",IF(NOT(ISNA(VLOOKUP(E3848,E$1:E3847,1,FALSE()))),"OLD",IF(AND(E3848&lt;&gt;"",E3848&lt;&gt;"!!!"),"NEW","")))</f>
        <v> </v>
      </c>
      <c r="G3848" s="23" t="str">
        <f>IF(OR(E3848="",E3848="!!!"),"",IF(OR(J3848=0,AND(J3848=1,K3848=1),AND(J3848=1,I3848="SBJ"),AND(J3848=1,I3848=0)),"?IN_FOCUS",IF(J3848&lt;=2,"?ACTIVATED",IF(J3848&lt;&gt;"","?FAMILIAR",IF(F3848="NEW",IF(ISNA(VLOOKUP(E3848,#REF!,1,FALSE())),"?TYPE_IDENTIFIABLE","?REFERENTIAL"),"_")))))</f>
        <v> </v>
      </c>
      <c r="H3848" s="24" t="str">
        <f>IF(J3848&lt;&gt;1,"",IF(I3848="SBJ","CB","?"))</f>
        <v> </v>
      </c>
      <c r="I3848" s="25" t="str">
        <f>IF(OR(E3848="",E3848="!!!",F3848="NEW"),"",INDEX(B3847:B$2,-1+SUMPRODUCT(MAX(ROW(E3847:E$2)*(E3848=E3847:E$2)))))</f>
        <v> </v>
      </c>
      <c r="J3848" s="25" t="str">
        <f>IF(OR(E3848="",E3848="!!!",F3848="NEW"),"",COUNTBLANK(OFFSET(A$1,,,SUMPRODUCT(MAX(ROW(E$2:E3848)*(E3848=E$2:E3848)))))-COUNTBLANK(OFFSET(A$1,,,SUMPRODUCT(MAX(ROW(E$1:E3847)*(E2=E$1:E3847))))))</f>
        <v> </v>
      </c>
      <c r="K3848" s="25" t="str">
        <f>IF(OR(E3848="",E3848="!!!",F3848="NEW"),"",INDEX(J$1:J3847,SUMPRODUCT(MAX(ROW(E$1:E3847)*(E3848=E$1:E3847)))))</f>
        <v> </v>
      </c>
      <c r="L3848" s="26"/>
    </row>
    <row r="3849" spans="1:12">
      <c r="A3849" s="20" t="s">
        <v>1017</v>
      </c>
      <c r="B3849" s="27" t="s">
        <v>1038</v>
      </c>
      <c r="C3849" s="27" t="s">
        <v>1013</v>
      </c>
      <c r="D3849" s="27" t="s">
        <v>1014</v>
      </c>
      <c r="E3849" s="21">
        <f>IF(D3849="?OLD","!!!","")</f>
        <v/>
      </c>
      <c r="F3849" s="22" t="str">
        <f>IF(OR(E3849="",E3849="!!!"),"",IF(NOT(ISNA(VLOOKUP(E3849,E$1:E3848,1,FALSE()))),"OLD",IF(AND(E3849&lt;&gt;"",E3849&lt;&gt;"!!!"),"NEW","")))</f>
        <v> </v>
      </c>
      <c r="G3849" s="23" t="str">
        <f>IF(OR(E3849="",E3849="!!!"),"",IF(OR(J3849=0,AND(J3849=1,K3849=1),AND(J3849=1,I3849="SBJ"),AND(J3849=1,I3849=0)),"?IN_FOCUS",IF(J3849&lt;=2,"?ACTIVATED",IF(J3849&lt;&gt;"","?FAMILIAR",IF(F3849="NEW",IF(ISNA(VLOOKUP(E3849,#REF!,1,FALSE())),"?TYPE_IDENTIFIABLE","?REFERENTIAL"),"_")))))</f>
        <v> </v>
      </c>
      <c r="H3849" s="24" t="str">
        <f>IF(J3849&lt;&gt;1,"",IF(I3849="SBJ","CB","?"))</f>
        <v> </v>
      </c>
      <c r="I3849" s="25" t="str">
        <f>IF(OR(E3849="",E3849="!!!",F3849="NEW"),"",INDEX(B3848:B$2,-1+SUMPRODUCT(MAX(ROW(E3848:E$2)*(E3849=E3848:E$2)))))</f>
        <v> </v>
      </c>
      <c r="J3849" s="25" t="str">
        <f>IF(OR(E3849="",E3849="!!!",F3849="NEW"),"",COUNTBLANK(OFFSET(A$1,,,SUMPRODUCT(MAX(ROW(E$2:E3849)*(E3849=E$2:E3849)))))-COUNTBLANK(OFFSET(A$1,,,SUMPRODUCT(MAX(ROW(E$1:E3848)*(E2=E$1:E3848))))))</f>
        <v> </v>
      </c>
      <c r="K3849" s="25" t="str">
        <f>IF(OR(E3849="",E3849="!!!",F3849="NEW"),"",INDEX(J$1:J3848,SUMPRODUCT(MAX(ROW(E$1:E3848)*(E3849=E$1:E3848)))))</f>
        <v> </v>
      </c>
      <c r="L3849" s="26"/>
    </row>
    <row r="3850" spans="1:12">
      <c r="A3850" s="20" t="s">
        <v>2008</v>
      </c>
      <c r="E3850" s="21">
        <f>IF(D3850="?OLD","!!!","")</f>
        <v/>
      </c>
      <c r="F3850" s="22" t="str">
        <f>IF(OR(E3850="",E3850="!!!"),"",IF(NOT(ISNA(VLOOKUP(E3850,E$1:E3849,1,FALSE()))),"OLD",IF(AND(E3850&lt;&gt;"",E3850&lt;&gt;"!!!"),"NEW","")))</f>
        <v> </v>
      </c>
      <c r="G3850" s="23" t="str">
        <f>IF(OR(E3850="",E3850="!!!"),"",IF(OR(J3850=0,AND(J3850=1,K3850=1),AND(J3850=1,I3850="SBJ"),AND(J3850=1,I3850=0)),"?IN_FOCUS",IF(J3850&lt;=2,"?ACTIVATED",IF(J3850&lt;&gt;"","?FAMILIAR",IF(F3850="NEW",IF(ISNA(VLOOKUP(E3850,#REF!,1,FALSE())),"?TYPE_IDENTIFIABLE","?REFERENTIAL"),"_")))))</f>
        <v> </v>
      </c>
      <c r="H3850" s="24" t="str">
        <f>IF(J3850&lt;&gt;1,"",IF(I3850="SBJ","CB","?"))</f>
        <v> </v>
      </c>
      <c r="I3850" s="25" t="str">
        <f>IF(OR(E3850="",E3850="!!!",F3850="NEW"),"",INDEX(B3849:B$2,-1+SUMPRODUCT(MAX(ROW(E3849:E$2)*(E3850=E3849:E$2)))))</f>
        <v> </v>
      </c>
      <c r="J3850" s="25" t="str">
        <f>IF(OR(E3850="",E3850="!!!",F3850="NEW"),"",COUNTBLANK(OFFSET(A$1,,,SUMPRODUCT(MAX(ROW(E$2:E3850)*(E3850=E$2:E3850)))))-COUNTBLANK(OFFSET(A$1,,,SUMPRODUCT(MAX(ROW(E$1:E3849)*(E2=E$1:E3849))))))</f>
        <v> </v>
      </c>
      <c r="K3850" s="25" t="str">
        <f>IF(OR(E3850="",E3850="!!!",F3850="NEW"),"",INDEX(J$1:J3849,SUMPRODUCT(MAX(ROW(E$1:E3849)*(E3850=E$1:E3849)))))</f>
        <v> </v>
      </c>
      <c r="L3850" s="26"/>
    </row>
    <row r="3851" spans="1:12">
      <c r="A3851" s="20" t="s">
        <v>1032</v>
      </c>
      <c r="B3851" s="27" t="s">
        <v>1012</v>
      </c>
      <c r="C3851" s="27" t="s">
        <v>1013</v>
      </c>
      <c r="D3851" s="27" t="s">
        <v>1014</v>
      </c>
      <c r="E3851" s="21">
        <f>IF(D3851="?OLD","!!!","")</f>
        <v/>
      </c>
      <c r="F3851" s="22" t="str">
        <f>IF(OR(E3851="",E3851="!!!"),"",IF(NOT(ISNA(VLOOKUP(E3851,E$1:E3850,1,FALSE()))),"OLD",IF(AND(E3851&lt;&gt;"",E3851&lt;&gt;"!!!"),"NEW","")))</f>
        <v> </v>
      </c>
      <c r="G3851" s="23" t="str">
        <f>IF(OR(E3851="",E3851="!!!"),"",IF(OR(J3851=0,AND(J3851=1,K3851=1),AND(J3851=1,I3851="SBJ"),AND(J3851=1,I3851=0)),"?IN_FOCUS",IF(J3851&lt;=2,"?ACTIVATED",IF(J3851&lt;&gt;"","?FAMILIAR",IF(F3851="NEW",IF(ISNA(VLOOKUP(E3851,#REF!,1,FALSE())),"?TYPE_IDENTIFIABLE","?REFERENTIAL"),"_")))))</f>
        <v> </v>
      </c>
      <c r="H3851" s="24" t="str">
        <f>IF(J3851&lt;&gt;1,"",IF(I3851="SBJ","CB","?"))</f>
        <v> </v>
      </c>
      <c r="I3851" s="25" t="str">
        <f>IF(OR(E3851="",E3851="!!!",F3851="NEW"),"",INDEX(B3850:B$2,-1+SUMPRODUCT(MAX(ROW(E3850:E$2)*(E3851=E3850:E$2)))))</f>
        <v> </v>
      </c>
      <c r="J3851" s="25" t="str">
        <f>IF(OR(E3851="",E3851="!!!",F3851="NEW"),"",COUNTBLANK(OFFSET(A$1,,,SUMPRODUCT(MAX(ROW(E$2:E3851)*(E3851=E$2:E3851)))))-COUNTBLANK(OFFSET(A$1,,,SUMPRODUCT(MAX(ROW(E$1:E3850)*(E2=E$1:E3850))))))</f>
        <v> </v>
      </c>
      <c r="K3851" s="25" t="str">
        <f>IF(OR(E3851="",E3851="!!!",F3851="NEW"),"",INDEX(J$1:J3850,SUMPRODUCT(MAX(ROW(E$1:E3850)*(E3851=E$1:E3850)))))</f>
        <v> </v>
      </c>
      <c r="L3851" s="26"/>
    </row>
    <row r="3852" spans="1:12">
      <c r="A3852" s="20" t="s">
        <v>1200</v>
      </c>
      <c r="E3852" s="21">
        <f>IF(D3852="?OLD","!!!","")</f>
        <v/>
      </c>
      <c r="F3852" s="22" t="str">
        <f>IF(OR(E3852="",E3852="!!!"),"",IF(NOT(ISNA(VLOOKUP(E3852,E$1:E3851,1,FALSE()))),"OLD",IF(AND(E3852&lt;&gt;"",E3852&lt;&gt;"!!!"),"NEW","")))</f>
        <v> </v>
      </c>
      <c r="G3852" s="23" t="str">
        <f>IF(OR(E3852="",E3852="!!!"),"",IF(OR(J3852=0,AND(J3852=1,K3852=1),AND(J3852=1,I3852="SBJ"),AND(J3852=1,I3852=0)),"?IN_FOCUS",IF(J3852&lt;=2,"?ACTIVATED",IF(J3852&lt;&gt;"","?FAMILIAR",IF(F3852="NEW",IF(ISNA(VLOOKUP(E3852,#REF!,1,FALSE())),"?TYPE_IDENTIFIABLE","?REFERENTIAL"),"_")))))</f>
        <v> </v>
      </c>
      <c r="H3852" s="24" t="str">
        <f>IF(J3852&lt;&gt;1,"",IF(I3852="SBJ","CB","?"))</f>
        <v> </v>
      </c>
      <c r="I3852" s="25" t="str">
        <f>IF(OR(E3852="",E3852="!!!",F3852="NEW"),"",INDEX(B3851:B$2,-1+SUMPRODUCT(MAX(ROW(E3851:E$2)*(E3852=E3851:E$2)))))</f>
        <v> </v>
      </c>
      <c r="J3852" s="25" t="str">
        <f>IF(OR(E3852="",E3852="!!!",F3852="NEW"),"",COUNTBLANK(OFFSET(A$1,,,SUMPRODUCT(MAX(ROW(E$2:E3852)*(E3852=E$2:E3852)))))-COUNTBLANK(OFFSET(A$1,,,SUMPRODUCT(MAX(ROW(E$1:E3851)*(E2=E$1:E3851))))))</f>
        <v> </v>
      </c>
      <c r="K3852" s="25" t="str">
        <f>IF(OR(E3852="",E3852="!!!",F3852="NEW"),"",INDEX(J$1:J3851,SUMPRODUCT(MAX(ROW(E$1:E3851)*(E3852=E$1:E3851)))))</f>
        <v> </v>
      </c>
      <c r="L3852" s="26"/>
    </row>
    <row r="3853" spans="1:12">
      <c r="A3853" s="20"/>
    </row>
    <row r="3854" spans="1:12">
      <c r="A3854" s="20" t="s">
        <v>2009</v>
      </c>
    </row>
    <row r="3855" spans="1:12">
      <c r="A3855" s="20" t="s">
        <v>1057</v>
      </c>
      <c r="B3855" s="27" t="s">
        <v>1038</v>
      </c>
      <c r="C3855" s="27" t="s">
        <v>1013</v>
      </c>
      <c r="D3855" s="27" t="s">
        <v>1014</v>
      </c>
      <c r="E3855" s="21">
        <f>IF(D3855="?OLD","!!!","")</f>
        <v/>
      </c>
      <c r="F3855" s="22" t="str">
        <f>IF(OR(E3855="",E3855="!!!"),"",IF(NOT(ISNA(VLOOKUP(E3855,E$1:E3854,1,FALSE()))),"OLD",IF(AND(E3855&lt;&gt;"",E3855&lt;&gt;"!!!"),"NEW","")))</f>
        <v> </v>
      </c>
      <c r="G3855" s="23" t="str">
        <f>IF(OR(E3855="",E3855="!!!"),"",IF(OR(J3855=0,AND(J3855=1,K3855=1),AND(J3855=1,I3855="SBJ"),AND(J3855=1,I3855=0)),"?IN_FOCUS",IF(J3855&lt;=2,"?ACTIVATED",IF(J3855&lt;&gt;"","?FAMILIAR",IF(F3855="NEW",IF(ISNA(VLOOKUP(E3855,#REF!,1,FALSE())),"?TYPE_IDENTIFIABLE","?REFERENTIAL"),"_")))))</f>
        <v> </v>
      </c>
      <c r="H3855" s="24" t="str">
        <f>IF(J3855&lt;&gt;1,"",IF(I3855="SBJ","CB","?"))</f>
        <v> </v>
      </c>
      <c r="I3855" s="25" t="str">
        <f>IF(OR(E3855="",E3855="!!!",F3855="NEW"),"",INDEX(B3854:B$2,-1+SUMPRODUCT(MAX(ROW(E3854:E$2)*(E3855=E3854:E$2)))))</f>
        <v> </v>
      </c>
      <c r="J3855" s="25" t="str">
        <f>IF(OR(E3855="",E3855="!!!",F3855="NEW"),"",COUNTBLANK(OFFSET(A$1,,,SUMPRODUCT(MAX(ROW(E$2:E3855)*(E3855=E$2:E3855)))))-COUNTBLANK(OFFSET(A$1,,,SUMPRODUCT(MAX(ROW(E$1:E3854)*(E2=E$1:E3854))))))</f>
        <v> </v>
      </c>
      <c r="K3855" s="25" t="str">
        <f>IF(OR(E3855="",E3855="!!!",F3855="NEW"),"",INDEX(J$1:J3854,SUMPRODUCT(MAX(ROW(E$1:E3854)*(E3855=E$1:E3854)))))</f>
        <v> </v>
      </c>
      <c r="L3855" s="26"/>
    </row>
    <row r="3856" spans="1:12">
      <c r="A3856" s="20" t="s">
        <v>923</v>
      </c>
      <c r="E3856" s="21">
        <f>IF(D3856="?OLD","!!!","")</f>
        <v/>
      </c>
      <c r="F3856" s="22" t="str">
        <f>IF(OR(E3856="",E3856="!!!"),"",IF(NOT(ISNA(VLOOKUP(E3856,E$1:E3855,1,FALSE()))),"OLD",IF(AND(E3856&lt;&gt;"",E3856&lt;&gt;"!!!"),"NEW","")))</f>
        <v> </v>
      </c>
      <c r="G3856" s="23" t="str">
        <f>IF(OR(E3856="",E3856="!!!"),"",IF(OR(J3856=0,AND(J3856=1,K3856=1),AND(J3856=1,I3856="SBJ"),AND(J3856=1,I3856=0)),"?IN_FOCUS",IF(J3856&lt;=2,"?ACTIVATED",IF(J3856&lt;&gt;"","?FAMILIAR",IF(F3856="NEW",IF(ISNA(VLOOKUP(E3856,#REF!,1,FALSE())),"?TYPE_IDENTIFIABLE","?REFERENTIAL"),"_")))))</f>
        <v> </v>
      </c>
      <c r="H3856" s="24" t="str">
        <f>IF(J3856&lt;&gt;1,"",IF(I3856="SBJ","CB","?"))</f>
        <v> </v>
      </c>
      <c r="I3856" s="25" t="str">
        <f>IF(OR(E3856="",E3856="!!!",F3856="NEW"),"",INDEX(B3855:B$2,-1+SUMPRODUCT(MAX(ROW(E3855:E$2)*(E3856=E3855:E$2)))))</f>
        <v> </v>
      </c>
      <c r="J3856" s="25" t="str">
        <f>IF(OR(E3856="",E3856="!!!",F3856="NEW"),"",COUNTBLANK(OFFSET(A$1,,,SUMPRODUCT(MAX(ROW(E$2:E3856)*(E3856=E$2:E3856)))))-COUNTBLANK(OFFSET(A$1,,,SUMPRODUCT(MAX(ROW(E$1:E3855)*(E2=E$1:E3855))))))</f>
        <v> </v>
      </c>
      <c r="K3856" s="25" t="str">
        <f>IF(OR(E3856="",E3856="!!!",F3856="NEW"),"",INDEX(J$1:J3855,SUMPRODUCT(MAX(ROW(E$1:E3855)*(E3856=E$1:E3855)))))</f>
        <v> </v>
      </c>
      <c r="L3856" s="26"/>
    </row>
    <row r="3857" spans="1:12">
      <c r="A3857" s="20" t="s">
        <v>1027</v>
      </c>
      <c r="E3857" s="21">
        <f>IF(D3857="?OLD","!!!","")</f>
        <v/>
      </c>
      <c r="F3857" s="22" t="str">
        <f>IF(OR(E3857="",E3857="!!!"),"",IF(NOT(ISNA(VLOOKUP(E3857,E$1:E3856,1,FALSE()))),"OLD",IF(AND(E3857&lt;&gt;"",E3857&lt;&gt;"!!!"),"NEW","")))</f>
        <v> </v>
      </c>
      <c r="G3857" s="23" t="str">
        <f>IF(OR(E3857="",E3857="!!!"),"",IF(OR(J3857=0,AND(J3857=1,K3857=1),AND(J3857=1,I3857="SBJ"),AND(J3857=1,I3857=0)),"?IN_FOCUS",IF(J3857&lt;=2,"?ACTIVATED",IF(J3857&lt;&gt;"","?FAMILIAR",IF(F3857="NEW",IF(ISNA(VLOOKUP(E3857,#REF!,1,FALSE())),"?TYPE_IDENTIFIABLE","?REFERENTIAL"),"_")))))</f>
        <v> </v>
      </c>
      <c r="H3857" s="24" t="str">
        <f>IF(J3857&lt;&gt;1,"",IF(I3857="SBJ","CB","?"))</f>
        <v> </v>
      </c>
      <c r="I3857" s="25" t="str">
        <f>IF(OR(E3857="",E3857="!!!",F3857="NEW"),"",INDEX(B3856:B$2,-1+SUMPRODUCT(MAX(ROW(E3856:E$2)*(E3857=E3856:E$2)))))</f>
        <v> </v>
      </c>
      <c r="J3857" s="25" t="str">
        <f>IF(OR(E3857="",E3857="!!!",F3857="NEW"),"",COUNTBLANK(OFFSET(A$1,,,SUMPRODUCT(MAX(ROW(E$2:E3857)*(E3857=E$2:E3857)))))-COUNTBLANK(OFFSET(A$1,,,SUMPRODUCT(MAX(ROW(E$1:E3856)*(E2=E$1:E3856))))))</f>
        <v> </v>
      </c>
      <c r="K3857" s="25" t="str">
        <f>IF(OR(E3857="",E3857="!!!",F3857="NEW"),"",INDEX(J$1:J3856,SUMPRODUCT(MAX(ROW(E$1:E3856)*(E3857=E$1:E3856)))))</f>
        <v> </v>
      </c>
      <c r="L3857" s="26"/>
    </row>
    <row r="3858" spans="1:12">
      <c r="A3858" s="20" t="s">
        <v>12</v>
      </c>
      <c r="E3858" s="21">
        <f>IF(D3858="?OLD","!!!","")</f>
        <v/>
      </c>
      <c r="F3858" s="22" t="str">
        <f>IF(OR(E3858="",E3858="!!!"),"",IF(NOT(ISNA(VLOOKUP(E3858,E$1:E3857,1,FALSE()))),"OLD",IF(AND(E3858&lt;&gt;"",E3858&lt;&gt;"!!!"),"NEW","")))</f>
        <v> </v>
      </c>
      <c r="G3858" s="23" t="str">
        <f>IF(OR(E3858="",E3858="!!!"),"",IF(OR(J3858=0,AND(J3858=1,K3858=1),AND(J3858=1,I3858="SBJ"),AND(J3858=1,I3858=0)),"?IN_FOCUS",IF(J3858&lt;=2,"?ACTIVATED",IF(J3858&lt;&gt;"","?FAMILIAR",IF(F3858="NEW",IF(ISNA(VLOOKUP(E3858,#REF!,1,FALSE())),"?TYPE_IDENTIFIABLE","?REFERENTIAL"),"_")))))</f>
        <v> </v>
      </c>
      <c r="H3858" s="24" t="str">
        <f>IF(J3858&lt;&gt;1,"",IF(I3858="SBJ","CB","?"))</f>
        <v> </v>
      </c>
      <c r="I3858" s="25" t="str">
        <f>IF(OR(E3858="",E3858="!!!",F3858="NEW"),"",INDEX(B3857:B$2,-1+SUMPRODUCT(MAX(ROW(E3857:E$2)*(E3858=E3857:E$2)))))</f>
        <v> </v>
      </c>
      <c r="J3858" s="25" t="str">
        <f>IF(OR(E3858="",E3858="!!!",F3858="NEW"),"",COUNTBLANK(OFFSET(A$1,,,SUMPRODUCT(MAX(ROW(E$2:E3858)*(E3858=E$2:E3858)))))-COUNTBLANK(OFFSET(A$1,,,SUMPRODUCT(MAX(ROW(E$1:E3857)*(E2=E$1:E3857))))))</f>
        <v> </v>
      </c>
      <c r="K3858" s="25" t="str">
        <f>IF(OR(E3858="",E3858="!!!",F3858="NEW"),"",INDEX(J$1:J3857,SUMPRODUCT(MAX(ROW(E$1:E3857)*(E3858=E$1:E3857)))))</f>
        <v> </v>
      </c>
      <c r="L3858" s="26"/>
    </row>
    <row r="3859" spans="1:12">
      <c r="A3859" s="20" t="s">
        <v>1011</v>
      </c>
      <c r="B3859" s="27" t="s">
        <v>1070</v>
      </c>
      <c r="C3859" s="27" t="s">
        <v>1013</v>
      </c>
      <c r="D3859" s="27" t="s">
        <v>1014</v>
      </c>
      <c r="E3859" s="21">
        <f>IF(D3859="?OLD","!!!","")</f>
        <v/>
      </c>
      <c r="F3859" s="22" t="str">
        <f>IF(OR(E3859="",E3859="!!!"),"",IF(NOT(ISNA(VLOOKUP(E3859,E$1:E3858,1,FALSE()))),"OLD",IF(AND(E3859&lt;&gt;"",E3859&lt;&gt;"!!!"),"NEW","")))</f>
        <v> </v>
      </c>
      <c r="G3859" s="23" t="str">
        <f>IF(OR(E3859="",E3859="!!!"),"",IF(OR(J3859=0,AND(J3859=1,K3859=1),AND(J3859=1,I3859="SBJ"),AND(J3859=1,I3859=0)),"?IN_FOCUS",IF(J3859&lt;=2,"?ACTIVATED",IF(J3859&lt;&gt;"","?FAMILIAR",IF(F3859="NEW",IF(ISNA(VLOOKUP(E3859,#REF!,1,FALSE())),"?TYPE_IDENTIFIABLE","?REFERENTIAL"),"_")))))</f>
        <v> </v>
      </c>
      <c r="H3859" s="24" t="str">
        <f>IF(J3859&lt;&gt;1,"",IF(I3859="SBJ","CB","?"))</f>
        <v> </v>
      </c>
      <c r="I3859" s="25" t="str">
        <f>IF(OR(E3859="",E3859="!!!",F3859="NEW"),"",INDEX(B3858:B$2,-1+SUMPRODUCT(MAX(ROW(E3858:E$2)*(E3859=E3858:E$2)))))</f>
        <v> </v>
      </c>
      <c r="J3859" s="25" t="str">
        <f>IF(OR(E3859="",E3859="!!!",F3859="NEW"),"",COUNTBLANK(OFFSET(A$1,,,SUMPRODUCT(MAX(ROW(E$2:E3859)*(E3859=E$2:E3859)))))-COUNTBLANK(OFFSET(A$1,,,SUMPRODUCT(MAX(ROW(E$1:E3858)*(E2=E$1:E3858))))))</f>
        <v> </v>
      </c>
      <c r="K3859" s="25" t="str">
        <f>IF(OR(E3859="",E3859="!!!",F3859="NEW"),"",INDEX(J$1:J3858,SUMPRODUCT(MAX(ROW(E$1:E3858)*(E3859=E$1:E3858)))))</f>
        <v> </v>
      </c>
      <c r="L3859" s="26"/>
    </row>
    <row r="3860" spans="1:12">
      <c r="A3860" s="20" t="s">
        <v>2010</v>
      </c>
      <c r="E3860" s="21">
        <f>IF(D3860="?OLD","!!!","")</f>
        <v/>
      </c>
      <c r="F3860" s="22" t="str">
        <f>IF(OR(E3860="",E3860="!!!"),"",IF(NOT(ISNA(VLOOKUP(E3860,E$1:E3859,1,FALSE()))),"OLD",IF(AND(E3860&lt;&gt;"",E3860&lt;&gt;"!!!"),"NEW","")))</f>
        <v> </v>
      </c>
      <c r="G3860" s="23" t="str">
        <f>IF(OR(E3860="",E3860="!!!"),"",IF(OR(J3860=0,AND(J3860=1,K3860=1),AND(J3860=1,I3860="SBJ"),AND(J3860=1,I3860=0)),"?IN_FOCUS",IF(J3860&lt;=2,"?ACTIVATED",IF(J3860&lt;&gt;"","?FAMILIAR",IF(F3860="NEW",IF(ISNA(VLOOKUP(E3860,#REF!,1,FALSE())),"?TYPE_IDENTIFIABLE","?REFERENTIAL"),"_")))))</f>
        <v> </v>
      </c>
      <c r="H3860" s="24" t="str">
        <f>IF(J3860&lt;&gt;1,"",IF(I3860="SBJ","CB","?"))</f>
        <v> </v>
      </c>
      <c r="I3860" s="25" t="str">
        <f>IF(OR(E3860="",E3860="!!!",F3860="NEW"),"",INDEX(B3859:B$2,-1+SUMPRODUCT(MAX(ROW(E3859:E$2)*(E3860=E3859:E$2)))))</f>
        <v> </v>
      </c>
      <c r="J3860" s="25" t="str">
        <f>IF(OR(E3860="",E3860="!!!",F3860="NEW"),"",COUNTBLANK(OFFSET(A$1,,,SUMPRODUCT(MAX(ROW(E$2:E3860)*(E3860=E$2:E3860)))))-COUNTBLANK(OFFSET(A$1,,,SUMPRODUCT(MAX(ROW(E$1:E3859)*(E2=E$1:E3859))))))</f>
        <v> </v>
      </c>
      <c r="K3860" s="25" t="str">
        <f>IF(OR(E3860="",E3860="!!!",F3860="NEW"),"",INDEX(J$1:J3859,SUMPRODUCT(MAX(ROW(E$1:E3859)*(E3860=E$1:E3859)))))</f>
        <v> </v>
      </c>
      <c r="L3860" s="26"/>
    </row>
    <row r="3861" spans="1:12">
      <c r="A3861" s="20" t="s">
        <v>1568</v>
      </c>
      <c r="B3861" s="27" t="s">
        <v>1020</v>
      </c>
      <c r="E3861" s="21">
        <f>IF(D3861="?OLD","!!!","")</f>
        <v/>
      </c>
      <c r="F3861" s="22" t="str">
        <f>IF(OR(E3861="",E3861="!!!"),"",IF(NOT(ISNA(VLOOKUP(E3861,E$1:E3860,1,FALSE()))),"OLD",IF(AND(E3861&lt;&gt;"",E3861&lt;&gt;"!!!"),"NEW","")))</f>
        <v> </v>
      </c>
      <c r="G3861" s="23" t="str">
        <f>IF(OR(E3861="",E3861="!!!"),"",IF(OR(J3861=0,AND(J3861=1,K3861=1),AND(J3861=1,I3861="SBJ"),AND(J3861=1,I3861=0)),"?IN_FOCUS",IF(J3861&lt;=2,"?ACTIVATED",IF(J3861&lt;&gt;"","?FAMILIAR",IF(F3861="NEW",IF(ISNA(VLOOKUP(E3861,#REF!,1,FALSE())),"?TYPE_IDENTIFIABLE","?REFERENTIAL"),"_")))))</f>
        <v> </v>
      </c>
      <c r="H3861" s="24" t="str">
        <f>IF(J3861&lt;&gt;1,"",IF(I3861="SBJ","CB","?"))</f>
        <v> </v>
      </c>
      <c r="I3861" s="25" t="str">
        <f>IF(OR(E3861="",E3861="!!!",F3861="NEW"),"",INDEX(B3860:B$2,-1+SUMPRODUCT(MAX(ROW(E3860:E$2)*(E3861=E3860:E$2)))))</f>
        <v> </v>
      </c>
      <c r="J3861" s="25" t="str">
        <f>IF(OR(E3861="",E3861="!!!",F3861="NEW"),"",COUNTBLANK(OFFSET(A$1,,,SUMPRODUCT(MAX(ROW(E$2:E3861)*(E3861=E$2:E3861)))))-COUNTBLANK(OFFSET(A$1,,,SUMPRODUCT(MAX(ROW(E$1:E3860)*(E2=E$1:E3860))))))</f>
        <v> </v>
      </c>
      <c r="K3861" s="25" t="str">
        <f>IF(OR(E3861="",E3861="!!!",F3861="NEW"),"",INDEX(J$1:J3860,SUMPRODUCT(MAX(ROW(E$1:E3860)*(E3861=E$1:E3860)))))</f>
        <v> </v>
      </c>
      <c r="L3861" s="26"/>
    </row>
    <row r="3862" spans="1:12">
      <c r="A3862" s="20" t="s">
        <v>1133</v>
      </c>
      <c r="E3862" s="21">
        <f>IF(D3862="?OLD","!!!","")</f>
        <v/>
      </c>
      <c r="F3862" s="22" t="str">
        <f>IF(OR(E3862="",E3862="!!!"),"",IF(NOT(ISNA(VLOOKUP(E3862,E$1:E3861,1,FALSE()))),"OLD",IF(AND(E3862&lt;&gt;"",E3862&lt;&gt;"!!!"),"NEW","")))</f>
        <v> </v>
      </c>
      <c r="G3862" s="23" t="str">
        <f>IF(OR(E3862="",E3862="!!!"),"",IF(OR(J3862=0,AND(J3862=1,K3862=1),AND(J3862=1,I3862="SBJ"),AND(J3862=1,I3862=0)),"?IN_FOCUS",IF(J3862&lt;=2,"?ACTIVATED",IF(J3862&lt;&gt;"","?FAMILIAR",IF(F3862="NEW",IF(ISNA(VLOOKUP(E3862,#REF!,1,FALSE())),"?TYPE_IDENTIFIABLE","?REFERENTIAL"),"_")))))</f>
        <v> </v>
      </c>
      <c r="H3862" s="24" t="str">
        <f>IF(J3862&lt;&gt;1,"",IF(I3862="SBJ","CB","?"))</f>
        <v> </v>
      </c>
      <c r="I3862" s="25" t="str">
        <f>IF(OR(E3862="",E3862="!!!",F3862="NEW"),"",INDEX(B3861:B$2,-1+SUMPRODUCT(MAX(ROW(E3861:E$2)*(E3862=E3861:E$2)))))</f>
        <v> </v>
      </c>
      <c r="J3862" s="25" t="str">
        <f>IF(OR(E3862="",E3862="!!!",F3862="NEW"),"",COUNTBLANK(OFFSET(A$1,,,SUMPRODUCT(MAX(ROW(E$2:E3862)*(E3862=E$2:E3862)))))-COUNTBLANK(OFFSET(A$1,,,SUMPRODUCT(MAX(ROW(E$1:E3861)*(E2=E$1:E3861))))))</f>
        <v> </v>
      </c>
      <c r="K3862" s="25" t="str">
        <f>IF(OR(E3862="",E3862="!!!",F3862="NEW"),"",INDEX(J$1:J3861,SUMPRODUCT(MAX(ROW(E$1:E3861)*(E3862=E$1:E3861)))))</f>
        <v> </v>
      </c>
      <c r="L3862" s="26"/>
    </row>
    <row r="3863" spans="1:12">
      <c r="A3863" s="20"/>
    </row>
    <row r="3864" spans="1:12">
      <c r="A3864" s="20" t="s">
        <v>2011</v>
      </c>
    </row>
    <row r="3865" spans="1:12">
      <c r="A3865" s="20" t="s">
        <v>1699</v>
      </c>
      <c r="E3865" s="21">
        <f>IF(D3865="?OLD","!!!","")</f>
        <v/>
      </c>
      <c r="F3865" s="22" t="str">
        <f>IF(OR(E3865="",E3865="!!!"),"",IF(NOT(ISNA(VLOOKUP(E3865,E$1:E3864,1,FALSE()))),"OLD",IF(AND(E3865&lt;&gt;"",E3865&lt;&gt;"!!!"),"NEW","")))</f>
        <v> </v>
      </c>
      <c r="G3865" s="23" t="str">
        <f>IF(OR(E3865="",E3865="!!!"),"",IF(OR(J3865=0,AND(J3865=1,K3865=1),AND(J3865=1,I3865="SBJ"),AND(J3865=1,I3865=0)),"?IN_FOCUS",IF(J3865&lt;=2,"?ACTIVATED",IF(J3865&lt;&gt;"","?FAMILIAR",IF(F3865="NEW",IF(ISNA(VLOOKUP(E3865,#REF!,1,FALSE())),"?TYPE_IDENTIFIABLE","?REFERENTIAL"),"_")))))</f>
        <v> </v>
      </c>
      <c r="H3865" s="24" t="str">
        <f>IF(J3865&lt;&gt;1,"",IF(I3865="SBJ","CB","?"))</f>
        <v> </v>
      </c>
      <c r="I3865" s="25" t="str">
        <f>IF(OR(E3865="",E3865="!!!",F3865="NEW"),"",INDEX(B3864:B$2,-1+SUMPRODUCT(MAX(ROW(E3864:E$2)*(E3865=E3864:E$2)))))</f>
        <v> </v>
      </c>
      <c r="J3865" s="25" t="str">
        <f>IF(OR(E3865="",E3865="!!!",F3865="NEW"),"",COUNTBLANK(OFFSET(A$1,,,SUMPRODUCT(MAX(ROW(E$2:E3865)*(E3865=E$2:E3865)))))-COUNTBLANK(OFFSET(A$1,,,SUMPRODUCT(MAX(ROW(E$1:E3864)*(E2=E$1:E3864))))))</f>
        <v> </v>
      </c>
      <c r="K3865" s="25" t="str">
        <f>IF(OR(E3865="",E3865="!!!",F3865="NEW"),"",INDEX(J$1:J3864,SUMPRODUCT(MAX(ROW(E$1:E3864)*(E3865=E$1:E3864)))))</f>
        <v> </v>
      </c>
      <c r="L3865" s="26"/>
    </row>
    <row r="3866" spans="1:12">
      <c r="A3866" s="20" t="s">
        <v>810</v>
      </c>
      <c r="E3866" s="21">
        <f>IF(D3866="?OLD","!!!","")</f>
        <v/>
      </c>
      <c r="F3866" s="22" t="str">
        <f>IF(OR(E3866="",E3866="!!!"),"",IF(NOT(ISNA(VLOOKUP(E3866,E$1:E3865,1,FALSE()))),"OLD",IF(AND(E3866&lt;&gt;"",E3866&lt;&gt;"!!!"),"NEW","")))</f>
        <v> </v>
      </c>
      <c r="G3866" s="23" t="str">
        <f>IF(OR(E3866="",E3866="!!!"),"",IF(OR(J3866=0,AND(J3866=1,K3866=1),AND(J3866=1,I3866="SBJ"),AND(J3866=1,I3866=0)),"?IN_FOCUS",IF(J3866&lt;=2,"?ACTIVATED",IF(J3866&lt;&gt;"","?FAMILIAR",IF(F3866="NEW",IF(ISNA(VLOOKUP(E3866,#REF!,1,FALSE())),"?TYPE_IDENTIFIABLE","?REFERENTIAL"),"_")))))</f>
        <v> </v>
      </c>
      <c r="H3866" s="24" t="str">
        <f>IF(J3866&lt;&gt;1,"",IF(I3866="SBJ","CB","?"))</f>
        <v> </v>
      </c>
      <c r="I3866" s="25" t="str">
        <f>IF(OR(E3866="",E3866="!!!",F3866="NEW"),"",INDEX(B3865:B$2,-1+SUMPRODUCT(MAX(ROW(E3865:E$2)*(E3866=E3865:E$2)))))</f>
        <v> </v>
      </c>
      <c r="J3866" s="25" t="str">
        <f>IF(OR(E3866="",E3866="!!!",F3866="NEW"),"",COUNTBLANK(OFFSET(A$1,,,SUMPRODUCT(MAX(ROW(E$2:E3866)*(E3866=E$2:E3866)))))-COUNTBLANK(OFFSET(A$1,,,SUMPRODUCT(MAX(ROW(E$1:E3865)*(E2=E$1:E3865))))))</f>
        <v> </v>
      </c>
      <c r="K3866" s="25" t="str">
        <f>IF(OR(E3866="",E3866="!!!",F3866="NEW"),"",INDEX(J$1:J3865,SUMPRODUCT(MAX(ROW(E$1:E3865)*(E3866=E$1:E3865)))))</f>
        <v> </v>
      </c>
      <c r="L3866" s="26"/>
    </row>
    <row r="3867" spans="1:12">
      <c r="A3867" s="20" t="s">
        <v>1017</v>
      </c>
      <c r="B3867" s="27" t="s">
        <v>1038</v>
      </c>
      <c r="C3867" s="27" t="s">
        <v>1013</v>
      </c>
      <c r="D3867" s="27" t="s">
        <v>1014</v>
      </c>
      <c r="E3867" s="21">
        <f>IF(D3867="?OLD","!!!","")</f>
        <v/>
      </c>
      <c r="F3867" s="22" t="str">
        <f>IF(OR(E3867="",E3867="!!!"),"",IF(NOT(ISNA(VLOOKUP(E3867,E$1:E3866,1,FALSE()))),"OLD",IF(AND(E3867&lt;&gt;"",E3867&lt;&gt;"!!!"),"NEW","")))</f>
        <v> </v>
      </c>
      <c r="G3867" s="23" t="str">
        <f>IF(OR(E3867="",E3867="!!!"),"",IF(OR(J3867=0,AND(J3867=1,K3867=1),AND(J3867=1,I3867="SBJ"),AND(J3867=1,I3867=0)),"?IN_FOCUS",IF(J3867&lt;=2,"?ACTIVATED",IF(J3867&lt;&gt;"","?FAMILIAR",IF(F3867="NEW",IF(ISNA(VLOOKUP(E3867,#REF!,1,FALSE())),"?TYPE_IDENTIFIABLE","?REFERENTIAL"),"_")))))</f>
        <v> </v>
      </c>
      <c r="H3867" s="24" t="str">
        <f>IF(J3867&lt;&gt;1,"",IF(I3867="SBJ","CB","?"))</f>
        <v> </v>
      </c>
      <c r="I3867" s="25" t="str">
        <f>IF(OR(E3867="",E3867="!!!",F3867="NEW"),"",INDEX(B3866:B$2,-1+SUMPRODUCT(MAX(ROW(E3866:E$2)*(E3867=E3866:E$2)))))</f>
        <v> </v>
      </c>
      <c r="J3867" s="25" t="str">
        <f>IF(OR(E3867="",E3867="!!!",F3867="NEW"),"",COUNTBLANK(OFFSET(A$1,,,SUMPRODUCT(MAX(ROW(E$2:E3867)*(E3867=E$2:E3867)))))-COUNTBLANK(OFFSET(A$1,,,SUMPRODUCT(MAX(ROW(E$1:E3866)*(E2=E$1:E3866))))))</f>
        <v> </v>
      </c>
      <c r="K3867" s="25" t="str">
        <f>IF(OR(E3867="",E3867="!!!",F3867="NEW"),"",INDEX(J$1:J3866,SUMPRODUCT(MAX(ROW(E$1:E3866)*(E3867=E$1:E3866)))))</f>
        <v> </v>
      </c>
      <c r="L3867" s="26"/>
    </row>
    <row r="3868" spans="1:12">
      <c r="A3868" s="20" t="s">
        <v>2008</v>
      </c>
      <c r="E3868" s="21">
        <f>IF(D3868="?OLD","!!!","")</f>
        <v/>
      </c>
      <c r="F3868" s="22" t="str">
        <f>IF(OR(E3868="",E3868="!!!"),"",IF(NOT(ISNA(VLOOKUP(E3868,E$1:E3867,1,FALSE()))),"OLD",IF(AND(E3868&lt;&gt;"",E3868&lt;&gt;"!!!"),"NEW","")))</f>
        <v> </v>
      </c>
      <c r="G3868" s="23" t="str">
        <f>IF(OR(E3868="",E3868="!!!"),"",IF(OR(J3868=0,AND(J3868=1,K3868=1),AND(J3868=1,I3868="SBJ"),AND(J3868=1,I3868=0)),"?IN_FOCUS",IF(J3868&lt;=2,"?ACTIVATED",IF(J3868&lt;&gt;"","?FAMILIAR",IF(F3868="NEW",IF(ISNA(VLOOKUP(E3868,#REF!,1,FALSE())),"?TYPE_IDENTIFIABLE","?REFERENTIAL"),"_")))))</f>
        <v> </v>
      </c>
      <c r="H3868" s="24" t="str">
        <f>IF(J3868&lt;&gt;1,"",IF(I3868="SBJ","CB","?"))</f>
        <v> </v>
      </c>
      <c r="I3868" s="25" t="str">
        <f>IF(OR(E3868="",E3868="!!!",F3868="NEW"),"",INDEX(B3867:B$2,-1+SUMPRODUCT(MAX(ROW(E3867:E$2)*(E3868=E3867:E$2)))))</f>
        <v> </v>
      </c>
      <c r="J3868" s="25" t="str">
        <f>IF(OR(E3868="",E3868="!!!",F3868="NEW"),"",COUNTBLANK(OFFSET(A$1,,,SUMPRODUCT(MAX(ROW(E$2:E3868)*(E3868=E$2:E3868)))))-COUNTBLANK(OFFSET(A$1,,,SUMPRODUCT(MAX(ROW(E$1:E3867)*(E2=E$1:E3867))))))</f>
        <v> </v>
      </c>
      <c r="K3868" s="25" t="str">
        <f>IF(OR(E3868="",E3868="!!!",F3868="NEW"),"",INDEX(J$1:J3867,SUMPRODUCT(MAX(ROW(E$1:E3867)*(E3868=E$1:E3867)))))</f>
        <v> </v>
      </c>
      <c r="L3868" s="26"/>
    </row>
    <row r="3869" spans="1:12">
      <c r="A3869" s="20" t="s">
        <v>1032</v>
      </c>
      <c r="B3869" s="27" t="s">
        <v>1012</v>
      </c>
      <c r="C3869" s="27" t="s">
        <v>1013</v>
      </c>
      <c r="D3869" s="27" t="s">
        <v>1014</v>
      </c>
      <c r="E3869" s="21">
        <f>IF(D3869="?OLD","!!!","")</f>
        <v/>
      </c>
      <c r="F3869" s="22" t="str">
        <f>IF(OR(E3869="",E3869="!!!"),"",IF(NOT(ISNA(VLOOKUP(E3869,E$1:E3868,1,FALSE()))),"OLD",IF(AND(E3869&lt;&gt;"",E3869&lt;&gt;"!!!"),"NEW","")))</f>
        <v> </v>
      </c>
      <c r="G3869" s="23" t="str">
        <f>IF(OR(E3869="",E3869="!!!"),"",IF(OR(J3869=0,AND(J3869=1,K3869=1),AND(J3869=1,I3869="SBJ"),AND(J3869=1,I3869=0)),"?IN_FOCUS",IF(J3869&lt;=2,"?ACTIVATED",IF(J3869&lt;&gt;"","?FAMILIAR",IF(F3869="NEW",IF(ISNA(VLOOKUP(E3869,#REF!,1,FALSE())),"?TYPE_IDENTIFIABLE","?REFERENTIAL"),"_")))))</f>
        <v> </v>
      </c>
      <c r="H3869" s="24" t="str">
        <f>IF(J3869&lt;&gt;1,"",IF(I3869="SBJ","CB","?"))</f>
        <v> </v>
      </c>
      <c r="I3869" s="25" t="str">
        <f>IF(OR(E3869="",E3869="!!!",F3869="NEW"),"",INDEX(B3868:B$2,-1+SUMPRODUCT(MAX(ROW(E3868:E$2)*(E3869=E3868:E$2)))))</f>
        <v> </v>
      </c>
      <c r="J3869" s="25" t="str">
        <f>IF(OR(E3869="",E3869="!!!",F3869="NEW"),"",COUNTBLANK(OFFSET(A$1,,,SUMPRODUCT(MAX(ROW(E$2:E3869)*(E3869=E$2:E3869)))))-COUNTBLANK(OFFSET(A$1,,,SUMPRODUCT(MAX(ROW(E$1:E3868)*(E2=E$1:E3868))))))</f>
        <v> </v>
      </c>
      <c r="K3869" s="25" t="str">
        <f>IF(OR(E3869="",E3869="!!!",F3869="NEW"),"",INDEX(J$1:J3868,SUMPRODUCT(MAX(ROW(E$1:E3868)*(E3869=E$1:E3868)))))</f>
        <v> </v>
      </c>
      <c r="L3869" s="26"/>
    </row>
    <row r="3870" spans="1:12">
      <c r="A3870" s="20" t="s">
        <v>1200</v>
      </c>
      <c r="E3870" s="21">
        <f>IF(D3870="?OLD","!!!","")</f>
        <v/>
      </c>
      <c r="F3870" s="22" t="str">
        <f>IF(OR(E3870="",E3870="!!!"),"",IF(NOT(ISNA(VLOOKUP(E3870,E$1:E3869,1,FALSE()))),"OLD",IF(AND(E3870&lt;&gt;"",E3870&lt;&gt;"!!!"),"NEW","")))</f>
        <v> </v>
      </c>
      <c r="G3870" s="23" t="str">
        <f>IF(OR(E3870="",E3870="!!!"),"",IF(OR(J3870=0,AND(J3870=1,K3870=1),AND(J3870=1,I3870="SBJ"),AND(J3870=1,I3870=0)),"?IN_FOCUS",IF(J3870&lt;=2,"?ACTIVATED",IF(J3870&lt;&gt;"","?FAMILIAR",IF(F3870="NEW",IF(ISNA(VLOOKUP(E3870,#REF!,1,FALSE())),"?TYPE_IDENTIFIABLE","?REFERENTIAL"),"_")))))</f>
        <v> </v>
      </c>
      <c r="H3870" s="24" t="str">
        <f>IF(J3870&lt;&gt;1,"",IF(I3870="SBJ","CB","?"))</f>
        <v> </v>
      </c>
      <c r="I3870" s="25" t="str">
        <f>IF(OR(E3870="",E3870="!!!",F3870="NEW"),"",INDEX(B3869:B$2,-1+SUMPRODUCT(MAX(ROW(E3869:E$2)*(E3870=E3869:E$2)))))</f>
        <v> </v>
      </c>
      <c r="J3870" s="25" t="str">
        <f>IF(OR(E3870="",E3870="!!!",F3870="NEW"),"",COUNTBLANK(OFFSET(A$1,,,SUMPRODUCT(MAX(ROW(E$2:E3870)*(E3870=E$2:E3870)))))-COUNTBLANK(OFFSET(A$1,,,SUMPRODUCT(MAX(ROW(E$1:E3869)*(E2=E$1:E3869))))))</f>
        <v> </v>
      </c>
      <c r="K3870" s="25" t="str">
        <f>IF(OR(E3870="",E3870="!!!",F3870="NEW"),"",INDEX(J$1:J3869,SUMPRODUCT(MAX(ROW(E$1:E3869)*(E3870=E$1:E3869)))))</f>
        <v> </v>
      </c>
      <c r="L3870" s="26"/>
    </row>
    <row r="3871" spans="1:12">
      <c r="A3871" s="20"/>
    </row>
    <row r="3872" spans="1:12">
      <c r="A3872" s="20" t="s">
        <v>2012</v>
      </c>
    </row>
    <row r="3873" spans="1:12">
      <c r="A3873" s="20" t="s">
        <v>1578</v>
      </c>
      <c r="E3873" s="21">
        <f>IF(D3873="?OLD","!!!","")</f>
        <v/>
      </c>
      <c r="F3873" s="22" t="str">
        <f>IF(OR(E3873="",E3873="!!!"),"",IF(NOT(ISNA(VLOOKUP(E3873,E$1:E3872,1,FALSE()))),"OLD",IF(AND(E3873&lt;&gt;"",E3873&lt;&gt;"!!!"),"NEW","")))</f>
        <v> </v>
      </c>
      <c r="G3873" s="23" t="str">
        <f>IF(OR(E3873="",E3873="!!!"),"",IF(OR(J3873=0,AND(J3873=1,K3873=1),AND(J3873=1,I3873="SBJ"),AND(J3873=1,I3873=0)),"?IN_FOCUS",IF(J3873&lt;=2,"?ACTIVATED",IF(J3873&lt;&gt;"","?FAMILIAR",IF(F3873="NEW",IF(ISNA(VLOOKUP(E3873,#REF!,1,FALSE())),"?TYPE_IDENTIFIABLE","?REFERENTIAL"),"_")))))</f>
        <v> </v>
      </c>
      <c r="H3873" s="24" t="str">
        <f>IF(J3873&lt;&gt;1,"",IF(I3873="SBJ","CB","?"))</f>
        <v> </v>
      </c>
      <c r="I3873" s="25" t="str">
        <f>IF(OR(E3873="",E3873="!!!",F3873="NEW"),"",INDEX(B3872:B$2,-1+SUMPRODUCT(MAX(ROW(E3872:E$2)*(E3873=E3872:E$2)))))</f>
        <v> </v>
      </c>
      <c r="J3873" s="25" t="str">
        <f>IF(OR(E3873="",E3873="!!!",F3873="NEW"),"",COUNTBLANK(OFFSET(A$1,,,SUMPRODUCT(MAX(ROW(E$2:E3873)*(E3873=E$2:E3873)))))-COUNTBLANK(OFFSET(A$1,,,SUMPRODUCT(MAX(ROW(E$1:E3872)*(E2=E$1:E3872))))))</f>
        <v> </v>
      </c>
      <c r="K3873" s="25" t="str">
        <f>IF(OR(E3873="",E3873="!!!",F3873="NEW"),"",INDEX(J$1:J3872,SUMPRODUCT(MAX(ROW(E$1:E3872)*(E3873=E$1:E3872)))))</f>
        <v> </v>
      </c>
      <c r="L3873" s="26"/>
    </row>
    <row r="3874" spans="1:12">
      <c r="A3874" s="20" t="s">
        <v>1017</v>
      </c>
      <c r="B3874" s="27" t="s">
        <v>1038</v>
      </c>
      <c r="C3874" s="27" t="s">
        <v>1013</v>
      </c>
      <c r="D3874" s="27" t="s">
        <v>1014</v>
      </c>
      <c r="E3874" s="21">
        <f>IF(D3874="?OLD","!!!","")</f>
        <v/>
      </c>
      <c r="F3874" s="22" t="str">
        <f>IF(OR(E3874="",E3874="!!!"),"",IF(NOT(ISNA(VLOOKUP(E3874,E$1:E3873,1,FALSE()))),"OLD",IF(AND(E3874&lt;&gt;"",E3874&lt;&gt;"!!!"),"NEW","")))</f>
        <v> </v>
      </c>
      <c r="G3874" s="23" t="str">
        <f>IF(OR(E3874="",E3874="!!!"),"",IF(OR(J3874=0,AND(J3874=1,K3874=1),AND(J3874=1,I3874="SBJ"),AND(J3874=1,I3874=0)),"?IN_FOCUS",IF(J3874&lt;=2,"?ACTIVATED",IF(J3874&lt;&gt;"","?FAMILIAR",IF(F3874="NEW",IF(ISNA(VLOOKUP(E3874,#REF!,1,FALSE())),"?TYPE_IDENTIFIABLE","?REFERENTIAL"),"_")))))</f>
        <v> </v>
      </c>
      <c r="H3874" s="24" t="str">
        <f>IF(J3874&lt;&gt;1,"",IF(I3874="SBJ","CB","?"))</f>
        <v> </v>
      </c>
      <c r="I3874" s="25" t="str">
        <f>IF(OR(E3874="",E3874="!!!",F3874="NEW"),"",INDEX(B3873:B$2,-1+SUMPRODUCT(MAX(ROW(E3873:E$2)*(E3874=E3873:E$2)))))</f>
        <v> </v>
      </c>
      <c r="J3874" s="25" t="str">
        <f>IF(OR(E3874="",E3874="!!!",F3874="NEW"),"",COUNTBLANK(OFFSET(A$1,,,SUMPRODUCT(MAX(ROW(E$2:E3874)*(E3874=E$2:E3874)))))-COUNTBLANK(OFFSET(A$1,,,SUMPRODUCT(MAX(ROW(E$1:E3873)*(E2=E$1:E3873))))))</f>
        <v> </v>
      </c>
      <c r="K3874" s="25" t="str">
        <f>IF(OR(E3874="",E3874="!!!",F3874="NEW"),"",INDEX(J$1:J3873,SUMPRODUCT(MAX(ROW(E$1:E3873)*(E3874=E$1:E3873)))))</f>
        <v> </v>
      </c>
      <c r="L3874" s="26"/>
    </row>
    <row r="3875" spans="1:12">
      <c r="A3875" s="20" t="s">
        <v>140</v>
      </c>
      <c r="E3875" s="21">
        <f>IF(D3875="?OLD","!!!","")</f>
        <v/>
      </c>
      <c r="F3875" s="22" t="str">
        <f>IF(OR(E3875="",E3875="!!!"),"",IF(NOT(ISNA(VLOOKUP(E3875,E$1:E3874,1,FALSE()))),"OLD",IF(AND(E3875&lt;&gt;"",E3875&lt;&gt;"!!!"),"NEW","")))</f>
        <v> </v>
      </c>
      <c r="G3875" s="23" t="str">
        <f>IF(OR(E3875="",E3875="!!!"),"",IF(OR(J3875=0,AND(J3875=1,K3875=1),AND(J3875=1,I3875="SBJ"),AND(J3875=1,I3875=0)),"?IN_FOCUS",IF(J3875&lt;=2,"?ACTIVATED",IF(J3875&lt;&gt;"","?FAMILIAR",IF(F3875="NEW",IF(ISNA(VLOOKUP(E3875,#REF!,1,FALSE())),"?TYPE_IDENTIFIABLE","?REFERENTIAL"),"_")))))</f>
        <v> </v>
      </c>
      <c r="H3875" s="24" t="str">
        <f>IF(J3875&lt;&gt;1,"",IF(I3875="SBJ","CB","?"))</f>
        <v> </v>
      </c>
      <c r="I3875" s="25" t="str">
        <f>IF(OR(E3875="",E3875="!!!",F3875="NEW"),"",INDEX(B3874:B$2,-1+SUMPRODUCT(MAX(ROW(E3874:E$2)*(E3875=E3874:E$2)))))</f>
        <v> </v>
      </c>
      <c r="J3875" s="25" t="str">
        <f>IF(OR(E3875="",E3875="!!!",F3875="NEW"),"",COUNTBLANK(OFFSET(A$1,,,SUMPRODUCT(MAX(ROW(E$2:E3875)*(E3875=E$2:E3875)))))-COUNTBLANK(OFFSET(A$1,,,SUMPRODUCT(MAX(ROW(E$1:E3874)*(E2=E$1:E3874))))))</f>
        <v> </v>
      </c>
      <c r="K3875" s="25" t="str">
        <f>IF(OR(E3875="",E3875="!!!",F3875="NEW"),"",INDEX(J$1:J3874,SUMPRODUCT(MAX(ROW(E$1:E3874)*(E3875=E$1:E3874)))))</f>
        <v> </v>
      </c>
      <c r="L3875" s="26"/>
    </row>
    <row r="3876" spans="1:12">
      <c r="A3876" s="20" t="s">
        <v>1079</v>
      </c>
      <c r="E3876" s="21">
        <f>IF(D3876="?OLD","!!!","")</f>
        <v/>
      </c>
      <c r="F3876" s="22" t="str">
        <f>IF(OR(E3876="",E3876="!!!"),"",IF(NOT(ISNA(VLOOKUP(E3876,E$1:E3875,1,FALSE()))),"OLD",IF(AND(E3876&lt;&gt;"",E3876&lt;&gt;"!!!"),"NEW","")))</f>
        <v> </v>
      </c>
      <c r="G3876" s="23" t="str">
        <f>IF(OR(E3876="",E3876="!!!"),"",IF(OR(J3876=0,AND(J3876=1,K3876=1),AND(J3876=1,I3876="SBJ"),AND(J3876=1,I3876=0)),"?IN_FOCUS",IF(J3876&lt;=2,"?ACTIVATED",IF(J3876&lt;&gt;"","?FAMILIAR",IF(F3876="NEW",IF(ISNA(VLOOKUP(E3876,#REF!,1,FALSE())),"?TYPE_IDENTIFIABLE","?REFERENTIAL"),"_")))))</f>
        <v> </v>
      </c>
      <c r="H3876" s="24" t="str">
        <f>IF(J3876&lt;&gt;1,"",IF(I3876="SBJ","CB","?"))</f>
        <v> </v>
      </c>
      <c r="I3876" s="25" t="str">
        <f>IF(OR(E3876="",E3876="!!!",F3876="NEW"),"",INDEX(B3875:B$2,-1+SUMPRODUCT(MAX(ROW(E3875:E$2)*(E3876=E3875:E$2)))))</f>
        <v> </v>
      </c>
      <c r="J3876" s="25" t="str">
        <f>IF(OR(E3876="",E3876="!!!",F3876="NEW"),"",COUNTBLANK(OFFSET(A$1,,,SUMPRODUCT(MAX(ROW(E$2:E3876)*(E3876=E$2:E3876)))))-COUNTBLANK(OFFSET(A$1,,,SUMPRODUCT(MAX(ROW(E$1:E3875)*(E2=E$1:E3875))))))</f>
        <v> </v>
      </c>
      <c r="K3876" s="25" t="str">
        <f>IF(OR(E3876="",E3876="!!!",F3876="NEW"),"",INDEX(J$1:J3875,SUMPRODUCT(MAX(ROW(E$1:E3875)*(E3876=E$1:E3875)))))</f>
        <v> </v>
      </c>
      <c r="L3876" s="26"/>
    </row>
    <row r="3877" spans="1:12">
      <c r="A3877" s="20" t="s">
        <v>39</v>
      </c>
      <c r="E3877" s="21">
        <f>IF(D3877="?OLD","!!!","")</f>
        <v/>
      </c>
      <c r="F3877" s="22" t="str">
        <f>IF(OR(E3877="",E3877="!!!"),"",IF(NOT(ISNA(VLOOKUP(E3877,E$1:E3876,1,FALSE()))),"OLD",IF(AND(E3877&lt;&gt;"",E3877&lt;&gt;"!!!"),"NEW","")))</f>
        <v> </v>
      </c>
      <c r="G3877" s="23" t="str">
        <f>IF(OR(E3877="",E3877="!!!"),"",IF(OR(J3877=0,AND(J3877=1,K3877=1),AND(J3877=1,I3877="SBJ"),AND(J3877=1,I3877=0)),"?IN_FOCUS",IF(J3877&lt;=2,"?ACTIVATED",IF(J3877&lt;&gt;"","?FAMILIAR",IF(F3877="NEW",IF(ISNA(VLOOKUP(E3877,#REF!,1,FALSE())),"?TYPE_IDENTIFIABLE","?REFERENTIAL"),"_")))))</f>
        <v> </v>
      </c>
      <c r="H3877" s="24" t="str">
        <f>IF(J3877&lt;&gt;1,"",IF(I3877="SBJ","CB","?"))</f>
        <v> </v>
      </c>
      <c r="I3877" s="25" t="str">
        <f>IF(OR(E3877="",E3877="!!!",F3877="NEW"),"",INDEX(B3876:B$2,-1+SUMPRODUCT(MAX(ROW(E3876:E$2)*(E3877=E3876:E$2)))))</f>
        <v> </v>
      </c>
      <c r="J3877" s="25" t="str">
        <f>IF(OR(E3877="",E3877="!!!",F3877="NEW"),"",COUNTBLANK(OFFSET(A$1,,,SUMPRODUCT(MAX(ROW(E$2:E3877)*(E3877=E$2:E3877)))))-COUNTBLANK(OFFSET(A$1,,,SUMPRODUCT(MAX(ROW(E$1:E3876)*(E2=E$1:E3876))))))</f>
        <v> </v>
      </c>
      <c r="K3877" s="25" t="str">
        <f>IF(OR(E3877="",E3877="!!!",F3877="NEW"),"",INDEX(J$1:J3876,SUMPRODUCT(MAX(ROW(E$1:E3876)*(E3877=E$1:E3876)))))</f>
        <v> </v>
      </c>
      <c r="L3877" s="26"/>
    </row>
    <row r="3878" spans="1:12">
      <c r="A3878" s="20" t="s">
        <v>1046</v>
      </c>
      <c r="E3878" s="21">
        <f>IF(D3878="?OLD","!!!","")</f>
        <v/>
      </c>
      <c r="F3878" s="22" t="str">
        <f>IF(OR(E3878="",E3878="!!!"),"",IF(NOT(ISNA(VLOOKUP(E3878,E$1:E3877,1,FALSE()))),"OLD",IF(AND(E3878&lt;&gt;"",E3878&lt;&gt;"!!!"),"NEW","")))</f>
        <v> </v>
      </c>
      <c r="G3878" s="23" t="str">
        <f>IF(OR(E3878="",E3878="!!!"),"",IF(OR(J3878=0,AND(J3878=1,K3878=1),AND(J3878=1,I3878="SBJ"),AND(J3878=1,I3878=0)),"?IN_FOCUS",IF(J3878&lt;=2,"?ACTIVATED",IF(J3878&lt;&gt;"","?FAMILIAR",IF(F3878="NEW",IF(ISNA(VLOOKUP(E3878,#REF!,1,FALSE())),"?TYPE_IDENTIFIABLE","?REFERENTIAL"),"_")))))</f>
        <v> </v>
      </c>
      <c r="H3878" s="24" t="str">
        <f>IF(J3878&lt;&gt;1,"",IF(I3878="SBJ","CB","?"))</f>
        <v> </v>
      </c>
      <c r="I3878" s="25" t="str">
        <f>IF(OR(E3878="",E3878="!!!",F3878="NEW"),"",INDEX(B3877:B$2,-1+SUMPRODUCT(MAX(ROW(E3877:E$2)*(E3878=E3877:E$2)))))</f>
        <v> </v>
      </c>
      <c r="J3878" s="25" t="str">
        <f>IF(OR(E3878="",E3878="!!!",F3878="NEW"),"",COUNTBLANK(OFFSET(A$1,,,SUMPRODUCT(MAX(ROW(E$2:E3878)*(E3878=E$2:E3878)))))-COUNTBLANK(OFFSET(A$1,,,SUMPRODUCT(MAX(ROW(E$1:E3877)*(E2=E$1:E3877))))))</f>
        <v> </v>
      </c>
      <c r="K3878" s="25" t="str">
        <f>IF(OR(E3878="",E3878="!!!",F3878="NEW"),"",INDEX(J$1:J3877,SUMPRODUCT(MAX(ROW(E$1:E3877)*(E3878=E$1:E3877)))))</f>
        <v> </v>
      </c>
      <c r="L3878" s="26"/>
    </row>
    <row r="3879" spans="1:12">
      <c r="A3879" s="20" t="s">
        <v>933</v>
      </c>
      <c r="E3879" s="21">
        <f>IF(D3879="?OLD","!!!","")</f>
        <v/>
      </c>
      <c r="F3879" s="22" t="str">
        <f>IF(OR(E3879="",E3879="!!!"),"",IF(NOT(ISNA(VLOOKUP(E3879,E$1:E3878,1,FALSE()))),"OLD",IF(AND(E3879&lt;&gt;"",E3879&lt;&gt;"!!!"),"NEW","")))</f>
        <v> </v>
      </c>
      <c r="G3879" s="23" t="str">
        <f>IF(OR(E3879="",E3879="!!!"),"",IF(OR(J3879=0,AND(J3879=1,K3879=1),AND(J3879=1,I3879="SBJ"),AND(J3879=1,I3879=0)),"?IN_FOCUS",IF(J3879&lt;=2,"?ACTIVATED",IF(J3879&lt;&gt;"","?FAMILIAR",IF(F3879="NEW",IF(ISNA(VLOOKUP(E3879,#REF!,1,FALSE())),"?TYPE_IDENTIFIABLE","?REFERENTIAL"),"_")))))</f>
        <v> </v>
      </c>
      <c r="H3879" s="24" t="str">
        <f>IF(J3879&lt;&gt;1,"",IF(I3879="SBJ","CB","?"))</f>
        <v> </v>
      </c>
      <c r="I3879" s="25" t="str">
        <f>IF(OR(E3879="",E3879="!!!",F3879="NEW"),"",INDEX(B3878:B$2,-1+SUMPRODUCT(MAX(ROW(E3878:E$2)*(E3879=E3878:E$2)))))</f>
        <v> </v>
      </c>
      <c r="J3879" s="25" t="str">
        <f>IF(OR(E3879="",E3879="!!!",F3879="NEW"),"",COUNTBLANK(OFFSET(A$1,,,SUMPRODUCT(MAX(ROW(E$2:E3879)*(E3879=E$2:E3879)))))-COUNTBLANK(OFFSET(A$1,,,SUMPRODUCT(MAX(ROW(E$1:E3878)*(E2=E$1:E3878))))))</f>
        <v> </v>
      </c>
      <c r="K3879" s="25" t="str">
        <f>IF(OR(E3879="",E3879="!!!",F3879="NEW"),"",INDEX(J$1:J3878,SUMPRODUCT(MAX(ROW(E$1:E3878)*(E3879=E$1:E3878)))))</f>
        <v> </v>
      </c>
      <c r="L3879" s="26"/>
    </row>
    <row r="3880" spans="1:12">
      <c r="A3880" s="20" t="s">
        <v>2013</v>
      </c>
      <c r="B3880" s="27" t="s">
        <v>1070</v>
      </c>
      <c r="C3880" s="27" t="s">
        <v>1087</v>
      </c>
      <c r="E3880" s="21">
        <f>IF(D3880="?OLD","!!!","")</f>
        <v/>
      </c>
      <c r="F3880" s="22" t="str">
        <f>IF(OR(E3880="",E3880="!!!"),"",IF(NOT(ISNA(VLOOKUP(E3880,E$1:E3879,1,FALSE()))),"OLD",IF(AND(E3880&lt;&gt;"",E3880&lt;&gt;"!!!"),"NEW","")))</f>
        <v> </v>
      </c>
      <c r="G3880" s="23" t="str">
        <f>IF(OR(E3880="",E3880="!!!"),"",IF(OR(J3880=0,AND(J3880=1,K3880=1),AND(J3880=1,I3880="SBJ"),AND(J3880=1,I3880=0)),"?IN_FOCUS",IF(J3880&lt;=2,"?ACTIVATED",IF(J3880&lt;&gt;"","?FAMILIAR",IF(F3880="NEW",IF(ISNA(VLOOKUP(E3880,#REF!,1,FALSE())),"?TYPE_IDENTIFIABLE","?REFERENTIAL"),"_")))))</f>
        <v> </v>
      </c>
      <c r="H3880" s="24" t="str">
        <f>IF(J3880&lt;&gt;1,"",IF(I3880="SBJ","CB","?"))</f>
        <v> </v>
      </c>
      <c r="I3880" s="25" t="str">
        <f>IF(OR(E3880="",E3880="!!!",F3880="NEW"),"",INDEX(B3879:B$2,-1+SUMPRODUCT(MAX(ROW(E3879:E$2)*(E3880=E3879:E$2)))))</f>
        <v> </v>
      </c>
      <c r="J3880" s="25" t="str">
        <f>IF(OR(E3880="",E3880="!!!",F3880="NEW"),"",COUNTBLANK(OFFSET(A$1,,,SUMPRODUCT(MAX(ROW(E$2:E3880)*(E3880=E$2:E3880)))))-COUNTBLANK(OFFSET(A$1,,,SUMPRODUCT(MAX(ROW(E$1:E3879)*(E2=E$1:E3879))))))</f>
        <v> </v>
      </c>
      <c r="K3880" s="25" t="str">
        <f>IF(OR(E3880="",E3880="!!!",F3880="NEW"),"",INDEX(J$1:J3879,SUMPRODUCT(MAX(ROW(E$1:E3879)*(E3880=E$1:E3879)))))</f>
        <v> </v>
      </c>
      <c r="L3880" s="26"/>
    </row>
    <row r="3881" spans="1:12">
      <c r="A3881" s="20" t="s">
        <v>1420</v>
      </c>
      <c r="E3881" s="21">
        <f>IF(D3881="?OLD","!!!","")</f>
        <v/>
      </c>
      <c r="F3881" s="22" t="str">
        <f>IF(OR(E3881="",E3881="!!!"),"",IF(NOT(ISNA(VLOOKUP(E3881,E$1:E3880,1,FALSE()))),"OLD",IF(AND(E3881&lt;&gt;"",E3881&lt;&gt;"!!!"),"NEW","")))</f>
        <v> </v>
      </c>
      <c r="G3881" s="23" t="str">
        <f>IF(OR(E3881="",E3881="!!!"),"",IF(OR(J3881=0,AND(J3881=1,K3881=1),AND(J3881=1,I3881="SBJ"),AND(J3881=1,I3881=0)),"?IN_FOCUS",IF(J3881&lt;=2,"?ACTIVATED",IF(J3881&lt;&gt;"","?FAMILIAR",IF(F3881="NEW",IF(ISNA(VLOOKUP(E3881,#REF!,1,FALSE())),"?TYPE_IDENTIFIABLE","?REFERENTIAL"),"_")))))</f>
        <v> </v>
      </c>
      <c r="H3881" s="24" t="str">
        <f>IF(J3881&lt;&gt;1,"",IF(I3881="SBJ","CB","?"))</f>
        <v> </v>
      </c>
      <c r="I3881" s="25" t="str">
        <f>IF(OR(E3881="",E3881="!!!",F3881="NEW"),"",INDEX(B3880:B$2,-1+SUMPRODUCT(MAX(ROW(E3880:E$2)*(E3881=E3880:E$2)))))</f>
        <v> </v>
      </c>
      <c r="J3881" s="25" t="str">
        <f>IF(OR(E3881="",E3881="!!!",F3881="NEW"),"",COUNTBLANK(OFFSET(A$1,,,SUMPRODUCT(MAX(ROW(E$2:E3881)*(E3881=E$2:E3881)))))-COUNTBLANK(OFFSET(A$1,,,SUMPRODUCT(MAX(ROW(E$1:E3880)*(E2=E$1:E3880))))))</f>
        <v> </v>
      </c>
      <c r="K3881" s="25" t="str">
        <f>IF(OR(E3881="",E3881="!!!",F3881="NEW"),"",INDEX(J$1:J3880,SUMPRODUCT(MAX(ROW(E$1:E3880)*(E3881=E$1:E3880)))))</f>
        <v> </v>
      </c>
      <c r="L3881" s="26"/>
    </row>
    <row r="3882" spans="1:12">
      <c r="A3882" s="20" t="s">
        <v>1200</v>
      </c>
      <c r="E3882" s="21">
        <f>IF(D3882="?OLD","!!!","")</f>
        <v/>
      </c>
      <c r="F3882" s="22" t="str">
        <f>IF(OR(E3882="",E3882="!!!"),"",IF(NOT(ISNA(VLOOKUP(E3882,E$1:E3881,1,FALSE()))),"OLD",IF(AND(E3882&lt;&gt;"",E3882&lt;&gt;"!!!"),"NEW","")))</f>
        <v> </v>
      </c>
      <c r="G3882" s="23" t="str">
        <f>IF(OR(E3882="",E3882="!!!"),"",IF(OR(J3882=0,AND(J3882=1,K3882=1),AND(J3882=1,I3882="SBJ"),AND(J3882=1,I3882=0)),"?IN_FOCUS",IF(J3882&lt;=2,"?ACTIVATED",IF(J3882&lt;&gt;"","?FAMILIAR",IF(F3882="NEW",IF(ISNA(VLOOKUP(E3882,#REF!,1,FALSE())),"?TYPE_IDENTIFIABLE","?REFERENTIAL"),"_")))))</f>
        <v> </v>
      </c>
      <c r="H3882" s="24" t="str">
        <f>IF(J3882&lt;&gt;1,"",IF(I3882="SBJ","CB","?"))</f>
        <v> </v>
      </c>
      <c r="I3882" s="25" t="str">
        <f>IF(OR(E3882="",E3882="!!!",F3882="NEW"),"",INDEX(B3881:B$2,-1+SUMPRODUCT(MAX(ROW(E3881:E$2)*(E3882=E3881:E$2)))))</f>
        <v> </v>
      </c>
      <c r="J3882" s="25" t="str">
        <f>IF(OR(E3882="",E3882="!!!",F3882="NEW"),"",COUNTBLANK(OFFSET(A$1,,,SUMPRODUCT(MAX(ROW(E$2:E3882)*(E3882=E$2:E3882)))))-COUNTBLANK(OFFSET(A$1,,,SUMPRODUCT(MAX(ROW(E$1:E3881)*(E2=E$1:E3881))))))</f>
        <v> </v>
      </c>
      <c r="K3882" s="25" t="str">
        <f>IF(OR(E3882="",E3882="!!!",F3882="NEW"),"",INDEX(J$1:J3881,SUMPRODUCT(MAX(ROW(E$1:E3881)*(E3882=E$1:E3881)))))</f>
        <v> </v>
      </c>
      <c r="L3882" s="26"/>
    </row>
    <row r="3883" spans="1:12">
      <c r="A3883" s="20"/>
    </row>
    <row r="3884" spans="1:12">
      <c r="A3884" s="20" t="s">
        <v>2014</v>
      </c>
    </row>
    <row r="3885" spans="1:12">
      <c r="A3885" s="20" t="s">
        <v>1125</v>
      </c>
      <c r="B3885" s="27" t="s">
        <v>1038</v>
      </c>
      <c r="C3885" s="27" t="s">
        <v>1108</v>
      </c>
      <c r="D3885" s="27" t="s">
        <v>1014</v>
      </c>
      <c r="E3885" s="21">
        <f>IF(D3885="?OLD","!!!","")</f>
        <v/>
      </c>
      <c r="F3885" s="22" t="str">
        <f>IF(OR(E3885="",E3885="!!!"),"",IF(NOT(ISNA(VLOOKUP(E3885,E$1:E3884,1,FALSE()))),"OLD",IF(AND(E3885&lt;&gt;"",E3885&lt;&gt;"!!!"),"NEW","")))</f>
        <v> </v>
      </c>
      <c r="G3885" s="23" t="str">
        <f>IF(OR(E3885="",E3885="!!!"),"",IF(OR(J3885=0,AND(J3885=1,K3885=1),AND(J3885=1,I3885="SBJ"),AND(J3885=1,I3885=0)),"?IN_FOCUS",IF(J3885&lt;=2,"?ACTIVATED",IF(J3885&lt;&gt;"","?FAMILIAR",IF(F3885="NEW",IF(ISNA(VLOOKUP(E3885,#REF!,1,FALSE())),"?TYPE_IDENTIFIABLE","?REFERENTIAL"),"_")))))</f>
        <v> </v>
      </c>
      <c r="H3885" s="24" t="str">
        <f>IF(J3885&lt;&gt;1,"",IF(I3885="SBJ","CB","?"))</f>
        <v> </v>
      </c>
      <c r="I3885" s="25" t="str">
        <f>IF(OR(E3885="",E3885="!!!",F3885="NEW"),"",INDEX(B3884:B$2,-1+SUMPRODUCT(MAX(ROW(E3884:E$2)*(E3885=E3884:E$2)))))</f>
        <v> </v>
      </c>
      <c r="J3885" s="25" t="str">
        <f>IF(OR(E3885="",E3885="!!!",F3885="NEW"),"",COUNTBLANK(OFFSET(A$1,,,SUMPRODUCT(MAX(ROW(E$2:E3885)*(E3885=E$2:E3885)))))-COUNTBLANK(OFFSET(A$1,,,SUMPRODUCT(MAX(ROW(E$1:E3884)*(E2=E$1:E3884))))))</f>
        <v> </v>
      </c>
      <c r="K3885" s="25" t="str">
        <f>IF(OR(E3885="",E3885="!!!",F3885="NEW"),"",INDEX(J$1:J3884,SUMPRODUCT(MAX(ROW(E$1:E3884)*(E3885=E$1:E3884)))))</f>
        <v> </v>
      </c>
      <c r="L3885" s="26"/>
    </row>
    <row r="3886" spans="1:12">
      <c r="A3886" s="20" t="s">
        <v>1126</v>
      </c>
      <c r="E3886" s="21">
        <f>IF(D3886="?OLD","!!!","")</f>
        <v/>
      </c>
      <c r="F3886" s="22" t="str">
        <f>IF(OR(E3886="",E3886="!!!"),"",IF(NOT(ISNA(VLOOKUP(E3886,E$1:E3885,1,FALSE()))),"OLD",IF(AND(E3886&lt;&gt;"",E3886&lt;&gt;"!!!"),"NEW","")))</f>
        <v> </v>
      </c>
      <c r="G3886" s="23" t="str">
        <f>IF(OR(E3886="",E3886="!!!"),"",IF(OR(J3886=0,AND(J3886=1,K3886=1),AND(J3886=1,I3886="SBJ"),AND(J3886=1,I3886=0)),"?IN_FOCUS",IF(J3886&lt;=2,"?ACTIVATED",IF(J3886&lt;&gt;"","?FAMILIAR",IF(F3886="NEW",IF(ISNA(VLOOKUP(E3886,#REF!,1,FALSE())),"?TYPE_IDENTIFIABLE","?REFERENTIAL"),"_")))))</f>
        <v> </v>
      </c>
      <c r="H3886" s="24" t="str">
        <f>IF(J3886&lt;&gt;1,"",IF(I3886="SBJ","CB","?"))</f>
        <v> </v>
      </c>
      <c r="I3886" s="25" t="str">
        <f>IF(OR(E3886="",E3886="!!!",F3886="NEW"),"",INDEX(B3885:B$2,-1+SUMPRODUCT(MAX(ROW(E3885:E$2)*(E3886=E3885:E$2)))))</f>
        <v> </v>
      </c>
      <c r="J3886" s="25" t="str">
        <f>IF(OR(E3886="",E3886="!!!",F3886="NEW"),"",COUNTBLANK(OFFSET(A$1,,,SUMPRODUCT(MAX(ROW(E$2:E3886)*(E3886=E$2:E3886)))))-COUNTBLANK(OFFSET(A$1,,,SUMPRODUCT(MAX(ROW(E$1:E3885)*(E2=E$1:E3885))))))</f>
        <v> </v>
      </c>
      <c r="K3886" s="25" t="str">
        <f>IF(OR(E3886="",E3886="!!!",F3886="NEW"),"",INDEX(J$1:J3885,SUMPRODUCT(MAX(ROW(E$1:E3885)*(E3886=E$1:E3885)))))</f>
        <v> </v>
      </c>
      <c r="L3886" s="26"/>
    </row>
    <row r="3887" spans="1:12">
      <c r="A3887" s="20" t="s">
        <v>1172</v>
      </c>
      <c r="E3887" s="21">
        <f>IF(D3887="?OLD","!!!","")</f>
        <v/>
      </c>
      <c r="F3887" s="22" t="str">
        <f>IF(OR(E3887="",E3887="!!!"),"",IF(NOT(ISNA(VLOOKUP(E3887,E$1:E3886,1,FALSE()))),"OLD",IF(AND(E3887&lt;&gt;"",E3887&lt;&gt;"!!!"),"NEW","")))</f>
        <v> </v>
      </c>
      <c r="G3887" s="23" t="str">
        <f>IF(OR(E3887="",E3887="!!!"),"",IF(OR(J3887=0,AND(J3887=1,K3887=1),AND(J3887=1,I3887="SBJ"),AND(J3887=1,I3887=0)),"?IN_FOCUS",IF(J3887&lt;=2,"?ACTIVATED",IF(J3887&lt;&gt;"","?FAMILIAR",IF(F3887="NEW",IF(ISNA(VLOOKUP(E3887,#REF!,1,FALSE())),"?TYPE_IDENTIFIABLE","?REFERENTIAL"),"_")))))</f>
        <v> </v>
      </c>
      <c r="H3887" s="24" t="str">
        <f>IF(J3887&lt;&gt;1,"",IF(I3887="SBJ","CB","?"))</f>
        <v> </v>
      </c>
      <c r="I3887" s="25" t="str">
        <f>IF(OR(E3887="",E3887="!!!",F3887="NEW"),"",INDEX(B3886:B$2,-1+SUMPRODUCT(MAX(ROW(E3886:E$2)*(E3887=E3886:E$2)))))</f>
        <v> </v>
      </c>
      <c r="J3887" s="25" t="str">
        <f>IF(OR(E3887="",E3887="!!!",F3887="NEW"),"",COUNTBLANK(OFFSET(A$1,,,SUMPRODUCT(MAX(ROW(E$2:E3887)*(E3887=E$2:E3887)))))-COUNTBLANK(OFFSET(A$1,,,SUMPRODUCT(MAX(ROW(E$1:E3886)*(E2=E$1:E3886))))))</f>
        <v> </v>
      </c>
      <c r="K3887" s="25" t="str">
        <f>IF(OR(E3887="",E3887="!!!",F3887="NEW"),"",INDEX(J$1:J3886,SUMPRODUCT(MAX(ROW(E$1:E3886)*(E3887=E$1:E3886)))))</f>
        <v> </v>
      </c>
      <c r="L3887" s="26"/>
    </row>
    <row r="3888" spans="1:12">
      <c r="A3888" s="20" t="s">
        <v>1418</v>
      </c>
      <c r="E3888" s="21">
        <f>IF(D3888="?OLD","!!!","")</f>
        <v/>
      </c>
      <c r="F3888" s="22" t="str">
        <f>IF(OR(E3888="",E3888="!!!"),"",IF(NOT(ISNA(VLOOKUP(E3888,E$1:E3887,1,FALSE()))),"OLD",IF(AND(E3888&lt;&gt;"",E3888&lt;&gt;"!!!"),"NEW","")))</f>
        <v> </v>
      </c>
      <c r="G3888" s="23" t="str">
        <f>IF(OR(E3888="",E3888="!!!"),"",IF(OR(J3888=0,AND(J3888=1,K3888=1),AND(J3888=1,I3888="SBJ"),AND(J3888=1,I3888=0)),"?IN_FOCUS",IF(J3888&lt;=2,"?ACTIVATED",IF(J3888&lt;&gt;"","?FAMILIAR",IF(F3888="NEW",IF(ISNA(VLOOKUP(E3888,#REF!,1,FALSE())),"?TYPE_IDENTIFIABLE","?REFERENTIAL"),"_")))))</f>
        <v> </v>
      </c>
      <c r="H3888" s="24" t="str">
        <f>IF(J3888&lt;&gt;1,"",IF(I3888="SBJ","CB","?"))</f>
        <v> </v>
      </c>
      <c r="I3888" s="25" t="str">
        <f>IF(OR(E3888="",E3888="!!!",F3888="NEW"),"",INDEX(B3887:B$2,-1+SUMPRODUCT(MAX(ROW(E3887:E$2)*(E3888=E3887:E$2)))))</f>
        <v> </v>
      </c>
      <c r="J3888" s="25" t="str">
        <f>IF(OR(E3888="",E3888="!!!",F3888="NEW"),"",COUNTBLANK(OFFSET(A$1,,,SUMPRODUCT(MAX(ROW(E$2:E3888)*(E3888=E$2:E3888)))))-COUNTBLANK(OFFSET(A$1,,,SUMPRODUCT(MAX(ROW(E$1:E3887)*(E2=E$1:E3887))))))</f>
        <v> </v>
      </c>
      <c r="K3888" s="25" t="str">
        <f>IF(OR(E3888="",E3888="!!!",F3888="NEW"),"",INDEX(J$1:J3887,SUMPRODUCT(MAX(ROW(E$1:E3887)*(E3888=E$1:E3887)))))</f>
        <v> </v>
      </c>
      <c r="L3888" s="26"/>
    </row>
    <row r="3889" spans="1:12">
      <c r="A3889" s="20" t="s">
        <v>2013</v>
      </c>
      <c r="B3889" s="27" t="s">
        <v>1012</v>
      </c>
      <c r="C3889" s="27" t="s">
        <v>1087</v>
      </c>
      <c r="E3889" s="21">
        <f>IF(D3889="?OLD","!!!","")</f>
        <v/>
      </c>
      <c r="F3889" s="22" t="str">
        <f>IF(OR(E3889="",E3889="!!!"),"",IF(NOT(ISNA(VLOOKUP(E3889,E$1:E3888,1,FALSE()))),"OLD",IF(AND(E3889&lt;&gt;"",E3889&lt;&gt;"!!!"),"NEW","")))</f>
        <v> </v>
      </c>
      <c r="G3889" s="23" t="str">
        <f>IF(OR(E3889="",E3889="!!!"),"",IF(OR(J3889=0,AND(J3889=1,K3889=1),AND(J3889=1,I3889="SBJ"),AND(J3889=1,I3889=0)),"?IN_FOCUS",IF(J3889&lt;=2,"?ACTIVATED",IF(J3889&lt;&gt;"","?FAMILIAR",IF(F3889="NEW",IF(ISNA(VLOOKUP(E3889,#REF!,1,FALSE())),"?TYPE_IDENTIFIABLE","?REFERENTIAL"),"_")))))</f>
        <v> </v>
      </c>
      <c r="H3889" s="24" t="str">
        <f>IF(J3889&lt;&gt;1,"",IF(I3889="SBJ","CB","?"))</f>
        <v> </v>
      </c>
      <c r="I3889" s="25" t="str">
        <f>IF(OR(E3889="",E3889="!!!",F3889="NEW"),"",INDEX(B3888:B$2,-1+SUMPRODUCT(MAX(ROW(E3888:E$2)*(E3889=E3888:E$2)))))</f>
        <v> </v>
      </c>
      <c r="J3889" s="25" t="str">
        <f>IF(OR(E3889="",E3889="!!!",F3889="NEW"),"",COUNTBLANK(OFFSET(A$1,,,SUMPRODUCT(MAX(ROW(E$2:E3889)*(E3889=E$2:E3889)))))-COUNTBLANK(OFFSET(A$1,,,SUMPRODUCT(MAX(ROW(E$1:E3888)*(E2=E$1:E3888))))))</f>
        <v> </v>
      </c>
      <c r="K3889" s="25" t="str">
        <f>IF(OR(E3889="",E3889="!!!",F3889="NEW"),"",INDEX(J$1:J3888,SUMPRODUCT(MAX(ROW(E$1:E3888)*(E3889=E$1:E3888)))))</f>
        <v> </v>
      </c>
      <c r="L3889" s="26"/>
    </row>
    <row r="3890" spans="1:12">
      <c r="A3890" s="20" t="s">
        <v>1420</v>
      </c>
      <c r="E3890" s="21">
        <f>IF(D3890="?OLD","!!!","")</f>
        <v/>
      </c>
      <c r="F3890" s="22" t="str">
        <f>IF(OR(E3890="",E3890="!!!"),"",IF(NOT(ISNA(VLOOKUP(E3890,E$1:E3889,1,FALSE()))),"OLD",IF(AND(E3890&lt;&gt;"",E3890&lt;&gt;"!!!"),"NEW","")))</f>
        <v> </v>
      </c>
      <c r="G3890" s="23" t="str">
        <f>IF(OR(E3890="",E3890="!!!"),"",IF(OR(J3890=0,AND(J3890=1,K3890=1),AND(J3890=1,I3890="SBJ"),AND(J3890=1,I3890=0)),"?IN_FOCUS",IF(J3890&lt;=2,"?ACTIVATED",IF(J3890&lt;&gt;"","?FAMILIAR",IF(F3890="NEW",IF(ISNA(VLOOKUP(E3890,#REF!,1,FALSE())),"?TYPE_IDENTIFIABLE","?REFERENTIAL"),"_")))))</f>
        <v> </v>
      </c>
      <c r="H3890" s="24" t="str">
        <f>IF(J3890&lt;&gt;1,"",IF(I3890="SBJ","CB","?"))</f>
        <v> </v>
      </c>
      <c r="I3890" s="25" t="str">
        <f>IF(OR(E3890="",E3890="!!!",F3890="NEW"),"",INDEX(B3889:B$2,-1+SUMPRODUCT(MAX(ROW(E3889:E$2)*(E3890=E3889:E$2)))))</f>
        <v> </v>
      </c>
      <c r="J3890" s="25" t="str">
        <f>IF(OR(E3890="",E3890="!!!",F3890="NEW"),"",COUNTBLANK(OFFSET(A$1,,,SUMPRODUCT(MAX(ROW(E$2:E3890)*(E3890=E$2:E3890)))))-COUNTBLANK(OFFSET(A$1,,,SUMPRODUCT(MAX(ROW(E$1:E3889)*(E2=E$1:E3889))))))</f>
        <v> </v>
      </c>
      <c r="K3890" s="25" t="str">
        <f>IF(OR(E3890="",E3890="!!!",F3890="NEW"),"",INDEX(J$1:J3889,SUMPRODUCT(MAX(ROW(E$1:E3889)*(E3890=E$1:E3889)))))</f>
        <v> </v>
      </c>
      <c r="L3890" s="26"/>
    </row>
    <row r="3891" spans="1:12">
      <c r="A3891" s="20" t="s">
        <v>1022</v>
      </c>
      <c r="E3891" s="21">
        <f>IF(D3891="?OLD","!!!","")</f>
        <v/>
      </c>
      <c r="F3891" s="22" t="str">
        <f>IF(OR(E3891="",E3891="!!!"),"",IF(NOT(ISNA(VLOOKUP(E3891,E$1:E3890,1,FALSE()))),"OLD",IF(AND(E3891&lt;&gt;"",E3891&lt;&gt;"!!!"),"NEW","")))</f>
        <v> </v>
      </c>
      <c r="G3891" s="23" t="str">
        <f>IF(OR(E3891="",E3891="!!!"),"",IF(OR(J3891=0,AND(J3891=1,K3891=1),AND(J3891=1,I3891="SBJ"),AND(J3891=1,I3891=0)),"?IN_FOCUS",IF(J3891&lt;=2,"?ACTIVATED",IF(J3891&lt;&gt;"","?FAMILIAR",IF(F3891="NEW",IF(ISNA(VLOOKUP(E3891,#REF!,1,FALSE())),"?TYPE_IDENTIFIABLE","?REFERENTIAL"),"_")))))</f>
        <v> </v>
      </c>
      <c r="H3891" s="24" t="str">
        <f>IF(J3891&lt;&gt;1,"",IF(I3891="SBJ","CB","?"))</f>
        <v> </v>
      </c>
      <c r="I3891" s="25" t="str">
        <f>IF(OR(E3891="",E3891="!!!",F3891="NEW"),"",INDEX(B3890:B$2,-1+SUMPRODUCT(MAX(ROW(E3890:E$2)*(E3891=E3890:E$2)))))</f>
        <v> </v>
      </c>
      <c r="J3891" s="25" t="str">
        <f>IF(OR(E3891="",E3891="!!!",F3891="NEW"),"",COUNTBLANK(OFFSET(A$1,,,SUMPRODUCT(MAX(ROW(E$2:E3891)*(E3891=E$2:E3891)))))-COUNTBLANK(OFFSET(A$1,,,SUMPRODUCT(MAX(ROW(E$1:E3890)*(E2=E$1:E3890))))))</f>
        <v> </v>
      </c>
      <c r="K3891" s="25" t="str">
        <f>IF(OR(E3891="",E3891="!!!",F3891="NEW"),"",INDEX(J$1:J3890,SUMPRODUCT(MAX(ROW(E$1:E3890)*(E3891=E$1:E3890)))))</f>
        <v> </v>
      </c>
      <c r="L3891" s="26"/>
    </row>
    <row r="3892" spans="1:12">
      <c r="A3892" s="20"/>
    </row>
    <row r="3893" spans="1:12">
      <c r="A3893" s="20" t="s">
        <v>2015</v>
      </c>
    </row>
    <row r="3894" spans="1:12">
      <c r="A3894" s="20" t="s">
        <v>1115</v>
      </c>
      <c r="B3894" s="27" t="s">
        <v>1038</v>
      </c>
      <c r="C3894" s="27" t="s">
        <v>1013</v>
      </c>
      <c r="D3894" s="27" t="s">
        <v>1014</v>
      </c>
      <c r="E3894" s="21">
        <f>IF(D3894="?OLD","!!!","")</f>
        <v/>
      </c>
      <c r="F3894" s="22" t="str">
        <f>IF(OR(E3894="",E3894="!!!"),"",IF(NOT(ISNA(VLOOKUP(E3894,E$1:E3893,1,FALSE()))),"OLD",IF(AND(E3894&lt;&gt;"",E3894&lt;&gt;"!!!"),"NEW","")))</f>
        <v> </v>
      </c>
      <c r="G3894" s="23" t="str">
        <f>IF(OR(E3894="",E3894="!!!"),"",IF(OR(J3894=0,AND(J3894=1,K3894=1),AND(J3894=1,I3894="SBJ"),AND(J3894=1,I3894=0)),"?IN_FOCUS",IF(J3894&lt;=2,"?ACTIVATED",IF(J3894&lt;&gt;"","?FAMILIAR",IF(F3894="NEW",IF(ISNA(VLOOKUP(E3894,#REF!,1,FALSE())),"?TYPE_IDENTIFIABLE","?REFERENTIAL"),"_")))))</f>
        <v> </v>
      </c>
      <c r="H3894" s="24" t="str">
        <f>IF(J3894&lt;&gt;1,"",IF(I3894="SBJ","CB","?"))</f>
        <v> </v>
      </c>
      <c r="I3894" s="25" t="str">
        <f>IF(OR(E3894="",E3894="!!!",F3894="NEW"),"",INDEX(B3893:B$2,-1+SUMPRODUCT(MAX(ROW(E3893:E$2)*(E3894=E3893:E$2)))))</f>
        <v> </v>
      </c>
      <c r="J3894" s="25" t="str">
        <f>IF(OR(E3894="",E3894="!!!",F3894="NEW"),"",COUNTBLANK(OFFSET(A$1,,,SUMPRODUCT(MAX(ROW(E$2:E3894)*(E3894=E$2:E3894)))))-COUNTBLANK(OFFSET(A$1,,,SUMPRODUCT(MAX(ROW(E$1:E3893)*(E2=E$1:E3893))))))</f>
        <v> </v>
      </c>
      <c r="K3894" s="25" t="str">
        <f>IF(OR(E3894="",E3894="!!!",F3894="NEW"),"",INDEX(J$1:J3893,SUMPRODUCT(MAX(ROW(E$1:E3893)*(E3894=E$1:E3893)))))</f>
        <v> </v>
      </c>
      <c r="L3894" s="26"/>
    </row>
    <row r="3895" spans="1:12">
      <c r="A3895" s="20" t="s">
        <v>1011</v>
      </c>
      <c r="E3895" s="21">
        <f>IF(D3895="?OLD","!!!","")</f>
        <v/>
      </c>
      <c r="F3895" s="22" t="str">
        <f>IF(OR(E3895="",E3895="!!!"),"",IF(NOT(ISNA(VLOOKUP(E3895,E$1:E3894,1,FALSE()))),"OLD",IF(AND(E3895&lt;&gt;"",E3895&lt;&gt;"!!!"),"NEW","")))</f>
        <v> </v>
      </c>
      <c r="G3895" s="23" t="str">
        <f>IF(OR(E3895="",E3895="!!!"),"",IF(OR(J3895=0,AND(J3895=1,K3895=1),AND(J3895=1,I3895="SBJ"),AND(J3895=1,I3895=0)),"?IN_FOCUS",IF(J3895&lt;=2,"?ACTIVATED",IF(J3895&lt;&gt;"","?FAMILIAR",IF(F3895="NEW",IF(ISNA(VLOOKUP(E3895,#REF!,1,FALSE())),"?TYPE_IDENTIFIABLE","?REFERENTIAL"),"_")))))</f>
        <v> </v>
      </c>
      <c r="H3895" s="24" t="str">
        <f>IF(J3895&lt;&gt;1,"",IF(I3895="SBJ","CB","?"))</f>
        <v> </v>
      </c>
      <c r="I3895" s="25" t="str">
        <f>IF(OR(E3895="",E3895="!!!",F3895="NEW"),"",INDEX(B3894:B$2,-1+SUMPRODUCT(MAX(ROW(E3894:E$2)*(E3895=E3894:E$2)))))</f>
        <v> </v>
      </c>
      <c r="J3895" s="25" t="str">
        <f>IF(OR(E3895="",E3895="!!!",F3895="NEW"),"",COUNTBLANK(OFFSET(A$1,,,SUMPRODUCT(MAX(ROW(E$2:E3895)*(E3895=E$2:E3895)))))-COUNTBLANK(OFFSET(A$1,,,SUMPRODUCT(MAX(ROW(E$1:E3894)*(E2=E$1:E3894))))))</f>
        <v> </v>
      </c>
      <c r="K3895" s="25" t="str">
        <f>IF(OR(E3895="",E3895="!!!",F3895="NEW"),"",INDEX(J$1:J3894,SUMPRODUCT(MAX(ROW(E$1:E3894)*(E3895=E$1:E3894)))))</f>
        <v> </v>
      </c>
      <c r="L3895" s="26"/>
    </row>
    <row r="3896" spans="1:12">
      <c r="A3896" s="20" t="s">
        <v>544</v>
      </c>
      <c r="E3896" s="21">
        <f>IF(D3896="?OLD","!!!","")</f>
        <v/>
      </c>
      <c r="F3896" s="22" t="str">
        <f>IF(OR(E3896="",E3896="!!!"),"",IF(NOT(ISNA(VLOOKUP(E3896,E$1:E3895,1,FALSE()))),"OLD",IF(AND(E3896&lt;&gt;"",E3896&lt;&gt;"!!!"),"NEW","")))</f>
        <v> </v>
      </c>
      <c r="G3896" s="23" t="str">
        <f>IF(OR(E3896="",E3896="!!!"),"",IF(OR(J3896=0,AND(J3896=1,K3896=1),AND(J3896=1,I3896="SBJ"),AND(J3896=1,I3896=0)),"?IN_FOCUS",IF(J3896&lt;=2,"?ACTIVATED",IF(J3896&lt;&gt;"","?FAMILIAR",IF(F3896="NEW",IF(ISNA(VLOOKUP(E3896,#REF!,1,FALSE())),"?TYPE_IDENTIFIABLE","?REFERENTIAL"),"_")))))</f>
        <v> </v>
      </c>
      <c r="H3896" s="24" t="str">
        <f>IF(J3896&lt;&gt;1,"",IF(I3896="SBJ","CB","?"))</f>
        <v> </v>
      </c>
      <c r="I3896" s="25" t="str">
        <f>IF(OR(E3896="",E3896="!!!",F3896="NEW"),"",INDEX(B3895:B$2,-1+SUMPRODUCT(MAX(ROW(E3895:E$2)*(E3896=E3895:E$2)))))</f>
        <v> </v>
      </c>
      <c r="J3896" s="25" t="str">
        <f>IF(OR(E3896="",E3896="!!!",F3896="NEW"),"",COUNTBLANK(OFFSET(A$1,,,SUMPRODUCT(MAX(ROW(E$2:E3896)*(E3896=E$2:E3896)))))-COUNTBLANK(OFFSET(A$1,,,SUMPRODUCT(MAX(ROW(E$1:E3895)*(E2=E$1:E3895))))))</f>
        <v> </v>
      </c>
      <c r="K3896" s="25" t="str">
        <f>IF(OR(E3896="",E3896="!!!",F3896="NEW"),"",INDEX(J$1:J3895,SUMPRODUCT(MAX(ROW(E$1:E3895)*(E3896=E$1:E3895)))))</f>
        <v> </v>
      </c>
      <c r="L3896" s="26"/>
    </row>
    <row r="3897" spans="1:12">
      <c r="A3897" s="20" t="s">
        <v>1172</v>
      </c>
      <c r="E3897" s="21">
        <f>IF(D3897="?OLD","!!!","")</f>
        <v/>
      </c>
      <c r="F3897" s="22" t="str">
        <f>IF(OR(E3897="",E3897="!!!"),"",IF(NOT(ISNA(VLOOKUP(E3897,E$1:E3896,1,FALSE()))),"OLD",IF(AND(E3897&lt;&gt;"",E3897&lt;&gt;"!!!"),"NEW","")))</f>
        <v> </v>
      </c>
      <c r="G3897" s="23" t="str">
        <f>IF(OR(E3897="",E3897="!!!"),"",IF(OR(J3897=0,AND(J3897=1,K3897=1),AND(J3897=1,I3897="SBJ"),AND(J3897=1,I3897=0)),"?IN_FOCUS",IF(J3897&lt;=2,"?ACTIVATED",IF(J3897&lt;&gt;"","?FAMILIAR",IF(F3897="NEW",IF(ISNA(VLOOKUP(E3897,#REF!,1,FALSE())),"?TYPE_IDENTIFIABLE","?REFERENTIAL"),"_")))))</f>
        <v> </v>
      </c>
      <c r="H3897" s="24" t="str">
        <f>IF(J3897&lt;&gt;1,"",IF(I3897="SBJ","CB","?"))</f>
        <v> </v>
      </c>
      <c r="I3897" s="25" t="str">
        <f>IF(OR(E3897="",E3897="!!!",F3897="NEW"),"",INDEX(B3896:B$2,-1+SUMPRODUCT(MAX(ROW(E3896:E$2)*(E3897=E3896:E$2)))))</f>
        <v> </v>
      </c>
      <c r="J3897" s="25" t="str">
        <f>IF(OR(E3897="",E3897="!!!",F3897="NEW"),"",COUNTBLANK(OFFSET(A$1,,,SUMPRODUCT(MAX(ROW(E$2:E3897)*(E3897=E$2:E3897)))))-COUNTBLANK(OFFSET(A$1,,,SUMPRODUCT(MAX(ROW(E$1:E3896)*(E2=E$1:E3896))))))</f>
        <v> </v>
      </c>
      <c r="K3897" s="25" t="str">
        <f>IF(OR(E3897="",E3897="!!!",F3897="NEW"),"",INDEX(J$1:J3896,SUMPRODUCT(MAX(ROW(E$1:E3896)*(E3897=E$1:E3896)))))</f>
        <v> </v>
      </c>
      <c r="L3897" s="26"/>
    </row>
    <row r="3898" spans="1:12">
      <c r="A3898" s="20" t="s">
        <v>1931</v>
      </c>
      <c r="B3898" s="27" t="s">
        <v>1026</v>
      </c>
      <c r="C3898" s="27" t="s">
        <v>1087</v>
      </c>
      <c r="E3898" s="21">
        <f>IF(D3898="?OLD","!!!","")</f>
        <v/>
      </c>
      <c r="F3898" s="22" t="str">
        <f>IF(OR(E3898="",E3898="!!!"),"",IF(NOT(ISNA(VLOOKUP(E3898,E$1:E3897,1,FALSE()))),"OLD",IF(AND(E3898&lt;&gt;"",E3898&lt;&gt;"!!!"),"NEW","")))</f>
        <v> </v>
      </c>
      <c r="G3898" s="23" t="str">
        <f>IF(OR(E3898="",E3898="!!!"),"",IF(OR(J3898=0,AND(J3898=1,K3898=1),AND(J3898=1,I3898="SBJ"),AND(J3898=1,I3898=0)),"?IN_FOCUS",IF(J3898&lt;=2,"?ACTIVATED",IF(J3898&lt;&gt;"","?FAMILIAR",IF(F3898="NEW",IF(ISNA(VLOOKUP(E3898,#REF!,1,FALSE())),"?TYPE_IDENTIFIABLE","?REFERENTIAL"),"_")))))</f>
        <v> </v>
      </c>
      <c r="H3898" s="24" t="str">
        <f>IF(J3898&lt;&gt;1,"",IF(I3898="SBJ","CB","?"))</f>
        <v> </v>
      </c>
      <c r="I3898" s="25" t="str">
        <f>IF(OR(E3898="",E3898="!!!",F3898="NEW"),"",INDEX(B3897:B$2,-1+SUMPRODUCT(MAX(ROW(E3897:E$2)*(E3898=E3897:E$2)))))</f>
        <v> </v>
      </c>
      <c r="J3898" s="25" t="str">
        <f>IF(OR(E3898="",E3898="!!!",F3898="NEW"),"",COUNTBLANK(OFFSET(A$1,,,SUMPRODUCT(MAX(ROW(E$2:E3898)*(E3898=E$2:E3898)))))-COUNTBLANK(OFFSET(A$1,,,SUMPRODUCT(MAX(ROW(E$1:E3897)*(E2=E$1:E3897))))))</f>
        <v> </v>
      </c>
      <c r="K3898" s="25" t="str">
        <f>IF(OR(E3898="",E3898="!!!",F3898="NEW"),"",INDEX(J$1:J3897,SUMPRODUCT(MAX(ROW(E$1:E3897)*(E3898=E$1:E3897)))))</f>
        <v> </v>
      </c>
      <c r="L3898" s="26"/>
    </row>
    <row r="3899" spans="1:12">
      <c r="A3899" s="20" t="s">
        <v>1022</v>
      </c>
      <c r="E3899" s="21">
        <f>IF(D3899="?OLD","!!!","")</f>
        <v/>
      </c>
      <c r="F3899" s="22" t="str">
        <f>IF(OR(E3899="",E3899="!!!"),"",IF(NOT(ISNA(VLOOKUP(E3899,E$1:E3898,1,FALSE()))),"OLD",IF(AND(E3899&lt;&gt;"",E3899&lt;&gt;"!!!"),"NEW","")))</f>
        <v> </v>
      </c>
      <c r="G3899" s="23" t="str">
        <f>IF(OR(E3899="",E3899="!!!"),"",IF(OR(J3899=0,AND(J3899=1,K3899=1),AND(J3899=1,I3899="SBJ"),AND(J3899=1,I3899=0)),"?IN_FOCUS",IF(J3899&lt;=2,"?ACTIVATED",IF(J3899&lt;&gt;"","?FAMILIAR",IF(F3899="NEW",IF(ISNA(VLOOKUP(E3899,#REF!,1,FALSE())),"?TYPE_IDENTIFIABLE","?REFERENTIAL"),"_")))))</f>
        <v> </v>
      </c>
      <c r="H3899" s="24" t="str">
        <f>IF(J3899&lt;&gt;1,"",IF(I3899="SBJ","CB","?"))</f>
        <v> </v>
      </c>
      <c r="I3899" s="25" t="str">
        <f>IF(OR(E3899="",E3899="!!!",F3899="NEW"),"",INDEX(B3898:B$2,-1+SUMPRODUCT(MAX(ROW(E3898:E$2)*(E3899=E3898:E$2)))))</f>
        <v> </v>
      </c>
      <c r="J3899" s="25" t="str">
        <f>IF(OR(E3899="",E3899="!!!",F3899="NEW"),"",COUNTBLANK(OFFSET(A$1,,,SUMPRODUCT(MAX(ROW(E$2:E3899)*(E3899=E$2:E3899)))))-COUNTBLANK(OFFSET(A$1,,,SUMPRODUCT(MAX(ROW(E$1:E3898)*(E2=E$1:E3898))))))</f>
        <v> </v>
      </c>
      <c r="K3899" s="25" t="str">
        <f>IF(OR(E3899="",E3899="!!!",F3899="NEW"),"",INDEX(J$1:J3898,SUMPRODUCT(MAX(ROW(E$1:E3898)*(E3899=E$1:E3898)))))</f>
        <v> </v>
      </c>
      <c r="L3899" s="26"/>
    </row>
    <row r="3900" spans="1:12">
      <c r="A3900" s="20"/>
    </row>
    <row r="3901" spans="1:12">
      <c r="A3901" s="20" t="s">
        <v>2016</v>
      </c>
    </row>
    <row r="3902" spans="1:12">
      <c r="A3902" s="20" t="s">
        <v>1115</v>
      </c>
      <c r="B3902" s="27" t="s">
        <v>1038</v>
      </c>
      <c r="C3902" s="27" t="s">
        <v>1013</v>
      </c>
      <c r="D3902" s="27" t="s">
        <v>1014</v>
      </c>
      <c r="E3902" s="21">
        <f>IF(D3902="?OLD","!!!","")</f>
        <v/>
      </c>
      <c r="F3902" s="22" t="str">
        <f>IF(OR(E3902="",E3902="!!!"),"",IF(NOT(ISNA(VLOOKUP(E3902,E$1:E3901,1,FALSE()))),"OLD",IF(AND(E3902&lt;&gt;"",E3902&lt;&gt;"!!!"),"NEW","")))</f>
        <v> </v>
      </c>
      <c r="G3902" s="23" t="str">
        <f>IF(OR(E3902="",E3902="!!!"),"",IF(OR(J3902=0,AND(J3902=1,K3902=1),AND(J3902=1,I3902="SBJ"),AND(J3902=1,I3902=0)),"?IN_FOCUS",IF(J3902&lt;=2,"?ACTIVATED",IF(J3902&lt;&gt;"","?FAMILIAR",IF(F3902="NEW",IF(ISNA(VLOOKUP(E3902,#REF!,1,FALSE())),"?TYPE_IDENTIFIABLE","?REFERENTIAL"),"_")))))</f>
        <v> </v>
      </c>
      <c r="H3902" s="24" t="str">
        <f>IF(J3902&lt;&gt;1,"",IF(I3902="SBJ","CB","?"))</f>
        <v> </v>
      </c>
      <c r="I3902" s="25" t="str">
        <f>IF(OR(E3902="",E3902="!!!",F3902="NEW"),"",INDEX(B3901:B$2,-1+SUMPRODUCT(MAX(ROW(E3901:E$2)*(E3902=E3901:E$2)))))</f>
        <v> </v>
      </c>
      <c r="J3902" s="25" t="str">
        <f>IF(OR(E3902="",E3902="!!!",F3902="NEW"),"",COUNTBLANK(OFFSET(A$1,,,SUMPRODUCT(MAX(ROW(E$2:E3902)*(E3902=E$2:E3902)))))-COUNTBLANK(OFFSET(A$1,,,SUMPRODUCT(MAX(ROW(E$1:E3901)*(E2=E$1:E3901))))))</f>
        <v> </v>
      </c>
      <c r="K3902" s="25" t="str">
        <f>IF(OR(E3902="",E3902="!!!",F3902="NEW"),"",INDEX(J$1:J3901,SUMPRODUCT(MAX(ROW(E$1:E3901)*(E3902=E$1:E3901)))))</f>
        <v> </v>
      </c>
      <c r="L3902" s="26"/>
    </row>
    <row r="3903" spans="1:12">
      <c r="A3903" s="20" t="s">
        <v>1011</v>
      </c>
      <c r="E3903" s="21">
        <f>IF(D3903="?OLD","!!!","")</f>
        <v/>
      </c>
      <c r="F3903" s="22" t="str">
        <f>IF(OR(E3903="",E3903="!!!"),"",IF(NOT(ISNA(VLOOKUP(E3903,E$1:E3902,1,FALSE()))),"OLD",IF(AND(E3903&lt;&gt;"",E3903&lt;&gt;"!!!"),"NEW","")))</f>
        <v> </v>
      </c>
      <c r="G3903" s="23" t="str">
        <f>IF(OR(E3903="",E3903="!!!"),"",IF(OR(J3903=0,AND(J3903=1,K3903=1),AND(J3903=1,I3903="SBJ"),AND(J3903=1,I3903=0)),"?IN_FOCUS",IF(J3903&lt;=2,"?ACTIVATED",IF(J3903&lt;&gt;"","?FAMILIAR",IF(F3903="NEW",IF(ISNA(VLOOKUP(E3903,#REF!,1,FALSE())),"?TYPE_IDENTIFIABLE","?REFERENTIAL"),"_")))))</f>
        <v> </v>
      </c>
      <c r="H3903" s="24" t="str">
        <f>IF(J3903&lt;&gt;1,"",IF(I3903="SBJ","CB","?"))</f>
        <v> </v>
      </c>
      <c r="I3903" s="25" t="str">
        <f>IF(OR(E3903="",E3903="!!!",F3903="NEW"),"",INDEX(B3902:B$2,-1+SUMPRODUCT(MAX(ROW(E3902:E$2)*(E3903=E3902:E$2)))))</f>
        <v> </v>
      </c>
      <c r="J3903" s="25" t="str">
        <f>IF(OR(E3903="",E3903="!!!",F3903="NEW"),"",COUNTBLANK(OFFSET(A$1,,,SUMPRODUCT(MAX(ROW(E$2:E3903)*(E3903=E$2:E3903)))))-COUNTBLANK(OFFSET(A$1,,,SUMPRODUCT(MAX(ROW(E$1:E3902)*(E2=E$1:E3902))))))</f>
        <v> </v>
      </c>
      <c r="K3903" s="25" t="str">
        <f>IF(OR(E3903="",E3903="!!!",F3903="NEW"),"",INDEX(J$1:J3902,SUMPRODUCT(MAX(ROW(E$1:E3902)*(E3903=E$1:E3902)))))</f>
        <v> </v>
      </c>
      <c r="L3903" s="26"/>
    </row>
    <row r="3904" spans="1:12">
      <c r="A3904" s="20" t="s">
        <v>544</v>
      </c>
      <c r="E3904" s="21">
        <f>IF(D3904="?OLD","!!!","")</f>
        <v/>
      </c>
      <c r="F3904" s="22" t="str">
        <f>IF(OR(E3904="",E3904="!!!"),"",IF(NOT(ISNA(VLOOKUP(E3904,E$1:E3903,1,FALSE()))),"OLD",IF(AND(E3904&lt;&gt;"",E3904&lt;&gt;"!!!"),"NEW","")))</f>
        <v> </v>
      </c>
      <c r="G3904" s="23" t="str">
        <f>IF(OR(E3904="",E3904="!!!"),"",IF(OR(J3904=0,AND(J3904=1,K3904=1),AND(J3904=1,I3904="SBJ"),AND(J3904=1,I3904=0)),"?IN_FOCUS",IF(J3904&lt;=2,"?ACTIVATED",IF(J3904&lt;&gt;"","?FAMILIAR",IF(F3904="NEW",IF(ISNA(VLOOKUP(E3904,#REF!,1,FALSE())),"?TYPE_IDENTIFIABLE","?REFERENTIAL"),"_")))))</f>
        <v> </v>
      </c>
      <c r="H3904" s="24" t="str">
        <f>IF(J3904&lt;&gt;1,"",IF(I3904="SBJ","CB","?"))</f>
        <v> </v>
      </c>
      <c r="I3904" s="25" t="str">
        <f>IF(OR(E3904="",E3904="!!!",F3904="NEW"),"",INDEX(B3903:B$2,-1+SUMPRODUCT(MAX(ROW(E3903:E$2)*(E3904=E3903:E$2)))))</f>
        <v> </v>
      </c>
      <c r="J3904" s="25" t="str">
        <f>IF(OR(E3904="",E3904="!!!",F3904="NEW"),"",COUNTBLANK(OFFSET(A$1,,,SUMPRODUCT(MAX(ROW(E$2:E3904)*(E3904=E$2:E3904)))))-COUNTBLANK(OFFSET(A$1,,,SUMPRODUCT(MAX(ROW(E$1:E3903)*(E2=E$1:E3903))))))</f>
        <v> </v>
      </c>
      <c r="K3904" s="25" t="str">
        <f>IF(OR(E3904="",E3904="!!!",F3904="NEW"),"",INDEX(J$1:J3903,SUMPRODUCT(MAX(ROW(E$1:E3903)*(E3904=E$1:E3903)))))</f>
        <v> </v>
      </c>
      <c r="L3904" s="26"/>
    </row>
    <row r="3905" spans="1:12">
      <c r="A3905" s="20" t="s">
        <v>1172</v>
      </c>
      <c r="E3905" s="21">
        <f>IF(D3905="?OLD","!!!","")</f>
        <v/>
      </c>
      <c r="F3905" s="22" t="str">
        <f>IF(OR(E3905="",E3905="!!!"),"",IF(NOT(ISNA(VLOOKUP(E3905,E$1:E3904,1,FALSE()))),"OLD",IF(AND(E3905&lt;&gt;"",E3905&lt;&gt;"!!!"),"NEW","")))</f>
        <v> </v>
      </c>
      <c r="G3905" s="23" t="str">
        <f>IF(OR(E3905="",E3905="!!!"),"",IF(OR(J3905=0,AND(J3905=1,K3905=1),AND(J3905=1,I3905="SBJ"),AND(J3905=1,I3905=0)),"?IN_FOCUS",IF(J3905&lt;=2,"?ACTIVATED",IF(J3905&lt;&gt;"","?FAMILIAR",IF(F3905="NEW",IF(ISNA(VLOOKUP(E3905,#REF!,1,FALSE())),"?TYPE_IDENTIFIABLE","?REFERENTIAL"),"_")))))</f>
        <v> </v>
      </c>
      <c r="H3905" s="24" t="str">
        <f>IF(J3905&lt;&gt;1,"",IF(I3905="SBJ","CB","?"))</f>
        <v> </v>
      </c>
      <c r="I3905" s="25" t="str">
        <f>IF(OR(E3905="",E3905="!!!",F3905="NEW"),"",INDEX(B3904:B$2,-1+SUMPRODUCT(MAX(ROW(E3904:E$2)*(E3905=E3904:E$2)))))</f>
        <v> </v>
      </c>
      <c r="J3905" s="25" t="str">
        <f>IF(OR(E3905="",E3905="!!!",F3905="NEW"),"",COUNTBLANK(OFFSET(A$1,,,SUMPRODUCT(MAX(ROW(E$2:E3905)*(E3905=E$2:E3905)))))-COUNTBLANK(OFFSET(A$1,,,SUMPRODUCT(MAX(ROW(E$1:E3904)*(E2=E$1:E3904))))))</f>
        <v> </v>
      </c>
      <c r="K3905" s="25" t="str">
        <f>IF(OR(E3905="",E3905="!!!",F3905="NEW"),"",INDEX(J$1:J3904,SUMPRODUCT(MAX(ROW(E$1:E3904)*(E3905=E$1:E3904)))))</f>
        <v> </v>
      </c>
      <c r="L3905" s="26"/>
    </row>
    <row r="3906" spans="1:12">
      <c r="A3906" s="20" t="s">
        <v>1244</v>
      </c>
      <c r="B3906" s="27" t="s">
        <v>1026</v>
      </c>
      <c r="C3906" s="27" t="s">
        <v>1068</v>
      </c>
      <c r="D3906" s="27" t="s">
        <v>1014</v>
      </c>
      <c r="E3906" s="21">
        <f>IF(D3906="?OLD","!!!","")</f>
        <v/>
      </c>
      <c r="F3906" s="22" t="str">
        <f>IF(OR(E3906="",E3906="!!!"),"",IF(NOT(ISNA(VLOOKUP(E3906,E$1:E3905,1,FALSE()))),"OLD",IF(AND(E3906&lt;&gt;"",E3906&lt;&gt;"!!!"),"NEW","")))</f>
        <v> </v>
      </c>
      <c r="G3906" s="23" t="str">
        <f>IF(OR(E3906="",E3906="!!!"),"",IF(OR(J3906=0,AND(J3906=1,K3906=1),AND(J3906=1,I3906="SBJ"),AND(J3906=1,I3906=0)),"?IN_FOCUS",IF(J3906&lt;=2,"?ACTIVATED",IF(J3906&lt;&gt;"","?FAMILIAR",IF(F3906="NEW",IF(ISNA(VLOOKUP(E3906,#REF!,1,FALSE())),"?TYPE_IDENTIFIABLE","?REFERENTIAL"),"_")))))</f>
        <v> </v>
      </c>
      <c r="H3906" s="24" t="str">
        <f>IF(J3906&lt;&gt;1,"",IF(I3906="SBJ","CB","?"))</f>
        <v> </v>
      </c>
      <c r="I3906" s="25" t="str">
        <f>IF(OR(E3906="",E3906="!!!",F3906="NEW"),"",INDEX(B3905:B$2,-1+SUMPRODUCT(MAX(ROW(E3905:E$2)*(E3906=E3905:E$2)))))</f>
        <v> </v>
      </c>
      <c r="J3906" s="25" t="str">
        <f>IF(OR(E3906="",E3906="!!!",F3906="NEW"),"",COUNTBLANK(OFFSET(A$1,,,SUMPRODUCT(MAX(ROW(E$2:E3906)*(E3906=E$2:E3906)))))-COUNTBLANK(OFFSET(A$1,,,SUMPRODUCT(MAX(ROW(E$1:E3905)*(E2=E$1:E3905))))))</f>
        <v> </v>
      </c>
      <c r="K3906" s="25" t="str">
        <f>IF(OR(E3906="",E3906="!!!",F3906="NEW"),"",INDEX(J$1:J3905,SUMPRODUCT(MAX(ROW(E$1:E3905)*(E3906=E$1:E3905)))))</f>
        <v> </v>
      </c>
      <c r="L3906" s="26"/>
    </row>
    <row r="3907" spans="1:12">
      <c r="A3907" s="20" t="s">
        <v>2017</v>
      </c>
      <c r="E3907" s="21">
        <f>IF(D3907="?OLD","!!!","")</f>
        <v/>
      </c>
      <c r="F3907" s="22" t="str">
        <f>IF(OR(E3907="",E3907="!!!"),"",IF(NOT(ISNA(VLOOKUP(E3907,E$1:E3906,1,FALSE()))),"OLD",IF(AND(E3907&lt;&gt;"",E3907&lt;&gt;"!!!"),"NEW","")))</f>
        <v> </v>
      </c>
      <c r="G3907" s="23" t="str">
        <f>IF(OR(E3907="",E3907="!!!"),"",IF(OR(J3907=0,AND(J3907=1,K3907=1),AND(J3907=1,I3907="SBJ"),AND(J3907=1,I3907=0)),"?IN_FOCUS",IF(J3907&lt;=2,"?ACTIVATED",IF(J3907&lt;&gt;"","?FAMILIAR",IF(F3907="NEW",IF(ISNA(VLOOKUP(E3907,#REF!,1,FALSE())),"?TYPE_IDENTIFIABLE","?REFERENTIAL"),"_")))))</f>
        <v> </v>
      </c>
      <c r="H3907" s="24" t="str">
        <f>IF(J3907&lt;&gt;1,"",IF(I3907="SBJ","CB","?"))</f>
        <v> </v>
      </c>
      <c r="I3907" s="25" t="str">
        <f>IF(OR(E3907="",E3907="!!!",F3907="NEW"),"",INDEX(B3906:B$2,-1+SUMPRODUCT(MAX(ROW(E3906:E$2)*(E3907=E3906:E$2)))))</f>
        <v> </v>
      </c>
      <c r="J3907" s="25" t="str">
        <f>IF(OR(E3907="",E3907="!!!",F3907="NEW"),"",COUNTBLANK(OFFSET(A$1,,,SUMPRODUCT(MAX(ROW(E$2:E3907)*(E3907=E$2:E3907)))))-COUNTBLANK(OFFSET(A$1,,,SUMPRODUCT(MAX(ROW(E$1:E3906)*(E2=E$1:E3906))))))</f>
        <v> </v>
      </c>
      <c r="K3907" s="25" t="str">
        <f>IF(OR(E3907="",E3907="!!!",F3907="NEW"),"",INDEX(J$1:J3906,SUMPRODUCT(MAX(ROW(E$1:E3906)*(E3907=E$1:E3906)))))</f>
        <v> </v>
      </c>
      <c r="L3907" s="26"/>
    </row>
    <row r="3908" spans="1:12">
      <c r="A3908" s="20" t="s">
        <v>2018</v>
      </c>
      <c r="B3908" s="27" t="s">
        <v>1026</v>
      </c>
      <c r="C3908" s="27" t="s">
        <v>1071</v>
      </c>
      <c r="D3908" s="27" t="s">
        <v>1014</v>
      </c>
      <c r="E3908" s="21">
        <f>IF(D3908="?OLD","!!!","")</f>
        <v/>
      </c>
      <c r="F3908" s="22" t="str">
        <f>IF(OR(E3908="",E3908="!!!"),"",IF(NOT(ISNA(VLOOKUP(E3908,E$1:E3907,1,FALSE()))),"OLD",IF(AND(E3908&lt;&gt;"",E3908&lt;&gt;"!!!"),"NEW","")))</f>
        <v> </v>
      </c>
      <c r="G3908" s="23" t="str">
        <f>IF(OR(E3908="",E3908="!!!"),"",IF(OR(J3908=0,AND(J3908=1,K3908=1),AND(J3908=1,I3908="SBJ"),AND(J3908=1,I3908=0)),"?IN_FOCUS",IF(J3908&lt;=2,"?ACTIVATED",IF(J3908&lt;&gt;"","?FAMILIAR",IF(F3908="NEW",IF(ISNA(VLOOKUP(E3908,#REF!,1,FALSE())),"?TYPE_IDENTIFIABLE","?REFERENTIAL"),"_")))))</f>
        <v> </v>
      </c>
      <c r="H3908" s="24" t="str">
        <f>IF(J3908&lt;&gt;1,"",IF(I3908="SBJ","CB","?"))</f>
        <v> </v>
      </c>
      <c r="I3908" s="25" t="str">
        <f>IF(OR(E3908="",E3908="!!!",F3908="NEW"),"",INDEX(B3907:B$2,-1+SUMPRODUCT(MAX(ROW(E3907:E$2)*(E3908=E3907:E$2)))))</f>
        <v> </v>
      </c>
      <c r="J3908" s="25" t="str">
        <f>IF(OR(E3908="",E3908="!!!",F3908="NEW"),"",COUNTBLANK(OFFSET(A$1,,,SUMPRODUCT(MAX(ROW(E$2:E3908)*(E3908=E$2:E3908)))))-COUNTBLANK(OFFSET(A$1,,,SUMPRODUCT(MAX(ROW(E$1:E3907)*(E2=E$1:E3907))))))</f>
        <v> </v>
      </c>
      <c r="K3908" s="25" t="str">
        <f>IF(OR(E3908="",E3908="!!!",F3908="NEW"),"",INDEX(J$1:J3907,SUMPRODUCT(MAX(ROW(E$1:E3907)*(E3908=E$1:E3907)))))</f>
        <v> </v>
      </c>
      <c r="L3908" s="26"/>
    </row>
    <row r="3909" spans="1:12">
      <c r="A3909" s="20" t="s">
        <v>1391</v>
      </c>
      <c r="E3909" s="21">
        <f>IF(D3909="?OLD","!!!","")</f>
        <v/>
      </c>
      <c r="F3909" s="22" t="str">
        <f>IF(OR(E3909="",E3909="!!!"),"",IF(NOT(ISNA(VLOOKUP(E3909,E$1:E3908,1,FALSE()))),"OLD",IF(AND(E3909&lt;&gt;"",E3909&lt;&gt;"!!!"),"NEW","")))</f>
        <v> </v>
      </c>
      <c r="G3909" s="23" t="str">
        <f>IF(OR(E3909="",E3909="!!!"),"",IF(OR(J3909=0,AND(J3909=1,K3909=1),AND(J3909=1,I3909="SBJ"),AND(J3909=1,I3909=0)),"?IN_FOCUS",IF(J3909&lt;=2,"?ACTIVATED",IF(J3909&lt;&gt;"","?FAMILIAR",IF(F3909="NEW",IF(ISNA(VLOOKUP(E3909,#REF!,1,FALSE())),"?TYPE_IDENTIFIABLE","?REFERENTIAL"),"_")))))</f>
        <v> </v>
      </c>
      <c r="H3909" s="24" t="str">
        <f>IF(J3909&lt;&gt;1,"",IF(I3909="SBJ","CB","?"))</f>
        <v> </v>
      </c>
      <c r="I3909" s="25" t="str">
        <f>IF(OR(E3909="",E3909="!!!",F3909="NEW"),"",INDEX(B3908:B$2,-1+SUMPRODUCT(MAX(ROW(E3908:E$2)*(E3909=E3908:E$2)))))</f>
        <v> </v>
      </c>
      <c r="J3909" s="25" t="str">
        <f>IF(OR(E3909="",E3909="!!!",F3909="NEW"),"",COUNTBLANK(OFFSET(A$1,,,SUMPRODUCT(MAX(ROW(E$2:E3909)*(E3909=E$2:E3909)))))-COUNTBLANK(OFFSET(A$1,,,SUMPRODUCT(MAX(ROW(E$1:E3908)*(E2=E$1:E3908))))))</f>
        <v> </v>
      </c>
      <c r="K3909" s="25" t="str">
        <f>IF(OR(E3909="",E3909="!!!",F3909="NEW"),"",INDEX(J$1:J3908,SUMPRODUCT(MAX(ROW(E$1:E3908)*(E3909=E$1:E3908)))))</f>
        <v> </v>
      </c>
      <c r="L3909" s="26"/>
    </row>
    <row r="3910" spans="1:12">
      <c r="A3910" s="20" t="s">
        <v>1933</v>
      </c>
      <c r="B3910" s="27" t="s">
        <v>1026</v>
      </c>
      <c r="C3910" s="27" t="s">
        <v>1087</v>
      </c>
      <c r="E3910" s="21">
        <f>IF(D3910="?OLD","!!!","")</f>
        <v/>
      </c>
      <c r="F3910" s="22" t="str">
        <f>IF(OR(E3910="",E3910="!!!"),"",IF(NOT(ISNA(VLOOKUP(E3910,E$1:E3909,1,FALSE()))),"OLD",IF(AND(E3910&lt;&gt;"",E3910&lt;&gt;"!!!"),"NEW","")))</f>
        <v> </v>
      </c>
      <c r="G3910" s="23" t="str">
        <f>IF(OR(E3910="",E3910="!!!"),"",IF(OR(J3910=0,AND(J3910=1,K3910=1),AND(J3910=1,I3910="SBJ"),AND(J3910=1,I3910=0)),"?IN_FOCUS",IF(J3910&lt;=2,"?ACTIVATED",IF(J3910&lt;&gt;"","?FAMILIAR",IF(F3910="NEW",IF(ISNA(VLOOKUP(E3910,#REF!,1,FALSE())),"?TYPE_IDENTIFIABLE","?REFERENTIAL"),"_")))))</f>
        <v> </v>
      </c>
      <c r="H3910" s="24" t="str">
        <f>IF(J3910&lt;&gt;1,"",IF(I3910="SBJ","CB","?"))</f>
        <v> </v>
      </c>
      <c r="I3910" s="25" t="str">
        <f>IF(OR(E3910="",E3910="!!!",F3910="NEW"),"",INDEX(B3909:B$2,-1+SUMPRODUCT(MAX(ROW(E3909:E$2)*(E3910=E3909:E$2)))))</f>
        <v> </v>
      </c>
      <c r="J3910" s="25" t="str">
        <f>IF(OR(E3910="",E3910="!!!",F3910="NEW"),"",COUNTBLANK(OFFSET(A$1,,,SUMPRODUCT(MAX(ROW(E$2:E3910)*(E3910=E$2:E3910)))))-COUNTBLANK(OFFSET(A$1,,,SUMPRODUCT(MAX(ROW(E$1:E3909)*(E2=E$1:E3909))))))</f>
        <v> </v>
      </c>
      <c r="K3910" s="25" t="str">
        <f>IF(OR(E3910="",E3910="!!!",F3910="NEW"),"",INDEX(J$1:J3909,SUMPRODUCT(MAX(ROW(E$1:E3909)*(E3910=E$1:E3909)))))</f>
        <v> </v>
      </c>
      <c r="L3910" s="26"/>
    </row>
    <row r="3911" spans="1:12">
      <c r="A3911" s="20" t="s">
        <v>1027</v>
      </c>
      <c r="E3911" s="21">
        <f>IF(D3911="?OLD","!!!","")</f>
        <v/>
      </c>
      <c r="F3911" s="22" t="str">
        <f>IF(OR(E3911="",E3911="!!!"),"",IF(NOT(ISNA(VLOOKUP(E3911,E$1:E3910,1,FALSE()))),"OLD",IF(AND(E3911&lt;&gt;"",E3911&lt;&gt;"!!!"),"NEW","")))</f>
        <v> </v>
      </c>
      <c r="G3911" s="23" t="str">
        <f>IF(OR(E3911="",E3911="!!!"),"",IF(OR(J3911=0,AND(J3911=1,K3911=1),AND(J3911=1,I3911="SBJ"),AND(J3911=1,I3911=0)),"?IN_FOCUS",IF(J3911&lt;=2,"?ACTIVATED",IF(J3911&lt;&gt;"","?FAMILIAR",IF(F3911="NEW",IF(ISNA(VLOOKUP(E3911,#REF!,1,FALSE())),"?TYPE_IDENTIFIABLE","?REFERENTIAL"),"_")))))</f>
        <v> </v>
      </c>
      <c r="H3911" s="24" t="str">
        <f>IF(J3911&lt;&gt;1,"",IF(I3911="SBJ","CB","?"))</f>
        <v> </v>
      </c>
      <c r="I3911" s="25" t="str">
        <f>IF(OR(E3911="",E3911="!!!",F3911="NEW"),"",INDEX(B3910:B$2,-1+SUMPRODUCT(MAX(ROW(E3910:E$2)*(E3911=E3910:E$2)))))</f>
        <v> </v>
      </c>
      <c r="J3911" s="25" t="str">
        <f>IF(OR(E3911="",E3911="!!!",F3911="NEW"),"",COUNTBLANK(OFFSET(A$1,,,SUMPRODUCT(MAX(ROW(E$2:E3911)*(E3911=E$2:E3911)))))-COUNTBLANK(OFFSET(A$1,,,SUMPRODUCT(MAX(ROW(E$1:E3910)*(E2=E$1:E3910))))))</f>
        <v> </v>
      </c>
      <c r="K3911" s="25" t="str">
        <f>IF(OR(E3911="",E3911="!!!",F3911="NEW"),"",INDEX(J$1:J3910,SUMPRODUCT(MAX(ROW(E$1:E3910)*(E3911=E$1:E3910)))))</f>
        <v> </v>
      </c>
      <c r="L3911" s="26"/>
    </row>
    <row r="3912" spans="1:12">
      <c r="A3912" s="20" t="s">
        <v>1244</v>
      </c>
      <c r="B3912" s="27" t="s">
        <v>1043</v>
      </c>
      <c r="C3912" s="27" t="s">
        <v>1068</v>
      </c>
      <c r="D3912" s="27" t="s">
        <v>1014</v>
      </c>
      <c r="E3912" s="21">
        <f>IF(D3912="?OLD","!!!","")</f>
        <v/>
      </c>
      <c r="F3912" s="22" t="str">
        <f>IF(OR(E3912="",E3912="!!!"),"",IF(NOT(ISNA(VLOOKUP(E3912,E$1:E3911,1,FALSE()))),"OLD",IF(AND(E3912&lt;&gt;"",E3912&lt;&gt;"!!!"),"NEW","")))</f>
        <v> </v>
      </c>
      <c r="G3912" s="23" t="str">
        <f>IF(OR(E3912="",E3912="!!!"),"",IF(OR(J3912=0,AND(J3912=1,K3912=1),AND(J3912=1,I3912="SBJ"),AND(J3912=1,I3912=0)),"?IN_FOCUS",IF(J3912&lt;=2,"?ACTIVATED",IF(J3912&lt;&gt;"","?FAMILIAR",IF(F3912="NEW",IF(ISNA(VLOOKUP(E3912,#REF!,1,FALSE())),"?TYPE_IDENTIFIABLE","?REFERENTIAL"),"_")))))</f>
        <v> </v>
      </c>
      <c r="H3912" s="24" t="str">
        <f>IF(J3912&lt;&gt;1,"",IF(I3912="SBJ","CB","?"))</f>
        <v> </v>
      </c>
      <c r="I3912" s="25" t="str">
        <f>IF(OR(E3912="",E3912="!!!",F3912="NEW"),"",INDEX(B3911:B$2,-1+SUMPRODUCT(MAX(ROW(E3911:E$2)*(E3912=E3911:E$2)))))</f>
        <v> </v>
      </c>
      <c r="J3912" s="25" t="str">
        <f>IF(OR(E3912="",E3912="!!!",F3912="NEW"),"",COUNTBLANK(OFFSET(A$1,,,SUMPRODUCT(MAX(ROW(E$2:E3912)*(E3912=E$2:E3912)))))-COUNTBLANK(OFFSET(A$1,,,SUMPRODUCT(MAX(ROW(E$1:E3911)*(E2=E$1:E3911))))))</f>
        <v> </v>
      </c>
      <c r="K3912" s="25" t="str">
        <f>IF(OR(E3912="",E3912="!!!",F3912="NEW"),"",INDEX(J$1:J3911,SUMPRODUCT(MAX(ROW(E$1:E3911)*(E3912=E$1:E3911)))))</f>
        <v> </v>
      </c>
      <c r="L3912" s="26"/>
    </row>
    <row r="3913" spans="1:12">
      <c r="A3913" s="20" t="s">
        <v>2019</v>
      </c>
      <c r="B3913" s="27" t="s">
        <v>1026</v>
      </c>
      <c r="C3913" s="27" t="s">
        <v>1071</v>
      </c>
      <c r="D3913" s="27" t="s">
        <v>1014</v>
      </c>
      <c r="E3913" s="21">
        <f>IF(D3913="?OLD","!!!","")</f>
        <v/>
      </c>
      <c r="F3913" s="22" t="str">
        <f>IF(OR(E3913="",E3913="!!!"),"",IF(NOT(ISNA(VLOOKUP(E3913,E$1:E3912,1,FALSE()))),"OLD",IF(AND(E3913&lt;&gt;"",E3913&lt;&gt;"!!!"),"NEW","")))</f>
        <v> </v>
      </c>
      <c r="G3913" s="23" t="str">
        <f>IF(OR(E3913="",E3913="!!!"),"",IF(OR(J3913=0,AND(J3913=1,K3913=1),AND(J3913=1,I3913="SBJ"),AND(J3913=1,I3913=0)),"?IN_FOCUS",IF(J3913&lt;=2,"?ACTIVATED",IF(J3913&lt;&gt;"","?FAMILIAR",IF(F3913="NEW",IF(ISNA(VLOOKUP(E3913,#REF!,1,FALSE())),"?TYPE_IDENTIFIABLE","?REFERENTIAL"),"_")))))</f>
        <v> </v>
      </c>
      <c r="H3913" s="24" t="str">
        <f>IF(J3913&lt;&gt;1,"",IF(I3913="SBJ","CB","?"))</f>
        <v> </v>
      </c>
      <c r="I3913" s="25" t="str">
        <f>IF(OR(E3913="",E3913="!!!",F3913="NEW"),"",INDEX(B3912:B$2,-1+SUMPRODUCT(MAX(ROW(E3912:E$2)*(E3913=E3912:E$2)))))</f>
        <v> </v>
      </c>
      <c r="J3913" s="25" t="str">
        <f>IF(OR(E3913="",E3913="!!!",F3913="NEW"),"",COUNTBLANK(OFFSET(A$1,,,SUMPRODUCT(MAX(ROW(E$2:E3913)*(E3913=E$2:E3913)))))-COUNTBLANK(OFFSET(A$1,,,SUMPRODUCT(MAX(ROW(E$1:E3912)*(E2=E$1:E3912))))))</f>
        <v> </v>
      </c>
      <c r="K3913" s="25" t="str">
        <f>IF(OR(E3913="",E3913="!!!",F3913="NEW"),"",INDEX(J$1:J3912,SUMPRODUCT(MAX(ROW(E$1:E3912)*(E3913=E$1:E3912)))))</f>
        <v> </v>
      </c>
      <c r="L3913" s="26"/>
    </row>
    <row r="3914" spans="1:12">
      <c r="A3914" s="20" t="s">
        <v>1117</v>
      </c>
      <c r="E3914" s="21">
        <f>IF(D3914="?OLD","!!!","")</f>
        <v/>
      </c>
      <c r="F3914" s="22" t="str">
        <f>IF(OR(E3914="",E3914="!!!"),"",IF(NOT(ISNA(VLOOKUP(E3914,E$1:E3913,1,FALSE()))),"OLD",IF(AND(E3914&lt;&gt;"",E3914&lt;&gt;"!!!"),"NEW","")))</f>
        <v> </v>
      </c>
      <c r="G3914" s="23" t="str">
        <f>IF(OR(E3914="",E3914="!!!"),"",IF(OR(J3914=0,AND(J3914=1,K3914=1),AND(J3914=1,I3914="SBJ"),AND(J3914=1,I3914=0)),"?IN_FOCUS",IF(J3914&lt;=2,"?ACTIVATED",IF(J3914&lt;&gt;"","?FAMILIAR",IF(F3914="NEW",IF(ISNA(VLOOKUP(E3914,#REF!,1,FALSE())),"?TYPE_IDENTIFIABLE","?REFERENTIAL"),"_")))))</f>
        <v> </v>
      </c>
      <c r="H3914" s="24" t="str">
        <f>IF(J3914&lt;&gt;1,"",IF(I3914="SBJ","CB","?"))</f>
        <v> </v>
      </c>
      <c r="I3914" s="25" t="str">
        <f>IF(OR(E3914="",E3914="!!!",F3914="NEW"),"",INDEX(B3913:B$2,-1+SUMPRODUCT(MAX(ROW(E3913:E$2)*(E3914=E3913:E$2)))))</f>
        <v> </v>
      </c>
      <c r="J3914" s="25" t="str">
        <f>IF(OR(E3914="",E3914="!!!",F3914="NEW"),"",COUNTBLANK(OFFSET(A$1,,,SUMPRODUCT(MAX(ROW(E$2:E3914)*(E3914=E$2:E3914)))))-COUNTBLANK(OFFSET(A$1,,,SUMPRODUCT(MAX(ROW(E$1:E3913)*(E2=E$1:E3913))))))</f>
        <v> </v>
      </c>
      <c r="K3914" s="25" t="str">
        <f>IF(OR(E3914="",E3914="!!!",F3914="NEW"),"",INDEX(J$1:J3913,SUMPRODUCT(MAX(ROW(E$1:E3913)*(E3914=E$1:E3913)))))</f>
        <v> </v>
      </c>
      <c r="L3914" s="26"/>
    </row>
    <row r="3915" spans="1:12">
      <c r="A3915" s="20" t="s">
        <v>2020</v>
      </c>
      <c r="E3915" s="21">
        <f>IF(D3915="?OLD","!!!","")</f>
        <v/>
      </c>
      <c r="F3915" s="22" t="str">
        <f>IF(OR(E3915="",E3915="!!!"),"",IF(NOT(ISNA(VLOOKUP(E3915,E$1:E3914,1,FALSE()))),"OLD",IF(AND(E3915&lt;&gt;"",E3915&lt;&gt;"!!!"),"NEW","")))</f>
        <v> </v>
      </c>
      <c r="G3915" s="23" t="str">
        <f>IF(OR(E3915="",E3915="!!!"),"",IF(OR(J3915=0,AND(J3915=1,K3915=1),AND(J3915=1,I3915="SBJ"),AND(J3915=1,I3915=0)),"?IN_FOCUS",IF(J3915&lt;=2,"?ACTIVATED",IF(J3915&lt;&gt;"","?FAMILIAR",IF(F3915="NEW",IF(ISNA(VLOOKUP(E3915,#REF!,1,FALSE())),"?TYPE_IDENTIFIABLE","?REFERENTIAL"),"_")))))</f>
        <v> </v>
      </c>
      <c r="H3915" s="24" t="str">
        <f>IF(J3915&lt;&gt;1,"",IF(I3915="SBJ","CB","?"))</f>
        <v> </v>
      </c>
      <c r="I3915" s="25" t="str">
        <f>IF(OR(E3915="",E3915="!!!",F3915="NEW"),"",INDEX(B3914:B$2,-1+SUMPRODUCT(MAX(ROW(E3914:E$2)*(E3915=E3914:E$2)))))</f>
        <v> </v>
      </c>
      <c r="J3915" s="25" t="str">
        <f>IF(OR(E3915="",E3915="!!!",F3915="NEW"),"",COUNTBLANK(OFFSET(A$1,,,SUMPRODUCT(MAX(ROW(E$2:E3915)*(E3915=E$2:E3915)))))-COUNTBLANK(OFFSET(A$1,,,SUMPRODUCT(MAX(ROW(E$1:E3914)*(E2=E$1:E3914))))))</f>
        <v> </v>
      </c>
      <c r="K3915" s="25" t="str">
        <f>IF(OR(E3915="",E3915="!!!",F3915="NEW"),"",INDEX(J$1:J3914,SUMPRODUCT(MAX(ROW(E$1:E3914)*(E3915=E$1:E3914)))))</f>
        <v> </v>
      </c>
      <c r="L3915" s="26"/>
    </row>
    <row r="3916" spans="1:12">
      <c r="A3916" s="20" t="s">
        <v>1175</v>
      </c>
      <c r="E3916" s="21">
        <f>IF(D3916="?OLD","!!!","")</f>
        <v/>
      </c>
      <c r="F3916" s="22" t="str">
        <f>IF(OR(E3916="",E3916="!!!"),"",IF(NOT(ISNA(VLOOKUP(E3916,E$1:E3915,1,FALSE()))),"OLD",IF(AND(E3916&lt;&gt;"",E3916&lt;&gt;"!!!"),"NEW","")))</f>
        <v> </v>
      </c>
      <c r="G3916" s="23" t="str">
        <f>IF(OR(E3916="",E3916="!!!"),"",IF(OR(J3916=0,AND(J3916=1,K3916=1),AND(J3916=1,I3916="SBJ"),AND(J3916=1,I3916=0)),"?IN_FOCUS",IF(J3916&lt;=2,"?ACTIVATED",IF(J3916&lt;&gt;"","?FAMILIAR",IF(F3916="NEW",IF(ISNA(VLOOKUP(E3916,#REF!,1,FALSE())),"?TYPE_IDENTIFIABLE","?REFERENTIAL"),"_")))))</f>
        <v> </v>
      </c>
      <c r="H3916" s="24" t="str">
        <f>IF(J3916&lt;&gt;1,"",IF(I3916="SBJ","CB","?"))</f>
        <v> </v>
      </c>
      <c r="I3916" s="25" t="str">
        <f>IF(OR(E3916="",E3916="!!!",F3916="NEW"),"",INDEX(B3915:B$2,-1+SUMPRODUCT(MAX(ROW(E3915:E$2)*(E3916=E3915:E$2)))))</f>
        <v> </v>
      </c>
      <c r="J3916" s="25" t="str">
        <f>IF(OR(E3916="",E3916="!!!",F3916="NEW"),"",COUNTBLANK(OFFSET(A$1,,,SUMPRODUCT(MAX(ROW(E$2:E3916)*(E3916=E$2:E3916)))))-COUNTBLANK(OFFSET(A$1,,,SUMPRODUCT(MAX(ROW(E$1:E3915)*(E2=E$1:E3915))))))</f>
        <v> </v>
      </c>
      <c r="K3916" s="25" t="str">
        <f>IF(OR(E3916="",E3916="!!!",F3916="NEW"),"",INDEX(J$1:J3915,SUMPRODUCT(MAX(ROW(E$1:E3915)*(E3916=E$1:E3915)))))</f>
        <v> </v>
      </c>
      <c r="L3916" s="26"/>
    </row>
    <row r="3917" spans="1:12">
      <c r="A3917" s="20" t="s">
        <v>879</v>
      </c>
      <c r="B3917" s="27" t="s">
        <v>1020</v>
      </c>
      <c r="C3917" s="27" t="s">
        <v>1087</v>
      </c>
      <c r="E3917" s="21">
        <f>IF(D3917="?OLD","!!!","")</f>
        <v/>
      </c>
      <c r="F3917" s="22" t="str">
        <f>IF(OR(E3917="",E3917="!!!"),"",IF(NOT(ISNA(VLOOKUP(E3917,E$1:E3916,1,FALSE()))),"OLD",IF(AND(E3917&lt;&gt;"",E3917&lt;&gt;"!!!"),"NEW","")))</f>
        <v> </v>
      </c>
      <c r="G3917" s="23" t="str">
        <f>IF(OR(E3917="",E3917="!!!"),"",IF(OR(J3917=0,AND(J3917=1,K3917=1),AND(J3917=1,I3917="SBJ"),AND(J3917=1,I3917=0)),"?IN_FOCUS",IF(J3917&lt;=2,"?ACTIVATED",IF(J3917&lt;&gt;"","?FAMILIAR",IF(F3917="NEW",IF(ISNA(VLOOKUP(E3917,#REF!,1,FALSE())),"?TYPE_IDENTIFIABLE","?REFERENTIAL"),"_")))))</f>
        <v> </v>
      </c>
      <c r="H3917" s="24" t="str">
        <f>IF(J3917&lt;&gt;1,"",IF(I3917="SBJ","CB","?"))</f>
        <v> </v>
      </c>
      <c r="I3917" s="25" t="str">
        <f>IF(OR(E3917="",E3917="!!!",F3917="NEW"),"",INDEX(B3916:B$2,-1+SUMPRODUCT(MAX(ROW(E3916:E$2)*(E3917=E3916:E$2)))))</f>
        <v> </v>
      </c>
      <c r="J3917" s="25" t="str">
        <f>IF(OR(E3917="",E3917="!!!",F3917="NEW"),"",COUNTBLANK(OFFSET(A$1,,,SUMPRODUCT(MAX(ROW(E$2:E3917)*(E3917=E$2:E3917)))))-COUNTBLANK(OFFSET(A$1,,,SUMPRODUCT(MAX(ROW(E$1:E3916)*(E2=E$1:E3916))))))</f>
        <v> </v>
      </c>
      <c r="K3917" s="25" t="str">
        <f>IF(OR(E3917="",E3917="!!!",F3917="NEW"),"",INDEX(J$1:J3916,SUMPRODUCT(MAX(ROW(E$1:E3916)*(E3917=E$1:E3916)))))</f>
        <v> </v>
      </c>
      <c r="L3917" s="26"/>
    </row>
    <row r="3918" spans="1:12">
      <c r="A3918" s="20" t="s">
        <v>1027</v>
      </c>
      <c r="E3918" s="21">
        <f>IF(D3918="?OLD","!!!","")</f>
        <v/>
      </c>
      <c r="F3918" s="22" t="str">
        <f>IF(OR(E3918="",E3918="!!!"),"",IF(NOT(ISNA(VLOOKUP(E3918,E$1:E3917,1,FALSE()))),"OLD",IF(AND(E3918&lt;&gt;"",E3918&lt;&gt;"!!!"),"NEW","")))</f>
        <v> </v>
      </c>
      <c r="G3918" s="23" t="str">
        <f>IF(OR(E3918="",E3918="!!!"),"",IF(OR(J3918=0,AND(J3918=1,K3918=1),AND(J3918=1,I3918="SBJ"),AND(J3918=1,I3918=0)),"?IN_FOCUS",IF(J3918&lt;=2,"?ACTIVATED",IF(J3918&lt;&gt;"","?FAMILIAR",IF(F3918="NEW",IF(ISNA(VLOOKUP(E3918,#REF!,1,FALSE())),"?TYPE_IDENTIFIABLE","?REFERENTIAL"),"_")))))</f>
        <v> </v>
      </c>
      <c r="H3918" s="24" t="str">
        <f>IF(J3918&lt;&gt;1,"",IF(I3918="SBJ","CB","?"))</f>
        <v> </v>
      </c>
      <c r="I3918" s="25" t="str">
        <f>IF(OR(E3918="",E3918="!!!",F3918="NEW"),"",INDEX(B3917:B$2,-1+SUMPRODUCT(MAX(ROW(E3917:E$2)*(E3918=E3917:E$2)))))</f>
        <v> </v>
      </c>
      <c r="J3918" s="25" t="str">
        <f>IF(OR(E3918="",E3918="!!!",F3918="NEW"),"",COUNTBLANK(OFFSET(A$1,,,SUMPRODUCT(MAX(ROW(E$2:E3918)*(E3918=E$2:E3918)))))-COUNTBLANK(OFFSET(A$1,,,SUMPRODUCT(MAX(ROW(E$1:E3917)*(E2=E$1:E3917))))))</f>
        <v> </v>
      </c>
      <c r="K3918" s="25" t="str">
        <f>IF(OR(E3918="",E3918="!!!",F3918="NEW"),"",INDEX(J$1:J3917,SUMPRODUCT(MAX(ROW(E$1:E3917)*(E3918=E$1:E3917)))))</f>
        <v> </v>
      </c>
      <c r="L3918" s="26"/>
    </row>
    <row r="3919" spans="1:12">
      <c r="A3919" s="20" t="s">
        <v>1164</v>
      </c>
      <c r="E3919" s="21">
        <f>IF(D3919="?OLD","!!!","")</f>
        <v/>
      </c>
      <c r="F3919" s="22" t="str">
        <f>IF(OR(E3919="",E3919="!!!"),"",IF(NOT(ISNA(VLOOKUP(E3919,E$1:E3918,1,FALSE()))),"OLD",IF(AND(E3919&lt;&gt;"",E3919&lt;&gt;"!!!"),"NEW","")))</f>
        <v> </v>
      </c>
      <c r="G3919" s="23" t="str">
        <f>IF(OR(E3919="",E3919="!!!"),"",IF(OR(J3919=0,AND(J3919=1,K3919=1),AND(J3919=1,I3919="SBJ"),AND(J3919=1,I3919=0)),"?IN_FOCUS",IF(J3919&lt;=2,"?ACTIVATED",IF(J3919&lt;&gt;"","?FAMILIAR",IF(F3919="NEW",IF(ISNA(VLOOKUP(E3919,#REF!,1,FALSE())),"?TYPE_IDENTIFIABLE","?REFERENTIAL"),"_")))))</f>
        <v> </v>
      </c>
      <c r="H3919" s="24" t="str">
        <f>IF(J3919&lt;&gt;1,"",IF(I3919="SBJ","CB","?"))</f>
        <v> </v>
      </c>
      <c r="I3919" s="25" t="str">
        <f>IF(OR(E3919="",E3919="!!!",F3919="NEW"),"",INDEX(B3918:B$2,-1+SUMPRODUCT(MAX(ROW(E3918:E$2)*(E3919=E3918:E$2)))))</f>
        <v> </v>
      </c>
      <c r="J3919" s="25" t="str">
        <f>IF(OR(E3919="",E3919="!!!",F3919="NEW"),"",COUNTBLANK(OFFSET(A$1,,,SUMPRODUCT(MAX(ROW(E$2:E3919)*(E3919=E$2:E3919)))))-COUNTBLANK(OFFSET(A$1,,,SUMPRODUCT(MAX(ROW(E$1:E3918)*(E2=E$1:E3918))))))</f>
        <v> </v>
      </c>
      <c r="K3919" s="25" t="str">
        <f>IF(OR(E3919="",E3919="!!!",F3919="NEW"),"",INDEX(J$1:J3918,SUMPRODUCT(MAX(ROW(E$1:E3918)*(E3919=E$1:E3918)))))</f>
        <v> </v>
      </c>
      <c r="L3919" s="26"/>
    </row>
    <row r="3920" spans="1:12">
      <c r="A3920" s="20" t="s">
        <v>879</v>
      </c>
      <c r="B3920" s="27" t="s">
        <v>1090</v>
      </c>
      <c r="C3920" s="27" t="s">
        <v>1087</v>
      </c>
      <c r="E3920" s="21">
        <f>IF(D3920="?OLD","!!!","")</f>
        <v/>
      </c>
      <c r="F3920" s="22" t="str">
        <f>IF(OR(E3920="",E3920="!!!"),"",IF(NOT(ISNA(VLOOKUP(E3920,E$1:E3919,1,FALSE()))),"OLD",IF(AND(E3920&lt;&gt;"",E3920&lt;&gt;"!!!"),"NEW","")))</f>
        <v> </v>
      </c>
      <c r="G3920" s="23" t="str">
        <f>IF(OR(E3920="",E3920="!!!"),"",IF(OR(J3920=0,AND(J3920=1,K3920=1),AND(J3920=1,I3920="SBJ"),AND(J3920=1,I3920=0)),"?IN_FOCUS",IF(J3920&lt;=2,"?ACTIVATED",IF(J3920&lt;&gt;"","?FAMILIAR",IF(F3920="NEW",IF(ISNA(VLOOKUP(E3920,#REF!,1,FALSE())),"?TYPE_IDENTIFIABLE","?REFERENTIAL"),"_")))))</f>
        <v> </v>
      </c>
      <c r="H3920" s="24" t="str">
        <f>IF(J3920&lt;&gt;1,"",IF(I3920="SBJ","CB","?"))</f>
        <v> </v>
      </c>
      <c r="I3920" s="25" t="str">
        <f>IF(OR(E3920="",E3920="!!!",F3920="NEW"),"",INDEX(B3919:B$2,-1+SUMPRODUCT(MAX(ROW(E3919:E$2)*(E3920=E3919:E$2)))))</f>
        <v> </v>
      </c>
      <c r="J3920" s="25" t="str">
        <f>IF(OR(E3920="",E3920="!!!",F3920="NEW"),"",COUNTBLANK(OFFSET(A$1,,,SUMPRODUCT(MAX(ROW(E$2:E3920)*(E3920=E$2:E3920)))))-COUNTBLANK(OFFSET(A$1,,,SUMPRODUCT(MAX(ROW(E$1:E3919)*(E2=E$1:E3919))))))</f>
        <v> </v>
      </c>
      <c r="K3920" s="25" t="str">
        <f>IF(OR(E3920="",E3920="!!!",F3920="NEW"),"",INDEX(J$1:J3919,SUMPRODUCT(MAX(ROW(E$1:E3919)*(E3920=E$1:E3919)))))</f>
        <v> </v>
      </c>
      <c r="L3920" s="26"/>
    </row>
    <row r="3921" spans="1:12">
      <c r="A3921" s="20" t="s">
        <v>1027</v>
      </c>
      <c r="E3921" s="21">
        <f>IF(D3921="?OLD","!!!","")</f>
        <v/>
      </c>
      <c r="F3921" s="22" t="str">
        <f>IF(OR(E3921="",E3921="!!!"),"",IF(NOT(ISNA(VLOOKUP(E3921,E$1:E3920,1,FALSE()))),"OLD",IF(AND(E3921&lt;&gt;"",E3921&lt;&gt;"!!!"),"NEW","")))</f>
        <v> </v>
      </c>
      <c r="G3921" s="23" t="str">
        <f>IF(OR(E3921="",E3921="!!!"),"",IF(OR(J3921=0,AND(J3921=1,K3921=1),AND(J3921=1,I3921="SBJ"),AND(J3921=1,I3921=0)),"?IN_FOCUS",IF(J3921&lt;=2,"?ACTIVATED",IF(J3921&lt;&gt;"","?FAMILIAR",IF(F3921="NEW",IF(ISNA(VLOOKUP(E3921,#REF!,1,FALSE())),"?TYPE_IDENTIFIABLE","?REFERENTIAL"),"_")))))</f>
        <v> </v>
      </c>
      <c r="H3921" s="24" t="str">
        <f>IF(J3921&lt;&gt;1,"",IF(I3921="SBJ","CB","?"))</f>
        <v> </v>
      </c>
      <c r="I3921" s="25" t="str">
        <f>IF(OR(E3921="",E3921="!!!",F3921="NEW"),"",INDEX(B3920:B$2,-1+SUMPRODUCT(MAX(ROW(E3920:E$2)*(E3921=E3920:E$2)))))</f>
        <v> </v>
      </c>
      <c r="J3921" s="25" t="str">
        <f>IF(OR(E3921="",E3921="!!!",F3921="NEW"),"",COUNTBLANK(OFFSET(A$1,,,SUMPRODUCT(MAX(ROW(E$2:E3921)*(E3921=E$2:E3921)))))-COUNTBLANK(OFFSET(A$1,,,SUMPRODUCT(MAX(ROW(E$1:E3920)*(E2=E$1:E3920))))))</f>
        <v> </v>
      </c>
      <c r="K3921" s="25" t="str">
        <f>IF(OR(E3921="",E3921="!!!",F3921="NEW"),"",INDEX(J$1:J3920,SUMPRODUCT(MAX(ROW(E$1:E3920)*(E3921=E$1:E3920)))))</f>
        <v> </v>
      </c>
      <c r="L3921" s="26"/>
    </row>
    <row r="3922" spans="1:12">
      <c r="A3922" s="20" t="s">
        <v>2021</v>
      </c>
      <c r="E3922" s="21">
        <f>IF(D3922="?OLD","!!!","")</f>
        <v/>
      </c>
      <c r="F3922" s="22" t="str">
        <f>IF(OR(E3922="",E3922="!!!"),"",IF(NOT(ISNA(VLOOKUP(E3922,E$1:E3921,1,FALSE()))),"OLD",IF(AND(E3922&lt;&gt;"",E3922&lt;&gt;"!!!"),"NEW","")))</f>
        <v> </v>
      </c>
      <c r="G3922" s="23" t="str">
        <f>IF(OR(E3922="",E3922="!!!"),"",IF(OR(J3922=0,AND(J3922=1,K3922=1),AND(J3922=1,I3922="SBJ"),AND(J3922=1,I3922=0)),"?IN_FOCUS",IF(J3922&lt;=2,"?ACTIVATED",IF(J3922&lt;&gt;"","?FAMILIAR",IF(F3922="NEW",IF(ISNA(VLOOKUP(E3922,#REF!,1,FALSE())),"?TYPE_IDENTIFIABLE","?REFERENTIAL"),"_")))))</f>
        <v> </v>
      </c>
      <c r="H3922" s="24" t="str">
        <f>IF(J3922&lt;&gt;1,"",IF(I3922="SBJ","CB","?"))</f>
        <v> </v>
      </c>
      <c r="I3922" s="25" t="str">
        <f>IF(OR(E3922="",E3922="!!!",F3922="NEW"),"",INDEX(B3921:B$2,-1+SUMPRODUCT(MAX(ROW(E3921:E$2)*(E3922=E3921:E$2)))))</f>
        <v> </v>
      </c>
      <c r="J3922" s="25" t="str">
        <f>IF(OR(E3922="",E3922="!!!",F3922="NEW"),"",COUNTBLANK(OFFSET(A$1,,,SUMPRODUCT(MAX(ROW(E$2:E3922)*(E3922=E$2:E3922)))))-COUNTBLANK(OFFSET(A$1,,,SUMPRODUCT(MAX(ROW(E$1:E3921)*(E2=E$1:E3921))))))</f>
        <v> </v>
      </c>
      <c r="K3922" s="25" t="str">
        <f>IF(OR(E3922="",E3922="!!!",F3922="NEW"),"",INDEX(J$1:J3921,SUMPRODUCT(MAX(ROW(E$1:E3921)*(E3922=E$1:E3921)))))</f>
        <v> </v>
      </c>
      <c r="L3922" s="26"/>
    </row>
    <row r="3923" spans="1:12">
      <c r="A3923" s="20" t="s">
        <v>879</v>
      </c>
      <c r="B3923" s="27" t="s">
        <v>1090</v>
      </c>
      <c r="C3923" s="27" t="s">
        <v>1087</v>
      </c>
      <c r="E3923" s="21">
        <f>IF(D3923="?OLD","!!!","")</f>
        <v/>
      </c>
      <c r="F3923" s="22" t="str">
        <f>IF(OR(E3923="",E3923="!!!"),"",IF(NOT(ISNA(VLOOKUP(E3923,E$1:E3922,1,FALSE()))),"OLD",IF(AND(E3923&lt;&gt;"",E3923&lt;&gt;"!!!"),"NEW","")))</f>
        <v> </v>
      </c>
      <c r="G3923" s="23" t="str">
        <f>IF(OR(E3923="",E3923="!!!"),"",IF(OR(J3923=0,AND(J3923=1,K3923=1),AND(J3923=1,I3923="SBJ"),AND(J3923=1,I3923=0)),"?IN_FOCUS",IF(J3923&lt;=2,"?ACTIVATED",IF(J3923&lt;&gt;"","?FAMILIAR",IF(F3923="NEW",IF(ISNA(VLOOKUP(E3923,#REF!,1,FALSE())),"?TYPE_IDENTIFIABLE","?REFERENTIAL"),"_")))))</f>
        <v> </v>
      </c>
      <c r="H3923" s="24" t="str">
        <f>IF(J3923&lt;&gt;1,"",IF(I3923="SBJ","CB","?"))</f>
        <v> </v>
      </c>
      <c r="I3923" s="25" t="str">
        <f>IF(OR(E3923="",E3923="!!!",F3923="NEW"),"",INDEX(B3922:B$2,-1+SUMPRODUCT(MAX(ROW(E3922:E$2)*(E3923=E3922:E$2)))))</f>
        <v> </v>
      </c>
      <c r="J3923" s="25" t="str">
        <f>IF(OR(E3923="",E3923="!!!",F3923="NEW"),"",COUNTBLANK(OFFSET(A$1,,,SUMPRODUCT(MAX(ROW(E$2:E3923)*(E3923=E$2:E3923)))))-COUNTBLANK(OFFSET(A$1,,,SUMPRODUCT(MAX(ROW(E$1:E3922)*(E2=E$1:E3922))))))</f>
        <v> </v>
      </c>
      <c r="K3923" s="25" t="str">
        <f>IF(OR(E3923="",E3923="!!!",F3923="NEW"),"",INDEX(J$1:J3922,SUMPRODUCT(MAX(ROW(E$1:E3922)*(E3923=E$1:E3922)))))</f>
        <v> </v>
      </c>
      <c r="L3923" s="26"/>
    </row>
    <row r="3924" spans="1:12">
      <c r="A3924" s="20" t="s">
        <v>1022</v>
      </c>
      <c r="E3924" s="21">
        <f>IF(D3924="?OLD","!!!","")</f>
        <v/>
      </c>
      <c r="F3924" s="22" t="str">
        <f>IF(OR(E3924="",E3924="!!!"),"",IF(NOT(ISNA(VLOOKUP(E3924,E$1:E3923,1,FALSE()))),"OLD",IF(AND(E3924&lt;&gt;"",E3924&lt;&gt;"!!!"),"NEW","")))</f>
        <v> </v>
      </c>
      <c r="G3924" s="23" t="str">
        <f>IF(OR(E3924="",E3924="!!!"),"",IF(OR(J3924=0,AND(J3924=1,K3924=1),AND(J3924=1,I3924="SBJ"),AND(J3924=1,I3924=0)),"?IN_FOCUS",IF(J3924&lt;=2,"?ACTIVATED",IF(J3924&lt;&gt;"","?FAMILIAR",IF(F3924="NEW",IF(ISNA(VLOOKUP(E3924,#REF!,1,FALSE())),"?TYPE_IDENTIFIABLE","?REFERENTIAL"),"_")))))</f>
        <v> </v>
      </c>
      <c r="H3924" s="24" t="str">
        <f>IF(J3924&lt;&gt;1,"",IF(I3924="SBJ","CB","?"))</f>
        <v> </v>
      </c>
      <c r="I3924" s="25" t="str">
        <f>IF(OR(E3924="",E3924="!!!",F3924="NEW"),"",INDEX(B3923:B$2,-1+SUMPRODUCT(MAX(ROW(E3923:E$2)*(E3924=E3923:E$2)))))</f>
        <v> </v>
      </c>
      <c r="J3924" s="25" t="str">
        <f>IF(OR(E3924="",E3924="!!!",F3924="NEW"),"",COUNTBLANK(OFFSET(A$1,,,SUMPRODUCT(MAX(ROW(E$2:E3924)*(E3924=E$2:E3924)))))-COUNTBLANK(OFFSET(A$1,,,SUMPRODUCT(MAX(ROW(E$1:E3923)*(E2=E$1:E3923))))))</f>
        <v> </v>
      </c>
      <c r="K3924" s="25" t="str">
        <f>IF(OR(E3924="",E3924="!!!",F3924="NEW"),"",INDEX(J$1:J3923,SUMPRODUCT(MAX(ROW(E$1:E3923)*(E3924=E$1:E3923)))))</f>
        <v> </v>
      </c>
      <c r="L3924" s="26"/>
    </row>
    <row r="3925" spans="1:12">
      <c r="A3925" s="20"/>
    </row>
    <row r="3926" spans="1:12">
      <c r="A3926" s="20" t="s">
        <v>2022</v>
      </c>
    </row>
    <row r="3927" spans="1:12">
      <c r="A3927" s="20" t="s">
        <v>1125</v>
      </c>
      <c r="B3927" s="27" t="s">
        <v>1038</v>
      </c>
      <c r="C3927" s="27" t="s">
        <v>1108</v>
      </c>
      <c r="D3927" s="27" t="s">
        <v>1014</v>
      </c>
      <c r="E3927" s="21">
        <f>IF(D3927="?OLD","!!!","")</f>
        <v/>
      </c>
      <c r="F3927" s="22" t="str">
        <f>IF(OR(E3927="",E3927="!!!"),"",IF(NOT(ISNA(VLOOKUP(E3927,E$1:E3926,1,FALSE()))),"OLD",IF(AND(E3927&lt;&gt;"",E3927&lt;&gt;"!!!"),"NEW","")))</f>
        <v> </v>
      </c>
      <c r="G3927" s="23" t="str">
        <f>IF(OR(E3927="",E3927="!!!"),"",IF(OR(J3927=0,AND(J3927=1,K3927=1),AND(J3927=1,I3927="SBJ"),AND(J3927=1,I3927=0)),"?IN_FOCUS",IF(J3927&lt;=2,"?ACTIVATED",IF(J3927&lt;&gt;"","?FAMILIAR",IF(F3927="NEW",IF(ISNA(VLOOKUP(E3927,#REF!,1,FALSE())),"?TYPE_IDENTIFIABLE","?REFERENTIAL"),"_")))))</f>
        <v> </v>
      </c>
      <c r="H3927" s="24" t="str">
        <f>IF(J3927&lt;&gt;1,"",IF(I3927="SBJ","CB","?"))</f>
        <v> </v>
      </c>
      <c r="I3927" s="25" t="str">
        <f>IF(OR(E3927="",E3927="!!!",F3927="NEW"),"",INDEX(B3926:B$2,-1+SUMPRODUCT(MAX(ROW(E3926:E$2)*(E3927=E3926:E$2)))))</f>
        <v> </v>
      </c>
      <c r="J3927" s="25" t="str">
        <f>IF(OR(E3927="",E3927="!!!",F3927="NEW"),"",COUNTBLANK(OFFSET(A$1,,,SUMPRODUCT(MAX(ROW(E$2:E3927)*(E3927=E$2:E3927)))))-COUNTBLANK(OFFSET(A$1,,,SUMPRODUCT(MAX(ROW(E$1:E3926)*(E2=E$1:E3926))))))</f>
        <v> </v>
      </c>
      <c r="K3927" s="25" t="str">
        <f>IF(OR(E3927="",E3927="!!!",F3927="NEW"),"",INDEX(J$1:J3926,SUMPRODUCT(MAX(ROW(E$1:E3926)*(E3927=E$1:E3926)))))</f>
        <v> </v>
      </c>
      <c r="L3927" s="26"/>
    </row>
    <row r="3928" spans="1:12">
      <c r="A3928" s="20" t="s">
        <v>1126</v>
      </c>
      <c r="E3928" s="21">
        <f>IF(D3928="?OLD","!!!","")</f>
        <v/>
      </c>
      <c r="F3928" s="22" t="str">
        <f>IF(OR(E3928="",E3928="!!!"),"",IF(NOT(ISNA(VLOOKUP(E3928,E$1:E3927,1,FALSE()))),"OLD",IF(AND(E3928&lt;&gt;"",E3928&lt;&gt;"!!!"),"NEW","")))</f>
        <v> </v>
      </c>
      <c r="G3928" s="23" t="str">
        <f>IF(OR(E3928="",E3928="!!!"),"",IF(OR(J3928=0,AND(J3928=1,K3928=1),AND(J3928=1,I3928="SBJ"),AND(J3928=1,I3928=0)),"?IN_FOCUS",IF(J3928&lt;=2,"?ACTIVATED",IF(J3928&lt;&gt;"","?FAMILIAR",IF(F3928="NEW",IF(ISNA(VLOOKUP(E3928,#REF!,1,FALSE())),"?TYPE_IDENTIFIABLE","?REFERENTIAL"),"_")))))</f>
        <v> </v>
      </c>
      <c r="H3928" s="24" t="str">
        <f>IF(J3928&lt;&gt;1,"",IF(I3928="SBJ","CB","?"))</f>
        <v> </v>
      </c>
      <c r="I3928" s="25" t="str">
        <f>IF(OR(E3928="",E3928="!!!",F3928="NEW"),"",INDEX(B3927:B$2,-1+SUMPRODUCT(MAX(ROW(E3927:E$2)*(E3928=E3927:E$2)))))</f>
        <v> </v>
      </c>
      <c r="J3928" s="25" t="str">
        <f>IF(OR(E3928="",E3928="!!!",F3928="NEW"),"",COUNTBLANK(OFFSET(A$1,,,SUMPRODUCT(MAX(ROW(E$2:E3928)*(E3928=E$2:E3928)))))-COUNTBLANK(OFFSET(A$1,,,SUMPRODUCT(MAX(ROW(E$1:E3927)*(E2=E$1:E3927))))))</f>
        <v> </v>
      </c>
      <c r="K3928" s="25" t="str">
        <f>IF(OR(E3928="",E3928="!!!",F3928="NEW"),"",INDEX(J$1:J3927,SUMPRODUCT(MAX(ROW(E$1:E3927)*(E3928=E$1:E3927)))))</f>
        <v> </v>
      </c>
      <c r="L3928" s="26"/>
    </row>
    <row r="3929" spans="1:12">
      <c r="A3929" s="20" t="s">
        <v>1079</v>
      </c>
      <c r="E3929" s="21">
        <f>IF(D3929="?OLD","!!!","")</f>
        <v/>
      </c>
      <c r="F3929" s="22" t="str">
        <f>IF(OR(E3929="",E3929="!!!"),"",IF(NOT(ISNA(VLOOKUP(E3929,E$1:E3928,1,FALSE()))),"OLD",IF(AND(E3929&lt;&gt;"",E3929&lt;&gt;"!!!"),"NEW","")))</f>
        <v> </v>
      </c>
      <c r="G3929" s="23" t="str">
        <f>IF(OR(E3929="",E3929="!!!"),"",IF(OR(J3929=0,AND(J3929=1,K3929=1),AND(J3929=1,I3929="SBJ"),AND(J3929=1,I3929=0)),"?IN_FOCUS",IF(J3929&lt;=2,"?ACTIVATED",IF(J3929&lt;&gt;"","?FAMILIAR",IF(F3929="NEW",IF(ISNA(VLOOKUP(E3929,#REF!,1,FALSE())),"?TYPE_IDENTIFIABLE","?REFERENTIAL"),"_")))))</f>
        <v> </v>
      </c>
      <c r="H3929" s="24" t="str">
        <f>IF(J3929&lt;&gt;1,"",IF(I3929="SBJ","CB","?"))</f>
        <v> </v>
      </c>
      <c r="I3929" s="25" t="str">
        <f>IF(OR(E3929="",E3929="!!!",F3929="NEW"),"",INDEX(B3928:B$2,-1+SUMPRODUCT(MAX(ROW(E3928:E$2)*(E3929=E3928:E$2)))))</f>
        <v> </v>
      </c>
      <c r="J3929" s="25" t="str">
        <f>IF(OR(E3929="",E3929="!!!",F3929="NEW"),"",COUNTBLANK(OFFSET(A$1,,,SUMPRODUCT(MAX(ROW(E$2:E3929)*(E3929=E$2:E3929)))))-COUNTBLANK(OFFSET(A$1,,,SUMPRODUCT(MAX(ROW(E$1:E3928)*(E2=E$1:E3928))))))</f>
        <v> </v>
      </c>
      <c r="K3929" s="25" t="str">
        <f>IF(OR(E3929="",E3929="!!!",F3929="NEW"),"",INDEX(J$1:J3928,SUMPRODUCT(MAX(ROW(E$1:E3928)*(E3929=E$1:E3928)))))</f>
        <v> </v>
      </c>
      <c r="L3929" s="26"/>
    </row>
    <row r="3930" spans="1:12">
      <c r="A3930" s="20" t="s">
        <v>1172</v>
      </c>
      <c r="E3930" s="21">
        <f>IF(D3930="?OLD","!!!","")</f>
        <v/>
      </c>
      <c r="F3930" s="22" t="str">
        <f>IF(OR(E3930="",E3930="!!!"),"",IF(NOT(ISNA(VLOOKUP(E3930,E$1:E3929,1,FALSE()))),"OLD",IF(AND(E3930&lt;&gt;"",E3930&lt;&gt;"!!!"),"NEW","")))</f>
        <v> </v>
      </c>
      <c r="G3930" s="23" t="str">
        <f>IF(OR(E3930="",E3930="!!!"),"",IF(OR(J3930=0,AND(J3930=1,K3930=1),AND(J3930=1,I3930="SBJ"),AND(J3930=1,I3930=0)),"?IN_FOCUS",IF(J3930&lt;=2,"?ACTIVATED",IF(J3930&lt;&gt;"","?FAMILIAR",IF(F3930="NEW",IF(ISNA(VLOOKUP(E3930,#REF!,1,FALSE())),"?TYPE_IDENTIFIABLE","?REFERENTIAL"),"_")))))</f>
        <v> </v>
      </c>
      <c r="H3930" s="24" t="str">
        <f>IF(J3930&lt;&gt;1,"",IF(I3930="SBJ","CB","?"))</f>
        <v> </v>
      </c>
      <c r="I3930" s="25" t="str">
        <f>IF(OR(E3930="",E3930="!!!",F3930="NEW"),"",INDEX(B3929:B$2,-1+SUMPRODUCT(MAX(ROW(E3929:E$2)*(E3930=E3929:E$2)))))</f>
        <v> </v>
      </c>
      <c r="J3930" s="25" t="str">
        <f>IF(OR(E3930="",E3930="!!!",F3930="NEW"),"",COUNTBLANK(OFFSET(A$1,,,SUMPRODUCT(MAX(ROW(E$2:E3930)*(E3930=E$2:E3930)))))-COUNTBLANK(OFFSET(A$1,,,SUMPRODUCT(MAX(ROW(E$1:E3929)*(E2=E$1:E3929))))))</f>
        <v> </v>
      </c>
      <c r="K3930" s="25" t="str">
        <f>IF(OR(E3930="",E3930="!!!",F3930="NEW"),"",INDEX(J$1:J3929,SUMPRODUCT(MAX(ROW(E$1:E3929)*(E3930=E$1:E3929)))))</f>
        <v> </v>
      </c>
      <c r="L3930" s="26"/>
    </row>
    <row r="3931" spans="1:12">
      <c r="A3931" s="20" t="s">
        <v>2023</v>
      </c>
      <c r="B3931" s="27" t="s">
        <v>1026</v>
      </c>
      <c r="C3931" s="27" t="s">
        <v>1094</v>
      </c>
      <c r="D3931" s="27" t="s">
        <v>1014</v>
      </c>
      <c r="E3931" s="21">
        <f>IF(D3931="?OLD","!!!","")</f>
        <v/>
      </c>
      <c r="F3931" s="22" t="str">
        <f>IF(OR(E3931="",E3931="!!!"),"",IF(NOT(ISNA(VLOOKUP(E3931,E$1:E3930,1,FALSE()))),"OLD",IF(AND(E3931&lt;&gt;"",E3931&lt;&gt;"!!!"),"NEW","")))</f>
        <v> </v>
      </c>
      <c r="G3931" s="23" t="str">
        <f>IF(OR(E3931="",E3931="!!!"),"",IF(OR(J3931=0,AND(J3931=1,K3931=1),AND(J3931=1,I3931="SBJ"),AND(J3931=1,I3931=0)),"?IN_FOCUS",IF(J3931&lt;=2,"?ACTIVATED",IF(J3931&lt;&gt;"","?FAMILIAR",IF(F3931="NEW",IF(ISNA(VLOOKUP(E3931,#REF!,1,FALSE())),"?TYPE_IDENTIFIABLE","?REFERENTIAL"),"_")))))</f>
        <v> </v>
      </c>
      <c r="H3931" s="24" t="str">
        <f>IF(J3931&lt;&gt;1,"",IF(I3931="SBJ","CB","?"))</f>
        <v> </v>
      </c>
      <c r="I3931" s="25" t="str">
        <f>IF(OR(E3931="",E3931="!!!",F3931="NEW"),"",INDEX(B3930:B$2,-1+SUMPRODUCT(MAX(ROW(E3930:E$2)*(E3931=E3930:E$2)))))</f>
        <v> </v>
      </c>
      <c r="J3931" s="25" t="str">
        <f>IF(OR(E3931="",E3931="!!!",F3931="NEW"),"",COUNTBLANK(OFFSET(A$1,,,SUMPRODUCT(MAX(ROW(E$2:E3931)*(E3931=E$2:E3931)))))-COUNTBLANK(OFFSET(A$1,,,SUMPRODUCT(MAX(ROW(E$1:E3930)*(E2=E$1:E3930))))))</f>
        <v> </v>
      </c>
      <c r="K3931" s="25" t="str">
        <f>IF(OR(E3931="",E3931="!!!",F3931="NEW"),"",INDEX(J$1:J3930,SUMPRODUCT(MAX(ROW(E$1:E3930)*(E3931=E$1:E3930)))))</f>
        <v> </v>
      </c>
      <c r="L3931" s="26"/>
    </row>
    <row r="3932" spans="1:12">
      <c r="A3932" s="20" t="s">
        <v>2024</v>
      </c>
      <c r="E3932" s="21">
        <f>IF(D3932="?OLD","!!!","")</f>
        <v/>
      </c>
      <c r="F3932" s="22" t="str">
        <f>IF(OR(E3932="",E3932="!!!"),"",IF(NOT(ISNA(VLOOKUP(E3932,E$1:E3931,1,FALSE()))),"OLD",IF(AND(E3932&lt;&gt;"",E3932&lt;&gt;"!!!"),"NEW","")))</f>
        <v> </v>
      </c>
      <c r="G3932" s="23" t="str">
        <f>IF(OR(E3932="",E3932="!!!"),"",IF(OR(J3932=0,AND(J3932=1,K3932=1),AND(J3932=1,I3932="SBJ"),AND(J3932=1,I3932=0)),"?IN_FOCUS",IF(J3932&lt;=2,"?ACTIVATED",IF(J3932&lt;&gt;"","?FAMILIAR",IF(F3932="NEW",IF(ISNA(VLOOKUP(E3932,#REF!,1,FALSE())),"?TYPE_IDENTIFIABLE","?REFERENTIAL"),"_")))))</f>
        <v> </v>
      </c>
      <c r="H3932" s="24" t="str">
        <f>IF(J3932&lt;&gt;1,"",IF(I3932="SBJ","CB","?"))</f>
        <v> </v>
      </c>
      <c r="I3932" s="25" t="str">
        <f>IF(OR(E3932="",E3932="!!!",F3932="NEW"),"",INDEX(B3931:B$2,-1+SUMPRODUCT(MAX(ROW(E3931:E$2)*(E3932=E3931:E$2)))))</f>
        <v> </v>
      </c>
      <c r="J3932" s="25" t="str">
        <f>IF(OR(E3932="",E3932="!!!",F3932="NEW"),"",COUNTBLANK(OFFSET(A$1,,,SUMPRODUCT(MAX(ROW(E$2:E3932)*(E3932=E$2:E3932)))))-COUNTBLANK(OFFSET(A$1,,,SUMPRODUCT(MAX(ROW(E$1:E3931)*(E2=E$1:E3931))))))</f>
        <v> </v>
      </c>
      <c r="K3932" s="25" t="str">
        <f>IF(OR(E3932="",E3932="!!!",F3932="NEW"),"",INDEX(J$1:J3931,SUMPRODUCT(MAX(ROW(E$1:E3931)*(E3932=E$1:E3931)))))</f>
        <v> </v>
      </c>
      <c r="L3932" s="26"/>
    </row>
    <row r="3933" spans="1:12">
      <c r="A3933" s="20" t="s">
        <v>1027</v>
      </c>
      <c r="E3933" s="21">
        <f>IF(D3933="?OLD","!!!","")</f>
        <v/>
      </c>
      <c r="F3933" s="22" t="str">
        <f>IF(OR(E3933="",E3933="!!!"),"",IF(NOT(ISNA(VLOOKUP(E3933,E$1:E3932,1,FALSE()))),"OLD",IF(AND(E3933&lt;&gt;"",E3933&lt;&gt;"!!!"),"NEW","")))</f>
        <v> </v>
      </c>
      <c r="G3933" s="23" t="str">
        <f>IF(OR(E3933="",E3933="!!!"),"",IF(OR(J3933=0,AND(J3933=1,K3933=1),AND(J3933=1,I3933="SBJ"),AND(J3933=1,I3933=0)),"?IN_FOCUS",IF(J3933&lt;=2,"?ACTIVATED",IF(J3933&lt;&gt;"","?FAMILIAR",IF(F3933="NEW",IF(ISNA(VLOOKUP(E3933,#REF!,1,FALSE())),"?TYPE_IDENTIFIABLE","?REFERENTIAL"),"_")))))</f>
        <v> </v>
      </c>
      <c r="H3933" s="24" t="str">
        <f>IF(J3933&lt;&gt;1,"",IF(I3933="SBJ","CB","?"))</f>
        <v> </v>
      </c>
      <c r="I3933" s="25" t="str">
        <f>IF(OR(E3933="",E3933="!!!",F3933="NEW"),"",INDEX(B3932:B$2,-1+SUMPRODUCT(MAX(ROW(E3932:E$2)*(E3933=E3932:E$2)))))</f>
        <v> </v>
      </c>
      <c r="J3933" s="25" t="str">
        <f>IF(OR(E3933="",E3933="!!!",F3933="NEW"),"",COUNTBLANK(OFFSET(A$1,,,SUMPRODUCT(MAX(ROW(E$2:E3933)*(E3933=E$2:E3933)))))-COUNTBLANK(OFFSET(A$1,,,SUMPRODUCT(MAX(ROW(E$1:E3932)*(E2=E$1:E3932))))))</f>
        <v> </v>
      </c>
      <c r="K3933" s="25" t="str">
        <f>IF(OR(E3933="",E3933="!!!",F3933="NEW"),"",INDEX(J$1:J3932,SUMPRODUCT(MAX(ROW(E$1:E3932)*(E3933=E$1:E3932)))))</f>
        <v> </v>
      </c>
      <c r="L3933" s="26"/>
    </row>
    <row r="3934" spans="1:12">
      <c r="A3934" s="20" t="s">
        <v>1041</v>
      </c>
      <c r="B3934" s="27" t="s">
        <v>1038</v>
      </c>
      <c r="C3934" s="27" t="s">
        <v>1108</v>
      </c>
      <c r="D3934" s="27" t="s">
        <v>1014</v>
      </c>
      <c r="E3934" s="21">
        <f>IF(D3934="?OLD","!!!","")</f>
        <v/>
      </c>
      <c r="F3934" s="22" t="str">
        <f>IF(OR(E3934="",E3934="!!!"),"",IF(NOT(ISNA(VLOOKUP(E3934,E$1:E3933,1,FALSE()))),"OLD",IF(AND(E3934&lt;&gt;"",E3934&lt;&gt;"!!!"),"NEW","")))</f>
        <v> </v>
      </c>
      <c r="G3934" s="23" t="str">
        <f>IF(OR(E3934="",E3934="!!!"),"",IF(OR(J3934=0,AND(J3934=1,K3934=1),AND(J3934=1,I3934="SBJ"),AND(J3934=1,I3934=0)),"?IN_FOCUS",IF(J3934&lt;=2,"?ACTIVATED",IF(J3934&lt;&gt;"","?FAMILIAR",IF(F3934="NEW",IF(ISNA(VLOOKUP(E3934,#REF!,1,FALSE())),"?TYPE_IDENTIFIABLE","?REFERENTIAL"),"_")))))</f>
        <v> </v>
      </c>
      <c r="H3934" s="24" t="str">
        <f>IF(J3934&lt;&gt;1,"",IF(I3934="SBJ","CB","?"))</f>
        <v> </v>
      </c>
      <c r="I3934" s="25" t="str">
        <f>IF(OR(E3934="",E3934="!!!",F3934="NEW"),"",INDEX(B3933:B$2,-1+SUMPRODUCT(MAX(ROW(E3933:E$2)*(E3934=E3933:E$2)))))</f>
        <v> </v>
      </c>
      <c r="J3934" s="25" t="str">
        <f>IF(OR(E3934="",E3934="!!!",F3934="NEW"),"",COUNTBLANK(OFFSET(A$1,,,SUMPRODUCT(MAX(ROW(E$2:E3934)*(E3934=E$2:E3934)))))-COUNTBLANK(OFFSET(A$1,,,SUMPRODUCT(MAX(ROW(E$1:E3933)*(E2=E$1:E3933))))))</f>
        <v> </v>
      </c>
      <c r="K3934" s="25" t="str">
        <f>IF(OR(E3934="",E3934="!!!",F3934="NEW"),"",INDEX(J$1:J3933,SUMPRODUCT(MAX(ROW(E$1:E3933)*(E3934=E$1:E3933)))))</f>
        <v> </v>
      </c>
      <c r="L3934" s="26"/>
    </row>
    <row r="3935" spans="1:12">
      <c r="A3935" s="20" t="s">
        <v>1126</v>
      </c>
      <c r="E3935" s="21">
        <f>IF(D3935="?OLD","!!!","")</f>
        <v/>
      </c>
      <c r="F3935" s="22" t="str">
        <f>IF(OR(E3935="",E3935="!!!"),"",IF(NOT(ISNA(VLOOKUP(E3935,E$1:E3934,1,FALSE()))),"OLD",IF(AND(E3935&lt;&gt;"",E3935&lt;&gt;"!!!"),"NEW","")))</f>
        <v> </v>
      </c>
      <c r="G3935" s="23" t="str">
        <f>IF(OR(E3935="",E3935="!!!"),"",IF(OR(J3935=0,AND(J3935=1,K3935=1),AND(J3935=1,I3935="SBJ"),AND(J3935=1,I3935=0)),"?IN_FOCUS",IF(J3935&lt;=2,"?ACTIVATED",IF(J3935&lt;&gt;"","?FAMILIAR",IF(F3935="NEW",IF(ISNA(VLOOKUP(E3935,#REF!,1,FALSE())),"?TYPE_IDENTIFIABLE","?REFERENTIAL"),"_")))))</f>
        <v> </v>
      </c>
      <c r="H3935" s="24" t="str">
        <f>IF(J3935&lt;&gt;1,"",IF(I3935="SBJ","CB","?"))</f>
        <v> </v>
      </c>
      <c r="I3935" s="25" t="str">
        <f>IF(OR(E3935="",E3935="!!!",F3935="NEW"),"",INDEX(B3934:B$2,-1+SUMPRODUCT(MAX(ROW(E3934:E$2)*(E3935=E3934:E$2)))))</f>
        <v> </v>
      </c>
      <c r="J3935" s="25" t="str">
        <f>IF(OR(E3935="",E3935="!!!",F3935="NEW"),"",COUNTBLANK(OFFSET(A$1,,,SUMPRODUCT(MAX(ROW(E$2:E3935)*(E3935=E$2:E3935)))))-COUNTBLANK(OFFSET(A$1,,,SUMPRODUCT(MAX(ROW(E$1:E3934)*(E2=E$1:E3934))))))</f>
        <v> </v>
      </c>
      <c r="K3935" s="25" t="str">
        <f>IF(OR(E3935="",E3935="!!!",F3935="NEW"),"",INDEX(J$1:J3934,SUMPRODUCT(MAX(ROW(E$1:E3934)*(E3935=E$1:E3934)))))</f>
        <v> </v>
      </c>
      <c r="L3935" s="26"/>
    </row>
    <row r="3936" spans="1:12">
      <c r="A3936" s="20" t="s">
        <v>1172</v>
      </c>
      <c r="E3936" s="21">
        <f>IF(D3936="?OLD","!!!","")</f>
        <v/>
      </c>
      <c r="F3936" s="22" t="str">
        <f>IF(OR(E3936="",E3936="!!!"),"",IF(NOT(ISNA(VLOOKUP(E3936,E$1:E3935,1,FALSE()))),"OLD",IF(AND(E3936&lt;&gt;"",E3936&lt;&gt;"!!!"),"NEW","")))</f>
        <v> </v>
      </c>
      <c r="G3936" s="23" t="str">
        <f>IF(OR(E3936="",E3936="!!!"),"",IF(OR(J3936=0,AND(J3936=1,K3936=1),AND(J3936=1,I3936="SBJ"),AND(J3936=1,I3936=0)),"?IN_FOCUS",IF(J3936&lt;=2,"?ACTIVATED",IF(J3936&lt;&gt;"","?FAMILIAR",IF(F3936="NEW",IF(ISNA(VLOOKUP(E3936,#REF!,1,FALSE())),"?TYPE_IDENTIFIABLE","?REFERENTIAL"),"_")))))</f>
        <v> </v>
      </c>
      <c r="H3936" s="24" t="str">
        <f>IF(J3936&lt;&gt;1,"",IF(I3936="SBJ","CB","?"))</f>
        <v> </v>
      </c>
      <c r="I3936" s="25" t="str">
        <f>IF(OR(E3936="",E3936="!!!",F3936="NEW"),"",INDEX(B3935:B$2,-1+SUMPRODUCT(MAX(ROW(E3935:E$2)*(E3936=E3935:E$2)))))</f>
        <v> </v>
      </c>
      <c r="J3936" s="25" t="str">
        <f>IF(OR(E3936="",E3936="!!!",F3936="NEW"),"",COUNTBLANK(OFFSET(A$1,,,SUMPRODUCT(MAX(ROW(E$2:E3936)*(E3936=E$2:E3936)))))-COUNTBLANK(OFFSET(A$1,,,SUMPRODUCT(MAX(ROW(E$1:E3935)*(E2=E$1:E3935))))))</f>
        <v> </v>
      </c>
      <c r="K3936" s="25" t="str">
        <f>IF(OR(E3936="",E3936="!!!",F3936="NEW"),"",INDEX(J$1:J3935,SUMPRODUCT(MAX(ROW(E$1:E3935)*(E3936=E$1:E3935)))))</f>
        <v> </v>
      </c>
      <c r="L3936" s="26"/>
    </row>
    <row r="3937" spans="1:12">
      <c r="A3937" s="20" t="s">
        <v>2025</v>
      </c>
      <c r="E3937" s="21">
        <f>IF(D3937="?OLD","!!!","")</f>
        <v/>
      </c>
      <c r="F3937" s="22" t="str">
        <f>IF(OR(E3937="",E3937="!!!"),"",IF(NOT(ISNA(VLOOKUP(E3937,E$1:E3936,1,FALSE()))),"OLD",IF(AND(E3937&lt;&gt;"",E3937&lt;&gt;"!!!"),"NEW","")))</f>
        <v> </v>
      </c>
      <c r="G3937" s="23" t="str">
        <f>IF(OR(E3937="",E3937="!!!"),"",IF(OR(J3937=0,AND(J3937=1,K3937=1),AND(J3937=1,I3937="SBJ"),AND(J3937=1,I3937=0)),"?IN_FOCUS",IF(J3937&lt;=2,"?ACTIVATED",IF(J3937&lt;&gt;"","?FAMILIAR",IF(F3937="NEW",IF(ISNA(VLOOKUP(E3937,#REF!,1,FALSE())),"?TYPE_IDENTIFIABLE","?REFERENTIAL"),"_")))))</f>
        <v> </v>
      </c>
      <c r="H3937" s="24" t="str">
        <f>IF(J3937&lt;&gt;1,"",IF(I3937="SBJ","CB","?"))</f>
        <v> </v>
      </c>
      <c r="I3937" s="25" t="str">
        <f>IF(OR(E3937="",E3937="!!!",F3937="NEW"),"",INDEX(B3936:B$2,-1+SUMPRODUCT(MAX(ROW(E3936:E$2)*(E3937=E3936:E$2)))))</f>
        <v> </v>
      </c>
      <c r="J3937" s="25" t="str">
        <f>IF(OR(E3937="",E3937="!!!",F3937="NEW"),"",COUNTBLANK(OFFSET(A$1,,,SUMPRODUCT(MAX(ROW(E$2:E3937)*(E3937=E$2:E3937)))))-COUNTBLANK(OFFSET(A$1,,,SUMPRODUCT(MAX(ROW(E$1:E3936)*(E2=E$1:E3936))))))</f>
        <v> </v>
      </c>
      <c r="K3937" s="25" t="str">
        <f>IF(OR(E3937="",E3937="!!!",F3937="NEW"),"",INDEX(J$1:J3936,SUMPRODUCT(MAX(ROW(E$1:E3936)*(E3937=E$1:E3936)))))</f>
        <v> </v>
      </c>
      <c r="L3937" s="26"/>
    </row>
    <row r="3938" spans="1:12">
      <c r="A3938" s="20" t="s">
        <v>1173</v>
      </c>
      <c r="B3938" s="27" t="s">
        <v>1070</v>
      </c>
      <c r="C3938" s="27" t="s">
        <v>1087</v>
      </c>
      <c r="E3938" s="21">
        <f>IF(D3938="?OLD","!!!","")</f>
        <v/>
      </c>
      <c r="F3938" s="22" t="str">
        <f>IF(OR(E3938="",E3938="!!!"),"",IF(NOT(ISNA(VLOOKUP(E3938,E$1:E3937,1,FALSE()))),"OLD",IF(AND(E3938&lt;&gt;"",E3938&lt;&gt;"!!!"),"NEW","")))</f>
        <v> </v>
      </c>
      <c r="G3938" s="23" t="str">
        <f>IF(OR(E3938="",E3938="!!!"),"",IF(OR(J3938=0,AND(J3938=1,K3938=1),AND(J3938=1,I3938="SBJ"),AND(J3938=1,I3938=0)),"?IN_FOCUS",IF(J3938&lt;=2,"?ACTIVATED",IF(J3938&lt;&gt;"","?FAMILIAR",IF(F3938="NEW",IF(ISNA(VLOOKUP(E3938,#REF!,1,FALSE())),"?TYPE_IDENTIFIABLE","?REFERENTIAL"),"_")))))</f>
        <v> </v>
      </c>
      <c r="H3938" s="24" t="str">
        <f>IF(J3938&lt;&gt;1,"",IF(I3938="SBJ","CB","?"))</f>
        <v> </v>
      </c>
      <c r="I3938" s="25" t="str">
        <f>IF(OR(E3938="",E3938="!!!",F3938="NEW"),"",INDEX(B3937:B$2,-1+SUMPRODUCT(MAX(ROW(E3937:E$2)*(E3938=E3937:E$2)))))</f>
        <v> </v>
      </c>
      <c r="J3938" s="25" t="str">
        <f>IF(OR(E3938="",E3938="!!!",F3938="NEW"),"",COUNTBLANK(OFFSET(A$1,,,SUMPRODUCT(MAX(ROW(E$2:E3938)*(E3938=E$2:E3938)))))-COUNTBLANK(OFFSET(A$1,,,SUMPRODUCT(MAX(ROW(E$1:E3937)*(E2=E$1:E3937))))))</f>
        <v> </v>
      </c>
      <c r="K3938" s="25" t="str">
        <f>IF(OR(E3938="",E3938="!!!",F3938="NEW"),"",INDEX(J$1:J3937,SUMPRODUCT(MAX(ROW(E$1:E3937)*(E3938=E$1:E3937)))))</f>
        <v> </v>
      </c>
      <c r="L3938" s="26"/>
    </row>
    <row r="3939" spans="1:12">
      <c r="A3939" s="20" t="s">
        <v>2026</v>
      </c>
      <c r="E3939" s="21">
        <f>IF(D3939="?OLD","!!!","")</f>
        <v/>
      </c>
      <c r="F3939" s="22" t="str">
        <f>IF(OR(E3939="",E3939="!!!"),"",IF(NOT(ISNA(VLOOKUP(E3939,E$1:E3938,1,FALSE()))),"OLD",IF(AND(E3939&lt;&gt;"",E3939&lt;&gt;"!!!"),"NEW","")))</f>
        <v> </v>
      </c>
      <c r="G3939" s="23" t="str">
        <f>IF(OR(E3939="",E3939="!!!"),"",IF(OR(J3939=0,AND(J3939=1,K3939=1),AND(J3939=1,I3939="SBJ"),AND(J3939=1,I3939=0)),"?IN_FOCUS",IF(J3939&lt;=2,"?ACTIVATED",IF(J3939&lt;&gt;"","?FAMILIAR",IF(F3939="NEW",IF(ISNA(VLOOKUP(E3939,#REF!,1,FALSE())),"?TYPE_IDENTIFIABLE","?REFERENTIAL"),"_")))))</f>
        <v> </v>
      </c>
      <c r="H3939" s="24" t="str">
        <f>IF(J3939&lt;&gt;1,"",IF(I3939="SBJ","CB","?"))</f>
        <v> </v>
      </c>
      <c r="I3939" s="25" t="str">
        <f>IF(OR(E3939="",E3939="!!!",F3939="NEW"),"",INDEX(B3938:B$2,-1+SUMPRODUCT(MAX(ROW(E3938:E$2)*(E3939=E3938:E$2)))))</f>
        <v> </v>
      </c>
      <c r="J3939" s="25" t="str">
        <f>IF(OR(E3939="",E3939="!!!",F3939="NEW"),"",COUNTBLANK(OFFSET(A$1,,,SUMPRODUCT(MAX(ROW(E$2:E3939)*(E3939=E$2:E3939)))))-COUNTBLANK(OFFSET(A$1,,,SUMPRODUCT(MAX(ROW(E$1:E3938)*(E2=E$1:E3938))))))</f>
        <v> </v>
      </c>
      <c r="K3939" s="25" t="str">
        <f>IF(OR(E3939="",E3939="!!!",F3939="NEW"),"",INDEX(J$1:J3938,SUMPRODUCT(MAX(ROW(E$1:E3938)*(E3939=E$1:E3938)))))</f>
        <v> </v>
      </c>
      <c r="L3939" s="26"/>
    </row>
    <row r="3940" spans="1:12">
      <c r="A3940" s="20" t="s">
        <v>1027</v>
      </c>
      <c r="E3940" s="21">
        <f>IF(D3940="?OLD","!!!","")</f>
        <v/>
      </c>
      <c r="F3940" s="22" t="str">
        <f>IF(OR(E3940="",E3940="!!!"),"",IF(NOT(ISNA(VLOOKUP(E3940,E$1:E3939,1,FALSE()))),"OLD",IF(AND(E3940&lt;&gt;"",E3940&lt;&gt;"!!!"),"NEW","")))</f>
        <v> </v>
      </c>
      <c r="G3940" s="23" t="str">
        <f>IF(OR(E3940="",E3940="!!!"),"",IF(OR(J3940=0,AND(J3940=1,K3940=1),AND(J3940=1,I3940="SBJ"),AND(J3940=1,I3940=0)),"?IN_FOCUS",IF(J3940&lt;=2,"?ACTIVATED",IF(J3940&lt;&gt;"","?FAMILIAR",IF(F3940="NEW",IF(ISNA(VLOOKUP(E3940,#REF!,1,FALSE())),"?TYPE_IDENTIFIABLE","?REFERENTIAL"),"_")))))</f>
        <v> </v>
      </c>
      <c r="H3940" s="24" t="str">
        <f>IF(J3940&lt;&gt;1,"",IF(I3940="SBJ","CB","?"))</f>
        <v> </v>
      </c>
      <c r="I3940" s="25" t="str">
        <f>IF(OR(E3940="",E3940="!!!",F3940="NEW"),"",INDEX(B3939:B$2,-1+SUMPRODUCT(MAX(ROW(E3939:E$2)*(E3940=E3939:E$2)))))</f>
        <v> </v>
      </c>
      <c r="J3940" s="25" t="str">
        <f>IF(OR(E3940="",E3940="!!!",F3940="NEW"),"",COUNTBLANK(OFFSET(A$1,,,SUMPRODUCT(MAX(ROW(E$2:E3940)*(E3940=E$2:E3940)))))-COUNTBLANK(OFFSET(A$1,,,SUMPRODUCT(MAX(ROW(E$1:E3939)*(E2=E$1:E3939))))))</f>
        <v> </v>
      </c>
      <c r="K3940" s="25" t="str">
        <f>IF(OR(E3940="",E3940="!!!",F3940="NEW"),"",INDEX(J$1:J3939,SUMPRODUCT(MAX(ROW(E$1:E3939)*(E3940=E$1:E3939)))))</f>
        <v> </v>
      </c>
      <c r="L3940" s="26"/>
    </row>
    <row r="3941" spans="1:12">
      <c r="A3941" s="20" t="s">
        <v>1031</v>
      </c>
      <c r="E3941" s="21">
        <f>IF(D3941="?OLD","!!!","")</f>
        <v/>
      </c>
      <c r="F3941" s="22" t="str">
        <f>IF(OR(E3941="",E3941="!!!"),"",IF(NOT(ISNA(VLOOKUP(E3941,E$1:E3940,1,FALSE()))),"OLD",IF(AND(E3941&lt;&gt;"",E3941&lt;&gt;"!!!"),"NEW","")))</f>
        <v> </v>
      </c>
      <c r="G3941" s="23" t="str">
        <f>IF(OR(E3941="",E3941="!!!"),"",IF(OR(J3941=0,AND(J3941=1,K3941=1),AND(J3941=1,I3941="SBJ"),AND(J3941=1,I3941=0)),"?IN_FOCUS",IF(J3941&lt;=2,"?ACTIVATED",IF(J3941&lt;&gt;"","?FAMILIAR",IF(F3941="NEW",IF(ISNA(VLOOKUP(E3941,#REF!,1,FALSE())),"?TYPE_IDENTIFIABLE","?REFERENTIAL"),"_")))))</f>
        <v> </v>
      </c>
      <c r="H3941" s="24" t="str">
        <f>IF(J3941&lt;&gt;1,"",IF(I3941="SBJ","CB","?"))</f>
        <v> </v>
      </c>
      <c r="I3941" s="25" t="str">
        <f>IF(OR(E3941="",E3941="!!!",F3941="NEW"),"",INDEX(B3940:B$2,-1+SUMPRODUCT(MAX(ROW(E3940:E$2)*(E3941=E3940:E$2)))))</f>
        <v> </v>
      </c>
      <c r="J3941" s="25" t="str">
        <f>IF(OR(E3941="",E3941="!!!",F3941="NEW"),"",COUNTBLANK(OFFSET(A$1,,,SUMPRODUCT(MAX(ROW(E$2:E3941)*(E3941=E$2:E3941)))))-COUNTBLANK(OFFSET(A$1,,,SUMPRODUCT(MAX(ROW(E$1:E3940)*(E2=E$1:E3940))))))</f>
        <v> </v>
      </c>
      <c r="K3941" s="25" t="str">
        <f>IF(OR(E3941="",E3941="!!!",F3941="NEW"),"",INDEX(J$1:J3940,SUMPRODUCT(MAX(ROW(E$1:E3940)*(E3941=E$1:E3940)))))</f>
        <v> </v>
      </c>
      <c r="L3941" s="26"/>
    </row>
    <row r="3942" spans="1:12">
      <c r="A3942" s="20" t="s">
        <v>1032</v>
      </c>
      <c r="B3942" s="27" t="s">
        <v>1018</v>
      </c>
      <c r="C3942" s="27" t="s">
        <v>1013</v>
      </c>
      <c r="D3942" s="27" t="s">
        <v>1014</v>
      </c>
      <c r="E3942" s="21">
        <f>IF(D3942="?OLD","!!!","")</f>
        <v/>
      </c>
      <c r="F3942" s="22" t="str">
        <f>IF(OR(E3942="",E3942="!!!"),"",IF(NOT(ISNA(VLOOKUP(E3942,E$1:E3941,1,FALSE()))),"OLD",IF(AND(E3942&lt;&gt;"",E3942&lt;&gt;"!!!"),"NEW","")))</f>
        <v> </v>
      </c>
      <c r="G3942" s="23" t="str">
        <f>IF(OR(E3942="",E3942="!!!"),"",IF(OR(J3942=0,AND(J3942=1,K3942=1),AND(J3942=1,I3942="SBJ"),AND(J3942=1,I3942=0)),"?IN_FOCUS",IF(J3942&lt;=2,"?ACTIVATED",IF(J3942&lt;&gt;"","?FAMILIAR",IF(F3942="NEW",IF(ISNA(VLOOKUP(E3942,#REF!,1,FALSE())),"?TYPE_IDENTIFIABLE","?REFERENTIAL"),"_")))))</f>
        <v> </v>
      </c>
      <c r="H3942" s="24" t="str">
        <f>IF(J3942&lt;&gt;1,"",IF(I3942="SBJ","CB","?"))</f>
        <v> </v>
      </c>
      <c r="I3942" s="25" t="str">
        <f>IF(OR(E3942="",E3942="!!!",F3942="NEW"),"",INDEX(B3941:B$2,-1+SUMPRODUCT(MAX(ROW(E3941:E$2)*(E3942=E3941:E$2)))))</f>
        <v> </v>
      </c>
      <c r="J3942" s="25" t="str">
        <f>IF(OR(E3942="",E3942="!!!",F3942="NEW"),"",COUNTBLANK(OFFSET(A$1,,,SUMPRODUCT(MAX(ROW(E$2:E3942)*(E3942=E$2:E3942)))))-COUNTBLANK(OFFSET(A$1,,,SUMPRODUCT(MAX(ROW(E$1:E3941)*(E2=E$1:E3941))))))</f>
        <v> </v>
      </c>
      <c r="K3942" s="25" t="str">
        <f>IF(OR(E3942="",E3942="!!!",F3942="NEW"),"",INDEX(J$1:J3941,SUMPRODUCT(MAX(ROW(E$1:E3941)*(E3942=E$1:E3941)))))</f>
        <v> </v>
      </c>
      <c r="L3942" s="26"/>
    </row>
    <row r="3943" spans="1:12">
      <c r="A3943" s="20" t="s">
        <v>1011</v>
      </c>
      <c r="E3943" s="21">
        <f>IF(D3943="?OLD","!!!","")</f>
        <v/>
      </c>
      <c r="F3943" s="22" t="str">
        <f>IF(OR(E3943="",E3943="!!!"),"",IF(NOT(ISNA(VLOOKUP(E3943,E$1:E3942,1,FALSE()))),"OLD",IF(AND(E3943&lt;&gt;"",E3943&lt;&gt;"!!!"),"NEW","")))</f>
        <v> </v>
      </c>
      <c r="G3943" s="23" t="str">
        <f>IF(OR(E3943="",E3943="!!!"),"",IF(OR(J3943=0,AND(J3943=1,K3943=1),AND(J3943=1,I3943="SBJ"),AND(J3943=1,I3943=0)),"?IN_FOCUS",IF(J3943&lt;=2,"?ACTIVATED",IF(J3943&lt;&gt;"","?FAMILIAR",IF(F3943="NEW",IF(ISNA(VLOOKUP(E3943,#REF!,1,FALSE())),"?TYPE_IDENTIFIABLE","?REFERENTIAL"),"_")))))</f>
        <v> </v>
      </c>
      <c r="H3943" s="24" t="str">
        <f>IF(J3943&lt;&gt;1,"",IF(I3943="SBJ","CB","?"))</f>
        <v> </v>
      </c>
      <c r="I3943" s="25" t="str">
        <f>IF(OR(E3943="",E3943="!!!",F3943="NEW"),"",INDEX(B3942:B$2,-1+SUMPRODUCT(MAX(ROW(E3942:E$2)*(E3943=E3942:E$2)))))</f>
        <v> </v>
      </c>
      <c r="J3943" s="25" t="str">
        <f>IF(OR(E3943="",E3943="!!!",F3943="NEW"),"",COUNTBLANK(OFFSET(A$1,,,SUMPRODUCT(MAX(ROW(E$2:E3943)*(E3943=E$2:E3943)))))-COUNTBLANK(OFFSET(A$1,,,SUMPRODUCT(MAX(ROW(E$1:E3942)*(E2=E$1:E3942))))))</f>
        <v> </v>
      </c>
      <c r="K3943" s="25" t="str">
        <f>IF(OR(E3943="",E3943="!!!",F3943="NEW"),"",INDEX(J$1:J3942,SUMPRODUCT(MAX(ROW(E$1:E3942)*(E3943=E$1:E3942)))))</f>
        <v> </v>
      </c>
      <c r="L3943" s="26"/>
    </row>
    <row r="3944" spans="1:12">
      <c r="A3944" s="20" t="s">
        <v>1172</v>
      </c>
      <c r="E3944" s="21">
        <f>IF(D3944="?OLD","!!!","")</f>
        <v/>
      </c>
      <c r="F3944" s="22" t="str">
        <f>IF(OR(E3944="",E3944="!!!"),"",IF(NOT(ISNA(VLOOKUP(E3944,E$1:E3943,1,FALSE()))),"OLD",IF(AND(E3944&lt;&gt;"",E3944&lt;&gt;"!!!"),"NEW","")))</f>
        <v> </v>
      </c>
      <c r="G3944" s="23" t="str">
        <f>IF(OR(E3944="",E3944="!!!"),"",IF(OR(J3944=0,AND(J3944=1,K3944=1),AND(J3944=1,I3944="SBJ"),AND(J3944=1,I3944=0)),"?IN_FOCUS",IF(J3944&lt;=2,"?ACTIVATED",IF(J3944&lt;&gt;"","?FAMILIAR",IF(F3944="NEW",IF(ISNA(VLOOKUP(E3944,#REF!,1,FALSE())),"?TYPE_IDENTIFIABLE","?REFERENTIAL"),"_")))))</f>
        <v> </v>
      </c>
      <c r="H3944" s="24" t="str">
        <f>IF(J3944&lt;&gt;1,"",IF(I3944="SBJ","CB","?"))</f>
        <v> </v>
      </c>
      <c r="I3944" s="25" t="str">
        <f>IF(OR(E3944="",E3944="!!!",F3944="NEW"),"",INDEX(B3943:B$2,-1+SUMPRODUCT(MAX(ROW(E3943:E$2)*(E3944=E3943:E$2)))))</f>
        <v> </v>
      </c>
      <c r="J3944" s="25" t="str">
        <f>IF(OR(E3944="",E3944="!!!",F3944="NEW"),"",COUNTBLANK(OFFSET(A$1,,,SUMPRODUCT(MAX(ROW(E$2:E3944)*(E3944=E$2:E3944)))))-COUNTBLANK(OFFSET(A$1,,,SUMPRODUCT(MAX(ROW(E$1:E3943)*(E2=E$1:E3943))))))</f>
        <v> </v>
      </c>
      <c r="K3944" s="25" t="str">
        <f>IF(OR(E3944="",E3944="!!!",F3944="NEW"),"",INDEX(J$1:J3943,SUMPRODUCT(MAX(ROW(E$1:E3943)*(E3944=E$1:E3943)))))</f>
        <v> </v>
      </c>
      <c r="L3944" s="26"/>
    </row>
    <row r="3945" spans="1:12">
      <c r="A3945" s="20" t="s">
        <v>1034</v>
      </c>
      <c r="B3945" s="27" t="s">
        <v>1043</v>
      </c>
      <c r="C3945" s="27" t="s">
        <v>1087</v>
      </c>
      <c r="E3945" s="21">
        <f>IF(D3945="?OLD","!!!","")</f>
        <v/>
      </c>
      <c r="F3945" s="22" t="str">
        <f>IF(OR(E3945="",E3945="!!!"),"",IF(NOT(ISNA(VLOOKUP(E3945,E$1:E3944,1,FALSE()))),"OLD",IF(AND(E3945&lt;&gt;"",E3945&lt;&gt;"!!!"),"NEW","")))</f>
        <v> </v>
      </c>
      <c r="G3945" s="23" t="str">
        <f>IF(OR(E3945="",E3945="!!!"),"",IF(OR(J3945=0,AND(J3945=1,K3945=1),AND(J3945=1,I3945="SBJ"),AND(J3945=1,I3945=0)),"?IN_FOCUS",IF(J3945&lt;=2,"?ACTIVATED",IF(J3945&lt;&gt;"","?FAMILIAR",IF(F3945="NEW",IF(ISNA(VLOOKUP(E3945,#REF!,1,FALSE())),"?TYPE_IDENTIFIABLE","?REFERENTIAL"),"_")))))</f>
        <v> </v>
      </c>
      <c r="H3945" s="24" t="str">
        <f>IF(J3945&lt;&gt;1,"",IF(I3945="SBJ","CB","?"))</f>
        <v> </v>
      </c>
      <c r="I3945" s="25" t="str">
        <f>IF(OR(E3945="",E3945="!!!",F3945="NEW"),"",INDEX(B3944:B$2,-1+SUMPRODUCT(MAX(ROW(E3944:E$2)*(E3945=E3944:E$2)))))</f>
        <v> </v>
      </c>
      <c r="J3945" s="25" t="str">
        <f>IF(OR(E3945="",E3945="!!!",F3945="NEW"),"",COUNTBLANK(OFFSET(A$1,,,SUMPRODUCT(MAX(ROW(E$2:E3945)*(E3945=E$2:E3945)))))-COUNTBLANK(OFFSET(A$1,,,SUMPRODUCT(MAX(ROW(E$1:E3944)*(E2=E$1:E3944))))))</f>
        <v> </v>
      </c>
      <c r="K3945" s="25" t="str">
        <f>IF(OR(E3945="",E3945="!!!",F3945="NEW"),"",INDEX(J$1:J3944,SUMPRODUCT(MAX(ROW(E$1:E3944)*(E3945=E$1:E3944)))))</f>
        <v> </v>
      </c>
      <c r="L3945" s="26"/>
    </row>
    <row r="3946" spans="1:12">
      <c r="A3946" s="20" t="s">
        <v>1017</v>
      </c>
      <c r="B3946" s="27" t="s">
        <v>1308</v>
      </c>
      <c r="C3946" s="27" t="s">
        <v>1013</v>
      </c>
      <c r="D3946" s="27" t="s">
        <v>1014</v>
      </c>
      <c r="E3946" s="21">
        <f>IF(D3946="?OLD","!!!","")</f>
        <v/>
      </c>
      <c r="F3946" s="22" t="str">
        <f>IF(OR(E3946="",E3946="!!!"),"",IF(NOT(ISNA(VLOOKUP(E3946,E$1:E3945,1,FALSE()))),"OLD",IF(AND(E3946&lt;&gt;"",E3946&lt;&gt;"!!!"),"NEW","")))</f>
        <v> </v>
      </c>
      <c r="G3946" s="23" t="str">
        <f>IF(OR(E3946="",E3946="!!!"),"",IF(OR(J3946=0,AND(J3946=1,K3946=1),AND(J3946=1,I3946="SBJ"),AND(J3946=1,I3946=0)),"?IN_FOCUS",IF(J3946&lt;=2,"?ACTIVATED",IF(J3946&lt;&gt;"","?FAMILIAR",IF(F3946="NEW",IF(ISNA(VLOOKUP(E3946,#REF!,1,FALSE())),"?TYPE_IDENTIFIABLE","?REFERENTIAL"),"_")))))</f>
        <v> </v>
      </c>
      <c r="H3946" s="24" t="str">
        <f>IF(J3946&lt;&gt;1,"",IF(I3946="SBJ","CB","?"))</f>
        <v> </v>
      </c>
      <c r="I3946" s="25" t="str">
        <f>IF(OR(E3946="",E3946="!!!",F3946="NEW"),"",INDEX(B3945:B$2,-1+SUMPRODUCT(MAX(ROW(E3945:E$2)*(E3946=E3945:E$2)))))</f>
        <v> </v>
      </c>
      <c r="J3946" s="25" t="str">
        <f>IF(OR(E3946="",E3946="!!!",F3946="NEW"),"",COUNTBLANK(OFFSET(A$1,,,SUMPRODUCT(MAX(ROW(E$2:E3946)*(E3946=E$2:E3946)))))-COUNTBLANK(OFFSET(A$1,,,SUMPRODUCT(MAX(ROW(E$1:E3945)*(E2=E$1:E3945))))))</f>
        <v> </v>
      </c>
      <c r="K3946" s="25" t="str">
        <f>IF(OR(E3946="",E3946="!!!",F3946="NEW"),"",INDEX(J$1:J3945,SUMPRODUCT(MAX(ROW(E$1:E3945)*(E3946=E$1:E3945)))))</f>
        <v> </v>
      </c>
      <c r="L3946" s="26"/>
    </row>
    <row r="3947" spans="1:12">
      <c r="A3947" s="20" t="s">
        <v>2027</v>
      </c>
      <c r="E3947" s="21">
        <f>IF(D3947="?OLD","!!!","")</f>
        <v/>
      </c>
      <c r="F3947" s="22" t="str">
        <f>IF(OR(E3947="",E3947="!!!"),"",IF(NOT(ISNA(VLOOKUP(E3947,E$1:E3946,1,FALSE()))),"OLD",IF(AND(E3947&lt;&gt;"",E3947&lt;&gt;"!!!"),"NEW","")))</f>
        <v> </v>
      </c>
      <c r="G3947" s="23" t="str">
        <f>IF(OR(E3947="",E3947="!!!"),"",IF(OR(J3947=0,AND(J3947=1,K3947=1),AND(J3947=1,I3947="SBJ"),AND(J3947=1,I3947=0)),"?IN_FOCUS",IF(J3947&lt;=2,"?ACTIVATED",IF(J3947&lt;&gt;"","?FAMILIAR",IF(F3947="NEW",IF(ISNA(VLOOKUP(E3947,#REF!,1,FALSE())),"?TYPE_IDENTIFIABLE","?REFERENTIAL"),"_")))))</f>
        <v> </v>
      </c>
      <c r="H3947" s="24" t="str">
        <f>IF(J3947&lt;&gt;1,"",IF(I3947="SBJ","CB","?"))</f>
        <v> </v>
      </c>
      <c r="I3947" s="25" t="str">
        <f>IF(OR(E3947="",E3947="!!!",F3947="NEW"),"",INDEX(B3946:B$2,-1+SUMPRODUCT(MAX(ROW(E3946:E$2)*(E3947=E3946:E$2)))))</f>
        <v> </v>
      </c>
      <c r="J3947" s="25" t="str">
        <f>IF(OR(E3947="",E3947="!!!",F3947="NEW"),"",COUNTBLANK(OFFSET(A$1,,,SUMPRODUCT(MAX(ROW(E$2:E3947)*(E3947=E$2:E3947)))))-COUNTBLANK(OFFSET(A$1,,,SUMPRODUCT(MAX(ROW(E$1:E3946)*(E2=E$1:E3946))))))</f>
        <v> </v>
      </c>
      <c r="K3947" s="25" t="str">
        <f>IF(OR(E3947="",E3947="!!!",F3947="NEW"),"",INDEX(J$1:J3946,SUMPRODUCT(MAX(ROW(E$1:E3946)*(E3947=E$1:E3946)))))</f>
        <v> </v>
      </c>
      <c r="L3947" s="26"/>
    </row>
    <row r="3948" spans="1:12">
      <c r="A3948" s="20" t="s">
        <v>1046</v>
      </c>
      <c r="E3948" s="21">
        <f>IF(D3948="?OLD","!!!","")</f>
        <v/>
      </c>
      <c r="F3948" s="22" t="str">
        <f>IF(OR(E3948="",E3948="!!!"),"",IF(NOT(ISNA(VLOOKUP(E3948,E$1:E3947,1,FALSE()))),"OLD",IF(AND(E3948&lt;&gt;"",E3948&lt;&gt;"!!!"),"NEW","")))</f>
        <v> </v>
      </c>
      <c r="G3948" s="23" t="str">
        <f>IF(OR(E3948="",E3948="!!!"),"",IF(OR(J3948=0,AND(J3948=1,K3948=1),AND(J3948=1,I3948="SBJ"),AND(J3948=1,I3948=0)),"?IN_FOCUS",IF(J3948&lt;=2,"?ACTIVATED",IF(J3948&lt;&gt;"","?FAMILIAR",IF(F3948="NEW",IF(ISNA(VLOOKUP(E3948,#REF!,1,FALSE())),"?TYPE_IDENTIFIABLE","?REFERENTIAL"),"_")))))</f>
        <v> </v>
      </c>
      <c r="H3948" s="24" t="str">
        <f>IF(J3948&lt;&gt;1,"",IF(I3948="SBJ","CB","?"))</f>
        <v> </v>
      </c>
      <c r="I3948" s="25" t="str">
        <f>IF(OR(E3948="",E3948="!!!",F3948="NEW"),"",INDEX(B3947:B$2,-1+SUMPRODUCT(MAX(ROW(E3947:E$2)*(E3948=E3947:E$2)))))</f>
        <v> </v>
      </c>
      <c r="J3948" s="25" t="str">
        <f>IF(OR(E3948="",E3948="!!!",F3948="NEW"),"",COUNTBLANK(OFFSET(A$1,,,SUMPRODUCT(MAX(ROW(E$2:E3948)*(E3948=E$2:E3948)))))-COUNTBLANK(OFFSET(A$1,,,SUMPRODUCT(MAX(ROW(E$1:E3947)*(E2=E$1:E3947))))))</f>
        <v> </v>
      </c>
      <c r="K3948" s="25" t="str">
        <f>IF(OR(E3948="",E3948="!!!",F3948="NEW"),"",INDEX(J$1:J3947,SUMPRODUCT(MAX(ROW(E$1:E3947)*(E3948=E$1:E3947)))))</f>
        <v> </v>
      </c>
      <c r="L3948" s="26"/>
    </row>
    <row r="3949" spans="1:12">
      <c r="A3949" s="20" t="s">
        <v>49</v>
      </c>
      <c r="E3949" s="21">
        <f>IF(D3949="?OLD","!!!","")</f>
        <v/>
      </c>
      <c r="F3949" s="22" t="str">
        <f>IF(OR(E3949="",E3949="!!!"),"",IF(NOT(ISNA(VLOOKUP(E3949,E$1:E3948,1,FALSE()))),"OLD",IF(AND(E3949&lt;&gt;"",E3949&lt;&gt;"!!!"),"NEW","")))</f>
        <v> </v>
      </c>
      <c r="G3949" s="23" t="str">
        <f>IF(OR(E3949="",E3949="!!!"),"",IF(OR(J3949=0,AND(J3949=1,K3949=1),AND(J3949=1,I3949="SBJ"),AND(J3949=1,I3949=0)),"?IN_FOCUS",IF(J3949&lt;=2,"?ACTIVATED",IF(J3949&lt;&gt;"","?FAMILIAR",IF(F3949="NEW",IF(ISNA(VLOOKUP(E3949,#REF!,1,FALSE())),"?TYPE_IDENTIFIABLE","?REFERENTIAL"),"_")))))</f>
        <v> </v>
      </c>
      <c r="H3949" s="24" t="str">
        <f>IF(J3949&lt;&gt;1,"",IF(I3949="SBJ","CB","?"))</f>
        <v> </v>
      </c>
      <c r="I3949" s="25" t="str">
        <f>IF(OR(E3949="",E3949="!!!",F3949="NEW"),"",INDEX(B3948:B$2,-1+SUMPRODUCT(MAX(ROW(E3948:E$2)*(E3949=E3948:E$2)))))</f>
        <v> </v>
      </c>
      <c r="J3949" s="25" t="str">
        <f>IF(OR(E3949="",E3949="!!!",F3949="NEW"),"",COUNTBLANK(OFFSET(A$1,,,SUMPRODUCT(MAX(ROW(E$2:E3949)*(E3949=E$2:E3949)))))-COUNTBLANK(OFFSET(A$1,,,SUMPRODUCT(MAX(ROW(E$1:E3948)*(E2=E$1:E3948))))))</f>
        <v> </v>
      </c>
      <c r="K3949" s="25" t="str">
        <f>IF(OR(E3949="",E3949="!!!",F3949="NEW"),"",INDEX(J$1:J3948,SUMPRODUCT(MAX(ROW(E$1:E3948)*(E3949=E$1:E3948)))))</f>
        <v> </v>
      </c>
      <c r="L3949" s="26"/>
    </row>
    <row r="3950" spans="1:12">
      <c r="A3950" s="20" t="s">
        <v>537</v>
      </c>
      <c r="B3950" s="27" t="s">
        <v>1306</v>
      </c>
      <c r="C3950" s="27" t="s">
        <v>1059</v>
      </c>
      <c r="E3950" s="21">
        <f>IF(D3950="?OLD","!!!","")</f>
        <v/>
      </c>
      <c r="F3950" s="22" t="str">
        <f>IF(OR(E3950="",E3950="!!!"),"",IF(NOT(ISNA(VLOOKUP(E3950,E$1:E3949,1,FALSE()))),"OLD",IF(AND(E3950&lt;&gt;"",E3950&lt;&gt;"!!!"),"NEW","")))</f>
        <v> </v>
      </c>
      <c r="G3950" s="23" t="str">
        <f>IF(OR(E3950="",E3950="!!!"),"",IF(OR(J3950=0,AND(J3950=1,K3950=1),AND(J3950=1,I3950="SBJ"),AND(J3950=1,I3950=0)),"?IN_FOCUS",IF(J3950&lt;=2,"?ACTIVATED",IF(J3950&lt;&gt;"","?FAMILIAR",IF(F3950="NEW",IF(ISNA(VLOOKUP(E3950,#REF!,1,FALSE())),"?TYPE_IDENTIFIABLE","?REFERENTIAL"),"_")))))</f>
        <v> </v>
      </c>
      <c r="H3950" s="24" t="str">
        <f>IF(J3950&lt;&gt;1,"",IF(I3950="SBJ","CB","?"))</f>
        <v> </v>
      </c>
      <c r="I3950" s="25" t="str">
        <f>IF(OR(E3950="",E3950="!!!",F3950="NEW"),"",INDEX(B3949:B$2,-1+SUMPRODUCT(MAX(ROW(E3949:E$2)*(E3950=E3949:E$2)))))</f>
        <v> </v>
      </c>
      <c r="J3950" s="25" t="str">
        <f>IF(OR(E3950="",E3950="!!!",F3950="NEW"),"",COUNTBLANK(OFFSET(A$1,,,SUMPRODUCT(MAX(ROW(E$2:E3950)*(E3950=E$2:E3950)))))-COUNTBLANK(OFFSET(A$1,,,SUMPRODUCT(MAX(ROW(E$1:E3949)*(E2=E$1:E3949))))))</f>
        <v> </v>
      </c>
      <c r="K3950" s="25" t="str">
        <f>IF(OR(E3950="",E3950="!!!",F3950="NEW"),"",INDEX(J$1:J3949,SUMPRODUCT(MAX(ROW(E$1:E3949)*(E3950=E$1:E3949)))))</f>
        <v> </v>
      </c>
      <c r="L3950" s="26"/>
    </row>
    <row r="3951" spans="1:12">
      <c r="A3951" s="20" t="s">
        <v>1098</v>
      </c>
      <c r="B3951" s="27" t="s">
        <v>1261</v>
      </c>
      <c r="E3951" s="21">
        <f>IF(D3951="?OLD","!!!","")</f>
        <v/>
      </c>
      <c r="F3951" s="22" t="str">
        <f>IF(OR(E3951="",E3951="!!!"),"",IF(NOT(ISNA(VLOOKUP(E3951,E$1:E3950,1,FALSE()))),"OLD",IF(AND(E3951&lt;&gt;"",E3951&lt;&gt;"!!!"),"NEW","")))</f>
        <v> </v>
      </c>
      <c r="G3951" s="23" t="str">
        <f>IF(OR(E3951="",E3951="!!!"),"",IF(OR(J3951=0,AND(J3951=1,K3951=1),AND(J3951=1,I3951="SBJ"),AND(J3951=1,I3951=0)),"?IN_FOCUS",IF(J3951&lt;=2,"?ACTIVATED",IF(J3951&lt;&gt;"","?FAMILIAR",IF(F3951="NEW",IF(ISNA(VLOOKUP(E3951,#REF!,1,FALSE())),"?TYPE_IDENTIFIABLE","?REFERENTIAL"),"_")))))</f>
        <v> </v>
      </c>
      <c r="H3951" s="24" t="str">
        <f>IF(J3951&lt;&gt;1,"",IF(I3951="SBJ","CB","?"))</f>
        <v> </v>
      </c>
      <c r="I3951" s="25" t="str">
        <f>IF(OR(E3951="",E3951="!!!",F3951="NEW"),"",INDEX(B3950:B$2,-1+SUMPRODUCT(MAX(ROW(E3950:E$2)*(E3951=E3950:E$2)))))</f>
        <v> </v>
      </c>
      <c r="J3951" s="25" t="str">
        <f>IF(OR(E3951="",E3951="!!!",F3951="NEW"),"",COUNTBLANK(OFFSET(A$1,,,SUMPRODUCT(MAX(ROW(E$2:E3951)*(E3951=E$2:E3951)))))-COUNTBLANK(OFFSET(A$1,,,SUMPRODUCT(MAX(ROW(E$1:E3950)*(E2=E$1:E3950))))))</f>
        <v> </v>
      </c>
      <c r="K3951" s="25" t="str">
        <f>IF(OR(E3951="",E3951="!!!",F3951="NEW"),"",INDEX(J$1:J3950,SUMPRODUCT(MAX(ROW(E$1:E3950)*(E3951=E$1:E3950)))))</f>
        <v> </v>
      </c>
      <c r="L3951" s="26"/>
    </row>
    <row r="3952" spans="1:12">
      <c r="A3952" s="20" t="s">
        <v>2028</v>
      </c>
      <c r="E3952" s="21">
        <f>IF(D3952="?OLD","!!!","")</f>
        <v/>
      </c>
      <c r="F3952" s="22" t="str">
        <f>IF(OR(E3952="",E3952="!!!"),"",IF(NOT(ISNA(VLOOKUP(E3952,E$1:E3951,1,FALSE()))),"OLD",IF(AND(E3952&lt;&gt;"",E3952&lt;&gt;"!!!"),"NEW","")))</f>
        <v> </v>
      </c>
      <c r="G3952" s="23" t="str">
        <f>IF(OR(E3952="",E3952="!!!"),"",IF(OR(J3952=0,AND(J3952=1,K3952=1),AND(J3952=1,I3952="SBJ"),AND(J3952=1,I3952=0)),"?IN_FOCUS",IF(J3952&lt;=2,"?ACTIVATED",IF(J3952&lt;&gt;"","?FAMILIAR",IF(F3952="NEW",IF(ISNA(VLOOKUP(E3952,#REF!,1,FALSE())),"?TYPE_IDENTIFIABLE","?REFERENTIAL"),"_")))))</f>
        <v> </v>
      </c>
      <c r="H3952" s="24" t="str">
        <f>IF(J3952&lt;&gt;1,"",IF(I3952="SBJ","CB","?"))</f>
        <v> </v>
      </c>
      <c r="I3952" s="25" t="str">
        <f>IF(OR(E3952="",E3952="!!!",F3952="NEW"),"",INDEX(B3951:B$2,-1+SUMPRODUCT(MAX(ROW(E3951:E$2)*(E3952=E3951:E$2)))))</f>
        <v> </v>
      </c>
      <c r="J3952" s="25" t="str">
        <f>IF(OR(E3952="",E3952="!!!",F3952="NEW"),"",COUNTBLANK(OFFSET(A$1,,,SUMPRODUCT(MAX(ROW(E$2:E3952)*(E3952=E$2:E3952)))))-COUNTBLANK(OFFSET(A$1,,,SUMPRODUCT(MAX(ROW(E$1:E3951)*(E2=E$1:E3951))))))</f>
        <v> </v>
      </c>
      <c r="K3952" s="25" t="str">
        <f>IF(OR(E3952="",E3952="!!!",F3952="NEW"),"",INDEX(J$1:J3951,SUMPRODUCT(MAX(ROW(E$1:E3951)*(E3952=E$1:E3951)))))</f>
        <v> </v>
      </c>
      <c r="L3952" s="26"/>
    </row>
    <row r="3953" spans="1:12">
      <c r="A3953" s="20" t="s">
        <v>1022</v>
      </c>
      <c r="E3953" s="21">
        <f>IF(D3953="?OLD","!!!","")</f>
        <v/>
      </c>
      <c r="F3953" s="22" t="str">
        <f>IF(OR(E3953="",E3953="!!!"),"",IF(NOT(ISNA(VLOOKUP(E3953,E$1:E3952,1,FALSE()))),"OLD",IF(AND(E3953&lt;&gt;"",E3953&lt;&gt;"!!!"),"NEW","")))</f>
        <v> </v>
      </c>
      <c r="G3953" s="23" t="str">
        <f>IF(OR(E3953="",E3953="!!!"),"",IF(OR(J3953=0,AND(J3953=1,K3953=1),AND(J3953=1,I3953="SBJ"),AND(J3953=1,I3953=0)),"?IN_FOCUS",IF(J3953&lt;=2,"?ACTIVATED",IF(J3953&lt;&gt;"","?FAMILIAR",IF(F3953="NEW",IF(ISNA(VLOOKUP(E3953,#REF!,1,FALSE())),"?TYPE_IDENTIFIABLE","?REFERENTIAL"),"_")))))</f>
        <v> </v>
      </c>
      <c r="H3953" s="24" t="str">
        <f>IF(J3953&lt;&gt;1,"",IF(I3953="SBJ","CB","?"))</f>
        <v> </v>
      </c>
      <c r="I3953" s="25" t="str">
        <f>IF(OR(E3953="",E3953="!!!",F3953="NEW"),"",INDEX(B3952:B$2,-1+SUMPRODUCT(MAX(ROW(E3952:E$2)*(E3953=E3952:E$2)))))</f>
        <v> </v>
      </c>
      <c r="J3953" s="25" t="str">
        <f>IF(OR(E3953="",E3953="!!!",F3953="NEW"),"",COUNTBLANK(OFFSET(A$1,,,SUMPRODUCT(MAX(ROW(E$2:E3953)*(E3953=E$2:E3953)))))-COUNTBLANK(OFFSET(A$1,,,SUMPRODUCT(MAX(ROW(E$1:E3952)*(E2=E$1:E3952))))))</f>
        <v> </v>
      </c>
      <c r="K3953" s="25" t="str">
        <f>IF(OR(E3953="",E3953="!!!",F3953="NEW"),"",INDEX(J$1:J3952,SUMPRODUCT(MAX(ROW(E$1:E3952)*(E3953=E$1:E3952)))))</f>
        <v> </v>
      </c>
      <c r="L3953" s="26"/>
    </row>
    <row r="3954" spans="1:12">
      <c r="A3954" s="20"/>
    </row>
    <row r="3955" spans="1:12">
      <c r="A3955" s="20" t="s">
        <v>2029</v>
      </c>
    </row>
    <row r="3956" spans="1:12">
      <c r="A3956" s="20" t="s">
        <v>1578</v>
      </c>
      <c r="E3956" s="21">
        <f>IF(D3956="?OLD","!!!","")</f>
        <v/>
      </c>
      <c r="F3956" s="22" t="str">
        <f>IF(OR(E3956="",E3956="!!!"),"",IF(NOT(ISNA(VLOOKUP(E3956,E$1:E3955,1,FALSE()))),"OLD",IF(AND(E3956&lt;&gt;"",E3956&lt;&gt;"!!!"),"NEW","")))</f>
        <v> </v>
      </c>
      <c r="G3956" s="23" t="str">
        <f>IF(OR(E3956="",E3956="!!!"),"",IF(OR(J3956=0,AND(J3956=1,K3956=1),AND(J3956=1,I3956="SBJ"),AND(J3956=1,I3956=0)),"?IN_FOCUS",IF(J3956&lt;=2,"?ACTIVATED",IF(J3956&lt;&gt;"","?FAMILIAR",IF(F3956="NEW",IF(ISNA(VLOOKUP(E3956,#REF!,1,FALSE())),"?TYPE_IDENTIFIABLE","?REFERENTIAL"),"_")))))</f>
        <v> </v>
      </c>
      <c r="H3956" s="24" t="str">
        <f>IF(J3956&lt;&gt;1,"",IF(I3956="SBJ","CB","?"))</f>
        <v> </v>
      </c>
      <c r="I3956" s="25" t="str">
        <f>IF(OR(E3956="",E3956="!!!",F3956="NEW"),"",INDEX(B3955:B$2,-1+SUMPRODUCT(MAX(ROW(E3955:E$2)*(E3956=E3955:E$2)))))</f>
        <v> </v>
      </c>
      <c r="J3956" s="25" t="str">
        <f>IF(OR(E3956="",E3956="!!!",F3956="NEW"),"",COUNTBLANK(OFFSET(A$1,,,SUMPRODUCT(MAX(ROW(E$2:E3956)*(E3956=E$2:E3956)))))-COUNTBLANK(OFFSET(A$1,,,SUMPRODUCT(MAX(ROW(E$1:E3955)*(E2=E$1:E3955))))))</f>
        <v> </v>
      </c>
      <c r="K3956" s="25" t="str">
        <f>IF(OR(E3956="",E3956="!!!",F3956="NEW"),"",INDEX(J$1:J3955,SUMPRODUCT(MAX(ROW(E$1:E3955)*(E3956=E$1:E3955)))))</f>
        <v> </v>
      </c>
      <c r="L3956" s="26"/>
    </row>
    <row r="3957" spans="1:12">
      <c r="A3957" s="20" t="s">
        <v>1027</v>
      </c>
      <c r="E3957" s="21">
        <f>IF(D3957="?OLD","!!!","")</f>
        <v/>
      </c>
      <c r="F3957" s="22" t="str">
        <f>IF(OR(E3957="",E3957="!!!"),"",IF(NOT(ISNA(VLOOKUP(E3957,E$1:E3956,1,FALSE()))),"OLD",IF(AND(E3957&lt;&gt;"",E3957&lt;&gt;"!!!"),"NEW","")))</f>
        <v> </v>
      </c>
      <c r="G3957" s="23" t="str">
        <f>IF(OR(E3957="",E3957="!!!"),"",IF(OR(J3957=0,AND(J3957=1,K3957=1),AND(J3957=1,I3957="SBJ"),AND(J3957=1,I3957=0)),"?IN_FOCUS",IF(J3957&lt;=2,"?ACTIVATED",IF(J3957&lt;&gt;"","?FAMILIAR",IF(F3957="NEW",IF(ISNA(VLOOKUP(E3957,#REF!,1,FALSE())),"?TYPE_IDENTIFIABLE","?REFERENTIAL"),"_")))))</f>
        <v> </v>
      </c>
      <c r="H3957" s="24" t="str">
        <f>IF(J3957&lt;&gt;1,"",IF(I3957="SBJ","CB","?"))</f>
        <v> </v>
      </c>
      <c r="I3957" s="25" t="str">
        <f>IF(OR(E3957="",E3957="!!!",F3957="NEW"),"",INDEX(B3956:B$2,-1+SUMPRODUCT(MAX(ROW(E3956:E$2)*(E3957=E3956:E$2)))))</f>
        <v> </v>
      </c>
      <c r="J3957" s="25" t="str">
        <f>IF(OR(E3957="",E3957="!!!",F3957="NEW"),"",COUNTBLANK(OFFSET(A$1,,,SUMPRODUCT(MAX(ROW(E$2:E3957)*(E3957=E$2:E3957)))))-COUNTBLANK(OFFSET(A$1,,,SUMPRODUCT(MAX(ROW(E$1:E3956)*(E2=E$1:E3956))))))</f>
        <v> </v>
      </c>
      <c r="K3957" s="25" t="str">
        <f>IF(OR(E3957="",E3957="!!!",F3957="NEW"),"",INDEX(J$1:J3956,SUMPRODUCT(MAX(ROW(E$1:E3956)*(E3957=E$1:E3956)))))</f>
        <v> </v>
      </c>
      <c r="L3957" s="26"/>
    </row>
    <row r="3958" spans="1:12">
      <c r="A3958" s="20" t="s">
        <v>1049</v>
      </c>
      <c r="B3958" s="27" t="s">
        <v>1038</v>
      </c>
      <c r="C3958" s="27" t="s">
        <v>1013</v>
      </c>
      <c r="D3958" s="27" t="s">
        <v>1014</v>
      </c>
      <c r="E3958" s="21">
        <f>IF(D3958="?OLD","!!!","")</f>
        <v/>
      </c>
      <c r="F3958" s="22" t="str">
        <f>IF(OR(E3958="",E3958="!!!"),"",IF(NOT(ISNA(VLOOKUP(E3958,E$1:E3957,1,FALSE()))),"OLD",IF(AND(E3958&lt;&gt;"",E3958&lt;&gt;"!!!"),"NEW","")))</f>
        <v> </v>
      </c>
      <c r="G3958" s="23" t="str">
        <f>IF(OR(E3958="",E3958="!!!"),"",IF(OR(J3958=0,AND(J3958=1,K3958=1),AND(J3958=1,I3958="SBJ"),AND(J3958=1,I3958=0)),"?IN_FOCUS",IF(J3958&lt;=2,"?ACTIVATED",IF(J3958&lt;&gt;"","?FAMILIAR",IF(F3958="NEW",IF(ISNA(VLOOKUP(E3958,#REF!,1,FALSE())),"?TYPE_IDENTIFIABLE","?REFERENTIAL"),"_")))))</f>
        <v> </v>
      </c>
      <c r="H3958" s="24" t="str">
        <f>IF(J3958&lt;&gt;1,"",IF(I3958="SBJ","CB","?"))</f>
        <v> </v>
      </c>
      <c r="I3958" s="25" t="str">
        <f>IF(OR(E3958="",E3958="!!!",F3958="NEW"),"",INDEX(B3957:B$2,-1+SUMPRODUCT(MAX(ROW(E3957:E$2)*(E3958=E3957:E$2)))))</f>
        <v> </v>
      </c>
      <c r="J3958" s="25" t="str">
        <f>IF(OR(E3958="",E3958="!!!",F3958="NEW"),"",COUNTBLANK(OFFSET(A$1,,,SUMPRODUCT(MAX(ROW(E$2:E3958)*(E3958=E$2:E3958)))))-COUNTBLANK(OFFSET(A$1,,,SUMPRODUCT(MAX(ROW(E$1:E3957)*(E2=E$1:E3957))))))</f>
        <v> </v>
      </c>
      <c r="K3958" s="25" t="str">
        <f>IF(OR(E3958="",E3958="!!!",F3958="NEW"),"",INDEX(J$1:J3957,SUMPRODUCT(MAX(ROW(E$1:E3957)*(E3958=E$1:E3957)))))</f>
        <v> </v>
      </c>
      <c r="L3958" s="26"/>
    </row>
    <row r="3959" spans="1:12">
      <c r="A3959" s="20" t="s">
        <v>35</v>
      </c>
      <c r="E3959" s="21">
        <f>IF(D3959="?OLD","!!!","")</f>
        <v/>
      </c>
      <c r="F3959" s="22" t="str">
        <f>IF(OR(E3959="",E3959="!!!"),"",IF(NOT(ISNA(VLOOKUP(E3959,E$1:E3958,1,FALSE()))),"OLD",IF(AND(E3959&lt;&gt;"",E3959&lt;&gt;"!!!"),"NEW","")))</f>
        <v> </v>
      </c>
      <c r="G3959" s="23" t="str">
        <f>IF(OR(E3959="",E3959="!!!"),"",IF(OR(J3959=0,AND(J3959=1,K3959=1),AND(J3959=1,I3959="SBJ"),AND(J3959=1,I3959=0)),"?IN_FOCUS",IF(J3959&lt;=2,"?ACTIVATED",IF(J3959&lt;&gt;"","?FAMILIAR",IF(F3959="NEW",IF(ISNA(VLOOKUP(E3959,#REF!,1,FALSE())),"?TYPE_IDENTIFIABLE","?REFERENTIAL"),"_")))))</f>
        <v> </v>
      </c>
      <c r="H3959" s="24" t="str">
        <f>IF(J3959&lt;&gt;1,"",IF(I3959="SBJ","CB","?"))</f>
        <v> </v>
      </c>
      <c r="I3959" s="25" t="str">
        <f>IF(OR(E3959="",E3959="!!!",F3959="NEW"),"",INDEX(B3958:B$2,-1+SUMPRODUCT(MAX(ROW(E3958:E$2)*(E3959=E3958:E$2)))))</f>
        <v> </v>
      </c>
      <c r="J3959" s="25" t="str">
        <f>IF(OR(E3959="",E3959="!!!",F3959="NEW"),"",COUNTBLANK(OFFSET(A$1,,,SUMPRODUCT(MAX(ROW(E$2:E3959)*(E3959=E$2:E3959)))))-COUNTBLANK(OFFSET(A$1,,,SUMPRODUCT(MAX(ROW(E$1:E3958)*(E2=E$1:E3958))))))</f>
        <v> </v>
      </c>
      <c r="K3959" s="25" t="str">
        <f>IF(OR(E3959="",E3959="!!!",F3959="NEW"),"",INDEX(J$1:J3958,SUMPRODUCT(MAX(ROW(E$1:E3958)*(E3959=E$1:E3958)))))</f>
        <v> </v>
      </c>
      <c r="L3959" s="26"/>
    </row>
    <row r="3960" spans="1:12">
      <c r="A3960" s="20" t="s">
        <v>1615</v>
      </c>
      <c r="B3960" s="27" t="s">
        <v>1012</v>
      </c>
      <c r="C3960" s="27" t="s">
        <v>1147</v>
      </c>
      <c r="D3960" s="27" t="s">
        <v>1014</v>
      </c>
      <c r="E3960" s="21">
        <f>IF(D3960="?OLD","!!!","")</f>
        <v/>
      </c>
      <c r="F3960" s="22" t="str">
        <f>IF(OR(E3960="",E3960="!!!"),"",IF(NOT(ISNA(VLOOKUP(E3960,E$1:E3959,1,FALSE()))),"OLD",IF(AND(E3960&lt;&gt;"",E3960&lt;&gt;"!!!"),"NEW","")))</f>
        <v> </v>
      </c>
      <c r="G3960" s="23" t="str">
        <f>IF(OR(E3960="",E3960="!!!"),"",IF(OR(J3960=0,AND(J3960=1,K3960=1),AND(J3960=1,I3960="SBJ"),AND(J3960=1,I3960=0)),"?IN_FOCUS",IF(J3960&lt;=2,"?ACTIVATED",IF(J3960&lt;&gt;"","?FAMILIAR",IF(F3960="NEW",IF(ISNA(VLOOKUP(E3960,#REF!,1,FALSE())),"?TYPE_IDENTIFIABLE","?REFERENTIAL"),"_")))))</f>
        <v> </v>
      </c>
      <c r="H3960" s="24" t="str">
        <f>IF(J3960&lt;&gt;1,"",IF(I3960="SBJ","CB","?"))</f>
        <v> </v>
      </c>
      <c r="I3960" s="25" t="str">
        <f>IF(OR(E3960="",E3960="!!!",F3960="NEW"),"",INDEX(B3959:B$2,-1+SUMPRODUCT(MAX(ROW(E3959:E$2)*(E3960=E3959:E$2)))))</f>
        <v> </v>
      </c>
      <c r="J3960" s="25" t="str">
        <f>IF(OR(E3960="",E3960="!!!",F3960="NEW"),"",COUNTBLANK(OFFSET(A$1,,,SUMPRODUCT(MAX(ROW(E$2:E3960)*(E3960=E$2:E3960)))))-COUNTBLANK(OFFSET(A$1,,,SUMPRODUCT(MAX(ROW(E$1:E3959)*(E2=E$1:E3959))))))</f>
        <v> </v>
      </c>
      <c r="K3960" s="25" t="str">
        <f>IF(OR(E3960="",E3960="!!!",F3960="NEW"),"",INDEX(J$1:J3959,SUMPRODUCT(MAX(ROW(E$1:E3959)*(E3960=E$1:E3959)))))</f>
        <v> </v>
      </c>
      <c r="L3960" s="26"/>
    </row>
    <row r="3961" spans="1:12">
      <c r="A3961" s="20" t="s">
        <v>1200</v>
      </c>
      <c r="E3961" s="21">
        <f>IF(D3961="?OLD","!!!","")</f>
        <v/>
      </c>
      <c r="F3961" s="22" t="str">
        <f>IF(OR(E3961="",E3961="!!!"),"",IF(NOT(ISNA(VLOOKUP(E3961,E$1:E3960,1,FALSE()))),"OLD",IF(AND(E3961&lt;&gt;"",E3961&lt;&gt;"!!!"),"NEW","")))</f>
        <v> </v>
      </c>
      <c r="G3961" s="23" t="str">
        <f>IF(OR(E3961="",E3961="!!!"),"",IF(OR(J3961=0,AND(J3961=1,K3961=1),AND(J3961=1,I3961="SBJ"),AND(J3961=1,I3961=0)),"?IN_FOCUS",IF(J3961&lt;=2,"?ACTIVATED",IF(J3961&lt;&gt;"","?FAMILIAR",IF(F3961="NEW",IF(ISNA(VLOOKUP(E3961,#REF!,1,FALSE())),"?TYPE_IDENTIFIABLE","?REFERENTIAL"),"_")))))</f>
        <v> </v>
      </c>
      <c r="H3961" s="24" t="str">
        <f>IF(J3961&lt;&gt;1,"",IF(I3961="SBJ","CB","?"))</f>
        <v> </v>
      </c>
      <c r="I3961" s="25" t="str">
        <f>IF(OR(E3961="",E3961="!!!",F3961="NEW"),"",INDEX(B3960:B$2,-1+SUMPRODUCT(MAX(ROW(E3960:E$2)*(E3961=E3960:E$2)))))</f>
        <v> </v>
      </c>
      <c r="J3961" s="25" t="str">
        <f>IF(OR(E3961="",E3961="!!!",F3961="NEW"),"",COUNTBLANK(OFFSET(A$1,,,SUMPRODUCT(MAX(ROW(E$2:E3961)*(E3961=E$2:E3961)))))-COUNTBLANK(OFFSET(A$1,,,SUMPRODUCT(MAX(ROW(E$1:E3960)*(E2=E$1:E3960))))))</f>
        <v> </v>
      </c>
      <c r="K3961" s="25" t="str">
        <f>IF(OR(E3961="",E3961="!!!",F3961="NEW"),"",INDEX(J$1:J3960,SUMPRODUCT(MAX(ROW(E$1:E3960)*(E3961=E$1:E3960)))))</f>
        <v> </v>
      </c>
      <c r="L3961" s="26"/>
    </row>
    <row r="3962" spans="1:12">
      <c r="A3962" s="20"/>
    </row>
    <row r="3963" spans="1:12">
      <c r="A3963" s="20" t="s">
        <v>2030</v>
      </c>
    </row>
    <row r="3964" spans="1:12">
      <c r="A3964" s="20" t="s">
        <v>2031</v>
      </c>
      <c r="E3964" s="21">
        <f>IF(D3964="?OLD","!!!","")</f>
        <v/>
      </c>
      <c r="F3964" s="22" t="str">
        <f>IF(OR(E3964="",E3964="!!!"),"",IF(NOT(ISNA(VLOOKUP(E3964,E$1:E3963,1,FALSE()))),"OLD",IF(AND(E3964&lt;&gt;"",E3964&lt;&gt;"!!!"),"NEW","")))</f>
        <v> </v>
      </c>
      <c r="G3964" s="23" t="str">
        <f>IF(OR(E3964="",E3964="!!!"),"",IF(OR(J3964=0,AND(J3964=1,K3964=1),AND(J3964=1,I3964="SBJ"),AND(J3964=1,I3964=0)),"?IN_FOCUS",IF(J3964&lt;=2,"?ACTIVATED",IF(J3964&lt;&gt;"","?FAMILIAR",IF(F3964="NEW",IF(ISNA(VLOOKUP(E3964,#REF!,1,FALSE())),"?TYPE_IDENTIFIABLE","?REFERENTIAL"),"_")))))</f>
        <v> </v>
      </c>
      <c r="H3964" s="24" t="str">
        <f>IF(J3964&lt;&gt;1,"",IF(I3964="SBJ","CB","?"))</f>
        <v> </v>
      </c>
      <c r="I3964" s="25" t="str">
        <f>IF(OR(E3964="",E3964="!!!",F3964="NEW"),"",INDEX(B3963:B$2,-1+SUMPRODUCT(MAX(ROW(E3963:E$2)*(E3964=E3963:E$2)))))</f>
        <v> </v>
      </c>
      <c r="J3964" s="25" t="str">
        <f>IF(OR(E3964="",E3964="!!!",F3964="NEW"),"",COUNTBLANK(OFFSET(A$1,,,SUMPRODUCT(MAX(ROW(E$2:E3964)*(E3964=E$2:E3964)))))-COUNTBLANK(OFFSET(A$1,,,SUMPRODUCT(MAX(ROW(E$1:E3963)*(E2=E$1:E3963))))))</f>
        <v> </v>
      </c>
      <c r="K3964" s="25" t="str">
        <f>IF(OR(E3964="",E3964="!!!",F3964="NEW"),"",INDEX(J$1:J3963,SUMPRODUCT(MAX(ROW(E$1:E3963)*(E3964=E$1:E3963)))))</f>
        <v> </v>
      </c>
      <c r="L3964" s="26"/>
    </row>
    <row r="3965" spans="1:12">
      <c r="A3965" s="20" t="s">
        <v>1017</v>
      </c>
      <c r="B3965" s="27" t="s">
        <v>1033</v>
      </c>
      <c r="C3965" s="27" t="s">
        <v>1013</v>
      </c>
      <c r="D3965" s="27" t="s">
        <v>1014</v>
      </c>
      <c r="E3965" s="21">
        <f>IF(D3965="?OLD","!!!","")</f>
        <v/>
      </c>
      <c r="F3965" s="22" t="str">
        <f>IF(OR(E3965="",E3965="!!!"),"",IF(NOT(ISNA(VLOOKUP(E3965,E$1:E3964,1,FALSE()))),"OLD",IF(AND(E3965&lt;&gt;"",E3965&lt;&gt;"!!!"),"NEW","")))</f>
        <v> </v>
      </c>
      <c r="G3965" s="23" t="str">
        <f>IF(OR(E3965="",E3965="!!!"),"",IF(OR(J3965=0,AND(J3965=1,K3965=1),AND(J3965=1,I3965="SBJ"),AND(J3965=1,I3965=0)),"?IN_FOCUS",IF(J3965&lt;=2,"?ACTIVATED",IF(J3965&lt;&gt;"","?FAMILIAR",IF(F3965="NEW",IF(ISNA(VLOOKUP(E3965,#REF!,1,FALSE())),"?TYPE_IDENTIFIABLE","?REFERENTIAL"),"_")))))</f>
        <v> </v>
      </c>
      <c r="H3965" s="24" t="str">
        <f>IF(J3965&lt;&gt;1,"",IF(I3965="SBJ","CB","?"))</f>
        <v> </v>
      </c>
      <c r="I3965" s="25" t="str">
        <f>IF(OR(E3965="",E3965="!!!",F3965="NEW"),"",INDEX(B3964:B$2,-1+SUMPRODUCT(MAX(ROW(E3964:E$2)*(E3965=E3964:E$2)))))</f>
        <v> </v>
      </c>
      <c r="J3965" s="25" t="str">
        <f>IF(OR(E3965="",E3965="!!!",F3965="NEW"),"",COUNTBLANK(OFFSET(A$1,,,SUMPRODUCT(MAX(ROW(E$2:E3965)*(E3965=E$2:E3965)))))-COUNTBLANK(OFFSET(A$1,,,SUMPRODUCT(MAX(ROW(E$1:E3964)*(E2=E$1:E3964))))))</f>
        <v> </v>
      </c>
      <c r="K3965" s="25" t="str">
        <f>IF(OR(E3965="",E3965="!!!",F3965="NEW"),"",INDEX(J$1:J3964,SUMPRODUCT(MAX(ROW(E$1:E3964)*(E3965=E$1:E3964)))))</f>
        <v> </v>
      </c>
      <c r="L3965" s="26"/>
    </row>
    <row r="3966" spans="1:12">
      <c r="A3966" s="20" t="s">
        <v>140</v>
      </c>
      <c r="E3966" s="21">
        <f>IF(D3966="?OLD","!!!","")</f>
        <v/>
      </c>
      <c r="F3966" s="22" t="str">
        <f>IF(OR(E3966="",E3966="!!!"),"",IF(NOT(ISNA(VLOOKUP(E3966,E$1:E3965,1,FALSE()))),"OLD",IF(AND(E3966&lt;&gt;"",E3966&lt;&gt;"!!!"),"NEW","")))</f>
        <v> </v>
      </c>
      <c r="G3966" s="23" t="str">
        <f>IF(OR(E3966="",E3966="!!!"),"",IF(OR(J3966=0,AND(J3966=1,K3966=1),AND(J3966=1,I3966="SBJ"),AND(J3966=1,I3966=0)),"?IN_FOCUS",IF(J3966&lt;=2,"?ACTIVATED",IF(J3966&lt;&gt;"","?FAMILIAR",IF(F3966="NEW",IF(ISNA(VLOOKUP(E3966,#REF!,1,FALSE())),"?TYPE_IDENTIFIABLE","?REFERENTIAL"),"_")))))</f>
        <v> </v>
      </c>
      <c r="H3966" s="24" t="str">
        <f>IF(J3966&lt;&gt;1,"",IF(I3966="SBJ","CB","?"))</f>
        <v> </v>
      </c>
      <c r="I3966" s="25" t="str">
        <f>IF(OR(E3966="",E3966="!!!",F3966="NEW"),"",INDEX(B3965:B$2,-1+SUMPRODUCT(MAX(ROW(E3965:E$2)*(E3966=E3965:E$2)))))</f>
        <v> </v>
      </c>
      <c r="J3966" s="25" t="str">
        <f>IF(OR(E3966="",E3966="!!!",F3966="NEW"),"",COUNTBLANK(OFFSET(A$1,,,SUMPRODUCT(MAX(ROW(E$2:E3966)*(E3966=E$2:E3966)))))-COUNTBLANK(OFFSET(A$1,,,SUMPRODUCT(MAX(ROW(E$1:E3965)*(E2=E$1:E3965))))))</f>
        <v> </v>
      </c>
      <c r="K3966" s="25" t="str">
        <f>IF(OR(E3966="",E3966="!!!",F3966="NEW"),"",INDEX(J$1:J3965,SUMPRODUCT(MAX(ROW(E$1:E3965)*(E3966=E$1:E3965)))))</f>
        <v> </v>
      </c>
      <c r="L3966" s="26"/>
    </row>
    <row r="3967" spans="1:12">
      <c r="A3967" s="20" t="s">
        <v>1079</v>
      </c>
      <c r="E3967" s="21">
        <f>IF(D3967="?OLD","!!!","")</f>
        <v/>
      </c>
      <c r="F3967" s="22" t="str">
        <f>IF(OR(E3967="",E3967="!!!"),"",IF(NOT(ISNA(VLOOKUP(E3967,E$1:E3966,1,FALSE()))),"OLD",IF(AND(E3967&lt;&gt;"",E3967&lt;&gt;"!!!"),"NEW","")))</f>
        <v> </v>
      </c>
      <c r="G3967" s="23" t="str">
        <f>IF(OR(E3967="",E3967="!!!"),"",IF(OR(J3967=0,AND(J3967=1,K3967=1),AND(J3967=1,I3967="SBJ"),AND(J3967=1,I3967=0)),"?IN_FOCUS",IF(J3967&lt;=2,"?ACTIVATED",IF(J3967&lt;&gt;"","?FAMILIAR",IF(F3967="NEW",IF(ISNA(VLOOKUP(E3967,#REF!,1,FALSE())),"?TYPE_IDENTIFIABLE","?REFERENTIAL"),"_")))))</f>
        <v> </v>
      </c>
      <c r="H3967" s="24" t="str">
        <f>IF(J3967&lt;&gt;1,"",IF(I3967="SBJ","CB","?"))</f>
        <v> </v>
      </c>
      <c r="I3967" s="25" t="str">
        <f>IF(OR(E3967="",E3967="!!!",F3967="NEW"),"",INDEX(B3966:B$2,-1+SUMPRODUCT(MAX(ROW(E3966:E$2)*(E3967=E3966:E$2)))))</f>
        <v> </v>
      </c>
      <c r="J3967" s="25" t="str">
        <f>IF(OR(E3967="",E3967="!!!",F3967="NEW"),"",COUNTBLANK(OFFSET(A$1,,,SUMPRODUCT(MAX(ROW(E$2:E3967)*(E3967=E$2:E3967)))))-COUNTBLANK(OFFSET(A$1,,,SUMPRODUCT(MAX(ROW(E$1:E3966)*(E2=E$1:E3966))))))</f>
        <v> </v>
      </c>
      <c r="K3967" s="25" t="str">
        <f>IF(OR(E3967="",E3967="!!!",F3967="NEW"),"",INDEX(J$1:J3966,SUMPRODUCT(MAX(ROW(E$1:E3966)*(E3967=E$1:E3966)))))</f>
        <v> </v>
      </c>
      <c r="L3967" s="26"/>
    </row>
    <row r="3968" spans="1:12">
      <c r="A3968" s="20" t="s">
        <v>1027</v>
      </c>
      <c r="E3968" s="21">
        <f>IF(D3968="?OLD","!!!","")</f>
        <v/>
      </c>
      <c r="F3968" s="22" t="str">
        <f>IF(OR(E3968="",E3968="!!!"),"",IF(NOT(ISNA(VLOOKUP(E3968,E$1:E3967,1,FALSE()))),"OLD",IF(AND(E3968&lt;&gt;"",E3968&lt;&gt;"!!!"),"NEW","")))</f>
        <v> </v>
      </c>
      <c r="G3968" s="23" t="str">
        <f>IF(OR(E3968="",E3968="!!!"),"",IF(OR(J3968=0,AND(J3968=1,K3968=1),AND(J3968=1,I3968="SBJ"),AND(J3968=1,I3968=0)),"?IN_FOCUS",IF(J3968&lt;=2,"?ACTIVATED",IF(J3968&lt;&gt;"","?FAMILIAR",IF(F3968="NEW",IF(ISNA(VLOOKUP(E3968,#REF!,1,FALSE())),"?TYPE_IDENTIFIABLE","?REFERENTIAL"),"_")))))</f>
        <v> </v>
      </c>
      <c r="H3968" s="24" t="str">
        <f>IF(J3968&lt;&gt;1,"",IF(I3968="SBJ","CB","?"))</f>
        <v> </v>
      </c>
      <c r="I3968" s="25" t="str">
        <f>IF(OR(E3968="",E3968="!!!",F3968="NEW"),"",INDEX(B3967:B$2,-1+SUMPRODUCT(MAX(ROW(E3967:E$2)*(E3968=E3967:E$2)))))</f>
        <v> </v>
      </c>
      <c r="J3968" s="25" t="str">
        <f>IF(OR(E3968="",E3968="!!!",F3968="NEW"),"",COUNTBLANK(OFFSET(A$1,,,SUMPRODUCT(MAX(ROW(E$2:E3968)*(E3968=E$2:E3968)))))-COUNTBLANK(OFFSET(A$1,,,SUMPRODUCT(MAX(ROW(E$1:E3967)*(E2=E$1:E3967))))))</f>
        <v> </v>
      </c>
      <c r="K3968" s="25" t="str">
        <f>IF(OR(E3968="",E3968="!!!",F3968="NEW"),"",INDEX(J$1:J3967,SUMPRODUCT(MAX(ROW(E$1:E3967)*(E3968=E$1:E3967)))))</f>
        <v> </v>
      </c>
      <c r="L3968" s="26"/>
    </row>
    <row r="3969" spans="1:12">
      <c r="A3969" s="20" t="s">
        <v>1256</v>
      </c>
      <c r="E3969" s="21">
        <f>IF(D3969="?OLD","!!!","")</f>
        <v/>
      </c>
      <c r="F3969" s="22" t="str">
        <f>IF(OR(E3969="",E3969="!!!"),"",IF(NOT(ISNA(VLOOKUP(E3969,E$1:E3968,1,FALSE()))),"OLD",IF(AND(E3969&lt;&gt;"",E3969&lt;&gt;"!!!"),"NEW","")))</f>
        <v> </v>
      </c>
      <c r="G3969" s="23" t="str">
        <f>IF(OR(E3969="",E3969="!!!"),"",IF(OR(J3969=0,AND(J3969=1,K3969=1),AND(J3969=1,I3969="SBJ"),AND(J3969=1,I3969=0)),"?IN_FOCUS",IF(J3969&lt;=2,"?ACTIVATED",IF(J3969&lt;&gt;"","?FAMILIAR",IF(F3969="NEW",IF(ISNA(VLOOKUP(E3969,#REF!,1,FALSE())),"?TYPE_IDENTIFIABLE","?REFERENTIAL"),"_")))))</f>
        <v> </v>
      </c>
      <c r="H3969" s="24" t="str">
        <f>IF(J3969&lt;&gt;1,"",IF(I3969="SBJ","CB","?"))</f>
        <v> </v>
      </c>
      <c r="I3969" s="25" t="str">
        <f>IF(OR(E3969="",E3969="!!!",F3969="NEW"),"",INDEX(B3968:B$2,-1+SUMPRODUCT(MAX(ROW(E3968:E$2)*(E3969=E3968:E$2)))))</f>
        <v> </v>
      </c>
      <c r="J3969" s="25" t="str">
        <f>IF(OR(E3969="",E3969="!!!",F3969="NEW"),"",COUNTBLANK(OFFSET(A$1,,,SUMPRODUCT(MAX(ROW(E$2:E3969)*(E3969=E$2:E3969)))))-COUNTBLANK(OFFSET(A$1,,,SUMPRODUCT(MAX(ROW(E$1:E3968)*(E2=E$1:E3968))))))</f>
        <v> </v>
      </c>
      <c r="K3969" s="25" t="str">
        <f>IF(OR(E3969="",E3969="!!!",F3969="NEW"),"",INDEX(J$1:J3968,SUMPRODUCT(MAX(ROW(E$1:E3968)*(E3969=E$1:E3968)))))</f>
        <v> </v>
      </c>
      <c r="L3969" s="26"/>
    </row>
    <row r="3970" spans="1:12">
      <c r="A3970" s="20" t="s">
        <v>1017</v>
      </c>
      <c r="B3970" s="27" t="s">
        <v>1033</v>
      </c>
      <c r="C3970" s="27" t="s">
        <v>1013</v>
      </c>
      <c r="D3970" s="27" t="s">
        <v>1014</v>
      </c>
      <c r="E3970" s="21">
        <f>IF(D3970="?OLD","!!!","")</f>
        <v/>
      </c>
      <c r="F3970" s="22" t="str">
        <f>IF(OR(E3970="",E3970="!!!"),"",IF(NOT(ISNA(VLOOKUP(E3970,E$1:E3969,1,FALSE()))),"OLD",IF(AND(E3970&lt;&gt;"",E3970&lt;&gt;"!!!"),"NEW","")))</f>
        <v> </v>
      </c>
      <c r="G3970" s="23" t="str">
        <f>IF(OR(E3970="",E3970="!!!"),"",IF(OR(J3970=0,AND(J3970=1,K3970=1),AND(J3970=1,I3970="SBJ"),AND(J3970=1,I3970=0)),"?IN_FOCUS",IF(J3970&lt;=2,"?ACTIVATED",IF(J3970&lt;&gt;"","?FAMILIAR",IF(F3970="NEW",IF(ISNA(VLOOKUP(E3970,#REF!,1,FALSE())),"?TYPE_IDENTIFIABLE","?REFERENTIAL"),"_")))))</f>
        <v> </v>
      </c>
      <c r="H3970" s="24" t="str">
        <f>IF(J3970&lt;&gt;1,"",IF(I3970="SBJ","CB","?"))</f>
        <v> </v>
      </c>
      <c r="I3970" s="25" t="str">
        <f>IF(OR(E3970="",E3970="!!!",F3970="NEW"),"",INDEX(B3969:B$2,-1+SUMPRODUCT(MAX(ROW(E3969:E$2)*(E3970=E3969:E$2)))))</f>
        <v> </v>
      </c>
      <c r="J3970" s="25" t="str">
        <f>IF(OR(E3970="",E3970="!!!",F3970="NEW"),"",COUNTBLANK(OFFSET(A$1,,,SUMPRODUCT(MAX(ROW(E$2:E3970)*(E3970=E$2:E3970)))))-COUNTBLANK(OFFSET(A$1,,,SUMPRODUCT(MAX(ROW(E$1:E3969)*(E2=E$1:E3969))))))</f>
        <v> </v>
      </c>
      <c r="K3970" s="25" t="str">
        <f>IF(OR(E3970="",E3970="!!!",F3970="NEW"),"",INDEX(J$1:J3969,SUMPRODUCT(MAX(ROW(E$1:E3969)*(E3970=E$1:E3969)))))</f>
        <v> </v>
      </c>
      <c r="L3970" s="26"/>
    </row>
    <row r="3971" spans="1:12">
      <c r="A3971" s="20" t="s">
        <v>2032</v>
      </c>
      <c r="E3971" s="21">
        <f>IF(D3971="?OLD","!!!","")</f>
        <v/>
      </c>
      <c r="F3971" s="22" t="str">
        <f>IF(OR(E3971="",E3971="!!!"),"",IF(NOT(ISNA(VLOOKUP(E3971,E$1:E3970,1,FALSE()))),"OLD",IF(AND(E3971&lt;&gt;"",E3971&lt;&gt;"!!!"),"NEW","")))</f>
        <v> </v>
      </c>
      <c r="G3971" s="23" t="str">
        <f>IF(OR(E3971="",E3971="!!!"),"",IF(OR(J3971=0,AND(J3971=1,K3971=1),AND(J3971=1,I3971="SBJ"),AND(J3971=1,I3971=0)),"?IN_FOCUS",IF(J3971&lt;=2,"?ACTIVATED",IF(J3971&lt;&gt;"","?FAMILIAR",IF(F3971="NEW",IF(ISNA(VLOOKUP(E3971,#REF!,1,FALSE())),"?TYPE_IDENTIFIABLE","?REFERENTIAL"),"_")))))</f>
        <v> </v>
      </c>
      <c r="H3971" s="24" t="str">
        <f>IF(J3971&lt;&gt;1,"",IF(I3971="SBJ","CB","?"))</f>
        <v> </v>
      </c>
      <c r="I3971" s="25" t="str">
        <f>IF(OR(E3971="",E3971="!!!",F3971="NEW"),"",INDEX(B3970:B$2,-1+SUMPRODUCT(MAX(ROW(E3970:E$2)*(E3971=E3970:E$2)))))</f>
        <v> </v>
      </c>
      <c r="J3971" s="25" t="str">
        <f>IF(OR(E3971="",E3971="!!!",F3971="NEW"),"",COUNTBLANK(OFFSET(A$1,,,SUMPRODUCT(MAX(ROW(E$2:E3971)*(E3971=E$2:E3971)))))-COUNTBLANK(OFFSET(A$1,,,SUMPRODUCT(MAX(ROW(E$1:E3970)*(E2=E$1:E3970))))))</f>
        <v> </v>
      </c>
      <c r="K3971" s="25" t="str">
        <f>IF(OR(E3971="",E3971="!!!",F3971="NEW"),"",INDEX(J$1:J3970,SUMPRODUCT(MAX(ROW(E$1:E3970)*(E3971=E$1:E3970)))))</f>
        <v> </v>
      </c>
      <c r="L3971" s="26"/>
    </row>
    <row r="3972" spans="1:12">
      <c r="A3972" s="20" t="s">
        <v>1046</v>
      </c>
      <c r="E3972" s="21">
        <f>IF(D3972="?OLD","!!!","")</f>
        <v/>
      </c>
      <c r="F3972" s="22" t="str">
        <f>IF(OR(E3972="",E3972="!!!"),"",IF(NOT(ISNA(VLOOKUP(E3972,E$1:E3971,1,FALSE()))),"OLD",IF(AND(E3972&lt;&gt;"",E3972&lt;&gt;"!!!"),"NEW","")))</f>
        <v> </v>
      </c>
      <c r="G3972" s="23" t="str">
        <f>IF(OR(E3972="",E3972="!!!"),"",IF(OR(J3972=0,AND(J3972=1,K3972=1),AND(J3972=1,I3972="SBJ"),AND(J3972=1,I3972=0)),"?IN_FOCUS",IF(J3972&lt;=2,"?ACTIVATED",IF(J3972&lt;&gt;"","?FAMILIAR",IF(F3972="NEW",IF(ISNA(VLOOKUP(E3972,#REF!,1,FALSE())),"?TYPE_IDENTIFIABLE","?REFERENTIAL"),"_")))))</f>
        <v> </v>
      </c>
      <c r="H3972" s="24" t="str">
        <f>IF(J3972&lt;&gt;1,"",IF(I3972="SBJ","CB","?"))</f>
        <v> </v>
      </c>
      <c r="I3972" s="25" t="str">
        <f>IF(OR(E3972="",E3972="!!!",F3972="NEW"),"",INDEX(B3971:B$2,-1+SUMPRODUCT(MAX(ROW(E3971:E$2)*(E3972=E3971:E$2)))))</f>
        <v> </v>
      </c>
      <c r="J3972" s="25" t="str">
        <f>IF(OR(E3972="",E3972="!!!",F3972="NEW"),"",COUNTBLANK(OFFSET(A$1,,,SUMPRODUCT(MAX(ROW(E$2:E3972)*(E3972=E$2:E3972)))))-COUNTBLANK(OFFSET(A$1,,,SUMPRODUCT(MAX(ROW(E$1:E3971)*(E2=E$1:E3971))))))</f>
        <v> </v>
      </c>
      <c r="K3972" s="25" t="str">
        <f>IF(OR(E3972="",E3972="!!!",F3972="NEW"),"",INDEX(J$1:J3971,SUMPRODUCT(MAX(ROW(E$1:E3971)*(E3972=E$1:E3971)))))</f>
        <v> </v>
      </c>
      <c r="L3972" s="26"/>
    </row>
    <row r="3973" spans="1:12">
      <c r="A3973" s="20" t="s">
        <v>2033</v>
      </c>
      <c r="E3973" s="21">
        <f>IF(D3973="?OLD","!!!","")</f>
        <v/>
      </c>
      <c r="F3973" s="22" t="str">
        <f>IF(OR(E3973="",E3973="!!!"),"",IF(NOT(ISNA(VLOOKUP(E3973,E$1:E3972,1,FALSE()))),"OLD",IF(AND(E3973&lt;&gt;"",E3973&lt;&gt;"!!!"),"NEW","")))</f>
        <v> </v>
      </c>
      <c r="G3973" s="23" t="str">
        <f>IF(OR(E3973="",E3973="!!!"),"",IF(OR(J3973=0,AND(J3973=1,K3973=1),AND(J3973=1,I3973="SBJ"),AND(J3973=1,I3973=0)),"?IN_FOCUS",IF(J3973&lt;=2,"?ACTIVATED",IF(J3973&lt;&gt;"","?FAMILIAR",IF(F3973="NEW",IF(ISNA(VLOOKUP(E3973,#REF!,1,FALSE())),"?TYPE_IDENTIFIABLE","?REFERENTIAL"),"_")))))</f>
        <v> </v>
      </c>
      <c r="H3973" s="24" t="str">
        <f>IF(J3973&lt;&gt;1,"",IF(I3973="SBJ","CB","?"))</f>
        <v> </v>
      </c>
      <c r="I3973" s="25" t="str">
        <f>IF(OR(E3973="",E3973="!!!",F3973="NEW"),"",INDEX(B3972:B$2,-1+SUMPRODUCT(MAX(ROW(E3972:E$2)*(E3973=E3972:E$2)))))</f>
        <v> </v>
      </c>
      <c r="J3973" s="25" t="str">
        <f>IF(OR(E3973="",E3973="!!!",F3973="NEW"),"",COUNTBLANK(OFFSET(A$1,,,SUMPRODUCT(MAX(ROW(E$2:E3973)*(E3973=E$2:E3973)))))-COUNTBLANK(OFFSET(A$1,,,SUMPRODUCT(MAX(ROW(E$1:E3972)*(E2=E$1:E3972))))))</f>
        <v> </v>
      </c>
      <c r="K3973" s="25" t="str">
        <f>IF(OR(E3973="",E3973="!!!",F3973="NEW"),"",INDEX(J$1:J3972,SUMPRODUCT(MAX(ROW(E$1:E3972)*(E3973=E$1:E3972)))))</f>
        <v> </v>
      </c>
      <c r="L3973" s="26"/>
    </row>
    <row r="3974" spans="1:12">
      <c r="A3974" s="20" t="s">
        <v>1122</v>
      </c>
      <c r="E3974" s="21">
        <f>IF(D3974="?OLD","!!!","")</f>
        <v/>
      </c>
      <c r="F3974" s="22" t="str">
        <f>IF(OR(E3974="",E3974="!!!"),"",IF(NOT(ISNA(VLOOKUP(E3974,E$1:E3973,1,FALSE()))),"OLD",IF(AND(E3974&lt;&gt;"",E3974&lt;&gt;"!!!"),"NEW","")))</f>
        <v> </v>
      </c>
      <c r="G3974" s="23" t="str">
        <f>IF(OR(E3974="",E3974="!!!"),"",IF(OR(J3974=0,AND(J3974=1,K3974=1),AND(J3974=1,I3974="SBJ"),AND(J3974=1,I3974=0)),"?IN_FOCUS",IF(J3974&lt;=2,"?ACTIVATED",IF(J3974&lt;&gt;"","?FAMILIAR",IF(F3974="NEW",IF(ISNA(VLOOKUP(E3974,#REF!,1,FALSE())),"?TYPE_IDENTIFIABLE","?REFERENTIAL"),"_")))))</f>
        <v> </v>
      </c>
      <c r="H3974" s="24" t="str">
        <f>IF(J3974&lt;&gt;1,"",IF(I3974="SBJ","CB","?"))</f>
        <v> </v>
      </c>
      <c r="I3974" s="25" t="str">
        <f>IF(OR(E3974="",E3974="!!!",F3974="NEW"),"",INDEX(B3973:B$2,-1+SUMPRODUCT(MAX(ROW(E3973:E$2)*(E3974=E3973:E$2)))))</f>
        <v> </v>
      </c>
      <c r="J3974" s="25" t="str">
        <f>IF(OR(E3974="",E3974="!!!",F3974="NEW"),"",COUNTBLANK(OFFSET(A$1,,,SUMPRODUCT(MAX(ROW(E$2:E3974)*(E3974=E$2:E3974)))))-COUNTBLANK(OFFSET(A$1,,,SUMPRODUCT(MAX(ROW(E$1:E3973)*(E2=E$1:E3973))))))</f>
        <v> </v>
      </c>
      <c r="K3974" s="25" t="str">
        <f>IF(OR(E3974="",E3974="!!!",F3974="NEW"),"",INDEX(J$1:J3973,SUMPRODUCT(MAX(ROW(E$1:E3973)*(E3974=E$1:E3973)))))</f>
        <v> </v>
      </c>
      <c r="L3974" s="26"/>
    </row>
    <row r="3975" spans="1:12">
      <c r="A3975" s="20" t="s">
        <v>1209</v>
      </c>
      <c r="B3975" s="27" t="s">
        <v>1020</v>
      </c>
      <c r="C3975" s="27" t="s">
        <v>1123</v>
      </c>
      <c r="D3975" s="27" t="s">
        <v>1014</v>
      </c>
      <c r="E3975" s="21">
        <f>IF(D3975="?OLD","!!!","")</f>
        <v/>
      </c>
      <c r="F3975" s="22" t="str">
        <f>IF(OR(E3975="",E3975="!!!"),"",IF(NOT(ISNA(VLOOKUP(E3975,E$1:E3974,1,FALSE()))),"OLD",IF(AND(E3975&lt;&gt;"",E3975&lt;&gt;"!!!"),"NEW","")))</f>
        <v> </v>
      </c>
      <c r="G3975" s="23" t="str">
        <f>IF(OR(E3975="",E3975="!!!"),"",IF(OR(J3975=0,AND(J3975=1,K3975=1),AND(J3975=1,I3975="SBJ"),AND(J3975=1,I3975=0)),"?IN_FOCUS",IF(J3975&lt;=2,"?ACTIVATED",IF(J3975&lt;&gt;"","?FAMILIAR",IF(F3975="NEW",IF(ISNA(VLOOKUP(E3975,#REF!,1,FALSE())),"?TYPE_IDENTIFIABLE","?REFERENTIAL"),"_")))))</f>
        <v> </v>
      </c>
      <c r="H3975" s="24" t="str">
        <f>IF(J3975&lt;&gt;1,"",IF(I3975="SBJ","CB","?"))</f>
        <v> </v>
      </c>
      <c r="I3975" s="25" t="str">
        <f>IF(OR(E3975="",E3975="!!!",F3975="NEW"),"",INDEX(B3974:B$2,-1+SUMPRODUCT(MAX(ROW(E3974:E$2)*(E3975=E3974:E$2)))))</f>
        <v> </v>
      </c>
      <c r="J3975" s="25" t="str">
        <f>IF(OR(E3975="",E3975="!!!",F3975="NEW"),"",COUNTBLANK(OFFSET(A$1,,,SUMPRODUCT(MAX(ROW(E$2:E3975)*(E3975=E$2:E3975)))))-COUNTBLANK(OFFSET(A$1,,,SUMPRODUCT(MAX(ROW(E$1:E3974)*(E2=E$1:E3974))))))</f>
        <v> </v>
      </c>
      <c r="K3975" s="25" t="str">
        <f>IF(OR(E3975="",E3975="!!!",F3975="NEW"),"",INDEX(J$1:J3974,SUMPRODUCT(MAX(ROW(E$1:E3974)*(E3975=E$1:E3974)))))</f>
        <v> </v>
      </c>
      <c r="L3975" s="26"/>
    </row>
    <row r="3976" spans="1:12">
      <c r="A3976" s="20" t="s">
        <v>1017</v>
      </c>
      <c r="B3976" s="27" t="s">
        <v>1257</v>
      </c>
      <c r="C3976" s="27" t="s">
        <v>1013</v>
      </c>
      <c r="D3976" s="27" t="s">
        <v>1014</v>
      </c>
      <c r="E3976" s="21">
        <f>IF(D3976="?OLD","!!!","")</f>
        <v/>
      </c>
      <c r="F3976" s="22" t="str">
        <f>IF(OR(E3976="",E3976="!!!"),"",IF(NOT(ISNA(VLOOKUP(E3976,E$1:E3975,1,FALSE()))),"OLD",IF(AND(E3976&lt;&gt;"",E3976&lt;&gt;"!!!"),"NEW","")))</f>
        <v> </v>
      </c>
      <c r="G3976" s="23" t="str">
        <f>IF(OR(E3976="",E3976="!!!"),"",IF(OR(J3976=0,AND(J3976=1,K3976=1),AND(J3976=1,I3976="SBJ"),AND(J3976=1,I3976=0)),"?IN_FOCUS",IF(J3976&lt;=2,"?ACTIVATED",IF(J3976&lt;&gt;"","?FAMILIAR",IF(F3976="NEW",IF(ISNA(VLOOKUP(E3976,#REF!,1,FALSE())),"?TYPE_IDENTIFIABLE","?REFERENTIAL"),"_")))))</f>
        <v> </v>
      </c>
      <c r="H3976" s="24" t="str">
        <f>IF(J3976&lt;&gt;1,"",IF(I3976="SBJ","CB","?"))</f>
        <v> </v>
      </c>
      <c r="I3976" s="25" t="str">
        <f>IF(OR(E3976="",E3976="!!!",F3976="NEW"),"",INDEX(B3975:B$2,-1+SUMPRODUCT(MAX(ROW(E3975:E$2)*(E3976=E3975:E$2)))))</f>
        <v> </v>
      </c>
      <c r="J3976" s="25" t="str">
        <f>IF(OR(E3976="",E3976="!!!",F3976="NEW"),"",COUNTBLANK(OFFSET(A$1,,,SUMPRODUCT(MAX(ROW(E$2:E3976)*(E3976=E$2:E3976)))))-COUNTBLANK(OFFSET(A$1,,,SUMPRODUCT(MAX(ROW(E$1:E3975)*(E2=E$1:E3975))))))</f>
        <v> </v>
      </c>
      <c r="K3976" s="25" t="str">
        <f>IF(OR(E3976="",E3976="!!!",F3976="NEW"),"",INDEX(J$1:J3975,SUMPRODUCT(MAX(ROW(E$1:E3975)*(E3976=E$1:E3975)))))</f>
        <v> </v>
      </c>
      <c r="L3976" s="26"/>
    </row>
    <row r="3977" spans="1:12">
      <c r="A3977" s="20" t="s">
        <v>1299</v>
      </c>
      <c r="E3977" s="21">
        <f>IF(D3977="?OLD","!!!","")</f>
        <v/>
      </c>
      <c r="F3977" s="22" t="str">
        <f>IF(OR(E3977="",E3977="!!!"),"",IF(NOT(ISNA(VLOOKUP(E3977,E$1:E3976,1,FALSE()))),"OLD",IF(AND(E3977&lt;&gt;"",E3977&lt;&gt;"!!!"),"NEW","")))</f>
        <v> </v>
      </c>
      <c r="G3977" s="23" t="str">
        <f>IF(OR(E3977="",E3977="!!!"),"",IF(OR(J3977=0,AND(J3977=1,K3977=1),AND(J3977=1,I3977="SBJ"),AND(J3977=1,I3977=0)),"?IN_FOCUS",IF(J3977&lt;=2,"?ACTIVATED",IF(J3977&lt;&gt;"","?FAMILIAR",IF(F3977="NEW",IF(ISNA(VLOOKUP(E3977,#REF!,1,FALSE())),"?TYPE_IDENTIFIABLE","?REFERENTIAL"),"_")))))</f>
        <v> </v>
      </c>
      <c r="H3977" s="24" t="str">
        <f>IF(J3977&lt;&gt;1,"",IF(I3977="SBJ","CB","?"))</f>
        <v> </v>
      </c>
      <c r="I3977" s="25" t="str">
        <f>IF(OR(E3977="",E3977="!!!",F3977="NEW"),"",INDEX(B3976:B$2,-1+SUMPRODUCT(MAX(ROW(E3976:E$2)*(E3977=E3976:E$2)))))</f>
        <v> </v>
      </c>
      <c r="J3977" s="25" t="str">
        <f>IF(OR(E3977="",E3977="!!!",F3977="NEW"),"",COUNTBLANK(OFFSET(A$1,,,SUMPRODUCT(MAX(ROW(E$2:E3977)*(E3977=E$2:E3977)))))-COUNTBLANK(OFFSET(A$1,,,SUMPRODUCT(MAX(ROW(E$1:E3976)*(E2=E$1:E3976))))))</f>
        <v> </v>
      </c>
      <c r="K3977" s="25" t="str">
        <f>IF(OR(E3977="",E3977="!!!",F3977="NEW"),"",INDEX(J$1:J3976,SUMPRODUCT(MAX(ROW(E$1:E3976)*(E3977=E$1:E3976)))))</f>
        <v> </v>
      </c>
      <c r="L3977" s="26"/>
    </row>
    <row r="3978" spans="1:12">
      <c r="A3978" s="20" t="s">
        <v>2034</v>
      </c>
      <c r="E3978" s="21">
        <f>IF(D3978="?OLD","!!!","")</f>
        <v/>
      </c>
      <c r="F3978" s="22" t="str">
        <f>IF(OR(E3978="",E3978="!!!"),"",IF(NOT(ISNA(VLOOKUP(E3978,E$1:E3977,1,FALSE()))),"OLD",IF(AND(E3978&lt;&gt;"",E3978&lt;&gt;"!!!"),"NEW","")))</f>
        <v> </v>
      </c>
      <c r="G3978" s="23" t="str">
        <f>IF(OR(E3978="",E3978="!!!"),"",IF(OR(J3978=0,AND(J3978=1,K3978=1),AND(J3978=1,I3978="SBJ"),AND(J3978=1,I3978=0)),"?IN_FOCUS",IF(J3978&lt;=2,"?ACTIVATED",IF(J3978&lt;&gt;"","?FAMILIAR",IF(F3978="NEW",IF(ISNA(VLOOKUP(E3978,#REF!,1,FALSE())),"?TYPE_IDENTIFIABLE","?REFERENTIAL"),"_")))))</f>
        <v> </v>
      </c>
      <c r="H3978" s="24" t="str">
        <f>IF(J3978&lt;&gt;1,"",IF(I3978="SBJ","CB","?"))</f>
        <v> </v>
      </c>
      <c r="I3978" s="25" t="str">
        <f>IF(OR(E3978="",E3978="!!!",F3978="NEW"),"",INDEX(B3977:B$2,-1+SUMPRODUCT(MAX(ROW(E3977:E$2)*(E3978=E3977:E$2)))))</f>
        <v> </v>
      </c>
      <c r="J3978" s="25" t="str">
        <f>IF(OR(E3978="",E3978="!!!",F3978="NEW"),"",COUNTBLANK(OFFSET(A$1,,,SUMPRODUCT(MAX(ROW(E$2:E3978)*(E3978=E$2:E3978)))))-COUNTBLANK(OFFSET(A$1,,,SUMPRODUCT(MAX(ROW(E$1:E3977)*(E2=E$1:E3977))))))</f>
        <v> </v>
      </c>
      <c r="K3978" s="25" t="str">
        <f>IF(OR(E3978="",E3978="!!!",F3978="NEW"),"",INDEX(J$1:J3977,SUMPRODUCT(MAX(ROW(E$1:E3977)*(E3978=E$1:E3977)))))</f>
        <v> </v>
      </c>
      <c r="L3978" s="26"/>
    </row>
    <row r="3979" spans="1:12">
      <c r="A3979" s="20" t="s">
        <v>1027</v>
      </c>
      <c r="E3979" s="21">
        <f>IF(D3979="?OLD","!!!","")</f>
        <v/>
      </c>
      <c r="F3979" s="22" t="str">
        <f>IF(OR(E3979="",E3979="!!!"),"",IF(NOT(ISNA(VLOOKUP(E3979,E$1:E3978,1,FALSE()))),"OLD",IF(AND(E3979&lt;&gt;"",E3979&lt;&gt;"!!!"),"NEW","")))</f>
        <v> </v>
      </c>
      <c r="G3979" s="23" t="str">
        <f>IF(OR(E3979="",E3979="!!!"),"",IF(OR(J3979=0,AND(J3979=1,K3979=1),AND(J3979=1,I3979="SBJ"),AND(J3979=1,I3979=0)),"?IN_FOCUS",IF(J3979&lt;=2,"?ACTIVATED",IF(J3979&lt;&gt;"","?FAMILIAR",IF(F3979="NEW",IF(ISNA(VLOOKUP(E3979,#REF!,1,FALSE())),"?TYPE_IDENTIFIABLE","?REFERENTIAL"),"_")))))</f>
        <v> </v>
      </c>
      <c r="H3979" s="24" t="str">
        <f>IF(J3979&lt;&gt;1,"",IF(I3979="SBJ","CB","?"))</f>
        <v> </v>
      </c>
      <c r="I3979" s="25" t="str">
        <f>IF(OR(E3979="",E3979="!!!",F3979="NEW"),"",INDEX(B3978:B$2,-1+SUMPRODUCT(MAX(ROW(E3978:E$2)*(E3979=E3978:E$2)))))</f>
        <v> </v>
      </c>
      <c r="J3979" s="25" t="str">
        <f>IF(OR(E3979="",E3979="!!!",F3979="NEW"),"",COUNTBLANK(OFFSET(A$1,,,SUMPRODUCT(MAX(ROW(E$2:E3979)*(E3979=E$2:E3979)))))-COUNTBLANK(OFFSET(A$1,,,SUMPRODUCT(MAX(ROW(E$1:E3978)*(E2=E$1:E3978))))))</f>
        <v> </v>
      </c>
      <c r="K3979" s="25" t="str">
        <f>IF(OR(E3979="",E3979="!!!",F3979="NEW"),"",INDEX(J$1:J3978,SUMPRODUCT(MAX(ROW(E$1:E3978)*(E3979=E$1:E3978)))))</f>
        <v> </v>
      </c>
      <c r="L3979" s="26"/>
    </row>
    <row r="3980" spans="1:12">
      <c r="A3980" s="20" t="s">
        <v>1017</v>
      </c>
      <c r="B3980" s="27" t="s">
        <v>1038</v>
      </c>
      <c r="C3980" s="27" t="s">
        <v>1013</v>
      </c>
      <c r="D3980" s="27" t="s">
        <v>1014</v>
      </c>
      <c r="E3980" s="21">
        <f>IF(D3980="?OLD","!!!","")</f>
        <v/>
      </c>
      <c r="F3980" s="22" t="str">
        <f>IF(OR(E3980="",E3980="!!!"),"",IF(NOT(ISNA(VLOOKUP(E3980,E$1:E3979,1,FALSE()))),"OLD",IF(AND(E3980&lt;&gt;"",E3980&lt;&gt;"!!!"),"NEW","")))</f>
        <v> </v>
      </c>
      <c r="G3980" s="23" t="str">
        <f>IF(OR(E3980="",E3980="!!!"),"",IF(OR(J3980=0,AND(J3980=1,K3980=1),AND(J3980=1,I3980="SBJ"),AND(J3980=1,I3980=0)),"?IN_FOCUS",IF(J3980&lt;=2,"?ACTIVATED",IF(J3980&lt;&gt;"","?FAMILIAR",IF(F3980="NEW",IF(ISNA(VLOOKUP(E3980,#REF!,1,FALSE())),"?TYPE_IDENTIFIABLE","?REFERENTIAL"),"_")))))</f>
        <v> </v>
      </c>
      <c r="H3980" s="24" t="str">
        <f>IF(J3980&lt;&gt;1,"",IF(I3980="SBJ","CB","?"))</f>
        <v> </v>
      </c>
      <c r="I3980" s="25" t="str">
        <f>IF(OR(E3980="",E3980="!!!",F3980="NEW"),"",INDEX(B3979:B$2,-1+SUMPRODUCT(MAX(ROW(E3979:E$2)*(E3980=E3979:E$2)))))</f>
        <v> </v>
      </c>
      <c r="J3980" s="25" t="str">
        <f>IF(OR(E3980="",E3980="!!!",F3980="NEW"),"",COUNTBLANK(OFFSET(A$1,,,SUMPRODUCT(MAX(ROW(E$2:E3980)*(E3980=E$2:E3980)))))-COUNTBLANK(OFFSET(A$1,,,SUMPRODUCT(MAX(ROW(E$1:E3979)*(E2=E$1:E3979))))))</f>
        <v> </v>
      </c>
      <c r="K3980" s="25" t="str">
        <f>IF(OR(E3980="",E3980="!!!",F3980="NEW"),"",INDEX(J$1:J3979,SUMPRODUCT(MAX(ROW(E$1:E3979)*(E3980=E$1:E3979)))))</f>
        <v> </v>
      </c>
      <c r="L3980" s="26"/>
    </row>
    <row r="3981" spans="1:12">
      <c r="A3981" s="20" t="s">
        <v>1299</v>
      </c>
      <c r="E3981" s="21">
        <f>IF(D3981="?OLD","!!!","")</f>
        <v/>
      </c>
      <c r="F3981" s="22" t="str">
        <f>IF(OR(E3981="",E3981="!!!"),"",IF(NOT(ISNA(VLOOKUP(E3981,E$1:E3980,1,FALSE()))),"OLD",IF(AND(E3981&lt;&gt;"",E3981&lt;&gt;"!!!"),"NEW","")))</f>
        <v> </v>
      </c>
      <c r="G3981" s="23" t="str">
        <f>IF(OR(E3981="",E3981="!!!"),"",IF(OR(J3981=0,AND(J3981=1,K3981=1),AND(J3981=1,I3981="SBJ"),AND(J3981=1,I3981=0)),"?IN_FOCUS",IF(J3981&lt;=2,"?ACTIVATED",IF(J3981&lt;&gt;"","?FAMILIAR",IF(F3981="NEW",IF(ISNA(VLOOKUP(E3981,#REF!,1,FALSE())),"?TYPE_IDENTIFIABLE","?REFERENTIAL"),"_")))))</f>
        <v> </v>
      </c>
      <c r="H3981" s="24" t="str">
        <f>IF(J3981&lt;&gt;1,"",IF(I3981="SBJ","CB","?"))</f>
        <v> </v>
      </c>
      <c r="I3981" s="25" t="str">
        <f>IF(OR(E3981="",E3981="!!!",F3981="NEW"),"",INDEX(B3980:B$2,-1+SUMPRODUCT(MAX(ROW(E3980:E$2)*(E3981=E3980:E$2)))))</f>
        <v> </v>
      </c>
      <c r="J3981" s="25" t="str">
        <f>IF(OR(E3981="",E3981="!!!",F3981="NEW"),"",COUNTBLANK(OFFSET(A$1,,,SUMPRODUCT(MAX(ROW(E$2:E3981)*(E3981=E$2:E3981)))))-COUNTBLANK(OFFSET(A$1,,,SUMPRODUCT(MAX(ROW(E$1:E3980)*(E2=E$1:E3980))))))</f>
        <v> </v>
      </c>
      <c r="K3981" s="25" t="str">
        <f>IF(OR(E3981="",E3981="!!!",F3981="NEW"),"",INDEX(J$1:J3980,SUMPRODUCT(MAX(ROW(E$1:E3980)*(E3981=E$1:E3980)))))</f>
        <v> </v>
      </c>
      <c r="L3981" s="26"/>
    </row>
    <row r="3982" spans="1:12">
      <c r="A3982" s="20" t="s">
        <v>2035</v>
      </c>
      <c r="B3982" s="27" t="s">
        <v>1026</v>
      </c>
      <c r="C3982" s="27" t="s">
        <v>1071</v>
      </c>
      <c r="D3982" s="27" t="s">
        <v>1014</v>
      </c>
      <c r="E3982" s="21">
        <f>IF(D3982="?OLD","!!!","")</f>
        <v/>
      </c>
      <c r="F3982" s="22" t="str">
        <f>IF(OR(E3982="",E3982="!!!"),"",IF(NOT(ISNA(VLOOKUP(E3982,E$1:E3981,1,FALSE()))),"OLD",IF(AND(E3982&lt;&gt;"",E3982&lt;&gt;"!!!"),"NEW","")))</f>
        <v> </v>
      </c>
      <c r="G3982" s="23" t="str">
        <f>IF(OR(E3982="",E3982="!!!"),"",IF(OR(J3982=0,AND(J3982=1,K3982=1),AND(J3982=1,I3982="SBJ"),AND(J3982=1,I3982=0)),"?IN_FOCUS",IF(J3982&lt;=2,"?ACTIVATED",IF(J3982&lt;&gt;"","?FAMILIAR",IF(F3982="NEW",IF(ISNA(VLOOKUP(E3982,#REF!,1,FALSE())),"?TYPE_IDENTIFIABLE","?REFERENTIAL"),"_")))))</f>
        <v> </v>
      </c>
      <c r="H3982" s="24" t="str">
        <f>IF(J3982&lt;&gt;1,"",IF(I3982="SBJ","CB","?"))</f>
        <v> </v>
      </c>
      <c r="I3982" s="25" t="str">
        <f>IF(OR(E3982="",E3982="!!!",F3982="NEW"),"",INDEX(B3981:B$2,-1+SUMPRODUCT(MAX(ROW(E3981:E$2)*(E3982=E3981:E$2)))))</f>
        <v> </v>
      </c>
      <c r="J3982" s="25" t="str">
        <f>IF(OR(E3982="",E3982="!!!",F3982="NEW"),"",COUNTBLANK(OFFSET(A$1,,,SUMPRODUCT(MAX(ROW(E$2:E3982)*(E3982=E$2:E3982)))))-COUNTBLANK(OFFSET(A$1,,,SUMPRODUCT(MAX(ROW(E$1:E3981)*(E2=E$1:E3981))))))</f>
        <v> </v>
      </c>
      <c r="K3982" s="25" t="str">
        <f>IF(OR(E3982="",E3982="!!!",F3982="NEW"),"",INDEX(J$1:J3981,SUMPRODUCT(MAX(ROW(E$1:E3981)*(E3982=E$1:E3981)))))</f>
        <v> </v>
      </c>
      <c r="L3982" s="26"/>
    </row>
    <row r="3983" spans="1:12">
      <c r="A3983" s="20" t="s">
        <v>1102</v>
      </c>
      <c r="E3983" s="21">
        <f>IF(D3983="?OLD","!!!","")</f>
        <v/>
      </c>
      <c r="F3983" s="22" t="str">
        <f>IF(OR(E3983="",E3983="!!!"),"",IF(NOT(ISNA(VLOOKUP(E3983,E$1:E3982,1,FALSE()))),"OLD",IF(AND(E3983&lt;&gt;"",E3983&lt;&gt;"!!!"),"NEW","")))</f>
        <v> </v>
      </c>
      <c r="G3983" s="23" t="str">
        <f>IF(OR(E3983="",E3983="!!!"),"",IF(OR(J3983=0,AND(J3983=1,K3983=1),AND(J3983=1,I3983="SBJ"),AND(J3983=1,I3983=0)),"?IN_FOCUS",IF(J3983&lt;=2,"?ACTIVATED",IF(J3983&lt;&gt;"","?FAMILIAR",IF(F3983="NEW",IF(ISNA(VLOOKUP(E3983,#REF!,1,FALSE())),"?TYPE_IDENTIFIABLE","?REFERENTIAL"),"_")))))</f>
        <v> </v>
      </c>
      <c r="H3983" s="24" t="str">
        <f>IF(J3983&lt;&gt;1,"",IF(I3983="SBJ","CB","?"))</f>
        <v> </v>
      </c>
      <c r="I3983" s="25" t="str">
        <f>IF(OR(E3983="",E3983="!!!",F3983="NEW"),"",INDEX(B3982:B$2,-1+SUMPRODUCT(MAX(ROW(E3982:E$2)*(E3983=E3982:E$2)))))</f>
        <v> </v>
      </c>
      <c r="J3983" s="25" t="str">
        <f>IF(OR(E3983="",E3983="!!!",F3983="NEW"),"",COUNTBLANK(OFFSET(A$1,,,SUMPRODUCT(MAX(ROW(E$2:E3983)*(E3983=E$2:E3983)))))-COUNTBLANK(OFFSET(A$1,,,SUMPRODUCT(MAX(ROW(E$1:E3982)*(E2=E$1:E3982))))))</f>
        <v> </v>
      </c>
      <c r="K3983" s="25" t="str">
        <f>IF(OR(E3983="",E3983="!!!",F3983="NEW"),"",INDEX(J$1:J3982,SUMPRODUCT(MAX(ROW(E$1:E3982)*(E3983=E$1:E3982)))))</f>
        <v> </v>
      </c>
      <c r="L3983" s="26"/>
    </row>
    <row r="3984" spans="1:12">
      <c r="A3984" s="20" t="s">
        <v>1615</v>
      </c>
      <c r="B3984" s="27" t="s">
        <v>1026</v>
      </c>
      <c r="C3984" s="27" t="s">
        <v>1147</v>
      </c>
      <c r="D3984" s="27" t="s">
        <v>1014</v>
      </c>
      <c r="E3984" s="21">
        <f>IF(D3984="?OLD","!!!","")</f>
        <v/>
      </c>
      <c r="F3984" s="22" t="str">
        <f>IF(OR(E3984="",E3984="!!!"),"",IF(NOT(ISNA(VLOOKUP(E3984,E$1:E3983,1,FALSE()))),"OLD",IF(AND(E3984&lt;&gt;"",E3984&lt;&gt;"!!!"),"NEW","")))</f>
        <v> </v>
      </c>
      <c r="G3984" s="23" t="str">
        <f>IF(OR(E3984="",E3984="!!!"),"",IF(OR(J3984=0,AND(J3984=1,K3984=1),AND(J3984=1,I3984="SBJ"),AND(J3984=1,I3984=0)),"?IN_FOCUS",IF(J3984&lt;=2,"?ACTIVATED",IF(J3984&lt;&gt;"","?FAMILIAR",IF(F3984="NEW",IF(ISNA(VLOOKUP(E3984,#REF!,1,FALSE())),"?TYPE_IDENTIFIABLE","?REFERENTIAL"),"_")))))</f>
        <v> </v>
      </c>
      <c r="H3984" s="24" t="str">
        <f>IF(J3984&lt;&gt;1,"",IF(I3984="SBJ","CB","?"))</f>
        <v> </v>
      </c>
      <c r="I3984" s="25" t="str">
        <f>IF(OR(E3984="",E3984="!!!",F3984="NEW"),"",INDEX(B3983:B$2,-1+SUMPRODUCT(MAX(ROW(E3983:E$2)*(E3984=E3983:E$2)))))</f>
        <v> </v>
      </c>
      <c r="J3984" s="25" t="str">
        <f>IF(OR(E3984="",E3984="!!!",F3984="NEW"),"",COUNTBLANK(OFFSET(A$1,,,SUMPRODUCT(MAX(ROW(E$2:E3984)*(E3984=E$2:E3984)))))-COUNTBLANK(OFFSET(A$1,,,SUMPRODUCT(MAX(ROW(E$1:E3983)*(E2=E$1:E3983))))))</f>
        <v> </v>
      </c>
      <c r="K3984" s="25" t="str">
        <f>IF(OR(E3984="",E3984="!!!",F3984="NEW"),"",INDEX(J$1:J3983,SUMPRODUCT(MAX(ROW(E$1:E3983)*(E3984=E$1:E3983)))))</f>
        <v> </v>
      </c>
      <c r="L3984" s="26"/>
    </row>
    <row r="3985" spans="1:12">
      <c r="A3985" s="20" t="s">
        <v>1098</v>
      </c>
      <c r="B3985" s="27" t="s">
        <v>1020</v>
      </c>
      <c r="E3985" s="21">
        <f>IF(D3985="?OLD","!!!","")</f>
        <v/>
      </c>
      <c r="F3985" s="22" t="str">
        <f>IF(OR(E3985="",E3985="!!!"),"",IF(NOT(ISNA(VLOOKUP(E3985,E$1:E3984,1,FALSE()))),"OLD",IF(AND(E3985&lt;&gt;"",E3985&lt;&gt;"!!!"),"NEW","")))</f>
        <v> </v>
      </c>
      <c r="G3985" s="23" t="str">
        <f>IF(OR(E3985="",E3985="!!!"),"",IF(OR(J3985=0,AND(J3985=1,K3985=1),AND(J3985=1,I3985="SBJ"),AND(J3985=1,I3985=0)),"?IN_FOCUS",IF(J3985&lt;=2,"?ACTIVATED",IF(J3985&lt;&gt;"","?FAMILIAR",IF(F3985="NEW",IF(ISNA(VLOOKUP(E3985,#REF!,1,FALSE())),"?TYPE_IDENTIFIABLE","?REFERENTIAL"),"_")))))</f>
        <v> </v>
      </c>
      <c r="H3985" s="24" t="str">
        <f>IF(J3985&lt;&gt;1,"",IF(I3985="SBJ","CB","?"))</f>
        <v> </v>
      </c>
      <c r="I3985" s="25" t="str">
        <f>IF(OR(E3985="",E3985="!!!",F3985="NEW"),"",INDEX(B3984:B$2,-1+SUMPRODUCT(MAX(ROW(E3984:E$2)*(E3985=E3984:E$2)))))</f>
        <v> </v>
      </c>
      <c r="J3985" s="25" t="str">
        <f>IF(OR(E3985="",E3985="!!!",F3985="NEW"),"",COUNTBLANK(OFFSET(A$1,,,SUMPRODUCT(MAX(ROW(E$2:E3985)*(E3985=E$2:E3985)))))-COUNTBLANK(OFFSET(A$1,,,SUMPRODUCT(MAX(ROW(E$1:E3984)*(E2=E$1:E3984))))))</f>
        <v> </v>
      </c>
      <c r="K3985" s="25" t="str">
        <f>IF(OR(E3985="",E3985="!!!",F3985="NEW"),"",INDEX(J$1:J3984,SUMPRODUCT(MAX(ROW(E$1:E3984)*(E3985=E$1:E3984)))))</f>
        <v> </v>
      </c>
      <c r="L3985" s="26"/>
    </row>
    <row r="3986" spans="1:12">
      <c r="A3986" s="20" t="s">
        <v>1057</v>
      </c>
      <c r="B3986" s="27" t="s">
        <v>1018</v>
      </c>
      <c r="C3986" s="27" t="s">
        <v>1013</v>
      </c>
      <c r="D3986" s="27" t="s">
        <v>1014</v>
      </c>
      <c r="E3986" s="21">
        <f>IF(D3986="?OLD","!!!","")</f>
        <v/>
      </c>
      <c r="F3986" s="22" t="str">
        <f>IF(OR(E3986="",E3986="!!!"),"",IF(NOT(ISNA(VLOOKUP(E3986,E$1:E3985,1,FALSE()))),"OLD",IF(AND(E3986&lt;&gt;"",E3986&lt;&gt;"!!!"),"NEW","")))</f>
        <v> </v>
      </c>
      <c r="G3986" s="23" t="str">
        <f>IF(OR(E3986="",E3986="!!!"),"",IF(OR(J3986=0,AND(J3986=1,K3986=1),AND(J3986=1,I3986="SBJ"),AND(J3986=1,I3986=0)),"?IN_FOCUS",IF(J3986&lt;=2,"?ACTIVATED",IF(J3986&lt;&gt;"","?FAMILIAR",IF(F3986="NEW",IF(ISNA(VLOOKUP(E3986,#REF!,1,FALSE())),"?TYPE_IDENTIFIABLE","?REFERENTIAL"),"_")))))</f>
        <v> </v>
      </c>
      <c r="H3986" s="24" t="str">
        <f>IF(J3986&lt;&gt;1,"",IF(I3986="SBJ","CB","?"))</f>
        <v> </v>
      </c>
      <c r="I3986" s="25" t="str">
        <f>IF(OR(E3986="",E3986="!!!",F3986="NEW"),"",INDEX(B3985:B$2,-1+SUMPRODUCT(MAX(ROW(E3985:E$2)*(E3986=E3985:E$2)))))</f>
        <v> </v>
      </c>
      <c r="J3986" s="25" t="str">
        <f>IF(OR(E3986="",E3986="!!!",F3986="NEW"),"",COUNTBLANK(OFFSET(A$1,,,SUMPRODUCT(MAX(ROW(E$2:E3986)*(E3986=E$2:E3986)))))-COUNTBLANK(OFFSET(A$1,,,SUMPRODUCT(MAX(ROW(E$1:E3985)*(E2=E$1:E3985))))))</f>
        <v> </v>
      </c>
      <c r="K3986" s="25" t="str">
        <f>IF(OR(E3986="",E3986="!!!",F3986="NEW"),"",INDEX(J$1:J3985,SUMPRODUCT(MAX(ROW(E$1:E3985)*(E3986=E$1:E3985)))))</f>
        <v> </v>
      </c>
      <c r="L3986" s="26"/>
    </row>
    <row r="3987" spans="1:12">
      <c r="A3987" s="20" t="s">
        <v>140</v>
      </c>
      <c r="E3987" s="21">
        <f>IF(D3987="?OLD","!!!","")</f>
        <v/>
      </c>
      <c r="F3987" s="22" t="str">
        <f>IF(OR(E3987="",E3987="!!!"),"",IF(NOT(ISNA(VLOOKUP(E3987,E$1:E3986,1,FALSE()))),"OLD",IF(AND(E3987&lt;&gt;"",E3987&lt;&gt;"!!!"),"NEW","")))</f>
        <v> </v>
      </c>
      <c r="G3987" s="23" t="str">
        <f>IF(OR(E3987="",E3987="!!!"),"",IF(OR(J3987=0,AND(J3987=1,K3987=1),AND(J3987=1,I3987="SBJ"),AND(J3987=1,I3987=0)),"?IN_FOCUS",IF(J3987&lt;=2,"?ACTIVATED",IF(J3987&lt;&gt;"","?FAMILIAR",IF(F3987="NEW",IF(ISNA(VLOOKUP(E3987,#REF!,1,FALSE())),"?TYPE_IDENTIFIABLE","?REFERENTIAL"),"_")))))</f>
        <v> </v>
      </c>
      <c r="H3987" s="24" t="str">
        <f>IF(J3987&lt;&gt;1,"",IF(I3987="SBJ","CB","?"))</f>
        <v> </v>
      </c>
      <c r="I3987" s="25" t="str">
        <f>IF(OR(E3987="",E3987="!!!",F3987="NEW"),"",INDEX(B3986:B$2,-1+SUMPRODUCT(MAX(ROW(E3986:E$2)*(E3987=E3986:E$2)))))</f>
        <v> </v>
      </c>
      <c r="J3987" s="25" t="str">
        <f>IF(OR(E3987="",E3987="!!!",F3987="NEW"),"",COUNTBLANK(OFFSET(A$1,,,SUMPRODUCT(MAX(ROW(E$2:E3987)*(E3987=E$2:E3987)))))-COUNTBLANK(OFFSET(A$1,,,SUMPRODUCT(MAX(ROW(E$1:E3986)*(E2=E$1:E3986))))))</f>
        <v> </v>
      </c>
      <c r="K3987" s="25" t="str">
        <f>IF(OR(E3987="",E3987="!!!",F3987="NEW"),"",INDEX(J$1:J3986,SUMPRODUCT(MAX(ROW(E$1:E3986)*(E3987=E$1:E3986)))))</f>
        <v> </v>
      </c>
      <c r="L3987" s="26"/>
    </row>
    <row r="3988" spans="1:12">
      <c r="A3988" s="20" t="s">
        <v>1079</v>
      </c>
      <c r="E3988" s="21">
        <f>IF(D3988="?OLD","!!!","")</f>
        <v/>
      </c>
      <c r="F3988" s="22" t="str">
        <f>IF(OR(E3988="",E3988="!!!"),"",IF(NOT(ISNA(VLOOKUP(E3988,E$1:E3987,1,FALSE()))),"OLD",IF(AND(E3988&lt;&gt;"",E3988&lt;&gt;"!!!"),"NEW","")))</f>
        <v> </v>
      </c>
      <c r="G3988" s="23" t="str">
        <f>IF(OR(E3988="",E3988="!!!"),"",IF(OR(J3988=0,AND(J3988=1,K3988=1),AND(J3988=1,I3988="SBJ"),AND(J3988=1,I3988=0)),"?IN_FOCUS",IF(J3988&lt;=2,"?ACTIVATED",IF(J3988&lt;&gt;"","?FAMILIAR",IF(F3988="NEW",IF(ISNA(VLOOKUP(E3988,#REF!,1,FALSE())),"?TYPE_IDENTIFIABLE","?REFERENTIAL"),"_")))))</f>
        <v> </v>
      </c>
      <c r="H3988" s="24" t="str">
        <f>IF(J3988&lt;&gt;1,"",IF(I3988="SBJ","CB","?"))</f>
        <v> </v>
      </c>
      <c r="I3988" s="25" t="str">
        <f>IF(OR(E3988="",E3988="!!!",F3988="NEW"),"",INDEX(B3987:B$2,-1+SUMPRODUCT(MAX(ROW(E3987:E$2)*(E3988=E3987:E$2)))))</f>
        <v> </v>
      </c>
      <c r="J3988" s="25" t="str">
        <f>IF(OR(E3988="",E3988="!!!",F3988="NEW"),"",COUNTBLANK(OFFSET(A$1,,,SUMPRODUCT(MAX(ROW(E$2:E3988)*(E3988=E$2:E3988)))))-COUNTBLANK(OFFSET(A$1,,,SUMPRODUCT(MAX(ROW(E$1:E3987)*(E2=E$1:E3987))))))</f>
        <v> </v>
      </c>
      <c r="K3988" s="25" t="str">
        <f>IF(OR(E3988="",E3988="!!!",F3988="NEW"),"",INDEX(J$1:J3987,SUMPRODUCT(MAX(ROW(E$1:E3987)*(E3988=E$1:E3987)))))</f>
        <v> </v>
      </c>
      <c r="L3988" s="26"/>
    </row>
    <row r="3989" spans="1:12">
      <c r="A3989" s="20" t="s">
        <v>100</v>
      </c>
      <c r="E3989" s="21">
        <f>IF(D3989="?OLD","!!!","")</f>
        <v/>
      </c>
      <c r="F3989" s="22" t="str">
        <f>IF(OR(E3989="",E3989="!!!"),"",IF(NOT(ISNA(VLOOKUP(E3989,E$1:E3988,1,FALSE()))),"OLD",IF(AND(E3989&lt;&gt;"",E3989&lt;&gt;"!!!"),"NEW","")))</f>
        <v> </v>
      </c>
      <c r="G3989" s="23" t="str">
        <f>IF(OR(E3989="",E3989="!!!"),"",IF(OR(J3989=0,AND(J3989=1,K3989=1),AND(J3989=1,I3989="SBJ"),AND(J3989=1,I3989=0)),"?IN_FOCUS",IF(J3989&lt;=2,"?ACTIVATED",IF(J3989&lt;&gt;"","?FAMILIAR",IF(F3989="NEW",IF(ISNA(VLOOKUP(E3989,#REF!,1,FALSE())),"?TYPE_IDENTIFIABLE","?REFERENTIAL"),"_")))))</f>
        <v> </v>
      </c>
      <c r="H3989" s="24" t="str">
        <f>IF(J3989&lt;&gt;1,"",IF(I3989="SBJ","CB","?"))</f>
        <v> </v>
      </c>
      <c r="I3989" s="25" t="str">
        <f>IF(OR(E3989="",E3989="!!!",F3989="NEW"),"",INDEX(B3988:B$2,-1+SUMPRODUCT(MAX(ROW(E3988:E$2)*(E3989=E3988:E$2)))))</f>
        <v> </v>
      </c>
      <c r="J3989" s="25" t="str">
        <f>IF(OR(E3989="",E3989="!!!",F3989="NEW"),"",COUNTBLANK(OFFSET(A$1,,,SUMPRODUCT(MAX(ROW(E$2:E3989)*(E3989=E$2:E3989)))))-COUNTBLANK(OFFSET(A$1,,,SUMPRODUCT(MAX(ROW(E$1:E3988)*(E2=E$1:E3988))))))</f>
        <v> </v>
      </c>
      <c r="K3989" s="25" t="str">
        <f>IF(OR(E3989="",E3989="!!!",F3989="NEW"),"",INDEX(J$1:J3988,SUMPRODUCT(MAX(ROW(E$1:E3988)*(E3989=E$1:E3988)))))</f>
        <v> </v>
      </c>
      <c r="L3989" s="26"/>
    </row>
    <row r="3990" spans="1:12">
      <c r="A3990" s="20" t="s">
        <v>1017</v>
      </c>
      <c r="B3990" s="27" t="s">
        <v>1308</v>
      </c>
      <c r="C3990" s="27" t="s">
        <v>1013</v>
      </c>
      <c r="D3990" s="27" t="s">
        <v>1014</v>
      </c>
      <c r="E3990" s="21">
        <f>IF(D3990="?OLD","!!!","")</f>
        <v/>
      </c>
      <c r="F3990" s="22" t="str">
        <f>IF(OR(E3990="",E3990="!!!"),"",IF(NOT(ISNA(VLOOKUP(E3990,E$1:E3989,1,FALSE()))),"OLD",IF(AND(E3990&lt;&gt;"",E3990&lt;&gt;"!!!"),"NEW","")))</f>
        <v> </v>
      </c>
      <c r="G3990" s="23" t="str">
        <f>IF(OR(E3990="",E3990="!!!"),"",IF(OR(J3990=0,AND(J3990=1,K3990=1),AND(J3990=1,I3990="SBJ"),AND(J3990=1,I3990=0)),"?IN_FOCUS",IF(J3990&lt;=2,"?ACTIVATED",IF(J3990&lt;&gt;"","?FAMILIAR",IF(F3990="NEW",IF(ISNA(VLOOKUP(E3990,#REF!,1,FALSE())),"?TYPE_IDENTIFIABLE","?REFERENTIAL"),"_")))))</f>
        <v> </v>
      </c>
      <c r="H3990" s="24" t="str">
        <f>IF(J3990&lt;&gt;1,"",IF(I3990="SBJ","CB","?"))</f>
        <v> </v>
      </c>
      <c r="I3990" s="25" t="str">
        <f>IF(OR(E3990="",E3990="!!!",F3990="NEW"),"",INDEX(B3989:B$2,-1+SUMPRODUCT(MAX(ROW(E3989:E$2)*(E3990=E3989:E$2)))))</f>
        <v> </v>
      </c>
      <c r="J3990" s="25" t="str">
        <f>IF(OR(E3990="",E3990="!!!",F3990="NEW"),"",COUNTBLANK(OFFSET(A$1,,,SUMPRODUCT(MAX(ROW(E$2:E3990)*(E3990=E$2:E3990)))))-COUNTBLANK(OFFSET(A$1,,,SUMPRODUCT(MAX(ROW(E$1:E3989)*(E2=E$1:E3989))))))</f>
        <v> </v>
      </c>
      <c r="K3990" s="25" t="str">
        <f>IF(OR(E3990="",E3990="!!!",F3990="NEW"),"",INDEX(J$1:J3989,SUMPRODUCT(MAX(ROW(E$1:E3989)*(E3990=E$1:E3989)))))</f>
        <v> </v>
      </c>
      <c r="L3990" s="26"/>
    </row>
    <row r="3991" spans="1:12">
      <c r="A3991" s="20" t="s">
        <v>39</v>
      </c>
      <c r="E3991" s="21">
        <f>IF(D3991="?OLD","!!!","")</f>
        <v/>
      </c>
      <c r="F3991" s="22" t="str">
        <f>IF(OR(E3991="",E3991="!!!"),"",IF(NOT(ISNA(VLOOKUP(E3991,E$1:E3990,1,FALSE()))),"OLD",IF(AND(E3991&lt;&gt;"",E3991&lt;&gt;"!!!"),"NEW","")))</f>
        <v> </v>
      </c>
      <c r="G3991" s="23" t="str">
        <f>IF(OR(E3991="",E3991="!!!"),"",IF(OR(J3991=0,AND(J3991=1,K3991=1),AND(J3991=1,I3991="SBJ"),AND(J3991=1,I3991=0)),"?IN_FOCUS",IF(J3991&lt;=2,"?ACTIVATED",IF(J3991&lt;&gt;"","?FAMILIAR",IF(F3991="NEW",IF(ISNA(VLOOKUP(E3991,#REF!,1,FALSE())),"?TYPE_IDENTIFIABLE","?REFERENTIAL"),"_")))))</f>
        <v> </v>
      </c>
      <c r="H3991" s="24" t="str">
        <f>IF(J3991&lt;&gt;1,"",IF(I3991="SBJ","CB","?"))</f>
        <v> </v>
      </c>
      <c r="I3991" s="25" t="str">
        <f>IF(OR(E3991="",E3991="!!!",F3991="NEW"),"",INDEX(B3990:B$2,-1+SUMPRODUCT(MAX(ROW(E3990:E$2)*(E3991=E3990:E$2)))))</f>
        <v> </v>
      </c>
      <c r="J3991" s="25" t="str">
        <f>IF(OR(E3991="",E3991="!!!",F3991="NEW"),"",COUNTBLANK(OFFSET(A$1,,,SUMPRODUCT(MAX(ROW(E$2:E3991)*(E3991=E$2:E3991)))))-COUNTBLANK(OFFSET(A$1,,,SUMPRODUCT(MAX(ROW(E$1:E3990)*(E2=E$1:E3990))))))</f>
        <v> </v>
      </c>
      <c r="K3991" s="25" t="str">
        <f>IF(OR(E3991="",E3991="!!!",F3991="NEW"),"",INDEX(J$1:J3990,SUMPRODUCT(MAX(ROW(E$1:E3990)*(E3991=E$1:E3990)))))</f>
        <v> </v>
      </c>
      <c r="L3991" s="26"/>
    </row>
    <row r="3992" spans="1:12">
      <c r="A3992" s="20" t="s">
        <v>1046</v>
      </c>
      <c r="E3992" s="21">
        <f>IF(D3992="?OLD","!!!","")</f>
        <v/>
      </c>
      <c r="F3992" s="22" t="str">
        <f>IF(OR(E3992="",E3992="!!!"),"",IF(NOT(ISNA(VLOOKUP(E3992,E$1:E3991,1,FALSE()))),"OLD",IF(AND(E3992&lt;&gt;"",E3992&lt;&gt;"!!!"),"NEW","")))</f>
        <v> </v>
      </c>
      <c r="G3992" s="23" t="str">
        <f>IF(OR(E3992="",E3992="!!!"),"",IF(OR(J3992=0,AND(J3992=1,K3992=1),AND(J3992=1,I3992="SBJ"),AND(J3992=1,I3992=0)),"?IN_FOCUS",IF(J3992&lt;=2,"?ACTIVATED",IF(J3992&lt;&gt;"","?FAMILIAR",IF(F3992="NEW",IF(ISNA(VLOOKUP(E3992,#REF!,1,FALSE())),"?TYPE_IDENTIFIABLE","?REFERENTIAL"),"_")))))</f>
        <v> </v>
      </c>
      <c r="H3992" s="24" t="str">
        <f>IF(J3992&lt;&gt;1,"",IF(I3992="SBJ","CB","?"))</f>
        <v> </v>
      </c>
      <c r="I3992" s="25" t="str">
        <f>IF(OR(E3992="",E3992="!!!",F3992="NEW"),"",INDEX(B3991:B$2,-1+SUMPRODUCT(MAX(ROW(E3991:E$2)*(E3992=E3991:E$2)))))</f>
        <v> </v>
      </c>
      <c r="J3992" s="25" t="str">
        <f>IF(OR(E3992="",E3992="!!!",F3992="NEW"),"",COUNTBLANK(OFFSET(A$1,,,SUMPRODUCT(MAX(ROW(E$2:E3992)*(E3992=E$2:E3992)))))-COUNTBLANK(OFFSET(A$1,,,SUMPRODUCT(MAX(ROW(E$1:E3991)*(E2=E$1:E3991))))))</f>
        <v> </v>
      </c>
      <c r="K3992" s="25" t="str">
        <f>IF(OR(E3992="",E3992="!!!",F3992="NEW"),"",INDEX(J$1:J3991,SUMPRODUCT(MAX(ROW(E$1:E3991)*(E3992=E$1:E3991)))))</f>
        <v> </v>
      </c>
      <c r="L3992" s="26"/>
    </row>
    <row r="3993" spans="1:12">
      <c r="A3993" s="20" t="s">
        <v>60</v>
      </c>
      <c r="E3993" s="21">
        <f>IF(D3993="?OLD","!!!","")</f>
        <v/>
      </c>
      <c r="F3993" s="22" t="str">
        <f>IF(OR(E3993="",E3993="!!!"),"",IF(NOT(ISNA(VLOOKUP(E3993,E$1:E3992,1,FALSE()))),"OLD",IF(AND(E3993&lt;&gt;"",E3993&lt;&gt;"!!!"),"NEW","")))</f>
        <v> </v>
      </c>
      <c r="G3993" s="23" t="str">
        <f>IF(OR(E3993="",E3993="!!!"),"",IF(OR(J3993=0,AND(J3993=1,K3993=1),AND(J3993=1,I3993="SBJ"),AND(J3993=1,I3993=0)),"?IN_FOCUS",IF(J3993&lt;=2,"?ACTIVATED",IF(J3993&lt;&gt;"","?FAMILIAR",IF(F3993="NEW",IF(ISNA(VLOOKUP(E3993,#REF!,1,FALSE())),"?TYPE_IDENTIFIABLE","?REFERENTIAL"),"_")))))</f>
        <v> </v>
      </c>
      <c r="H3993" s="24" t="str">
        <f>IF(J3993&lt;&gt;1,"",IF(I3993="SBJ","CB","?"))</f>
        <v> </v>
      </c>
      <c r="I3993" s="25" t="str">
        <f>IF(OR(E3993="",E3993="!!!",F3993="NEW"),"",INDEX(B3992:B$2,-1+SUMPRODUCT(MAX(ROW(E3992:E$2)*(E3993=E3992:E$2)))))</f>
        <v> </v>
      </c>
      <c r="J3993" s="25" t="str">
        <f>IF(OR(E3993="",E3993="!!!",F3993="NEW"),"",COUNTBLANK(OFFSET(A$1,,,SUMPRODUCT(MAX(ROW(E$2:E3993)*(E3993=E$2:E3993)))))-COUNTBLANK(OFFSET(A$1,,,SUMPRODUCT(MAX(ROW(E$1:E3992)*(E2=E$1:E3992))))))</f>
        <v> </v>
      </c>
      <c r="K3993" s="25" t="str">
        <f>IF(OR(E3993="",E3993="!!!",F3993="NEW"),"",INDEX(J$1:J3992,SUMPRODUCT(MAX(ROW(E$1:E3992)*(E3993=E$1:E3992)))))</f>
        <v> </v>
      </c>
      <c r="L3993" s="26"/>
    </row>
    <row r="3994" spans="1:12">
      <c r="A3994" s="20" t="s">
        <v>2035</v>
      </c>
      <c r="E3994" s="21">
        <f>IF(D3994="?OLD","!!!","")</f>
        <v/>
      </c>
      <c r="F3994" s="22" t="str">
        <f>IF(OR(E3994="",E3994="!!!"),"",IF(NOT(ISNA(VLOOKUP(E3994,E$1:E3993,1,FALSE()))),"OLD",IF(AND(E3994&lt;&gt;"",E3994&lt;&gt;"!!!"),"NEW","")))</f>
        <v> </v>
      </c>
      <c r="G3994" s="23" t="str">
        <f>IF(OR(E3994="",E3994="!!!"),"",IF(OR(J3994=0,AND(J3994=1,K3994=1),AND(J3994=1,I3994="SBJ"),AND(J3994=1,I3994=0)),"?IN_FOCUS",IF(J3994&lt;=2,"?ACTIVATED",IF(J3994&lt;&gt;"","?FAMILIAR",IF(F3994="NEW",IF(ISNA(VLOOKUP(E3994,#REF!,1,FALSE())),"?TYPE_IDENTIFIABLE","?REFERENTIAL"),"_")))))</f>
        <v> </v>
      </c>
      <c r="H3994" s="24" t="str">
        <f>IF(J3994&lt;&gt;1,"",IF(I3994="SBJ","CB","?"))</f>
        <v> </v>
      </c>
      <c r="I3994" s="25" t="str">
        <f>IF(OR(E3994="",E3994="!!!",F3994="NEW"),"",INDEX(B3993:B$2,-1+SUMPRODUCT(MAX(ROW(E3993:E$2)*(E3994=E3993:E$2)))))</f>
        <v> </v>
      </c>
      <c r="J3994" s="25" t="str">
        <f>IF(OR(E3994="",E3994="!!!",F3994="NEW"),"",COUNTBLANK(OFFSET(A$1,,,SUMPRODUCT(MAX(ROW(E$2:E3994)*(E3994=E$2:E3994)))))-COUNTBLANK(OFFSET(A$1,,,SUMPRODUCT(MAX(ROW(E$1:E3993)*(E2=E$1:E3993))))))</f>
        <v> </v>
      </c>
      <c r="K3994" s="25" t="str">
        <f>IF(OR(E3994="",E3994="!!!",F3994="NEW"),"",INDEX(J$1:J3993,SUMPRODUCT(MAX(ROW(E$1:E3993)*(E3994=E$1:E3993)))))</f>
        <v> </v>
      </c>
      <c r="L3994" s="26"/>
    </row>
    <row r="3995" spans="1:12">
      <c r="A3995" s="20" t="s">
        <v>1102</v>
      </c>
      <c r="E3995" s="21">
        <f>IF(D3995="?OLD","!!!","")</f>
        <v/>
      </c>
      <c r="F3995" s="22" t="str">
        <f>IF(OR(E3995="",E3995="!!!"),"",IF(NOT(ISNA(VLOOKUP(E3995,E$1:E3994,1,FALSE()))),"OLD",IF(AND(E3995&lt;&gt;"",E3995&lt;&gt;"!!!"),"NEW","")))</f>
        <v> </v>
      </c>
      <c r="G3995" s="23" t="str">
        <f>IF(OR(E3995="",E3995="!!!"),"",IF(OR(J3995=0,AND(J3995=1,K3995=1),AND(J3995=1,I3995="SBJ"),AND(J3995=1,I3995=0)),"?IN_FOCUS",IF(J3995&lt;=2,"?ACTIVATED",IF(J3995&lt;&gt;"","?FAMILIAR",IF(F3995="NEW",IF(ISNA(VLOOKUP(E3995,#REF!,1,FALSE())),"?TYPE_IDENTIFIABLE","?REFERENTIAL"),"_")))))</f>
        <v> </v>
      </c>
      <c r="H3995" s="24" t="str">
        <f>IF(J3995&lt;&gt;1,"",IF(I3995="SBJ","CB","?"))</f>
        <v> </v>
      </c>
      <c r="I3995" s="25" t="str">
        <f>IF(OR(E3995="",E3995="!!!",F3995="NEW"),"",INDEX(B3994:B$2,-1+SUMPRODUCT(MAX(ROW(E3994:E$2)*(E3995=E3994:E$2)))))</f>
        <v> </v>
      </c>
      <c r="J3995" s="25" t="str">
        <f>IF(OR(E3995="",E3995="!!!",F3995="NEW"),"",COUNTBLANK(OFFSET(A$1,,,SUMPRODUCT(MAX(ROW(E$2:E3995)*(E3995=E$2:E3995)))))-COUNTBLANK(OFFSET(A$1,,,SUMPRODUCT(MAX(ROW(E$1:E3994)*(E2=E$1:E3994))))))</f>
        <v> </v>
      </c>
      <c r="K3995" s="25" t="str">
        <f>IF(OR(E3995="",E3995="!!!",F3995="NEW"),"",INDEX(J$1:J3994,SUMPRODUCT(MAX(ROW(E$1:E3994)*(E3995=E$1:E3994)))))</f>
        <v> </v>
      </c>
      <c r="L3995" s="26"/>
    </row>
    <row r="3996" spans="1:12">
      <c r="A3996" s="20" t="s">
        <v>1133</v>
      </c>
      <c r="E3996" s="21">
        <f>IF(D3996="?OLD","!!!","")</f>
        <v/>
      </c>
      <c r="F3996" s="22" t="str">
        <f>IF(OR(E3996="",E3996="!!!"),"",IF(NOT(ISNA(VLOOKUP(E3996,E$1:E3995,1,FALSE()))),"OLD",IF(AND(E3996&lt;&gt;"",E3996&lt;&gt;"!!!"),"NEW","")))</f>
        <v> </v>
      </c>
      <c r="G3996" s="23" t="str">
        <f>IF(OR(E3996="",E3996="!!!"),"",IF(OR(J3996=0,AND(J3996=1,K3996=1),AND(J3996=1,I3996="SBJ"),AND(J3996=1,I3996=0)),"?IN_FOCUS",IF(J3996&lt;=2,"?ACTIVATED",IF(J3996&lt;&gt;"","?FAMILIAR",IF(F3996="NEW",IF(ISNA(VLOOKUP(E3996,#REF!,1,FALSE())),"?TYPE_IDENTIFIABLE","?REFERENTIAL"),"_")))))</f>
        <v> </v>
      </c>
      <c r="H3996" s="24" t="str">
        <f>IF(J3996&lt;&gt;1,"",IF(I3996="SBJ","CB","?"))</f>
        <v> </v>
      </c>
      <c r="I3996" s="25" t="str">
        <f>IF(OR(E3996="",E3996="!!!",F3996="NEW"),"",INDEX(B3995:B$2,-1+SUMPRODUCT(MAX(ROW(E3995:E$2)*(E3996=E3995:E$2)))))</f>
        <v> </v>
      </c>
      <c r="J3996" s="25" t="str">
        <f>IF(OR(E3996="",E3996="!!!",F3996="NEW"),"",COUNTBLANK(OFFSET(A$1,,,SUMPRODUCT(MAX(ROW(E$2:E3996)*(E3996=E$2:E3996)))))-COUNTBLANK(OFFSET(A$1,,,SUMPRODUCT(MAX(ROW(E$1:E3995)*(E2=E$1:E3995))))))</f>
        <v> </v>
      </c>
      <c r="K3996" s="25" t="str">
        <f>IF(OR(E3996="",E3996="!!!",F3996="NEW"),"",INDEX(J$1:J3995,SUMPRODUCT(MAX(ROW(E$1:E3995)*(E3996=E$1:E3995)))))</f>
        <v> </v>
      </c>
      <c r="L3996" s="26"/>
    </row>
    <row r="3997" spans="1:12">
      <c r="A3997" s="20" t="s">
        <v>2036</v>
      </c>
      <c r="E3997" s="21">
        <f>IF(D3997="?OLD","!!!","")</f>
        <v/>
      </c>
      <c r="F3997" s="22" t="str">
        <f>IF(OR(E3997="",E3997="!!!"),"",IF(NOT(ISNA(VLOOKUP(E3997,E$1:E3996,1,FALSE()))),"OLD",IF(AND(E3997&lt;&gt;"",E3997&lt;&gt;"!!!"),"NEW","")))</f>
        <v> </v>
      </c>
      <c r="G3997" s="23" t="str">
        <f>IF(OR(E3997="",E3997="!!!"),"",IF(OR(J3997=0,AND(J3997=1,K3997=1),AND(J3997=1,I3997="SBJ"),AND(J3997=1,I3997=0)),"?IN_FOCUS",IF(J3997&lt;=2,"?ACTIVATED",IF(J3997&lt;&gt;"","?FAMILIAR",IF(F3997="NEW",IF(ISNA(VLOOKUP(E3997,#REF!,1,FALSE())),"?TYPE_IDENTIFIABLE","?REFERENTIAL"),"_")))))</f>
        <v> </v>
      </c>
      <c r="H3997" s="24" t="str">
        <f>IF(J3997&lt;&gt;1,"",IF(I3997="SBJ","CB","?"))</f>
        <v> </v>
      </c>
      <c r="I3997" s="25" t="str">
        <f>IF(OR(E3997="",E3997="!!!",F3997="NEW"),"",INDEX(B3996:B$2,-1+SUMPRODUCT(MAX(ROW(E3996:E$2)*(E3997=E3996:E$2)))))</f>
        <v> </v>
      </c>
      <c r="J3997" s="25" t="str">
        <f>IF(OR(E3997="",E3997="!!!",F3997="NEW"),"",COUNTBLANK(OFFSET(A$1,,,SUMPRODUCT(MAX(ROW(E$2:E3997)*(E3997=E$2:E3997)))))-COUNTBLANK(OFFSET(A$1,,,SUMPRODUCT(MAX(ROW(E$1:E3996)*(E2=E$1:E3996))))))</f>
        <v> </v>
      </c>
      <c r="K3997" s="25" t="str">
        <f>IF(OR(E3997="",E3997="!!!",F3997="NEW"),"",INDEX(J$1:J3996,SUMPRODUCT(MAX(ROW(E$1:E3996)*(E3997=E$1:E3996)))))</f>
        <v> </v>
      </c>
      <c r="L3997" s="26"/>
    </row>
    <row r="3998" spans="1:12">
      <c r="A3998" s="20" t="s">
        <v>11</v>
      </c>
      <c r="E3998" s="21">
        <f>IF(D3998="?OLD","!!!","")</f>
        <v/>
      </c>
      <c r="F3998" s="22" t="str">
        <f>IF(OR(E3998="",E3998="!!!"),"",IF(NOT(ISNA(VLOOKUP(E3998,E$1:E3997,1,FALSE()))),"OLD",IF(AND(E3998&lt;&gt;"",E3998&lt;&gt;"!!!"),"NEW","")))</f>
        <v> </v>
      </c>
      <c r="G3998" s="23" t="str">
        <f>IF(OR(E3998="",E3998="!!!"),"",IF(OR(J3998=0,AND(J3998=1,K3998=1),AND(J3998=1,I3998="SBJ"),AND(J3998=1,I3998=0)),"?IN_FOCUS",IF(J3998&lt;=2,"?ACTIVATED",IF(J3998&lt;&gt;"","?FAMILIAR",IF(F3998="NEW",IF(ISNA(VLOOKUP(E3998,#REF!,1,FALSE())),"?TYPE_IDENTIFIABLE","?REFERENTIAL"),"_")))))</f>
        <v> </v>
      </c>
      <c r="H3998" s="24" t="str">
        <f>IF(J3998&lt;&gt;1,"",IF(I3998="SBJ","CB","?"))</f>
        <v> </v>
      </c>
      <c r="I3998" s="25" t="str">
        <f>IF(OR(E3998="",E3998="!!!",F3998="NEW"),"",INDEX(B3997:B$2,-1+SUMPRODUCT(MAX(ROW(E3997:E$2)*(E3998=E3997:E$2)))))</f>
        <v> </v>
      </c>
      <c r="J3998" s="25" t="str">
        <f>IF(OR(E3998="",E3998="!!!",F3998="NEW"),"",COUNTBLANK(OFFSET(A$1,,,SUMPRODUCT(MAX(ROW(E$2:E3998)*(E3998=E$2:E3998)))))-COUNTBLANK(OFFSET(A$1,,,SUMPRODUCT(MAX(ROW(E$1:E3997)*(E2=E$1:E3997))))))</f>
        <v> </v>
      </c>
      <c r="K3998" s="25" t="str">
        <f>IF(OR(E3998="",E3998="!!!",F3998="NEW"),"",INDEX(J$1:J3997,SUMPRODUCT(MAX(ROW(E$1:E3997)*(E3998=E$1:E3997)))))</f>
        <v> </v>
      </c>
      <c r="L3998" s="26"/>
    </row>
    <row r="3999" spans="1:12">
      <c r="A3999" s="20" t="s">
        <v>2037</v>
      </c>
      <c r="E3999" s="21">
        <f>IF(D3999="?OLD","!!!","")</f>
        <v/>
      </c>
      <c r="F3999" s="22" t="str">
        <f>IF(OR(E3999="",E3999="!!!"),"",IF(NOT(ISNA(VLOOKUP(E3999,E$1:E3998,1,FALSE()))),"OLD",IF(AND(E3999&lt;&gt;"",E3999&lt;&gt;"!!!"),"NEW","")))</f>
        <v> </v>
      </c>
      <c r="G3999" s="23" t="str">
        <f>IF(OR(E3999="",E3999="!!!"),"",IF(OR(J3999=0,AND(J3999=1,K3999=1),AND(J3999=1,I3999="SBJ"),AND(J3999=1,I3999=0)),"?IN_FOCUS",IF(J3999&lt;=2,"?ACTIVATED",IF(J3999&lt;&gt;"","?FAMILIAR",IF(F3999="NEW",IF(ISNA(VLOOKUP(E3999,#REF!,1,FALSE())),"?TYPE_IDENTIFIABLE","?REFERENTIAL"),"_")))))</f>
        <v> </v>
      </c>
      <c r="H3999" s="24" t="str">
        <f>IF(J3999&lt;&gt;1,"",IF(I3999="SBJ","CB","?"))</f>
        <v> </v>
      </c>
      <c r="I3999" s="25" t="str">
        <f>IF(OR(E3999="",E3999="!!!",F3999="NEW"),"",INDEX(B3998:B$2,-1+SUMPRODUCT(MAX(ROW(E3998:E$2)*(E3999=E3998:E$2)))))</f>
        <v> </v>
      </c>
      <c r="J3999" s="25" t="str">
        <f>IF(OR(E3999="",E3999="!!!",F3999="NEW"),"",COUNTBLANK(OFFSET(A$1,,,SUMPRODUCT(MAX(ROW(E$2:E3999)*(E3999=E$2:E3999)))))-COUNTBLANK(OFFSET(A$1,,,SUMPRODUCT(MAX(ROW(E$1:E3998)*(E2=E$1:E3998))))))</f>
        <v> </v>
      </c>
      <c r="K3999" s="25" t="str">
        <f>IF(OR(E3999="",E3999="!!!",F3999="NEW"),"",INDEX(J$1:J3998,SUMPRODUCT(MAX(ROW(E$1:E3998)*(E3999=E$1:E3998)))))</f>
        <v> </v>
      </c>
      <c r="L3999" s="26"/>
    </row>
    <row r="4000" spans="1:12">
      <c r="A4000" s="20" t="s">
        <v>2038</v>
      </c>
      <c r="B4000" s="27" t="s">
        <v>1137</v>
      </c>
      <c r="C4000" s="27" t="s">
        <v>1087</v>
      </c>
      <c r="E4000" s="21">
        <f>IF(D4000="?OLD","!!!","")</f>
        <v/>
      </c>
      <c r="F4000" s="22" t="str">
        <f>IF(OR(E4000="",E4000="!!!"),"",IF(NOT(ISNA(VLOOKUP(E4000,E$1:E3999,1,FALSE()))),"OLD",IF(AND(E4000&lt;&gt;"",E4000&lt;&gt;"!!!"),"NEW","")))</f>
        <v> </v>
      </c>
      <c r="G4000" s="23" t="str">
        <f>IF(OR(E4000="",E4000="!!!"),"",IF(OR(J4000=0,AND(J4000=1,K4000=1),AND(J4000=1,I4000="SBJ"),AND(J4000=1,I4000=0)),"?IN_FOCUS",IF(J4000&lt;=2,"?ACTIVATED",IF(J4000&lt;&gt;"","?FAMILIAR",IF(F4000="NEW",IF(ISNA(VLOOKUP(E4000,#REF!,1,FALSE())),"?TYPE_IDENTIFIABLE","?REFERENTIAL"),"_")))))</f>
        <v> </v>
      </c>
      <c r="H4000" s="24" t="str">
        <f>IF(J4000&lt;&gt;1,"",IF(I4000="SBJ","CB","?"))</f>
        <v> </v>
      </c>
      <c r="I4000" s="25" t="str">
        <f>IF(OR(E4000="",E4000="!!!",F4000="NEW"),"",INDEX(B3999:B$2,-1+SUMPRODUCT(MAX(ROW(E3999:E$2)*(E4000=E3999:E$2)))))</f>
        <v> </v>
      </c>
      <c r="J4000" s="25" t="str">
        <f>IF(OR(E4000="",E4000="!!!",F4000="NEW"),"",COUNTBLANK(OFFSET(A$1,,,SUMPRODUCT(MAX(ROW(E$2:E4000)*(E4000=E$2:E4000)))))-COUNTBLANK(OFFSET(A$1,,,SUMPRODUCT(MAX(ROW(E$1:E3999)*(E2=E$1:E3999))))))</f>
        <v> </v>
      </c>
      <c r="K4000" s="25" t="str">
        <f>IF(OR(E4000="",E4000="!!!",F4000="NEW"),"",INDEX(J$1:J3999,SUMPRODUCT(MAX(ROW(E$1:E3999)*(E4000=E$1:E3999)))))</f>
        <v> </v>
      </c>
      <c r="L4000" s="26"/>
    </row>
    <row r="4001" spans="1:12">
      <c r="A4001" s="20" t="s">
        <v>1022</v>
      </c>
      <c r="E4001" s="21">
        <f>IF(D4001="?OLD","!!!","")</f>
        <v/>
      </c>
      <c r="F4001" s="22" t="str">
        <f>IF(OR(E4001="",E4001="!!!"),"",IF(NOT(ISNA(VLOOKUP(E4001,E$1:E4000,1,FALSE()))),"OLD",IF(AND(E4001&lt;&gt;"",E4001&lt;&gt;"!!!"),"NEW","")))</f>
        <v> </v>
      </c>
      <c r="G4001" s="23" t="str">
        <f>IF(OR(E4001="",E4001="!!!"),"",IF(OR(J4001=0,AND(J4001=1,K4001=1),AND(J4001=1,I4001="SBJ"),AND(J4001=1,I4001=0)),"?IN_FOCUS",IF(J4001&lt;=2,"?ACTIVATED",IF(J4001&lt;&gt;"","?FAMILIAR",IF(F4001="NEW",IF(ISNA(VLOOKUP(E4001,#REF!,1,FALSE())),"?TYPE_IDENTIFIABLE","?REFERENTIAL"),"_")))))</f>
        <v> </v>
      </c>
      <c r="H4001" s="24" t="str">
        <f>IF(J4001&lt;&gt;1,"",IF(I4001="SBJ","CB","?"))</f>
        <v> </v>
      </c>
      <c r="I4001" s="25" t="str">
        <f>IF(OR(E4001="",E4001="!!!",F4001="NEW"),"",INDEX(B4000:B$2,-1+SUMPRODUCT(MAX(ROW(E4000:E$2)*(E4001=E4000:E$2)))))</f>
        <v> </v>
      </c>
      <c r="J4001" s="25" t="str">
        <f>IF(OR(E4001="",E4001="!!!",F4001="NEW"),"",COUNTBLANK(OFFSET(A$1,,,SUMPRODUCT(MAX(ROW(E$2:E4001)*(E4001=E$2:E4001)))))-COUNTBLANK(OFFSET(A$1,,,SUMPRODUCT(MAX(ROW(E$1:E4000)*(E2=E$1:E4000))))))</f>
        <v> </v>
      </c>
      <c r="K4001" s="25" t="str">
        <f>IF(OR(E4001="",E4001="!!!",F4001="NEW"),"",INDEX(J$1:J4000,SUMPRODUCT(MAX(ROW(E$1:E4000)*(E4001=E$1:E4000)))))</f>
        <v> </v>
      </c>
      <c r="L4001" s="26"/>
    </row>
    <row r="4002" spans="1:12">
      <c r="A4002" s="20"/>
    </row>
    <row r="4003" spans="1:12">
      <c r="A4003" s="20" t="s">
        <v>2039</v>
      </c>
    </row>
    <row r="4004" spans="1:12">
      <c r="A4004" s="20" t="s">
        <v>1146</v>
      </c>
      <c r="E4004" s="21">
        <f>IF(D4004="?OLD","!!!","")</f>
        <v/>
      </c>
      <c r="F4004" s="22" t="str">
        <f>IF(OR(E4004="",E4004="!!!"),"",IF(NOT(ISNA(VLOOKUP(E4004,E$1:E4003,1,FALSE()))),"OLD",IF(AND(E4004&lt;&gt;"",E4004&lt;&gt;"!!!"),"NEW","")))</f>
        <v> </v>
      </c>
      <c r="G4004" s="23" t="str">
        <f>IF(OR(E4004="",E4004="!!!"),"",IF(OR(J4004=0,AND(J4004=1,K4004=1),AND(J4004=1,I4004="SBJ"),AND(J4004=1,I4004=0)),"?IN_FOCUS",IF(J4004&lt;=2,"?ACTIVATED",IF(J4004&lt;&gt;"","?FAMILIAR",IF(F4004="NEW",IF(ISNA(VLOOKUP(E4004,#REF!,1,FALSE())),"?TYPE_IDENTIFIABLE","?REFERENTIAL"),"_")))))</f>
        <v> </v>
      </c>
      <c r="H4004" s="24" t="str">
        <f>IF(J4004&lt;&gt;1,"",IF(I4004="SBJ","CB","?"))</f>
        <v> </v>
      </c>
      <c r="I4004" s="25" t="str">
        <f>IF(OR(E4004="",E4004="!!!",F4004="NEW"),"",INDEX(B4003:B$2,-1+SUMPRODUCT(MAX(ROW(E4003:E$2)*(E4004=E4003:E$2)))))</f>
        <v> </v>
      </c>
      <c r="J4004" s="25" t="str">
        <f>IF(OR(E4004="",E4004="!!!",F4004="NEW"),"",COUNTBLANK(OFFSET(A$1,,,SUMPRODUCT(MAX(ROW(E$2:E4004)*(E4004=E$2:E4004)))))-COUNTBLANK(OFFSET(A$1,,,SUMPRODUCT(MAX(ROW(E$1:E4003)*(E2=E$1:E4003))))))</f>
        <v> </v>
      </c>
      <c r="K4004" s="25" t="str">
        <f>IF(OR(E4004="",E4004="!!!",F4004="NEW"),"",INDEX(J$1:J4003,SUMPRODUCT(MAX(ROW(E$1:E4003)*(E4004=E$1:E4003)))))</f>
        <v> </v>
      </c>
      <c r="L4004" s="26"/>
    </row>
    <row r="4005" spans="1:12">
      <c r="A4005" s="20" t="s">
        <v>1011</v>
      </c>
      <c r="E4005" s="21">
        <f>IF(D4005="?OLD","!!!","")</f>
        <v/>
      </c>
      <c r="F4005" s="22" t="str">
        <f>IF(OR(E4005="",E4005="!!!"),"",IF(NOT(ISNA(VLOOKUP(E4005,E$1:E4004,1,FALSE()))),"OLD",IF(AND(E4005&lt;&gt;"",E4005&lt;&gt;"!!!"),"NEW","")))</f>
        <v> </v>
      </c>
      <c r="G4005" s="23" t="str">
        <f>IF(OR(E4005="",E4005="!!!"),"",IF(OR(J4005=0,AND(J4005=1,K4005=1),AND(J4005=1,I4005="SBJ"),AND(J4005=1,I4005=0)),"?IN_FOCUS",IF(J4005&lt;=2,"?ACTIVATED",IF(J4005&lt;&gt;"","?FAMILIAR",IF(F4005="NEW",IF(ISNA(VLOOKUP(E4005,#REF!,1,FALSE())),"?TYPE_IDENTIFIABLE","?REFERENTIAL"),"_")))))</f>
        <v> </v>
      </c>
      <c r="H4005" s="24" t="str">
        <f>IF(J4005&lt;&gt;1,"",IF(I4005="SBJ","CB","?"))</f>
        <v> </v>
      </c>
      <c r="I4005" s="25" t="str">
        <f>IF(OR(E4005="",E4005="!!!",F4005="NEW"),"",INDEX(B4004:B$2,-1+SUMPRODUCT(MAX(ROW(E4004:E$2)*(E4005=E4004:E$2)))))</f>
        <v> </v>
      </c>
      <c r="J4005" s="25" t="str">
        <f>IF(OR(E4005="",E4005="!!!",F4005="NEW"),"",COUNTBLANK(OFFSET(A$1,,,SUMPRODUCT(MAX(ROW(E$2:E4005)*(E4005=E$2:E4005)))))-COUNTBLANK(OFFSET(A$1,,,SUMPRODUCT(MAX(ROW(E$1:E4004)*(E2=E$1:E4004))))))</f>
        <v> </v>
      </c>
      <c r="K4005" s="25" t="str">
        <f>IF(OR(E4005="",E4005="!!!",F4005="NEW"),"",INDEX(J$1:J4004,SUMPRODUCT(MAX(ROW(E$1:E4004)*(E4005=E$1:E4004)))))</f>
        <v> </v>
      </c>
      <c r="L4005" s="26"/>
    </row>
    <row r="4006" spans="1:12">
      <c r="A4006" s="20" t="s">
        <v>1210</v>
      </c>
      <c r="E4006" s="21">
        <f>IF(D4006="?OLD","!!!","")</f>
        <v/>
      </c>
      <c r="F4006" s="22" t="str">
        <f>IF(OR(E4006="",E4006="!!!"),"",IF(NOT(ISNA(VLOOKUP(E4006,E$1:E4005,1,FALSE()))),"OLD",IF(AND(E4006&lt;&gt;"",E4006&lt;&gt;"!!!"),"NEW","")))</f>
        <v> </v>
      </c>
      <c r="G4006" s="23" t="str">
        <f>IF(OR(E4006="",E4006="!!!"),"",IF(OR(J4006=0,AND(J4006=1,K4006=1),AND(J4006=1,I4006="SBJ"),AND(J4006=1,I4006=0)),"?IN_FOCUS",IF(J4006&lt;=2,"?ACTIVATED",IF(J4006&lt;&gt;"","?FAMILIAR",IF(F4006="NEW",IF(ISNA(VLOOKUP(E4006,#REF!,1,FALSE())),"?TYPE_IDENTIFIABLE","?REFERENTIAL"),"_")))))</f>
        <v> </v>
      </c>
      <c r="H4006" s="24" t="str">
        <f>IF(J4006&lt;&gt;1,"",IF(I4006="SBJ","CB","?"))</f>
        <v> </v>
      </c>
      <c r="I4006" s="25" t="str">
        <f>IF(OR(E4006="",E4006="!!!",F4006="NEW"),"",INDEX(B4005:B$2,-1+SUMPRODUCT(MAX(ROW(E4005:E$2)*(E4006=E4005:E$2)))))</f>
        <v> </v>
      </c>
      <c r="J4006" s="25" t="str">
        <f>IF(OR(E4006="",E4006="!!!",F4006="NEW"),"",COUNTBLANK(OFFSET(A$1,,,SUMPRODUCT(MAX(ROW(E$2:E4006)*(E4006=E$2:E4006)))))-COUNTBLANK(OFFSET(A$1,,,SUMPRODUCT(MAX(ROW(E$1:E4005)*(E2=E$1:E4005))))))</f>
        <v> </v>
      </c>
      <c r="K4006" s="25" t="str">
        <f>IF(OR(E4006="",E4006="!!!",F4006="NEW"),"",INDEX(J$1:J4005,SUMPRODUCT(MAX(ROW(E$1:E4005)*(E4006=E$1:E4005)))))</f>
        <v> </v>
      </c>
      <c r="L4006" s="26"/>
    </row>
    <row r="4007" spans="1:12">
      <c r="A4007" s="20" t="s">
        <v>1026</v>
      </c>
      <c r="E4007" s="21">
        <f>IF(D4007="?OLD","!!!","")</f>
        <v/>
      </c>
      <c r="F4007" s="22" t="str">
        <f>IF(OR(E4007="",E4007="!!!"),"",IF(NOT(ISNA(VLOOKUP(E4007,E$1:E4006,1,FALSE()))),"OLD",IF(AND(E4007&lt;&gt;"",E4007&lt;&gt;"!!!"),"NEW","")))</f>
        <v> </v>
      </c>
      <c r="G4007" s="23" t="str">
        <f>IF(OR(E4007="",E4007="!!!"),"",IF(OR(J4007=0,AND(J4007=1,K4007=1),AND(J4007=1,I4007="SBJ"),AND(J4007=1,I4007=0)),"?IN_FOCUS",IF(J4007&lt;=2,"?ACTIVATED",IF(J4007&lt;&gt;"","?FAMILIAR",IF(F4007="NEW",IF(ISNA(VLOOKUP(E4007,#REF!,1,FALSE())),"?TYPE_IDENTIFIABLE","?REFERENTIAL"),"_")))))</f>
        <v> </v>
      </c>
      <c r="H4007" s="24" t="str">
        <f>IF(J4007&lt;&gt;1,"",IF(I4007="SBJ","CB","?"))</f>
        <v> </v>
      </c>
      <c r="I4007" s="25" t="str">
        <f>IF(OR(E4007="",E4007="!!!",F4007="NEW"),"",INDEX(B4006:B$2,-1+SUMPRODUCT(MAX(ROW(E4006:E$2)*(E4007=E4006:E$2)))))</f>
        <v> </v>
      </c>
      <c r="J4007" s="25" t="str">
        <f>IF(OR(E4007="",E4007="!!!",F4007="NEW"),"",COUNTBLANK(OFFSET(A$1,,,SUMPRODUCT(MAX(ROW(E$2:E4007)*(E4007=E$2:E4007)))))-COUNTBLANK(OFFSET(A$1,,,SUMPRODUCT(MAX(ROW(E$1:E4006)*(E2=E$1:E4006))))))</f>
        <v> </v>
      </c>
      <c r="K4007" s="25" t="str">
        <f>IF(OR(E4007="",E4007="!!!",F4007="NEW"),"",INDEX(J$1:J4006,SUMPRODUCT(MAX(ROW(E$1:E4006)*(E4007=E$1:E4006)))))</f>
        <v> </v>
      </c>
      <c r="L4007" s="26"/>
    </row>
    <row r="4008" spans="1:12">
      <c r="A4008" s="20" t="s">
        <v>1209</v>
      </c>
      <c r="B4008" s="27" t="s">
        <v>1038</v>
      </c>
      <c r="C4008" s="27" t="s">
        <v>1101</v>
      </c>
      <c r="E4008" s="21">
        <f>IF(D4008="?OLD","!!!","")</f>
        <v/>
      </c>
      <c r="F4008" s="22" t="str">
        <f>IF(OR(E4008="",E4008="!!!"),"",IF(NOT(ISNA(VLOOKUP(E4008,E$1:E4007,1,FALSE()))),"OLD",IF(AND(E4008&lt;&gt;"",E4008&lt;&gt;"!!!"),"NEW","")))</f>
        <v> </v>
      </c>
      <c r="G4008" s="23" t="str">
        <f>IF(OR(E4008="",E4008="!!!"),"",IF(OR(J4008=0,AND(J4008=1,K4008=1),AND(J4008=1,I4008="SBJ"),AND(J4008=1,I4008=0)),"?IN_FOCUS",IF(J4008&lt;=2,"?ACTIVATED",IF(J4008&lt;&gt;"","?FAMILIAR",IF(F4008="NEW",IF(ISNA(VLOOKUP(E4008,#REF!,1,FALSE())),"?TYPE_IDENTIFIABLE","?REFERENTIAL"),"_")))))</f>
        <v> </v>
      </c>
      <c r="H4008" s="24" t="str">
        <f>IF(J4008&lt;&gt;1,"",IF(I4008="SBJ","CB","?"))</f>
        <v> </v>
      </c>
      <c r="I4008" s="25" t="str">
        <f>IF(OR(E4008="",E4008="!!!",F4008="NEW"),"",INDEX(B4007:B$2,-1+SUMPRODUCT(MAX(ROW(E4007:E$2)*(E4008=E4007:E$2)))))</f>
        <v> </v>
      </c>
      <c r="J4008" s="25" t="str">
        <f>IF(OR(E4008="",E4008="!!!",F4008="NEW"),"",COUNTBLANK(OFFSET(A$1,,,SUMPRODUCT(MAX(ROW(E$2:E4008)*(E4008=E$2:E4008)))))-COUNTBLANK(OFFSET(A$1,,,SUMPRODUCT(MAX(ROW(E$1:E4007)*(E2=E$1:E4007))))))</f>
        <v> </v>
      </c>
      <c r="K4008" s="25" t="str">
        <f>IF(OR(E4008="",E4008="!!!",F4008="NEW"),"",INDEX(J$1:J4007,SUMPRODUCT(MAX(ROW(E$1:E4007)*(E4008=E$1:E4007)))))</f>
        <v> </v>
      </c>
      <c r="L4008" s="26"/>
    </row>
    <row r="4009" spans="1:12">
      <c r="A4009" s="20" t="s">
        <v>1046</v>
      </c>
      <c r="E4009" s="21">
        <f>IF(D4009="?OLD","!!!","")</f>
        <v/>
      </c>
      <c r="F4009" s="22" t="str">
        <f>IF(OR(E4009="",E4009="!!!"),"",IF(NOT(ISNA(VLOOKUP(E4009,E$1:E4008,1,FALSE()))),"OLD",IF(AND(E4009&lt;&gt;"",E4009&lt;&gt;"!!!"),"NEW","")))</f>
        <v> </v>
      </c>
      <c r="G4009" s="23" t="str">
        <f>IF(OR(E4009="",E4009="!!!"),"",IF(OR(J4009=0,AND(J4009=1,K4009=1),AND(J4009=1,I4009="SBJ"),AND(J4009=1,I4009=0)),"?IN_FOCUS",IF(J4009&lt;=2,"?ACTIVATED",IF(J4009&lt;&gt;"","?FAMILIAR",IF(F4009="NEW",IF(ISNA(VLOOKUP(E4009,#REF!,1,FALSE())),"?TYPE_IDENTIFIABLE","?REFERENTIAL"),"_")))))</f>
        <v> </v>
      </c>
      <c r="H4009" s="24" t="str">
        <f>IF(J4009&lt;&gt;1,"",IF(I4009="SBJ","CB","?"))</f>
        <v> </v>
      </c>
      <c r="I4009" s="25" t="str">
        <f>IF(OR(E4009="",E4009="!!!",F4009="NEW"),"",INDEX(B4008:B$2,-1+SUMPRODUCT(MAX(ROW(E4008:E$2)*(E4009=E4008:E$2)))))</f>
        <v> </v>
      </c>
      <c r="J4009" s="25" t="str">
        <f>IF(OR(E4009="",E4009="!!!",F4009="NEW"),"",COUNTBLANK(OFFSET(A$1,,,SUMPRODUCT(MAX(ROW(E$2:E4009)*(E4009=E$2:E4009)))))-COUNTBLANK(OFFSET(A$1,,,SUMPRODUCT(MAX(ROW(E$1:E4008)*(E2=E$1:E4008))))))</f>
        <v> </v>
      </c>
      <c r="K4009" s="25" t="str">
        <f>IF(OR(E4009="",E4009="!!!",F4009="NEW"),"",INDEX(J$1:J4008,SUMPRODUCT(MAX(ROW(E$1:E4008)*(E4009=E$1:E4008)))))</f>
        <v> </v>
      </c>
      <c r="L4009" s="26"/>
    </row>
    <row r="4010" spans="1:12">
      <c r="A4010" s="20" t="s">
        <v>2040</v>
      </c>
      <c r="E4010" s="21">
        <f>IF(D4010="?OLD","!!!","")</f>
        <v/>
      </c>
      <c r="F4010" s="22" t="str">
        <f>IF(OR(E4010="",E4010="!!!"),"",IF(NOT(ISNA(VLOOKUP(E4010,E$1:E4009,1,FALSE()))),"OLD",IF(AND(E4010&lt;&gt;"",E4010&lt;&gt;"!!!"),"NEW","")))</f>
        <v> </v>
      </c>
      <c r="G4010" s="23" t="str">
        <f>IF(OR(E4010="",E4010="!!!"),"",IF(OR(J4010=0,AND(J4010=1,K4010=1),AND(J4010=1,I4010="SBJ"),AND(J4010=1,I4010=0)),"?IN_FOCUS",IF(J4010&lt;=2,"?ACTIVATED",IF(J4010&lt;&gt;"","?FAMILIAR",IF(F4010="NEW",IF(ISNA(VLOOKUP(E4010,#REF!,1,FALSE())),"?TYPE_IDENTIFIABLE","?REFERENTIAL"),"_")))))</f>
        <v> </v>
      </c>
      <c r="H4010" s="24" t="str">
        <f>IF(J4010&lt;&gt;1,"",IF(I4010="SBJ","CB","?"))</f>
        <v> </v>
      </c>
      <c r="I4010" s="25" t="str">
        <f>IF(OR(E4010="",E4010="!!!",F4010="NEW"),"",INDEX(B4009:B$2,-1+SUMPRODUCT(MAX(ROW(E4009:E$2)*(E4010=E4009:E$2)))))</f>
        <v> </v>
      </c>
      <c r="J4010" s="25" t="str">
        <f>IF(OR(E4010="",E4010="!!!",F4010="NEW"),"",COUNTBLANK(OFFSET(A$1,,,SUMPRODUCT(MAX(ROW(E$2:E4010)*(E4010=E$2:E4010)))))-COUNTBLANK(OFFSET(A$1,,,SUMPRODUCT(MAX(ROW(E$1:E4009)*(E2=E$1:E4009))))))</f>
        <v> </v>
      </c>
      <c r="K4010" s="25" t="str">
        <f>IF(OR(E4010="",E4010="!!!",F4010="NEW"),"",INDEX(J$1:J4009,SUMPRODUCT(MAX(ROW(E$1:E4009)*(E4010=E$1:E4009)))))</f>
        <v> </v>
      </c>
      <c r="L4010" s="26"/>
    </row>
    <row r="4011" spans="1:12">
      <c r="A4011" s="20" t="s">
        <v>537</v>
      </c>
      <c r="B4011" s="27" t="s">
        <v>1020</v>
      </c>
      <c r="C4011" s="27" t="s">
        <v>1059</v>
      </c>
      <c r="E4011" s="21">
        <f>IF(D4011="?OLD","!!!","")</f>
        <v/>
      </c>
      <c r="F4011" s="22" t="str">
        <f>IF(OR(E4011="",E4011="!!!"),"",IF(NOT(ISNA(VLOOKUP(E4011,E$1:E4010,1,FALSE()))),"OLD",IF(AND(E4011&lt;&gt;"",E4011&lt;&gt;"!!!"),"NEW","")))</f>
        <v> </v>
      </c>
      <c r="G4011" s="23" t="str">
        <f>IF(OR(E4011="",E4011="!!!"),"",IF(OR(J4011=0,AND(J4011=1,K4011=1),AND(J4011=1,I4011="SBJ"),AND(J4011=1,I4011=0)),"?IN_FOCUS",IF(J4011&lt;=2,"?ACTIVATED",IF(J4011&lt;&gt;"","?FAMILIAR",IF(F4011="NEW",IF(ISNA(VLOOKUP(E4011,#REF!,1,FALSE())),"?TYPE_IDENTIFIABLE","?REFERENTIAL"),"_")))))</f>
        <v> </v>
      </c>
      <c r="H4011" s="24" t="str">
        <f>IF(J4011&lt;&gt;1,"",IF(I4011="SBJ","CB","?"))</f>
        <v> </v>
      </c>
      <c r="I4011" s="25" t="str">
        <f>IF(OR(E4011="",E4011="!!!",F4011="NEW"),"",INDEX(B4010:B$2,-1+SUMPRODUCT(MAX(ROW(E4010:E$2)*(E4011=E4010:E$2)))))</f>
        <v> </v>
      </c>
      <c r="J4011" s="25" t="str">
        <f>IF(OR(E4011="",E4011="!!!",F4011="NEW"),"",COUNTBLANK(OFFSET(A$1,,,SUMPRODUCT(MAX(ROW(E$2:E4011)*(E4011=E$2:E4011)))))-COUNTBLANK(OFFSET(A$1,,,SUMPRODUCT(MAX(ROW(E$1:E4010)*(E2=E$1:E4010))))))</f>
        <v> </v>
      </c>
      <c r="K4011" s="25" t="str">
        <f>IF(OR(E4011="",E4011="!!!",F4011="NEW"),"",INDEX(J$1:J4010,SUMPRODUCT(MAX(ROW(E$1:E4010)*(E4011=E$1:E4010)))))</f>
        <v> </v>
      </c>
      <c r="L4011" s="26"/>
    </row>
    <row r="4012" spans="1:12">
      <c r="A4012" s="20" t="s">
        <v>1011</v>
      </c>
      <c r="E4012" s="21">
        <f>IF(D4012="?OLD","!!!","")</f>
        <v/>
      </c>
      <c r="F4012" s="22" t="str">
        <f>IF(OR(E4012="",E4012="!!!"),"",IF(NOT(ISNA(VLOOKUP(E4012,E$1:E4011,1,FALSE()))),"OLD",IF(AND(E4012&lt;&gt;"",E4012&lt;&gt;"!!!"),"NEW","")))</f>
        <v> </v>
      </c>
      <c r="G4012" s="23" t="str">
        <f>IF(OR(E4012="",E4012="!!!"),"",IF(OR(J4012=0,AND(J4012=1,K4012=1),AND(J4012=1,I4012="SBJ"),AND(J4012=1,I4012=0)),"?IN_FOCUS",IF(J4012&lt;=2,"?ACTIVATED",IF(J4012&lt;&gt;"","?FAMILIAR",IF(F4012="NEW",IF(ISNA(VLOOKUP(E4012,#REF!,1,FALSE())),"?TYPE_IDENTIFIABLE","?REFERENTIAL"),"_")))))</f>
        <v> </v>
      </c>
      <c r="H4012" s="24" t="str">
        <f>IF(J4012&lt;&gt;1,"",IF(I4012="SBJ","CB","?"))</f>
        <v> </v>
      </c>
      <c r="I4012" s="25" t="str">
        <f>IF(OR(E4012="",E4012="!!!",F4012="NEW"),"",INDEX(B4011:B$2,-1+SUMPRODUCT(MAX(ROW(E4011:E$2)*(E4012=E4011:E$2)))))</f>
        <v> </v>
      </c>
      <c r="J4012" s="25" t="str">
        <f>IF(OR(E4012="",E4012="!!!",F4012="NEW"),"",COUNTBLANK(OFFSET(A$1,,,SUMPRODUCT(MAX(ROW(E$2:E4012)*(E4012=E$2:E4012)))))-COUNTBLANK(OFFSET(A$1,,,SUMPRODUCT(MAX(ROW(E$1:E4011)*(E2=E$1:E4011))))))</f>
        <v> </v>
      </c>
      <c r="K4012" s="25" t="str">
        <f>IF(OR(E4012="",E4012="!!!",F4012="NEW"),"",INDEX(J$1:J4011,SUMPRODUCT(MAX(ROW(E$1:E4011)*(E4012=E$1:E4011)))))</f>
        <v> </v>
      </c>
      <c r="L4012" s="26"/>
    </row>
    <row r="4013" spans="1:12">
      <c r="A4013" s="20" t="s">
        <v>1300</v>
      </c>
      <c r="E4013" s="21">
        <f>IF(D4013="?OLD","!!!","")</f>
        <v/>
      </c>
      <c r="F4013" s="22" t="str">
        <f>IF(OR(E4013="",E4013="!!!"),"",IF(NOT(ISNA(VLOOKUP(E4013,E$1:E4012,1,FALSE()))),"OLD",IF(AND(E4013&lt;&gt;"",E4013&lt;&gt;"!!!"),"NEW","")))</f>
        <v> </v>
      </c>
      <c r="G4013" s="23" t="str">
        <f>IF(OR(E4013="",E4013="!!!"),"",IF(OR(J4013=0,AND(J4013=1,K4013=1),AND(J4013=1,I4013="SBJ"),AND(J4013=1,I4013=0)),"?IN_FOCUS",IF(J4013&lt;=2,"?ACTIVATED",IF(J4013&lt;&gt;"","?FAMILIAR",IF(F4013="NEW",IF(ISNA(VLOOKUP(E4013,#REF!,1,FALSE())),"?TYPE_IDENTIFIABLE","?REFERENTIAL"),"_")))))</f>
        <v> </v>
      </c>
      <c r="H4013" s="24" t="str">
        <f>IF(J4013&lt;&gt;1,"",IF(I4013="SBJ","CB","?"))</f>
        <v> </v>
      </c>
      <c r="I4013" s="25" t="str">
        <f>IF(OR(E4013="",E4013="!!!",F4013="NEW"),"",INDEX(B4012:B$2,-1+SUMPRODUCT(MAX(ROW(E4012:E$2)*(E4013=E4012:E$2)))))</f>
        <v> </v>
      </c>
      <c r="J4013" s="25" t="str">
        <f>IF(OR(E4013="",E4013="!!!",F4013="NEW"),"",COUNTBLANK(OFFSET(A$1,,,SUMPRODUCT(MAX(ROW(E$2:E4013)*(E4013=E$2:E4013)))))-COUNTBLANK(OFFSET(A$1,,,SUMPRODUCT(MAX(ROW(E$1:E4012)*(E2=E$1:E4012))))))</f>
        <v> </v>
      </c>
      <c r="K4013" s="25" t="str">
        <f>IF(OR(E4013="",E4013="!!!",F4013="NEW"),"",INDEX(J$1:J4012,SUMPRODUCT(MAX(ROW(E$1:E4012)*(E4013=E$1:E4012)))))</f>
        <v> </v>
      </c>
      <c r="L4013" s="26"/>
    </row>
    <row r="4014" spans="1:12">
      <c r="A4014" s="20" t="s">
        <v>1117</v>
      </c>
      <c r="E4014" s="21">
        <f>IF(D4014="?OLD","!!!","")</f>
        <v/>
      </c>
      <c r="F4014" s="22" t="str">
        <f>IF(OR(E4014="",E4014="!!!"),"",IF(NOT(ISNA(VLOOKUP(E4014,E$1:E4013,1,FALSE()))),"OLD",IF(AND(E4014&lt;&gt;"",E4014&lt;&gt;"!!!"),"NEW","")))</f>
        <v> </v>
      </c>
      <c r="G4014" s="23" t="str">
        <f>IF(OR(E4014="",E4014="!!!"),"",IF(OR(J4014=0,AND(J4014=1,K4014=1),AND(J4014=1,I4014="SBJ"),AND(J4014=1,I4014=0)),"?IN_FOCUS",IF(J4014&lt;=2,"?ACTIVATED",IF(J4014&lt;&gt;"","?FAMILIAR",IF(F4014="NEW",IF(ISNA(VLOOKUP(E4014,#REF!,1,FALSE())),"?TYPE_IDENTIFIABLE","?REFERENTIAL"),"_")))))</f>
        <v> </v>
      </c>
      <c r="H4014" s="24" t="str">
        <f>IF(J4014&lt;&gt;1,"",IF(I4014="SBJ","CB","?"))</f>
        <v> </v>
      </c>
      <c r="I4014" s="25" t="str">
        <f>IF(OR(E4014="",E4014="!!!",F4014="NEW"),"",INDEX(B4013:B$2,-1+SUMPRODUCT(MAX(ROW(E4013:E$2)*(E4014=E4013:E$2)))))</f>
        <v> </v>
      </c>
      <c r="J4014" s="25" t="str">
        <f>IF(OR(E4014="",E4014="!!!",F4014="NEW"),"",COUNTBLANK(OFFSET(A$1,,,SUMPRODUCT(MAX(ROW(E$2:E4014)*(E4014=E$2:E4014)))))-COUNTBLANK(OFFSET(A$1,,,SUMPRODUCT(MAX(ROW(E$1:E4013)*(E2=E$1:E4013))))))</f>
        <v> </v>
      </c>
      <c r="K4014" s="25" t="str">
        <f>IF(OR(E4014="",E4014="!!!",F4014="NEW"),"",INDEX(J$1:J4013,SUMPRODUCT(MAX(ROW(E$1:E4013)*(E4014=E$1:E4013)))))</f>
        <v> </v>
      </c>
      <c r="L4014" s="26"/>
    </row>
    <row r="4015" spans="1:12">
      <c r="A4015" s="20" t="s">
        <v>1016</v>
      </c>
      <c r="E4015" s="21">
        <f>IF(D4015="?OLD","!!!","")</f>
        <v/>
      </c>
      <c r="F4015" s="22" t="str">
        <f>IF(OR(E4015="",E4015="!!!"),"",IF(NOT(ISNA(VLOOKUP(E4015,E$1:E4014,1,FALSE()))),"OLD",IF(AND(E4015&lt;&gt;"",E4015&lt;&gt;"!!!"),"NEW","")))</f>
        <v> </v>
      </c>
      <c r="G4015" s="23" t="str">
        <f>IF(OR(E4015="",E4015="!!!"),"",IF(OR(J4015=0,AND(J4015=1,K4015=1),AND(J4015=1,I4015="SBJ"),AND(J4015=1,I4015=0)),"?IN_FOCUS",IF(J4015&lt;=2,"?ACTIVATED",IF(J4015&lt;&gt;"","?FAMILIAR",IF(F4015="NEW",IF(ISNA(VLOOKUP(E4015,#REF!,1,FALSE())),"?TYPE_IDENTIFIABLE","?REFERENTIAL"),"_")))))</f>
        <v> </v>
      </c>
      <c r="H4015" s="24" t="str">
        <f>IF(J4015&lt;&gt;1,"",IF(I4015="SBJ","CB","?"))</f>
        <v> </v>
      </c>
      <c r="I4015" s="25" t="str">
        <f>IF(OR(E4015="",E4015="!!!",F4015="NEW"),"",INDEX(B4014:B$2,-1+SUMPRODUCT(MAX(ROW(E4014:E$2)*(E4015=E4014:E$2)))))</f>
        <v> </v>
      </c>
      <c r="J4015" s="25" t="str">
        <f>IF(OR(E4015="",E4015="!!!",F4015="NEW"),"",COUNTBLANK(OFFSET(A$1,,,SUMPRODUCT(MAX(ROW(E$2:E4015)*(E4015=E$2:E4015)))))-COUNTBLANK(OFFSET(A$1,,,SUMPRODUCT(MAX(ROW(E$1:E4014)*(E2=E$1:E4014))))))</f>
        <v> </v>
      </c>
      <c r="K4015" s="25" t="str">
        <f>IF(OR(E4015="",E4015="!!!",F4015="NEW"),"",INDEX(J$1:J4014,SUMPRODUCT(MAX(ROW(E$1:E4014)*(E4015=E$1:E4014)))))</f>
        <v> </v>
      </c>
      <c r="L4015" s="26"/>
    </row>
    <row r="4016" spans="1:12">
      <c r="A4016" s="20" t="s">
        <v>1022</v>
      </c>
      <c r="E4016" s="21">
        <f>IF(D4016="?OLD","!!!","")</f>
        <v/>
      </c>
      <c r="F4016" s="22" t="str">
        <f>IF(OR(E4016="",E4016="!!!"),"",IF(NOT(ISNA(VLOOKUP(E4016,E$1:E4015,1,FALSE()))),"OLD",IF(AND(E4016&lt;&gt;"",E4016&lt;&gt;"!!!"),"NEW","")))</f>
        <v> </v>
      </c>
      <c r="G4016" s="23" t="str">
        <f>IF(OR(E4016="",E4016="!!!"),"",IF(OR(J4016=0,AND(J4016=1,K4016=1),AND(J4016=1,I4016="SBJ"),AND(J4016=1,I4016=0)),"?IN_FOCUS",IF(J4016&lt;=2,"?ACTIVATED",IF(J4016&lt;&gt;"","?FAMILIAR",IF(F4016="NEW",IF(ISNA(VLOOKUP(E4016,#REF!,1,FALSE())),"?TYPE_IDENTIFIABLE","?REFERENTIAL"),"_")))))</f>
        <v> </v>
      </c>
      <c r="H4016" s="24" t="str">
        <f>IF(J4016&lt;&gt;1,"",IF(I4016="SBJ","CB","?"))</f>
        <v> </v>
      </c>
      <c r="I4016" s="25" t="str">
        <f>IF(OR(E4016="",E4016="!!!",F4016="NEW"),"",INDEX(B4015:B$2,-1+SUMPRODUCT(MAX(ROW(E4015:E$2)*(E4016=E4015:E$2)))))</f>
        <v> </v>
      </c>
      <c r="J4016" s="25" t="str">
        <f>IF(OR(E4016="",E4016="!!!",F4016="NEW"),"",COUNTBLANK(OFFSET(A$1,,,SUMPRODUCT(MAX(ROW(E$2:E4016)*(E4016=E$2:E4016)))))-COUNTBLANK(OFFSET(A$1,,,SUMPRODUCT(MAX(ROW(E$1:E4015)*(E2=E$1:E4015))))))</f>
        <v> </v>
      </c>
      <c r="K4016" s="25" t="str">
        <f>IF(OR(E4016="",E4016="!!!",F4016="NEW"),"",INDEX(J$1:J4015,SUMPRODUCT(MAX(ROW(E$1:E4015)*(E4016=E$1:E4015)))))</f>
        <v> </v>
      </c>
      <c r="L4016" s="26"/>
    </row>
    <row r="4017" spans="1:12">
      <c r="A4017" s="20"/>
    </row>
    <row r="4018" spans="1:12">
      <c r="A4018" s="20" t="s">
        <v>2041</v>
      </c>
    </row>
    <row r="4019" spans="1:12">
      <c r="A4019" s="20" t="s">
        <v>1115</v>
      </c>
      <c r="B4019" s="27" t="s">
        <v>1038</v>
      </c>
      <c r="C4019" s="27" t="s">
        <v>1013</v>
      </c>
      <c r="D4019" s="27" t="s">
        <v>1014</v>
      </c>
      <c r="E4019" s="21">
        <f>IF(D4019="?OLD","!!!","")</f>
        <v/>
      </c>
      <c r="F4019" s="22" t="str">
        <f>IF(OR(E4019="",E4019="!!!"),"",IF(NOT(ISNA(VLOOKUP(E4019,E$1:E4018,1,FALSE()))),"OLD",IF(AND(E4019&lt;&gt;"",E4019&lt;&gt;"!!!"),"NEW","")))</f>
        <v> </v>
      </c>
      <c r="G4019" s="23" t="str">
        <f>IF(OR(E4019="",E4019="!!!"),"",IF(OR(J4019=0,AND(J4019=1,K4019=1),AND(J4019=1,I4019="SBJ"),AND(J4019=1,I4019=0)),"?IN_FOCUS",IF(J4019&lt;=2,"?ACTIVATED",IF(J4019&lt;&gt;"","?FAMILIAR",IF(F4019="NEW",IF(ISNA(VLOOKUP(E4019,#REF!,1,FALSE())),"?TYPE_IDENTIFIABLE","?REFERENTIAL"),"_")))))</f>
        <v> </v>
      </c>
      <c r="H4019" s="24" t="str">
        <f>IF(J4019&lt;&gt;1,"",IF(I4019="SBJ","CB","?"))</f>
        <v> </v>
      </c>
      <c r="I4019" s="25" t="str">
        <f>IF(OR(E4019="",E4019="!!!",F4019="NEW"),"",INDEX(B4018:B$2,-1+SUMPRODUCT(MAX(ROW(E4018:E$2)*(E4019=E4018:E$2)))))</f>
        <v> </v>
      </c>
      <c r="J4019" s="25" t="str">
        <f>IF(OR(E4019="",E4019="!!!",F4019="NEW"),"",COUNTBLANK(OFFSET(A$1,,,SUMPRODUCT(MAX(ROW(E$2:E4019)*(E4019=E$2:E4019)))))-COUNTBLANK(OFFSET(A$1,,,SUMPRODUCT(MAX(ROW(E$1:E4018)*(E2=E$1:E4018))))))</f>
        <v> </v>
      </c>
      <c r="K4019" s="25" t="str">
        <f>IF(OR(E4019="",E4019="!!!",F4019="NEW"),"",INDEX(J$1:J4018,SUMPRODUCT(MAX(ROW(E$1:E4018)*(E4019=E$1:E4018)))))</f>
        <v> </v>
      </c>
      <c r="L4019" s="26"/>
    </row>
    <row r="4020" spans="1:12">
      <c r="A4020" s="20" t="s">
        <v>1011</v>
      </c>
      <c r="E4020" s="21">
        <f>IF(D4020="?OLD","!!!","")</f>
        <v/>
      </c>
      <c r="F4020" s="22" t="str">
        <f>IF(OR(E4020="",E4020="!!!"),"",IF(NOT(ISNA(VLOOKUP(E4020,E$1:E4019,1,FALSE()))),"OLD",IF(AND(E4020&lt;&gt;"",E4020&lt;&gt;"!!!"),"NEW","")))</f>
        <v> </v>
      </c>
      <c r="G4020" s="23" t="str">
        <f>IF(OR(E4020="",E4020="!!!"),"",IF(OR(J4020=0,AND(J4020=1,K4020=1),AND(J4020=1,I4020="SBJ"),AND(J4020=1,I4020=0)),"?IN_FOCUS",IF(J4020&lt;=2,"?ACTIVATED",IF(J4020&lt;&gt;"","?FAMILIAR",IF(F4020="NEW",IF(ISNA(VLOOKUP(E4020,#REF!,1,FALSE())),"?TYPE_IDENTIFIABLE","?REFERENTIAL"),"_")))))</f>
        <v> </v>
      </c>
      <c r="H4020" s="24" t="str">
        <f>IF(J4020&lt;&gt;1,"",IF(I4020="SBJ","CB","?"))</f>
        <v> </v>
      </c>
      <c r="I4020" s="25" t="str">
        <f>IF(OR(E4020="",E4020="!!!",F4020="NEW"),"",INDEX(B4019:B$2,-1+SUMPRODUCT(MAX(ROW(E4019:E$2)*(E4020=E4019:E$2)))))</f>
        <v> </v>
      </c>
      <c r="J4020" s="25" t="str">
        <f>IF(OR(E4020="",E4020="!!!",F4020="NEW"),"",COUNTBLANK(OFFSET(A$1,,,SUMPRODUCT(MAX(ROW(E$2:E4020)*(E4020=E$2:E4020)))))-COUNTBLANK(OFFSET(A$1,,,SUMPRODUCT(MAX(ROW(E$1:E4019)*(E2=E$1:E4019))))))</f>
        <v> </v>
      </c>
      <c r="K4020" s="25" t="str">
        <f>IF(OR(E4020="",E4020="!!!",F4020="NEW"),"",INDEX(J$1:J4019,SUMPRODUCT(MAX(ROW(E$1:E4019)*(E4020=E$1:E4019)))))</f>
        <v> </v>
      </c>
      <c r="L4020" s="26"/>
    </row>
    <row r="4021" spans="1:12">
      <c r="A4021" s="20" t="s">
        <v>2042</v>
      </c>
      <c r="E4021" s="21">
        <f>IF(D4021="?OLD","!!!","")</f>
        <v/>
      </c>
      <c r="F4021" s="22" t="str">
        <f>IF(OR(E4021="",E4021="!!!"),"",IF(NOT(ISNA(VLOOKUP(E4021,E$1:E4020,1,FALSE()))),"OLD",IF(AND(E4021&lt;&gt;"",E4021&lt;&gt;"!!!"),"NEW","")))</f>
        <v> </v>
      </c>
      <c r="G4021" s="23" t="str">
        <f>IF(OR(E4021="",E4021="!!!"),"",IF(OR(J4021=0,AND(J4021=1,K4021=1),AND(J4021=1,I4021="SBJ"),AND(J4021=1,I4021=0)),"?IN_FOCUS",IF(J4021&lt;=2,"?ACTIVATED",IF(J4021&lt;&gt;"","?FAMILIAR",IF(F4021="NEW",IF(ISNA(VLOOKUP(E4021,#REF!,1,FALSE())),"?TYPE_IDENTIFIABLE","?REFERENTIAL"),"_")))))</f>
        <v> </v>
      </c>
      <c r="H4021" s="24" t="str">
        <f>IF(J4021&lt;&gt;1,"",IF(I4021="SBJ","CB","?"))</f>
        <v> </v>
      </c>
      <c r="I4021" s="25" t="str">
        <f>IF(OR(E4021="",E4021="!!!",F4021="NEW"),"",INDEX(B4020:B$2,-1+SUMPRODUCT(MAX(ROW(E4020:E$2)*(E4021=E4020:E$2)))))</f>
        <v> </v>
      </c>
      <c r="J4021" s="25" t="str">
        <f>IF(OR(E4021="",E4021="!!!",F4021="NEW"),"",COUNTBLANK(OFFSET(A$1,,,SUMPRODUCT(MAX(ROW(E$2:E4021)*(E4021=E$2:E4021)))))-COUNTBLANK(OFFSET(A$1,,,SUMPRODUCT(MAX(ROW(E$1:E4020)*(E2=E$1:E4020))))))</f>
        <v> </v>
      </c>
      <c r="K4021" s="25" t="str">
        <f>IF(OR(E4021="",E4021="!!!",F4021="NEW"),"",INDEX(J$1:J4020,SUMPRODUCT(MAX(ROW(E$1:E4020)*(E4021=E$1:E4020)))))</f>
        <v> </v>
      </c>
      <c r="L4021" s="26"/>
    </row>
    <row r="4022" spans="1:12">
      <c r="A4022" s="20" t="s">
        <v>1027</v>
      </c>
      <c r="E4022" s="21">
        <f>IF(D4022="?OLD","!!!","")</f>
        <v/>
      </c>
      <c r="F4022" s="22" t="str">
        <f>IF(OR(E4022="",E4022="!!!"),"",IF(NOT(ISNA(VLOOKUP(E4022,E$1:E4021,1,FALSE()))),"OLD",IF(AND(E4022&lt;&gt;"",E4022&lt;&gt;"!!!"),"NEW","")))</f>
        <v> </v>
      </c>
      <c r="G4022" s="23" t="str">
        <f>IF(OR(E4022="",E4022="!!!"),"",IF(OR(J4022=0,AND(J4022=1,K4022=1),AND(J4022=1,I4022="SBJ"),AND(J4022=1,I4022=0)),"?IN_FOCUS",IF(J4022&lt;=2,"?ACTIVATED",IF(J4022&lt;&gt;"","?FAMILIAR",IF(F4022="NEW",IF(ISNA(VLOOKUP(E4022,#REF!,1,FALSE())),"?TYPE_IDENTIFIABLE","?REFERENTIAL"),"_")))))</f>
        <v> </v>
      </c>
      <c r="H4022" s="24" t="str">
        <f>IF(J4022&lt;&gt;1,"",IF(I4022="SBJ","CB","?"))</f>
        <v> </v>
      </c>
      <c r="I4022" s="25" t="str">
        <f>IF(OR(E4022="",E4022="!!!",F4022="NEW"),"",INDEX(B4021:B$2,-1+SUMPRODUCT(MAX(ROW(E4021:E$2)*(E4022=E4021:E$2)))))</f>
        <v> </v>
      </c>
      <c r="J4022" s="25" t="str">
        <f>IF(OR(E4022="",E4022="!!!",F4022="NEW"),"",COUNTBLANK(OFFSET(A$1,,,SUMPRODUCT(MAX(ROW(E$2:E4022)*(E4022=E$2:E4022)))))-COUNTBLANK(OFFSET(A$1,,,SUMPRODUCT(MAX(ROW(E$1:E4021)*(E2=E$1:E4021))))))</f>
        <v> </v>
      </c>
      <c r="K4022" s="25" t="str">
        <f>IF(OR(E4022="",E4022="!!!",F4022="NEW"),"",INDEX(J$1:J4021,SUMPRODUCT(MAX(ROW(E$1:E4021)*(E4022=E$1:E4021)))))</f>
        <v> </v>
      </c>
      <c r="L4022" s="26"/>
    </row>
    <row r="4023" spans="1:12">
      <c r="A4023" s="20" t="s">
        <v>1032</v>
      </c>
      <c r="B4023" s="27" t="s">
        <v>1033</v>
      </c>
      <c r="C4023" s="27" t="s">
        <v>1013</v>
      </c>
      <c r="D4023" s="27" t="s">
        <v>1014</v>
      </c>
      <c r="E4023" s="21">
        <f>IF(D4023="?OLD","!!!","")</f>
        <v/>
      </c>
      <c r="F4023" s="22" t="str">
        <f>IF(OR(E4023="",E4023="!!!"),"",IF(NOT(ISNA(VLOOKUP(E4023,E$1:E4022,1,FALSE()))),"OLD",IF(AND(E4023&lt;&gt;"",E4023&lt;&gt;"!!!"),"NEW","")))</f>
        <v> </v>
      </c>
      <c r="G4023" s="23" t="str">
        <f>IF(OR(E4023="",E4023="!!!"),"",IF(OR(J4023=0,AND(J4023=1,K4023=1),AND(J4023=1,I4023="SBJ"),AND(J4023=1,I4023=0)),"?IN_FOCUS",IF(J4023&lt;=2,"?ACTIVATED",IF(J4023&lt;&gt;"","?FAMILIAR",IF(F4023="NEW",IF(ISNA(VLOOKUP(E4023,#REF!,1,FALSE())),"?TYPE_IDENTIFIABLE","?REFERENTIAL"),"_")))))</f>
        <v> </v>
      </c>
      <c r="H4023" s="24" t="str">
        <f>IF(J4023&lt;&gt;1,"",IF(I4023="SBJ","CB","?"))</f>
        <v> </v>
      </c>
      <c r="I4023" s="25" t="str">
        <f>IF(OR(E4023="",E4023="!!!",F4023="NEW"),"",INDEX(B4022:B$2,-1+SUMPRODUCT(MAX(ROW(E4022:E$2)*(E4023=E4022:E$2)))))</f>
        <v> </v>
      </c>
      <c r="J4023" s="25" t="str">
        <f>IF(OR(E4023="",E4023="!!!",F4023="NEW"),"",COUNTBLANK(OFFSET(A$1,,,SUMPRODUCT(MAX(ROW(E$2:E4023)*(E4023=E$2:E4023)))))-COUNTBLANK(OFFSET(A$1,,,SUMPRODUCT(MAX(ROW(E$1:E4022)*(E2=E$1:E4022))))))</f>
        <v> </v>
      </c>
      <c r="K4023" s="25" t="str">
        <f>IF(OR(E4023="",E4023="!!!",F4023="NEW"),"",INDEX(J$1:J4022,SUMPRODUCT(MAX(ROW(E$1:E4022)*(E4023=E$1:E4022)))))</f>
        <v> </v>
      </c>
      <c r="L4023" s="26"/>
    </row>
    <row r="4024" spans="1:12">
      <c r="A4024" s="20" t="s">
        <v>1011</v>
      </c>
      <c r="E4024" s="21">
        <f>IF(D4024="?OLD","!!!","")</f>
        <v/>
      </c>
      <c r="F4024" s="22" t="str">
        <f>IF(OR(E4024="",E4024="!!!"),"",IF(NOT(ISNA(VLOOKUP(E4024,E$1:E4023,1,FALSE()))),"OLD",IF(AND(E4024&lt;&gt;"",E4024&lt;&gt;"!!!"),"NEW","")))</f>
        <v> </v>
      </c>
      <c r="G4024" s="23" t="str">
        <f>IF(OR(E4024="",E4024="!!!"),"",IF(OR(J4024=0,AND(J4024=1,K4024=1),AND(J4024=1,I4024="SBJ"),AND(J4024=1,I4024=0)),"?IN_FOCUS",IF(J4024&lt;=2,"?ACTIVATED",IF(J4024&lt;&gt;"","?FAMILIAR",IF(F4024="NEW",IF(ISNA(VLOOKUP(E4024,#REF!,1,FALSE())),"?TYPE_IDENTIFIABLE","?REFERENTIAL"),"_")))))</f>
        <v> </v>
      </c>
      <c r="H4024" s="24" t="str">
        <f>IF(J4024&lt;&gt;1,"",IF(I4024="SBJ","CB","?"))</f>
        <v> </v>
      </c>
      <c r="I4024" s="25" t="str">
        <f>IF(OR(E4024="",E4024="!!!",F4024="NEW"),"",INDEX(B4023:B$2,-1+SUMPRODUCT(MAX(ROW(E4023:E$2)*(E4024=E4023:E$2)))))</f>
        <v> </v>
      </c>
      <c r="J4024" s="25" t="str">
        <f>IF(OR(E4024="",E4024="!!!",F4024="NEW"),"",COUNTBLANK(OFFSET(A$1,,,SUMPRODUCT(MAX(ROW(E$2:E4024)*(E4024=E$2:E4024)))))-COUNTBLANK(OFFSET(A$1,,,SUMPRODUCT(MAX(ROW(E$1:E4023)*(E2=E$1:E4023))))))</f>
        <v> </v>
      </c>
      <c r="K4024" s="25" t="str">
        <f>IF(OR(E4024="",E4024="!!!",F4024="NEW"),"",INDEX(J$1:J4023,SUMPRODUCT(MAX(ROW(E$1:E4023)*(E4024=E$1:E4023)))))</f>
        <v> </v>
      </c>
      <c r="L4024" s="26"/>
    </row>
    <row r="4025" spans="1:12">
      <c r="A4025" s="20" t="s">
        <v>2043</v>
      </c>
      <c r="E4025" s="21">
        <f>IF(D4025="?OLD","!!!","")</f>
        <v/>
      </c>
      <c r="F4025" s="22" t="str">
        <f>IF(OR(E4025="",E4025="!!!"),"",IF(NOT(ISNA(VLOOKUP(E4025,E$1:E4024,1,FALSE()))),"OLD",IF(AND(E4025&lt;&gt;"",E4025&lt;&gt;"!!!"),"NEW","")))</f>
        <v> </v>
      </c>
      <c r="G4025" s="23" t="str">
        <f>IF(OR(E4025="",E4025="!!!"),"",IF(OR(J4025=0,AND(J4025=1,K4025=1),AND(J4025=1,I4025="SBJ"),AND(J4025=1,I4025=0)),"?IN_FOCUS",IF(J4025&lt;=2,"?ACTIVATED",IF(J4025&lt;&gt;"","?FAMILIAR",IF(F4025="NEW",IF(ISNA(VLOOKUP(E4025,#REF!,1,FALSE())),"?TYPE_IDENTIFIABLE","?REFERENTIAL"),"_")))))</f>
        <v> </v>
      </c>
      <c r="H4025" s="24" t="str">
        <f>IF(J4025&lt;&gt;1,"",IF(I4025="SBJ","CB","?"))</f>
        <v> </v>
      </c>
      <c r="I4025" s="25" t="str">
        <f>IF(OR(E4025="",E4025="!!!",F4025="NEW"),"",INDEX(B4024:B$2,-1+SUMPRODUCT(MAX(ROW(E4024:E$2)*(E4025=E4024:E$2)))))</f>
        <v> </v>
      </c>
      <c r="J4025" s="25" t="str">
        <f>IF(OR(E4025="",E4025="!!!",F4025="NEW"),"",COUNTBLANK(OFFSET(A$1,,,SUMPRODUCT(MAX(ROW(E$2:E4025)*(E4025=E$2:E4025)))))-COUNTBLANK(OFFSET(A$1,,,SUMPRODUCT(MAX(ROW(E$1:E4024)*(E2=E$1:E4024))))))</f>
        <v> </v>
      </c>
      <c r="K4025" s="25" t="str">
        <f>IF(OR(E4025="",E4025="!!!",F4025="NEW"),"",INDEX(J$1:J4024,SUMPRODUCT(MAX(ROW(E$1:E4024)*(E4025=E$1:E4024)))))</f>
        <v> </v>
      </c>
      <c r="L4025" s="26"/>
    </row>
    <row r="4026" spans="1:12">
      <c r="A4026" s="20" t="s">
        <v>1027</v>
      </c>
      <c r="E4026" s="21">
        <f>IF(D4026="?OLD","!!!","")</f>
        <v/>
      </c>
      <c r="F4026" s="22" t="str">
        <f>IF(OR(E4026="",E4026="!!!"),"",IF(NOT(ISNA(VLOOKUP(E4026,E$1:E4025,1,FALSE()))),"OLD",IF(AND(E4026&lt;&gt;"",E4026&lt;&gt;"!!!"),"NEW","")))</f>
        <v> </v>
      </c>
      <c r="G4026" s="23" t="str">
        <f>IF(OR(E4026="",E4026="!!!"),"",IF(OR(J4026=0,AND(J4026=1,K4026=1),AND(J4026=1,I4026="SBJ"),AND(J4026=1,I4026=0)),"?IN_FOCUS",IF(J4026&lt;=2,"?ACTIVATED",IF(J4026&lt;&gt;"","?FAMILIAR",IF(F4026="NEW",IF(ISNA(VLOOKUP(E4026,#REF!,1,FALSE())),"?TYPE_IDENTIFIABLE","?REFERENTIAL"),"_")))))</f>
        <v> </v>
      </c>
      <c r="H4026" s="24" t="str">
        <f>IF(J4026&lt;&gt;1,"",IF(I4026="SBJ","CB","?"))</f>
        <v> </v>
      </c>
      <c r="I4026" s="25" t="str">
        <f>IF(OR(E4026="",E4026="!!!",F4026="NEW"),"",INDEX(B4025:B$2,-1+SUMPRODUCT(MAX(ROW(E4025:E$2)*(E4026=E4025:E$2)))))</f>
        <v> </v>
      </c>
      <c r="J4026" s="25" t="str">
        <f>IF(OR(E4026="",E4026="!!!",F4026="NEW"),"",COUNTBLANK(OFFSET(A$1,,,SUMPRODUCT(MAX(ROW(E$2:E4026)*(E4026=E$2:E4026)))))-COUNTBLANK(OFFSET(A$1,,,SUMPRODUCT(MAX(ROW(E$1:E4025)*(E2=E$1:E4025))))))</f>
        <v> </v>
      </c>
      <c r="K4026" s="25" t="str">
        <f>IF(OR(E4026="",E4026="!!!",F4026="NEW"),"",INDEX(J$1:J4025,SUMPRODUCT(MAX(ROW(E$1:E4025)*(E4026=E$1:E4025)))))</f>
        <v> </v>
      </c>
      <c r="L4026" s="26"/>
    </row>
    <row r="4027" spans="1:12">
      <c r="A4027" s="20" t="s">
        <v>1032</v>
      </c>
      <c r="B4027" s="27" t="s">
        <v>1033</v>
      </c>
      <c r="C4027" s="27" t="s">
        <v>1013</v>
      </c>
      <c r="D4027" s="27" t="s">
        <v>1014</v>
      </c>
      <c r="E4027" s="21">
        <f>IF(D4027="?OLD","!!!","")</f>
        <v/>
      </c>
      <c r="F4027" s="22" t="str">
        <f>IF(OR(E4027="",E4027="!!!"),"",IF(NOT(ISNA(VLOOKUP(E4027,E$1:E4026,1,FALSE()))),"OLD",IF(AND(E4027&lt;&gt;"",E4027&lt;&gt;"!!!"),"NEW","")))</f>
        <v> </v>
      </c>
      <c r="G4027" s="23" t="str">
        <f>IF(OR(E4027="",E4027="!!!"),"",IF(OR(J4027=0,AND(J4027=1,K4027=1),AND(J4027=1,I4027="SBJ"),AND(J4027=1,I4027=0)),"?IN_FOCUS",IF(J4027&lt;=2,"?ACTIVATED",IF(J4027&lt;&gt;"","?FAMILIAR",IF(F4027="NEW",IF(ISNA(VLOOKUP(E4027,#REF!,1,FALSE())),"?TYPE_IDENTIFIABLE","?REFERENTIAL"),"_")))))</f>
        <v> </v>
      </c>
      <c r="H4027" s="24" t="str">
        <f>IF(J4027&lt;&gt;1,"",IF(I4027="SBJ","CB","?"))</f>
        <v> </v>
      </c>
      <c r="I4027" s="25" t="str">
        <f>IF(OR(E4027="",E4027="!!!",F4027="NEW"),"",INDEX(B4026:B$2,-1+SUMPRODUCT(MAX(ROW(E4026:E$2)*(E4027=E4026:E$2)))))</f>
        <v> </v>
      </c>
      <c r="J4027" s="25" t="str">
        <f>IF(OR(E4027="",E4027="!!!",F4027="NEW"),"",COUNTBLANK(OFFSET(A$1,,,SUMPRODUCT(MAX(ROW(E$2:E4027)*(E4027=E$2:E4027)))))-COUNTBLANK(OFFSET(A$1,,,SUMPRODUCT(MAX(ROW(E$1:E4026)*(E2=E$1:E4026))))))</f>
        <v> </v>
      </c>
      <c r="K4027" s="25" t="str">
        <f>IF(OR(E4027="",E4027="!!!",F4027="NEW"),"",INDEX(J$1:J4026,SUMPRODUCT(MAX(ROW(E$1:E4026)*(E4027=E$1:E4026)))))</f>
        <v> </v>
      </c>
      <c r="L4027" s="26"/>
    </row>
    <row r="4028" spans="1:12">
      <c r="A4028" s="20" t="s">
        <v>1011</v>
      </c>
      <c r="E4028" s="21">
        <f>IF(D4028="?OLD","!!!","")</f>
        <v/>
      </c>
      <c r="F4028" s="22" t="str">
        <f>IF(OR(E4028="",E4028="!!!"),"",IF(NOT(ISNA(VLOOKUP(E4028,E$1:E4027,1,FALSE()))),"OLD",IF(AND(E4028&lt;&gt;"",E4028&lt;&gt;"!!!"),"NEW","")))</f>
        <v> </v>
      </c>
      <c r="G4028" s="23" t="str">
        <f>IF(OR(E4028="",E4028="!!!"),"",IF(OR(J4028=0,AND(J4028=1,K4028=1),AND(J4028=1,I4028="SBJ"),AND(J4028=1,I4028=0)),"?IN_FOCUS",IF(J4028&lt;=2,"?ACTIVATED",IF(J4028&lt;&gt;"","?FAMILIAR",IF(F4028="NEW",IF(ISNA(VLOOKUP(E4028,#REF!,1,FALSE())),"?TYPE_IDENTIFIABLE","?REFERENTIAL"),"_")))))</f>
        <v> </v>
      </c>
      <c r="H4028" s="24" t="str">
        <f>IF(J4028&lt;&gt;1,"",IF(I4028="SBJ","CB","?"))</f>
        <v> </v>
      </c>
      <c r="I4028" s="25" t="str">
        <f>IF(OR(E4028="",E4028="!!!",F4028="NEW"),"",INDEX(B4027:B$2,-1+SUMPRODUCT(MAX(ROW(E4027:E$2)*(E4028=E4027:E$2)))))</f>
        <v> </v>
      </c>
      <c r="J4028" s="25" t="str">
        <f>IF(OR(E4028="",E4028="!!!",F4028="NEW"),"",COUNTBLANK(OFFSET(A$1,,,SUMPRODUCT(MAX(ROW(E$2:E4028)*(E4028=E$2:E4028)))))-COUNTBLANK(OFFSET(A$1,,,SUMPRODUCT(MAX(ROW(E$1:E4027)*(E2=E$1:E4027))))))</f>
        <v> </v>
      </c>
      <c r="K4028" s="25" t="str">
        <f>IF(OR(E4028="",E4028="!!!",F4028="NEW"),"",INDEX(J$1:J4027,SUMPRODUCT(MAX(ROW(E$1:E4027)*(E4028=E$1:E4027)))))</f>
        <v> </v>
      </c>
      <c r="L4028" s="26"/>
    </row>
    <row r="4029" spans="1:12">
      <c r="A4029" s="20" t="s">
        <v>2044</v>
      </c>
      <c r="E4029" s="21">
        <f>IF(D4029="?OLD","!!!","")</f>
        <v/>
      </c>
      <c r="F4029" s="22" t="str">
        <f>IF(OR(E4029="",E4029="!!!"),"",IF(NOT(ISNA(VLOOKUP(E4029,E$1:E4028,1,FALSE()))),"OLD",IF(AND(E4029&lt;&gt;"",E4029&lt;&gt;"!!!"),"NEW","")))</f>
        <v> </v>
      </c>
      <c r="G4029" s="23" t="str">
        <f>IF(OR(E4029="",E4029="!!!"),"",IF(OR(J4029=0,AND(J4029=1,K4029=1),AND(J4029=1,I4029="SBJ"),AND(J4029=1,I4029=0)),"?IN_FOCUS",IF(J4029&lt;=2,"?ACTIVATED",IF(J4029&lt;&gt;"","?FAMILIAR",IF(F4029="NEW",IF(ISNA(VLOOKUP(E4029,#REF!,1,FALSE())),"?TYPE_IDENTIFIABLE","?REFERENTIAL"),"_")))))</f>
        <v> </v>
      </c>
      <c r="H4029" s="24" t="str">
        <f>IF(J4029&lt;&gt;1,"",IF(I4029="SBJ","CB","?"))</f>
        <v> </v>
      </c>
      <c r="I4029" s="25" t="str">
        <f>IF(OR(E4029="",E4029="!!!",F4029="NEW"),"",INDEX(B4028:B$2,-1+SUMPRODUCT(MAX(ROW(E4028:E$2)*(E4029=E4028:E$2)))))</f>
        <v> </v>
      </c>
      <c r="J4029" s="25" t="str">
        <f>IF(OR(E4029="",E4029="!!!",F4029="NEW"),"",COUNTBLANK(OFFSET(A$1,,,SUMPRODUCT(MAX(ROW(E$2:E4029)*(E4029=E$2:E4029)))))-COUNTBLANK(OFFSET(A$1,,,SUMPRODUCT(MAX(ROW(E$1:E4028)*(E2=E$1:E4028))))))</f>
        <v> </v>
      </c>
      <c r="K4029" s="25" t="str">
        <f>IF(OR(E4029="",E4029="!!!",F4029="NEW"),"",INDEX(J$1:J4028,SUMPRODUCT(MAX(ROW(E$1:E4028)*(E4029=E$1:E4028)))))</f>
        <v> </v>
      </c>
      <c r="L4029" s="26"/>
    </row>
    <row r="4030" spans="1:12">
      <c r="A4030" s="20" t="s">
        <v>1174</v>
      </c>
      <c r="B4030" s="27" t="s">
        <v>1026</v>
      </c>
      <c r="C4030" s="27" t="s">
        <v>1013</v>
      </c>
      <c r="D4030" s="27" t="s">
        <v>1014</v>
      </c>
      <c r="E4030" s="21">
        <f>IF(D4030="?OLD","!!!","")</f>
        <v/>
      </c>
      <c r="F4030" s="22" t="str">
        <f>IF(OR(E4030="",E4030="!!!"),"",IF(NOT(ISNA(VLOOKUP(E4030,E$1:E4029,1,FALSE()))),"OLD",IF(AND(E4030&lt;&gt;"",E4030&lt;&gt;"!!!"),"NEW","")))</f>
        <v> </v>
      </c>
      <c r="G4030" s="23" t="str">
        <f>IF(OR(E4030="",E4030="!!!"),"",IF(OR(J4030=0,AND(J4030=1,K4030=1),AND(J4030=1,I4030="SBJ"),AND(J4030=1,I4030=0)),"?IN_FOCUS",IF(J4030&lt;=2,"?ACTIVATED",IF(J4030&lt;&gt;"","?FAMILIAR",IF(F4030="NEW",IF(ISNA(VLOOKUP(E4030,#REF!,1,FALSE())),"?TYPE_IDENTIFIABLE","?REFERENTIAL"),"_")))))</f>
        <v> </v>
      </c>
      <c r="H4030" s="24" t="str">
        <f>IF(J4030&lt;&gt;1,"",IF(I4030="SBJ","CB","?"))</f>
        <v> </v>
      </c>
      <c r="I4030" s="25" t="str">
        <f>IF(OR(E4030="",E4030="!!!",F4030="NEW"),"",INDEX(B4029:B$2,-1+SUMPRODUCT(MAX(ROW(E4029:E$2)*(E4030=E4029:E$2)))))</f>
        <v> </v>
      </c>
      <c r="J4030" s="25" t="str">
        <f>IF(OR(E4030="",E4030="!!!",F4030="NEW"),"",COUNTBLANK(OFFSET(A$1,,,SUMPRODUCT(MAX(ROW(E$2:E4030)*(E4030=E$2:E4030)))))-COUNTBLANK(OFFSET(A$1,,,SUMPRODUCT(MAX(ROW(E$1:E4029)*(E2=E$1:E4029))))))</f>
        <v> </v>
      </c>
      <c r="K4030" s="25" t="str">
        <f>IF(OR(E4030="",E4030="!!!",F4030="NEW"),"",INDEX(J$1:J4029,SUMPRODUCT(MAX(ROW(E$1:E4029)*(E4030=E$1:E4029)))))</f>
        <v> </v>
      </c>
      <c r="L4030" s="26"/>
    </row>
    <row r="4031" spans="1:12">
      <c r="A4031" s="20" t="s">
        <v>1027</v>
      </c>
      <c r="E4031" s="21">
        <f>IF(D4031="?OLD","!!!","")</f>
        <v/>
      </c>
      <c r="F4031" s="22" t="str">
        <f>IF(OR(E4031="",E4031="!!!"),"",IF(NOT(ISNA(VLOOKUP(E4031,E$1:E4030,1,FALSE()))),"OLD",IF(AND(E4031&lt;&gt;"",E4031&lt;&gt;"!!!"),"NEW","")))</f>
        <v> </v>
      </c>
      <c r="G4031" s="23" t="str">
        <f>IF(OR(E4031="",E4031="!!!"),"",IF(OR(J4031=0,AND(J4031=1,K4031=1),AND(J4031=1,I4031="SBJ"),AND(J4031=1,I4031=0)),"?IN_FOCUS",IF(J4031&lt;=2,"?ACTIVATED",IF(J4031&lt;&gt;"","?FAMILIAR",IF(F4031="NEW",IF(ISNA(VLOOKUP(E4031,#REF!,1,FALSE())),"?TYPE_IDENTIFIABLE","?REFERENTIAL"),"_")))))</f>
        <v> </v>
      </c>
      <c r="H4031" s="24" t="str">
        <f>IF(J4031&lt;&gt;1,"",IF(I4031="SBJ","CB","?"))</f>
        <v> </v>
      </c>
      <c r="I4031" s="25" t="str">
        <f>IF(OR(E4031="",E4031="!!!",F4031="NEW"),"",INDEX(B4030:B$2,-1+SUMPRODUCT(MAX(ROW(E4030:E$2)*(E4031=E4030:E$2)))))</f>
        <v> </v>
      </c>
      <c r="J4031" s="25" t="str">
        <f>IF(OR(E4031="",E4031="!!!",F4031="NEW"),"",COUNTBLANK(OFFSET(A$1,,,SUMPRODUCT(MAX(ROW(E$2:E4031)*(E4031=E$2:E4031)))))-COUNTBLANK(OFFSET(A$1,,,SUMPRODUCT(MAX(ROW(E$1:E4030)*(E2=E$1:E4030))))))</f>
        <v> </v>
      </c>
      <c r="K4031" s="25" t="str">
        <f>IF(OR(E4031="",E4031="!!!",F4031="NEW"),"",INDEX(J$1:J4030,SUMPRODUCT(MAX(ROW(E$1:E4030)*(E4031=E$1:E4030)))))</f>
        <v> </v>
      </c>
      <c r="L4031" s="26"/>
    </row>
    <row r="4032" spans="1:12">
      <c r="A4032" s="20" t="s">
        <v>1031</v>
      </c>
      <c r="E4032" s="21">
        <f>IF(D4032="?OLD","!!!","")</f>
        <v/>
      </c>
      <c r="F4032" s="22" t="str">
        <f>IF(OR(E4032="",E4032="!!!"),"",IF(NOT(ISNA(VLOOKUP(E4032,E$1:E4031,1,FALSE()))),"OLD",IF(AND(E4032&lt;&gt;"",E4032&lt;&gt;"!!!"),"NEW","")))</f>
        <v> </v>
      </c>
      <c r="G4032" s="23" t="str">
        <f>IF(OR(E4032="",E4032="!!!"),"",IF(OR(J4032=0,AND(J4032=1,K4032=1),AND(J4032=1,I4032="SBJ"),AND(J4032=1,I4032=0)),"?IN_FOCUS",IF(J4032&lt;=2,"?ACTIVATED",IF(J4032&lt;&gt;"","?FAMILIAR",IF(F4032="NEW",IF(ISNA(VLOOKUP(E4032,#REF!,1,FALSE())),"?TYPE_IDENTIFIABLE","?REFERENTIAL"),"_")))))</f>
        <v> </v>
      </c>
      <c r="H4032" s="24" t="str">
        <f>IF(J4032&lt;&gt;1,"",IF(I4032="SBJ","CB","?"))</f>
        <v> </v>
      </c>
      <c r="I4032" s="25" t="str">
        <f>IF(OR(E4032="",E4032="!!!",F4032="NEW"),"",INDEX(B4031:B$2,-1+SUMPRODUCT(MAX(ROW(E4031:E$2)*(E4032=E4031:E$2)))))</f>
        <v> </v>
      </c>
      <c r="J4032" s="25" t="str">
        <f>IF(OR(E4032="",E4032="!!!",F4032="NEW"),"",COUNTBLANK(OFFSET(A$1,,,SUMPRODUCT(MAX(ROW(E$2:E4032)*(E4032=E$2:E4032)))))-COUNTBLANK(OFFSET(A$1,,,SUMPRODUCT(MAX(ROW(E$1:E4031)*(E2=E$1:E4031))))))</f>
        <v> </v>
      </c>
      <c r="K4032" s="25" t="str">
        <f>IF(OR(E4032="",E4032="!!!",F4032="NEW"),"",INDEX(J$1:J4031,SUMPRODUCT(MAX(ROW(E$1:E4031)*(E4032=E$1:E4031)))))</f>
        <v> </v>
      </c>
      <c r="L4032" s="26"/>
    </row>
    <row r="4033" spans="1:12">
      <c r="A4033" s="20" t="s">
        <v>1017</v>
      </c>
      <c r="B4033" s="27" t="s">
        <v>1033</v>
      </c>
      <c r="C4033" s="27" t="s">
        <v>1013</v>
      </c>
      <c r="D4033" s="27" t="s">
        <v>1014</v>
      </c>
      <c r="E4033" s="21">
        <f>IF(D4033="?OLD","!!!","")</f>
        <v/>
      </c>
      <c r="F4033" s="22" t="str">
        <f>IF(OR(E4033="",E4033="!!!"),"",IF(NOT(ISNA(VLOOKUP(E4033,E$1:E4032,1,FALSE()))),"OLD",IF(AND(E4033&lt;&gt;"",E4033&lt;&gt;"!!!"),"NEW","")))</f>
        <v> </v>
      </c>
      <c r="G4033" s="23" t="str">
        <f>IF(OR(E4033="",E4033="!!!"),"",IF(OR(J4033=0,AND(J4033=1,K4033=1),AND(J4033=1,I4033="SBJ"),AND(J4033=1,I4033=0)),"?IN_FOCUS",IF(J4033&lt;=2,"?ACTIVATED",IF(J4033&lt;&gt;"","?FAMILIAR",IF(F4033="NEW",IF(ISNA(VLOOKUP(E4033,#REF!,1,FALSE())),"?TYPE_IDENTIFIABLE","?REFERENTIAL"),"_")))))</f>
        <v> </v>
      </c>
      <c r="H4033" s="24" t="str">
        <f>IF(J4033&lt;&gt;1,"",IF(I4033="SBJ","CB","?"))</f>
        <v> </v>
      </c>
      <c r="I4033" s="25" t="str">
        <f>IF(OR(E4033="",E4033="!!!",F4033="NEW"),"",INDEX(B4032:B$2,-1+SUMPRODUCT(MAX(ROW(E4032:E$2)*(E4033=E4032:E$2)))))</f>
        <v> </v>
      </c>
      <c r="J4033" s="25" t="str">
        <f>IF(OR(E4033="",E4033="!!!",F4033="NEW"),"",COUNTBLANK(OFFSET(A$1,,,SUMPRODUCT(MAX(ROW(E$2:E4033)*(E4033=E$2:E4033)))))-COUNTBLANK(OFFSET(A$1,,,SUMPRODUCT(MAX(ROW(E$1:E4032)*(E2=E$1:E4032))))))</f>
        <v> </v>
      </c>
      <c r="K4033" s="25" t="str">
        <f>IF(OR(E4033="",E4033="!!!",F4033="NEW"),"",INDEX(J$1:J4032,SUMPRODUCT(MAX(ROW(E$1:E4032)*(E4033=E$1:E4032)))))</f>
        <v> </v>
      </c>
      <c r="L4033" s="26"/>
    </row>
    <row r="4034" spans="1:12">
      <c r="A4034" s="20" t="s">
        <v>1283</v>
      </c>
      <c r="E4034" s="21">
        <f>IF(D4034="?OLD","!!!","")</f>
        <v/>
      </c>
      <c r="F4034" s="22" t="str">
        <f>IF(OR(E4034="",E4034="!!!"),"",IF(NOT(ISNA(VLOOKUP(E4034,E$1:E4033,1,FALSE()))),"OLD",IF(AND(E4034&lt;&gt;"",E4034&lt;&gt;"!!!"),"NEW","")))</f>
        <v> </v>
      </c>
      <c r="G4034" s="23" t="str">
        <f>IF(OR(E4034="",E4034="!!!"),"",IF(OR(J4034=0,AND(J4034=1,K4034=1),AND(J4034=1,I4034="SBJ"),AND(J4034=1,I4034=0)),"?IN_FOCUS",IF(J4034&lt;=2,"?ACTIVATED",IF(J4034&lt;&gt;"","?FAMILIAR",IF(F4034="NEW",IF(ISNA(VLOOKUP(E4034,#REF!,1,FALSE())),"?TYPE_IDENTIFIABLE","?REFERENTIAL"),"_")))))</f>
        <v> </v>
      </c>
      <c r="H4034" s="24" t="str">
        <f>IF(J4034&lt;&gt;1,"",IF(I4034="SBJ","CB","?"))</f>
        <v> </v>
      </c>
      <c r="I4034" s="25" t="str">
        <f>IF(OR(E4034="",E4034="!!!",F4034="NEW"),"",INDEX(B4033:B$2,-1+SUMPRODUCT(MAX(ROW(E4033:E$2)*(E4034=E4033:E$2)))))</f>
        <v> </v>
      </c>
      <c r="J4034" s="25" t="str">
        <f>IF(OR(E4034="",E4034="!!!",F4034="NEW"),"",COUNTBLANK(OFFSET(A$1,,,SUMPRODUCT(MAX(ROW(E$2:E4034)*(E4034=E$2:E4034)))))-COUNTBLANK(OFFSET(A$1,,,SUMPRODUCT(MAX(ROW(E$1:E4033)*(E2=E$1:E4033))))))</f>
        <v> </v>
      </c>
      <c r="K4034" s="25" t="str">
        <f>IF(OR(E4034="",E4034="!!!",F4034="NEW"),"",INDEX(J$1:J4033,SUMPRODUCT(MAX(ROW(E$1:E4033)*(E4034=E$1:E4033)))))</f>
        <v> </v>
      </c>
      <c r="L4034" s="26"/>
    </row>
    <row r="4035" spans="1:12">
      <c r="A4035" s="20" t="s">
        <v>22</v>
      </c>
      <c r="E4035" s="21">
        <f>IF(D4035="?OLD","!!!","")</f>
        <v/>
      </c>
      <c r="F4035" s="22" t="str">
        <f>IF(OR(E4035="",E4035="!!!"),"",IF(NOT(ISNA(VLOOKUP(E4035,E$1:E4034,1,FALSE()))),"OLD",IF(AND(E4035&lt;&gt;"",E4035&lt;&gt;"!!!"),"NEW","")))</f>
        <v> </v>
      </c>
      <c r="G4035" s="23" t="str">
        <f>IF(OR(E4035="",E4035="!!!"),"",IF(OR(J4035=0,AND(J4035=1,K4035=1),AND(J4035=1,I4035="SBJ"),AND(J4035=1,I4035=0)),"?IN_FOCUS",IF(J4035&lt;=2,"?ACTIVATED",IF(J4035&lt;&gt;"","?FAMILIAR",IF(F4035="NEW",IF(ISNA(VLOOKUP(E4035,#REF!,1,FALSE())),"?TYPE_IDENTIFIABLE","?REFERENTIAL"),"_")))))</f>
        <v> </v>
      </c>
      <c r="H4035" s="24" t="str">
        <f>IF(J4035&lt;&gt;1,"",IF(I4035="SBJ","CB","?"))</f>
        <v> </v>
      </c>
      <c r="I4035" s="25" t="str">
        <f>IF(OR(E4035="",E4035="!!!",F4035="NEW"),"",INDEX(B4034:B$2,-1+SUMPRODUCT(MAX(ROW(E4034:E$2)*(E4035=E4034:E$2)))))</f>
        <v> </v>
      </c>
      <c r="J4035" s="25" t="str">
        <f>IF(OR(E4035="",E4035="!!!",F4035="NEW"),"",COUNTBLANK(OFFSET(A$1,,,SUMPRODUCT(MAX(ROW(E$2:E4035)*(E4035=E$2:E4035)))))-COUNTBLANK(OFFSET(A$1,,,SUMPRODUCT(MAX(ROW(E$1:E4034)*(E2=E$1:E4034))))))</f>
        <v> </v>
      </c>
      <c r="K4035" s="25" t="str">
        <f>IF(OR(E4035="",E4035="!!!",F4035="NEW"),"",INDEX(J$1:J4034,SUMPRODUCT(MAX(ROW(E$1:E4034)*(E4035=E$1:E4034)))))</f>
        <v> </v>
      </c>
      <c r="L4035" s="26"/>
    </row>
    <row r="4036" spans="1:12">
      <c r="A4036" s="20" t="s">
        <v>1046</v>
      </c>
      <c r="E4036" s="21">
        <f>IF(D4036="?OLD","!!!","")</f>
        <v/>
      </c>
      <c r="F4036" s="22" t="str">
        <f>IF(OR(E4036="",E4036="!!!"),"",IF(NOT(ISNA(VLOOKUP(E4036,E$1:E4035,1,FALSE()))),"OLD",IF(AND(E4036&lt;&gt;"",E4036&lt;&gt;"!!!"),"NEW","")))</f>
        <v> </v>
      </c>
      <c r="G4036" s="23" t="str">
        <f>IF(OR(E4036="",E4036="!!!"),"",IF(OR(J4036=0,AND(J4036=1,K4036=1),AND(J4036=1,I4036="SBJ"),AND(J4036=1,I4036=0)),"?IN_FOCUS",IF(J4036&lt;=2,"?ACTIVATED",IF(J4036&lt;&gt;"","?FAMILIAR",IF(F4036="NEW",IF(ISNA(VLOOKUP(E4036,#REF!,1,FALSE())),"?TYPE_IDENTIFIABLE","?REFERENTIAL"),"_")))))</f>
        <v> </v>
      </c>
      <c r="H4036" s="24" t="str">
        <f>IF(J4036&lt;&gt;1,"",IF(I4036="SBJ","CB","?"))</f>
        <v> </v>
      </c>
      <c r="I4036" s="25" t="str">
        <f>IF(OR(E4036="",E4036="!!!",F4036="NEW"),"",INDEX(B4035:B$2,-1+SUMPRODUCT(MAX(ROW(E4035:E$2)*(E4036=E4035:E$2)))))</f>
        <v> </v>
      </c>
      <c r="J4036" s="25" t="str">
        <f>IF(OR(E4036="",E4036="!!!",F4036="NEW"),"",COUNTBLANK(OFFSET(A$1,,,SUMPRODUCT(MAX(ROW(E$2:E4036)*(E4036=E$2:E4036)))))-COUNTBLANK(OFFSET(A$1,,,SUMPRODUCT(MAX(ROW(E$1:E4035)*(E2=E$1:E4035))))))</f>
        <v> </v>
      </c>
      <c r="K4036" s="25" t="str">
        <f>IF(OR(E4036="",E4036="!!!",F4036="NEW"),"",INDEX(J$1:J4035,SUMPRODUCT(MAX(ROW(E$1:E4035)*(E4036=E$1:E4035)))))</f>
        <v> </v>
      </c>
      <c r="L4036" s="26"/>
    </row>
    <row r="4037" spans="1:12">
      <c r="A4037" s="20" t="s">
        <v>1660</v>
      </c>
      <c r="E4037" s="21">
        <f>IF(D4037="?OLD","!!!","")</f>
        <v/>
      </c>
      <c r="F4037" s="22" t="str">
        <f>IF(OR(E4037="",E4037="!!!"),"",IF(NOT(ISNA(VLOOKUP(E4037,E$1:E4036,1,FALSE()))),"OLD",IF(AND(E4037&lt;&gt;"",E4037&lt;&gt;"!!!"),"NEW","")))</f>
        <v> </v>
      </c>
      <c r="G4037" s="23" t="str">
        <f>IF(OR(E4037="",E4037="!!!"),"",IF(OR(J4037=0,AND(J4037=1,K4037=1),AND(J4037=1,I4037="SBJ"),AND(J4037=1,I4037=0)),"?IN_FOCUS",IF(J4037&lt;=2,"?ACTIVATED",IF(J4037&lt;&gt;"","?FAMILIAR",IF(F4037="NEW",IF(ISNA(VLOOKUP(E4037,#REF!,1,FALSE())),"?TYPE_IDENTIFIABLE","?REFERENTIAL"),"_")))))</f>
        <v> </v>
      </c>
      <c r="H4037" s="24" t="str">
        <f>IF(J4037&lt;&gt;1,"",IF(I4037="SBJ","CB","?"))</f>
        <v> </v>
      </c>
      <c r="I4037" s="25" t="str">
        <f>IF(OR(E4037="",E4037="!!!",F4037="NEW"),"",INDEX(B4036:B$2,-1+SUMPRODUCT(MAX(ROW(E4036:E$2)*(E4037=E4036:E$2)))))</f>
        <v> </v>
      </c>
      <c r="J4037" s="25" t="str">
        <f>IF(OR(E4037="",E4037="!!!",F4037="NEW"),"",COUNTBLANK(OFFSET(A$1,,,SUMPRODUCT(MAX(ROW(E$2:E4037)*(E4037=E$2:E4037)))))-COUNTBLANK(OFFSET(A$1,,,SUMPRODUCT(MAX(ROW(E$1:E4036)*(E2=E$1:E4036))))))</f>
        <v> </v>
      </c>
      <c r="K4037" s="25" t="str">
        <f>IF(OR(E4037="",E4037="!!!",F4037="NEW"),"",INDEX(J$1:J4036,SUMPRODUCT(MAX(ROW(E$1:E4036)*(E4037=E$1:E4036)))))</f>
        <v> </v>
      </c>
      <c r="L4037" s="26"/>
    </row>
    <row r="4038" spans="1:12">
      <c r="A4038" s="20" t="s">
        <v>1032</v>
      </c>
      <c r="B4038" s="27" t="s">
        <v>1020</v>
      </c>
      <c r="C4038" s="27" t="s">
        <v>1013</v>
      </c>
      <c r="D4038" s="27" t="s">
        <v>1014</v>
      </c>
      <c r="E4038" s="21">
        <f>IF(D4038="?OLD","!!!","")</f>
        <v/>
      </c>
      <c r="F4038" s="22" t="str">
        <f>IF(OR(E4038="",E4038="!!!"),"",IF(NOT(ISNA(VLOOKUP(E4038,E$1:E4037,1,FALSE()))),"OLD",IF(AND(E4038&lt;&gt;"",E4038&lt;&gt;"!!!"),"NEW","")))</f>
        <v> </v>
      </c>
      <c r="G4038" s="23" t="str">
        <f>IF(OR(E4038="",E4038="!!!"),"",IF(OR(J4038=0,AND(J4038=1,K4038=1),AND(J4038=1,I4038="SBJ"),AND(J4038=1,I4038=0)),"?IN_FOCUS",IF(J4038&lt;=2,"?ACTIVATED",IF(J4038&lt;&gt;"","?FAMILIAR",IF(F4038="NEW",IF(ISNA(VLOOKUP(E4038,#REF!,1,FALSE())),"?TYPE_IDENTIFIABLE","?REFERENTIAL"),"_")))))</f>
        <v> </v>
      </c>
      <c r="H4038" s="24" t="str">
        <f>IF(J4038&lt;&gt;1,"",IF(I4038="SBJ","CB","?"))</f>
        <v> </v>
      </c>
      <c r="I4038" s="25" t="str">
        <f>IF(OR(E4038="",E4038="!!!",F4038="NEW"),"",INDEX(B4037:B$2,-1+SUMPRODUCT(MAX(ROW(E4037:E$2)*(E4038=E4037:E$2)))))</f>
        <v> </v>
      </c>
      <c r="J4038" s="25" t="str">
        <f>IF(OR(E4038="",E4038="!!!",F4038="NEW"),"",COUNTBLANK(OFFSET(A$1,,,SUMPRODUCT(MAX(ROW(E$2:E4038)*(E4038=E$2:E4038)))))-COUNTBLANK(OFFSET(A$1,,,SUMPRODUCT(MAX(ROW(E$1:E4037)*(E2=E$1:E4037))))))</f>
        <v> </v>
      </c>
      <c r="K4038" s="25" t="str">
        <f>IF(OR(E4038="",E4038="!!!",F4038="NEW"),"",INDEX(J$1:J4037,SUMPRODUCT(MAX(ROW(E$1:E4037)*(E4038=E$1:E4037)))))</f>
        <v> </v>
      </c>
      <c r="L4038" s="26"/>
    </row>
    <row r="4039" spans="1:12">
      <c r="A4039" s="20" t="s">
        <v>1022</v>
      </c>
      <c r="E4039" s="21">
        <f>IF(D4039="?OLD","!!!","")</f>
        <v/>
      </c>
      <c r="F4039" s="22" t="str">
        <f>IF(OR(E4039="",E4039="!!!"),"",IF(NOT(ISNA(VLOOKUP(E4039,E$1:E4038,1,FALSE()))),"OLD",IF(AND(E4039&lt;&gt;"",E4039&lt;&gt;"!!!"),"NEW","")))</f>
        <v> </v>
      </c>
      <c r="G4039" s="23" t="str">
        <f>IF(OR(E4039="",E4039="!!!"),"",IF(OR(J4039=0,AND(J4039=1,K4039=1),AND(J4039=1,I4039="SBJ"),AND(J4039=1,I4039=0)),"?IN_FOCUS",IF(J4039&lt;=2,"?ACTIVATED",IF(J4039&lt;&gt;"","?FAMILIAR",IF(F4039="NEW",IF(ISNA(VLOOKUP(E4039,#REF!,1,FALSE())),"?TYPE_IDENTIFIABLE","?REFERENTIAL"),"_")))))</f>
        <v> </v>
      </c>
      <c r="H4039" s="24" t="str">
        <f>IF(J4039&lt;&gt;1,"",IF(I4039="SBJ","CB","?"))</f>
        <v> </v>
      </c>
      <c r="I4039" s="25" t="str">
        <f>IF(OR(E4039="",E4039="!!!",F4039="NEW"),"",INDEX(B4038:B$2,-1+SUMPRODUCT(MAX(ROW(E4038:E$2)*(E4039=E4038:E$2)))))</f>
        <v> </v>
      </c>
      <c r="J4039" s="25" t="str">
        <f>IF(OR(E4039="",E4039="!!!",F4039="NEW"),"",COUNTBLANK(OFFSET(A$1,,,SUMPRODUCT(MAX(ROW(E$2:E4039)*(E4039=E$2:E4039)))))-COUNTBLANK(OFFSET(A$1,,,SUMPRODUCT(MAX(ROW(E$1:E4038)*(E2=E$1:E4038))))))</f>
        <v> </v>
      </c>
      <c r="K4039" s="25" t="str">
        <f>IF(OR(E4039="",E4039="!!!",F4039="NEW"),"",INDEX(J$1:J4038,SUMPRODUCT(MAX(ROW(E$1:E4038)*(E4039=E$1:E4038)))))</f>
        <v> </v>
      </c>
      <c r="L4039" s="26"/>
    </row>
    <row r="4040" spans="1:12">
      <c r="A4040" s="20"/>
    </row>
    <row r="4041" spans="1:12">
      <c r="A4041" s="20" t="s">
        <v>1080</v>
      </c>
      <c r="E4041" s="21">
        <f>IF(D4041="?OLD","!!!","")</f>
        <v/>
      </c>
      <c r="F4041" s="22" t="str">
        <f>IF(OR(E4041="",E4041="!!!"),"",IF(NOT(ISNA(VLOOKUP(E4041,E$1:E4040,1,FALSE()))),"OLD",IF(AND(E4041&lt;&gt;"",E4041&lt;&gt;"!!!"),"NEW","")))</f>
        <v> </v>
      </c>
      <c r="G4041" s="23" t="str">
        <f>IF(OR(E4041="",E4041="!!!"),"",IF(OR(J4041=0,AND(J4041=1,K4041=1),AND(J4041=1,I4041="SBJ"),AND(J4041=1,I4041=0)),"?IN_FOCUS",IF(J4041&lt;=2,"?ACTIVATED",IF(J4041&lt;&gt;"","?FAMILIAR",IF(F4041="NEW",IF(ISNA(VLOOKUP(E4041,#REF!,1,FALSE())),"?TYPE_IDENTIFIABLE","?REFERENTIAL"),"_")))))</f>
        <v> </v>
      </c>
      <c r="H4041" s="24" t="str">
        <f>IF(J4041&lt;&gt;1,"",IF(I4041="SBJ","CB","?"))</f>
        <v> </v>
      </c>
      <c r="I4041" s="25" t="str">
        <f>IF(OR(E4041="",E4041="!!!",F4041="NEW"),"",INDEX(B4040:B$2,-1+SUMPRODUCT(MAX(ROW(E4040:E$2)*(E4041=E4040:E$2)))))</f>
        <v> </v>
      </c>
      <c r="J4041" s="25" t="str">
        <f>IF(OR(E4041="",E4041="!!!",F4041="NEW"),"",COUNTBLANK(OFFSET(A$1,,,SUMPRODUCT(MAX(ROW(E$2:E4041)*(E4041=E$2:E4041)))))-COUNTBLANK(OFFSET(A$1,,,SUMPRODUCT(MAX(ROW(E$1:E4040)*(E2=E$1:E4040))))))</f>
        <v> </v>
      </c>
      <c r="K4041" s="25" t="str">
        <f>IF(OR(E4041="",E4041="!!!",F4041="NEW"),"",INDEX(J$1:J4040,SUMPRODUCT(MAX(ROW(E$1:E4040)*(E4041=E$1:E4040)))))</f>
        <v> </v>
      </c>
      <c r="L4041" s="26"/>
    </row>
    <row r="4042" spans="1:12">
      <c r="A4042" s="20" t="s">
        <v>2045</v>
      </c>
    </row>
    <row r="4043" spans="1:12">
      <c r="A4043" s="20" t="s">
        <v>1121</v>
      </c>
      <c r="E4043" s="21">
        <f>IF(D4043="?OLD","!!!","")</f>
        <v/>
      </c>
      <c r="F4043" s="22" t="str">
        <f>IF(OR(E4043="",E4043="!!!"),"",IF(NOT(ISNA(VLOOKUP(E4043,E$1:E4042,1,FALSE()))),"OLD",IF(AND(E4043&lt;&gt;"",E4043&lt;&gt;"!!!"),"NEW","")))</f>
        <v> </v>
      </c>
      <c r="G4043" s="23" t="str">
        <f>IF(OR(E4043="",E4043="!!!"),"",IF(OR(J4043=0,AND(J4043=1,K4043=1),AND(J4043=1,I4043="SBJ"),AND(J4043=1,I4043=0)),"?IN_FOCUS",IF(J4043&lt;=2,"?ACTIVATED",IF(J4043&lt;&gt;"","?FAMILIAR",IF(F4043="NEW",IF(ISNA(VLOOKUP(E4043,#REF!,1,FALSE())),"?TYPE_IDENTIFIABLE","?REFERENTIAL"),"_")))))</f>
        <v> </v>
      </c>
      <c r="H4043" s="24" t="str">
        <f>IF(J4043&lt;&gt;1,"",IF(I4043="SBJ","CB","?"))</f>
        <v> </v>
      </c>
      <c r="I4043" s="25" t="str">
        <f>IF(OR(E4043="",E4043="!!!",F4043="NEW"),"",INDEX(B4042:B$2,-1+SUMPRODUCT(MAX(ROW(E4042:E$2)*(E4043=E4042:E$2)))))</f>
        <v> </v>
      </c>
      <c r="J4043" s="25" t="str">
        <f>IF(OR(E4043="",E4043="!!!",F4043="NEW"),"",COUNTBLANK(OFFSET(A$1,,,SUMPRODUCT(MAX(ROW(E$2:E4043)*(E4043=E$2:E4043)))))-COUNTBLANK(OFFSET(A$1,,,SUMPRODUCT(MAX(ROW(E$1:E4042)*(E2=E$1:E4042))))))</f>
        <v> </v>
      </c>
      <c r="K4043" s="25" t="str">
        <f>IF(OR(E4043="",E4043="!!!",F4043="NEW"),"",INDEX(J$1:J4042,SUMPRODUCT(MAX(ROW(E$1:E4042)*(E4043=E$1:E4042)))))</f>
        <v> </v>
      </c>
      <c r="L4043" s="26"/>
    </row>
    <row r="4044" spans="1:12">
      <c r="A4044" s="20" t="s">
        <v>1399</v>
      </c>
      <c r="E4044" s="21">
        <f>IF(D4044="?OLD","!!!","")</f>
        <v/>
      </c>
      <c r="F4044" s="22" t="str">
        <f>IF(OR(E4044="",E4044="!!!"),"",IF(NOT(ISNA(VLOOKUP(E4044,E$1:E4043,1,FALSE()))),"OLD",IF(AND(E4044&lt;&gt;"",E4044&lt;&gt;"!!!"),"NEW","")))</f>
        <v> </v>
      </c>
      <c r="G4044" s="23" t="str">
        <f>IF(OR(E4044="",E4044="!!!"),"",IF(OR(J4044=0,AND(J4044=1,K4044=1),AND(J4044=1,I4044="SBJ"),AND(J4044=1,I4044=0)),"?IN_FOCUS",IF(J4044&lt;=2,"?ACTIVATED",IF(J4044&lt;&gt;"","?FAMILIAR",IF(F4044="NEW",IF(ISNA(VLOOKUP(E4044,#REF!,1,FALSE())),"?TYPE_IDENTIFIABLE","?REFERENTIAL"),"_")))))</f>
        <v> </v>
      </c>
      <c r="H4044" s="24" t="str">
        <f>IF(J4044&lt;&gt;1,"",IF(I4044="SBJ","CB","?"))</f>
        <v> </v>
      </c>
      <c r="I4044" s="25" t="str">
        <f>IF(OR(E4044="",E4044="!!!",F4044="NEW"),"",INDEX(B4043:B$2,-1+SUMPRODUCT(MAX(ROW(E4043:E$2)*(E4044=E4043:E$2)))))</f>
        <v> </v>
      </c>
      <c r="J4044" s="25" t="str">
        <f>IF(OR(E4044="",E4044="!!!",F4044="NEW"),"",COUNTBLANK(OFFSET(A$1,,,SUMPRODUCT(MAX(ROW(E$2:E4044)*(E4044=E$2:E4044)))))-COUNTBLANK(OFFSET(A$1,,,SUMPRODUCT(MAX(ROW(E$1:E4043)*(E2=E$1:E4043))))))</f>
        <v> </v>
      </c>
      <c r="K4044" s="25" t="str">
        <f>IF(OR(E4044="",E4044="!!!",F4044="NEW"),"",INDEX(J$1:J4043,SUMPRODUCT(MAX(ROW(E$1:E4043)*(E4044=E$1:E4043)))))</f>
        <v> </v>
      </c>
      <c r="L4044" s="26"/>
    </row>
    <row r="4045" spans="1:12">
      <c r="A4045" s="20" t="s">
        <v>1041</v>
      </c>
      <c r="E4045" s="21">
        <f>IF(D4045="?OLD","!!!","")</f>
        <v/>
      </c>
      <c r="F4045" s="22" t="str">
        <f>IF(OR(E4045="",E4045="!!!"),"",IF(NOT(ISNA(VLOOKUP(E4045,E$1:E4044,1,FALSE()))),"OLD",IF(AND(E4045&lt;&gt;"",E4045&lt;&gt;"!!!"),"NEW","")))</f>
        <v> </v>
      </c>
      <c r="G4045" s="23" t="str">
        <f>IF(OR(E4045="",E4045="!!!"),"",IF(OR(J4045=0,AND(J4045=1,K4045=1),AND(J4045=1,I4045="SBJ"),AND(J4045=1,I4045=0)),"?IN_FOCUS",IF(J4045&lt;=2,"?ACTIVATED",IF(J4045&lt;&gt;"","?FAMILIAR",IF(F4045="NEW",IF(ISNA(VLOOKUP(E4045,#REF!,1,FALSE())),"?TYPE_IDENTIFIABLE","?REFERENTIAL"),"_")))))</f>
        <v> </v>
      </c>
      <c r="H4045" s="24" t="str">
        <f>IF(J4045&lt;&gt;1,"",IF(I4045="SBJ","CB","?"))</f>
        <v> </v>
      </c>
      <c r="I4045" s="25" t="str">
        <f>IF(OR(E4045="",E4045="!!!",F4045="NEW"),"",INDEX(B4044:B$2,-1+SUMPRODUCT(MAX(ROW(E4044:E$2)*(E4045=E4044:E$2)))))</f>
        <v> </v>
      </c>
      <c r="J4045" s="25" t="str">
        <f>IF(OR(E4045="",E4045="!!!",F4045="NEW"),"",COUNTBLANK(OFFSET(A$1,,,SUMPRODUCT(MAX(ROW(E$2:E4045)*(E4045=E$2:E4045)))))-COUNTBLANK(OFFSET(A$1,,,SUMPRODUCT(MAX(ROW(E$1:E4044)*(E2=E$1:E4044))))))</f>
        <v> </v>
      </c>
      <c r="K4045" s="25" t="str">
        <f>IF(OR(E4045="",E4045="!!!",F4045="NEW"),"",INDEX(J$1:J4044,SUMPRODUCT(MAX(ROW(E$1:E4044)*(E4045=E$1:E4044)))))</f>
        <v> </v>
      </c>
      <c r="L4045" s="26"/>
    </row>
    <row r="4046" spans="1:12">
      <c r="A4046" s="20" t="s">
        <v>2046</v>
      </c>
      <c r="E4046" s="21">
        <f>IF(D4046="?OLD","!!!","")</f>
        <v/>
      </c>
      <c r="F4046" s="22" t="str">
        <f>IF(OR(E4046="",E4046="!!!"),"",IF(NOT(ISNA(VLOOKUP(E4046,E$1:E4045,1,FALSE()))),"OLD",IF(AND(E4046&lt;&gt;"",E4046&lt;&gt;"!!!"),"NEW","")))</f>
        <v> </v>
      </c>
      <c r="G4046" s="23" t="str">
        <f>IF(OR(E4046="",E4046="!!!"),"",IF(OR(J4046=0,AND(J4046=1,K4046=1),AND(J4046=1,I4046="SBJ"),AND(J4046=1,I4046=0)),"?IN_FOCUS",IF(J4046&lt;=2,"?ACTIVATED",IF(J4046&lt;&gt;"","?FAMILIAR",IF(F4046="NEW",IF(ISNA(VLOOKUP(E4046,#REF!,1,FALSE())),"?TYPE_IDENTIFIABLE","?REFERENTIAL"),"_")))))</f>
        <v> </v>
      </c>
      <c r="H4046" s="24" t="str">
        <f>IF(J4046&lt;&gt;1,"",IF(I4046="SBJ","CB","?"))</f>
        <v> </v>
      </c>
      <c r="I4046" s="25" t="str">
        <f>IF(OR(E4046="",E4046="!!!",F4046="NEW"),"",INDEX(B4045:B$2,-1+SUMPRODUCT(MAX(ROW(E4045:E$2)*(E4046=E4045:E$2)))))</f>
        <v> </v>
      </c>
      <c r="J4046" s="25" t="str">
        <f>IF(OR(E4046="",E4046="!!!",F4046="NEW"),"",COUNTBLANK(OFFSET(A$1,,,SUMPRODUCT(MAX(ROW(E$2:E4046)*(E4046=E$2:E4046)))))-COUNTBLANK(OFFSET(A$1,,,SUMPRODUCT(MAX(ROW(E$1:E4045)*(E2=E$1:E4045))))))</f>
        <v> </v>
      </c>
      <c r="K4046" s="25" t="str">
        <f>IF(OR(E4046="",E4046="!!!",F4046="NEW"),"",INDEX(J$1:J4045,SUMPRODUCT(MAX(ROW(E$1:E4045)*(E4046=E$1:E4045)))))</f>
        <v> </v>
      </c>
      <c r="L4046" s="26"/>
    </row>
    <row r="4047" spans="1:12">
      <c r="A4047" s="20" t="s">
        <v>2047</v>
      </c>
      <c r="E4047" s="21">
        <f>IF(D4047="?OLD","!!!","")</f>
        <v/>
      </c>
      <c r="F4047" s="22" t="str">
        <f>IF(OR(E4047="",E4047="!!!"),"",IF(NOT(ISNA(VLOOKUP(E4047,E$1:E4046,1,FALSE()))),"OLD",IF(AND(E4047&lt;&gt;"",E4047&lt;&gt;"!!!"),"NEW","")))</f>
        <v> </v>
      </c>
      <c r="G4047" s="23" t="str">
        <f>IF(OR(E4047="",E4047="!!!"),"",IF(OR(J4047=0,AND(J4047=1,K4047=1),AND(J4047=1,I4047="SBJ"),AND(J4047=1,I4047=0)),"?IN_FOCUS",IF(J4047&lt;=2,"?ACTIVATED",IF(J4047&lt;&gt;"","?FAMILIAR",IF(F4047="NEW",IF(ISNA(VLOOKUP(E4047,#REF!,1,FALSE())),"?TYPE_IDENTIFIABLE","?REFERENTIAL"),"_")))))</f>
        <v> </v>
      </c>
      <c r="H4047" s="24" t="str">
        <f>IF(J4047&lt;&gt;1,"",IF(I4047="SBJ","CB","?"))</f>
        <v> </v>
      </c>
      <c r="I4047" s="25" t="str">
        <f>IF(OR(E4047="",E4047="!!!",F4047="NEW"),"",INDEX(B4046:B$2,-1+SUMPRODUCT(MAX(ROW(E4046:E$2)*(E4047=E4046:E$2)))))</f>
        <v> </v>
      </c>
      <c r="J4047" s="25" t="str">
        <f>IF(OR(E4047="",E4047="!!!",F4047="NEW"),"",COUNTBLANK(OFFSET(A$1,,,SUMPRODUCT(MAX(ROW(E$2:E4047)*(E4047=E$2:E4047)))))-COUNTBLANK(OFFSET(A$1,,,SUMPRODUCT(MAX(ROW(E$1:E4046)*(E2=E$1:E4046))))))</f>
        <v> </v>
      </c>
      <c r="K4047" s="25" t="str">
        <f>IF(OR(E4047="",E4047="!!!",F4047="NEW"),"",INDEX(J$1:J4046,SUMPRODUCT(MAX(ROW(E$1:E4046)*(E4047=E$1:E4046)))))</f>
        <v> </v>
      </c>
      <c r="L4047" s="26"/>
    </row>
    <row r="4048" spans="1:12">
      <c r="A4048" s="20" t="s">
        <v>2048</v>
      </c>
      <c r="B4048" s="27" t="s">
        <v>1043</v>
      </c>
      <c r="C4048" s="27" t="s">
        <v>1044</v>
      </c>
      <c r="D4048" s="27" t="s">
        <v>1014</v>
      </c>
      <c r="E4048" s="21">
        <f>IF(D4048="?OLD","!!!","")</f>
        <v/>
      </c>
      <c r="F4048" s="22" t="str">
        <f>IF(OR(E4048="",E4048="!!!"),"",IF(NOT(ISNA(VLOOKUP(E4048,E$1:E4047,1,FALSE()))),"OLD",IF(AND(E4048&lt;&gt;"",E4048&lt;&gt;"!!!"),"NEW","")))</f>
        <v> </v>
      </c>
      <c r="G4048" s="23" t="str">
        <f>IF(OR(E4048="",E4048="!!!"),"",IF(OR(J4048=0,AND(J4048=1,K4048=1),AND(J4048=1,I4048="SBJ"),AND(J4048=1,I4048=0)),"?IN_FOCUS",IF(J4048&lt;=2,"?ACTIVATED",IF(J4048&lt;&gt;"","?FAMILIAR",IF(F4048="NEW",IF(ISNA(VLOOKUP(E4048,#REF!,1,FALSE())),"?TYPE_IDENTIFIABLE","?REFERENTIAL"),"_")))))</f>
        <v> </v>
      </c>
      <c r="H4048" s="24" t="str">
        <f>IF(J4048&lt;&gt;1,"",IF(I4048="SBJ","CB","?"))</f>
        <v> </v>
      </c>
      <c r="I4048" s="25" t="str">
        <f>IF(OR(E4048="",E4048="!!!",F4048="NEW"),"",INDEX(B4047:B$2,-1+SUMPRODUCT(MAX(ROW(E4047:E$2)*(E4048=E4047:E$2)))))</f>
        <v> </v>
      </c>
      <c r="J4048" s="25" t="str">
        <f>IF(OR(E4048="",E4048="!!!",F4048="NEW"),"",COUNTBLANK(OFFSET(A$1,,,SUMPRODUCT(MAX(ROW(E$2:E4048)*(E4048=E$2:E4048)))))-COUNTBLANK(OFFSET(A$1,,,SUMPRODUCT(MAX(ROW(E$1:E4047)*(E2=E$1:E4047))))))</f>
        <v> </v>
      </c>
      <c r="K4048" s="25" t="str">
        <f>IF(OR(E4048="",E4048="!!!",F4048="NEW"),"",INDEX(J$1:J4047,SUMPRODUCT(MAX(ROW(E$1:E4047)*(E4048=E$1:E4047)))))</f>
        <v> </v>
      </c>
      <c r="L4048" s="26"/>
    </row>
    <row r="4049" spans="1:12">
      <c r="A4049" s="20" t="s">
        <v>1027</v>
      </c>
      <c r="E4049" s="21">
        <f>IF(D4049="?OLD","!!!","")</f>
        <v/>
      </c>
      <c r="F4049" s="22" t="str">
        <f>IF(OR(E4049="",E4049="!!!"),"",IF(NOT(ISNA(VLOOKUP(E4049,E$1:E4048,1,FALSE()))),"OLD",IF(AND(E4049&lt;&gt;"",E4049&lt;&gt;"!!!"),"NEW","")))</f>
        <v> </v>
      </c>
      <c r="G4049" s="23" t="str">
        <f>IF(OR(E4049="",E4049="!!!"),"",IF(OR(J4049=0,AND(J4049=1,K4049=1),AND(J4049=1,I4049="SBJ"),AND(J4049=1,I4049=0)),"?IN_FOCUS",IF(J4049&lt;=2,"?ACTIVATED",IF(J4049&lt;&gt;"","?FAMILIAR",IF(F4049="NEW",IF(ISNA(VLOOKUP(E4049,#REF!,1,FALSE())),"?TYPE_IDENTIFIABLE","?REFERENTIAL"),"_")))))</f>
        <v> </v>
      </c>
      <c r="H4049" s="24" t="str">
        <f>IF(J4049&lt;&gt;1,"",IF(I4049="SBJ","CB","?"))</f>
        <v> </v>
      </c>
      <c r="I4049" s="25" t="str">
        <f>IF(OR(E4049="",E4049="!!!",F4049="NEW"),"",INDEX(B4048:B$2,-1+SUMPRODUCT(MAX(ROW(E4048:E$2)*(E4049=E4048:E$2)))))</f>
        <v> </v>
      </c>
      <c r="J4049" s="25" t="str">
        <f>IF(OR(E4049="",E4049="!!!",F4049="NEW"),"",COUNTBLANK(OFFSET(A$1,,,SUMPRODUCT(MAX(ROW(E$2:E4049)*(E4049=E$2:E4049)))))-COUNTBLANK(OFFSET(A$1,,,SUMPRODUCT(MAX(ROW(E$1:E4048)*(E2=E$1:E4048))))))</f>
        <v> </v>
      </c>
      <c r="K4049" s="25" t="str">
        <f>IF(OR(E4049="",E4049="!!!",F4049="NEW"),"",INDEX(J$1:J4048,SUMPRODUCT(MAX(ROW(E$1:E4048)*(E4049=E$1:E4048)))))</f>
        <v> </v>
      </c>
      <c r="L4049" s="26"/>
    </row>
    <row r="4050" spans="1:12">
      <c r="A4050" s="20" t="s">
        <v>1049</v>
      </c>
      <c r="B4050" s="27" t="s">
        <v>1038</v>
      </c>
      <c r="C4050" s="27" t="s">
        <v>1013</v>
      </c>
      <c r="D4050" s="27" t="s">
        <v>1014</v>
      </c>
      <c r="E4050" s="21">
        <f>IF(D4050="?OLD","!!!","")</f>
        <v/>
      </c>
      <c r="F4050" s="22" t="str">
        <f>IF(OR(E4050="",E4050="!!!"),"",IF(NOT(ISNA(VLOOKUP(E4050,E$1:E4049,1,FALSE()))),"OLD",IF(AND(E4050&lt;&gt;"",E4050&lt;&gt;"!!!"),"NEW","")))</f>
        <v> </v>
      </c>
      <c r="G4050" s="23" t="str">
        <f>IF(OR(E4050="",E4050="!!!"),"",IF(OR(J4050=0,AND(J4050=1,K4050=1),AND(J4050=1,I4050="SBJ"),AND(J4050=1,I4050=0)),"?IN_FOCUS",IF(J4050&lt;=2,"?ACTIVATED",IF(J4050&lt;&gt;"","?FAMILIAR",IF(F4050="NEW",IF(ISNA(VLOOKUP(E4050,#REF!,1,FALSE())),"?TYPE_IDENTIFIABLE","?REFERENTIAL"),"_")))))</f>
        <v> </v>
      </c>
      <c r="H4050" s="24" t="str">
        <f>IF(J4050&lt;&gt;1,"",IF(I4050="SBJ","CB","?"))</f>
        <v> </v>
      </c>
      <c r="I4050" s="25" t="str">
        <f>IF(OR(E4050="",E4050="!!!",F4050="NEW"),"",INDEX(B4049:B$2,-1+SUMPRODUCT(MAX(ROW(E4049:E$2)*(E4050=E4049:E$2)))))</f>
        <v> </v>
      </c>
      <c r="J4050" s="25" t="str">
        <f>IF(OR(E4050="",E4050="!!!",F4050="NEW"),"",COUNTBLANK(OFFSET(A$1,,,SUMPRODUCT(MAX(ROW(E$2:E4050)*(E4050=E$2:E4050)))))-COUNTBLANK(OFFSET(A$1,,,SUMPRODUCT(MAX(ROW(E$1:E4049)*(E2=E$1:E4049))))))</f>
        <v> </v>
      </c>
      <c r="K4050" s="25" t="str">
        <f>IF(OR(E4050="",E4050="!!!",F4050="NEW"),"",INDEX(J$1:J4049,SUMPRODUCT(MAX(ROW(E$1:E4049)*(E4050=E$1:E4049)))))</f>
        <v> </v>
      </c>
      <c r="L4050" s="26"/>
    </row>
    <row r="4051" spans="1:12">
      <c r="A4051" s="20" t="s">
        <v>2049</v>
      </c>
      <c r="E4051" s="21">
        <f>IF(D4051="?OLD","!!!","")</f>
        <v/>
      </c>
      <c r="F4051" s="22" t="str">
        <f>IF(OR(E4051="",E4051="!!!"),"",IF(NOT(ISNA(VLOOKUP(E4051,E$1:E4050,1,FALSE()))),"OLD",IF(AND(E4051&lt;&gt;"",E4051&lt;&gt;"!!!"),"NEW","")))</f>
        <v> </v>
      </c>
      <c r="G4051" s="23" t="str">
        <f>IF(OR(E4051="",E4051="!!!"),"",IF(OR(J4051=0,AND(J4051=1,K4051=1),AND(J4051=1,I4051="SBJ"),AND(J4051=1,I4051=0)),"?IN_FOCUS",IF(J4051&lt;=2,"?ACTIVATED",IF(J4051&lt;&gt;"","?FAMILIAR",IF(F4051="NEW",IF(ISNA(VLOOKUP(E4051,#REF!,1,FALSE())),"?TYPE_IDENTIFIABLE","?REFERENTIAL"),"_")))))</f>
        <v> </v>
      </c>
      <c r="H4051" s="24" t="str">
        <f>IF(J4051&lt;&gt;1,"",IF(I4051="SBJ","CB","?"))</f>
        <v> </v>
      </c>
      <c r="I4051" s="25" t="str">
        <f>IF(OR(E4051="",E4051="!!!",F4051="NEW"),"",INDEX(B4050:B$2,-1+SUMPRODUCT(MAX(ROW(E4050:E$2)*(E4051=E4050:E$2)))))</f>
        <v> </v>
      </c>
      <c r="J4051" s="25" t="str">
        <f>IF(OR(E4051="",E4051="!!!",F4051="NEW"),"",COUNTBLANK(OFFSET(A$1,,,SUMPRODUCT(MAX(ROW(E$2:E4051)*(E4051=E$2:E4051)))))-COUNTBLANK(OFFSET(A$1,,,SUMPRODUCT(MAX(ROW(E$1:E4050)*(E2=E$1:E4050))))))</f>
        <v> </v>
      </c>
      <c r="K4051" s="25" t="str">
        <f>IF(OR(E4051="",E4051="!!!",F4051="NEW"),"",INDEX(J$1:J4050,SUMPRODUCT(MAX(ROW(E$1:E4050)*(E4051=E$1:E4050)))))</f>
        <v> </v>
      </c>
      <c r="L4051" s="26"/>
    </row>
    <row r="4052" spans="1:12">
      <c r="A4052" s="20" t="s">
        <v>39</v>
      </c>
      <c r="E4052" s="21">
        <f>IF(D4052="?OLD","!!!","")</f>
        <v/>
      </c>
      <c r="F4052" s="22" t="str">
        <f>IF(OR(E4052="",E4052="!!!"),"",IF(NOT(ISNA(VLOOKUP(E4052,E$1:E4051,1,FALSE()))),"OLD",IF(AND(E4052&lt;&gt;"",E4052&lt;&gt;"!!!"),"NEW","")))</f>
        <v> </v>
      </c>
      <c r="G4052" s="23" t="str">
        <f>IF(OR(E4052="",E4052="!!!"),"",IF(OR(J4052=0,AND(J4052=1,K4052=1),AND(J4052=1,I4052="SBJ"),AND(J4052=1,I4052=0)),"?IN_FOCUS",IF(J4052&lt;=2,"?ACTIVATED",IF(J4052&lt;&gt;"","?FAMILIAR",IF(F4052="NEW",IF(ISNA(VLOOKUP(E4052,#REF!,1,FALSE())),"?TYPE_IDENTIFIABLE","?REFERENTIAL"),"_")))))</f>
        <v> </v>
      </c>
      <c r="H4052" s="24" t="str">
        <f>IF(J4052&lt;&gt;1,"",IF(I4052="SBJ","CB","?"))</f>
        <v> </v>
      </c>
      <c r="I4052" s="25" t="str">
        <f>IF(OR(E4052="",E4052="!!!",F4052="NEW"),"",INDEX(B4051:B$2,-1+SUMPRODUCT(MAX(ROW(E4051:E$2)*(E4052=E4051:E$2)))))</f>
        <v> </v>
      </c>
      <c r="J4052" s="25" t="str">
        <f>IF(OR(E4052="",E4052="!!!",F4052="NEW"),"",COUNTBLANK(OFFSET(A$1,,,SUMPRODUCT(MAX(ROW(E$2:E4052)*(E4052=E$2:E4052)))))-COUNTBLANK(OFFSET(A$1,,,SUMPRODUCT(MAX(ROW(E$1:E4051)*(E2=E$1:E4051))))))</f>
        <v> </v>
      </c>
      <c r="K4052" s="25" t="str">
        <f>IF(OR(E4052="",E4052="!!!",F4052="NEW"),"",INDEX(J$1:J4051,SUMPRODUCT(MAX(ROW(E$1:E4051)*(E4052=E$1:E4051)))))</f>
        <v> </v>
      </c>
      <c r="L4052" s="26"/>
    </row>
    <row r="4053" spans="1:12">
      <c r="A4053" s="20" t="s">
        <v>1046</v>
      </c>
      <c r="E4053" s="21">
        <f>IF(D4053="?OLD","!!!","")</f>
        <v/>
      </c>
      <c r="F4053" s="22" t="str">
        <f>IF(OR(E4053="",E4053="!!!"),"",IF(NOT(ISNA(VLOOKUP(E4053,E$1:E4052,1,FALSE()))),"OLD",IF(AND(E4053&lt;&gt;"",E4053&lt;&gt;"!!!"),"NEW","")))</f>
        <v> </v>
      </c>
      <c r="G4053" s="23" t="str">
        <f>IF(OR(E4053="",E4053="!!!"),"",IF(OR(J4053=0,AND(J4053=1,K4053=1),AND(J4053=1,I4053="SBJ"),AND(J4053=1,I4053=0)),"?IN_FOCUS",IF(J4053&lt;=2,"?ACTIVATED",IF(J4053&lt;&gt;"","?FAMILIAR",IF(F4053="NEW",IF(ISNA(VLOOKUP(E4053,#REF!,1,FALSE())),"?TYPE_IDENTIFIABLE","?REFERENTIAL"),"_")))))</f>
        <v> </v>
      </c>
      <c r="H4053" s="24" t="str">
        <f>IF(J4053&lt;&gt;1,"",IF(I4053="SBJ","CB","?"))</f>
        <v> </v>
      </c>
      <c r="I4053" s="25" t="str">
        <f>IF(OR(E4053="",E4053="!!!",F4053="NEW"),"",INDEX(B4052:B$2,-1+SUMPRODUCT(MAX(ROW(E4052:E$2)*(E4053=E4052:E$2)))))</f>
        <v> </v>
      </c>
      <c r="J4053" s="25" t="str">
        <f>IF(OR(E4053="",E4053="!!!",F4053="NEW"),"",COUNTBLANK(OFFSET(A$1,,,SUMPRODUCT(MAX(ROW(E$2:E4053)*(E4053=E$2:E4053)))))-COUNTBLANK(OFFSET(A$1,,,SUMPRODUCT(MAX(ROW(E$1:E4052)*(E2=E$1:E4052))))))</f>
        <v> </v>
      </c>
      <c r="K4053" s="25" t="str">
        <f>IF(OR(E4053="",E4053="!!!",F4053="NEW"),"",INDEX(J$1:J4052,SUMPRODUCT(MAX(ROW(E$1:E4052)*(E4053=E$1:E4052)))))</f>
        <v> </v>
      </c>
      <c r="L4053" s="26"/>
    </row>
    <row r="4054" spans="1:12">
      <c r="A4054" s="20" t="s">
        <v>495</v>
      </c>
      <c r="E4054" s="21">
        <f>IF(D4054="?OLD","!!!","")</f>
        <v/>
      </c>
      <c r="F4054" s="22" t="str">
        <f>IF(OR(E4054="",E4054="!!!"),"",IF(NOT(ISNA(VLOOKUP(E4054,E$1:E4053,1,FALSE()))),"OLD",IF(AND(E4054&lt;&gt;"",E4054&lt;&gt;"!!!"),"NEW","")))</f>
        <v> </v>
      </c>
      <c r="G4054" s="23" t="str">
        <f>IF(OR(E4054="",E4054="!!!"),"",IF(OR(J4054=0,AND(J4054=1,K4054=1),AND(J4054=1,I4054="SBJ"),AND(J4054=1,I4054=0)),"?IN_FOCUS",IF(J4054&lt;=2,"?ACTIVATED",IF(J4054&lt;&gt;"","?FAMILIAR",IF(F4054="NEW",IF(ISNA(VLOOKUP(E4054,#REF!,1,FALSE())),"?TYPE_IDENTIFIABLE","?REFERENTIAL"),"_")))))</f>
        <v> </v>
      </c>
      <c r="H4054" s="24" t="str">
        <f>IF(J4054&lt;&gt;1,"",IF(I4054="SBJ","CB","?"))</f>
        <v> </v>
      </c>
      <c r="I4054" s="25" t="str">
        <f>IF(OR(E4054="",E4054="!!!",F4054="NEW"),"",INDEX(B4053:B$2,-1+SUMPRODUCT(MAX(ROW(E4053:E$2)*(E4054=E4053:E$2)))))</f>
        <v> </v>
      </c>
      <c r="J4054" s="25" t="str">
        <f>IF(OR(E4054="",E4054="!!!",F4054="NEW"),"",COUNTBLANK(OFFSET(A$1,,,SUMPRODUCT(MAX(ROW(E$2:E4054)*(E4054=E$2:E4054)))))-COUNTBLANK(OFFSET(A$1,,,SUMPRODUCT(MAX(ROW(E$1:E4053)*(E2=E$1:E4053))))))</f>
        <v> </v>
      </c>
      <c r="K4054" s="25" t="str">
        <f>IF(OR(E4054="",E4054="!!!",F4054="NEW"),"",INDEX(J$1:J4053,SUMPRODUCT(MAX(ROW(E$1:E4053)*(E4054=E$1:E4053)))))</f>
        <v> </v>
      </c>
      <c r="L4054" s="26"/>
    </row>
    <row r="4055" spans="1:12">
      <c r="A4055" s="20" t="s">
        <v>1027</v>
      </c>
      <c r="E4055" s="21">
        <f>IF(D4055="?OLD","!!!","")</f>
        <v/>
      </c>
      <c r="F4055" s="22" t="str">
        <f>IF(OR(E4055="",E4055="!!!"),"",IF(NOT(ISNA(VLOOKUP(E4055,E$1:E4054,1,FALSE()))),"OLD",IF(AND(E4055&lt;&gt;"",E4055&lt;&gt;"!!!"),"NEW","")))</f>
        <v> </v>
      </c>
      <c r="G4055" s="23" t="str">
        <f>IF(OR(E4055="",E4055="!!!"),"",IF(OR(J4055=0,AND(J4055=1,K4055=1),AND(J4055=1,I4055="SBJ"),AND(J4055=1,I4055=0)),"?IN_FOCUS",IF(J4055&lt;=2,"?ACTIVATED",IF(J4055&lt;&gt;"","?FAMILIAR",IF(F4055="NEW",IF(ISNA(VLOOKUP(E4055,#REF!,1,FALSE())),"?TYPE_IDENTIFIABLE","?REFERENTIAL"),"_")))))</f>
        <v> </v>
      </c>
      <c r="H4055" s="24" t="str">
        <f>IF(J4055&lt;&gt;1,"",IF(I4055="SBJ","CB","?"))</f>
        <v> </v>
      </c>
      <c r="I4055" s="25" t="str">
        <f>IF(OR(E4055="",E4055="!!!",F4055="NEW"),"",INDEX(B4054:B$2,-1+SUMPRODUCT(MAX(ROW(E4054:E$2)*(E4055=E4054:E$2)))))</f>
        <v> </v>
      </c>
      <c r="J4055" s="25" t="str">
        <f>IF(OR(E4055="",E4055="!!!",F4055="NEW"),"",COUNTBLANK(OFFSET(A$1,,,SUMPRODUCT(MAX(ROW(E$2:E4055)*(E4055=E$2:E4055)))))-COUNTBLANK(OFFSET(A$1,,,SUMPRODUCT(MAX(ROW(E$1:E4054)*(E2=E$1:E4054))))))</f>
        <v> </v>
      </c>
      <c r="K4055" s="25" t="str">
        <f>IF(OR(E4055="",E4055="!!!",F4055="NEW"),"",INDEX(J$1:J4054,SUMPRODUCT(MAX(ROW(E$1:E4054)*(E4055=E$1:E4054)))))</f>
        <v> </v>
      </c>
      <c r="L4055" s="26"/>
    </row>
    <row r="4056" spans="1:12">
      <c r="A4056" s="20" t="s">
        <v>1091</v>
      </c>
      <c r="E4056" s="21">
        <f>IF(D4056="?OLD","!!!","")</f>
        <v/>
      </c>
      <c r="F4056" s="22" t="str">
        <f>IF(OR(E4056="",E4056="!!!"),"",IF(NOT(ISNA(VLOOKUP(E4056,E$1:E4055,1,FALSE()))),"OLD",IF(AND(E4056&lt;&gt;"",E4056&lt;&gt;"!!!"),"NEW","")))</f>
        <v> </v>
      </c>
      <c r="G4056" s="23" t="str">
        <f>IF(OR(E4056="",E4056="!!!"),"",IF(OR(J4056=0,AND(J4056=1,K4056=1),AND(J4056=1,I4056="SBJ"),AND(J4056=1,I4056=0)),"?IN_FOCUS",IF(J4056&lt;=2,"?ACTIVATED",IF(J4056&lt;&gt;"","?FAMILIAR",IF(F4056="NEW",IF(ISNA(VLOOKUP(E4056,#REF!,1,FALSE())),"?TYPE_IDENTIFIABLE","?REFERENTIAL"),"_")))))</f>
        <v> </v>
      </c>
      <c r="H4056" s="24" t="str">
        <f>IF(J4056&lt;&gt;1,"",IF(I4056="SBJ","CB","?"))</f>
        <v> </v>
      </c>
      <c r="I4056" s="25" t="str">
        <f>IF(OR(E4056="",E4056="!!!",F4056="NEW"),"",INDEX(B4055:B$2,-1+SUMPRODUCT(MAX(ROW(E4055:E$2)*(E4056=E4055:E$2)))))</f>
        <v> </v>
      </c>
      <c r="J4056" s="25" t="str">
        <f>IF(OR(E4056="",E4056="!!!",F4056="NEW"),"",COUNTBLANK(OFFSET(A$1,,,SUMPRODUCT(MAX(ROW(E$2:E4056)*(E4056=E$2:E4056)))))-COUNTBLANK(OFFSET(A$1,,,SUMPRODUCT(MAX(ROW(E$1:E4055)*(E2=E$1:E4055))))))</f>
        <v> </v>
      </c>
      <c r="K4056" s="25" t="str">
        <f>IF(OR(E4056="",E4056="!!!",F4056="NEW"),"",INDEX(J$1:J4055,SUMPRODUCT(MAX(ROW(E$1:E4055)*(E4056=E$1:E4055)))))</f>
        <v> </v>
      </c>
      <c r="L4056" s="26"/>
    </row>
    <row r="4057" spans="1:12">
      <c r="A4057" s="20" t="s">
        <v>1121</v>
      </c>
      <c r="E4057" s="21">
        <f>IF(D4057="?OLD","!!!","")</f>
        <v/>
      </c>
      <c r="F4057" s="22" t="str">
        <f>IF(OR(E4057="",E4057="!!!"),"",IF(NOT(ISNA(VLOOKUP(E4057,E$1:E4056,1,FALSE()))),"OLD",IF(AND(E4057&lt;&gt;"",E4057&lt;&gt;"!!!"),"NEW","")))</f>
        <v> </v>
      </c>
      <c r="G4057" s="23" t="str">
        <f>IF(OR(E4057="",E4057="!!!"),"",IF(OR(J4057=0,AND(J4057=1,K4057=1),AND(J4057=1,I4057="SBJ"),AND(J4057=1,I4057=0)),"?IN_FOCUS",IF(J4057&lt;=2,"?ACTIVATED",IF(J4057&lt;&gt;"","?FAMILIAR",IF(F4057="NEW",IF(ISNA(VLOOKUP(E4057,#REF!,1,FALSE())),"?TYPE_IDENTIFIABLE","?REFERENTIAL"),"_")))))</f>
        <v> </v>
      </c>
      <c r="H4057" s="24" t="str">
        <f>IF(J4057&lt;&gt;1,"",IF(I4057="SBJ","CB","?"))</f>
        <v> </v>
      </c>
      <c r="I4057" s="25" t="str">
        <f>IF(OR(E4057="",E4057="!!!",F4057="NEW"),"",INDEX(B4056:B$2,-1+SUMPRODUCT(MAX(ROW(E4056:E$2)*(E4057=E4056:E$2)))))</f>
        <v> </v>
      </c>
      <c r="J4057" s="25" t="str">
        <f>IF(OR(E4057="",E4057="!!!",F4057="NEW"),"",COUNTBLANK(OFFSET(A$1,,,SUMPRODUCT(MAX(ROW(E$2:E4057)*(E4057=E$2:E4057)))))-COUNTBLANK(OFFSET(A$1,,,SUMPRODUCT(MAX(ROW(E$1:E4056)*(E2=E$1:E4056))))))</f>
        <v> </v>
      </c>
      <c r="K4057" s="25" t="str">
        <f>IF(OR(E4057="",E4057="!!!",F4057="NEW"),"",INDEX(J$1:J4056,SUMPRODUCT(MAX(ROW(E$1:E4056)*(E4057=E$1:E4056)))))</f>
        <v> </v>
      </c>
      <c r="L4057" s="26"/>
    </row>
    <row r="4058" spans="1:12">
      <c r="A4058" s="20" t="s">
        <v>1027</v>
      </c>
      <c r="E4058" s="21">
        <f>IF(D4058="?OLD","!!!","")</f>
        <v/>
      </c>
      <c r="F4058" s="22" t="str">
        <f>IF(OR(E4058="",E4058="!!!"),"",IF(NOT(ISNA(VLOOKUP(E4058,E$1:E4057,1,FALSE()))),"OLD",IF(AND(E4058&lt;&gt;"",E4058&lt;&gt;"!!!"),"NEW","")))</f>
        <v> </v>
      </c>
      <c r="G4058" s="23" t="str">
        <f>IF(OR(E4058="",E4058="!!!"),"",IF(OR(J4058=0,AND(J4058=1,K4058=1),AND(J4058=1,I4058="SBJ"),AND(J4058=1,I4058=0)),"?IN_FOCUS",IF(J4058&lt;=2,"?ACTIVATED",IF(J4058&lt;&gt;"","?FAMILIAR",IF(F4058="NEW",IF(ISNA(VLOOKUP(E4058,#REF!,1,FALSE())),"?TYPE_IDENTIFIABLE","?REFERENTIAL"),"_")))))</f>
        <v> </v>
      </c>
      <c r="H4058" s="24" t="str">
        <f>IF(J4058&lt;&gt;1,"",IF(I4058="SBJ","CB","?"))</f>
        <v> </v>
      </c>
      <c r="I4058" s="25" t="str">
        <f>IF(OR(E4058="",E4058="!!!",F4058="NEW"),"",INDEX(B4057:B$2,-1+SUMPRODUCT(MAX(ROW(E4057:E$2)*(E4058=E4057:E$2)))))</f>
        <v> </v>
      </c>
      <c r="J4058" s="25" t="str">
        <f>IF(OR(E4058="",E4058="!!!",F4058="NEW"),"",COUNTBLANK(OFFSET(A$1,,,SUMPRODUCT(MAX(ROW(E$2:E4058)*(E4058=E$2:E4058)))))-COUNTBLANK(OFFSET(A$1,,,SUMPRODUCT(MAX(ROW(E$1:E4057)*(E2=E$1:E4057))))))</f>
        <v> </v>
      </c>
      <c r="K4058" s="25" t="str">
        <f>IF(OR(E4058="",E4058="!!!",F4058="NEW"),"",INDEX(J$1:J4057,SUMPRODUCT(MAX(ROW(E$1:E4057)*(E4058=E$1:E4057)))))</f>
        <v> </v>
      </c>
      <c r="L4058" s="26"/>
    </row>
    <row r="4059" spans="1:12">
      <c r="A4059" s="20" t="s">
        <v>1049</v>
      </c>
      <c r="B4059" s="27" t="s">
        <v>1018</v>
      </c>
      <c r="C4059" s="27" t="s">
        <v>1013</v>
      </c>
      <c r="D4059" s="27" t="s">
        <v>1014</v>
      </c>
      <c r="E4059" s="21">
        <f>IF(D4059="?OLD","!!!","")</f>
        <v/>
      </c>
      <c r="F4059" s="22" t="str">
        <f>IF(OR(E4059="",E4059="!!!"),"",IF(NOT(ISNA(VLOOKUP(E4059,E$1:E4058,1,FALSE()))),"OLD",IF(AND(E4059&lt;&gt;"",E4059&lt;&gt;"!!!"),"NEW","")))</f>
        <v> </v>
      </c>
      <c r="G4059" s="23" t="str">
        <f>IF(OR(E4059="",E4059="!!!"),"",IF(OR(J4059=0,AND(J4059=1,K4059=1),AND(J4059=1,I4059="SBJ"),AND(J4059=1,I4059=0)),"?IN_FOCUS",IF(J4059&lt;=2,"?ACTIVATED",IF(J4059&lt;&gt;"","?FAMILIAR",IF(F4059="NEW",IF(ISNA(VLOOKUP(E4059,#REF!,1,FALSE())),"?TYPE_IDENTIFIABLE","?REFERENTIAL"),"_")))))</f>
        <v> </v>
      </c>
      <c r="H4059" s="24" t="str">
        <f>IF(J4059&lt;&gt;1,"",IF(I4059="SBJ","CB","?"))</f>
        <v> </v>
      </c>
      <c r="I4059" s="25" t="str">
        <f>IF(OR(E4059="",E4059="!!!",F4059="NEW"),"",INDEX(B4058:B$2,-1+SUMPRODUCT(MAX(ROW(E4058:E$2)*(E4059=E4058:E$2)))))</f>
        <v> </v>
      </c>
      <c r="J4059" s="25" t="str">
        <f>IF(OR(E4059="",E4059="!!!",F4059="NEW"),"",COUNTBLANK(OFFSET(A$1,,,SUMPRODUCT(MAX(ROW(E$2:E4059)*(E4059=E$2:E4059)))))-COUNTBLANK(OFFSET(A$1,,,SUMPRODUCT(MAX(ROW(E$1:E4058)*(E2=E$1:E4058))))))</f>
        <v> </v>
      </c>
      <c r="K4059" s="25" t="str">
        <f>IF(OR(E4059="",E4059="!!!",F4059="NEW"),"",INDEX(J$1:J4058,SUMPRODUCT(MAX(ROW(E$1:E4058)*(E4059=E$1:E4058)))))</f>
        <v> </v>
      </c>
      <c r="L4059" s="26"/>
    </row>
    <row r="4060" spans="1:12">
      <c r="A4060" s="20" t="s">
        <v>2050</v>
      </c>
      <c r="E4060" s="21">
        <f>IF(D4060="?OLD","!!!","")</f>
        <v/>
      </c>
      <c r="F4060" s="22" t="str">
        <f>IF(OR(E4060="",E4060="!!!"),"",IF(NOT(ISNA(VLOOKUP(E4060,E$1:E4059,1,FALSE()))),"OLD",IF(AND(E4060&lt;&gt;"",E4060&lt;&gt;"!!!"),"NEW","")))</f>
        <v> </v>
      </c>
      <c r="G4060" s="23" t="str">
        <f>IF(OR(E4060="",E4060="!!!"),"",IF(OR(J4060=0,AND(J4060=1,K4060=1),AND(J4060=1,I4060="SBJ"),AND(J4060=1,I4060=0)),"?IN_FOCUS",IF(J4060&lt;=2,"?ACTIVATED",IF(J4060&lt;&gt;"","?FAMILIAR",IF(F4060="NEW",IF(ISNA(VLOOKUP(E4060,#REF!,1,FALSE())),"?TYPE_IDENTIFIABLE","?REFERENTIAL"),"_")))))</f>
        <v> </v>
      </c>
      <c r="H4060" s="24" t="str">
        <f>IF(J4060&lt;&gt;1,"",IF(I4060="SBJ","CB","?"))</f>
        <v> </v>
      </c>
      <c r="I4060" s="25" t="str">
        <f>IF(OR(E4060="",E4060="!!!",F4060="NEW"),"",INDEX(B4059:B$2,-1+SUMPRODUCT(MAX(ROW(E4059:E$2)*(E4060=E4059:E$2)))))</f>
        <v> </v>
      </c>
      <c r="J4060" s="25" t="str">
        <f>IF(OR(E4060="",E4060="!!!",F4060="NEW"),"",COUNTBLANK(OFFSET(A$1,,,SUMPRODUCT(MAX(ROW(E$2:E4060)*(E4060=E$2:E4060)))))-COUNTBLANK(OFFSET(A$1,,,SUMPRODUCT(MAX(ROW(E$1:E4059)*(E2=E$1:E4059))))))</f>
        <v> </v>
      </c>
      <c r="K4060" s="25" t="str">
        <f>IF(OR(E4060="",E4060="!!!",F4060="NEW"),"",INDEX(J$1:J4059,SUMPRODUCT(MAX(ROW(E$1:E4059)*(E4060=E$1:E4059)))))</f>
        <v> </v>
      </c>
      <c r="L4060" s="26"/>
    </row>
    <row r="4061" spans="1:12">
      <c r="A4061" s="20" t="s">
        <v>39</v>
      </c>
      <c r="E4061" s="21">
        <f>IF(D4061="?OLD","!!!","")</f>
        <v/>
      </c>
      <c r="F4061" s="22" t="str">
        <f>IF(OR(E4061="",E4061="!!!"),"",IF(NOT(ISNA(VLOOKUP(E4061,E$1:E4060,1,FALSE()))),"OLD",IF(AND(E4061&lt;&gt;"",E4061&lt;&gt;"!!!"),"NEW","")))</f>
        <v> </v>
      </c>
      <c r="G4061" s="23" t="str">
        <f>IF(OR(E4061="",E4061="!!!"),"",IF(OR(J4061=0,AND(J4061=1,K4061=1),AND(J4061=1,I4061="SBJ"),AND(J4061=1,I4061=0)),"?IN_FOCUS",IF(J4061&lt;=2,"?ACTIVATED",IF(J4061&lt;&gt;"","?FAMILIAR",IF(F4061="NEW",IF(ISNA(VLOOKUP(E4061,#REF!,1,FALSE())),"?TYPE_IDENTIFIABLE","?REFERENTIAL"),"_")))))</f>
        <v> </v>
      </c>
      <c r="H4061" s="24" t="str">
        <f>IF(J4061&lt;&gt;1,"",IF(I4061="SBJ","CB","?"))</f>
        <v> </v>
      </c>
      <c r="I4061" s="25" t="str">
        <f>IF(OR(E4061="",E4061="!!!",F4061="NEW"),"",INDEX(B4060:B$2,-1+SUMPRODUCT(MAX(ROW(E4060:E$2)*(E4061=E4060:E$2)))))</f>
        <v> </v>
      </c>
      <c r="J4061" s="25" t="str">
        <f>IF(OR(E4061="",E4061="!!!",F4061="NEW"),"",COUNTBLANK(OFFSET(A$1,,,SUMPRODUCT(MAX(ROW(E$2:E4061)*(E4061=E$2:E4061)))))-COUNTBLANK(OFFSET(A$1,,,SUMPRODUCT(MAX(ROW(E$1:E4060)*(E2=E$1:E4060))))))</f>
        <v> </v>
      </c>
      <c r="K4061" s="25" t="str">
        <f>IF(OR(E4061="",E4061="!!!",F4061="NEW"),"",INDEX(J$1:J4060,SUMPRODUCT(MAX(ROW(E$1:E4060)*(E4061=E$1:E4060)))))</f>
        <v> </v>
      </c>
      <c r="L4061" s="26"/>
    </row>
    <row r="4062" spans="1:12">
      <c r="A4062" s="20" t="s">
        <v>1046</v>
      </c>
      <c r="E4062" s="21">
        <f>IF(D4062="?OLD","!!!","")</f>
        <v/>
      </c>
      <c r="F4062" s="22" t="str">
        <f>IF(OR(E4062="",E4062="!!!"),"",IF(NOT(ISNA(VLOOKUP(E4062,E$1:E4061,1,FALSE()))),"OLD",IF(AND(E4062&lt;&gt;"",E4062&lt;&gt;"!!!"),"NEW","")))</f>
        <v> </v>
      </c>
      <c r="G4062" s="23" t="str">
        <f>IF(OR(E4062="",E4062="!!!"),"",IF(OR(J4062=0,AND(J4062=1,K4062=1),AND(J4062=1,I4062="SBJ"),AND(J4062=1,I4062=0)),"?IN_FOCUS",IF(J4062&lt;=2,"?ACTIVATED",IF(J4062&lt;&gt;"","?FAMILIAR",IF(F4062="NEW",IF(ISNA(VLOOKUP(E4062,#REF!,1,FALSE())),"?TYPE_IDENTIFIABLE","?REFERENTIAL"),"_")))))</f>
        <v> </v>
      </c>
      <c r="H4062" s="24" t="str">
        <f>IF(J4062&lt;&gt;1,"",IF(I4062="SBJ","CB","?"))</f>
        <v> </v>
      </c>
      <c r="I4062" s="25" t="str">
        <f>IF(OR(E4062="",E4062="!!!",F4062="NEW"),"",INDEX(B4061:B$2,-1+SUMPRODUCT(MAX(ROW(E4061:E$2)*(E4062=E4061:E$2)))))</f>
        <v> </v>
      </c>
      <c r="J4062" s="25" t="str">
        <f>IF(OR(E4062="",E4062="!!!",F4062="NEW"),"",COUNTBLANK(OFFSET(A$1,,,SUMPRODUCT(MAX(ROW(E$2:E4062)*(E4062=E$2:E4062)))))-COUNTBLANK(OFFSET(A$1,,,SUMPRODUCT(MAX(ROW(E$1:E4061)*(E2=E$1:E4061))))))</f>
        <v> </v>
      </c>
      <c r="K4062" s="25" t="str">
        <f>IF(OR(E4062="",E4062="!!!",F4062="NEW"),"",INDEX(J$1:J4061,SUMPRODUCT(MAX(ROW(E$1:E4061)*(E4062=E$1:E4061)))))</f>
        <v> </v>
      </c>
      <c r="L4062" s="26"/>
    </row>
    <row r="4063" spans="1:12">
      <c r="A4063" s="20" t="s">
        <v>507</v>
      </c>
      <c r="E4063" s="21">
        <f>IF(D4063="?OLD","!!!","")</f>
        <v/>
      </c>
      <c r="F4063" s="22" t="str">
        <f>IF(OR(E4063="",E4063="!!!"),"",IF(NOT(ISNA(VLOOKUP(E4063,E$1:E4062,1,FALSE()))),"OLD",IF(AND(E4063&lt;&gt;"",E4063&lt;&gt;"!!!"),"NEW","")))</f>
        <v> </v>
      </c>
      <c r="G4063" s="23" t="str">
        <f>IF(OR(E4063="",E4063="!!!"),"",IF(OR(J4063=0,AND(J4063=1,K4063=1),AND(J4063=1,I4063="SBJ"),AND(J4063=1,I4063=0)),"?IN_FOCUS",IF(J4063&lt;=2,"?ACTIVATED",IF(J4063&lt;&gt;"","?FAMILIAR",IF(F4063="NEW",IF(ISNA(VLOOKUP(E4063,#REF!,1,FALSE())),"?TYPE_IDENTIFIABLE","?REFERENTIAL"),"_")))))</f>
        <v> </v>
      </c>
      <c r="H4063" s="24" t="str">
        <f>IF(J4063&lt;&gt;1,"",IF(I4063="SBJ","CB","?"))</f>
        <v> </v>
      </c>
      <c r="I4063" s="25" t="str">
        <f>IF(OR(E4063="",E4063="!!!",F4063="NEW"),"",INDEX(B4062:B$2,-1+SUMPRODUCT(MAX(ROW(E4062:E$2)*(E4063=E4062:E$2)))))</f>
        <v> </v>
      </c>
      <c r="J4063" s="25" t="str">
        <f>IF(OR(E4063="",E4063="!!!",F4063="NEW"),"",COUNTBLANK(OFFSET(A$1,,,SUMPRODUCT(MAX(ROW(E$2:E4063)*(E4063=E$2:E4063)))))-COUNTBLANK(OFFSET(A$1,,,SUMPRODUCT(MAX(ROW(E$1:E4062)*(E2=E$1:E4062))))))</f>
        <v> </v>
      </c>
      <c r="K4063" s="25" t="str">
        <f>IF(OR(E4063="",E4063="!!!",F4063="NEW"),"",INDEX(J$1:J4062,SUMPRODUCT(MAX(ROW(E$1:E4062)*(E4063=E$1:E4062)))))</f>
        <v> </v>
      </c>
      <c r="L4063" s="26"/>
    </row>
    <row r="4064" spans="1:12">
      <c r="A4064" s="20" t="s">
        <v>1040</v>
      </c>
      <c r="E4064" s="21">
        <f>IF(D4064="?OLD","!!!","")</f>
        <v/>
      </c>
      <c r="F4064" s="22" t="str">
        <f>IF(OR(E4064="",E4064="!!!"),"",IF(NOT(ISNA(VLOOKUP(E4064,E$1:E4063,1,FALSE()))),"OLD",IF(AND(E4064&lt;&gt;"",E4064&lt;&gt;"!!!"),"NEW","")))</f>
        <v> </v>
      </c>
      <c r="G4064" s="23" t="str">
        <f>IF(OR(E4064="",E4064="!!!"),"",IF(OR(J4064=0,AND(J4064=1,K4064=1),AND(J4064=1,I4064="SBJ"),AND(J4064=1,I4064=0)),"?IN_FOCUS",IF(J4064&lt;=2,"?ACTIVATED",IF(J4064&lt;&gt;"","?FAMILIAR",IF(F4064="NEW",IF(ISNA(VLOOKUP(E4064,#REF!,1,FALSE())),"?TYPE_IDENTIFIABLE","?REFERENTIAL"),"_")))))</f>
        <v> </v>
      </c>
      <c r="H4064" s="24" t="str">
        <f>IF(J4064&lt;&gt;1,"",IF(I4064="SBJ","CB","?"))</f>
        <v> </v>
      </c>
      <c r="I4064" s="25" t="str">
        <f>IF(OR(E4064="",E4064="!!!",F4064="NEW"),"",INDEX(B4063:B$2,-1+SUMPRODUCT(MAX(ROW(E4063:E$2)*(E4064=E4063:E$2)))))</f>
        <v> </v>
      </c>
      <c r="J4064" s="25" t="str">
        <f>IF(OR(E4064="",E4064="!!!",F4064="NEW"),"",COUNTBLANK(OFFSET(A$1,,,SUMPRODUCT(MAX(ROW(E$2:E4064)*(E4064=E$2:E4064)))))-COUNTBLANK(OFFSET(A$1,,,SUMPRODUCT(MAX(ROW(E$1:E4063)*(E2=E$1:E4063))))))</f>
        <v> </v>
      </c>
      <c r="K4064" s="25" t="str">
        <f>IF(OR(E4064="",E4064="!!!",F4064="NEW"),"",INDEX(J$1:J4063,SUMPRODUCT(MAX(ROW(E$1:E4063)*(E4064=E$1:E4063)))))</f>
        <v> </v>
      </c>
      <c r="L4064" s="26"/>
    </row>
    <row r="4065" spans="1:12">
      <c r="A4065" s="20" t="s">
        <v>1041</v>
      </c>
      <c r="E4065" s="21">
        <f>IF(D4065="?OLD","!!!","")</f>
        <v/>
      </c>
      <c r="F4065" s="22" t="str">
        <f>IF(OR(E4065="",E4065="!!!"),"",IF(NOT(ISNA(VLOOKUP(E4065,E$1:E4064,1,FALSE()))),"OLD",IF(AND(E4065&lt;&gt;"",E4065&lt;&gt;"!!!"),"NEW","")))</f>
        <v> </v>
      </c>
      <c r="G4065" s="23" t="str">
        <f>IF(OR(E4065="",E4065="!!!"),"",IF(OR(J4065=0,AND(J4065=1,K4065=1),AND(J4065=1,I4065="SBJ"),AND(J4065=1,I4065=0)),"?IN_FOCUS",IF(J4065&lt;=2,"?ACTIVATED",IF(J4065&lt;&gt;"","?FAMILIAR",IF(F4065="NEW",IF(ISNA(VLOOKUP(E4065,#REF!,1,FALSE())),"?TYPE_IDENTIFIABLE","?REFERENTIAL"),"_")))))</f>
        <v> </v>
      </c>
      <c r="H4065" s="24" t="str">
        <f>IF(J4065&lt;&gt;1,"",IF(I4065="SBJ","CB","?"))</f>
        <v> </v>
      </c>
      <c r="I4065" s="25" t="str">
        <f>IF(OR(E4065="",E4065="!!!",F4065="NEW"),"",INDEX(B4064:B$2,-1+SUMPRODUCT(MAX(ROW(E4064:E$2)*(E4065=E4064:E$2)))))</f>
        <v> </v>
      </c>
      <c r="J4065" s="25" t="str">
        <f>IF(OR(E4065="",E4065="!!!",F4065="NEW"),"",COUNTBLANK(OFFSET(A$1,,,SUMPRODUCT(MAX(ROW(E$2:E4065)*(E4065=E$2:E4065)))))-COUNTBLANK(OFFSET(A$1,,,SUMPRODUCT(MAX(ROW(E$1:E4064)*(E2=E$1:E4064))))))</f>
        <v> </v>
      </c>
      <c r="K4065" s="25" t="str">
        <f>IF(OR(E4065="",E4065="!!!",F4065="NEW"),"",INDEX(J$1:J4064,SUMPRODUCT(MAX(ROW(E$1:E4064)*(E4065=E$1:E4064)))))</f>
        <v> </v>
      </c>
      <c r="L4065" s="26"/>
    </row>
    <row r="4066" spans="1:12">
      <c r="A4066" s="20" t="s">
        <v>2017</v>
      </c>
      <c r="E4066" s="21">
        <f>IF(D4066="?OLD","!!!","")</f>
        <v/>
      </c>
      <c r="F4066" s="22" t="str">
        <f>IF(OR(E4066="",E4066="!!!"),"",IF(NOT(ISNA(VLOOKUP(E4066,E$1:E4065,1,FALSE()))),"OLD",IF(AND(E4066&lt;&gt;"",E4066&lt;&gt;"!!!"),"NEW","")))</f>
        <v> </v>
      </c>
      <c r="G4066" s="23" t="str">
        <f>IF(OR(E4066="",E4066="!!!"),"",IF(OR(J4066=0,AND(J4066=1,K4066=1),AND(J4066=1,I4066="SBJ"),AND(J4066=1,I4066=0)),"?IN_FOCUS",IF(J4066&lt;=2,"?ACTIVATED",IF(J4066&lt;&gt;"","?FAMILIAR",IF(F4066="NEW",IF(ISNA(VLOOKUP(E4066,#REF!,1,FALSE())),"?TYPE_IDENTIFIABLE","?REFERENTIAL"),"_")))))</f>
        <v> </v>
      </c>
      <c r="H4066" s="24" t="str">
        <f>IF(J4066&lt;&gt;1,"",IF(I4066="SBJ","CB","?"))</f>
        <v> </v>
      </c>
      <c r="I4066" s="25" t="str">
        <f>IF(OR(E4066="",E4066="!!!",F4066="NEW"),"",INDEX(B4065:B$2,-1+SUMPRODUCT(MAX(ROW(E4065:E$2)*(E4066=E4065:E$2)))))</f>
        <v> </v>
      </c>
      <c r="J4066" s="25" t="str">
        <f>IF(OR(E4066="",E4066="!!!",F4066="NEW"),"",COUNTBLANK(OFFSET(A$1,,,SUMPRODUCT(MAX(ROW(E$2:E4066)*(E4066=E$2:E4066)))))-COUNTBLANK(OFFSET(A$1,,,SUMPRODUCT(MAX(ROW(E$1:E4065)*(E2=E$1:E4065))))))</f>
        <v> </v>
      </c>
      <c r="K4066" s="25" t="str">
        <f>IF(OR(E4066="",E4066="!!!",F4066="NEW"),"",INDEX(J$1:J4065,SUMPRODUCT(MAX(ROW(E$1:E4065)*(E4066=E$1:E4065)))))</f>
        <v> </v>
      </c>
      <c r="L4066" s="26"/>
    </row>
    <row r="4067" spans="1:12">
      <c r="A4067" s="20" t="s">
        <v>1034</v>
      </c>
      <c r="E4067" s="21">
        <f>IF(D4067="?OLD","!!!","")</f>
        <v/>
      </c>
      <c r="F4067" s="22" t="str">
        <f>IF(OR(E4067="",E4067="!!!"),"",IF(NOT(ISNA(VLOOKUP(E4067,E$1:E4066,1,FALSE()))),"OLD",IF(AND(E4067&lt;&gt;"",E4067&lt;&gt;"!!!"),"NEW","")))</f>
        <v> </v>
      </c>
      <c r="G4067" s="23" t="str">
        <f>IF(OR(E4067="",E4067="!!!"),"",IF(OR(J4067=0,AND(J4067=1,K4067=1),AND(J4067=1,I4067="SBJ"),AND(J4067=1,I4067=0)),"?IN_FOCUS",IF(J4067&lt;=2,"?ACTIVATED",IF(J4067&lt;&gt;"","?FAMILIAR",IF(F4067="NEW",IF(ISNA(VLOOKUP(E4067,#REF!,1,FALSE())),"?TYPE_IDENTIFIABLE","?REFERENTIAL"),"_")))))</f>
        <v> </v>
      </c>
      <c r="H4067" s="24" t="str">
        <f>IF(J4067&lt;&gt;1,"",IF(I4067="SBJ","CB","?"))</f>
        <v> </v>
      </c>
      <c r="I4067" s="25" t="str">
        <f>IF(OR(E4067="",E4067="!!!",F4067="NEW"),"",INDEX(B4066:B$2,-1+SUMPRODUCT(MAX(ROW(E4066:E$2)*(E4067=E4066:E$2)))))</f>
        <v> </v>
      </c>
      <c r="J4067" s="25" t="str">
        <f>IF(OR(E4067="",E4067="!!!",F4067="NEW"),"",COUNTBLANK(OFFSET(A$1,,,SUMPRODUCT(MAX(ROW(E$2:E4067)*(E4067=E$2:E4067)))))-COUNTBLANK(OFFSET(A$1,,,SUMPRODUCT(MAX(ROW(E$1:E4066)*(E2=E$1:E4066))))))</f>
        <v> </v>
      </c>
      <c r="K4067" s="25" t="str">
        <f>IF(OR(E4067="",E4067="!!!",F4067="NEW"),"",INDEX(J$1:J4066,SUMPRODUCT(MAX(ROW(E$1:E4066)*(E4067=E$1:E4066)))))</f>
        <v> </v>
      </c>
      <c r="L4067" s="26"/>
    </row>
    <row r="4068" spans="1:12">
      <c r="A4068" s="20" t="s">
        <v>18</v>
      </c>
      <c r="B4068" s="27" t="s">
        <v>1090</v>
      </c>
      <c r="C4068" s="27" t="s">
        <v>1044</v>
      </c>
      <c r="D4068" s="27" t="s">
        <v>1014</v>
      </c>
      <c r="E4068" s="21">
        <f>IF(D4068="?OLD","!!!","")</f>
        <v/>
      </c>
      <c r="F4068" s="22" t="str">
        <f>IF(OR(E4068="",E4068="!!!"),"",IF(NOT(ISNA(VLOOKUP(E4068,E$1:E4067,1,FALSE()))),"OLD",IF(AND(E4068&lt;&gt;"",E4068&lt;&gt;"!!!"),"NEW","")))</f>
        <v> </v>
      </c>
      <c r="G4068" s="23" t="str">
        <f>IF(OR(E4068="",E4068="!!!"),"",IF(OR(J4068=0,AND(J4068=1,K4068=1),AND(J4068=1,I4068="SBJ"),AND(J4068=1,I4068=0)),"?IN_FOCUS",IF(J4068&lt;=2,"?ACTIVATED",IF(J4068&lt;&gt;"","?FAMILIAR",IF(F4068="NEW",IF(ISNA(VLOOKUP(E4068,#REF!,1,FALSE())),"?TYPE_IDENTIFIABLE","?REFERENTIAL"),"_")))))</f>
        <v> </v>
      </c>
      <c r="H4068" s="24" t="str">
        <f>IF(J4068&lt;&gt;1,"",IF(I4068="SBJ","CB","?"))</f>
        <v> </v>
      </c>
      <c r="I4068" s="25" t="str">
        <f>IF(OR(E4068="",E4068="!!!",F4068="NEW"),"",INDEX(B4067:B$2,-1+SUMPRODUCT(MAX(ROW(E4067:E$2)*(E4068=E4067:E$2)))))</f>
        <v> </v>
      </c>
      <c r="J4068" s="25" t="str">
        <f>IF(OR(E4068="",E4068="!!!",F4068="NEW"),"",COUNTBLANK(OFFSET(A$1,,,SUMPRODUCT(MAX(ROW(E$2:E4068)*(E4068=E$2:E4068)))))-COUNTBLANK(OFFSET(A$1,,,SUMPRODUCT(MAX(ROW(E$1:E4067)*(E2=E$1:E4067))))))</f>
        <v> </v>
      </c>
      <c r="K4068" s="25" t="str">
        <f>IF(OR(E4068="",E4068="!!!",F4068="NEW"),"",INDEX(J$1:J4067,SUMPRODUCT(MAX(ROW(E$1:E4067)*(E4068=E$1:E4067)))))</f>
        <v> </v>
      </c>
      <c r="L4068" s="26"/>
    </row>
    <row r="4069" spans="1:12">
      <c r="A4069" s="20" t="s">
        <v>1031</v>
      </c>
      <c r="E4069" s="21">
        <f>IF(D4069="?OLD","!!!","")</f>
        <v/>
      </c>
      <c r="F4069" s="22" t="str">
        <f>IF(OR(E4069="",E4069="!!!"),"",IF(NOT(ISNA(VLOOKUP(E4069,E$1:E4068,1,FALSE()))),"OLD",IF(AND(E4069&lt;&gt;"",E4069&lt;&gt;"!!!"),"NEW","")))</f>
        <v> </v>
      </c>
      <c r="G4069" s="23" t="str">
        <f>IF(OR(E4069="",E4069="!!!"),"",IF(OR(J4069=0,AND(J4069=1,K4069=1),AND(J4069=1,I4069="SBJ"),AND(J4069=1,I4069=0)),"?IN_FOCUS",IF(J4069&lt;=2,"?ACTIVATED",IF(J4069&lt;&gt;"","?FAMILIAR",IF(F4069="NEW",IF(ISNA(VLOOKUP(E4069,#REF!,1,FALSE())),"?TYPE_IDENTIFIABLE","?REFERENTIAL"),"_")))))</f>
        <v> </v>
      </c>
      <c r="H4069" s="24" t="str">
        <f>IF(J4069&lt;&gt;1,"",IF(I4069="SBJ","CB","?"))</f>
        <v> </v>
      </c>
      <c r="I4069" s="25" t="str">
        <f>IF(OR(E4069="",E4069="!!!",F4069="NEW"),"",INDEX(B4068:B$2,-1+SUMPRODUCT(MAX(ROW(E4068:E$2)*(E4069=E4068:E$2)))))</f>
        <v> </v>
      </c>
      <c r="J4069" s="25" t="str">
        <f>IF(OR(E4069="",E4069="!!!",F4069="NEW"),"",COUNTBLANK(OFFSET(A$1,,,SUMPRODUCT(MAX(ROW(E$2:E4069)*(E4069=E$2:E4069)))))-COUNTBLANK(OFFSET(A$1,,,SUMPRODUCT(MAX(ROW(E$1:E4068)*(E2=E$1:E4068))))))</f>
        <v> </v>
      </c>
      <c r="K4069" s="25" t="str">
        <f>IF(OR(E4069="",E4069="!!!",F4069="NEW"),"",INDEX(J$1:J4068,SUMPRODUCT(MAX(ROW(E$1:E4068)*(E4069=E$1:E4068)))))</f>
        <v> </v>
      </c>
      <c r="L4069" s="26"/>
    </row>
    <row r="4070" spans="1:12">
      <c r="A4070" s="20" t="s">
        <v>26</v>
      </c>
      <c r="E4070" s="21">
        <f>IF(D4070="?OLD","!!!","")</f>
        <v/>
      </c>
      <c r="F4070" s="22" t="str">
        <f>IF(OR(E4070="",E4070="!!!"),"",IF(NOT(ISNA(VLOOKUP(E4070,E$1:E4069,1,FALSE()))),"OLD",IF(AND(E4070&lt;&gt;"",E4070&lt;&gt;"!!!"),"NEW","")))</f>
        <v> </v>
      </c>
      <c r="G4070" s="23" t="str">
        <f>IF(OR(E4070="",E4070="!!!"),"",IF(OR(J4070=0,AND(J4070=1,K4070=1),AND(J4070=1,I4070="SBJ"),AND(J4070=1,I4070=0)),"?IN_FOCUS",IF(J4070&lt;=2,"?ACTIVATED",IF(J4070&lt;&gt;"","?FAMILIAR",IF(F4070="NEW",IF(ISNA(VLOOKUP(E4070,#REF!,1,FALSE())),"?TYPE_IDENTIFIABLE","?REFERENTIAL"),"_")))))</f>
        <v> </v>
      </c>
      <c r="H4070" s="24" t="str">
        <f>IF(J4070&lt;&gt;1,"",IF(I4070="SBJ","CB","?"))</f>
        <v> </v>
      </c>
      <c r="I4070" s="25" t="str">
        <f>IF(OR(E4070="",E4070="!!!",F4070="NEW"),"",INDEX(B4069:B$2,-1+SUMPRODUCT(MAX(ROW(E4069:E$2)*(E4070=E4069:E$2)))))</f>
        <v> </v>
      </c>
      <c r="J4070" s="25" t="str">
        <f>IF(OR(E4070="",E4070="!!!",F4070="NEW"),"",COUNTBLANK(OFFSET(A$1,,,SUMPRODUCT(MAX(ROW(E$2:E4070)*(E4070=E$2:E4070)))))-COUNTBLANK(OFFSET(A$1,,,SUMPRODUCT(MAX(ROW(E$1:E4069)*(E2=E$1:E4069))))))</f>
        <v> </v>
      </c>
      <c r="K4070" s="25" t="str">
        <f>IF(OR(E4070="",E4070="!!!",F4070="NEW"),"",INDEX(J$1:J4069,SUMPRODUCT(MAX(ROW(E$1:E4069)*(E4070=E$1:E4069)))))</f>
        <v> </v>
      </c>
      <c r="L4070" s="26"/>
    </row>
    <row r="4071" spans="1:12">
      <c r="A4071" s="20" t="s">
        <v>1119</v>
      </c>
      <c r="E4071" s="21">
        <f>IF(D4071="?OLD","!!!","")</f>
        <v/>
      </c>
      <c r="F4071" s="22" t="str">
        <f>IF(OR(E4071="",E4071="!!!"),"",IF(NOT(ISNA(VLOOKUP(E4071,E$1:E4070,1,FALSE()))),"OLD",IF(AND(E4071&lt;&gt;"",E4071&lt;&gt;"!!!"),"NEW","")))</f>
        <v> </v>
      </c>
      <c r="G4071" s="23" t="str">
        <f>IF(OR(E4071="",E4071="!!!"),"",IF(OR(J4071=0,AND(J4071=1,K4071=1),AND(J4071=1,I4071="SBJ"),AND(J4071=1,I4071=0)),"?IN_FOCUS",IF(J4071&lt;=2,"?ACTIVATED",IF(J4071&lt;&gt;"","?FAMILIAR",IF(F4071="NEW",IF(ISNA(VLOOKUP(E4071,#REF!,1,FALSE())),"?TYPE_IDENTIFIABLE","?REFERENTIAL"),"_")))))</f>
        <v> </v>
      </c>
      <c r="H4071" s="24" t="str">
        <f>IF(J4071&lt;&gt;1,"",IF(I4071="SBJ","CB","?"))</f>
        <v> </v>
      </c>
      <c r="I4071" s="25" t="str">
        <f>IF(OR(E4071="",E4071="!!!",F4071="NEW"),"",INDEX(B4070:B$2,-1+SUMPRODUCT(MAX(ROW(E4070:E$2)*(E4071=E4070:E$2)))))</f>
        <v> </v>
      </c>
      <c r="J4071" s="25" t="str">
        <f>IF(OR(E4071="",E4071="!!!",F4071="NEW"),"",COUNTBLANK(OFFSET(A$1,,,SUMPRODUCT(MAX(ROW(E$2:E4071)*(E4071=E$2:E4071)))))-COUNTBLANK(OFFSET(A$1,,,SUMPRODUCT(MAX(ROW(E$1:E4070)*(E2=E$1:E4070))))))</f>
        <v> </v>
      </c>
      <c r="K4071" s="25" t="str">
        <f>IF(OR(E4071="",E4071="!!!",F4071="NEW"),"",INDEX(J$1:J4070,SUMPRODUCT(MAX(ROW(E$1:E4070)*(E4071=E$1:E4070)))))</f>
        <v> </v>
      </c>
      <c r="L4071" s="26"/>
    </row>
    <row r="4072" spans="1:12">
      <c r="A4072" s="20" t="s">
        <v>1200</v>
      </c>
      <c r="E4072" s="21">
        <f>IF(D4072="?OLD","!!!","")</f>
        <v/>
      </c>
      <c r="F4072" s="22" t="str">
        <f>IF(OR(E4072="",E4072="!!!"),"",IF(NOT(ISNA(VLOOKUP(E4072,E$1:E4071,1,FALSE()))),"OLD",IF(AND(E4072&lt;&gt;"",E4072&lt;&gt;"!!!"),"NEW","")))</f>
        <v> </v>
      </c>
      <c r="G4072" s="23" t="str">
        <f>IF(OR(E4072="",E4072="!!!"),"",IF(OR(J4072=0,AND(J4072=1,K4072=1),AND(J4072=1,I4072="SBJ"),AND(J4072=1,I4072=0)),"?IN_FOCUS",IF(J4072&lt;=2,"?ACTIVATED",IF(J4072&lt;&gt;"","?FAMILIAR",IF(F4072="NEW",IF(ISNA(VLOOKUP(E4072,#REF!,1,FALSE())),"?TYPE_IDENTIFIABLE","?REFERENTIAL"),"_")))))</f>
        <v> </v>
      </c>
      <c r="H4072" s="24" t="str">
        <f>IF(J4072&lt;&gt;1,"",IF(I4072="SBJ","CB","?"))</f>
        <v> </v>
      </c>
      <c r="I4072" s="25" t="str">
        <f>IF(OR(E4072="",E4072="!!!",F4072="NEW"),"",INDEX(B4071:B$2,-1+SUMPRODUCT(MAX(ROW(E4071:E$2)*(E4072=E4071:E$2)))))</f>
        <v> </v>
      </c>
      <c r="J4072" s="25" t="str">
        <f>IF(OR(E4072="",E4072="!!!",F4072="NEW"),"",COUNTBLANK(OFFSET(A$1,,,SUMPRODUCT(MAX(ROW(E$2:E4072)*(E4072=E$2:E4072)))))-COUNTBLANK(OFFSET(A$1,,,SUMPRODUCT(MAX(ROW(E$1:E4071)*(E2=E$1:E4071))))))</f>
        <v> </v>
      </c>
      <c r="K4072" s="25" t="str">
        <f>IF(OR(E4072="",E4072="!!!",F4072="NEW"),"",INDEX(J$1:J4071,SUMPRODUCT(MAX(ROW(E$1:E4071)*(E4072=E$1:E4071)))))</f>
        <v> </v>
      </c>
      <c r="L4072" s="26"/>
    </row>
    <row r="4073" spans="1:12">
      <c r="A4073" s="20" t="s">
        <v>1091</v>
      </c>
      <c r="E4073" s="21">
        <f>IF(D4073="?OLD","!!!","")</f>
        <v/>
      </c>
      <c r="F4073" s="22" t="str">
        <f>IF(OR(E4073="",E4073="!!!"),"",IF(NOT(ISNA(VLOOKUP(E4073,E$1:E4072,1,FALSE()))),"OLD",IF(AND(E4073&lt;&gt;"",E4073&lt;&gt;"!!!"),"NEW","")))</f>
        <v> </v>
      </c>
      <c r="G4073" s="23" t="str">
        <f>IF(OR(E4073="",E4073="!!!"),"",IF(OR(J4073=0,AND(J4073=1,K4073=1),AND(J4073=1,I4073="SBJ"),AND(J4073=1,I4073=0)),"?IN_FOCUS",IF(J4073&lt;=2,"?ACTIVATED",IF(J4073&lt;&gt;"","?FAMILIAR",IF(F4073="NEW",IF(ISNA(VLOOKUP(E4073,#REF!,1,FALSE())),"?TYPE_IDENTIFIABLE","?REFERENTIAL"),"_")))))</f>
        <v> </v>
      </c>
      <c r="H4073" s="24" t="str">
        <f>IF(J4073&lt;&gt;1,"",IF(I4073="SBJ","CB","?"))</f>
        <v> </v>
      </c>
      <c r="I4073" s="25" t="str">
        <f>IF(OR(E4073="",E4073="!!!",F4073="NEW"),"",INDEX(B4072:B$2,-1+SUMPRODUCT(MAX(ROW(E4072:E$2)*(E4073=E4072:E$2)))))</f>
        <v> </v>
      </c>
      <c r="J4073" s="25" t="str">
        <f>IF(OR(E4073="",E4073="!!!",F4073="NEW"),"",COUNTBLANK(OFFSET(A$1,,,SUMPRODUCT(MAX(ROW(E$2:E4073)*(E4073=E$2:E4073)))))-COUNTBLANK(OFFSET(A$1,,,SUMPRODUCT(MAX(ROW(E$1:E4072)*(E2=E$1:E4072))))))</f>
        <v> </v>
      </c>
      <c r="K4073" s="25" t="str">
        <f>IF(OR(E4073="",E4073="!!!",F4073="NEW"),"",INDEX(J$1:J4072,SUMPRODUCT(MAX(ROW(E$1:E4072)*(E4073=E$1:E4072)))))</f>
        <v> </v>
      </c>
      <c r="L4073" s="26"/>
    </row>
    <row r="4074" spans="1:12">
      <c r="A4074" s="20"/>
    </row>
    <row r="4075" spans="1:12">
      <c r="A4075" s="20" t="s">
        <v>2051</v>
      </c>
    </row>
    <row r="4076" spans="1:12">
      <c r="A4076" s="20" t="s">
        <v>2052</v>
      </c>
      <c r="E4076" s="21">
        <f>IF(D4076="?OLD","!!!","")</f>
        <v/>
      </c>
      <c r="F4076" s="22" t="str">
        <f>IF(OR(E4076="",E4076="!!!"),"",IF(NOT(ISNA(VLOOKUP(E4076,E$1:E4075,1,FALSE()))),"OLD",IF(AND(E4076&lt;&gt;"",E4076&lt;&gt;"!!!"),"NEW","")))</f>
        <v> </v>
      </c>
      <c r="G4076" s="23" t="str">
        <f>IF(OR(E4076="",E4076="!!!"),"",IF(OR(J4076=0,AND(J4076=1,K4076=1),AND(J4076=1,I4076="SBJ"),AND(J4076=1,I4076=0)),"?IN_FOCUS",IF(J4076&lt;=2,"?ACTIVATED",IF(J4076&lt;&gt;"","?FAMILIAR",IF(F4076="NEW",IF(ISNA(VLOOKUP(E4076,#REF!,1,FALSE())),"?TYPE_IDENTIFIABLE","?REFERENTIAL"),"_")))))</f>
        <v> </v>
      </c>
      <c r="H4076" s="24" t="str">
        <f>IF(J4076&lt;&gt;1,"",IF(I4076="SBJ","CB","?"))</f>
        <v> </v>
      </c>
      <c r="I4076" s="25" t="str">
        <f>IF(OR(E4076="",E4076="!!!",F4076="NEW"),"",INDEX(B4075:B$2,-1+SUMPRODUCT(MAX(ROW(E4075:E$2)*(E4076=E4075:E$2)))))</f>
        <v> </v>
      </c>
      <c r="J4076" s="25" t="str">
        <f>IF(OR(E4076="",E4076="!!!",F4076="NEW"),"",COUNTBLANK(OFFSET(A$1,,,SUMPRODUCT(MAX(ROW(E$2:E4076)*(E4076=E$2:E4076)))))-COUNTBLANK(OFFSET(A$1,,,SUMPRODUCT(MAX(ROW(E$1:E4075)*(E2=E$1:E4075))))))</f>
        <v> </v>
      </c>
      <c r="K4076" s="25" t="str">
        <f>IF(OR(E4076="",E4076="!!!",F4076="NEW"),"",INDEX(J$1:J4075,SUMPRODUCT(MAX(ROW(E$1:E4075)*(E4076=E$1:E4075)))))</f>
        <v> </v>
      </c>
      <c r="L4076" s="26"/>
    </row>
    <row r="4077" spans="1:12">
      <c r="A4077" s="20" t="s">
        <v>1022</v>
      </c>
      <c r="E4077" s="21">
        <f>IF(D4077="?OLD","!!!","")</f>
        <v/>
      </c>
      <c r="F4077" s="22" t="str">
        <f>IF(OR(E4077="",E4077="!!!"),"",IF(NOT(ISNA(VLOOKUP(E4077,E$1:E4076,1,FALSE()))),"OLD",IF(AND(E4077&lt;&gt;"",E4077&lt;&gt;"!!!"),"NEW","")))</f>
        <v> </v>
      </c>
      <c r="G4077" s="23" t="str">
        <f>IF(OR(E4077="",E4077="!!!"),"",IF(OR(J4077=0,AND(J4077=1,K4077=1),AND(J4077=1,I4077="SBJ"),AND(J4077=1,I4077=0)),"?IN_FOCUS",IF(J4077&lt;=2,"?ACTIVATED",IF(J4077&lt;&gt;"","?FAMILIAR",IF(F4077="NEW",IF(ISNA(VLOOKUP(E4077,#REF!,1,FALSE())),"?TYPE_IDENTIFIABLE","?REFERENTIAL"),"_")))))</f>
        <v> </v>
      </c>
      <c r="H4077" s="24" t="str">
        <f>IF(J4077&lt;&gt;1,"",IF(I4077="SBJ","CB","?"))</f>
        <v> </v>
      </c>
      <c r="I4077" s="25" t="str">
        <f>IF(OR(E4077="",E4077="!!!",F4077="NEW"),"",INDEX(B4076:B$2,-1+SUMPRODUCT(MAX(ROW(E4076:E$2)*(E4077=E4076:E$2)))))</f>
        <v> </v>
      </c>
      <c r="J4077" s="25" t="str">
        <f>IF(OR(E4077="",E4077="!!!",F4077="NEW"),"",COUNTBLANK(OFFSET(A$1,,,SUMPRODUCT(MAX(ROW(E$2:E4077)*(E4077=E$2:E4077)))))-COUNTBLANK(OFFSET(A$1,,,SUMPRODUCT(MAX(ROW(E$1:E4076)*(E2=E$1:E4076))))))</f>
        <v> </v>
      </c>
      <c r="K4077" s="25" t="str">
        <f>IF(OR(E4077="",E4077="!!!",F4077="NEW"),"",INDEX(J$1:J4076,SUMPRODUCT(MAX(ROW(E$1:E4076)*(E4077=E$1:E4076)))))</f>
        <v> </v>
      </c>
      <c r="L4077" s="26"/>
    </row>
    <row r="4078" spans="1:12">
      <c r="A4078" s="20"/>
    </row>
    <row r="4079" spans="1:12">
      <c r="A4079" s="20" t="s">
        <v>2053</v>
      </c>
    </row>
    <row r="4080" spans="1:12">
      <c r="A4080" s="20" t="s">
        <v>2052</v>
      </c>
      <c r="E4080" s="21">
        <f>IF(D4080="?OLD","!!!","")</f>
        <v/>
      </c>
      <c r="F4080" s="22" t="str">
        <f>IF(OR(E4080="",E4080="!!!"),"",IF(NOT(ISNA(VLOOKUP(E4080,E$1:E4079,1,FALSE()))),"OLD",IF(AND(E4080&lt;&gt;"",E4080&lt;&gt;"!!!"),"NEW","")))</f>
        <v> </v>
      </c>
      <c r="G4080" s="23" t="str">
        <f>IF(OR(E4080="",E4080="!!!"),"",IF(OR(J4080=0,AND(J4080=1,K4080=1),AND(J4080=1,I4080="SBJ"),AND(J4080=1,I4080=0)),"?IN_FOCUS",IF(J4080&lt;=2,"?ACTIVATED",IF(J4080&lt;&gt;"","?FAMILIAR",IF(F4080="NEW",IF(ISNA(VLOOKUP(E4080,#REF!,1,FALSE())),"?TYPE_IDENTIFIABLE","?REFERENTIAL"),"_")))))</f>
        <v> </v>
      </c>
      <c r="H4080" s="24" t="str">
        <f>IF(J4080&lt;&gt;1,"",IF(I4080="SBJ","CB","?"))</f>
        <v> </v>
      </c>
      <c r="I4080" s="25" t="str">
        <f>IF(OR(E4080="",E4080="!!!",F4080="NEW"),"",INDEX(B4079:B$2,-1+SUMPRODUCT(MAX(ROW(E4079:E$2)*(E4080=E4079:E$2)))))</f>
        <v> </v>
      </c>
      <c r="J4080" s="25" t="str">
        <f>IF(OR(E4080="",E4080="!!!",F4080="NEW"),"",COUNTBLANK(OFFSET(A$1,,,SUMPRODUCT(MAX(ROW(E$2:E4080)*(E4080=E$2:E4080)))))-COUNTBLANK(OFFSET(A$1,,,SUMPRODUCT(MAX(ROW(E$1:E4079)*(E2=E$1:E4079))))))</f>
        <v> </v>
      </c>
      <c r="K4080" s="25" t="str">
        <f>IF(OR(E4080="",E4080="!!!",F4080="NEW"),"",INDEX(J$1:J4079,SUMPRODUCT(MAX(ROW(E$1:E4079)*(E4080=E$1:E4079)))))</f>
        <v> </v>
      </c>
      <c r="L4080" s="26"/>
    </row>
    <row r="4081" spans="1:12">
      <c r="A4081" s="20" t="s">
        <v>1027</v>
      </c>
      <c r="E4081" s="21">
        <f>IF(D4081="?OLD","!!!","")</f>
        <v/>
      </c>
      <c r="F4081" s="22" t="str">
        <f>IF(OR(E4081="",E4081="!!!"),"",IF(NOT(ISNA(VLOOKUP(E4081,E$1:E4080,1,FALSE()))),"OLD",IF(AND(E4081&lt;&gt;"",E4081&lt;&gt;"!!!"),"NEW","")))</f>
        <v> </v>
      </c>
      <c r="G4081" s="23" t="str">
        <f>IF(OR(E4081="",E4081="!!!"),"",IF(OR(J4081=0,AND(J4081=1,K4081=1),AND(J4081=1,I4081="SBJ"),AND(J4081=1,I4081=0)),"?IN_FOCUS",IF(J4081&lt;=2,"?ACTIVATED",IF(J4081&lt;&gt;"","?FAMILIAR",IF(F4081="NEW",IF(ISNA(VLOOKUP(E4081,#REF!,1,FALSE())),"?TYPE_IDENTIFIABLE","?REFERENTIAL"),"_")))))</f>
        <v> </v>
      </c>
      <c r="H4081" s="24" t="str">
        <f>IF(J4081&lt;&gt;1,"",IF(I4081="SBJ","CB","?"))</f>
        <v> </v>
      </c>
      <c r="I4081" s="25" t="str">
        <f>IF(OR(E4081="",E4081="!!!",F4081="NEW"),"",INDEX(B4080:B$2,-1+SUMPRODUCT(MAX(ROW(E4080:E$2)*(E4081=E4080:E$2)))))</f>
        <v> </v>
      </c>
      <c r="J4081" s="25" t="str">
        <f>IF(OR(E4081="",E4081="!!!",F4081="NEW"),"",COUNTBLANK(OFFSET(A$1,,,SUMPRODUCT(MAX(ROW(E$2:E4081)*(E4081=E$2:E4081)))))-COUNTBLANK(OFFSET(A$1,,,SUMPRODUCT(MAX(ROW(E$1:E4080)*(E2=E$1:E4080))))))</f>
        <v> </v>
      </c>
      <c r="K4081" s="25" t="str">
        <f>IF(OR(E4081="",E4081="!!!",F4081="NEW"),"",INDEX(J$1:J4080,SUMPRODUCT(MAX(ROW(E$1:E4080)*(E4081=E$1:E4080)))))</f>
        <v> </v>
      </c>
      <c r="L4081" s="26"/>
    </row>
    <row r="4082" spans="1:12">
      <c r="A4082" s="20" t="s">
        <v>1057</v>
      </c>
      <c r="B4082" s="27" t="s">
        <v>1038</v>
      </c>
      <c r="C4082" s="27" t="s">
        <v>1013</v>
      </c>
      <c r="D4082" s="27" t="s">
        <v>1014</v>
      </c>
      <c r="E4082" s="21">
        <f>IF(D4082="?OLD","!!!","")</f>
        <v/>
      </c>
      <c r="F4082" s="22" t="str">
        <f>IF(OR(E4082="",E4082="!!!"),"",IF(NOT(ISNA(VLOOKUP(E4082,E$1:E4081,1,FALSE()))),"OLD",IF(AND(E4082&lt;&gt;"",E4082&lt;&gt;"!!!"),"NEW","")))</f>
        <v> </v>
      </c>
      <c r="G4082" s="23" t="str">
        <f>IF(OR(E4082="",E4082="!!!"),"",IF(OR(J4082=0,AND(J4082=1,K4082=1),AND(J4082=1,I4082="SBJ"),AND(J4082=1,I4082=0)),"?IN_FOCUS",IF(J4082&lt;=2,"?ACTIVATED",IF(J4082&lt;&gt;"","?FAMILIAR",IF(F4082="NEW",IF(ISNA(VLOOKUP(E4082,#REF!,1,FALSE())),"?TYPE_IDENTIFIABLE","?REFERENTIAL"),"_")))))</f>
        <v> </v>
      </c>
      <c r="H4082" s="24" t="str">
        <f>IF(J4082&lt;&gt;1,"",IF(I4082="SBJ","CB","?"))</f>
        <v> </v>
      </c>
      <c r="I4082" s="25" t="str">
        <f>IF(OR(E4082="",E4082="!!!",F4082="NEW"),"",INDEX(B4081:B$2,-1+SUMPRODUCT(MAX(ROW(E4081:E$2)*(E4082=E4081:E$2)))))</f>
        <v> </v>
      </c>
      <c r="J4082" s="25" t="str">
        <f>IF(OR(E4082="",E4082="!!!",F4082="NEW"),"",COUNTBLANK(OFFSET(A$1,,,SUMPRODUCT(MAX(ROW(E$2:E4082)*(E4082=E$2:E4082)))))-COUNTBLANK(OFFSET(A$1,,,SUMPRODUCT(MAX(ROW(E$1:E4081)*(E2=E$1:E4081))))))</f>
        <v> </v>
      </c>
      <c r="K4082" s="25" t="str">
        <f>IF(OR(E4082="",E4082="!!!",F4082="NEW"),"",INDEX(J$1:J4081,SUMPRODUCT(MAX(ROW(E$1:E4081)*(E4082=E$1:E4081)))))</f>
        <v> </v>
      </c>
      <c r="L4082" s="26"/>
    </row>
    <row r="4083" spans="1:12">
      <c r="A4083" s="20" t="s">
        <v>140</v>
      </c>
      <c r="E4083" s="21">
        <f>IF(D4083="?OLD","!!!","")</f>
        <v/>
      </c>
      <c r="F4083" s="22" t="str">
        <f>IF(OR(E4083="",E4083="!!!"),"",IF(NOT(ISNA(VLOOKUP(E4083,E$1:E4082,1,FALSE()))),"OLD",IF(AND(E4083&lt;&gt;"",E4083&lt;&gt;"!!!"),"NEW","")))</f>
        <v> </v>
      </c>
      <c r="G4083" s="23" t="str">
        <f>IF(OR(E4083="",E4083="!!!"),"",IF(OR(J4083=0,AND(J4083=1,K4083=1),AND(J4083=1,I4083="SBJ"),AND(J4083=1,I4083=0)),"?IN_FOCUS",IF(J4083&lt;=2,"?ACTIVATED",IF(J4083&lt;&gt;"","?FAMILIAR",IF(F4083="NEW",IF(ISNA(VLOOKUP(E4083,#REF!,1,FALSE())),"?TYPE_IDENTIFIABLE","?REFERENTIAL"),"_")))))</f>
        <v> </v>
      </c>
      <c r="H4083" s="24" t="str">
        <f>IF(J4083&lt;&gt;1,"",IF(I4083="SBJ","CB","?"))</f>
        <v> </v>
      </c>
      <c r="I4083" s="25" t="str">
        <f>IF(OR(E4083="",E4083="!!!",F4083="NEW"),"",INDEX(B4082:B$2,-1+SUMPRODUCT(MAX(ROW(E4082:E$2)*(E4083=E4082:E$2)))))</f>
        <v> </v>
      </c>
      <c r="J4083" s="25" t="str">
        <f>IF(OR(E4083="",E4083="!!!",F4083="NEW"),"",COUNTBLANK(OFFSET(A$1,,,SUMPRODUCT(MAX(ROW(E$2:E4083)*(E4083=E$2:E4083)))))-COUNTBLANK(OFFSET(A$1,,,SUMPRODUCT(MAX(ROW(E$1:E4082)*(E2=E$1:E4082))))))</f>
        <v> </v>
      </c>
      <c r="K4083" s="25" t="str">
        <f>IF(OR(E4083="",E4083="!!!",F4083="NEW"),"",INDEX(J$1:J4082,SUMPRODUCT(MAX(ROW(E$1:E4082)*(E4083=E$1:E4082)))))</f>
        <v> </v>
      </c>
      <c r="L4083" s="26"/>
    </row>
    <row r="4084" spans="1:12">
      <c r="A4084" s="20" t="s">
        <v>1022</v>
      </c>
      <c r="E4084" s="21">
        <f>IF(D4084="?OLD","!!!","")</f>
        <v/>
      </c>
      <c r="F4084" s="22" t="str">
        <f>IF(OR(E4084="",E4084="!!!"),"",IF(NOT(ISNA(VLOOKUP(E4084,E$1:E4083,1,FALSE()))),"OLD",IF(AND(E4084&lt;&gt;"",E4084&lt;&gt;"!!!"),"NEW","")))</f>
        <v> </v>
      </c>
      <c r="G4084" s="23" t="str">
        <f>IF(OR(E4084="",E4084="!!!"),"",IF(OR(J4084=0,AND(J4084=1,K4084=1),AND(J4084=1,I4084="SBJ"),AND(J4084=1,I4084=0)),"?IN_FOCUS",IF(J4084&lt;=2,"?ACTIVATED",IF(J4084&lt;&gt;"","?FAMILIAR",IF(F4084="NEW",IF(ISNA(VLOOKUP(E4084,#REF!,1,FALSE())),"?TYPE_IDENTIFIABLE","?REFERENTIAL"),"_")))))</f>
        <v> </v>
      </c>
      <c r="H4084" s="24" t="str">
        <f>IF(J4084&lt;&gt;1,"",IF(I4084="SBJ","CB","?"))</f>
        <v> </v>
      </c>
      <c r="I4084" s="25" t="str">
        <f>IF(OR(E4084="",E4084="!!!",F4084="NEW"),"",INDEX(B4083:B$2,-1+SUMPRODUCT(MAX(ROW(E4083:E$2)*(E4084=E4083:E$2)))))</f>
        <v> </v>
      </c>
      <c r="J4084" s="25" t="str">
        <f>IF(OR(E4084="",E4084="!!!",F4084="NEW"),"",COUNTBLANK(OFFSET(A$1,,,SUMPRODUCT(MAX(ROW(E$2:E4084)*(E4084=E$2:E4084)))))-COUNTBLANK(OFFSET(A$1,,,SUMPRODUCT(MAX(ROW(E$1:E4083)*(E2=E$1:E4083))))))</f>
        <v> </v>
      </c>
      <c r="K4084" s="25" t="str">
        <f>IF(OR(E4084="",E4084="!!!",F4084="NEW"),"",INDEX(J$1:J4083,SUMPRODUCT(MAX(ROW(E$1:E4083)*(E4084=E$1:E4083)))))</f>
        <v> </v>
      </c>
      <c r="L4084" s="26"/>
    </row>
    <row r="4085" spans="1:12">
      <c r="A4085" s="20"/>
    </row>
    <row r="4086" spans="1:12">
      <c r="A4086" s="20" t="s">
        <v>2054</v>
      </c>
    </row>
    <row r="4087" spans="1:12">
      <c r="A4087" s="20" t="s">
        <v>1115</v>
      </c>
      <c r="B4087" s="27" t="s">
        <v>1038</v>
      </c>
      <c r="C4087" s="27" t="s">
        <v>1013</v>
      </c>
      <c r="D4087" s="27" t="s">
        <v>1014</v>
      </c>
      <c r="E4087" s="21">
        <f>IF(D4087="?OLD","!!!","")</f>
        <v/>
      </c>
      <c r="F4087" s="22" t="str">
        <f>IF(OR(E4087="",E4087="!!!"),"",IF(NOT(ISNA(VLOOKUP(E4087,E$1:E4086,1,FALSE()))),"OLD",IF(AND(E4087&lt;&gt;"",E4087&lt;&gt;"!!!"),"NEW","")))</f>
        <v> </v>
      </c>
      <c r="G4087" s="23" t="str">
        <f>IF(OR(E4087="",E4087="!!!"),"",IF(OR(J4087=0,AND(J4087=1,K4087=1),AND(J4087=1,I4087="SBJ"),AND(J4087=1,I4087=0)),"?IN_FOCUS",IF(J4087&lt;=2,"?ACTIVATED",IF(J4087&lt;&gt;"","?FAMILIAR",IF(F4087="NEW",IF(ISNA(VLOOKUP(E4087,#REF!,1,FALSE())),"?TYPE_IDENTIFIABLE","?REFERENTIAL"),"_")))))</f>
        <v> </v>
      </c>
      <c r="H4087" s="24" t="str">
        <f>IF(J4087&lt;&gt;1,"",IF(I4087="SBJ","CB","?"))</f>
        <v> </v>
      </c>
      <c r="I4087" s="25" t="str">
        <f>IF(OR(E4087="",E4087="!!!",F4087="NEW"),"",INDEX(B4086:B$2,-1+SUMPRODUCT(MAX(ROW(E4086:E$2)*(E4087=E4086:E$2)))))</f>
        <v> </v>
      </c>
      <c r="J4087" s="25" t="str">
        <f>IF(OR(E4087="",E4087="!!!",F4087="NEW"),"",COUNTBLANK(OFFSET(A$1,,,SUMPRODUCT(MAX(ROW(E$2:E4087)*(E4087=E$2:E4087)))))-COUNTBLANK(OFFSET(A$1,,,SUMPRODUCT(MAX(ROW(E$1:E4086)*(E2=E$1:E4086))))))</f>
        <v> </v>
      </c>
      <c r="K4087" s="25" t="str">
        <f>IF(OR(E4087="",E4087="!!!",F4087="NEW"),"",INDEX(J$1:J4086,SUMPRODUCT(MAX(ROW(E$1:E4086)*(E4087=E$1:E4086)))))</f>
        <v> </v>
      </c>
      <c r="L4087" s="26"/>
    </row>
    <row r="4088" spans="1:12">
      <c r="A4088" s="20" t="s">
        <v>1011</v>
      </c>
      <c r="E4088" s="21">
        <f>IF(D4088="?OLD","!!!","")</f>
        <v/>
      </c>
      <c r="F4088" s="22" t="str">
        <f>IF(OR(E4088="",E4088="!!!"),"",IF(NOT(ISNA(VLOOKUP(E4088,E$1:E4087,1,FALSE()))),"OLD",IF(AND(E4088&lt;&gt;"",E4088&lt;&gt;"!!!"),"NEW","")))</f>
        <v> </v>
      </c>
      <c r="G4088" s="23" t="str">
        <f>IF(OR(E4088="",E4088="!!!"),"",IF(OR(J4088=0,AND(J4088=1,K4088=1),AND(J4088=1,I4088="SBJ"),AND(J4088=1,I4088=0)),"?IN_FOCUS",IF(J4088&lt;=2,"?ACTIVATED",IF(J4088&lt;&gt;"","?FAMILIAR",IF(F4088="NEW",IF(ISNA(VLOOKUP(E4088,#REF!,1,FALSE())),"?TYPE_IDENTIFIABLE","?REFERENTIAL"),"_")))))</f>
        <v> </v>
      </c>
      <c r="H4088" s="24" t="str">
        <f>IF(J4088&lt;&gt;1,"",IF(I4088="SBJ","CB","?"))</f>
        <v> </v>
      </c>
      <c r="I4088" s="25" t="str">
        <f>IF(OR(E4088="",E4088="!!!",F4088="NEW"),"",INDEX(B4087:B$2,-1+SUMPRODUCT(MAX(ROW(E4087:E$2)*(E4088=E4087:E$2)))))</f>
        <v> </v>
      </c>
      <c r="J4088" s="25" t="str">
        <f>IF(OR(E4088="",E4088="!!!",F4088="NEW"),"",COUNTBLANK(OFFSET(A$1,,,SUMPRODUCT(MAX(ROW(E$2:E4088)*(E4088=E$2:E4088)))))-COUNTBLANK(OFFSET(A$1,,,SUMPRODUCT(MAX(ROW(E$1:E4087)*(E2=E$1:E4087))))))</f>
        <v> </v>
      </c>
      <c r="K4088" s="25" t="str">
        <f>IF(OR(E4088="",E4088="!!!",F4088="NEW"),"",INDEX(J$1:J4087,SUMPRODUCT(MAX(ROW(E$1:E4087)*(E4088=E$1:E4087)))))</f>
        <v> </v>
      </c>
      <c r="L4088" s="26"/>
    </row>
    <row r="4089" spans="1:12">
      <c r="A4089" s="20" t="s">
        <v>2055</v>
      </c>
      <c r="E4089" s="21">
        <f>IF(D4089="?OLD","!!!","")</f>
        <v/>
      </c>
      <c r="F4089" s="22" t="str">
        <f>IF(OR(E4089="",E4089="!!!"),"",IF(NOT(ISNA(VLOOKUP(E4089,E$1:E4088,1,FALSE()))),"OLD",IF(AND(E4089&lt;&gt;"",E4089&lt;&gt;"!!!"),"NEW","")))</f>
        <v> </v>
      </c>
      <c r="G4089" s="23" t="str">
        <f>IF(OR(E4089="",E4089="!!!"),"",IF(OR(J4089=0,AND(J4089=1,K4089=1),AND(J4089=1,I4089="SBJ"),AND(J4089=1,I4089=0)),"?IN_FOCUS",IF(J4089&lt;=2,"?ACTIVATED",IF(J4089&lt;&gt;"","?FAMILIAR",IF(F4089="NEW",IF(ISNA(VLOOKUP(E4089,#REF!,1,FALSE())),"?TYPE_IDENTIFIABLE","?REFERENTIAL"),"_")))))</f>
        <v> </v>
      </c>
      <c r="H4089" s="24" t="str">
        <f>IF(J4089&lt;&gt;1,"",IF(I4089="SBJ","CB","?"))</f>
        <v> </v>
      </c>
      <c r="I4089" s="25" t="str">
        <f>IF(OR(E4089="",E4089="!!!",F4089="NEW"),"",INDEX(B4088:B$2,-1+SUMPRODUCT(MAX(ROW(E4088:E$2)*(E4089=E4088:E$2)))))</f>
        <v> </v>
      </c>
      <c r="J4089" s="25" t="str">
        <f>IF(OR(E4089="",E4089="!!!",F4089="NEW"),"",COUNTBLANK(OFFSET(A$1,,,SUMPRODUCT(MAX(ROW(E$2:E4089)*(E4089=E$2:E4089)))))-COUNTBLANK(OFFSET(A$1,,,SUMPRODUCT(MAX(ROW(E$1:E4088)*(E2=E$1:E4088))))))</f>
        <v> </v>
      </c>
      <c r="K4089" s="25" t="str">
        <f>IF(OR(E4089="",E4089="!!!",F4089="NEW"),"",INDEX(J$1:J4088,SUMPRODUCT(MAX(ROW(E$1:E4088)*(E4089=E$1:E4088)))))</f>
        <v> </v>
      </c>
      <c r="L4089" s="26"/>
    </row>
    <row r="4090" spans="1:12">
      <c r="A4090" s="20" t="s">
        <v>1040</v>
      </c>
      <c r="E4090" s="21">
        <f>IF(D4090="?OLD","!!!","")</f>
        <v/>
      </c>
      <c r="F4090" s="22" t="str">
        <f>IF(OR(E4090="",E4090="!!!"),"",IF(NOT(ISNA(VLOOKUP(E4090,E$1:E4089,1,FALSE()))),"OLD",IF(AND(E4090&lt;&gt;"",E4090&lt;&gt;"!!!"),"NEW","")))</f>
        <v> </v>
      </c>
      <c r="G4090" s="23" t="str">
        <f>IF(OR(E4090="",E4090="!!!"),"",IF(OR(J4090=0,AND(J4090=1,K4090=1),AND(J4090=1,I4090="SBJ"),AND(J4090=1,I4090=0)),"?IN_FOCUS",IF(J4090&lt;=2,"?ACTIVATED",IF(J4090&lt;&gt;"","?FAMILIAR",IF(F4090="NEW",IF(ISNA(VLOOKUP(E4090,#REF!,1,FALSE())),"?TYPE_IDENTIFIABLE","?REFERENTIAL"),"_")))))</f>
        <v> </v>
      </c>
      <c r="H4090" s="24" t="str">
        <f>IF(J4090&lt;&gt;1,"",IF(I4090="SBJ","CB","?"))</f>
        <v> </v>
      </c>
      <c r="I4090" s="25" t="str">
        <f>IF(OR(E4090="",E4090="!!!",F4090="NEW"),"",INDEX(B4089:B$2,-1+SUMPRODUCT(MAX(ROW(E4089:E$2)*(E4090=E4089:E$2)))))</f>
        <v> </v>
      </c>
      <c r="J4090" s="25" t="str">
        <f>IF(OR(E4090="",E4090="!!!",F4090="NEW"),"",COUNTBLANK(OFFSET(A$1,,,SUMPRODUCT(MAX(ROW(E$2:E4090)*(E4090=E$2:E4090)))))-COUNTBLANK(OFFSET(A$1,,,SUMPRODUCT(MAX(ROW(E$1:E4089)*(E2=E$1:E4089))))))</f>
        <v> </v>
      </c>
      <c r="K4090" s="25" t="str">
        <f>IF(OR(E4090="",E4090="!!!",F4090="NEW"),"",INDEX(J$1:J4089,SUMPRODUCT(MAX(ROW(E$1:E4089)*(E4090=E$1:E4089)))))</f>
        <v> </v>
      </c>
      <c r="L4090" s="26"/>
    </row>
    <row r="4091" spans="1:12">
      <c r="A4091" s="20" t="s">
        <v>1122</v>
      </c>
      <c r="E4091" s="21">
        <f>IF(D4091="?OLD","!!!","")</f>
        <v/>
      </c>
      <c r="F4091" s="22" t="str">
        <f>IF(OR(E4091="",E4091="!!!"),"",IF(NOT(ISNA(VLOOKUP(E4091,E$1:E4090,1,FALSE()))),"OLD",IF(AND(E4091&lt;&gt;"",E4091&lt;&gt;"!!!"),"NEW","")))</f>
        <v> </v>
      </c>
      <c r="G4091" s="23" t="str">
        <f>IF(OR(E4091="",E4091="!!!"),"",IF(OR(J4091=0,AND(J4091=1,K4091=1),AND(J4091=1,I4091="SBJ"),AND(J4091=1,I4091=0)),"?IN_FOCUS",IF(J4091&lt;=2,"?ACTIVATED",IF(J4091&lt;&gt;"","?FAMILIAR",IF(F4091="NEW",IF(ISNA(VLOOKUP(E4091,#REF!,1,FALSE())),"?TYPE_IDENTIFIABLE","?REFERENTIAL"),"_")))))</f>
        <v> </v>
      </c>
      <c r="H4091" s="24" t="str">
        <f>IF(J4091&lt;&gt;1,"",IF(I4091="SBJ","CB","?"))</f>
        <v> </v>
      </c>
      <c r="I4091" s="25" t="str">
        <f>IF(OR(E4091="",E4091="!!!",F4091="NEW"),"",INDEX(B4090:B$2,-1+SUMPRODUCT(MAX(ROW(E4090:E$2)*(E4091=E4090:E$2)))))</f>
        <v> </v>
      </c>
      <c r="J4091" s="25" t="str">
        <f>IF(OR(E4091="",E4091="!!!",F4091="NEW"),"",COUNTBLANK(OFFSET(A$1,,,SUMPRODUCT(MAX(ROW(E$2:E4091)*(E4091=E$2:E4091)))))-COUNTBLANK(OFFSET(A$1,,,SUMPRODUCT(MAX(ROW(E$1:E4090)*(E2=E$1:E4090))))))</f>
        <v> </v>
      </c>
      <c r="K4091" s="25" t="str">
        <f>IF(OR(E4091="",E4091="!!!",F4091="NEW"),"",INDEX(J$1:J4090,SUMPRODUCT(MAX(ROW(E$1:E4090)*(E4091=E$1:E4090)))))</f>
        <v> </v>
      </c>
      <c r="L4091" s="26"/>
    </row>
    <row r="4092" spans="1:12">
      <c r="A4092" s="20" t="s">
        <v>2056</v>
      </c>
      <c r="E4092" s="21">
        <f>IF(D4092="?OLD","!!!","")</f>
        <v/>
      </c>
      <c r="F4092" s="22" t="str">
        <f>IF(OR(E4092="",E4092="!!!"),"",IF(NOT(ISNA(VLOOKUP(E4092,E$1:E4091,1,FALSE()))),"OLD",IF(AND(E4092&lt;&gt;"",E4092&lt;&gt;"!!!"),"NEW","")))</f>
        <v> </v>
      </c>
      <c r="G4092" s="23" t="str">
        <f>IF(OR(E4092="",E4092="!!!"),"",IF(OR(J4092=0,AND(J4092=1,K4092=1),AND(J4092=1,I4092="SBJ"),AND(J4092=1,I4092=0)),"?IN_FOCUS",IF(J4092&lt;=2,"?ACTIVATED",IF(J4092&lt;&gt;"","?FAMILIAR",IF(F4092="NEW",IF(ISNA(VLOOKUP(E4092,#REF!,1,FALSE())),"?TYPE_IDENTIFIABLE","?REFERENTIAL"),"_")))))</f>
        <v> </v>
      </c>
      <c r="H4092" s="24" t="str">
        <f>IF(J4092&lt;&gt;1,"",IF(I4092="SBJ","CB","?"))</f>
        <v> </v>
      </c>
      <c r="I4092" s="25" t="str">
        <f>IF(OR(E4092="",E4092="!!!",F4092="NEW"),"",INDEX(B4091:B$2,-1+SUMPRODUCT(MAX(ROW(E4091:E$2)*(E4092=E4091:E$2)))))</f>
        <v> </v>
      </c>
      <c r="J4092" s="25" t="str">
        <f>IF(OR(E4092="",E4092="!!!",F4092="NEW"),"",COUNTBLANK(OFFSET(A$1,,,SUMPRODUCT(MAX(ROW(E$2:E4092)*(E4092=E$2:E4092)))))-COUNTBLANK(OFFSET(A$1,,,SUMPRODUCT(MAX(ROW(E$1:E4091)*(E2=E$1:E4091))))))</f>
        <v> </v>
      </c>
      <c r="K4092" s="25" t="str">
        <f>IF(OR(E4092="",E4092="!!!",F4092="NEW"),"",INDEX(J$1:J4091,SUMPRODUCT(MAX(ROW(E$1:E4091)*(E4092=E$1:E4091)))))</f>
        <v> </v>
      </c>
      <c r="L4092" s="26"/>
    </row>
    <row r="4093" spans="1:12">
      <c r="A4093" s="20" t="s">
        <v>1015</v>
      </c>
      <c r="E4093" s="21">
        <f>IF(D4093="?OLD","!!!","")</f>
        <v/>
      </c>
      <c r="F4093" s="22" t="str">
        <f>IF(OR(E4093="",E4093="!!!"),"",IF(NOT(ISNA(VLOOKUP(E4093,E$1:E4092,1,FALSE()))),"OLD",IF(AND(E4093&lt;&gt;"",E4093&lt;&gt;"!!!"),"NEW","")))</f>
        <v> </v>
      </c>
      <c r="G4093" s="23" t="str">
        <f>IF(OR(E4093="",E4093="!!!"),"",IF(OR(J4093=0,AND(J4093=1,K4093=1),AND(J4093=1,I4093="SBJ"),AND(J4093=1,I4093=0)),"?IN_FOCUS",IF(J4093&lt;=2,"?ACTIVATED",IF(J4093&lt;&gt;"","?FAMILIAR",IF(F4093="NEW",IF(ISNA(VLOOKUP(E4093,#REF!,1,FALSE())),"?TYPE_IDENTIFIABLE","?REFERENTIAL"),"_")))))</f>
        <v> </v>
      </c>
      <c r="H4093" s="24" t="str">
        <f>IF(J4093&lt;&gt;1,"",IF(I4093="SBJ","CB","?"))</f>
        <v> </v>
      </c>
      <c r="I4093" s="25" t="str">
        <f>IF(OR(E4093="",E4093="!!!",F4093="NEW"),"",INDEX(B4092:B$2,-1+SUMPRODUCT(MAX(ROW(E4092:E$2)*(E4093=E4092:E$2)))))</f>
        <v> </v>
      </c>
      <c r="J4093" s="25" t="str">
        <f>IF(OR(E4093="",E4093="!!!",F4093="NEW"),"",COUNTBLANK(OFFSET(A$1,,,SUMPRODUCT(MAX(ROW(E$2:E4093)*(E4093=E$2:E4093)))))-COUNTBLANK(OFFSET(A$1,,,SUMPRODUCT(MAX(ROW(E$1:E4092)*(E2=E$1:E4092))))))</f>
        <v> </v>
      </c>
      <c r="K4093" s="25" t="str">
        <f>IF(OR(E4093="",E4093="!!!",F4093="NEW"),"",INDEX(J$1:J4092,SUMPRODUCT(MAX(ROW(E$1:E4092)*(E4093=E$1:E4092)))))</f>
        <v> </v>
      </c>
      <c r="L4093" s="26"/>
    </row>
    <row r="4094" spans="1:12">
      <c r="A4094" s="20" t="s">
        <v>1336</v>
      </c>
      <c r="E4094" s="21">
        <f>IF(D4094="?OLD","!!!","")</f>
        <v/>
      </c>
      <c r="F4094" s="22" t="str">
        <f>IF(OR(E4094="",E4094="!!!"),"",IF(NOT(ISNA(VLOOKUP(E4094,E$1:E4093,1,FALSE()))),"OLD",IF(AND(E4094&lt;&gt;"",E4094&lt;&gt;"!!!"),"NEW","")))</f>
        <v> </v>
      </c>
      <c r="G4094" s="23" t="str">
        <f>IF(OR(E4094="",E4094="!!!"),"",IF(OR(J4094=0,AND(J4094=1,K4094=1),AND(J4094=1,I4094="SBJ"),AND(J4094=1,I4094=0)),"?IN_FOCUS",IF(J4094&lt;=2,"?ACTIVATED",IF(J4094&lt;&gt;"","?FAMILIAR",IF(F4094="NEW",IF(ISNA(VLOOKUP(E4094,#REF!,1,FALSE())),"?TYPE_IDENTIFIABLE","?REFERENTIAL"),"_")))))</f>
        <v> </v>
      </c>
      <c r="H4094" s="24" t="str">
        <f>IF(J4094&lt;&gt;1,"",IF(I4094="SBJ","CB","?"))</f>
        <v> </v>
      </c>
      <c r="I4094" s="25" t="str">
        <f>IF(OR(E4094="",E4094="!!!",F4094="NEW"),"",INDEX(B4093:B$2,-1+SUMPRODUCT(MAX(ROW(E4093:E$2)*(E4094=E4093:E$2)))))</f>
        <v> </v>
      </c>
      <c r="J4094" s="25" t="str">
        <f>IF(OR(E4094="",E4094="!!!",F4094="NEW"),"",COUNTBLANK(OFFSET(A$1,,,SUMPRODUCT(MAX(ROW(E$2:E4094)*(E4094=E$2:E4094)))))-COUNTBLANK(OFFSET(A$1,,,SUMPRODUCT(MAX(ROW(E$1:E4093)*(E2=E$1:E4093))))))</f>
        <v> </v>
      </c>
      <c r="K4094" s="25" t="str">
        <f>IF(OR(E4094="",E4094="!!!",F4094="NEW"),"",INDEX(J$1:J4093,SUMPRODUCT(MAX(ROW(E$1:E4093)*(E4094=E$1:E4093)))))</f>
        <v> </v>
      </c>
      <c r="L4094" s="26"/>
    </row>
    <row r="4095" spans="1:12">
      <c r="A4095" s="20" t="s">
        <v>1027</v>
      </c>
      <c r="E4095" s="21">
        <f>IF(D4095="?OLD","!!!","")</f>
        <v/>
      </c>
      <c r="F4095" s="22" t="str">
        <f>IF(OR(E4095="",E4095="!!!"),"",IF(NOT(ISNA(VLOOKUP(E4095,E$1:E4094,1,FALSE()))),"OLD",IF(AND(E4095&lt;&gt;"",E4095&lt;&gt;"!!!"),"NEW","")))</f>
        <v> </v>
      </c>
      <c r="G4095" s="23" t="str">
        <f>IF(OR(E4095="",E4095="!!!"),"",IF(OR(J4095=0,AND(J4095=1,K4095=1),AND(J4095=1,I4095="SBJ"),AND(J4095=1,I4095=0)),"?IN_FOCUS",IF(J4095&lt;=2,"?ACTIVATED",IF(J4095&lt;&gt;"","?FAMILIAR",IF(F4095="NEW",IF(ISNA(VLOOKUP(E4095,#REF!,1,FALSE())),"?TYPE_IDENTIFIABLE","?REFERENTIAL"),"_")))))</f>
        <v> </v>
      </c>
      <c r="H4095" s="24" t="str">
        <f>IF(J4095&lt;&gt;1,"",IF(I4095="SBJ","CB","?"))</f>
        <v> </v>
      </c>
      <c r="I4095" s="25" t="str">
        <f>IF(OR(E4095="",E4095="!!!",F4095="NEW"),"",INDEX(B4094:B$2,-1+SUMPRODUCT(MAX(ROW(E4094:E$2)*(E4095=E4094:E$2)))))</f>
        <v> </v>
      </c>
      <c r="J4095" s="25" t="str">
        <f>IF(OR(E4095="",E4095="!!!",F4095="NEW"),"",COUNTBLANK(OFFSET(A$1,,,SUMPRODUCT(MAX(ROW(E$2:E4095)*(E4095=E$2:E4095)))))-COUNTBLANK(OFFSET(A$1,,,SUMPRODUCT(MAX(ROW(E$1:E4094)*(E2=E$1:E4094))))))</f>
        <v> </v>
      </c>
      <c r="K4095" s="25" t="str">
        <f>IF(OR(E4095="",E4095="!!!",F4095="NEW"),"",INDEX(J$1:J4094,SUMPRODUCT(MAX(ROW(E$1:E4094)*(E4095=E$1:E4094)))))</f>
        <v> </v>
      </c>
      <c r="L4095" s="26"/>
    </row>
    <row r="4096" spans="1:12">
      <c r="A4096" s="20" t="s">
        <v>1589</v>
      </c>
      <c r="E4096" s="21">
        <f>IF(D4096="?OLD","!!!","")</f>
        <v/>
      </c>
      <c r="F4096" s="22" t="str">
        <f>IF(OR(E4096="",E4096="!!!"),"",IF(NOT(ISNA(VLOOKUP(E4096,E$1:E4095,1,FALSE()))),"OLD",IF(AND(E4096&lt;&gt;"",E4096&lt;&gt;"!!!"),"NEW","")))</f>
        <v> </v>
      </c>
      <c r="G4096" s="23" t="str">
        <f>IF(OR(E4096="",E4096="!!!"),"",IF(OR(J4096=0,AND(J4096=1,K4096=1),AND(J4096=1,I4096="SBJ"),AND(J4096=1,I4096=0)),"?IN_FOCUS",IF(J4096&lt;=2,"?ACTIVATED",IF(J4096&lt;&gt;"","?FAMILIAR",IF(F4096="NEW",IF(ISNA(VLOOKUP(E4096,#REF!,1,FALSE())),"?TYPE_IDENTIFIABLE","?REFERENTIAL"),"_")))))</f>
        <v> </v>
      </c>
      <c r="H4096" s="24" t="str">
        <f>IF(J4096&lt;&gt;1,"",IF(I4096="SBJ","CB","?"))</f>
        <v> </v>
      </c>
      <c r="I4096" s="25" t="str">
        <f>IF(OR(E4096="",E4096="!!!",F4096="NEW"),"",INDEX(B4095:B$2,-1+SUMPRODUCT(MAX(ROW(E4095:E$2)*(E4096=E4095:E$2)))))</f>
        <v> </v>
      </c>
      <c r="J4096" s="25" t="str">
        <f>IF(OR(E4096="",E4096="!!!",F4096="NEW"),"",COUNTBLANK(OFFSET(A$1,,,SUMPRODUCT(MAX(ROW(E$2:E4096)*(E4096=E$2:E4096)))))-COUNTBLANK(OFFSET(A$1,,,SUMPRODUCT(MAX(ROW(E$1:E4095)*(E2=E$1:E4095))))))</f>
        <v> </v>
      </c>
      <c r="K4096" s="25" t="str">
        <f>IF(OR(E4096="",E4096="!!!",F4096="NEW"),"",INDEX(J$1:J4095,SUMPRODUCT(MAX(ROW(E$1:E4095)*(E4096=E$1:E4095)))))</f>
        <v> </v>
      </c>
      <c r="L4096" s="26"/>
    </row>
    <row r="4097" spans="1:12">
      <c r="A4097" s="20" t="s">
        <v>1017</v>
      </c>
      <c r="B4097" s="27" t="s">
        <v>1033</v>
      </c>
      <c r="C4097" s="27" t="s">
        <v>1013</v>
      </c>
      <c r="D4097" s="27" t="s">
        <v>1014</v>
      </c>
      <c r="E4097" s="21">
        <f>IF(D4097="?OLD","!!!","")</f>
        <v/>
      </c>
      <c r="F4097" s="22" t="str">
        <f>IF(OR(E4097="",E4097="!!!"),"",IF(NOT(ISNA(VLOOKUP(E4097,E$1:E4096,1,FALSE()))),"OLD",IF(AND(E4097&lt;&gt;"",E4097&lt;&gt;"!!!"),"NEW","")))</f>
        <v> </v>
      </c>
      <c r="G4097" s="23" t="str">
        <f>IF(OR(E4097="",E4097="!!!"),"",IF(OR(J4097=0,AND(J4097=1,K4097=1),AND(J4097=1,I4097="SBJ"),AND(J4097=1,I4097=0)),"?IN_FOCUS",IF(J4097&lt;=2,"?ACTIVATED",IF(J4097&lt;&gt;"","?FAMILIAR",IF(F4097="NEW",IF(ISNA(VLOOKUP(E4097,#REF!,1,FALSE())),"?TYPE_IDENTIFIABLE","?REFERENTIAL"),"_")))))</f>
        <v> </v>
      </c>
      <c r="H4097" s="24" t="str">
        <f>IF(J4097&lt;&gt;1,"",IF(I4097="SBJ","CB","?"))</f>
        <v> </v>
      </c>
      <c r="I4097" s="25" t="str">
        <f>IF(OR(E4097="",E4097="!!!",F4097="NEW"),"",INDEX(B4096:B$2,-1+SUMPRODUCT(MAX(ROW(E4096:E$2)*(E4097=E4096:E$2)))))</f>
        <v> </v>
      </c>
      <c r="J4097" s="25" t="str">
        <f>IF(OR(E4097="",E4097="!!!",F4097="NEW"),"",COUNTBLANK(OFFSET(A$1,,,SUMPRODUCT(MAX(ROW(E$2:E4097)*(E4097=E$2:E4097)))))-COUNTBLANK(OFFSET(A$1,,,SUMPRODUCT(MAX(ROW(E$1:E4096)*(E2=E$1:E4096))))))</f>
        <v> </v>
      </c>
      <c r="K4097" s="25" t="str">
        <f>IF(OR(E4097="",E4097="!!!",F4097="NEW"),"",INDEX(J$1:J4096,SUMPRODUCT(MAX(ROW(E$1:E4096)*(E4097=E$1:E4096)))))</f>
        <v> </v>
      </c>
      <c r="L4097" s="26"/>
    </row>
    <row r="4098" spans="1:12">
      <c r="A4098" s="20" t="s">
        <v>22</v>
      </c>
      <c r="E4098" s="21">
        <f>IF(D4098="?OLD","!!!","")</f>
        <v/>
      </c>
      <c r="F4098" s="22" t="str">
        <f>IF(OR(E4098="",E4098="!!!"),"",IF(NOT(ISNA(VLOOKUP(E4098,E$1:E4097,1,FALSE()))),"OLD",IF(AND(E4098&lt;&gt;"",E4098&lt;&gt;"!!!"),"NEW","")))</f>
        <v> </v>
      </c>
      <c r="G4098" s="23" t="str">
        <f>IF(OR(E4098="",E4098="!!!"),"",IF(OR(J4098=0,AND(J4098=1,K4098=1),AND(J4098=1,I4098="SBJ"),AND(J4098=1,I4098=0)),"?IN_FOCUS",IF(J4098&lt;=2,"?ACTIVATED",IF(J4098&lt;&gt;"","?FAMILIAR",IF(F4098="NEW",IF(ISNA(VLOOKUP(E4098,#REF!,1,FALSE())),"?TYPE_IDENTIFIABLE","?REFERENTIAL"),"_")))))</f>
        <v> </v>
      </c>
      <c r="H4098" s="24" t="str">
        <f>IF(J4098&lt;&gt;1,"",IF(I4098="SBJ","CB","?"))</f>
        <v> </v>
      </c>
      <c r="I4098" s="25" t="str">
        <f>IF(OR(E4098="",E4098="!!!",F4098="NEW"),"",INDEX(B4097:B$2,-1+SUMPRODUCT(MAX(ROW(E4097:E$2)*(E4098=E4097:E$2)))))</f>
        <v> </v>
      </c>
      <c r="J4098" s="25" t="str">
        <f>IF(OR(E4098="",E4098="!!!",F4098="NEW"),"",COUNTBLANK(OFFSET(A$1,,,SUMPRODUCT(MAX(ROW(E$2:E4098)*(E4098=E$2:E4098)))))-COUNTBLANK(OFFSET(A$1,,,SUMPRODUCT(MAX(ROW(E$1:E4097)*(E2=E$1:E4097))))))</f>
        <v> </v>
      </c>
      <c r="K4098" s="25" t="str">
        <f>IF(OR(E4098="",E4098="!!!",F4098="NEW"),"",INDEX(J$1:J4097,SUMPRODUCT(MAX(ROW(E$1:E4097)*(E4098=E$1:E4097)))))</f>
        <v> </v>
      </c>
      <c r="L4098" s="26"/>
    </row>
    <row r="4099" spans="1:12">
      <c r="A4099" s="20" t="s">
        <v>1195</v>
      </c>
      <c r="E4099" s="21">
        <f>IF(D4099="?OLD","!!!","")</f>
        <v/>
      </c>
      <c r="F4099" s="22" t="str">
        <f>IF(OR(E4099="",E4099="!!!"),"",IF(NOT(ISNA(VLOOKUP(E4099,E$1:E4098,1,FALSE()))),"OLD",IF(AND(E4099&lt;&gt;"",E4099&lt;&gt;"!!!"),"NEW","")))</f>
        <v> </v>
      </c>
      <c r="G4099" s="23" t="str">
        <f>IF(OR(E4099="",E4099="!!!"),"",IF(OR(J4099=0,AND(J4099=1,K4099=1),AND(J4099=1,I4099="SBJ"),AND(J4099=1,I4099=0)),"?IN_FOCUS",IF(J4099&lt;=2,"?ACTIVATED",IF(J4099&lt;&gt;"","?FAMILIAR",IF(F4099="NEW",IF(ISNA(VLOOKUP(E4099,#REF!,1,FALSE())),"?TYPE_IDENTIFIABLE","?REFERENTIAL"),"_")))))</f>
        <v> </v>
      </c>
      <c r="H4099" s="24" t="str">
        <f>IF(J4099&lt;&gt;1,"",IF(I4099="SBJ","CB","?"))</f>
        <v> </v>
      </c>
      <c r="I4099" s="25" t="str">
        <f>IF(OR(E4099="",E4099="!!!",F4099="NEW"),"",INDEX(B4098:B$2,-1+SUMPRODUCT(MAX(ROW(E4098:E$2)*(E4099=E4098:E$2)))))</f>
        <v> </v>
      </c>
      <c r="J4099" s="25" t="str">
        <f>IF(OR(E4099="",E4099="!!!",F4099="NEW"),"",COUNTBLANK(OFFSET(A$1,,,SUMPRODUCT(MAX(ROW(E$2:E4099)*(E4099=E$2:E4099)))))-COUNTBLANK(OFFSET(A$1,,,SUMPRODUCT(MAX(ROW(E$1:E4098)*(E2=E$1:E4098))))))</f>
        <v> </v>
      </c>
      <c r="K4099" s="25" t="str">
        <f>IF(OR(E4099="",E4099="!!!",F4099="NEW"),"",INDEX(J$1:J4098,SUMPRODUCT(MAX(ROW(E$1:E4098)*(E4099=E$1:E4098)))))</f>
        <v> </v>
      </c>
      <c r="L4099" s="26"/>
    </row>
    <row r="4100" spans="1:12">
      <c r="A4100" s="20" t="s">
        <v>1345</v>
      </c>
      <c r="E4100" s="21">
        <f>IF(D4100="?OLD","!!!","")</f>
        <v/>
      </c>
      <c r="F4100" s="22" t="str">
        <f>IF(OR(E4100="",E4100="!!!"),"",IF(NOT(ISNA(VLOOKUP(E4100,E$1:E4099,1,FALSE()))),"OLD",IF(AND(E4100&lt;&gt;"",E4100&lt;&gt;"!!!"),"NEW","")))</f>
        <v> </v>
      </c>
      <c r="G4100" s="23" t="str">
        <f>IF(OR(E4100="",E4100="!!!"),"",IF(OR(J4100=0,AND(J4100=1,K4100=1),AND(J4100=1,I4100="SBJ"),AND(J4100=1,I4100=0)),"?IN_FOCUS",IF(J4100&lt;=2,"?ACTIVATED",IF(J4100&lt;&gt;"","?FAMILIAR",IF(F4100="NEW",IF(ISNA(VLOOKUP(E4100,#REF!,1,FALSE())),"?TYPE_IDENTIFIABLE","?REFERENTIAL"),"_")))))</f>
        <v> </v>
      </c>
      <c r="H4100" s="24" t="str">
        <f>IF(J4100&lt;&gt;1,"",IF(I4100="SBJ","CB","?"))</f>
        <v> </v>
      </c>
      <c r="I4100" s="25" t="str">
        <f>IF(OR(E4100="",E4100="!!!",F4100="NEW"),"",INDEX(B4099:B$2,-1+SUMPRODUCT(MAX(ROW(E4099:E$2)*(E4100=E4099:E$2)))))</f>
        <v> </v>
      </c>
      <c r="J4100" s="25" t="str">
        <f>IF(OR(E4100="",E4100="!!!",F4100="NEW"),"",COUNTBLANK(OFFSET(A$1,,,SUMPRODUCT(MAX(ROW(E$2:E4100)*(E4100=E$2:E4100)))))-COUNTBLANK(OFFSET(A$1,,,SUMPRODUCT(MAX(ROW(E$1:E4099)*(E2=E$1:E4099))))))</f>
        <v> </v>
      </c>
      <c r="K4100" s="25" t="str">
        <f>IF(OR(E4100="",E4100="!!!",F4100="NEW"),"",INDEX(J$1:J4099,SUMPRODUCT(MAX(ROW(E$1:E4099)*(E4100=E$1:E4099)))))</f>
        <v> </v>
      </c>
      <c r="L4100" s="26"/>
    </row>
    <row r="4101" spans="1:12">
      <c r="A4101" s="20" t="s">
        <v>1139</v>
      </c>
      <c r="B4101" s="27" t="s">
        <v>1070</v>
      </c>
      <c r="C4101" s="27" t="s">
        <v>1021</v>
      </c>
      <c r="E4101" s="21">
        <f>IF(D4101="?OLD","!!!","")</f>
        <v/>
      </c>
      <c r="F4101" s="22" t="str">
        <f>IF(OR(E4101="",E4101="!!!"),"",IF(NOT(ISNA(VLOOKUP(E4101,E$1:E4100,1,FALSE()))),"OLD",IF(AND(E4101&lt;&gt;"",E4101&lt;&gt;"!!!"),"NEW","")))</f>
        <v> </v>
      </c>
      <c r="G4101" s="23" t="str">
        <f>IF(OR(E4101="",E4101="!!!"),"",IF(OR(J4101=0,AND(J4101=1,K4101=1),AND(J4101=1,I4101="SBJ"),AND(J4101=1,I4101=0)),"?IN_FOCUS",IF(J4101&lt;=2,"?ACTIVATED",IF(J4101&lt;&gt;"","?FAMILIAR",IF(F4101="NEW",IF(ISNA(VLOOKUP(E4101,#REF!,1,FALSE())),"?TYPE_IDENTIFIABLE","?REFERENTIAL"),"_")))))</f>
        <v> </v>
      </c>
      <c r="H4101" s="24" t="str">
        <f>IF(J4101&lt;&gt;1,"",IF(I4101="SBJ","CB","?"))</f>
        <v> </v>
      </c>
      <c r="I4101" s="25" t="str">
        <f>IF(OR(E4101="",E4101="!!!",F4101="NEW"),"",INDEX(B4100:B$2,-1+SUMPRODUCT(MAX(ROW(E4100:E$2)*(E4101=E4100:E$2)))))</f>
        <v> </v>
      </c>
      <c r="J4101" s="25" t="str">
        <f>IF(OR(E4101="",E4101="!!!",F4101="NEW"),"",COUNTBLANK(OFFSET(A$1,,,SUMPRODUCT(MAX(ROW(E$2:E4101)*(E4101=E$2:E4101)))))-COUNTBLANK(OFFSET(A$1,,,SUMPRODUCT(MAX(ROW(E$1:E4100)*(E2=E$1:E4100))))))</f>
        <v> </v>
      </c>
      <c r="K4101" s="25" t="str">
        <f>IF(OR(E4101="",E4101="!!!",F4101="NEW"),"",INDEX(J$1:J4100,SUMPRODUCT(MAX(ROW(E$1:E4100)*(E4101=E$1:E4100)))))</f>
        <v> </v>
      </c>
      <c r="L4101" s="26"/>
    </row>
    <row r="4102" spans="1:12">
      <c r="A4102" s="20" t="s">
        <v>1022</v>
      </c>
      <c r="E4102" s="21">
        <f>IF(D4102="?OLD","!!!","")</f>
        <v/>
      </c>
      <c r="F4102" s="22" t="str">
        <f>IF(OR(E4102="",E4102="!!!"),"",IF(NOT(ISNA(VLOOKUP(E4102,E$1:E4101,1,FALSE()))),"OLD",IF(AND(E4102&lt;&gt;"",E4102&lt;&gt;"!!!"),"NEW","")))</f>
        <v> </v>
      </c>
      <c r="G4102" s="23" t="str">
        <f>IF(OR(E4102="",E4102="!!!"),"",IF(OR(J4102=0,AND(J4102=1,K4102=1),AND(J4102=1,I4102="SBJ"),AND(J4102=1,I4102=0)),"?IN_FOCUS",IF(J4102&lt;=2,"?ACTIVATED",IF(J4102&lt;&gt;"","?FAMILIAR",IF(F4102="NEW",IF(ISNA(VLOOKUP(E4102,#REF!,1,FALSE())),"?TYPE_IDENTIFIABLE","?REFERENTIAL"),"_")))))</f>
        <v> </v>
      </c>
      <c r="H4102" s="24" t="str">
        <f>IF(J4102&lt;&gt;1,"",IF(I4102="SBJ","CB","?"))</f>
        <v> </v>
      </c>
      <c r="I4102" s="25" t="str">
        <f>IF(OR(E4102="",E4102="!!!",F4102="NEW"),"",INDEX(B4101:B$2,-1+SUMPRODUCT(MAX(ROW(E4101:E$2)*(E4102=E4101:E$2)))))</f>
        <v> </v>
      </c>
      <c r="J4102" s="25" t="str">
        <f>IF(OR(E4102="",E4102="!!!",F4102="NEW"),"",COUNTBLANK(OFFSET(A$1,,,SUMPRODUCT(MAX(ROW(E$2:E4102)*(E4102=E$2:E4102)))))-COUNTBLANK(OFFSET(A$1,,,SUMPRODUCT(MAX(ROW(E$1:E4101)*(E2=E$1:E4101))))))</f>
        <v> </v>
      </c>
      <c r="K4102" s="25" t="str">
        <f>IF(OR(E4102="",E4102="!!!",F4102="NEW"),"",INDEX(J$1:J4101,SUMPRODUCT(MAX(ROW(E$1:E4101)*(E4102=E$1:E4101)))))</f>
        <v> </v>
      </c>
      <c r="L4102" s="26"/>
    </row>
    <row r="4103" spans="1:12">
      <c r="A4103" s="20"/>
    </row>
    <row r="4104" spans="1:12">
      <c r="A4104" s="20" t="s">
        <v>2057</v>
      </c>
    </row>
    <row r="4105" spans="1:12">
      <c r="A4105" s="20" t="s">
        <v>1217</v>
      </c>
      <c r="B4105" s="27" t="s">
        <v>1038</v>
      </c>
      <c r="C4105" s="27" t="s">
        <v>1013</v>
      </c>
      <c r="D4105" s="27" t="s">
        <v>1014</v>
      </c>
      <c r="E4105" s="21">
        <f>IF(D4105="?OLD","!!!","")</f>
        <v/>
      </c>
      <c r="F4105" s="22" t="str">
        <f>IF(OR(E4105="",E4105="!!!"),"",IF(NOT(ISNA(VLOOKUP(E4105,E$1:E4104,1,FALSE()))),"OLD",IF(AND(E4105&lt;&gt;"",E4105&lt;&gt;"!!!"),"NEW","")))</f>
        <v> </v>
      </c>
      <c r="G4105" s="23" t="str">
        <f>IF(OR(E4105="",E4105="!!!"),"",IF(OR(J4105=0,AND(J4105=1,K4105=1),AND(J4105=1,I4105="SBJ"),AND(J4105=1,I4105=0)),"?IN_FOCUS",IF(J4105&lt;=2,"?ACTIVATED",IF(J4105&lt;&gt;"","?FAMILIAR",IF(F4105="NEW",IF(ISNA(VLOOKUP(E4105,#REF!,1,FALSE())),"?TYPE_IDENTIFIABLE","?REFERENTIAL"),"_")))))</f>
        <v> </v>
      </c>
      <c r="H4105" s="24" t="str">
        <f>IF(J4105&lt;&gt;1,"",IF(I4105="SBJ","CB","?"))</f>
        <v> </v>
      </c>
      <c r="I4105" s="25" t="str">
        <f>IF(OR(E4105="",E4105="!!!",F4105="NEW"),"",INDEX(B4104:B$2,-1+SUMPRODUCT(MAX(ROW(E4104:E$2)*(E4105=E4104:E$2)))))</f>
        <v> </v>
      </c>
      <c r="J4105" s="25" t="str">
        <f>IF(OR(E4105="",E4105="!!!",F4105="NEW"),"",COUNTBLANK(OFFSET(A$1,,,SUMPRODUCT(MAX(ROW(E$2:E4105)*(E4105=E$2:E4105)))))-COUNTBLANK(OFFSET(A$1,,,SUMPRODUCT(MAX(ROW(E$1:E4104)*(E2=E$1:E4104))))))</f>
        <v> </v>
      </c>
      <c r="K4105" s="25" t="str">
        <f>IF(OR(E4105="",E4105="!!!",F4105="NEW"),"",INDEX(J$1:J4104,SUMPRODUCT(MAX(ROW(E$1:E4104)*(E4105=E$1:E4104)))))</f>
        <v> </v>
      </c>
      <c r="L4105" s="26"/>
    </row>
    <row r="4106" spans="1:12">
      <c r="A4106" s="20" t="s">
        <v>1050</v>
      </c>
      <c r="E4106" s="21">
        <f>IF(D4106="?OLD","!!!","")</f>
        <v/>
      </c>
      <c r="F4106" s="22" t="str">
        <f>IF(OR(E4106="",E4106="!!!"),"",IF(NOT(ISNA(VLOOKUP(E4106,E$1:E4105,1,FALSE()))),"OLD",IF(AND(E4106&lt;&gt;"",E4106&lt;&gt;"!!!"),"NEW","")))</f>
        <v> </v>
      </c>
      <c r="G4106" s="23" t="str">
        <f>IF(OR(E4106="",E4106="!!!"),"",IF(OR(J4106=0,AND(J4106=1,K4106=1),AND(J4106=1,I4106="SBJ"),AND(J4106=1,I4106=0)),"?IN_FOCUS",IF(J4106&lt;=2,"?ACTIVATED",IF(J4106&lt;&gt;"","?FAMILIAR",IF(F4106="NEW",IF(ISNA(VLOOKUP(E4106,#REF!,1,FALSE())),"?TYPE_IDENTIFIABLE","?REFERENTIAL"),"_")))))</f>
        <v> </v>
      </c>
      <c r="H4106" s="24" t="str">
        <f>IF(J4106&lt;&gt;1,"",IF(I4106="SBJ","CB","?"))</f>
        <v> </v>
      </c>
      <c r="I4106" s="25" t="str">
        <f>IF(OR(E4106="",E4106="!!!",F4106="NEW"),"",INDEX(B4105:B$2,-1+SUMPRODUCT(MAX(ROW(E4105:E$2)*(E4106=E4105:E$2)))))</f>
        <v> </v>
      </c>
      <c r="J4106" s="25" t="str">
        <f>IF(OR(E4106="",E4106="!!!",F4106="NEW"),"",COUNTBLANK(OFFSET(A$1,,,SUMPRODUCT(MAX(ROW(E$2:E4106)*(E4106=E$2:E4106)))))-COUNTBLANK(OFFSET(A$1,,,SUMPRODUCT(MAX(ROW(E$1:E4105)*(E2=E$1:E4105))))))</f>
        <v> </v>
      </c>
      <c r="K4106" s="25" t="str">
        <f>IF(OR(E4106="",E4106="!!!",F4106="NEW"),"",INDEX(J$1:J4105,SUMPRODUCT(MAX(ROW(E$1:E4105)*(E4106=E$1:E4105)))))</f>
        <v> </v>
      </c>
      <c r="L4106" s="26"/>
    </row>
    <row r="4107" spans="1:12">
      <c r="A4107" s="20" t="s">
        <v>218</v>
      </c>
      <c r="E4107" s="21">
        <f>IF(D4107="?OLD","!!!","")</f>
        <v/>
      </c>
      <c r="F4107" s="22" t="str">
        <f>IF(OR(E4107="",E4107="!!!"),"",IF(NOT(ISNA(VLOOKUP(E4107,E$1:E4106,1,FALSE()))),"OLD",IF(AND(E4107&lt;&gt;"",E4107&lt;&gt;"!!!"),"NEW","")))</f>
        <v> </v>
      </c>
      <c r="G4107" s="23" t="str">
        <f>IF(OR(E4107="",E4107="!!!"),"",IF(OR(J4107=0,AND(J4107=1,K4107=1),AND(J4107=1,I4107="SBJ"),AND(J4107=1,I4107=0)),"?IN_FOCUS",IF(J4107&lt;=2,"?ACTIVATED",IF(J4107&lt;&gt;"","?FAMILIAR",IF(F4107="NEW",IF(ISNA(VLOOKUP(E4107,#REF!,1,FALSE())),"?TYPE_IDENTIFIABLE","?REFERENTIAL"),"_")))))</f>
        <v> </v>
      </c>
      <c r="H4107" s="24" t="str">
        <f>IF(J4107&lt;&gt;1,"",IF(I4107="SBJ","CB","?"))</f>
        <v> </v>
      </c>
      <c r="I4107" s="25" t="str">
        <f>IF(OR(E4107="",E4107="!!!",F4107="NEW"),"",INDEX(B4106:B$2,-1+SUMPRODUCT(MAX(ROW(E4106:E$2)*(E4107=E4106:E$2)))))</f>
        <v> </v>
      </c>
      <c r="J4107" s="25" t="str">
        <f>IF(OR(E4107="",E4107="!!!",F4107="NEW"),"",COUNTBLANK(OFFSET(A$1,,,SUMPRODUCT(MAX(ROW(E$2:E4107)*(E4107=E$2:E4107)))))-COUNTBLANK(OFFSET(A$1,,,SUMPRODUCT(MAX(ROW(E$1:E4106)*(E2=E$1:E4106))))))</f>
        <v> </v>
      </c>
      <c r="K4107" s="25" t="str">
        <f>IF(OR(E4107="",E4107="!!!",F4107="NEW"),"",INDEX(J$1:J4106,SUMPRODUCT(MAX(ROW(E$1:E4106)*(E4107=E$1:E4106)))))</f>
        <v> </v>
      </c>
      <c r="L4107" s="26"/>
    </row>
    <row r="4108" spans="1:12">
      <c r="A4108" s="20" t="s">
        <v>1098</v>
      </c>
      <c r="E4108" s="21">
        <f>IF(D4108="?OLD","!!!","")</f>
        <v/>
      </c>
      <c r="F4108" s="22" t="str">
        <f>IF(OR(E4108="",E4108="!!!"),"",IF(NOT(ISNA(VLOOKUP(E4108,E$1:E4107,1,FALSE()))),"OLD",IF(AND(E4108&lt;&gt;"",E4108&lt;&gt;"!!!"),"NEW","")))</f>
        <v> </v>
      </c>
      <c r="G4108" s="23" t="str">
        <f>IF(OR(E4108="",E4108="!!!"),"",IF(OR(J4108=0,AND(J4108=1,K4108=1),AND(J4108=1,I4108="SBJ"),AND(J4108=1,I4108=0)),"?IN_FOCUS",IF(J4108&lt;=2,"?ACTIVATED",IF(J4108&lt;&gt;"","?FAMILIAR",IF(F4108="NEW",IF(ISNA(VLOOKUP(E4108,#REF!,1,FALSE())),"?TYPE_IDENTIFIABLE","?REFERENTIAL"),"_")))))</f>
        <v> </v>
      </c>
      <c r="H4108" s="24" t="str">
        <f>IF(J4108&lt;&gt;1,"",IF(I4108="SBJ","CB","?"))</f>
        <v> </v>
      </c>
      <c r="I4108" s="25" t="str">
        <f>IF(OR(E4108="",E4108="!!!",F4108="NEW"),"",INDEX(B4107:B$2,-1+SUMPRODUCT(MAX(ROW(E4107:E$2)*(E4108=E4107:E$2)))))</f>
        <v> </v>
      </c>
      <c r="J4108" s="25" t="str">
        <f>IF(OR(E4108="",E4108="!!!",F4108="NEW"),"",COUNTBLANK(OFFSET(A$1,,,SUMPRODUCT(MAX(ROW(E$2:E4108)*(E4108=E$2:E4108)))))-COUNTBLANK(OFFSET(A$1,,,SUMPRODUCT(MAX(ROW(E$1:E4107)*(E2=E$1:E4107))))))</f>
        <v> </v>
      </c>
      <c r="K4108" s="25" t="str">
        <f>IF(OR(E4108="",E4108="!!!",F4108="NEW"),"",INDEX(J$1:J4107,SUMPRODUCT(MAX(ROW(E$1:E4107)*(E4108=E$1:E4107)))))</f>
        <v> </v>
      </c>
      <c r="L4108" s="26"/>
    </row>
    <row r="4109" spans="1:12">
      <c r="A4109" s="20" t="s">
        <v>1034</v>
      </c>
      <c r="E4109" s="21">
        <f>IF(D4109="?OLD","!!!","")</f>
        <v/>
      </c>
      <c r="F4109" s="22" t="str">
        <f>IF(OR(E4109="",E4109="!!!"),"",IF(NOT(ISNA(VLOOKUP(E4109,E$1:E4108,1,FALSE()))),"OLD",IF(AND(E4109&lt;&gt;"",E4109&lt;&gt;"!!!"),"NEW","")))</f>
        <v> </v>
      </c>
      <c r="G4109" s="23" t="str">
        <f>IF(OR(E4109="",E4109="!!!"),"",IF(OR(J4109=0,AND(J4109=1,K4109=1),AND(J4109=1,I4109="SBJ"),AND(J4109=1,I4109=0)),"?IN_FOCUS",IF(J4109&lt;=2,"?ACTIVATED",IF(J4109&lt;&gt;"","?FAMILIAR",IF(F4109="NEW",IF(ISNA(VLOOKUP(E4109,#REF!,1,FALSE())),"?TYPE_IDENTIFIABLE","?REFERENTIAL"),"_")))))</f>
        <v> </v>
      </c>
      <c r="H4109" s="24" t="str">
        <f>IF(J4109&lt;&gt;1,"",IF(I4109="SBJ","CB","?"))</f>
        <v> </v>
      </c>
      <c r="I4109" s="25" t="str">
        <f>IF(OR(E4109="",E4109="!!!",F4109="NEW"),"",INDEX(B4108:B$2,-1+SUMPRODUCT(MAX(ROW(E4108:E$2)*(E4109=E4108:E$2)))))</f>
        <v> </v>
      </c>
      <c r="J4109" s="25" t="str">
        <f>IF(OR(E4109="",E4109="!!!",F4109="NEW"),"",COUNTBLANK(OFFSET(A$1,,,SUMPRODUCT(MAX(ROW(E$2:E4109)*(E4109=E$2:E4109)))))-COUNTBLANK(OFFSET(A$1,,,SUMPRODUCT(MAX(ROW(E$1:E4108)*(E2=E$1:E4108))))))</f>
        <v> </v>
      </c>
      <c r="K4109" s="25" t="str">
        <f>IF(OR(E4109="",E4109="!!!",F4109="NEW"),"",INDEX(J$1:J4108,SUMPRODUCT(MAX(ROW(E$1:E4108)*(E4109=E$1:E4108)))))</f>
        <v> </v>
      </c>
      <c r="L4109" s="26"/>
    </row>
    <row r="4110" spans="1:12">
      <c r="A4110" s="20" t="s">
        <v>18</v>
      </c>
      <c r="B4110" s="27" t="s">
        <v>1012</v>
      </c>
      <c r="C4110" s="27" t="s">
        <v>1044</v>
      </c>
      <c r="D4110" s="27" t="s">
        <v>1014</v>
      </c>
      <c r="E4110" s="21">
        <f>IF(D4110="?OLD","!!!","")</f>
        <v/>
      </c>
      <c r="F4110" s="22" t="str">
        <f>IF(OR(E4110="",E4110="!!!"),"",IF(NOT(ISNA(VLOOKUP(E4110,E$1:E4109,1,FALSE()))),"OLD",IF(AND(E4110&lt;&gt;"",E4110&lt;&gt;"!!!"),"NEW","")))</f>
        <v> </v>
      </c>
      <c r="G4110" s="23" t="str">
        <f>IF(OR(E4110="",E4110="!!!"),"",IF(OR(J4110=0,AND(J4110=1,K4110=1),AND(J4110=1,I4110="SBJ"),AND(J4110=1,I4110=0)),"?IN_FOCUS",IF(J4110&lt;=2,"?ACTIVATED",IF(J4110&lt;&gt;"","?FAMILIAR",IF(F4110="NEW",IF(ISNA(VLOOKUP(E4110,#REF!,1,FALSE())),"?TYPE_IDENTIFIABLE","?REFERENTIAL"),"_")))))</f>
        <v> </v>
      </c>
      <c r="H4110" s="24" t="str">
        <f>IF(J4110&lt;&gt;1,"",IF(I4110="SBJ","CB","?"))</f>
        <v> </v>
      </c>
      <c r="I4110" s="25" t="str">
        <f>IF(OR(E4110="",E4110="!!!",F4110="NEW"),"",INDEX(B4109:B$2,-1+SUMPRODUCT(MAX(ROW(E4109:E$2)*(E4110=E4109:E$2)))))</f>
        <v> </v>
      </c>
      <c r="J4110" s="25" t="str">
        <f>IF(OR(E4110="",E4110="!!!",F4110="NEW"),"",COUNTBLANK(OFFSET(A$1,,,SUMPRODUCT(MAX(ROW(E$2:E4110)*(E4110=E$2:E4110)))))-COUNTBLANK(OFFSET(A$1,,,SUMPRODUCT(MAX(ROW(E$1:E4109)*(E2=E$1:E4109))))))</f>
        <v> </v>
      </c>
      <c r="K4110" s="25" t="str">
        <f>IF(OR(E4110="",E4110="!!!",F4110="NEW"),"",INDEX(J$1:J4109,SUMPRODUCT(MAX(ROW(E$1:E4109)*(E4110=E$1:E4109)))))</f>
        <v> </v>
      </c>
      <c r="L4110" s="26"/>
    </row>
    <row r="4111" spans="1:12">
      <c r="A4111" s="20" t="s">
        <v>1117</v>
      </c>
      <c r="E4111" s="21">
        <f>IF(D4111="?OLD","!!!","")</f>
        <v/>
      </c>
      <c r="F4111" s="22" t="str">
        <f>IF(OR(E4111="",E4111="!!!"),"",IF(NOT(ISNA(VLOOKUP(E4111,E$1:E4110,1,FALSE()))),"OLD",IF(AND(E4111&lt;&gt;"",E4111&lt;&gt;"!!!"),"NEW","")))</f>
        <v> </v>
      </c>
      <c r="G4111" s="23" t="str">
        <f>IF(OR(E4111="",E4111="!!!"),"",IF(OR(J4111=0,AND(J4111=1,K4111=1),AND(J4111=1,I4111="SBJ"),AND(J4111=1,I4111=0)),"?IN_FOCUS",IF(J4111&lt;=2,"?ACTIVATED",IF(J4111&lt;&gt;"","?FAMILIAR",IF(F4111="NEW",IF(ISNA(VLOOKUP(E4111,#REF!,1,FALSE())),"?TYPE_IDENTIFIABLE","?REFERENTIAL"),"_")))))</f>
        <v> </v>
      </c>
      <c r="H4111" s="24" t="str">
        <f>IF(J4111&lt;&gt;1,"",IF(I4111="SBJ","CB","?"))</f>
        <v> </v>
      </c>
      <c r="I4111" s="25" t="str">
        <f>IF(OR(E4111="",E4111="!!!",F4111="NEW"),"",INDEX(B4110:B$2,-1+SUMPRODUCT(MAX(ROW(E4110:E$2)*(E4111=E4110:E$2)))))</f>
        <v> </v>
      </c>
      <c r="J4111" s="25" t="str">
        <f>IF(OR(E4111="",E4111="!!!",F4111="NEW"),"",COUNTBLANK(OFFSET(A$1,,,SUMPRODUCT(MAX(ROW(E$2:E4111)*(E4111=E$2:E4111)))))-COUNTBLANK(OFFSET(A$1,,,SUMPRODUCT(MAX(ROW(E$1:E4110)*(E2=E$1:E4110))))))</f>
        <v> </v>
      </c>
      <c r="K4111" s="25" t="str">
        <f>IF(OR(E4111="",E4111="!!!",F4111="NEW"),"",INDEX(J$1:J4110,SUMPRODUCT(MAX(ROW(E$1:E4110)*(E4111=E$1:E4110)))))</f>
        <v> </v>
      </c>
      <c r="L4111" s="26"/>
    </row>
    <row r="4112" spans="1:12">
      <c r="A4112" s="20" t="s">
        <v>1504</v>
      </c>
      <c r="B4112" s="27" t="s">
        <v>1026</v>
      </c>
      <c r="C4112" s="27" t="s">
        <v>1147</v>
      </c>
      <c r="D4112" s="27" t="s">
        <v>1014</v>
      </c>
      <c r="E4112" s="21">
        <f>IF(D4112="?OLD","!!!","")</f>
        <v/>
      </c>
      <c r="F4112" s="22" t="str">
        <f>IF(OR(E4112="",E4112="!!!"),"",IF(NOT(ISNA(VLOOKUP(E4112,E$1:E4111,1,FALSE()))),"OLD",IF(AND(E4112&lt;&gt;"",E4112&lt;&gt;"!!!"),"NEW","")))</f>
        <v> </v>
      </c>
      <c r="G4112" s="23" t="str">
        <f>IF(OR(E4112="",E4112="!!!"),"",IF(OR(J4112=0,AND(J4112=1,K4112=1),AND(J4112=1,I4112="SBJ"),AND(J4112=1,I4112=0)),"?IN_FOCUS",IF(J4112&lt;=2,"?ACTIVATED",IF(J4112&lt;&gt;"","?FAMILIAR",IF(F4112="NEW",IF(ISNA(VLOOKUP(E4112,#REF!,1,FALSE())),"?TYPE_IDENTIFIABLE","?REFERENTIAL"),"_")))))</f>
        <v> </v>
      </c>
      <c r="H4112" s="24" t="str">
        <f>IF(J4112&lt;&gt;1,"",IF(I4112="SBJ","CB","?"))</f>
        <v> </v>
      </c>
      <c r="I4112" s="25" t="str">
        <f>IF(OR(E4112="",E4112="!!!",F4112="NEW"),"",INDEX(B4111:B$2,-1+SUMPRODUCT(MAX(ROW(E4111:E$2)*(E4112=E4111:E$2)))))</f>
        <v> </v>
      </c>
      <c r="J4112" s="25" t="str">
        <f>IF(OR(E4112="",E4112="!!!",F4112="NEW"),"",COUNTBLANK(OFFSET(A$1,,,SUMPRODUCT(MAX(ROW(E$2:E4112)*(E4112=E$2:E4112)))))-COUNTBLANK(OFFSET(A$1,,,SUMPRODUCT(MAX(ROW(E$1:E4111)*(E2=E$1:E4111))))))</f>
        <v> </v>
      </c>
      <c r="K4112" s="25" t="str">
        <f>IF(OR(E4112="",E4112="!!!",F4112="NEW"),"",INDEX(J$1:J4111,SUMPRODUCT(MAX(ROW(E$1:E4111)*(E4112=E$1:E4111)))))</f>
        <v> </v>
      </c>
      <c r="L4112" s="26"/>
    </row>
    <row r="4113" spans="1:12">
      <c r="A4113" s="20" t="s">
        <v>1017</v>
      </c>
      <c r="B4113" s="27" t="s">
        <v>1018</v>
      </c>
      <c r="C4113" s="27" t="s">
        <v>1013</v>
      </c>
      <c r="D4113" s="27" t="s">
        <v>1014</v>
      </c>
      <c r="E4113" s="21">
        <f>IF(D4113="?OLD","!!!","")</f>
        <v/>
      </c>
      <c r="F4113" s="22" t="str">
        <f>IF(OR(E4113="",E4113="!!!"),"",IF(NOT(ISNA(VLOOKUP(E4113,E$1:E4112,1,FALSE()))),"OLD",IF(AND(E4113&lt;&gt;"",E4113&lt;&gt;"!!!"),"NEW","")))</f>
        <v> </v>
      </c>
      <c r="G4113" s="23" t="str">
        <f>IF(OR(E4113="",E4113="!!!"),"",IF(OR(J4113=0,AND(J4113=1,K4113=1),AND(J4113=1,I4113="SBJ"),AND(J4113=1,I4113=0)),"?IN_FOCUS",IF(J4113&lt;=2,"?ACTIVATED",IF(J4113&lt;&gt;"","?FAMILIAR",IF(F4113="NEW",IF(ISNA(VLOOKUP(E4113,#REF!,1,FALSE())),"?TYPE_IDENTIFIABLE","?REFERENTIAL"),"_")))))</f>
        <v> </v>
      </c>
      <c r="H4113" s="24" t="str">
        <f>IF(J4113&lt;&gt;1,"",IF(I4113="SBJ","CB","?"))</f>
        <v> </v>
      </c>
      <c r="I4113" s="25" t="str">
        <f>IF(OR(E4113="",E4113="!!!",F4113="NEW"),"",INDEX(B4112:B$2,-1+SUMPRODUCT(MAX(ROW(E4112:E$2)*(E4113=E4112:E$2)))))</f>
        <v> </v>
      </c>
      <c r="J4113" s="25" t="str">
        <f>IF(OR(E4113="",E4113="!!!",F4113="NEW"),"",COUNTBLANK(OFFSET(A$1,,,SUMPRODUCT(MAX(ROW(E$2:E4113)*(E4113=E$2:E4113)))))-COUNTBLANK(OFFSET(A$1,,,SUMPRODUCT(MAX(ROW(E$1:E4112)*(E2=E$1:E4112))))))</f>
        <v> </v>
      </c>
      <c r="K4113" s="25" t="str">
        <f>IF(OR(E4113="",E4113="!!!",F4113="NEW"),"",INDEX(J$1:J4112,SUMPRODUCT(MAX(ROW(E$1:E4112)*(E4113=E$1:E4112)))))</f>
        <v> </v>
      </c>
      <c r="L4113" s="26"/>
    </row>
    <row r="4114" spans="1:12">
      <c r="A4114" s="20" t="s">
        <v>39</v>
      </c>
      <c r="E4114" s="21">
        <f>IF(D4114="?OLD","!!!","")</f>
        <v/>
      </c>
      <c r="F4114" s="22" t="str">
        <f>IF(OR(E4114="",E4114="!!!"),"",IF(NOT(ISNA(VLOOKUP(E4114,E$1:E4113,1,FALSE()))),"OLD",IF(AND(E4114&lt;&gt;"",E4114&lt;&gt;"!!!"),"NEW","")))</f>
        <v> </v>
      </c>
      <c r="G4114" s="23" t="str">
        <f>IF(OR(E4114="",E4114="!!!"),"",IF(OR(J4114=0,AND(J4114=1,K4114=1),AND(J4114=1,I4114="SBJ"),AND(J4114=1,I4114=0)),"?IN_FOCUS",IF(J4114&lt;=2,"?ACTIVATED",IF(J4114&lt;&gt;"","?FAMILIAR",IF(F4114="NEW",IF(ISNA(VLOOKUP(E4114,#REF!,1,FALSE())),"?TYPE_IDENTIFIABLE","?REFERENTIAL"),"_")))))</f>
        <v> </v>
      </c>
      <c r="H4114" s="24" t="str">
        <f>IF(J4114&lt;&gt;1,"",IF(I4114="SBJ","CB","?"))</f>
        <v> </v>
      </c>
      <c r="I4114" s="25" t="str">
        <f>IF(OR(E4114="",E4114="!!!",F4114="NEW"),"",INDEX(B4113:B$2,-1+SUMPRODUCT(MAX(ROW(E4113:E$2)*(E4114=E4113:E$2)))))</f>
        <v> </v>
      </c>
      <c r="J4114" s="25" t="str">
        <f>IF(OR(E4114="",E4114="!!!",F4114="NEW"),"",COUNTBLANK(OFFSET(A$1,,,SUMPRODUCT(MAX(ROW(E$2:E4114)*(E4114=E$2:E4114)))))-COUNTBLANK(OFFSET(A$1,,,SUMPRODUCT(MAX(ROW(E$1:E4113)*(E2=E$1:E4113))))))</f>
        <v> </v>
      </c>
      <c r="K4114" s="25" t="str">
        <f>IF(OR(E4114="",E4114="!!!",F4114="NEW"),"",INDEX(J$1:J4113,SUMPRODUCT(MAX(ROW(E$1:E4113)*(E4114=E$1:E4113)))))</f>
        <v> </v>
      </c>
      <c r="L4114" s="26"/>
    </row>
    <row r="4115" spans="1:12">
      <c r="A4115" s="20" t="s">
        <v>1022</v>
      </c>
      <c r="E4115" s="21">
        <f>IF(D4115="?OLD","!!!","")</f>
        <v/>
      </c>
      <c r="F4115" s="22" t="str">
        <f>IF(OR(E4115="",E4115="!!!"),"",IF(NOT(ISNA(VLOOKUP(E4115,E$1:E4114,1,FALSE()))),"OLD",IF(AND(E4115&lt;&gt;"",E4115&lt;&gt;"!!!"),"NEW","")))</f>
        <v> </v>
      </c>
      <c r="G4115" s="23" t="str">
        <f>IF(OR(E4115="",E4115="!!!"),"",IF(OR(J4115=0,AND(J4115=1,K4115=1),AND(J4115=1,I4115="SBJ"),AND(J4115=1,I4115=0)),"?IN_FOCUS",IF(J4115&lt;=2,"?ACTIVATED",IF(J4115&lt;&gt;"","?FAMILIAR",IF(F4115="NEW",IF(ISNA(VLOOKUP(E4115,#REF!,1,FALSE())),"?TYPE_IDENTIFIABLE","?REFERENTIAL"),"_")))))</f>
        <v> </v>
      </c>
      <c r="H4115" s="24" t="str">
        <f>IF(J4115&lt;&gt;1,"",IF(I4115="SBJ","CB","?"))</f>
        <v> </v>
      </c>
      <c r="I4115" s="25" t="str">
        <f>IF(OR(E4115="",E4115="!!!",F4115="NEW"),"",INDEX(B4114:B$2,-1+SUMPRODUCT(MAX(ROW(E4114:E$2)*(E4115=E4114:E$2)))))</f>
        <v> </v>
      </c>
      <c r="J4115" s="25" t="str">
        <f>IF(OR(E4115="",E4115="!!!",F4115="NEW"),"",COUNTBLANK(OFFSET(A$1,,,SUMPRODUCT(MAX(ROW(E$2:E4115)*(E4115=E$2:E4115)))))-COUNTBLANK(OFFSET(A$1,,,SUMPRODUCT(MAX(ROW(E$1:E4114)*(E2=E$1:E4114))))))</f>
        <v> </v>
      </c>
      <c r="K4115" s="25" t="str">
        <f>IF(OR(E4115="",E4115="!!!",F4115="NEW"),"",INDEX(J$1:J4114,SUMPRODUCT(MAX(ROW(E$1:E4114)*(E4115=E$1:E4114)))))</f>
        <v> </v>
      </c>
      <c r="L4115" s="26"/>
    </row>
    <row r="4116" spans="1:12">
      <c r="A4116" s="20"/>
    </row>
    <row r="4117" spans="1:12">
      <c r="A4117" s="20" t="s">
        <v>2058</v>
      </c>
    </row>
    <row r="4118" spans="1:12">
      <c r="A4118" s="20" t="s">
        <v>1217</v>
      </c>
      <c r="B4118" s="27" t="s">
        <v>1038</v>
      </c>
      <c r="C4118" s="27" t="s">
        <v>1013</v>
      </c>
      <c r="D4118" s="27" t="s">
        <v>1014</v>
      </c>
      <c r="E4118" s="21">
        <f>IF(D4118="?OLD","!!!","")</f>
        <v/>
      </c>
      <c r="F4118" s="22" t="str">
        <f>IF(OR(E4118="",E4118="!!!"),"",IF(NOT(ISNA(VLOOKUP(E4118,E$1:E4117,1,FALSE()))),"OLD",IF(AND(E4118&lt;&gt;"",E4118&lt;&gt;"!!!"),"NEW","")))</f>
        <v> </v>
      </c>
      <c r="G4118" s="23" t="str">
        <f>IF(OR(E4118="",E4118="!!!"),"",IF(OR(J4118=0,AND(J4118=1,K4118=1),AND(J4118=1,I4118="SBJ"),AND(J4118=1,I4118=0)),"?IN_FOCUS",IF(J4118&lt;=2,"?ACTIVATED",IF(J4118&lt;&gt;"","?FAMILIAR",IF(F4118="NEW",IF(ISNA(VLOOKUP(E4118,#REF!,1,FALSE())),"?TYPE_IDENTIFIABLE","?REFERENTIAL"),"_")))))</f>
        <v> </v>
      </c>
      <c r="H4118" s="24" t="str">
        <f>IF(J4118&lt;&gt;1,"",IF(I4118="SBJ","CB","?"))</f>
        <v> </v>
      </c>
      <c r="I4118" s="25" t="str">
        <f>IF(OR(E4118="",E4118="!!!",F4118="NEW"),"",INDEX(B4117:B$2,-1+SUMPRODUCT(MAX(ROW(E4117:E$2)*(E4118=E4117:E$2)))))</f>
        <v> </v>
      </c>
      <c r="J4118" s="25" t="str">
        <f>IF(OR(E4118="",E4118="!!!",F4118="NEW"),"",COUNTBLANK(OFFSET(A$1,,,SUMPRODUCT(MAX(ROW(E$2:E4118)*(E4118=E$2:E4118)))))-COUNTBLANK(OFFSET(A$1,,,SUMPRODUCT(MAX(ROW(E$1:E4117)*(E2=E$1:E4117))))))</f>
        <v> </v>
      </c>
      <c r="K4118" s="25" t="str">
        <f>IF(OR(E4118="",E4118="!!!",F4118="NEW"),"",INDEX(J$1:J4117,SUMPRODUCT(MAX(ROW(E$1:E4117)*(E4118=E$1:E4117)))))</f>
        <v> </v>
      </c>
      <c r="L4118" s="26"/>
    </row>
    <row r="4119" spans="1:12">
      <c r="A4119" s="20" t="s">
        <v>1050</v>
      </c>
      <c r="E4119" s="21">
        <f>IF(D4119="?OLD","!!!","")</f>
        <v/>
      </c>
      <c r="F4119" s="22" t="str">
        <f>IF(OR(E4119="",E4119="!!!"),"",IF(NOT(ISNA(VLOOKUP(E4119,E$1:E4118,1,FALSE()))),"OLD",IF(AND(E4119&lt;&gt;"",E4119&lt;&gt;"!!!"),"NEW","")))</f>
        <v> </v>
      </c>
      <c r="G4119" s="23" t="str">
        <f>IF(OR(E4119="",E4119="!!!"),"",IF(OR(J4119=0,AND(J4119=1,K4119=1),AND(J4119=1,I4119="SBJ"),AND(J4119=1,I4119=0)),"?IN_FOCUS",IF(J4119&lt;=2,"?ACTIVATED",IF(J4119&lt;&gt;"","?FAMILIAR",IF(F4119="NEW",IF(ISNA(VLOOKUP(E4119,#REF!,1,FALSE())),"?TYPE_IDENTIFIABLE","?REFERENTIAL"),"_")))))</f>
        <v> </v>
      </c>
      <c r="H4119" s="24" t="str">
        <f>IF(J4119&lt;&gt;1,"",IF(I4119="SBJ","CB","?"))</f>
        <v> </v>
      </c>
      <c r="I4119" s="25" t="str">
        <f>IF(OR(E4119="",E4119="!!!",F4119="NEW"),"",INDEX(B4118:B$2,-1+SUMPRODUCT(MAX(ROW(E4118:E$2)*(E4119=E4118:E$2)))))</f>
        <v> </v>
      </c>
      <c r="J4119" s="25" t="str">
        <f>IF(OR(E4119="",E4119="!!!",F4119="NEW"),"",COUNTBLANK(OFFSET(A$1,,,SUMPRODUCT(MAX(ROW(E$2:E4119)*(E4119=E$2:E4119)))))-COUNTBLANK(OFFSET(A$1,,,SUMPRODUCT(MAX(ROW(E$1:E4118)*(E2=E$1:E4118))))))</f>
        <v> </v>
      </c>
      <c r="K4119" s="25" t="str">
        <f>IF(OR(E4119="",E4119="!!!",F4119="NEW"),"",INDEX(J$1:J4118,SUMPRODUCT(MAX(ROW(E$1:E4118)*(E4119=E$1:E4118)))))</f>
        <v> </v>
      </c>
      <c r="L4119" s="26"/>
    </row>
    <row r="4120" spans="1:12">
      <c r="A4120" s="20" t="s">
        <v>933</v>
      </c>
      <c r="E4120" s="21">
        <f>IF(D4120="?OLD","!!!","")</f>
        <v/>
      </c>
      <c r="F4120" s="22" t="str">
        <f>IF(OR(E4120="",E4120="!!!"),"",IF(NOT(ISNA(VLOOKUP(E4120,E$1:E4119,1,FALSE()))),"OLD",IF(AND(E4120&lt;&gt;"",E4120&lt;&gt;"!!!"),"NEW","")))</f>
        <v> </v>
      </c>
      <c r="G4120" s="23" t="str">
        <f>IF(OR(E4120="",E4120="!!!"),"",IF(OR(J4120=0,AND(J4120=1,K4120=1),AND(J4120=1,I4120="SBJ"),AND(J4120=1,I4120=0)),"?IN_FOCUS",IF(J4120&lt;=2,"?ACTIVATED",IF(J4120&lt;&gt;"","?FAMILIAR",IF(F4120="NEW",IF(ISNA(VLOOKUP(E4120,#REF!,1,FALSE())),"?TYPE_IDENTIFIABLE","?REFERENTIAL"),"_")))))</f>
        <v> </v>
      </c>
      <c r="H4120" s="24" t="str">
        <f>IF(J4120&lt;&gt;1,"",IF(I4120="SBJ","CB","?"))</f>
        <v> </v>
      </c>
      <c r="I4120" s="25" t="str">
        <f>IF(OR(E4120="",E4120="!!!",F4120="NEW"),"",INDEX(B4119:B$2,-1+SUMPRODUCT(MAX(ROW(E4119:E$2)*(E4120=E4119:E$2)))))</f>
        <v> </v>
      </c>
      <c r="J4120" s="25" t="str">
        <f>IF(OR(E4120="",E4120="!!!",F4120="NEW"),"",COUNTBLANK(OFFSET(A$1,,,SUMPRODUCT(MAX(ROW(E$2:E4120)*(E4120=E$2:E4120)))))-COUNTBLANK(OFFSET(A$1,,,SUMPRODUCT(MAX(ROW(E$1:E4119)*(E2=E$1:E4119))))))</f>
        <v> </v>
      </c>
      <c r="K4120" s="25" t="str">
        <f>IF(OR(E4120="",E4120="!!!",F4120="NEW"),"",INDEX(J$1:J4119,SUMPRODUCT(MAX(ROW(E$1:E4119)*(E4120=E$1:E4119)))))</f>
        <v> </v>
      </c>
      <c r="L4120" s="26"/>
    </row>
    <row r="4121" spans="1:12">
      <c r="A4121" s="20" t="s">
        <v>1032</v>
      </c>
      <c r="B4121" s="27" t="s">
        <v>1012</v>
      </c>
      <c r="C4121" s="27" t="s">
        <v>1013</v>
      </c>
      <c r="D4121" s="27" t="s">
        <v>1014</v>
      </c>
      <c r="E4121" s="21">
        <f>IF(D4121="?OLD","!!!","")</f>
        <v/>
      </c>
      <c r="F4121" s="22" t="str">
        <f>IF(OR(E4121="",E4121="!!!"),"",IF(NOT(ISNA(VLOOKUP(E4121,E$1:E4120,1,FALSE()))),"OLD",IF(AND(E4121&lt;&gt;"",E4121&lt;&gt;"!!!"),"NEW","")))</f>
        <v> </v>
      </c>
      <c r="G4121" s="23" t="str">
        <f>IF(OR(E4121="",E4121="!!!"),"",IF(OR(J4121=0,AND(J4121=1,K4121=1),AND(J4121=1,I4121="SBJ"),AND(J4121=1,I4121=0)),"?IN_FOCUS",IF(J4121&lt;=2,"?ACTIVATED",IF(J4121&lt;&gt;"","?FAMILIAR",IF(F4121="NEW",IF(ISNA(VLOOKUP(E4121,#REF!,1,FALSE())),"?TYPE_IDENTIFIABLE","?REFERENTIAL"),"_")))))</f>
        <v> </v>
      </c>
      <c r="H4121" s="24" t="str">
        <f>IF(J4121&lt;&gt;1,"",IF(I4121="SBJ","CB","?"))</f>
        <v> </v>
      </c>
      <c r="I4121" s="25" t="str">
        <f>IF(OR(E4121="",E4121="!!!",F4121="NEW"),"",INDEX(B4120:B$2,-1+SUMPRODUCT(MAX(ROW(E4120:E$2)*(E4121=E4120:E$2)))))</f>
        <v> </v>
      </c>
      <c r="J4121" s="25" t="str">
        <f>IF(OR(E4121="",E4121="!!!",F4121="NEW"),"",COUNTBLANK(OFFSET(A$1,,,SUMPRODUCT(MAX(ROW(E$2:E4121)*(E4121=E$2:E4121)))))-COUNTBLANK(OFFSET(A$1,,,SUMPRODUCT(MAX(ROW(E$1:E4120)*(E2=E$1:E4120))))))</f>
        <v> </v>
      </c>
      <c r="K4121" s="25" t="str">
        <f>IF(OR(E4121="",E4121="!!!",F4121="NEW"),"",INDEX(J$1:J4120,SUMPRODUCT(MAX(ROW(E$1:E4120)*(E4121=E$1:E4120)))))</f>
        <v> </v>
      </c>
      <c r="L4121" s="26"/>
    </row>
    <row r="4122" spans="1:12">
      <c r="A4122" s="20" t="s">
        <v>1055</v>
      </c>
      <c r="E4122" s="21">
        <f>IF(D4122="?OLD","!!!","")</f>
        <v/>
      </c>
      <c r="F4122" s="22" t="str">
        <f>IF(OR(E4122="",E4122="!!!"),"",IF(NOT(ISNA(VLOOKUP(E4122,E$1:E4121,1,FALSE()))),"OLD",IF(AND(E4122&lt;&gt;"",E4122&lt;&gt;"!!!"),"NEW","")))</f>
        <v> </v>
      </c>
      <c r="G4122" s="23" t="str">
        <f>IF(OR(E4122="",E4122="!!!"),"",IF(OR(J4122=0,AND(J4122=1,K4122=1),AND(J4122=1,I4122="SBJ"),AND(J4122=1,I4122=0)),"?IN_FOCUS",IF(J4122&lt;=2,"?ACTIVATED",IF(J4122&lt;&gt;"","?FAMILIAR",IF(F4122="NEW",IF(ISNA(VLOOKUP(E4122,#REF!,1,FALSE())),"?TYPE_IDENTIFIABLE","?REFERENTIAL"),"_")))))</f>
        <v> </v>
      </c>
      <c r="H4122" s="24" t="str">
        <f>IF(J4122&lt;&gt;1,"",IF(I4122="SBJ","CB","?"))</f>
        <v> </v>
      </c>
      <c r="I4122" s="25" t="str">
        <f>IF(OR(E4122="",E4122="!!!",F4122="NEW"),"",INDEX(B4121:B$2,-1+SUMPRODUCT(MAX(ROW(E4121:E$2)*(E4122=E4121:E$2)))))</f>
        <v> </v>
      </c>
      <c r="J4122" s="25" t="str">
        <f>IF(OR(E4122="",E4122="!!!",F4122="NEW"),"",COUNTBLANK(OFFSET(A$1,,,SUMPRODUCT(MAX(ROW(E$2:E4122)*(E4122=E$2:E4122)))))-COUNTBLANK(OFFSET(A$1,,,SUMPRODUCT(MAX(ROW(E$1:E4121)*(E2=E$1:E4121))))))</f>
        <v> </v>
      </c>
      <c r="K4122" s="25" t="str">
        <f>IF(OR(E4122="",E4122="!!!",F4122="NEW"),"",INDEX(J$1:J4121,SUMPRODUCT(MAX(ROW(E$1:E4121)*(E4122=E$1:E4121)))))</f>
        <v> </v>
      </c>
      <c r="L4122" s="26"/>
    </row>
    <row r="4123" spans="1:12">
      <c r="A4123" s="20" t="s">
        <v>1017</v>
      </c>
      <c r="B4123" s="27" t="s">
        <v>1033</v>
      </c>
      <c r="C4123" s="27" t="s">
        <v>1013</v>
      </c>
      <c r="D4123" s="27" t="s">
        <v>1014</v>
      </c>
      <c r="E4123" s="21">
        <f>IF(D4123="?OLD","!!!","")</f>
        <v/>
      </c>
      <c r="F4123" s="22" t="str">
        <f>IF(OR(E4123="",E4123="!!!"),"",IF(NOT(ISNA(VLOOKUP(E4123,E$1:E4122,1,FALSE()))),"OLD",IF(AND(E4123&lt;&gt;"",E4123&lt;&gt;"!!!"),"NEW","")))</f>
        <v> </v>
      </c>
      <c r="G4123" s="23" t="str">
        <f>IF(OR(E4123="",E4123="!!!"),"",IF(OR(J4123=0,AND(J4123=1,K4123=1),AND(J4123=1,I4123="SBJ"),AND(J4123=1,I4123=0)),"?IN_FOCUS",IF(J4123&lt;=2,"?ACTIVATED",IF(J4123&lt;&gt;"","?FAMILIAR",IF(F4123="NEW",IF(ISNA(VLOOKUP(E4123,#REF!,1,FALSE())),"?TYPE_IDENTIFIABLE","?REFERENTIAL"),"_")))))</f>
        <v> </v>
      </c>
      <c r="H4123" s="24" t="str">
        <f>IF(J4123&lt;&gt;1,"",IF(I4123="SBJ","CB","?"))</f>
        <v> </v>
      </c>
      <c r="I4123" s="25" t="str">
        <f>IF(OR(E4123="",E4123="!!!",F4123="NEW"),"",INDEX(B4122:B$2,-1+SUMPRODUCT(MAX(ROW(E4122:E$2)*(E4123=E4122:E$2)))))</f>
        <v> </v>
      </c>
      <c r="J4123" s="25" t="str">
        <f>IF(OR(E4123="",E4123="!!!",F4123="NEW"),"",COUNTBLANK(OFFSET(A$1,,,SUMPRODUCT(MAX(ROW(E$2:E4123)*(E4123=E$2:E4123)))))-COUNTBLANK(OFFSET(A$1,,,SUMPRODUCT(MAX(ROW(E$1:E4122)*(E2=E$1:E4122))))))</f>
        <v> </v>
      </c>
      <c r="K4123" s="25" t="str">
        <f>IF(OR(E4123="",E4123="!!!",F4123="NEW"),"",INDEX(J$1:J4122,SUMPRODUCT(MAX(ROW(E$1:E4122)*(E4123=E$1:E4122)))))</f>
        <v> </v>
      </c>
      <c r="L4123" s="26"/>
    </row>
    <row r="4124" spans="1:12">
      <c r="A4124" s="20" t="s">
        <v>39</v>
      </c>
      <c r="E4124" s="21">
        <f>IF(D4124="?OLD","!!!","")</f>
        <v/>
      </c>
      <c r="F4124" s="22" t="str">
        <f>IF(OR(E4124="",E4124="!!!"),"",IF(NOT(ISNA(VLOOKUP(E4124,E$1:E4123,1,FALSE()))),"OLD",IF(AND(E4124&lt;&gt;"",E4124&lt;&gt;"!!!"),"NEW","")))</f>
        <v> </v>
      </c>
      <c r="G4124" s="23" t="str">
        <f>IF(OR(E4124="",E4124="!!!"),"",IF(OR(J4124=0,AND(J4124=1,K4124=1),AND(J4124=1,I4124="SBJ"),AND(J4124=1,I4124=0)),"?IN_FOCUS",IF(J4124&lt;=2,"?ACTIVATED",IF(J4124&lt;&gt;"","?FAMILIAR",IF(F4124="NEW",IF(ISNA(VLOOKUP(E4124,#REF!,1,FALSE())),"?TYPE_IDENTIFIABLE","?REFERENTIAL"),"_")))))</f>
        <v> </v>
      </c>
      <c r="H4124" s="24" t="str">
        <f>IF(J4124&lt;&gt;1,"",IF(I4124="SBJ","CB","?"))</f>
        <v> </v>
      </c>
      <c r="I4124" s="25" t="str">
        <f>IF(OR(E4124="",E4124="!!!",F4124="NEW"),"",INDEX(B4123:B$2,-1+SUMPRODUCT(MAX(ROW(E4123:E$2)*(E4124=E4123:E$2)))))</f>
        <v> </v>
      </c>
      <c r="J4124" s="25" t="str">
        <f>IF(OR(E4124="",E4124="!!!",F4124="NEW"),"",COUNTBLANK(OFFSET(A$1,,,SUMPRODUCT(MAX(ROW(E$2:E4124)*(E4124=E$2:E4124)))))-COUNTBLANK(OFFSET(A$1,,,SUMPRODUCT(MAX(ROW(E$1:E4123)*(E2=E$1:E4123))))))</f>
        <v> </v>
      </c>
      <c r="K4124" s="25" t="str">
        <f>IF(OR(E4124="",E4124="!!!",F4124="NEW"),"",INDEX(J$1:J4123,SUMPRODUCT(MAX(ROW(E$1:E4123)*(E4124=E$1:E4123)))))</f>
        <v> </v>
      </c>
      <c r="L4124" s="26"/>
    </row>
    <row r="4125" spans="1:12">
      <c r="A4125" s="20" t="s">
        <v>1046</v>
      </c>
      <c r="E4125" s="21">
        <f>IF(D4125="?OLD","!!!","")</f>
        <v/>
      </c>
      <c r="F4125" s="22" t="str">
        <f>IF(OR(E4125="",E4125="!!!"),"",IF(NOT(ISNA(VLOOKUP(E4125,E$1:E4124,1,FALSE()))),"OLD",IF(AND(E4125&lt;&gt;"",E4125&lt;&gt;"!!!"),"NEW","")))</f>
        <v> </v>
      </c>
      <c r="G4125" s="23" t="str">
        <f>IF(OR(E4125="",E4125="!!!"),"",IF(OR(J4125=0,AND(J4125=1,K4125=1),AND(J4125=1,I4125="SBJ"),AND(J4125=1,I4125=0)),"?IN_FOCUS",IF(J4125&lt;=2,"?ACTIVATED",IF(J4125&lt;&gt;"","?FAMILIAR",IF(F4125="NEW",IF(ISNA(VLOOKUP(E4125,#REF!,1,FALSE())),"?TYPE_IDENTIFIABLE","?REFERENTIAL"),"_")))))</f>
        <v> </v>
      </c>
      <c r="H4125" s="24" t="str">
        <f>IF(J4125&lt;&gt;1,"",IF(I4125="SBJ","CB","?"))</f>
        <v> </v>
      </c>
      <c r="I4125" s="25" t="str">
        <f>IF(OR(E4125="",E4125="!!!",F4125="NEW"),"",INDEX(B4124:B$2,-1+SUMPRODUCT(MAX(ROW(E4124:E$2)*(E4125=E4124:E$2)))))</f>
        <v> </v>
      </c>
      <c r="J4125" s="25" t="str">
        <f>IF(OR(E4125="",E4125="!!!",F4125="NEW"),"",COUNTBLANK(OFFSET(A$1,,,SUMPRODUCT(MAX(ROW(E$2:E4125)*(E4125=E$2:E4125)))))-COUNTBLANK(OFFSET(A$1,,,SUMPRODUCT(MAX(ROW(E$1:E4124)*(E2=E$1:E4124))))))</f>
        <v> </v>
      </c>
      <c r="K4125" s="25" t="str">
        <f>IF(OR(E4125="",E4125="!!!",F4125="NEW"),"",INDEX(J$1:J4124,SUMPRODUCT(MAX(ROW(E$1:E4124)*(E4125=E$1:E4124)))))</f>
        <v> </v>
      </c>
      <c r="L4125" s="26"/>
    </row>
    <row r="4126" spans="1:12">
      <c r="A4126" s="20" t="s">
        <v>933</v>
      </c>
      <c r="E4126" s="21">
        <f>IF(D4126="?OLD","!!!","")</f>
        <v/>
      </c>
      <c r="F4126" s="22" t="str">
        <f>IF(OR(E4126="",E4126="!!!"),"",IF(NOT(ISNA(VLOOKUP(E4126,E$1:E4125,1,FALSE()))),"OLD",IF(AND(E4126&lt;&gt;"",E4126&lt;&gt;"!!!"),"NEW","")))</f>
        <v> </v>
      </c>
      <c r="G4126" s="23" t="str">
        <f>IF(OR(E4126="",E4126="!!!"),"",IF(OR(J4126=0,AND(J4126=1,K4126=1),AND(J4126=1,I4126="SBJ"),AND(J4126=1,I4126=0)),"?IN_FOCUS",IF(J4126&lt;=2,"?ACTIVATED",IF(J4126&lt;&gt;"","?FAMILIAR",IF(F4126="NEW",IF(ISNA(VLOOKUP(E4126,#REF!,1,FALSE())),"?TYPE_IDENTIFIABLE","?REFERENTIAL"),"_")))))</f>
        <v> </v>
      </c>
      <c r="H4126" s="24" t="str">
        <f>IF(J4126&lt;&gt;1,"",IF(I4126="SBJ","CB","?"))</f>
        <v> </v>
      </c>
      <c r="I4126" s="25" t="str">
        <f>IF(OR(E4126="",E4126="!!!",F4126="NEW"),"",INDEX(B4125:B$2,-1+SUMPRODUCT(MAX(ROW(E4125:E$2)*(E4126=E4125:E$2)))))</f>
        <v> </v>
      </c>
      <c r="J4126" s="25" t="str">
        <f>IF(OR(E4126="",E4126="!!!",F4126="NEW"),"",COUNTBLANK(OFFSET(A$1,,,SUMPRODUCT(MAX(ROW(E$2:E4126)*(E4126=E$2:E4126)))))-COUNTBLANK(OFFSET(A$1,,,SUMPRODUCT(MAX(ROW(E$1:E4125)*(E2=E$1:E4125))))))</f>
        <v> </v>
      </c>
      <c r="K4126" s="25" t="str">
        <f>IF(OR(E4126="",E4126="!!!",F4126="NEW"),"",INDEX(J$1:J4125,SUMPRODUCT(MAX(ROW(E$1:E4125)*(E4126=E$1:E4125)))))</f>
        <v> </v>
      </c>
      <c r="L4126" s="26"/>
    </row>
    <row r="4127" spans="1:12">
      <c r="A4127" s="20" t="s">
        <v>1032</v>
      </c>
      <c r="B4127" s="27" t="s">
        <v>1020</v>
      </c>
      <c r="C4127" s="27" t="s">
        <v>1013</v>
      </c>
      <c r="D4127" s="27" t="s">
        <v>1014</v>
      </c>
      <c r="E4127" s="21">
        <f>IF(D4127="?OLD","!!!","")</f>
        <v/>
      </c>
      <c r="F4127" s="22" t="str">
        <f>IF(OR(E4127="",E4127="!!!"),"",IF(NOT(ISNA(VLOOKUP(E4127,E$1:E4126,1,FALSE()))),"OLD",IF(AND(E4127&lt;&gt;"",E4127&lt;&gt;"!!!"),"NEW","")))</f>
        <v> </v>
      </c>
      <c r="G4127" s="23" t="str">
        <f>IF(OR(E4127="",E4127="!!!"),"",IF(OR(J4127=0,AND(J4127=1,K4127=1),AND(J4127=1,I4127="SBJ"),AND(J4127=1,I4127=0)),"?IN_FOCUS",IF(J4127&lt;=2,"?ACTIVATED",IF(J4127&lt;&gt;"","?FAMILIAR",IF(F4127="NEW",IF(ISNA(VLOOKUP(E4127,#REF!,1,FALSE())),"?TYPE_IDENTIFIABLE","?REFERENTIAL"),"_")))))</f>
        <v> </v>
      </c>
      <c r="H4127" s="24" t="str">
        <f>IF(J4127&lt;&gt;1,"",IF(I4127="SBJ","CB","?"))</f>
        <v> </v>
      </c>
      <c r="I4127" s="25" t="str">
        <f>IF(OR(E4127="",E4127="!!!",F4127="NEW"),"",INDEX(B4126:B$2,-1+SUMPRODUCT(MAX(ROW(E4126:E$2)*(E4127=E4126:E$2)))))</f>
        <v> </v>
      </c>
      <c r="J4127" s="25" t="str">
        <f>IF(OR(E4127="",E4127="!!!",F4127="NEW"),"",COUNTBLANK(OFFSET(A$1,,,SUMPRODUCT(MAX(ROW(E$2:E4127)*(E4127=E$2:E4127)))))-COUNTBLANK(OFFSET(A$1,,,SUMPRODUCT(MAX(ROW(E$1:E4126)*(E2=E$1:E4126))))))</f>
        <v> </v>
      </c>
      <c r="K4127" s="25" t="str">
        <f>IF(OR(E4127="",E4127="!!!",F4127="NEW"),"",INDEX(J$1:J4126,SUMPRODUCT(MAX(ROW(E$1:E4126)*(E4127=E$1:E4126)))))</f>
        <v> </v>
      </c>
      <c r="L4127" s="26"/>
    </row>
    <row r="4128" spans="1:12">
      <c r="A4128" s="20" t="s">
        <v>1027</v>
      </c>
      <c r="E4128" s="21">
        <f>IF(D4128="?OLD","!!!","")</f>
        <v/>
      </c>
      <c r="F4128" s="22" t="str">
        <f>IF(OR(E4128="",E4128="!!!"),"",IF(NOT(ISNA(VLOOKUP(E4128,E$1:E4127,1,FALSE()))),"OLD",IF(AND(E4128&lt;&gt;"",E4128&lt;&gt;"!!!"),"NEW","")))</f>
        <v> </v>
      </c>
      <c r="G4128" s="23" t="str">
        <f>IF(OR(E4128="",E4128="!!!"),"",IF(OR(J4128=0,AND(J4128=1,K4128=1),AND(J4128=1,I4128="SBJ"),AND(J4128=1,I4128=0)),"?IN_FOCUS",IF(J4128&lt;=2,"?ACTIVATED",IF(J4128&lt;&gt;"","?FAMILIAR",IF(F4128="NEW",IF(ISNA(VLOOKUP(E4128,#REF!,1,FALSE())),"?TYPE_IDENTIFIABLE","?REFERENTIAL"),"_")))))</f>
        <v> </v>
      </c>
      <c r="H4128" s="24" t="str">
        <f>IF(J4128&lt;&gt;1,"",IF(I4128="SBJ","CB","?"))</f>
        <v> </v>
      </c>
      <c r="I4128" s="25" t="str">
        <f>IF(OR(E4128="",E4128="!!!",F4128="NEW"),"",INDEX(B4127:B$2,-1+SUMPRODUCT(MAX(ROW(E4127:E$2)*(E4128=E4127:E$2)))))</f>
        <v> </v>
      </c>
      <c r="J4128" s="25" t="str">
        <f>IF(OR(E4128="",E4128="!!!",F4128="NEW"),"",COUNTBLANK(OFFSET(A$1,,,SUMPRODUCT(MAX(ROW(E$2:E4128)*(E4128=E$2:E4128)))))-COUNTBLANK(OFFSET(A$1,,,SUMPRODUCT(MAX(ROW(E$1:E4127)*(E2=E$1:E4127))))))</f>
        <v> </v>
      </c>
      <c r="K4128" s="25" t="str">
        <f>IF(OR(E4128="",E4128="!!!",F4128="NEW"),"",INDEX(J$1:J4127,SUMPRODUCT(MAX(ROW(E$1:E4127)*(E4128=E$1:E4127)))))</f>
        <v> </v>
      </c>
      <c r="L4128" s="26"/>
    </row>
    <row r="4129" spans="1:12">
      <c r="A4129" s="20" t="s">
        <v>1031</v>
      </c>
      <c r="E4129" s="21">
        <f>IF(D4129="?OLD","!!!","")</f>
        <v/>
      </c>
      <c r="F4129" s="22" t="str">
        <f>IF(OR(E4129="",E4129="!!!"),"",IF(NOT(ISNA(VLOOKUP(E4129,E$1:E4128,1,FALSE()))),"OLD",IF(AND(E4129&lt;&gt;"",E4129&lt;&gt;"!!!"),"NEW","")))</f>
        <v> </v>
      </c>
      <c r="G4129" s="23" t="str">
        <f>IF(OR(E4129="",E4129="!!!"),"",IF(OR(J4129=0,AND(J4129=1,K4129=1),AND(J4129=1,I4129="SBJ"),AND(J4129=1,I4129=0)),"?IN_FOCUS",IF(J4129&lt;=2,"?ACTIVATED",IF(J4129&lt;&gt;"","?FAMILIAR",IF(F4129="NEW",IF(ISNA(VLOOKUP(E4129,#REF!,1,FALSE())),"?TYPE_IDENTIFIABLE","?REFERENTIAL"),"_")))))</f>
        <v> </v>
      </c>
      <c r="H4129" s="24" t="str">
        <f>IF(J4129&lt;&gt;1,"",IF(I4129="SBJ","CB","?"))</f>
        <v> </v>
      </c>
      <c r="I4129" s="25" t="str">
        <f>IF(OR(E4129="",E4129="!!!",F4129="NEW"),"",INDEX(B4128:B$2,-1+SUMPRODUCT(MAX(ROW(E4128:E$2)*(E4129=E4128:E$2)))))</f>
        <v> </v>
      </c>
      <c r="J4129" s="25" t="str">
        <f>IF(OR(E4129="",E4129="!!!",F4129="NEW"),"",COUNTBLANK(OFFSET(A$1,,,SUMPRODUCT(MAX(ROW(E$2:E4129)*(E4129=E$2:E4129)))))-COUNTBLANK(OFFSET(A$1,,,SUMPRODUCT(MAX(ROW(E$1:E4128)*(E2=E$1:E4128))))))</f>
        <v> </v>
      </c>
      <c r="K4129" s="25" t="str">
        <f>IF(OR(E4129="",E4129="!!!",F4129="NEW"),"",INDEX(J$1:J4128,SUMPRODUCT(MAX(ROW(E$1:E4128)*(E4129=E$1:E4128)))))</f>
        <v> </v>
      </c>
      <c r="L4129" s="26"/>
    </row>
    <row r="4130" spans="1:12">
      <c r="A4130" s="20" t="s">
        <v>1017</v>
      </c>
      <c r="B4130" s="27" t="s">
        <v>1033</v>
      </c>
      <c r="C4130" s="27" t="s">
        <v>1013</v>
      </c>
      <c r="D4130" s="27" t="s">
        <v>1014</v>
      </c>
      <c r="E4130" s="21">
        <f>IF(D4130="?OLD","!!!","")</f>
        <v/>
      </c>
      <c r="F4130" s="22" t="str">
        <f>IF(OR(E4130="",E4130="!!!"),"",IF(NOT(ISNA(VLOOKUP(E4130,E$1:E4129,1,FALSE()))),"OLD",IF(AND(E4130&lt;&gt;"",E4130&lt;&gt;"!!!"),"NEW","")))</f>
        <v> </v>
      </c>
      <c r="G4130" s="23" t="str">
        <f>IF(OR(E4130="",E4130="!!!"),"",IF(OR(J4130=0,AND(J4130=1,K4130=1),AND(J4130=1,I4130="SBJ"),AND(J4130=1,I4130=0)),"?IN_FOCUS",IF(J4130&lt;=2,"?ACTIVATED",IF(J4130&lt;&gt;"","?FAMILIAR",IF(F4130="NEW",IF(ISNA(VLOOKUP(E4130,#REF!,1,FALSE())),"?TYPE_IDENTIFIABLE","?REFERENTIAL"),"_")))))</f>
        <v> </v>
      </c>
      <c r="H4130" s="24" t="str">
        <f>IF(J4130&lt;&gt;1,"",IF(I4130="SBJ","CB","?"))</f>
        <v> </v>
      </c>
      <c r="I4130" s="25" t="str">
        <f>IF(OR(E4130="",E4130="!!!",F4130="NEW"),"",INDEX(B4129:B$2,-1+SUMPRODUCT(MAX(ROW(E4129:E$2)*(E4130=E4129:E$2)))))</f>
        <v> </v>
      </c>
      <c r="J4130" s="25" t="str">
        <f>IF(OR(E4130="",E4130="!!!",F4130="NEW"),"",COUNTBLANK(OFFSET(A$1,,,SUMPRODUCT(MAX(ROW(E$2:E4130)*(E4130=E$2:E4130)))))-COUNTBLANK(OFFSET(A$1,,,SUMPRODUCT(MAX(ROW(E$1:E4129)*(E2=E$1:E4129))))))</f>
        <v> </v>
      </c>
      <c r="K4130" s="25" t="str">
        <f>IF(OR(E4130="",E4130="!!!",F4130="NEW"),"",INDEX(J$1:J4129,SUMPRODUCT(MAX(ROW(E$1:E4129)*(E4130=E$1:E4129)))))</f>
        <v> </v>
      </c>
      <c r="L4130" s="26"/>
    </row>
    <row r="4131" spans="1:12">
      <c r="A4131" s="20" t="s">
        <v>1299</v>
      </c>
      <c r="E4131" s="21">
        <f>IF(D4131="?OLD","!!!","")</f>
        <v/>
      </c>
      <c r="F4131" s="22" t="str">
        <f>IF(OR(E4131="",E4131="!!!"),"",IF(NOT(ISNA(VLOOKUP(E4131,E$1:E4130,1,FALSE()))),"OLD",IF(AND(E4131&lt;&gt;"",E4131&lt;&gt;"!!!"),"NEW","")))</f>
        <v> </v>
      </c>
      <c r="G4131" s="23" t="str">
        <f>IF(OR(E4131="",E4131="!!!"),"",IF(OR(J4131=0,AND(J4131=1,K4131=1),AND(J4131=1,I4131="SBJ"),AND(J4131=1,I4131=0)),"?IN_FOCUS",IF(J4131&lt;=2,"?ACTIVATED",IF(J4131&lt;&gt;"","?FAMILIAR",IF(F4131="NEW",IF(ISNA(VLOOKUP(E4131,#REF!,1,FALSE())),"?TYPE_IDENTIFIABLE","?REFERENTIAL"),"_")))))</f>
        <v> </v>
      </c>
      <c r="H4131" s="24" t="str">
        <f>IF(J4131&lt;&gt;1,"",IF(I4131="SBJ","CB","?"))</f>
        <v> </v>
      </c>
      <c r="I4131" s="25" t="str">
        <f>IF(OR(E4131="",E4131="!!!",F4131="NEW"),"",INDEX(B4130:B$2,-1+SUMPRODUCT(MAX(ROW(E4130:E$2)*(E4131=E4130:E$2)))))</f>
        <v> </v>
      </c>
      <c r="J4131" s="25" t="str">
        <f>IF(OR(E4131="",E4131="!!!",F4131="NEW"),"",COUNTBLANK(OFFSET(A$1,,,SUMPRODUCT(MAX(ROW(E$2:E4131)*(E4131=E$2:E4131)))))-COUNTBLANK(OFFSET(A$1,,,SUMPRODUCT(MAX(ROW(E$1:E4130)*(E2=E$1:E4130))))))</f>
        <v> </v>
      </c>
      <c r="K4131" s="25" t="str">
        <f>IF(OR(E4131="",E4131="!!!",F4131="NEW"),"",INDEX(J$1:J4130,SUMPRODUCT(MAX(ROW(E$1:E4130)*(E4131=E$1:E4130)))))</f>
        <v> </v>
      </c>
      <c r="L4131" s="26"/>
    </row>
    <row r="4132" spans="1:12">
      <c r="A4132" s="20" t="s">
        <v>1300</v>
      </c>
      <c r="E4132" s="21">
        <f>IF(D4132="?OLD","!!!","")</f>
        <v/>
      </c>
      <c r="F4132" s="22" t="str">
        <f>IF(OR(E4132="",E4132="!!!"),"",IF(NOT(ISNA(VLOOKUP(E4132,E$1:E4131,1,FALSE()))),"OLD",IF(AND(E4132&lt;&gt;"",E4132&lt;&gt;"!!!"),"NEW","")))</f>
        <v> </v>
      </c>
      <c r="G4132" s="23" t="str">
        <f>IF(OR(E4132="",E4132="!!!"),"",IF(OR(J4132=0,AND(J4132=1,K4132=1),AND(J4132=1,I4132="SBJ"),AND(J4132=1,I4132=0)),"?IN_FOCUS",IF(J4132&lt;=2,"?ACTIVATED",IF(J4132&lt;&gt;"","?FAMILIAR",IF(F4132="NEW",IF(ISNA(VLOOKUP(E4132,#REF!,1,FALSE())),"?TYPE_IDENTIFIABLE","?REFERENTIAL"),"_")))))</f>
        <v> </v>
      </c>
      <c r="H4132" s="24" t="str">
        <f>IF(J4132&lt;&gt;1,"",IF(I4132="SBJ","CB","?"))</f>
        <v> </v>
      </c>
      <c r="I4132" s="25" t="str">
        <f>IF(OR(E4132="",E4132="!!!",F4132="NEW"),"",INDEX(B4131:B$2,-1+SUMPRODUCT(MAX(ROW(E4131:E$2)*(E4132=E4131:E$2)))))</f>
        <v> </v>
      </c>
      <c r="J4132" s="25" t="str">
        <f>IF(OR(E4132="",E4132="!!!",F4132="NEW"),"",COUNTBLANK(OFFSET(A$1,,,SUMPRODUCT(MAX(ROW(E$2:E4132)*(E4132=E$2:E4132)))))-COUNTBLANK(OFFSET(A$1,,,SUMPRODUCT(MAX(ROW(E$1:E4131)*(E2=E$1:E4131))))))</f>
        <v> </v>
      </c>
      <c r="K4132" s="25" t="str">
        <f>IF(OR(E4132="",E4132="!!!",F4132="NEW"),"",INDEX(J$1:J4131,SUMPRODUCT(MAX(ROW(E$1:E4131)*(E4132=E$1:E4131)))))</f>
        <v> </v>
      </c>
      <c r="L4132" s="26"/>
    </row>
    <row r="4133" spans="1:12">
      <c r="A4133" s="20" t="s">
        <v>1046</v>
      </c>
      <c r="E4133" s="21">
        <f>IF(D4133="?OLD","!!!","")</f>
        <v/>
      </c>
      <c r="F4133" s="22" t="str">
        <f>IF(OR(E4133="",E4133="!!!"),"",IF(NOT(ISNA(VLOOKUP(E4133,E$1:E4132,1,FALSE()))),"OLD",IF(AND(E4133&lt;&gt;"",E4133&lt;&gt;"!!!"),"NEW","")))</f>
        <v> </v>
      </c>
      <c r="G4133" s="23" t="str">
        <f>IF(OR(E4133="",E4133="!!!"),"",IF(OR(J4133=0,AND(J4133=1,K4133=1),AND(J4133=1,I4133="SBJ"),AND(J4133=1,I4133=0)),"?IN_FOCUS",IF(J4133&lt;=2,"?ACTIVATED",IF(J4133&lt;&gt;"","?FAMILIAR",IF(F4133="NEW",IF(ISNA(VLOOKUP(E4133,#REF!,1,FALSE())),"?TYPE_IDENTIFIABLE","?REFERENTIAL"),"_")))))</f>
        <v> </v>
      </c>
      <c r="H4133" s="24" t="str">
        <f>IF(J4133&lt;&gt;1,"",IF(I4133="SBJ","CB","?"))</f>
        <v> </v>
      </c>
      <c r="I4133" s="25" t="str">
        <f>IF(OR(E4133="",E4133="!!!",F4133="NEW"),"",INDEX(B4132:B$2,-1+SUMPRODUCT(MAX(ROW(E4132:E$2)*(E4133=E4132:E$2)))))</f>
        <v> </v>
      </c>
      <c r="J4133" s="25" t="str">
        <f>IF(OR(E4133="",E4133="!!!",F4133="NEW"),"",COUNTBLANK(OFFSET(A$1,,,SUMPRODUCT(MAX(ROW(E$2:E4133)*(E4133=E$2:E4133)))))-COUNTBLANK(OFFSET(A$1,,,SUMPRODUCT(MAX(ROW(E$1:E4132)*(E2=E$1:E4132))))))</f>
        <v> </v>
      </c>
      <c r="K4133" s="25" t="str">
        <f>IF(OR(E4133="",E4133="!!!",F4133="NEW"),"",INDEX(J$1:J4132,SUMPRODUCT(MAX(ROW(E$1:E4132)*(E4133=E$1:E4132)))))</f>
        <v> </v>
      </c>
      <c r="L4133" s="26"/>
    </row>
    <row r="4134" spans="1:12">
      <c r="A4134" s="20" t="s">
        <v>933</v>
      </c>
      <c r="E4134" s="21">
        <f>IF(D4134="?OLD","!!!","")</f>
        <v/>
      </c>
      <c r="F4134" s="22" t="str">
        <f>IF(OR(E4134="",E4134="!!!"),"",IF(NOT(ISNA(VLOOKUP(E4134,E$1:E4133,1,FALSE()))),"OLD",IF(AND(E4134&lt;&gt;"",E4134&lt;&gt;"!!!"),"NEW","")))</f>
        <v> </v>
      </c>
      <c r="G4134" s="23" t="str">
        <f>IF(OR(E4134="",E4134="!!!"),"",IF(OR(J4134=0,AND(J4134=1,K4134=1),AND(J4134=1,I4134="SBJ"),AND(J4134=1,I4134=0)),"?IN_FOCUS",IF(J4134&lt;=2,"?ACTIVATED",IF(J4134&lt;&gt;"","?FAMILIAR",IF(F4134="NEW",IF(ISNA(VLOOKUP(E4134,#REF!,1,FALSE())),"?TYPE_IDENTIFIABLE","?REFERENTIAL"),"_")))))</f>
        <v> </v>
      </c>
      <c r="H4134" s="24" t="str">
        <f>IF(J4134&lt;&gt;1,"",IF(I4134="SBJ","CB","?"))</f>
        <v> </v>
      </c>
      <c r="I4134" s="25" t="str">
        <f>IF(OR(E4134="",E4134="!!!",F4134="NEW"),"",INDEX(B4133:B$2,-1+SUMPRODUCT(MAX(ROW(E4133:E$2)*(E4134=E4133:E$2)))))</f>
        <v> </v>
      </c>
      <c r="J4134" s="25" t="str">
        <f>IF(OR(E4134="",E4134="!!!",F4134="NEW"),"",COUNTBLANK(OFFSET(A$1,,,SUMPRODUCT(MAX(ROW(E$2:E4134)*(E4134=E$2:E4134)))))-COUNTBLANK(OFFSET(A$1,,,SUMPRODUCT(MAX(ROW(E$1:E4133)*(E2=E$1:E4133))))))</f>
        <v> </v>
      </c>
      <c r="K4134" s="25" t="str">
        <f>IF(OR(E4134="",E4134="!!!",F4134="NEW"),"",INDEX(J$1:J4133,SUMPRODUCT(MAX(ROW(E$1:E4133)*(E4134=E$1:E4133)))))</f>
        <v> </v>
      </c>
      <c r="L4134" s="26"/>
    </row>
    <row r="4135" spans="1:12">
      <c r="A4135" s="20" t="s">
        <v>1032</v>
      </c>
      <c r="B4135" s="27" t="s">
        <v>1020</v>
      </c>
      <c r="C4135" s="27" t="s">
        <v>1013</v>
      </c>
      <c r="D4135" s="27" t="s">
        <v>1014</v>
      </c>
      <c r="E4135" s="21">
        <f>IF(D4135="?OLD","!!!","")</f>
        <v/>
      </c>
      <c r="F4135" s="22" t="str">
        <f>IF(OR(E4135="",E4135="!!!"),"",IF(NOT(ISNA(VLOOKUP(E4135,E$1:E4134,1,FALSE()))),"OLD",IF(AND(E4135&lt;&gt;"",E4135&lt;&gt;"!!!"),"NEW","")))</f>
        <v> </v>
      </c>
      <c r="G4135" s="23" t="str">
        <f>IF(OR(E4135="",E4135="!!!"),"",IF(OR(J4135=0,AND(J4135=1,K4135=1),AND(J4135=1,I4135="SBJ"),AND(J4135=1,I4135=0)),"?IN_FOCUS",IF(J4135&lt;=2,"?ACTIVATED",IF(J4135&lt;&gt;"","?FAMILIAR",IF(F4135="NEW",IF(ISNA(VLOOKUP(E4135,#REF!,1,FALSE())),"?TYPE_IDENTIFIABLE","?REFERENTIAL"),"_")))))</f>
        <v> </v>
      </c>
      <c r="H4135" s="24" t="str">
        <f>IF(J4135&lt;&gt;1,"",IF(I4135="SBJ","CB","?"))</f>
        <v> </v>
      </c>
      <c r="I4135" s="25" t="str">
        <f>IF(OR(E4135="",E4135="!!!",F4135="NEW"),"",INDEX(B4134:B$2,-1+SUMPRODUCT(MAX(ROW(E4134:E$2)*(E4135=E4134:E$2)))))</f>
        <v> </v>
      </c>
      <c r="J4135" s="25" t="str">
        <f>IF(OR(E4135="",E4135="!!!",F4135="NEW"),"",COUNTBLANK(OFFSET(A$1,,,SUMPRODUCT(MAX(ROW(E$2:E4135)*(E4135=E$2:E4135)))))-COUNTBLANK(OFFSET(A$1,,,SUMPRODUCT(MAX(ROW(E$1:E4134)*(E2=E$1:E4134))))))</f>
        <v> </v>
      </c>
      <c r="K4135" s="25" t="str">
        <f>IF(OR(E4135="",E4135="!!!",F4135="NEW"),"",INDEX(J$1:J4134,SUMPRODUCT(MAX(ROW(E$1:E4134)*(E4135=E$1:E4134)))))</f>
        <v> </v>
      </c>
      <c r="L4135" s="26"/>
    </row>
    <row r="4136" spans="1:12">
      <c r="A4136" s="20" t="s">
        <v>1055</v>
      </c>
      <c r="E4136" s="21">
        <f>IF(D4136="?OLD","!!!","")</f>
        <v/>
      </c>
      <c r="F4136" s="22" t="str">
        <f>IF(OR(E4136="",E4136="!!!"),"",IF(NOT(ISNA(VLOOKUP(E4136,E$1:E4135,1,FALSE()))),"OLD",IF(AND(E4136&lt;&gt;"",E4136&lt;&gt;"!!!"),"NEW","")))</f>
        <v> </v>
      </c>
      <c r="G4136" s="23" t="str">
        <f>IF(OR(E4136="",E4136="!!!"),"",IF(OR(J4136=0,AND(J4136=1,K4136=1),AND(J4136=1,I4136="SBJ"),AND(J4136=1,I4136=0)),"?IN_FOCUS",IF(J4136&lt;=2,"?ACTIVATED",IF(J4136&lt;&gt;"","?FAMILIAR",IF(F4136="NEW",IF(ISNA(VLOOKUP(E4136,#REF!,1,FALSE())),"?TYPE_IDENTIFIABLE","?REFERENTIAL"),"_")))))</f>
        <v> </v>
      </c>
      <c r="H4136" s="24" t="str">
        <f>IF(J4136&lt;&gt;1,"",IF(I4136="SBJ","CB","?"))</f>
        <v> </v>
      </c>
      <c r="I4136" s="25" t="str">
        <f>IF(OR(E4136="",E4136="!!!",F4136="NEW"),"",INDEX(B4135:B$2,-1+SUMPRODUCT(MAX(ROW(E4135:E$2)*(E4136=E4135:E$2)))))</f>
        <v> </v>
      </c>
      <c r="J4136" s="25" t="str">
        <f>IF(OR(E4136="",E4136="!!!",F4136="NEW"),"",COUNTBLANK(OFFSET(A$1,,,SUMPRODUCT(MAX(ROW(E$2:E4136)*(E4136=E$2:E4136)))))-COUNTBLANK(OFFSET(A$1,,,SUMPRODUCT(MAX(ROW(E$1:E4135)*(E2=E$1:E4135))))))</f>
        <v> </v>
      </c>
      <c r="K4136" s="25" t="str">
        <f>IF(OR(E4136="",E4136="!!!",F4136="NEW"),"",INDEX(J$1:J4135,SUMPRODUCT(MAX(ROW(E$1:E4135)*(E4136=E$1:E4135)))))</f>
        <v> </v>
      </c>
      <c r="L4136" s="26"/>
    </row>
    <row r="4137" spans="1:12">
      <c r="A4137" s="20" t="s">
        <v>1017</v>
      </c>
      <c r="B4137" s="27" t="s">
        <v>1308</v>
      </c>
      <c r="C4137" s="27" t="s">
        <v>1013</v>
      </c>
      <c r="D4137" s="27" t="s">
        <v>1014</v>
      </c>
      <c r="E4137" s="21">
        <f>IF(D4137="?OLD","!!!","")</f>
        <v/>
      </c>
      <c r="F4137" s="22" t="str">
        <f>IF(OR(E4137="",E4137="!!!"),"",IF(NOT(ISNA(VLOOKUP(E4137,E$1:E4136,1,FALSE()))),"OLD",IF(AND(E4137&lt;&gt;"",E4137&lt;&gt;"!!!"),"NEW","")))</f>
        <v> </v>
      </c>
      <c r="G4137" s="23" t="str">
        <f>IF(OR(E4137="",E4137="!!!"),"",IF(OR(J4137=0,AND(J4137=1,K4137=1),AND(J4137=1,I4137="SBJ"),AND(J4137=1,I4137=0)),"?IN_FOCUS",IF(J4137&lt;=2,"?ACTIVATED",IF(J4137&lt;&gt;"","?FAMILIAR",IF(F4137="NEW",IF(ISNA(VLOOKUP(E4137,#REF!,1,FALSE())),"?TYPE_IDENTIFIABLE","?REFERENTIAL"),"_")))))</f>
        <v> </v>
      </c>
      <c r="H4137" s="24" t="str">
        <f>IF(J4137&lt;&gt;1,"",IF(I4137="SBJ","CB","?"))</f>
        <v> </v>
      </c>
      <c r="I4137" s="25" t="str">
        <f>IF(OR(E4137="",E4137="!!!",F4137="NEW"),"",INDEX(B4136:B$2,-1+SUMPRODUCT(MAX(ROW(E4136:E$2)*(E4137=E4136:E$2)))))</f>
        <v> </v>
      </c>
      <c r="J4137" s="25" t="str">
        <f>IF(OR(E4137="",E4137="!!!",F4137="NEW"),"",COUNTBLANK(OFFSET(A$1,,,SUMPRODUCT(MAX(ROW(E$2:E4137)*(E4137=E$2:E4137)))))-COUNTBLANK(OFFSET(A$1,,,SUMPRODUCT(MAX(ROW(E$1:E4136)*(E2=E$1:E4136))))))</f>
        <v> </v>
      </c>
      <c r="K4137" s="25" t="str">
        <f>IF(OR(E4137="",E4137="!!!",F4137="NEW"),"",INDEX(J$1:J4136,SUMPRODUCT(MAX(ROW(E$1:E4136)*(E4137=E$1:E4136)))))</f>
        <v> </v>
      </c>
      <c r="L4137" s="26"/>
    </row>
    <row r="4138" spans="1:12">
      <c r="A4138" s="20" t="s">
        <v>39</v>
      </c>
      <c r="E4138" s="21">
        <f>IF(D4138="?OLD","!!!","")</f>
        <v/>
      </c>
      <c r="F4138" s="22" t="str">
        <f>IF(OR(E4138="",E4138="!!!"),"",IF(NOT(ISNA(VLOOKUP(E4138,E$1:E4137,1,FALSE()))),"OLD",IF(AND(E4138&lt;&gt;"",E4138&lt;&gt;"!!!"),"NEW","")))</f>
        <v> </v>
      </c>
      <c r="G4138" s="23" t="str">
        <f>IF(OR(E4138="",E4138="!!!"),"",IF(OR(J4138=0,AND(J4138=1,K4138=1),AND(J4138=1,I4138="SBJ"),AND(J4138=1,I4138=0)),"?IN_FOCUS",IF(J4138&lt;=2,"?ACTIVATED",IF(J4138&lt;&gt;"","?FAMILIAR",IF(F4138="NEW",IF(ISNA(VLOOKUP(E4138,#REF!,1,FALSE())),"?TYPE_IDENTIFIABLE","?REFERENTIAL"),"_")))))</f>
        <v> </v>
      </c>
      <c r="H4138" s="24" t="str">
        <f>IF(J4138&lt;&gt;1,"",IF(I4138="SBJ","CB","?"))</f>
        <v> </v>
      </c>
      <c r="I4138" s="25" t="str">
        <f>IF(OR(E4138="",E4138="!!!",F4138="NEW"),"",INDEX(B4137:B$2,-1+SUMPRODUCT(MAX(ROW(E4137:E$2)*(E4138=E4137:E$2)))))</f>
        <v> </v>
      </c>
      <c r="J4138" s="25" t="str">
        <f>IF(OR(E4138="",E4138="!!!",F4138="NEW"),"",COUNTBLANK(OFFSET(A$1,,,SUMPRODUCT(MAX(ROW(E$2:E4138)*(E4138=E$2:E4138)))))-COUNTBLANK(OFFSET(A$1,,,SUMPRODUCT(MAX(ROW(E$1:E4137)*(E2=E$1:E4137))))))</f>
        <v> </v>
      </c>
      <c r="K4138" s="25" t="str">
        <f>IF(OR(E4138="",E4138="!!!",F4138="NEW"),"",INDEX(J$1:J4137,SUMPRODUCT(MAX(ROW(E$1:E4137)*(E4138=E$1:E4137)))))</f>
        <v> </v>
      </c>
      <c r="L4138" s="26"/>
    </row>
    <row r="4139" spans="1:12">
      <c r="A4139" s="20" t="s">
        <v>1046</v>
      </c>
      <c r="E4139" s="21">
        <f>IF(D4139="?OLD","!!!","")</f>
        <v/>
      </c>
      <c r="F4139" s="22" t="str">
        <f>IF(OR(E4139="",E4139="!!!"),"",IF(NOT(ISNA(VLOOKUP(E4139,E$1:E4138,1,FALSE()))),"OLD",IF(AND(E4139&lt;&gt;"",E4139&lt;&gt;"!!!"),"NEW","")))</f>
        <v> </v>
      </c>
      <c r="G4139" s="23" t="str">
        <f>IF(OR(E4139="",E4139="!!!"),"",IF(OR(J4139=0,AND(J4139=1,K4139=1),AND(J4139=1,I4139="SBJ"),AND(J4139=1,I4139=0)),"?IN_FOCUS",IF(J4139&lt;=2,"?ACTIVATED",IF(J4139&lt;&gt;"","?FAMILIAR",IF(F4139="NEW",IF(ISNA(VLOOKUP(E4139,#REF!,1,FALSE())),"?TYPE_IDENTIFIABLE","?REFERENTIAL"),"_")))))</f>
        <v> </v>
      </c>
      <c r="H4139" s="24" t="str">
        <f>IF(J4139&lt;&gt;1,"",IF(I4139="SBJ","CB","?"))</f>
        <v> </v>
      </c>
      <c r="I4139" s="25" t="str">
        <f>IF(OR(E4139="",E4139="!!!",F4139="NEW"),"",INDEX(B4138:B$2,-1+SUMPRODUCT(MAX(ROW(E4138:E$2)*(E4139=E4138:E$2)))))</f>
        <v> </v>
      </c>
      <c r="J4139" s="25" t="str">
        <f>IF(OR(E4139="",E4139="!!!",F4139="NEW"),"",COUNTBLANK(OFFSET(A$1,,,SUMPRODUCT(MAX(ROW(E$2:E4139)*(E4139=E$2:E4139)))))-COUNTBLANK(OFFSET(A$1,,,SUMPRODUCT(MAX(ROW(E$1:E4138)*(E2=E$1:E4138))))))</f>
        <v> </v>
      </c>
      <c r="K4139" s="25" t="str">
        <f>IF(OR(E4139="",E4139="!!!",F4139="NEW"),"",INDEX(J$1:J4138,SUMPRODUCT(MAX(ROW(E$1:E4138)*(E4139=E$1:E4138)))))</f>
        <v> </v>
      </c>
      <c r="L4139" s="26"/>
    </row>
    <row r="4140" spans="1:12">
      <c r="A4140" s="20" t="s">
        <v>933</v>
      </c>
      <c r="E4140" s="21">
        <f>IF(D4140="?OLD","!!!","")</f>
        <v/>
      </c>
      <c r="F4140" s="22" t="str">
        <f>IF(OR(E4140="",E4140="!!!"),"",IF(NOT(ISNA(VLOOKUP(E4140,E$1:E4139,1,FALSE()))),"OLD",IF(AND(E4140&lt;&gt;"",E4140&lt;&gt;"!!!"),"NEW","")))</f>
        <v> </v>
      </c>
      <c r="G4140" s="23" t="str">
        <f>IF(OR(E4140="",E4140="!!!"),"",IF(OR(J4140=0,AND(J4140=1,K4140=1),AND(J4140=1,I4140="SBJ"),AND(J4140=1,I4140=0)),"?IN_FOCUS",IF(J4140&lt;=2,"?ACTIVATED",IF(J4140&lt;&gt;"","?FAMILIAR",IF(F4140="NEW",IF(ISNA(VLOOKUP(E4140,#REF!,1,FALSE())),"?TYPE_IDENTIFIABLE","?REFERENTIAL"),"_")))))</f>
        <v> </v>
      </c>
      <c r="H4140" s="24" t="str">
        <f>IF(J4140&lt;&gt;1,"",IF(I4140="SBJ","CB","?"))</f>
        <v> </v>
      </c>
      <c r="I4140" s="25" t="str">
        <f>IF(OR(E4140="",E4140="!!!",F4140="NEW"),"",INDEX(B4139:B$2,-1+SUMPRODUCT(MAX(ROW(E4139:E$2)*(E4140=E4139:E$2)))))</f>
        <v> </v>
      </c>
      <c r="J4140" s="25" t="str">
        <f>IF(OR(E4140="",E4140="!!!",F4140="NEW"),"",COUNTBLANK(OFFSET(A$1,,,SUMPRODUCT(MAX(ROW(E$2:E4140)*(E4140=E$2:E4140)))))-COUNTBLANK(OFFSET(A$1,,,SUMPRODUCT(MAX(ROW(E$1:E4139)*(E2=E$1:E4139))))))</f>
        <v> </v>
      </c>
      <c r="K4140" s="25" t="str">
        <f>IF(OR(E4140="",E4140="!!!",F4140="NEW"),"",INDEX(J$1:J4139,SUMPRODUCT(MAX(ROW(E$1:E4139)*(E4140=E$1:E4139)))))</f>
        <v> </v>
      </c>
      <c r="L4140" s="26"/>
    </row>
    <row r="4141" spans="1:12">
      <c r="A4141" s="20" t="s">
        <v>1032</v>
      </c>
      <c r="B4141" s="27" t="s">
        <v>1306</v>
      </c>
      <c r="C4141" s="27" t="s">
        <v>1013</v>
      </c>
      <c r="D4141" s="27" t="s">
        <v>1014</v>
      </c>
      <c r="E4141" s="21">
        <f>IF(D4141="?OLD","!!!","")</f>
        <v/>
      </c>
      <c r="F4141" s="22" t="str">
        <f>IF(OR(E4141="",E4141="!!!"),"",IF(NOT(ISNA(VLOOKUP(E4141,E$1:E4140,1,FALSE()))),"OLD",IF(AND(E4141&lt;&gt;"",E4141&lt;&gt;"!!!"),"NEW","")))</f>
        <v> </v>
      </c>
      <c r="G4141" s="23" t="str">
        <f>IF(OR(E4141="",E4141="!!!"),"",IF(OR(J4141=0,AND(J4141=1,K4141=1),AND(J4141=1,I4141="SBJ"),AND(J4141=1,I4141=0)),"?IN_FOCUS",IF(J4141&lt;=2,"?ACTIVATED",IF(J4141&lt;&gt;"","?FAMILIAR",IF(F4141="NEW",IF(ISNA(VLOOKUP(E4141,#REF!,1,FALSE())),"?TYPE_IDENTIFIABLE","?REFERENTIAL"),"_")))))</f>
        <v> </v>
      </c>
      <c r="H4141" s="24" t="str">
        <f>IF(J4141&lt;&gt;1,"",IF(I4141="SBJ","CB","?"))</f>
        <v> </v>
      </c>
      <c r="I4141" s="25" t="str">
        <f>IF(OR(E4141="",E4141="!!!",F4141="NEW"),"",INDEX(B4140:B$2,-1+SUMPRODUCT(MAX(ROW(E4140:E$2)*(E4141=E4140:E$2)))))</f>
        <v> </v>
      </c>
      <c r="J4141" s="25" t="str">
        <f>IF(OR(E4141="",E4141="!!!",F4141="NEW"),"",COUNTBLANK(OFFSET(A$1,,,SUMPRODUCT(MAX(ROW(E$2:E4141)*(E4141=E$2:E4141)))))-COUNTBLANK(OFFSET(A$1,,,SUMPRODUCT(MAX(ROW(E$1:E4140)*(E2=E$1:E4140))))))</f>
        <v> </v>
      </c>
      <c r="K4141" s="25" t="str">
        <f>IF(OR(E4141="",E4141="!!!",F4141="NEW"),"",INDEX(J$1:J4140,SUMPRODUCT(MAX(ROW(E$1:E4140)*(E4141=E$1:E4140)))))</f>
        <v> </v>
      </c>
      <c r="L4141" s="26"/>
    </row>
    <row r="4142" spans="1:12">
      <c r="A4142" s="20" t="s">
        <v>1022</v>
      </c>
      <c r="E4142" s="21">
        <f>IF(D4142="?OLD","!!!","")</f>
        <v/>
      </c>
      <c r="F4142" s="22" t="str">
        <f>IF(OR(E4142="",E4142="!!!"),"",IF(NOT(ISNA(VLOOKUP(E4142,E$1:E4141,1,FALSE()))),"OLD",IF(AND(E4142&lt;&gt;"",E4142&lt;&gt;"!!!"),"NEW","")))</f>
        <v> </v>
      </c>
      <c r="G4142" s="23" t="str">
        <f>IF(OR(E4142="",E4142="!!!"),"",IF(OR(J4142=0,AND(J4142=1,K4142=1),AND(J4142=1,I4142="SBJ"),AND(J4142=1,I4142=0)),"?IN_FOCUS",IF(J4142&lt;=2,"?ACTIVATED",IF(J4142&lt;&gt;"","?FAMILIAR",IF(F4142="NEW",IF(ISNA(VLOOKUP(E4142,#REF!,1,FALSE())),"?TYPE_IDENTIFIABLE","?REFERENTIAL"),"_")))))</f>
        <v> </v>
      </c>
      <c r="H4142" s="24" t="str">
        <f>IF(J4142&lt;&gt;1,"",IF(I4142="SBJ","CB","?"))</f>
        <v> </v>
      </c>
      <c r="I4142" s="25" t="str">
        <f>IF(OR(E4142="",E4142="!!!",F4142="NEW"),"",INDEX(B4141:B$2,-1+SUMPRODUCT(MAX(ROW(E4141:E$2)*(E4142=E4141:E$2)))))</f>
        <v> </v>
      </c>
      <c r="J4142" s="25" t="str">
        <f>IF(OR(E4142="",E4142="!!!",F4142="NEW"),"",COUNTBLANK(OFFSET(A$1,,,SUMPRODUCT(MAX(ROW(E$2:E4142)*(E4142=E$2:E4142)))))-COUNTBLANK(OFFSET(A$1,,,SUMPRODUCT(MAX(ROW(E$1:E4141)*(E2=E$1:E4141))))))</f>
        <v> </v>
      </c>
      <c r="K4142" s="25" t="str">
        <f>IF(OR(E4142="",E4142="!!!",F4142="NEW"),"",INDEX(J$1:J4141,SUMPRODUCT(MAX(ROW(E$1:E4141)*(E4142=E$1:E4141)))))</f>
        <v> </v>
      </c>
      <c r="L4142" s="26"/>
    </row>
    <row r="4143" spans="1:12">
      <c r="A4143" s="20"/>
    </row>
    <row r="4144" spans="1:12">
      <c r="A4144" s="20" t="s">
        <v>2059</v>
      </c>
    </row>
    <row r="4145" spans="1:12">
      <c r="A4145" s="20" t="s">
        <v>1217</v>
      </c>
      <c r="B4145" s="27" t="s">
        <v>1038</v>
      </c>
      <c r="C4145" s="27" t="s">
        <v>1013</v>
      </c>
      <c r="D4145" s="27" t="s">
        <v>1014</v>
      </c>
      <c r="E4145" s="21">
        <f>IF(D4145="?OLD","!!!","")</f>
        <v/>
      </c>
      <c r="F4145" s="22" t="str">
        <f>IF(OR(E4145="",E4145="!!!"),"",IF(NOT(ISNA(VLOOKUP(E4145,E$1:E4144,1,FALSE()))),"OLD",IF(AND(E4145&lt;&gt;"",E4145&lt;&gt;"!!!"),"NEW","")))</f>
        <v> </v>
      </c>
      <c r="G4145" s="23" t="str">
        <f>IF(OR(E4145="",E4145="!!!"),"",IF(OR(J4145=0,AND(J4145=1,K4145=1),AND(J4145=1,I4145="SBJ"),AND(J4145=1,I4145=0)),"?IN_FOCUS",IF(J4145&lt;=2,"?ACTIVATED",IF(J4145&lt;&gt;"","?FAMILIAR",IF(F4145="NEW",IF(ISNA(VLOOKUP(E4145,#REF!,1,FALSE())),"?TYPE_IDENTIFIABLE","?REFERENTIAL"),"_")))))</f>
        <v> </v>
      </c>
      <c r="H4145" s="24" t="str">
        <f>IF(J4145&lt;&gt;1,"",IF(I4145="SBJ","CB","?"))</f>
        <v> </v>
      </c>
      <c r="I4145" s="25" t="str">
        <f>IF(OR(E4145="",E4145="!!!",F4145="NEW"),"",INDEX(B4144:B$2,-1+SUMPRODUCT(MAX(ROW(E4144:E$2)*(E4145=E4144:E$2)))))</f>
        <v> </v>
      </c>
      <c r="J4145" s="25" t="str">
        <f>IF(OR(E4145="",E4145="!!!",F4145="NEW"),"",COUNTBLANK(OFFSET(A$1,,,SUMPRODUCT(MAX(ROW(E$2:E4145)*(E4145=E$2:E4145)))))-COUNTBLANK(OFFSET(A$1,,,SUMPRODUCT(MAX(ROW(E$1:E4144)*(E2=E$1:E4144))))))</f>
        <v> </v>
      </c>
      <c r="K4145" s="25" t="str">
        <f>IF(OR(E4145="",E4145="!!!",F4145="NEW"),"",INDEX(J$1:J4144,SUMPRODUCT(MAX(ROW(E$1:E4144)*(E4145=E$1:E4144)))))</f>
        <v> </v>
      </c>
      <c r="L4145" s="26"/>
    </row>
    <row r="4146" spans="1:12">
      <c r="A4146" s="20" t="s">
        <v>22</v>
      </c>
      <c r="E4146" s="21">
        <f>IF(D4146="?OLD","!!!","")</f>
        <v/>
      </c>
      <c r="F4146" s="22" t="str">
        <f>IF(OR(E4146="",E4146="!!!"),"",IF(NOT(ISNA(VLOOKUP(E4146,E$1:E4145,1,FALSE()))),"OLD",IF(AND(E4146&lt;&gt;"",E4146&lt;&gt;"!!!"),"NEW","")))</f>
        <v> </v>
      </c>
      <c r="G4146" s="23" t="str">
        <f>IF(OR(E4146="",E4146="!!!"),"",IF(OR(J4146=0,AND(J4146=1,K4146=1),AND(J4146=1,I4146="SBJ"),AND(J4146=1,I4146=0)),"?IN_FOCUS",IF(J4146&lt;=2,"?ACTIVATED",IF(J4146&lt;&gt;"","?FAMILIAR",IF(F4146="NEW",IF(ISNA(VLOOKUP(E4146,#REF!,1,FALSE())),"?TYPE_IDENTIFIABLE","?REFERENTIAL"),"_")))))</f>
        <v> </v>
      </c>
      <c r="H4146" s="24" t="str">
        <f>IF(J4146&lt;&gt;1,"",IF(I4146="SBJ","CB","?"))</f>
        <v> </v>
      </c>
      <c r="I4146" s="25" t="str">
        <f>IF(OR(E4146="",E4146="!!!",F4146="NEW"),"",INDEX(B4145:B$2,-1+SUMPRODUCT(MAX(ROW(E4145:E$2)*(E4146=E4145:E$2)))))</f>
        <v> </v>
      </c>
      <c r="J4146" s="25" t="str">
        <f>IF(OR(E4146="",E4146="!!!",F4146="NEW"),"",COUNTBLANK(OFFSET(A$1,,,SUMPRODUCT(MAX(ROW(E$2:E4146)*(E4146=E$2:E4146)))))-COUNTBLANK(OFFSET(A$1,,,SUMPRODUCT(MAX(ROW(E$1:E4145)*(E2=E$1:E4145))))))</f>
        <v> </v>
      </c>
      <c r="K4146" s="25" t="str">
        <f>IF(OR(E4146="",E4146="!!!",F4146="NEW"),"",INDEX(J$1:J4145,SUMPRODUCT(MAX(ROW(E$1:E4145)*(E4146=E$1:E4145)))))</f>
        <v> </v>
      </c>
      <c r="L4146" s="26"/>
    </row>
    <row r="4147" spans="1:12">
      <c r="A4147" s="20" t="s">
        <v>1046</v>
      </c>
      <c r="E4147" s="21">
        <f>IF(D4147="?OLD","!!!","")</f>
        <v/>
      </c>
      <c r="F4147" s="22" t="str">
        <f>IF(OR(E4147="",E4147="!!!"),"",IF(NOT(ISNA(VLOOKUP(E4147,E$1:E4146,1,FALSE()))),"OLD",IF(AND(E4147&lt;&gt;"",E4147&lt;&gt;"!!!"),"NEW","")))</f>
        <v> </v>
      </c>
      <c r="G4147" s="23" t="str">
        <f>IF(OR(E4147="",E4147="!!!"),"",IF(OR(J4147=0,AND(J4147=1,K4147=1),AND(J4147=1,I4147="SBJ"),AND(J4147=1,I4147=0)),"?IN_FOCUS",IF(J4147&lt;=2,"?ACTIVATED",IF(J4147&lt;&gt;"","?FAMILIAR",IF(F4147="NEW",IF(ISNA(VLOOKUP(E4147,#REF!,1,FALSE())),"?TYPE_IDENTIFIABLE","?REFERENTIAL"),"_")))))</f>
        <v> </v>
      </c>
      <c r="H4147" s="24" t="str">
        <f>IF(J4147&lt;&gt;1,"",IF(I4147="SBJ","CB","?"))</f>
        <v> </v>
      </c>
      <c r="I4147" s="25" t="str">
        <f>IF(OR(E4147="",E4147="!!!",F4147="NEW"),"",INDEX(B4146:B$2,-1+SUMPRODUCT(MAX(ROW(E4146:E$2)*(E4147=E4146:E$2)))))</f>
        <v> </v>
      </c>
      <c r="J4147" s="25" t="str">
        <f>IF(OR(E4147="",E4147="!!!",F4147="NEW"),"",COUNTBLANK(OFFSET(A$1,,,SUMPRODUCT(MAX(ROW(E$2:E4147)*(E4147=E$2:E4147)))))-COUNTBLANK(OFFSET(A$1,,,SUMPRODUCT(MAX(ROW(E$1:E4146)*(E2=E$1:E4146))))))</f>
        <v> </v>
      </c>
      <c r="K4147" s="25" t="str">
        <f>IF(OR(E4147="",E4147="!!!",F4147="NEW"),"",INDEX(J$1:J4146,SUMPRODUCT(MAX(ROW(E$1:E4146)*(E4147=E$1:E4146)))))</f>
        <v> </v>
      </c>
      <c r="L4147" s="26"/>
    </row>
    <row r="4148" spans="1:12">
      <c r="A4148" s="20" t="s">
        <v>22</v>
      </c>
      <c r="E4148" s="21">
        <f>IF(D4148="?OLD","!!!","")</f>
        <v/>
      </c>
      <c r="F4148" s="22" t="str">
        <f>IF(OR(E4148="",E4148="!!!"),"",IF(NOT(ISNA(VLOOKUP(E4148,E$1:E4147,1,FALSE()))),"OLD",IF(AND(E4148&lt;&gt;"",E4148&lt;&gt;"!!!"),"NEW","")))</f>
        <v> </v>
      </c>
      <c r="G4148" s="23" t="str">
        <f>IF(OR(E4148="",E4148="!!!"),"",IF(OR(J4148=0,AND(J4148=1,K4148=1),AND(J4148=1,I4148="SBJ"),AND(J4148=1,I4148=0)),"?IN_FOCUS",IF(J4148&lt;=2,"?ACTIVATED",IF(J4148&lt;&gt;"","?FAMILIAR",IF(F4148="NEW",IF(ISNA(VLOOKUP(E4148,#REF!,1,FALSE())),"?TYPE_IDENTIFIABLE","?REFERENTIAL"),"_")))))</f>
        <v> </v>
      </c>
      <c r="H4148" s="24" t="str">
        <f>IF(J4148&lt;&gt;1,"",IF(I4148="SBJ","CB","?"))</f>
        <v> </v>
      </c>
      <c r="I4148" s="25" t="str">
        <f>IF(OR(E4148="",E4148="!!!",F4148="NEW"),"",INDEX(B4147:B$2,-1+SUMPRODUCT(MAX(ROW(E4147:E$2)*(E4148=E4147:E$2)))))</f>
        <v> </v>
      </c>
      <c r="J4148" s="25" t="str">
        <f>IF(OR(E4148="",E4148="!!!",F4148="NEW"),"",COUNTBLANK(OFFSET(A$1,,,SUMPRODUCT(MAX(ROW(E$2:E4148)*(E4148=E$2:E4148)))))-COUNTBLANK(OFFSET(A$1,,,SUMPRODUCT(MAX(ROW(E$1:E4147)*(E2=E$1:E4147))))))</f>
        <v> </v>
      </c>
      <c r="K4148" s="25" t="str">
        <f>IF(OR(E4148="",E4148="!!!",F4148="NEW"),"",INDEX(J$1:J4147,SUMPRODUCT(MAX(ROW(E$1:E4147)*(E4148=E$1:E4147)))))</f>
        <v> </v>
      </c>
      <c r="L4148" s="26"/>
    </row>
    <row r="4149" spans="1:12">
      <c r="A4149" s="20" t="s">
        <v>1356</v>
      </c>
      <c r="E4149" s="21">
        <f>IF(D4149="?OLD","!!!","")</f>
        <v/>
      </c>
      <c r="F4149" s="22" t="str">
        <f>IF(OR(E4149="",E4149="!!!"),"",IF(NOT(ISNA(VLOOKUP(E4149,E$1:E4148,1,FALSE()))),"OLD",IF(AND(E4149&lt;&gt;"",E4149&lt;&gt;"!!!"),"NEW","")))</f>
        <v> </v>
      </c>
      <c r="G4149" s="23" t="str">
        <f>IF(OR(E4149="",E4149="!!!"),"",IF(OR(J4149=0,AND(J4149=1,K4149=1),AND(J4149=1,I4149="SBJ"),AND(J4149=1,I4149=0)),"?IN_FOCUS",IF(J4149&lt;=2,"?ACTIVATED",IF(J4149&lt;&gt;"","?FAMILIAR",IF(F4149="NEW",IF(ISNA(VLOOKUP(E4149,#REF!,1,FALSE())),"?TYPE_IDENTIFIABLE","?REFERENTIAL"),"_")))))</f>
        <v> </v>
      </c>
      <c r="H4149" s="24" t="str">
        <f>IF(J4149&lt;&gt;1,"",IF(I4149="SBJ","CB","?"))</f>
        <v> </v>
      </c>
      <c r="I4149" s="25" t="str">
        <f>IF(OR(E4149="",E4149="!!!",F4149="NEW"),"",INDEX(B4148:B$2,-1+SUMPRODUCT(MAX(ROW(E4148:E$2)*(E4149=E4148:E$2)))))</f>
        <v> </v>
      </c>
      <c r="J4149" s="25" t="str">
        <f>IF(OR(E4149="",E4149="!!!",F4149="NEW"),"",COUNTBLANK(OFFSET(A$1,,,SUMPRODUCT(MAX(ROW(E$2:E4149)*(E4149=E$2:E4149)))))-COUNTBLANK(OFFSET(A$1,,,SUMPRODUCT(MAX(ROW(E$1:E4148)*(E2=E$1:E4148))))))</f>
        <v> </v>
      </c>
      <c r="K4149" s="25" t="str">
        <f>IF(OR(E4149="",E4149="!!!",F4149="NEW"),"",INDEX(J$1:J4148,SUMPRODUCT(MAX(ROW(E$1:E4148)*(E4149=E$1:E4148)))))</f>
        <v> </v>
      </c>
      <c r="L4149" s="26"/>
    </row>
    <row r="4150" spans="1:12">
      <c r="A4150" s="20" t="s">
        <v>2060</v>
      </c>
      <c r="B4150" s="27" t="s">
        <v>1070</v>
      </c>
      <c r="C4150" s="27" t="s">
        <v>1044</v>
      </c>
      <c r="D4150" s="27" t="s">
        <v>1014</v>
      </c>
      <c r="E4150" s="21">
        <f>IF(D4150="?OLD","!!!","")</f>
        <v/>
      </c>
      <c r="F4150" s="22" t="str">
        <f>IF(OR(E4150="",E4150="!!!"),"",IF(NOT(ISNA(VLOOKUP(E4150,E$1:E4149,1,FALSE()))),"OLD",IF(AND(E4150&lt;&gt;"",E4150&lt;&gt;"!!!"),"NEW","")))</f>
        <v> </v>
      </c>
      <c r="G4150" s="23" t="str">
        <f>IF(OR(E4150="",E4150="!!!"),"",IF(OR(J4150=0,AND(J4150=1,K4150=1),AND(J4150=1,I4150="SBJ"),AND(J4150=1,I4150=0)),"?IN_FOCUS",IF(J4150&lt;=2,"?ACTIVATED",IF(J4150&lt;&gt;"","?FAMILIAR",IF(F4150="NEW",IF(ISNA(VLOOKUP(E4150,#REF!,1,FALSE())),"?TYPE_IDENTIFIABLE","?REFERENTIAL"),"_")))))</f>
        <v> </v>
      </c>
      <c r="H4150" s="24" t="str">
        <f>IF(J4150&lt;&gt;1,"",IF(I4150="SBJ","CB","?"))</f>
        <v> </v>
      </c>
      <c r="I4150" s="25" t="str">
        <f>IF(OR(E4150="",E4150="!!!",F4150="NEW"),"",INDEX(B4149:B$2,-1+SUMPRODUCT(MAX(ROW(E4149:E$2)*(E4150=E4149:E$2)))))</f>
        <v> </v>
      </c>
      <c r="J4150" s="25" t="str">
        <f>IF(OR(E4150="",E4150="!!!",F4150="NEW"),"",COUNTBLANK(OFFSET(A$1,,,SUMPRODUCT(MAX(ROW(E$2:E4150)*(E4150=E$2:E4150)))))-COUNTBLANK(OFFSET(A$1,,,SUMPRODUCT(MAX(ROW(E$1:E4149)*(E2=E$1:E4149))))))</f>
        <v> </v>
      </c>
      <c r="K4150" s="25" t="str">
        <f>IF(OR(E4150="",E4150="!!!",F4150="NEW"),"",INDEX(J$1:J4149,SUMPRODUCT(MAX(ROW(E$1:E4149)*(E4150=E$1:E4149)))))</f>
        <v> </v>
      </c>
      <c r="L4150" s="26"/>
    </row>
    <row r="4151" spans="1:12">
      <c r="A4151" s="20" t="s">
        <v>1031</v>
      </c>
      <c r="E4151" s="21">
        <f>IF(D4151="?OLD","!!!","")</f>
        <v/>
      </c>
      <c r="F4151" s="22" t="str">
        <f>IF(OR(E4151="",E4151="!!!"),"",IF(NOT(ISNA(VLOOKUP(E4151,E$1:E4150,1,FALSE()))),"OLD",IF(AND(E4151&lt;&gt;"",E4151&lt;&gt;"!!!"),"NEW","")))</f>
        <v> </v>
      </c>
      <c r="G4151" s="23" t="str">
        <f>IF(OR(E4151="",E4151="!!!"),"",IF(OR(J4151=0,AND(J4151=1,K4151=1),AND(J4151=1,I4151="SBJ"),AND(J4151=1,I4151=0)),"?IN_FOCUS",IF(J4151&lt;=2,"?ACTIVATED",IF(J4151&lt;&gt;"","?FAMILIAR",IF(F4151="NEW",IF(ISNA(VLOOKUP(E4151,#REF!,1,FALSE())),"?TYPE_IDENTIFIABLE","?REFERENTIAL"),"_")))))</f>
        <v> </v>
      </c>
      <c r="H4151" s="24" t="str">
        <f>IF(J4151&lt;&gt;1,"",IF(I4151="SBJ","CB","?"))</f>
        <v> </v>
      </c>
      <c r="I4151" s="25" t="str">
        <f>IF(OR(E4151="",E4151="!!!",F4151="NEW"),"",INDEX(B4150:B$2,-1+SUMPRODUCT(MAX(ROW(E4150:E$2)*(E4151=E4150:E$2)))))</f>
        <v> </v>
      </c>
      <c r="J4151" s="25" t="str">
        <f>IF(OR(E4151="",E4151="!!!",F4151="NEW"),"",COUNTBLANK(OFFSET(A$1,,,SUMPRODUCT(MAX(ROW(E$2:E4151)*(E4151=E$2:E4151)))))-COUNTBLANK(OFFSET(A$1,,,SUMPRODUCT(MAX(ROW(E$1:E4150)*(E2=E$1:E4150))))))</f>
        <v> </v>
      </c>
      <c r="K4151" s="25" t="str">
        <f>IF(OR(E4151="",E4151="!!!",F4151="NEW"),"",INDEX(J$1:J4150,SUMPRODUCT(MAX(ROW(E$1:E4150)*(E4151=E$1:E4150)))))</f>
        <v> </v>
      </c>
      <c r="L4151" s="26"/>
    </row>
    <row r="4152" spans="1:12">
      <c r="A4152" s="20" t="s">
        <v>1017</v>
      </c>
      <c r="B4152" s="27" t="s">
        <v>1033</v>
      </c>
      <c r="C4152" s="27" t="s">
        <v>1013</v>
      </c>
      <c r="D4152" s="27" t="s">
        <v>1014</v>
      </c>
      <c r="E4152" s="21">
        <f>IF(D4152="?OLD","!!!","")</f>
        <v/>
      </c>
      <c r="F4152" s="22" t="str">
        <f>IF(OR(E4152="",E4152="!!!"),"",IF(NOT(ISNA(VLOOKUP(E4152,E$1:E4151,1,FALSE()))),"OLD",IF(AND(E4152&lt;&gt;"",E4152&lt;&gt;"!!!"),"NEW","")))</f>
        <v> </v>
      </c>
      <c r="G4152" s="23" t="str">
        <f>IF(OR(E4152="",E4152="!!!"),"",IF(OR(J4152=0,AND(J4152=1,K4152=1),AND(J4152=1,I4152="SBJ"),AND(J4152=1,I4152=0)),"?IN_FOCUS",IF(J4152&lt;=2,"?ACTIVATED",IF(J4152&lt;&gt;"","?FAMILIAR",IF(F4152="NEW",IF(ISNA(VLOOKUP(E4152,#REF!,1,FALSE())),"?TYPE_IDENTIFIABLE","?REFERENTIAL"),"_")))))</f>
        <v> </v>
      </c>
      <c r="H4152" s="24" t="str">
        <f>IF(J4152&lt;&gt;1,"",IF(I4152="SBJ","CB","?"))</f>
        <v> </v>
      </c>
      <c r="I4152" s="25" t="str">
        <f>IF(OR(E4152="",E4152="!!!",F4152="NEW"),"",INDEX(B4151:B$2,-1+SUMPRODUCT(MAX(ROW(E4151:E$2)*(E4152=E4151:E$2)))))</f>
        <v> </v>
      </c>
      <c r="J4152" s="25" t="str">
        <f>IF(OR(E4152="",E4152="!!!",F4152="NEW"),"",COUNTBLANK(OFFSET(A$1,,,SUMPRODUCT(MAX(ROW(E$2:E4152)*(E4152=E$2:E4152)))))-COUNTBLANK(OFFSET(A$1,,,SUMPRODUCT(MAX(ROW(E$1:E4151)*(E2=E$1:E4151))))))</f>
        <v> </v>
      </c>
      <c r="K4152" s="25" t="str">
        <f>IF(OR(E4152="",E4152="!!!",F4152="NEW"),"",INDEX(J$1:J4151,SUMPRODUCT(MAX(ROW(E$1:E4151)*(E4152=E$1:E4151)))))</f>
        <v> </v>
      </c>
      <c r="L4152" s="26"/>
    </row>
    <row r="4153" spans="1:12">
      <c r="A4153" s="20" t="s">
        <v>22</v>
      </c>
      <c r="E4153" s="21">
        <f>IF(D4153="?OLD","!!!","")</f>
        <v/>
      </c>
      <c r="F4153" s="22" t="str">
        <f>IF(OR(E4153="",E4153="!!!"),"",IF(NOT(ISNA(VLOOKUP(E4153,E$1:E4152,1,FALSE()))),"OLD",IF(AND(E4153&lt;&gt;"",E4153&lt;&gt;"!!!"),"NEW","")))</f>
        <v> </v>
      </c>
      <c r="G4153" s="23" t="str">
        <f>IF(OR(E4153="",E4153="!!!"),"",IF(OR(J4153=0,AND(J4153=1,K4153=1),AND(J4153=1,I4153="SBJ"),AND(J4153=1,I4153=0)),"?IN_FOCUS",IF(J4153&lt;=2,"?ACTIVATED",IF(J4153&lt;&gt;"","?FAMILIAR",IF(F4153="NEW",IF(ISNA(VLOOKUP(E4153,#REF!,1,FALSE())),"?TYPE_IDENTIFIABLE","?REFERENTIAL"),"_")))))</f>
        <v> </v>
      </c>
      <c r="H4153" s="24" t="str">
        <f>IF(J4153&lt;&gt;1,"",IF(I4153="SBJ","CB","?"))</f>
        <v> </v>
      </c>
      <c r="I4153" s="25" t="str">
        <f>IF(OR(E4153="",E4153="!!!",F4153="NEW"),"",INDEX(B4152:B$2,-1+SUMPRODUCT(MAX(ROW(E4152:E$2)*(E4153=E4152:E$2)))))</f>
        <v> </v>
      </c>
      <c r="J4153" s="25" t="str">
        <f>IF(OR(E4153="",E4153="!!!",F4153="NEW"),"",COUNTBLANK(OFFSET(A$1,,,SUMPRODUCT(MAX(ROW(E$2:E4153)*(E4153=E$2:E4153)))))-COUNTBLANK(OFFSET(A$1,,,SUMPRODUCT(MAX(ROW(E$1:E4152)*(E2=E$1:E4152))))))</f>
        <v> </v>
      </c>
      <c r="K4153" s="25" t="str">
        <f>IF(OR(E4153="",E4153="!!!",F4153="NEW"),"",INDEX(J$1:J4152,SUMPRODUCT(MAX(ROW(E$1:E4152)*(E4153=E$1:E4152)))))</f>
        <v> </v>
      </c>
      <c r="L4153" s="26"/>
    </row>
    <row r="4154" spans="1:12">
      <c r="A4154" s="20" t="s">
        <v>1046</v>
      </c>
      <c r="E4154" s="21">
        <f>IF(D4154="?OLD","!!!","")</f>
        <v/>
      </c>
      <c r="F4154" s="22" t="str">
        <f>IF(OR(E4154="",E4154="!!!"),"",IF(NOT(ISNA(VLOOKUP(E4154,E$1:E4153,1,FALSE()))),"OLD",IF(AND(E4154&lt;&gt;"",E4154&lt;&gt;"!!!"),"NEW","")))</f>
        <v> </v>
      </c>
      <c r="G4154" s="23" t="str">
        <f>IF(OR(E4154="",E4154="!!!"),"",IF(OR(J4154=0,AND(J4154=1,K4154=1),AND(J4154=1,I4154="SBJ"),AND(J4154=1,I4154=0)),"?IN_FOCUS",IF(J4154&lt;=2,"?ACTIVATED",IF(J4154&lt;&gt;"","?FAMILIAR",IF(F4154="NEW",IF(ISNA(VLOOKUP(E4154,#REF!,1,FALSE())),"?TYPE_IDENTIFIABLE","?REFERENTIAL"),"_")))))</f>
        <v> </v>
      </c>
      <c r="H4154" s="24" t="str">
        <f>IF(J4154&lt;&gt;1,"",IF(I4154="SBJ","CB","?"))</f>
        <v> </v>
      </c>
      <c r="I4154" s="25" t="str">
        <f>IF(OR(E4154="",E4154="!!!",F4154="NEW"),"",INDEX(B4153:B$2,-1+SUMPRODUCT(MAX(ROW(E4153:E$2)*(E4154=E4153:E$2)))))</f>
        <v> </v>
      </c>
      <c r="J4154" s="25" t="str">
        <f>IF(OR(E4154="",E4154="!!!",F4154="NEW"),"",COUNTBLANK(OFFSET(A$1,,,SUMPRODUCT(MAX(ROW(E$2:E4154)*(E4154=E$2:E4154)))))-COUNTBLANK(OFFSET(A$1,,,SUMPRODUCT(MAX(ROW(E$1:E4153)*(E2=E$1:E4153))))))</f>
        <v> </v>
      </c>
      <c r="K4154" s="25" t="str">
        <f>IF(OR(E4154="",E4154="!!!",F4154="NEW"),"",INDEX(J$1:J4153,SUMPRODUCT(MAX(ROW(E$1:E4153)*(E4154=E$1:E4153)))))</f>
        <v> </v>
      </c>
      <c r="L4154" s="26"/>
    </row>
    <row r="4155" spans="1:12">
      <c r="A4155" s="20" t="s">
        <v>100</v>
      </c>
      <c r="E4155" s="21">
        <f>IF(D4155="?OLD","!!!","")</f>
        <v/>
      </c>
      <c r="F4155" s="22" t="str">
        <f>IF(OR(E4155="",E4155="!!!"),"",IF(NOT(ISNA(VLOOKUP(E4155,E$1:E4154,1,FALSE()))),"OLD",IF(AND(E4155&lt;&gt;"",E4155&lt;&gt;"!!!"),"NEW","")))</f>
        <v> </v>
      </c>
      <c r="G4155" s="23" t="str">
        <f>IF(OR(E4155="",E4155="!!!"),"",IF(OR(J4155=0,AND(J4155=1,K4155=1),AND(J4155=1,I4155="SBJ"),AND(J4155=1,I4155=0)),"?IN_FOCUS",IF(J4155&lt;=2,"?ACTIVATED",IF(J4155&lt;&gt;"","?FAMILIAR",IF(F4155="NEW",IF(ISNA(VLOOKUP(E4155,#REF!,1,FALSE())),"?TYPE_IDENTIFIABLE","?REFERENTIAL"),"_")))))</f>
        <v> </v>
      </c>
      <c r="H4155" s="24" t="str">
        <f>IF(J4155&lt;&gt;1,"",IF(I4155="SBJ","CB","?"))</f>
        <v> </v>
      </c>
      <c r="I4155" s="25" t="str">
        <f>IF(OR(E4155="",E4155="!!!",F4155="NEW"),"",INDEX(B4154:B$2,-1+SUMPRODUCT(MAX(ROW(E4154:E$2)*(E4155=E4154:E$2)))))</f>
        <v> </v>
      </c>
      <c r="J4155" s="25" t="str">
        <f>IF(OR(E4155="",E4155="!!!",F4155="NEW"),"",COUNTBLANK(OFFSET(A$1,,,SUMPRODUCT(MAX(ROW(E$2:E4155)*(E4155=E$2:E4155)))))-COUNTBLANK(OFFSET(A$1,,,SUMPRODUCT(MAX(ROW(E$1:E4154)*(E2=E$1:E4154))))))</f>
        <v> </v>
      </c>
      <c r="K4155" s="25" t="str">
        <f>IF(OR(E4155="",E4155="!!!",F4155="NEW"),"",INDEX(J$1:J4154,SUMPRODUCT(MAX(ROW(E$1:E4154)*(E4155=E$1:E4154)))))</f>
        <v> </v>
      </c>
      <c r="L4155" s="26"/>
    </row>
    <row r="4156" spans="1:12">
      <c r="A4156" s="20" t="s">
        <v>1027</v>
      </c>
      <c r="E4156" s="21">
        <f>IF(D4156="?OLD","!!!","")</f>
        <v/>
      </c>
      <c r="F4156" s="22" t="str">
        <f>IF(OR(E4156="",E4156="!!!"),"",IF(NOT(ISNA(VLOOKUP(E4156,E$1:E4155,1,FALSE()))),"OLD",IF(AND(E4156&lt;&gt;"",E4156&lt;&gt;"!!!"),"NEW","")))</f>
        <v> </v>
      </c>
      <c r="G4156" s="23" t="str">
        <f>IF(OR(E4156="",E4156="!!!"),"",IF(OR(J4156=0,AND(J4156=1,K4156=1),AND(J4156=1,I4156="SBJ"),AND(J4156=1,I4156=0)),"?IN_FOCUS",IF(J4156&lt;=2,"?ACTIVATED",IF(J4156&lt;&gt;"","?FAMILIAR",IF(F4156="NEW",IF(ISNA(VLOOKUP(E4156,#REF!,1,FALSE())),"?TYPE_IDENTIFIABLE","?REFERENTIAL"),"_")))))</f>
        <v> </v>
      </c>
      <c r="H4156" s="24" t="str">
        <f>IF(J4156&lt;&gt;1,"",IF(I4156="SBJ","CB","?"))</f>
        <v> </v>
      </c>
      <c r="I4156" s="25" t="str">
        <f>IF(OR(E4156="",E4156="!!!",F4156="NEW"),"",INDEX(B4155:B$2,-1+SUMPRODUCT(MAX(ROW(E4155:E$2)*(E4156=E4155:E$2)))))</f>
        <v> </v>
      </c>
      <c r="J4156" s="25" t="str">
        <f>IF(OR(E4156="",E4156="!!!",F4156="NEW"),"",COUNTBLANK(OFFSET(A$1,,,SUMPRODUCT(MAX(ROW(E$2:E4156)*(E4156=E$2:E4156)))))-COUNTBLANK(OFFSET(A$1,,,SUMPRODUCT(MAX(ROW(E$1:E4155)*(E2=E$1:E4155))))))</f>
        <v> </v>
      </c>
      <c r="K4156" s="25" t="str">
        <f>IF(OR(E4156="",E4156="!!!",F4156="NEW"),"",INDEX(J$1:J4155,SUMPRODUCT(MAX(ROW(E$1:E4155)*(E4156=E$1:E4155)))))</f>
        <v> </v>
      </c>
      <c r="L4156" s="26"/>
    </row>
    <row r="4157" spans="1:12">
      <c r="A4157" s="20" t="s">
        <v>1589</v>
      </c>
      <c r="E4157" s="21">
        <f>IF(D4157="?OLD","!!!","")</f>
        <v/>
      </c>
      <c r="F4157" s="22" t="str">
        <f>IF(OR(E4157="",E4157="!!!"),"",IF(NOT(ISNA(VLOOKUP(E4157,E$1:E4156,1,FALSE()))),"OLD",IF(AND(E4157&lt;&gt;"",E4157&lt;&gt;"!!!"),"NEW","")))</f>
        <v> </v>
      </c>
      <c r="G4157" s="23" t="str">
        <f>IF(OR(E4157="",E4157="!!!"),"",IF(OR(J4157=0,AND(J4157=1,K4157=1),AND(J4157=1,I4157="SBJ"),AND(J4157=1,I4157=0)),"?IN_FOCUS",IF(J4157&lt;=2,"?ACTIVATED",IF(J4157&lt;&gt;"","?FAMILIAR",IF(F4157="NEW",IF(ISNA(VLOOKUP(E4157,#REF!,1,FALSE())),"?TYPE_IDENTIFIABLE","?REFERENTIAL"),"_")))))</f>
        <v> </v>
      </c>
      <c r="H4157" s="24" t="str">
        <f>IF(J4157&lt;&gt;1,"",IF(I4157="SBJ","CB","?"))</f>
        <v> </v>
      </c>
      <c r="I4157" s="25" t="str">
        <f>IF(OR(E4157="",E4157="!!!",F4157="NEW"),"",INDEX(B4156:B$2,-1+SUMPRODUCT(MAX(ROW(E4156:E$2)*(E4157=E4156:E$2)))))</f>
        <v> </v>
      </c>
      <c r="J4157" s="25" t="str">
        <f>IF(OR(E4157="",E4157="!!!",F4157="NEW"),"",COUNTBLANK(OFFSET(A$1,,,SUMPRODUCT(MAX(ROW(E$2:E4157)*(E4157=E$2:E4157)))))-COUNTBLANK(OFFSET(A$1,,,SUMPRODUCT(MAX(ROW(E$1:E4156)*(E2=E$1:E4156))))))</f>
        <v> </v>
      </c>
      <c r="K4157" s="25" t="str">
        <f>IF(OR(E4157="",E4157="!!!",F4157="NEW"),"",INDEX(J$1:J4156,SUMPRODUCT(MAX(ROW(E$1:E4156)*(E4157=E$1:E4156)))))</f>
        <v> </v>
      </c>
      <c r="L4157" s="26"/>
    </row>
    <row r="4158" spans="1:12">
      <c r="A4158" s="20" t="s">
        <v>1260</v>
      </c>
      <c r="E4158" s="21">
        <f>IF(D4158="?OLD","!!!","")</f>
        <v/>
      </c>
      <c r="F4158" s="22" t="str">
        <f>IF(OR(E4158="",E4158="!!!"),"",IF(NOT(ISNA(VLOOKUP(E4158,E$1:E4157,1,FALSE()))),"OLD",IF(AND(E4158&lt;&gt;"",E4158&lt;&gt;"!!!"),"NEW","")))</f>
        <v> </v>
      </c>
      <c r="G4158" s="23" t="str">
        <f>IF(OR(E4158="",E4158="!!!"),"",IF(OR(J4158=0,AND(J4158=1,K4158=1),AND(J4158=1,I4158="SBJ"),AND(J4158=1,I4158=0)),"?IN_FOCUS",IF(J4158&lt;=2,"?ACTIVATED",IF(J4158&lt;&gt;"","?FAMILIAR",IF(F4158="NEW",IF(ISNA(VLOOKUP(E4158,#REF!,1,FALSE())),"?TYPE_IDENTIFIABLE","?REFERENTIAL"),"_")))))</f>
        <v> </v>
      </c>
      <c r="H4158" s="24" t="str">
        <f>IF(J4158&lt;&gt;1,"",IF(I4158="SBJ","CB","?"))</f>
        <v> </v>
      </c>
      <c r="I4158" s="25" t="str">
        <f>IF(OR(E4158="",E4158="!!!",F4158="NEW"),"",INDEX(B4157:B$2,-1+SUMPRODUCT(MAX(ROW(E4157:E$2)*(E4158=E4157:E$2)))))</f>
        <v> </v>
      </c>
      <c r="J4158" s="25" t="str">
        <f>IF(OR(E4158="",E4158="!!!",F4158="NEW"),"",COUNTBLANK(OFFSET(A$1,,,SUMPRODUCT(MAX(ROW(E$2:E4158)*(E4158=E$2:E4158)))))-COUNTBLANK(OFFSET(A$1,,,SUMPRODUCT(MAX(ROW(E$1:E4157)*(E2=E$1:E4157))))))</f>
        <v> </v>
      </c>
      <c r="K4158" s="25" t="str">
        <f>IF(OR(E4158="",E4158="!!!",F4158="NEW"),"",INDEX(J$1:J4157,SUMPRODUCT(MAX(ROW(E$1:E4157)*(E4158=E$1:E4157)))))</f>
        <v> </v>
      </c>
      <c r="L4158" s="26"/>
    </row>
    <row r="4159" spans="1:12">
      <c r="A4159" s="20" t="s">
        <v>1017</v>
      </c>
      <c r="B4159" s="27" t="s">
        <v>1018</v>
      </c>
      <c r="C4159" s="27" t="s">
        <v>1013</v>
      </c>
      <c r="D4159" s="27" t="s">
        <v>1014</v>
      </c>
      <c r="E4159" s="21">
        <f>IF(D4159="?OLD","!!!","")</f>
        <v/>
      </c>
      <c r="F4159" s="22" t="str">
        <f>IF(OR(E4159="",E4159="!!!"),"",IF(NOT(ISNA(VLOOKUP(E4159,E$1:E4158,1,FALSE()))),"OLD",IF(AND(E4159&lt;&gt;"",E4159&lt;&gt;"!!!"),"NEW","")))</f>
        <v> </v>
      </c>
      <c r="G4159" s="23" t="str">
        <f>IF(OR(E4159="",E4159="!!!"),"",IF(OR(J4159=0,AND(J4159=1,K4159=1),AND(J4159=1,I4159="SBJ"),AND(J4159=1,I4159=0)),"?IN_FOCUS",IF(J4159&lt;=2,"?ACTIVATED",IF(J4159&lt;&gt;"","?FAMILIAR",IF(F4159="NEW",IF(ISNA(VLOOKUP(E4159,#REF!,1,FALSE())),"?TYPE_IDENTIFIABLE","?REFERENTIAL"),"_")))))</f>
        <v> </v>
      </c>
      <c r="H4159" s="24" t="str">
        <f>IF(J4159&lt;&gt;1,"",IF(I4159="SBJ","CB","?"))</f>
        <v> </v>
      </c>
      <c r="I4159" s="25" t="str">
        <f>IF(OR(E4159="",E4159="!!!",F4159="NEW"),"",INDEX(B4158:B$2,-1+SUMPRODUCT(MAX(ROW(E4158:E$2)*(E4159=E4158:E$2)))))</f>
        <v> </v>
      </c>
      <c r="J4159" s="25" t="str">
        <f>IF(OR(E4159="",E4159="!!!",F4159="NEW"),"",COUNTBLANK(OFFSET(A$1,,,SUMPRODUCT(MAX(ROW(E$2:E4159)*(E4159=E$2:E4159)))))-COUNTBLANK(OFFSET(A$1,,,SUMPRODUCT(MAX(ROW(E$1:E4158)*(E2=E$1:E4158))))))</f>
        <v> </v>
      </c>
      <c r="K4159" s="25" t="str">
        <f>IF(OR(E4159="",E4159="!!!",F4159="NEW"),"",INDEX(J$1:J4158,SUMPRODUCT(MAX(ROW(E$1:E4158)*(E4159=E$1:E4158)))))</f>
        <v> </v>
      </c>
      <c r="L4159" s="26"/>
    </row>
    <row r="4160" spans="1:12">
      <c r="A4160" s="20" t="s">
        <v>507</v>
      </c>
      <c r="E4160" s="21">
        <f>IF(D4160="?OLD","!!!","")</f>
        <v/>
      </c>
      <c r="F4160" s="22" t="str">
        <f>IF(OR(E4160="",E4160="!!!"),"",IF(NOT(ISNA(VLOOKUP(E4160,E$1:E4159,1,FALSE()))),"OLD",IF(AND(E4160&lt;&gt;"",E4160&lt;&gt;"!!!"),"NEW","")))</f>
        <v> </v>
      </c>
      <c r="G4160" s="23" t="str">
        <f>IF(OR(E4160="",E4160="!!!"),"",IF(OR(J4160=0,AND(J4160=1,K4160=1),AND(J4160=1,I4160="SBJ"),AND(J4160=1,I4160=0)),"?IN_FOCUS",IF(J4160&lt;=2,"?ACTIVATED",IF(J4160&lt;&gt;"","?FAMILIAR",IF(F4160="NEW",IF(ISNA(VLOOKUP(E4160,#REF!,1,FALSE())),"?TYPE_IDENTIFIABLE","?REFERENTIAL"),"_")))))</f>
        <v> </v>
      </c>
      <c r="H4160" s="24" t="str">
        <f>IF(J4160&lt;&gt;1,"",IF(I4160="SBJ","CB","?"))</f>
        <v> </v>
      </c>
      <c r="I4160" s="25" t="str">
        <f>IF(OR(E4160="",E4160="!!!",F4160="NEW"),"",INDEX(B4159:B$2,-1+SUMPRODUCT(MAX(ROW(E4159:E$2)*(E4160=E4159:E$2)))))</f>
        <v> </v>
      </c>
      <c r="J4160" s="25" t="str">
        <f>IF(OR(E4160="",E4160="!!!",F4160="NEW"),"",COUNTBLANK(OFFSET(A$1,,,SUMPRODUCT(MAX(ROW(E$2:E4160)*(E4160=E$2:E4160)))))-COUNTBLANK(OFFSET(A$1,,,SUMPRODUCT(MAX(ROW(E$1:E4159)*(E2=E$1:E4159))))))</f>
        <v> </v>
      </c>
      <c r="K4160" s="25" t="str">
        <f>IF(OR(E4160="",E4160="!!!",F4160="NEW"),"",INDEX(J$1:J4159,SUMPRODUCT(MAX(ROW(E$1:E4159)*(E4160=E$1:E4159)))))</f>
        <v> </v>
      </c>
      <c r="L4160" s="26"/>
    </row>
    <row r="4161" spans="1:12">
      <c r="A4161" s="20" t="s">
        <v>1040</v>
      </c>
      <c r="E4161" s="21">
        <f>IF(D4161="?OLD","!!!","")</f>
        <v/>
      </c>
      <c r="F4161" s="22" t="str">
        <f>IF(OR(E4161="",E4161="!!!"),"",IF(NOT(ISNA(VLOOKUP(E4161,E$1:E4160,1,FALSE()))),"OLD",IF(AND(E4161&lt;&gt;"",E4161&lt;&gt;"!!!"),"NEW","")))</f>
        <v> </v>
      </c>
      <c r="G4161" s="23" t="str">
        <f>IF(OR(E4161="",E4161="!!!"),"",IF(OR(J4161=0,AND(J4161=1,K4161=1),AND(J4161=1,I4161="SBJ"),AND(J4161=1,I4161=0)),"?IN_FOCUS",IF(J4161&lt;=2,"?ACTIVATED",IF(J4161&lt;&gt;"","?FAMILIAR",IF(F4161="NEW",IF(ISNA(VLOOKUP(E4161,#REF!,1,FALSE())),"?TYPE_IDENTIFIABLE","?REFERENTIAL"),"_")))))</f>
        <v> </v>
      </c>
      <c r="H4161" s="24" t="str">
        <f>IF(J4161&lt;&gt;1,"",IF(I4161="SBJ","CB","?"))</f>
        <v> </v>
      </c>
      <c r="I4161" s="25" t="str">
        <f>IF(OR(E4161="",E4161="!!!",F4161="NEW"),"",INDEX(B4160:B$2,-1+SUMPRODUCT(MAX(ROW(E4160:E$2)*(E4161=E4160:E$2)))))</f>
        <v> </v>
      </c>
      <c r="J4161" s="25" t="str">
        <f>IF(OR(E4161="",E4161="!!!",F4161="NEW"),"",COUNTBLANK(OFFSET(A$1,,,SUMPRODUCT(MAX(ROW(E$2:E4161)*(E4161=E$2:E4161)))))-COUNTBLANK(OFFSET(A$1,,,SUMPRODUCT(MAX(ROW(E$1:E4160)*(E2=E$1:E4160))))))</f>
        <v> </v>
      </c>
      <c r="K4161" s="25" t="str">
        <f>IF(OR(E4161="",E4161="!!!",F4161="NEW"),"",INDEX(J$1:J4160,SUMPRODUCT(MAX(ROW(E$1:E4160)*(E4161=E$1:E4160)))))</f>
        <v> </v>
      </c>
      <c r="L4161" s="26"/>
    </row>
    <row r="4162" spans="1:12">
      <c r="A4162" s="20" t="s">
        <v>1122</v>
      </c>
      <c r="E4162" s="21">
        <f>IF(D4162="?OLD","!!!","")</f>
        <v/>
      </c>
      <c r="F4162" s="22" t="str">
        <f>IF(OR(E4162="",E4162="!!!"),"",IF(NOT(ISNA(VLOOKUP(E4162,E$1:E4161,1,FALSE()))),"OLD",IF(AND(E4162&lt;&gt;"",E4162&lt;&gt;"!!!"),"NEW","")))</f>
        <v> </v>
      </c>
      <c r="G4162" s="23" t="str">
        <f>IF(OR(E4162="",E4162="!!!"),"",IF(OR(J4162=0,AND(J4162=1,K4162=1),AND(J4162=1,I4162="SBJ"),AND(J4162=1,I4162=0)),"?IN_FOCUS",IF(J4162&lt;=2,"?ACTIVATED",IF(J4162&lt;&gt;"","?FAMILIAR",IF(F4162="NEW",IF(ISNA(VLOOKUP(E4162,#REF!,1,FALSE())),"?TYPE_IDENTIFIABLE","?REFERENTIAL"),"_")))))</f>
        <v> </v>
      </c>
      <c r="H4162" s="24" t="str">
        <f>IF(J4162&lt;&gt;1,"",IF(I4162="SBJ","CB","?"))</f>
        <v> </v>
      </c>
      <c r="I4162" s="25" t="str">
        <f>IF(OR(E4162="",E4162="!!!",F4162="NEW"),"",INDEX(B4161:B$2,-1+SUMPRODUCT(MAX(ROW(E4161:E$2)*(E4162=E4161:E$2)))))</f>
        <v> </v>
      </c>
      <c r="J4162" s="25" t="str">
        <f>IF(OR(E4162="",E4162="!!!",F4162="NEW"),"",COUNTBLANK(OFFSET(A$1,,,SUMPRODUCT(MAX(ROW(E$2:E4162)*(E4162=E$2:E4162)))))-COUNTBLANK(OFFSET(A$1,,,SUMPRODUCT(MAX(ROW(E$1:E4161)*(E2=E$1:E4161))))))</f>
        <v> </v>
      </c>
      <c r="K4162" s="25" t="str">
        <f>IF(OR(E4162="",E4162="!!!",F4162="NEW"),"",INDEX(J$1:J4161,SUMPRODUCT(MAX(ROW(E$1:E4161)*(E4162=E$1:E4161)))))</f>
        <v> </v>
      </c>
      <c r="L4162" s="26"/>
    </row>
    <row r="4163" spans="1:12">
      <c r="A4163" s="20" t="s">
        <v>1034</v>
      </c>
      <c r="E4163" s="21">
        <f>IF(D4163="?OLD","!!!","")</f>
        <v/>
      </c>
      <c r="F4163" s="22" t="str">
        <f>IF(OR(E4163="",E4163="!!!"),"",IF(NOT(ISNA(VLOOKUP(E4163,E$1:E4162,1,FALSE()))),"OLD",IF(AND(E4163&lt;&gt;"",E4163&lt;&gt;"!!!"),"NEW","")))</f>
        <v> </v>
      </c>
      <c r="G4163" s="23" t="str">
        <f>IF(OR(E4163="",E4163="!!!"),"",IF(OR(J4163=0,AND(J4163=1,K4163=1),AND(J4163=1,I4163="SBJ"),AND(J4163=1,I4163=0)),"?IN_FOCUS",IF(J4163&lt;=2,"?ACTIVATED",IF(J4163&lt;&gt;"","?FAMILIAR",IF(F4163="NEW",IF(ISNA(VLOOKUP(E4163,#REF!,1,FALSE())),"?TYPE_IDENTIFIABLE","?REFERENTIAL"),"_")))))</f>
        <v> </v>
      </c>
      <c r="H4163" s="24" t="str">
        <f>IF(J4163&lt;&gt;1,"",IF(I4163="SBJ","CB","?"))</f>
        <v> </v>
      </c>
      <c r="I4163" s="25" t="str">
        <f>IF(OR(E4163="",E4163="!!!",F4163="NEW"),"",INDEX(B4162:B$2,-1+SUMPRODUCT(MAX(ROW(E4162:E$2)*(E4163=E4162:E$2)))))</f>
        <v> </v>
      </c>
      <c r="J4163" s="25" t="str">
        <f>IF(OR(E4163="",E4163="!!!",F4163="NEW"),"",COUNTBLANK(OFFSET(A$1,,,SUMPRODUCT(MAX(ROW(E$2:E4163)*(E4163=E$2:E4163)))))-COUNTBLANK(OFFSET(A$1,,,SUMPRODUCT(MAX(ROW(E$1:E4162)*(E2=E$1:E4162))))))</f>
        <v> </v>
      </c>
      <c r="K4163" s="25" t="str">
        <f>IF(OR(E4163="",E4163="!!!",F4163="NEW"),"",INDEX(J$1:J4162,SUMPRODUCT(MAX(ROW(E$1:E4162)*(E4163=E$1:E4162)))))</f>
        <v> </v>
      </c>
      <c r="L4163" s="26"/>
    </row>
    <row r="4164" spans="1:12">
      <c r="A4164" s="20" t="s">
        <v>18</v>
      </c>
      <c r="B4164" s="27" t="s">
        <v>1067</v>
      </c>
      <c r="C4164" s="27" t="s">
        <v>1123</v>
      </c>
      <c r="D4164" s="27" t="s">
        <v>1014</v>
      </c>
      <c r="E4164" s="21">
        <f>IF(D4164="?OLD","!!!","")</f>
        <v/>
      </c>
      <c r="F4164" s="22" t="str">
        <f>IF(OR(E4164="",E4164="!!!"),"",IF(NOT(ISNA(VLOOKUP(E4164,E$1:E4163,1,FALSE()))),"OLD",IF(AND(E4164&lt;&gt;"",E4164&lt;&gt;"!!!"),"NEW","")))</f>
        <v> </v>
      </c>
      <c r="G4164" s="23" t="str">
        <f>IF(OR(E4164="",E4164="!!!"),"",IF(OR(J4164=0,AND(J4164=1,K4164=1),AND(J4164=1,I4164="SBJ"),AND(J4164=1,I4164=0)),"?IN_FOCUS",IF(J4164&lt;=2,"?ACTIVATED",IF(J4164&lt;&gt;"","?FAMILIAR",IF(F4164="NEW",IF(ISNA(VLOOKUP(E4164,#REF!,1,FALSE())),"?TYPE_IDENTIFIABLE","?REFERENTIAL"),"_")))))</f>
        <v> </v>
      </c>
      <c r="H4164" s="24" t="str">
        <f>IF(J4164&lt;&gt;1,"",IF(I4164="SBJ","CB","?"))</f>
        <v> </v>
      </c>
      <c r="I4164" s="25" t="str">
        <f>IF(OR(E4164="",E4164="!!!",F4164="NEW"),"",INDEX(B4163:B$2,-1+SUMPRODUCT(MAX(ROW(E4163:E$2)*(E4164=E4163:E$2)))))</f>
        <v> </v>
      </c>
      <c r="J4164" s="25" t="str">
        <f>IF(OR(E4164="",E4164="!!!",F4164="NEW"),"",COUNTBLANK(OFFSET(A$1,,,SUMPRODUCT(MAX(ROW(E$2:E4164)*(E4164=E$2:E4164)))))-COUNTBLANK(OFFSET(A$1,,,SUMPRODUCT(MAX(ROW(E$1:E4163)*(E2=E$1:E4163))))))</f>
        <v> </v>
      </c>
      <c r="K4164" s="25" t="str">
        <f>IF(OR(E4164="",E4164="!!!",F4164="NEW"),"",INDEX(J$1:J4163,SUMPRODUCT(MAX(ROW(E$1:E4163)*(E4164=E$1:E4163)))))</f>
        <v> </v>
      </c>
      <c r="L4164" s="26"/>
    </row>
    <row r="4165" spans="1:12">
      <c r="A4165" s="20" t="s">
        <v>1031</v>
      </c>
      <c r="E4165" s="21">
        <f>IF(D4165="?OLD","!!!","")</f>
        <v/>
      </c>
      <c r="F4165" s="22" t="str">
        <f>IF(OR(E4165="",E4165="!!!"),"",IF(NOT(ISNA(VLOOKUP(E4165,E$1:E4164,1,FALSE()))),"OLD",IF(AND(E4165&lt;&gt;"",E4165&lt;&gt;"!!!"),"NEW","")))</f>
        <v> </v>
      </c>
      <c r="G4165" s="23" t="str">
        <f>IF(OR(E4165="",E4165="!!!"),"",IF(OR(J4165=0,AND(J4165=1,K4165=1),AND(J4165=1,I4165="SBJ"),AND(J4165=1,I4165=0)),"?IN_FOCUS",IF(J4165&lt;=2,"?ACTIVATED",IF(J4165&lt;&gt;"","?FAMILIAR",IF(F4165="NEW",IF(ISNA(VLOOKUP(E4165,#REF!,1,FALSE())),"?TYPE_IDENTIFIABLE","?REFERENTIAL"),"_")))))</f>
        <v> </v>
      </c>
      <c r="H4165" s="24" t="str">
        <f>IF(J4165&lt;&gt;1,"",IF(I4165="SBJ","CB","?"))</f>
        <v> </v>
      </c>
      <c r="I4165" s="25" t="str">
        <f>IF(OR(E4165="",E4165="!!!",F4165="NEW"),"",INDEX(B4164:B$2,-1+SUMPRODUCT(MAX(ROW(E4164:E$2)*(E4165=E4164:E$2)))))</f>
        <v> </v>
      </c>
      <c r="J4165" s="25" t="str">
        <f>IF(OR(E4165="",E4165="!!!",F4165="NEW"),"",COUNTBLANK(OFFSET(A$1,,,SUMPRODUCT(MAX(ROW(E$2:E4165)*(E4165=E$2:E4165)))))-COUNTBLANK(OFFSET(A$1,,,SUMPRODUCT(MAX(ROW(E$1:E4164)*(E2=E$1:E4164))))))</f>
        <v> </v>
      </c>
      <c r="K4165" s="25" t="str">
        <f>IF(OR(E4165="",E4165="!!!",F4165="NEW"),"",INDEX(J$1:J4164,SUMPRODUCT(MAX(ROW(E$1:E4164)*(E4165=E$1:E4164)))))</f>
        <v> </v>
      </c>
      <c r="L4165" s="26"/>
    </row>
    <row r="4166" spans="1:12">
      <c r="A4166" s="20" t="s">
        <v>1017</v>
      </c>
      <c r="B4166" s="27" t="s">
        <v>1308</v>
      </c>
      <c r="C4166" s="27" t="s">
        <v>1013</v>
      </c>
      <c r="D4166" s="27" t="s">
        <v>1014</v>
      </c>
      <c r="E4166" s="21">
        <f>IF(D4166="?OLD","!!!","")</f>
        <v/>
      </c>
      <c r="F4166" s="22" t="str">
        <f>IF(OR(E4166="",E4166="!!!"),"",IF(NOT(ISNA(VLOOKUP(E4166,E$1:E4165,1,FALSE()))),"OLD",IF(AND(E4166&lt;&gt;"",E4166&lt;&gt;"!!!"),"NEW","")))</f>
        <v> </v>
      </c>
      <c r="G4166" s="23" t="str">
        <f>IF(OR(E4166="",E4166="!!!"),"",IF(OR(J4166=0,AND(J4166=1,K4166=1),AND(J4166=1,I4166="SBJ"),AND(J4166=1,I4166=0)),"?IN_FOCUS",IF(J4166&lt;=2,"?ACTIVATED",IF(J4166&lt;&gt;"","?FAMILIAR",IF(F4166="NEW",IF(ISNA(VLOOKUP(E4166,#REF!,1,FALSE())),"?TYPE_IDENTIFIABLE","?REFERENTIAL"),"_")))))</f>
        <v> </v>
      </c>
      <c r="H4166" s="24" t="str">
        <f>IF(J4166&lt;&gt;1,"",IF(I4166="SBJ","CB","?"))</f>
        <v> </v>
      </c>
      <c r="I4166" s="25" t="str">
        <f>IF(OR(E4166="",E4166="!!!",F4166="NEW"),"",INDEX(B4165:B$2,-1+SUMPRODUCT(MAX(ROW(E4165:E$2)*(E4166=E4165:E$2)))))</f>
        <v> </v>
      </c>
      <c r="J4166" s="25" t="str">
        <f>IF(OR(E4166="",E4166="!!!",F4166="NEW"),"",COUNTBLANK(OFFSET(A$1,,,SUMPRODUCT(MAX(ROW(E$2:E4166)*(E4166=E$2:E4166)))))-COUNTBLANK(OFFSET(A$1,,,SUMPRODUCT(MAX(ROW(E$1:E4165)*(E2=E$1:E4165))))))</f>
        <v> </v>
      </c>
      <c r="K4166" s="25" t="str">
        <f>IF(OR(E4166="",E4166="!!!",F4166="NEW"),"",INDEX(J$1:J4165,SUMPRODUCT(MAX(ROW(E$1:E4165)*(E4166=E$1:E4165)))))</f>
        <v> </v>
      </c>
      <c r="L4166" s="26"/>
    </row>
    <row r="4167" spans="1:12">
      <c r="A4167" s="20" t="s">
        <v>26</v>
      </c>
      <c r="E4167" s="21">
        <f>IF(D4167="?OLD","!!!","")</f>
        <v/>
      </c>
      <c r="F4167" s="22" t="str">
        <f>IF(OR(E4167="",E4167="!!!"),"",IF(NOT(ISNA(VLOOKUP(E4167,E$1:E4166,1,FALSE()))),"OLD",IF(AND(E4167&lt;&gt;"",E4167&lt;&gt;"!!!"),"NEW","")))</f>
        <v> </v>
      </c>
      <c r="G4167" s="23" t="str">
        <f>IF(OR(E4167="",E4167="!!!"),"",IF(OR(J4167=0,AND(J4167=1,K4167=1),AND(J4167=1,I4167="SBJ"),AND(J4167=1,I4167=0)),"?IN_FOCUS",IF(J4167&lt;=2,"?ACTIVATED",IF(J4167&lt;&gt;"","?FAMILIAR",IF(F4167="NEW",IF(ISNA(VLOOKUP(E4167,#REF!,1,FALSE())),"?TYPE_IDENTIFIABLE","?REFERENTIAL"),"_")))))</f>
        <v> </v>
      </c>
      <c r="H4167" s="24" t="str">
        <f>IF(J4167&lt;&gt;1,"",IF(I4167="SBJ","CB","?"))</f>
        <v> </v>
      </c>
      <c r="I4167" s="25" t="str">
        <f>IF(OR(E4167="",E4167="!!!",F4167="NEW"),"",INDEX(B4166:B$2,-1+SUMPRODUCT(MAX(ROW(E4166:E$2)*(E4167=E4166:E$2)))))</f>
        <v> </v>
      </c>
      <c r="J4167" s="25" t="str">
        <f>IF(OR(E4167="",E4167="!!!",F4167="NEW"),"",COUNTBLANK(OFFSET(A$1,,,SUMPRODUCT(MAX(ROW(E$2:E4167)*(E4167=E$2:E4167)))))-COUNTBLANK(OFFSET(A$1,,,SUMPRODUCT(MAX(ROW(E$1:E4166)*(E2=E$1:E4166))))))</f>
        <v> </v>
      </c>
      <c r="K4167" s="25" t="str">
        <f>IF(OR(E4167="",E4167="!!!",F4167="NEW"),"",INDEX(J$1:J4166,SUMPRODUCT(MAX(ROW(E$1:E4166)*(E4167=E$1:E4166)))))</f>
        <v> </v>
      </c>
      <c r="L4167" s="26"/>
    </row>
    <row r="4168" spans="1:12">
      <c r="A4168" s="20" t="s">
        <v>2061</v>
      </c>
      <c r="E4168" s="21">
        <f>IF(D4168="?OLD","!!!","")</f>
        <v/>
      </c>
      <c r="F4168" s="22" t="str">
        <f>IF(OR(E4168="",E4168="!!!"),"",IF(NOT(ISNA(VLOOKUP(E4168,E$1:E4167,1,FALSE()))),"OLD",IF(AND(E4168&lt;&gt;"",E4168&lt;&gt;"!!!"),"NEW","")))</f>
        <v> </v>
      </c>
      <c r="G4168" s="23" t="str">
        <f>IF(OR(E4168="",E4168="!!!"),"",IF(OR(J4168=0,AND(J4168=1,K4168=1),AND(J4168=1,I4168="SBJ"),AND(J4168=1,I4168=0)),"?IN_FOCUS",IF(J4168&lt;=2,"?ACTIVATED",IF(J4168&lt;&gt;"","?FAMILIAR",IF(F4168="NEW",IF(ISNA(VLOOKUP(E4168,#REF!,1,FALSE())),"?TYPE_IDENTIFIABLE","?REFERENTIAL"),"_")))))</f>
        <v> </v>
      </c>
      <c r="H4168" s="24" t="str">
        <f>IF(J4168&lt;&gt;1,"",IF(I4168="SBJ","CB","?"))</f>
        <v> </v>
      </c>
      <c r="I4168" s="25" t="str">
        <f>IF(OR(E4168="",E4168="!!!",F4168="NEW"),"",INDEX(B4167:B$2,-1+SUMPRODUCT(MAX(ROW(E4167:E$2)*(E4168=E4167:E$2)))))</f>
        <v> </v>
      </c>
      <c r="J4168" s="25" t="str">
        <f>IF(OR(E4168="",E4168="!!!",F4168="NEW"),"",COUNTBLANK(OFFSET(A$1,,,SUMPRODUCT(MAX(ROW(E$2:E4168)*(E4168=E$2:E4168)))))-COUNTBLANK(OFFSET(A$1,,,SUMPRODUCT(MAX(ROW(E$1:E4167)*(E2=E$1:E4167))))))</f>
        <v> </v>
      </c>
      <c r="K4168" s="25" t="str">
        <f>IF(OR(E4168="",E4168="!!!",F4168="NEW"),"",INDEX(J$1:J4167,SUMPRODUCT(MAX(ROW(E$1:E4167)*(E4168=E$1:E4167)))))</f>
        <v> </v>
      </c>
      <c r="L4168" s="26"/>
    </row>
    <row r="4169" spans="1:12">
      <c r="A4169" s="20" t="s">
        <v>1027</v>
      </c>
      <c r="E4169" s="21">
        <f>IF(D4169="?OLD","!!!","")</f>
        <v/>
      </c>
      <c r="F4169" s="22" t="str">
        <f>IF(OR(E4169="",E4169="!!!"),"",IF(NOT(ISNA(VLOOKUP(E4169,E$1:E4168,1,FALSE()))),"OLD",IF(AND(E4169&lt;&gt;"",E4169&lt;&gt;"!!!"),"NEW","")))</f>
        <v> </v>
      </c>
      <c r="G4169" s="23" t="str">
        <f>IF(OR(E4169="",E4169="!!!"),"",IF(OR(J4169=0,AND(J4169=1,K4169=1),AND(J4169=1,I4169="SBJ"),AND(J4169=1,I4169=0)),"?IN_FOCUS",IF(J4169&lt;=2,"?ACTIVATED",IF(J4169&lt;&gt;"","?FAMILIAR",IF(F4169="NEW",IF(ISNA(VLOOKUP(E4169,#REF!,1,FALSE())),"?TYPE_IDENTIFIABLE","?REFERENTIAL"),"_")))))</f>
        <v> </v>
      </c>
      <c r="H4169" s="24" t="str">
        <f>IF(J4169&lt;&gt;1,"",IF(I4169="SBJ","CB","?"))</f>
        <v> </v>
      </c>
      <c r="I4169" s="25" t="str">
        <f>IF(OR(E4169="",E4169="!!!",F4169="NEW"),"",INDEX(B4168:B$2,-1+SUMPRODUCT(MAX(ROW(E4168:E$2)*(E4169=E4168:E$2)))))</f>
        <v> </v>
      </c>
      <c r="J4169" s="25" t="str">
        <f>IF(OR(E4169="",E4169="!!!",F4169="NEW"),"",COUNTBLANK(OFFSET(A$1,,,SUMPRODUCT(MAX(ROW(E$2:E4169)*(E4169=E$2:E4169)))))-COUNTBLANK(OFFSET(A$1,,,SUMPRODUCT(MAX(ROW(E$1:E4168)*(E2=E$1:E4168))))))</f>
        <v> </v>
      </c>
      <c r="K4169" s="25" t="str">
        <f>IF(OR(E4169="",E4169="!!!",F4169="NEW"),"",INDEX(J$1:J4168,SUMPRODUCT(MAX(ROW(E$1:E4168)*(E4169=E$1:E4168)))))</f>
        <v> </v>
      </c>
      <c r="L4169" s="26"/>
    </row>
    <row r="4170" spans="1:12">
      <c r="A4170" s="20" t="s">
        <v>1017</v>
      </c>
      <c r="B4170" s="27" t="s">
        <v>1033</v>
      </c>
      <c r="C4170" s="27" t="s">
        <v>1013</v>
      </c>
      <c r="D4170" s="27" t="s">
        <v>1014</v>
      </c>
      <c r="E4170" s="21">
        <f>IF(D4170="?OLD","!!!","")</f>
        <v/>
      </c>
      <c r="F4170" s="22" t="str">
        <f>IF(OR(E4170="",E4170="!!!"),"",IF(NOT(ISNA(VLOOKUP(E4170,E$1:E4169,1,FALSE()))),"OLD",IF(AND(E4170&lt;&gt;"",E4170&lt;&gt;"!!!"),"NEW","")))</f>
        <v> </v>
      </c>
      <c r="G4170" s="23" t="str">
        <f>IF(OR(E4170="",E4170="!!!"),"",IF(OR(J4170=0,AND(J4170=1,K4170=1),AND(J4170=1,I4170="SBJ"),AND(J4170=1,I4170=0)),"?IN_FOCUS",IF(J4170&lt;=2,"?ACTIVATED",IF(J4170&lt;&gt;"","?FAMILIAR",IF(F4170="NEW",IF(ISNA(VLOOKUP(E4170,#REF!,1,FALSE())),"?TYPE_IDENTIFIABLE","?REFERENTIAL"),"_")))))</f>
        <v> </v>
      </c>
      <c r="H4170" s="24" t="str">
        <f>IF(J4170&lt;&gt;1,"",IF(I4170="SBJ","CB","?"))</f>
        <v> </v>
      </c>
      <c r="I4170" s="25" t="str">
        <f>IF(OR(E4170="",E4170="!!!",F4170="NEW"),"",INDEX(B4169:B$2,-1+SUMPRODUCT(MAX(ROW(E4169:E$2)*(E4170=E4169:E$2)))))</f>
        <v> </v>
      </c>
      <c r="J4170" s="25" t="str">
        <f>IF(OR(E4170="",E4170="!!!",F4170="NEW"),"",COUNTBLANK(OFFSET(A$1,,,SUMPRODUCT(MAX(ROW(E$2:E4170)*(E4170=E$2:E4170)))))-COUNTBLANK(OFFSET(A$1,,,SUMPRODUCT(MAX(ROW(E$1:E4169)*(E2=E$1:E4169))))))</f>
        <v> </v>
      </c>
      <c r="K4170" s="25" t="str">
        <f>IF(OR(E4170="",E4170="!!!",F4170="NEW"),"",INDEX(J$1:J4169,SUMPRODUCT(MAX(ROW(E$1:E4169)*(E4170=E$1:E4169)))))</f>
        <v> </v>
      </c>
      <c r="L4170" s="26"/>
    </row>
    <row r="4171" spans="1:12">
      <c r="A4171" s="20" t="s">
        <v>1299</v>
      </c>
      <c r="E4171" s="21">
        <f>IF(D4171="?OLD","!!!","")</f>
        <v/>
      </c>
      <c r="F4171" s="22" t="str">
        <f>IF(OR(E4171="",E4171="!!!"),"",IF(NOT(ISNA(VLOOKUP(E4171,E$1:E4170,1,FALSE()))),"OLD",IF(AND(E4171&lt;&gt;"",E4171&lt;&gt;"!!!"),"NEW","")))</f>
        <v> </v>
      </c>
      <c r="G4171" s="23" t="str">
        <f>IF(OR(E4171="",E4171="!!!"),"",IF(OR(J4171=0,AND(J4171=1,K4171=1),AND(J4171=1,I4171="SBJ"),AND(J4171=1,I4171=0)),"?IN_FOCUS",IF(J4171&lt;=2,"?ACTIVATED",IF(J4171&lt;&gt;"","?FAMILIAR",IF(F4171="NEW",IF(ISNA(VLOOKUP(E4171,#REF!,1,FALSE())),"?TYPE_IDENTIFIABLE","?REFERENTIAL"),"_")))))</f>
        <v> </v>
      </c>
      <c r="H4171" s="24" t="str">
        <f>IF(J4171&lt;&gt;1,"",IF(I4171="SBJ","CB","?"))</f>
        <v> </v>
      </c>
      <c r="I4171" s="25" t="str">
        <f>IF(OR(E4171="",E4171="!!!",F4171="NEW"),"",INDEX(B4170:B$2,-1+SUMPRODUCT(MAX(ROW(E4170:E$2)*(E4171=E4170:E$2)))))</f>
        <v> </v>
      </c>
      <c r="J4171" s="25" t="str">
        <f>IF(OR(E4171="",E4171="!!!",F4171="NEW"),"",COUNTBLANK(OFFSET(A$1,,,SUMPRODUCT(MAX(ROW(E$2:E4171)*(E4171=E$2:E4171)))))-COUNTBLANK(OFFSET(A$1,,,SUMPRODUCT(MAX(ROW(E$1:E4170)*(E2=E$1:E4170))))))</f>
        <v> </v>
      </c>
      <c r="K4171" s="25" t="str">
        <f>IF(OR(E4171="",E4171="!!!",F4171="NEW"),"",INDEX(J$1:J4170,SUMPRODUCT(MAX(ROW(E$1:E4170)*(E4171=E$1:E4170)))))</f>
        <v> </v>
      </c>
      <c r="L4171" s="26"/>
    </row>
    <row r="4172" spans="1:12">
      <c r="A4172" s="20" t="s">
        <v>1300</v>
      </c>
      <c r="E4172" s="21">
        <f>IF(D4172="?OLD","!!!","")</f>
        <v/>
      </c>
      <c r="F4172" s="22" t="str">
        <f>IF(OR(E4172="",E4172="!!!"),"",IF(NOT(ISNA(VLOOKUP(E4172,E$1:E4171,1,FALSE()))),"OLD",IF(AND(E4172&lt;&gt;"",E4172&lt;&gt;"!!!"),"NEW","")))</f>
        <v> </v>
      </c>
      <c r="G4172" s="23" t="str">
        <f>IF(OR(E4172="",E4172="!!!"),"",IF(OR(J4172=0,AND(J4172=1,K4172=1),AND(J4172=1,I4172="SBJ"),AND(J4172=1,I4172=0)),"?IN_FOCUS",IF(J4172&lt;=2,"?ACTIVATED",IF(J4172&lt;&gt;"","?FAMILIAR",IF(F4172="NEW",IF(ISNA(VLOOKUP(E4172,#REF!,1,FALSE())),"?TYPE_IDENTIFIABLE","?REFERENTIAL"),"_")))))</f>
        <v> </v>
      </c>
      <c r="H4172" s="24" t="str">
        <f>IF(J4172&lt;&gt;1,"",IF(I4172="SBJ","CB","?"))</f>
        <v> </v>
      </c>
      <c r="I4172" s="25" t="str">
        <f>IF(OR(E4172="",E4172="!!!",F4172="NEW"),"",INDEX(B4171:B$2,-1+SUMPRODUCT(MAX(ROW(E4171:E$2)*(E4172=E4171:E$2)))))</f>
        <v> </v>
      </c>
      <c r="J4172" s="25" t="str">
        <f>IF(OR(E4172="",E4172="!!!",F4172="NEW"),"",COUNTBLANK(OFFSET(A$1,,,SUMPRODUCT(MAX(ROW(E$2:E4172)*(E4172=E$2:E4172)))))-COUNTBLANK(OFFSET(A$1,,,SUMPRODUCT(MAX(ROW(E$1:E4171)*(E2=E$1:E4171))))))</f>
        <v> </v>
      </c>
      <c r="K4172" s="25" t="str">
        <f>IF(OR(E4172="",E4172="!!!",F4172="NEW"),"",INDEX(J$1:J4171,SUMPRODUCT(MAX(ROW(E$1:E4171)*(E4172=E$1:E4171)))))</f>
        <v> </v>
      </c>
      <c r="L4172" s="26"/>
    </row>
    <row r="4173" spans="1:12">
      <c r="A4173" s="20" t="s">
        <v>1046</v>
      </c>
      <c r="E4173" s="21">
        <f>IF(D4173="?OLD","!!!","")</f>
        <v/>
      </c>
      <c r="F4173" s="22" t="str">
        <f>IF(OR(E4173="",E4173="!!!"),"",IF(NOT(ISNA(VLOOKUP(E4173,E$1:E4172,1,FALSE()))),"OLD",IF(AND(E4173&lt;&gt;"",E4173&lt;&gt;"!!!"),"NEW","")))</f>
        <v> </v>
      </c>
      <c r="G4173" s="23" t="str">
        <f>IF(OR(E4173="",E4173="!!!"),"",IF(OR(J4173=0,AND(J4173=1,K4173=1),AND(J4173=1,I4173="SBJ"),AND(J4173=1,I4173=0)),"?IN_FOCUS",IF(J4173&lt;=2,"?ACTIVATED",IF(J4173&lt;&gt;"","?FAMILIAR",IF(F4173="NEW",IF(ISNA(VLOOKUP(E4173,#REF!,1,FALSE())),"?TYPE_IDENTIFIABLE","?REFERENTIAL"),"_")))))</f>
        <v> </v>
      </c>
      <c r="H4173" s="24" t="str">
        <f>IF(J4173&lt;&gt;1,"",IF(I4173="SBJ","CB","?"))</f>
        <v> </v>
      </c>
      <c r="I4173" s="25" t="str">
        <f>IF(OR(E4173="",E4173="!!!",F4173="NEW"),"",INDEX(B4172:B$2,-1+SUMPRODUCT(MAX(ROW(E4172:E$2)*(E4173=E4172:E$2)))))</f>
        <v> </v>
      </c>
      <c r="J4173" s="25" t="str">
        <f>IF(OR(E4173="",E4173="!!!",F4173="NEW"),"",COUNTBLANK(OFFSET(A$1,,,SUMPRODUCT(MAX(ROW(E$2:E4173)*(E4173=E$2:E4173)))))-COUNTBLANK(OFFSET(A$1,,,SUMPRODUCT(MAX(ROW(E$1:E4172)*(E2=E$1:E4172))))))</f>
        <v> </v>
      </c>
      <c r="K4173" s="25" t="str">
        <f>IF(OR(E4173="",E4173="!!!",F4173="NEW"),"",INDEX(J$1:J4172,SUMPRODUCT(MAX(ROW(E$1:E4172)*(E4173=E$1:E4172)))))</f>
        <v> </v>
      </c>
      <c r="L4173" s="26"/>
    </row>
    <row r="4174" spans="1:12">
      <c r="A4174" s="20" t="s">
        <v>60</v>
      </c>
      <c r="E4174" s="21">
        <f>IF(D4174="?OLD","!!!","")</f>
        <v/>
      </c>
      <c r="F4174" s="22" t="str">
        <f>IF(OR(E4174="",E4174="!!!"),"",IF(NOT(ISNA(VLOOKUP(E4174,E$1:E4173,1,FALSE()))),"OLD",IF(AND(E4174&lt;&gt;"",E4174&lt;&gt;"!!!"),"NEW","")))</f>
        <v> </v>
      </c>
      <c r="G4174" s="23" t="str">
        <f>IF(OR(E4174="",E4174="!!!"),"",IF(OR(J4174=0,AND(J4174=1,K4174=1),AND(J4174=1,I4174="SBJ"),AND(J4174=1,I4174=0)),"?IN_FOCUS",IF(J4174&lt;=2,"?ACTIVATED",IF(J4174&lt;&gt;"","?FAMILIAR",IF(F4174="NEW",IF(ISNA(VLOOKUP(E4174,#REF!,1,FALSE())),"?TYPE_IDENTIFIABLE","?REFERENTIAL"),"_")))))</f>
        <v> </v>
      </c>
      <c r="H4174" s="24" t="str">
        <f>IF(J4174&lt;&gt;1,"",IF(I4174="SBJ","CB","?"))</f>
        <v> </v>
      </c>
      <c r="I4174" s="25" t="str">
        <f>IF(OR(E4174="",E4174="!!!",F4174="NEW"),"",INDEX(B4173:B$2,-1+SUMPRODUCT(MAX(ROW(E4173:E$2)*(E4174=E4173:E$2)))))</f>
        <v> </v>
      </c>
      <c r="J4174" s="25" t="str">
        <f>IF(OR(E4174="",E4174="!!!",F4174="NEW"),"",COUNTBLANK(OFFSET(A$1,,,SUMPRODUCT(MAX(ROW(E$2:E4174)*(E4174=E$2:E4174)))))-COUNTBLANK(OFFSET(A$1,,,SUMPRODUCT(MAX(ROW(E$1:E4173)*(E2=E$1:E4173))))))</f>
        <v> </v>
      </c>
      <c r="K4174" s="25" t="str">
        <f>IF(OR(E4174="",E4174="!!!",F4174="NEW"),"",INDEX(J$1:J4173,SUMPRODUCT(MAX(ROW(E$1:E4173)*(E4174=E$1:E4173)))))</f>
        <v> </v>
      </c>
      <c r="L4174" s="26"/>
    </row>
    <row r="4175" spans="1:12">
      <c r="A4175" s="20" t="s">
        <v>2062</v>
      </c>
      <c r="E4175" s="21">
        <f>IF(D4175="?OLD","!!!","")</f>
        <v/>
      </c>
      <c r="F4175" s="22" t="str">
        <f>IF(OR(E4175="",E4175="!!!"),"",IF(NOT(ISNA(VLOOKUP(E4175,E$1:E4174,1,FALSE()))),"OLD",IF(AND(E4175&lt;&gt;"",E4175&lt;&gt;"!!!"),"NEW","")))</f>
        <v> </v>
      </c>
      <c r="G4175" s="23" t="str">
        <f>IF(OR(E4175="",E4175="!!!"),"",IF(OR(J4175=0,AND(J4175=1,K4175=1),AND(J4175=1,I4175="SBJ"),AND(J4175=1,I4175=0)),"?IN_FOCUS",IF(J4175&lt;=2,"?ACTIVATED",IF(J4175&lt;&gt;"","?FAMILIAR",IF(F4175="NEW",IF(ISNA(VLOOKUP(E4175,#REF!,1,FALSE())),"?TYPE_IDENTIFIABLE","?REFERENTIAL"),"_")))))</f>
        <v> </v>
      </c>
      <c r="H4175" s="24" t="str">
        <f>IF(J4175&lt;&gt;1,"",IF(I4175="SBJ","CB","?"))</f>
        <v> </v>
      </c>
      <c r="I4175" s="25" t="str">
        <f>IF(OR(E4175="",E4175="!!!",F4175="NEW"),"",INDEX(B4174:B$2,-1+SUMPRODUCT(MAX(ROW(E4174:E$2)*(E4175=E4174:E$2)))))</f>
        <v> </v>
      </c>
      <c r="J4175" s="25" t="str">
        <f>IF(OR(E4175="",E4175="!!!",F4175="NEW"),"",COUNTBLANK(OFFSET(A$1,,,SUMPRODUCT(MAX(ROW(E$2:E4175)*(E4175=E$2:E4175)))))-COUNTBLANK(OFFSET(A$1,,,SUMPRODUCT(MAX(ROW(E$1:E4174)*(E2=E$1:E4174))))))</f>
        <v> </v>
      </c>
      <c r="K4175" s="25" t="str">
        <f>IF(OR(E4175="",E4175="!!!",F4175="NEW"),"",INDEX(J$1:J4174,SUMPRODUCT(MAX(ROW(E$1:E4174)*(E4175=E$1:E4174)))))</f>
        <v> </v>
      </c>
      <c r="L4175" s="26"/>
    </row>
    <row r="4176" spans="1:12">
      <c r="A4176" s="20" t="s">
        <v>1017</v>
      </c>
      <c r="B4176" s="27" t="s">
        <v>1308</v>
      </c>
      <c r="C4176" s="27" t="s">
        <v>1013</v>
      </c>
      <c r="D4176" s="27" t="s">
        <v>1014</v>
      </c>
      <c r="E4176" s="21">
        <f>IF(D4176="?OLD","!!!","")</f>
        <v/>
      </c>
      <c r="F4176" s="22" t="str">
        <f>IF(OR(E4176="",E4176="!!!"),"",IF(NOT(ISNA(VLOOKUP(E4176,E$1:E4175,1,FALSE()))),"OLD",IF(AND(E4176&lt;&gt;"",E4176&lt;&gt;"!!!"),"NEW","")))</f>
        <v> </v>
      </c>
      <c r="G4176" s="23" t="str">
        <f>IF(OR(E4176="",E4176="!!!"),"",IF(OR(J4176=0,AND(J4176=1,K4176=1),AND(J4176=1,I4176="SBJ"),AND(J4176=1,I4176=0)),"?IN_FOCUS",IF(J4176&lt;=2,"?ACTIVATED",IF(J4176&lt;&gt;"","?FAMILIAR",IF(F4176="NEW",IF(ISNA(VLOOKUP(E4176,#REF!,1,FALSE())),"?TYPE_IDENTIFIABLE","?REFERENTIAL"),"_")))))</f>
        <v> </v>
      </c>
      <c r="H4176" s="24" t="str">
        <f>IF(J4176&lt;&gt;1,"",IF(I4176="SBJ","CB","?"))</f>
        <v> </v>
      </c>
      <c r="I4176" s="25" t="str">
        <f>IF(OR(E4176="",E4176="!!!",F4176="NEW"),"",INDEX(B4175:B$2,-1+SUMPRODUCT(MAX(ROW(E4175:E$2)*(E4176=E4175:E$2)))))</f>
        <v> </v>
      </c>
      <c r="J4176" s="25" t="str">
        <f>IF(OR(E4176="",E4176="!!!",F4176="NEW"),"",COUNTBLANK(OFFSET(A$1,,,SUMPRODUCT(MAX(ROW(E$2:E4176)*(E4176=E$2:E4176)))))-COUNTBLANK(OFFSET(A$1,,,SUMPRODUCT(MAX(ROW(E$1:E4175)*(E2=E$1:E4175))))))</f>
        <v> </v>
      </c>
      <c r="K4176" s="25" t="str">
        <f>IF(OR(E4176="",E4176="!!!",F4176="NEW"),"",INDEX(J$1:J4175,SUMPRODUCT(MAX(ROW(E$1:E4175)*(E4176=E$1:E4175)))))</f>
        <v> </v>
      </c>
      <c r="L4176" s="26"/>
    </row>
    <row r="4177" spans="1:12">
      <c r="A4177" s="20" t="s">
        <v>140</v>
      </c>
      <c r="E4177" s="21">
        <f>IF(D4177="?OLD","!!!","")</f>
        <v/>
      </c>
      <c r="F4177" s="22" t="str">
        <f>IF(OR(E4177="",E4177="!!!"),"",IF(NOT(ISNA(VLOOKUP(E4177,E$1:E4176,1,FALSE()))),"OLD",IF(AND(E4177&lt;&gt;"",E4177&lt;&gt;"!!!"),"NEW","")))</f>
        <v> </v>
      </c>
      <c r="G4177" s="23" t="str">
        <f>IF(OR(E4177="",E4177="!!!"),"",IF(OR(J4177=0,AND(J4177=1,K4177=1),AND(J4177=1,I4177="SBJ"),AND(J4177=1,I4177=0)),"?IN_FOCUS",IF(J4177&lt;=2,"?ACTIVATED",IF(J4177&lt;&gt;"","?FAMILIAR",IF(F4177="NEW",IF(ISNA(VLOOKUP(E4177,#REF!,1,FALSE())),"?TYPE_IDENTIFIABLE","?REFERENTIAL"),"_")))))</f>
        <v> </v>
      </c>
      <c r="H4177" s="24" t="str">
        <f>IF(J4177&lt;&gt;1,"",IF(I4177="SBJ","CB","?"))</f>
        <v> </v>
      </c>
      <c r="I4177" s="25" t="str">
        <f>IF(OR(E4177="",E4177="!!!",F4177="NEW"),"",INDEX(B4176:B$2,-1+SUMPRODUCT(MAX(ROW(E4176:E$2)*(E4177=E4176:E$2)))))</f>
        <v> </v>
      </c>
      <c r="J4177" s="25" t="str">
        <f>IF(OR(E4177="",E4177="!!!",F4177="NEW"),"",COUNTBLANK(OFFSET(A$1,,,SUMPRODUCT(MAX(ROW(E$2:E4177)*(E4177=E$2:E4177)))))-COUNTBLANK(OFFSET(A$1,,,SUMPRODUCT(MAX(ROW(E$1:E4176)*(E2=E$1:E4176))))))</f>
        <v> </v>
      </c>
      <c r="K4177" s="25" t="str">
        <f>IF(OR(E4177="",E4177="!!!",F4177="NEW"),"",INDEX(J$1:J4176,SUMPRODUCT(MAX(ROW(E$1:E4176)*(E4177=E$1:E4176)))))</f>
        <v> </v>
      </c>
      <c r="L4177" s="26"/>
    </row>
    <row r="4178" spans="1:12">
      <c r="A4178" s="20" t="s">
        <v>1022</v>
      </c>
      <c r="E4178" s="21">
        <f>IF(D4178="?OLD","!!!","")</f>
        <v/>
      </c>
      <c r="F4178" s="22" t="str">
        <f>IF(OR(E4178="",E4178="!!!"),"",IF(NOT(ISNA(VLOOKUP(E4178,E$1:E4177,1,FALSE()))),"OLD",IF(AND(E4178&lt;&gt;"",E4178&lt;&gt;"!!!"),"NEW","")))</f>
        <v> </v>
      </c>
      <c r="G4178" s="23" t="str">
        <f>IF(OR(E4178="",E4178="!!!"),"",IF(OR(J4178=0,AND(J4178=1,K4178=1),AND(J4178=1,I4178="SBJ"),AND(J4178=1,I4178=0)),"?IN_FOCUS",IF(J4178&lt;=2,"?ACTIVATED",IF(J4178&lt;&gt;"","?FAMILIAR",IF(F4178="NEW",IF(ISNA(VLOOKUP(E4178,#REF!,1,FALSE())),"?TYPE_IDENTIFIABLE","?REFERENTIAL"),"_")))))</f>
        <v> </v>
      </c>
      <c r="H4178" s="24" t="str">
        <f>IF(J4178&lt;&gt;1,"",IF(I4178="SBJ","CB","?"))</f>
        <v> </v>
      </c>
      <c r="I4178" s="25" t="str">
        <f>IF(OR(E4178="",E4178="!!!",F4178="NEW"),"",INDEX(B4177:B$2,-1+SUMPRODUCT(MAX(ROW(E4177:E$2)*(E4178=E4177:E$2)))))</f>
        <v> </v>
      </c>
      <c r="J4178" s="25" t="str">
        <f>IF(OR(E4178="",E4178="!!!",F4178="NEW"),"",COUNTBLANK(OFFSET(A$1,,,SUMPRODUCT(MAX(ROW(E$2:E4178)*(E4178=E$2:E4178)))))-COUNTBLANK(OFFSET(A$1,,,SUMPRODUCT(MAX(ROW(E$1:E4177)*(E2=E$1:E4177))))))</f>
        <v> </v>
      </c>
      <c r="K4178" s="25" t="str">
        <f>IF(OR(E4178="",E4178="!!!",F4178="NEW"),"",INDEX(J$1:J4177,SUMPRODUCT(MAX(ROW(E$1:E4177)*(E4178=E$1:E4177)))))</f>
        <v> </v>
      </c>
      <c r="L4178" s="26"/>
    </row>
    <row r="4179" spans="1:12">
      <c r="A4179" s="20"/>
    </row>
    <row r="4180" spans="1:12">
      <c r="A4180" s="20" t="s">
        <v>2063</v>
      </c>
    </row>
    <row r="4181" spans="1:12">
      <c r="A4181" s="20" t="s">
        <v>1057</v>
      </c>
      <c r="B4181" s="27" t="s">
        <v>1038</v>
      </c>
      <c r="C4181" s="27" t="s">
        <v>1013</v>
      </c>
      <c r="D4181" s="27" t="s">
        <v>1014</v>
      </c>
      <c r="E4181" s="21">
        <f>IF(D4181="?OLD","!!!","")</f>
        <v/>
      </c>
      <c r="F4181" s="22" t="str">
        <f>IF(OR(E4181="",E4181="!!!"),"",IF(NOT(ISNA(VLOOKUP(E4181,E$1:E4180,1,FALSE()))),"OLD",IF(AND(E4181&lt;&gt;"",E4181&lt;&gt;"!!!"),"NEW","")))</f>
        <v> </v>
      </c>
      <c r="G4181" s="23" t="str">
        <f>IF(OR(E4181="",E4181="!!!"),"",IF(OR(J4181=0,AND(J4181=1,K4181=1),AND(J4181=1,I4181="SBJ"),AND(J4181=1,I4181=0)),"?IN_FOCUS",IF(J4181&lt;=2,"?ACTIVATED",IF(J4181&lt;&gt;"","?FAMILIAR",IF(F4181="NEW",IF(ISNA(VLOOKUP(E4181,#REF!,1,FALSE())),"?TYPE_IDENTIFIABLE","?REFERENTIAL"),"_")))))</f>
        <v> </v>
      </c>
      <c r="H4181" s="24" t="str">
        <f>IF(J4181&lt;&gt;1,"",IF(I4181="SBJ","CB","?"))</f>
        <v> </v>
      </c>
      <c r="I4181" s="25" t="str">
        <f>IF(OR(E4181="",E4181="!!!",F4181="NEW"),"",INDEX(B4180:B$2,-1+SUMPRODUCT(MAX(ROW(E4180:E$2)*(E4181=E4180:E$2)))))</f>
        <v> </v>
      </c>
      <c r="J4181" s="25" t="str">
        <f>IF(OR(E4181="",E4181="!!!",F4181="NEW"),"",COUNTBLANK(OFFSET(A$1,,,SUMPRODUCT(MAX(ROW(E$2:E4181)*(E4181=E$2:E4181)))))-COUNTBLANK(OFFSET(A$1,,,SUMPRODUCT(MAX(ROW(E$1:E4180)*(E2=E$1:E4180))))))</f>
        <v> </v>
      </c>
      <c r="K4181" s="25" t="str">
        <f>IF(OR(E4181="",E4181="!!!",F4181="NEW"),"",INDEX(J$1:J4180,SUMPRODUCT(MAX(ROW(E$1:E4180)*(E4181=E$1:E4180)))))</f>
        <v> </v>
      </c>
      <c r="L4181" s="26"/>
    </row>
    <row r="4182" spans="1:12">
      <c r="A4182" s="20" t="s">
        <v>35</v>
      </c>
      <c r="E4182" s="21">
        <f>IF(D4182="?OLD","!!!","")</f>
        <v/>
      </c>
      <c r="F4182" s="22" t="str">
        <f>IF(OR(E4182="",E4182="!!!"),"",IF(NOT(ISNA(VLOOKUP(E4182,E$1:E4181,1,FALSE()))),"OLD",IF(AND(E4182&lt;&gt;"",E4182&lt;&gt;"!!!"),"NEW","")))</f>
        <v> </v>
      </c>
      <c r="G4182" s="23" t="str">
        <f>IF(OR(E4182="",E4182="!!!"),"",IF(OR(J4182=0,AND(J4182=1,K4182=1),AND(J4182=1,I4182="SBJ"),AND(J4182=1,I4182=0)),"?IN_FOCUS",IF(J4182&lt;=2,"?ACTIVATED",IF(J4182&lt;&gt;"","?FAMILIAR",IF(F4182="NEW",IF(ISNA(VLOOKUP(E4182,#REF!,1,FALSE())),"?TYPE_IDENTIFIABLE","?REFERENTIAL"),"_")))))</f>
        <v> </v>
      </c>
      <c r="H4182" s="24" t="str">
        <f>IF(J4182&lt;&gt;1,"",IF(I4182="SBJ","CB","?"))</f>
        <v> </v>
      </c>
      <c r="I4182" s="25" t="str">
        <f>IF(OR(E4182="",E4182="!!!",F4182="NEW"),"",INDEX(B4181:B$2,-1+SUMPRODUCT(MAX(ROW(E4181:E$2)*(E4182=E4181:E$2)))))</f>
        <v> </v>
      </c>
      <c r="J4182" s="25" t="str">
        <f>IF(OR(E4182="",E4182="!!!",F4182="NEW"),"",COUNTBLANK(OFFSET(A$1,,,SUMPRODUCT(MAX(ROW(E$2:E4182)*(E4182=E$2:E4182)))))-COUNTBLANK(OFFSET(A$1,,,SUMPRODUCT(MAX(ROW(E$1:E4181)*(E2=E$1:E4181))))))</f>
        <v> </v>
      </c>
      <c r="K4182" s="25" t="str">
        <f>IF(OR(E4182="",E4182="!!!",F4182="NEW"),"",INDEX(J$1:J4181,SUMPRODUCT(MAX(ROW(E$1:E4181)*(E4182=E$1:E4181)))))</f>
        <v> </v>
      </c>
      <c r="L4182" s="26"/>
    </row>
    <row r="4183" spans="1:12">
      <c r="A4183" s="20" t="s">
        <v>1098</v>
      </c>
      <c r="E4183" s="21">
        <f>IF(D4183="?OLD","!!!","")</f>
        <v/>
      </c>
      <c r="F4183" s="22" t="str">
        <f>IF(OR(E4183="",E4183="!!!"),"",IF(NOT(ISNA(VLOOKUP(E4183,E$1:E4182,1,FALSE()))),"OLD",IF(AND(E4183&lt;&gt;"",E4183&lt;&gt;"!!!"),"NEW","")))</f>
        <v> </v>
      </c>
      <c r="G4183" s="23" t="str">
        <f>IF(OR(E4183="",E4183="!!!"),"",IF(OR(J4183=0,AND(J4183=1,K4183=1),AND(J4183=1,I4183="SBJ"),AND(J4183=1,I4183=0)),"?IN_FOCUS",IF(J4183&lt;=2,"?ACTIVATED",IF(J4183&lt;&gt;"","?FAMILIAR",IF(F4183="NEW",IF(ISNA(VLOOKUP(E4183,#REF!,1,FALSE())),"?TYPE_IDENTIFIABLE","?REFERENTIAL"),"_")))))</f>
        <v> </v>
      </c>
      <c r="H4183" s="24" t="str">
        <f>IF(J4183&lt;&gt;1,"",IF(I4183="SBJ","CB","?"))</f>
        <v> </v>
      </c>
      <c r="I4183" s="25" t="str">
        <f>IF(OR(E4183="",E4183="!!!",F4183="NEW"),"",INDEX(B4182:B$2,-1+SUMPRODUCT(MAX(ROW(E4182:E$2)*(E4183=E4182:E$2)))))</f>
        <v> </v>
      </c>
      <c r="J4183" s="25" t="str">
        <f>IF(OR(E4183="",E4183="!!!",F4183="NEW"),"",COUNTBLANK(OFFSET(A$1,,,SUMPRODUCT(MAX(ROW(E$2:E4183)*(E4183=E$2:E4183)))))-COUNTBLANK(OFFSET(A$1,,,SUMPRODUCT(MAX(ROW(E$1:E4182)*(E2=E$1:E4182))))))</f>
        <v> </v>
      </c>
      <c r="K4183" s="25" t="str">
        <f>IF(OR(E4183="",E4183="!!!",F4183="NEW"),"",INDEX(J$1:J4182,SUMPRODUCT(MAX(ROW(E$1:E4182)*(E4183=E$1:E4182)))))</f>
        <v> </v>
      </c>
      <c r="L4183" s="26"/>
    </row>
    <row r="4184" spans="1:12">
      <c r="A4184" s="20" t="s">
        <v>1017</v>
      </c>
      <c r="B4184" s="27" t="s">
        <v>1033</v>
      </c>
      <c r="C4184" s="27" t="s">
        <v>1013</v>
      </c>
      <c r="D4184" s="27" t="s">
        <v>1014</v>
      </c>
      <c r="E4184" s="21">
        <f>IF(D4184="?OLD","!!!","")</f>
        <v/>
      </c>
      <c r="F4184" s="22" t="str">
        <f>IF(OR(E4184="",E4184="!!!"),"",IF(NOT(ISNA(VLOOKUP(E4184,E$1:E4183,1,FALSE()))),"OLD",IF(AND(E4184&lt;&gt;"",E4184&lt;&gt;"!!!"),"NEW","")))</f>
        <v> </v>
      </c>
      <c r="G4184" s="23" t="str">
        <f>IF(OR(E4184="",E4184="!!!"),"",IF(OR(J4184=0,AND(J4184=1,K4184=1),AND(J4184=1,I4184="SBJ"),AND(J4184=1,I4184=0)),"?IN_FOCUS",IF(J4184&lt;=2,"?ACTIVATED",IF(J4184&lt;&gt;"","?FAMILIAR",IF(F4184="NEW",IF(ISNA(VLOOKUP(E4184,#REF!,1,FALSE())),"?TYPE_IDENTIFIABLE","?REFERENTIAL"),"_")))))</f>
        <v> </v>
      </c>
      <c r="H4184" s="24" t="str">
        <f>IF(J4184&lt;&gt;1,"",IF(I4184="SBJ","CB","?"))</f>
        <v> </v>
      </c>
      <c r="I4184" s="25" t="str">
        <f>IF(OR(E4184="",E4184="!!!",F4184="NEW"),"",INDEX(B4183:B$2,-1+SUMPRODUCT(MAX(ROW(E4183:E$2)*(E4184=E4183:E$2)))))</f>
        <v> </v>
      </c>
      <c r="J4184" s="25" t="str">
        <f>IF(OR(E4184="",E4184="!!!",F4184="NEW"),"",COUNTBLANK(OFFSET(A$1,,,SUMPRODUCT(MAX(ROW(E$2:E4184)*(E4184=E$2:E4184)))))-COUNTBLANK(OFFSET(A$1,,,SUMPRODUCT(MAX(ROW(E$1:E4183)*(E2=E$1:E4183))))))</f>
        <v> </v>
      </c>
      <c r="K4184" s="25" t="str">
        <f>IF(OR(E4184="",E4184="!!!",F4184="NEW"),"",INDEX(J$1:J4183,SUMPRODUCT(MAX(ROW(E$1:E4183)*(E4184=E$1:E4183)))))</f>
        <v> </v>
      </c>
      <c r="L4184" s="26"/>
    </row>
    <row r="4185" spans="1:12">
      <c r="A4185" s="20" t="s">
        <v>1050</v>
      </c>
      <c r="E4185" s="21">
        <f>IF(D4185="?OLD","!!!","")</f>
        <v/>
      </c>
      <c r="F4185" s="22" t="str">
        <f>IF(OR(E4185="",E4185="!!!"),"",IF(NOT(ISNA(VLOOKUP(E4185,E$1:E4184,1,FALSE()))),"OLD",IF(AND(E4185&lt;&gt;"",E4185&lt;&gt;"!!!"),"NEW","")))</f>
        <v> </v>
      </c>
      <c r="G4185" s="23" t="str">
        <f>IF(OR(E4185="",E4185="!!!"),"",IF(OR(J4185=0,AND(J4185=1,K4185=1),AND(J4185=1,I4185="SBJ"),AND(J4185=1,I4185=0)),"?IN_FOCUS",IF(J4185&lt;=2,"?ACTIVATED",IF(J4185&lt;&gt;"","?FAMILIAR",IF(F4185="NEW",IF(ISNA(VLOOKUP(E4185,#REF!,1,FALSE())),"?TYPE_IDENTIFIABLE","?REFERENTIAL"),"_")))))</f>
        <v> </v>
      </c>
      <c r="H4185" s="24" t="str">
        <f>IF(J4185&lt;&gt;1,"",IF(I4185="SBJ","CB","?"))</f>
        <v> </v>
      </c>
      <c r="I4185" s="25" t="str">
        <f>IF(OR(E4185="",E4185="!!!",F4185="NEW"),"",INDEX(B4184:B$2,-1+SUMPRODUCT(MAX(ROW(E4184:E$2)*(E4185=E4184:E$2)))))</f>
        <v> </v>
      </c>
      <c r="J4185" s="25" t="str">
        <f>IF(OR(E4185="",E4185="!!!",F4185="NEW"),"",COUNTBLANK(OFFSET(A$1,,,SUMPRODUCT(MAX(ROW(E$2:E4185)*(E4185=E$2:E4185)))))-COUNTBLANK(OFFSET(A$1,,,SUMPRODUCT(MAX(ROW(E$1:E4184)*(E2=E$1:E4184))))))</f>
        <v> </v>
      </c>
      <c r="K4185" s="25" t="str">
        <f>IF(OR(E4185="",E4185="!!!",F4185="NEW"),"",INDEX(J$1:J4184,SUMPRODUCT(MAX(ROW(E$1:E4184)*(E4185=E$1:E4184)))))</f>
        <v> </v>
      </c>
      <c r="L4185" s="26"/>
    </row>
    <row r="4186" spans="1:12">
      <c r="A4186" s="20" t="s">
        <v>1027</v>
      </c>
      <c r="E4186" s="21">
        <f>IF(D4186="?OLD","!!!","")</f>
        <v/>
      </c>
      <c r="F4186" s="22" t="str">
        <f>IF(OR(E4186="",E4186="!!!"),"",IF(NOT(ISNA(VLOOKUP(E4186,E$1:E4185,1,FALSE()))),"OLD",IF(AND(E4186&lt;&gt;"",E4186&lt;&gt;"!!!"),"NEW","")))</f>
        <v> </v>
      </c>
      <c r="G4186" s="23" t="str">
        <f>IF(OR(E4186="",E4186="!!!"),"",IF(OR(J4186=0,AND(J4186=1,K4186=1),AND(J4186=1,I4186="SBJ"),AND(J4186=1,I4186=0)),"?IN_FOCUS",IF(J4186&lt;=2,"?ACTIVATED",IF(J4186&lt;&gt;"","?FAMILIAR",IF(F4186="NEW",IF(ISNA(VLOOKUP(E4186,#REF!,1,FALSE())),"?TYPE_IDENTIFIABLE","?REFERENTIAL"),"_")))))</f>
        <v> </v>
      </c>
      <c r="H4186" s="24" t="str">
        <f>IF(J4186&lt;&gt;1,"",IF(I4186="SBJ","CB","?"))</f>
        <v> </v>
      </c>
      <c r="I4186" s="25" t="str">
        <f>IF(OR(E4186="",E4186="!!!",F4186="NEW"),"",INDEX(B4185:B$2,-1+SUMPRODUCT(MAX(ROW(E4185:E$2)*(E4186=E4185:E$2)))))</f>
        <v> </v>
      </c>
      <c r="J4186" s="25" t="str">
        <f>IF(OR(E4186="",E4186="!!!",F4186="NEW"),"",COUNTBLANK(OFFSET(A$1,,,SUMPRODUCT(MAX(ROW(E$2:E4186)*(E4186=E$2:E4186)))))-COUNTBLANK(OFFSET(A$1,,,SUMPRODUCT(MAX(ROW(E$1:E4185)*(E2=E$1:E4185))))))</f>
        <v> </v>
      </c>
      <c r="K4186" s="25" t="str">
        <f>IF(OR(E4186="",E4186="!!!",F4186="NEW"),"",INDEX(J$1:J4185,SUMPRODUCT(MAX(ROW(E$1:E4185)*(E4186=E$1:E4185)))))</f>
        <v> </v>
      </c>
      <c r="L4186" s="26"/>
    </row>
    <row r="4187" spans="1:12">
      <c r="A4187" s="20" t="s">
        <v>1031</v>
      </c>
      <c r="E4187" s="21">
        <f>IF(D4187="?OLD","!!!","")</f>
        <v/>
      </c>
      <c r="F4187" s="22" t="str">
        <f>IF(OR(E4187="",E4187="!!!"),"",IF(NOT(ISNA(VLOOKUP(E4187,E$1:E4186,1,FALSE()))),"OLD",IF(AND(E4187&lt;&gt;"",E4187&lt;&gt;"!!!"),"NEW","")))</f>
        <v> </v>
      </c>
      <c r="G4187" s="23" t="str">
        <f>IF(OR(E4187="",E4187="!!!"),"",IF(OR(J4187=0,AND(J4187=1,K4187=1),AND(J4187=1,I4187="SBJ"),AND(J4187=1,I4187=0)),"?IN_FOCUS",IF(J4187&lt;=2,"?ACTIVATED",IF(J4187&lt;&gt;"","?FAMILIAR",IF(F4187="NEW",IF(ISNA(VLOOKUP(E4187,#REF!,1,FALSE())),"?TYPE_IDENTIFIABLE","?REFERENTIAL"),"_")))))</f>
        <v> </v>
      </c>
      <c r="H4187" s="24" t="str">
        <f>IF(J4187&lt;&gt;1,"",IF(I4187="SBJ","CB","?"))</f>
        <v> </v>
      </c>
      <c r="I4187" s="25" t="str">
        <f>IF(OR(E4187="",E4187="!!!",F4187="NEW"),"",INDEX(B4186:B$2,-1+SUMPRODUCT(MAX(ROW(E4186:E$2)*(E4187=E4186:E$2)))))</f>
        <v> </v>
      </c>
      <c r="J4187" s="25" t="str">
        <f>IF(OR(E4187="",E4187="!!!",F4187="NEW"),"",COUNTBLANK(OFFSET(A$1,,,SUMPRODUCT(MAX(ROW(E$2:E4187)*(E4187=E$2:E4187)))))-COUNTBLANK(OFFSET(A$1,,,SUMPRODUCT(MAX(ROW(E$1:E4186)*(E2=E$1:E4186))))))</f>
        <v> </v>
      </c>
      <c r="K4187" s="25" t="str">
        <f>IF(OR(E4187="",E4187="!!!",F4187="NEW"),"",INDEX(J$1:J4186,SUMPRODUCT(MAX(ROW(E$1:E4186)*(E4187=E$1:E4186)))))</f>
        <v> </v>
      </c>
      <c r="L4187" s="26"/>
    </row>
    <row r="4188" spans="1:12">
      <c r="A4188" s="20" t="s">
        <v>1185</v>
      </c>
      <c r="E4188" s="21">
        <f>IF(D4188="?OLD","!!!","")</f>
        <v/>
      </c>
      <c r="F4188" s="22" t="str">
        <f>IF(OR(E4188="",E4188="!!!"),"",IF(NOT(ISNA(VLOOKUP(E4188,E$1:E4187,1,FALSE()))),"OLD",IF(AND(E4188&lt;&gt;"",E4188&lt;&gt;"!!!"),"NEW","")))</f>
        <v> </v>
      </c>
      <c r="G4188" s="23" t="str">
        <f>IF(OR(E4188="",E4188="!!!"),"",IF(OR(J4188=0,AND(J4188=1,K4188=1),AND(J4188=1,I4188="SBJ"),AND(J4188=1,I4188=0)),"?IN_FOCUS",IF(J4188&lt;=2,"?ACTIVATED",IF(J4188&lt;&gt;"","?FAMILIAR",IF(F4188="NEW",IF(ISNA(VLOOKUP(E4188,#REF!,1,FALSE())),"?TYPE_IDENTIFIABLE","?REFERENTIAL"),"_")))))</f>
        <v> </v>
      </c>
      <c r="H4188" s="24" t="str">
        <f>IF(J4188&lt;&gt;1,"",IF(I4188="SBJ","CB","?"))</f>
        <v> </v>
      </c>
      <c r="I4188" s="25" t="str">
        <f>IF(OR(E4188="",E4188="!!!",F4188="NEW"),"",INDEX(B4187:B$2,-1+SUMPRODUCT(MAX(ROW(E4187:E$2)*(E4188=E4187:E$2)))))</f>
        <v> </v>
      </c>
      <c r="J4188" s="25" t="str">
        <f>IF(OR(E4188="",E4188="!!!",F4188="NEW"),"",COUNTBLANK(OFFSET(A$1,,,SUMPRODUCT(MAX(ROW(E$2:E4188)*(E4188=E$2:E4188)))))-COUNTBLANK(OFFSET(A$1,,,SUMPRODUCT(MAX(ROW(E$1:E4187)*(E2=E$1:E4187))))))</f>
        <v> </v>
      </c>
      <c r="K4188" s="25" t="str">
        <f>IF(OR(E4188="",E4188="!!!",F4188="NEW"),"",INDEX(J$1:J4187,SUMPRODUCT(MAX(ROW(E$1:E4187)*(E4188=E$1:E4187)))))</f>
        <v> </v>
      </c>
      <c r="L4188" s="26"/>
    </row>
    <row r="4189" spans="1:12">
      <c r="A4189" s="20" t="s">
        <v>2064</v>
      </c>
      <c r="E4189" s="21">
        <f>IF(D4189="?OLD","!!!","")</f>
        <v/>
      </c>
      <c r="F4189" s="22" t="str">
        <f>IF(OR(E4189="",E4189="!!!"),"",IF(NOT(ISNA(VLOOKUP(E4189,E$1:E4188,1,FALSE()))),"OLD",IF(AND(E4189&lt;&gt;"",E4189&lt;&gt;"!!!"),"NEW","")))</f>
        <v> </v>
      </c>
      <c r="G4189" s="23" t="str">
        <f>IF(OR(E4189="",E4189="!!!"),"",IF(OR(J4189=0,AND(J4189=1,K4189=1),AND(J4189=1,I4189="SBJ"),AND(J4189=1,I4189=0)),"?IN_FOCUS",IF(J4189&lt;=2,"?ACTIVATED",IF(J4189&lt;&gt;"","?FAMILIAR",IF(F4189="NEW",IF(ISNA(VLOOKUP(E4189,#REF!,1,FALSE())),"?TYPE_IDENTIFIABLE","?REFERENTIAL"),"_")))))</f>
        <v> </v>
      </c>
      <c r="H4189" s="24" t="str">
        <f>IF(J4189&lt;&gt;1,"",IF(I4189="SBJ","CB","?"))</f>
        <v> </v>
      </c>
      <c r="I4189" s="25" t="str">
        <f>IF(OR(E4189="",E4189="!!!",F4189="NEW"),"",INDEX(B4188:B$2,-1+SUMPRODUCT(MAX(ROW(E4188:E$2)*(E4189=E4188:E$2)))))</f>
        <v> </v>
      </c>
      <c r="J4189" s="25" t="str">
        <f>IF(OR(E4189="",E4189="!!!",F4189="NEW"),"",COUNTBLANK(OFFSET(A$1,,,SUMPRODUCT(MAX(ROW(E$2:E4189)*(E4189=E$2:E4189)))))-COUNTBLANK(OFFSET(A$1,,,SUMPRODUCT(MAX(ROW(E$1:E4188)*(E2=E$1:E4188))))))</f>
        <v> </v>
      </c>
      <c r="K4189" s="25" t="str">
        <f>IF(OR(E4189="",E4189="!!!",F4189="NEW"),"",INDEX(J$1:J4188,SUMPRODUCT(MAX(ROW(E$1:E4188)*(E4189=E$1:E4188)))))</f>
        <v> </v>
      </c>
      <c r="L4189" s="26"/>
    </row>
    <row r="4190" spans="1:12">
      <c r="A4190" s="20" t="s">
        <v>1185</v>
      </c>
      <c r="E4190" s="21">
        <f>IF(D4190="?OLD","!!!","")</f>
        <v/>
      </c>
      <c r="F4190" s="22" t="str">
        <f>IF(OR(E4190="",E4190="!!!"),"",IF(NOT(ISNA(VLOOKUP(E4190,E$1:E4189,1,FALSE()))),"OLD",IF(AND(E4190&lt;&gt;"",E4190&lt;&gt;"!!!"),"NEW","")))</f>
        <v> </v>
      </c>
      <c r="G4190" s="23" t="str">
        <f>IF(OR(E4190="",E4190="!!!"),"",IF(OR(J4190=0,AND(J4190=1,K4190=1),AND(J4190=1,I4190="SBJ"),AND(J4190=1,I4190=0)),"?IN_FOCUS",IF(J4190&lt;=2,"?ACTIVATED",IF(J4190&lt;&gt;"","?FAMILIAR",IF(F4190="NEW",IF(ISNA(VLOOKUP(E4190,#REF!,1,FALSE())),"?TYPE_IDENTIFIABLE","?REFERENTIAL"),"_")))))</f>
        <v> </v>
      </c>
      <c r="H4190" s="24" t="str">
        <f>IF(J4190&lt;&gt;1,"",IF(I4190="SBJ","CB","?"))</f>
        <v> </v>
      </c>
      <c r="I4190" s="25" t="str">
        <f>IF(OR(E4190="",E4190="!!!",F4190="NEW"),"",INDEX(B4189:B$2,-1+SUMPRODUCT(MAX(ROW(E4189:E$2)*(E4190=E4189:E$2)))))</f>
        <v> </v>
      </c>
      <c r="J4190" s="25" t="str">
        <f>IF(OR(E4190="",E4190="!!!",F4190="NEW"),"",COUNTBLANK(OFFSET(A$1,,,SUMPRODUCT(MAX(ROW(E$2:E4190)*(E4190=E$2:E4190)))))-COUNTBLANK(OFFSET(A$1,,,SUMPRODUCT(MAX(ROW(E$1:E4189)*(E2=E$1:E4189))))))</f>
        <v> </v>
      </c>
      <c r="K4190" s="25" t="str">
        <f>IF(OR(E4190="",E4190="!!!",F4190="NEW"),"",INDEX(J$1:J4189,SUMPRODUCT(MAX(ROW(E$1:E4189)*(E4190=E$1:E4189)))))</f>
        <v> </v>
      </c>
      <c r="L4190" s="26"/>
    </row>
    <row r="4191" spans="1:12">
      <c r="A4191" s="20" t="s">
        <v>1057</v>
      </c>
      <c r="B4191" s="27" t="s">
        <v>1308</v>
      </c>
      <c r="C4191" s="27" t="s">
        <v>1013</v>
      </c>
      <c r="D4191" s="27" t="s">
        <v>1014</v>
      </c>
      <c r="E4191" s="21">
        <f>IF(D4191="?OLD","!!!","")</f>
        <v/>
      </c>
      <c r="F4191" s="22" t="str">
        <f>IF(OR(E4191="",E4191="!!!"),"",IF(NOT(ISNA(VLOOKUP(E4191,E$1:E4190,1,FALSE()))),"OLD",IF(AND(E4191&lt;&gt;"",E4191&lt;&gt;"!!!"),"NEW","")))</f>
        <v> </v>
      </c>
      <c r="G4191" s="23" t="str">
        <f>IF(OR(E4191="",E4191="!!!"),"",IF(OR(J4191=0,AND(J4191=1,K4191=1),AND(J4191=1,I4191="SBJ"),AND(J4191=1,I4191=0)),"?IN_FOCUS",IF(J4191&lt;=2,"?ACTIVATED",IF(J4191&lt;&gt;"","?FAMILIAR",IF(F4191="NEW",IF(ISNA(VLOOKUP(E4191,#REF!,1,FALSE())),"?TYPE_IDENTIFIABLE","?REFERENTIAL"),"_")))))</f>
        <v> </v>
      </c>
      <c r="H4191" s="24" t="str">
        <f>IF(J4191&lt;&gt;1,"",IF(I4191="SBJ","CB","?"))</f>
        <v> </v>
      </c>
      <c r="I4191" s="25" t="str">
        <f>IF(OR(E4191="",E4191="!!!",F4191="NEW"),"",INDEX(B4190:B$2,-1+SUMPRODUCT(MAX(ROW(E4190:E$2)*(E4191=E4190:E$2)))))</f>
        <v> </v>
      </c>
      <c r="J4191" s="25" t="str">
        <f>IF(OR(E4191="",E4191="!!!",F4191="NEW"),"",COUNTBLANK(OFFSET(A$1,,,SUMPRODUCT(MAX(ROW(E$2:E4191)*(E4191=E$2:E4191)))))-COUNTBLANK(OFFSET(A$1,,,SUMPRODUCT(MAX(ROW(E$1:E4190)*(E2=E$1:E4190))))))</f>
        <v> </v>
      </c>
      <c r="K4191" s="25" t="str">
        <f>IF(OR(E4191="",E4191="!!!",F4191="NEW"),"",INDEX(J$1:J4190,SUMPRODUCT(MAX(ROW(E$1:E4190)*(E4191=E$1:E4190)))))</f>
        <v> </v>
      </c>
      <c r="L4191" s="26"/>
    </row>
    <row r="4192" spans="1:12">
      <c r="A4192" s="20" t="s">
        <v>1096</v>
      </c>
      <c r="E4192" s="21">
        <f>IF(D4192="?OLD","!!!","")</f>
        <v/>
      </c>
      <c r="F4192" s="22" t="str">
        <f>IF(OR(E4192="",E4192="!!!"),"",IF(NOT(ISNA(VLOOKUP(E4192,E$1:E4191,1,FALSE()))),"OLD",IF(AND(E4192&lt;&gt;"",E4192&lt;&gt;"!!!"),"NEW","")))</f>
        <v> </v>
      </c>
      <c r="G4192" s="23" t="str">
        <f>IF(OR(E4192="",E4192="!!!"),"",IF(OR(J4192=0,AND(J4192=1,K4192=1),AND(J4192=1,I4192="SBJ"),AND(J4192=1,I4192=0)),"?IN_FOCUS",IF(J4192&lt;=2,"?ACTIVATED",IF(J4192&lt;&gt;"","?FAMILIAR",IF(F4192="NEW",IF(ISNA(VLOOKUP(E4192,#REF!,1,FALSE())),"?TYPE_IDENTIFIABLE","?REFERENTIAL"),"_")))))</f>
        <v> </v>
      </c>
      <c r="H4192" s="24" t="str">
        <f>IF(J4192&lt;&gt;1,"",IF(I4192="SBJ","CB","?"))</f>
        <v> </v>
      </c>
      <c r="I4192" s="25" t="str">
        <f>IF(OR(E4192="",E4192="!!!",F4192="NEW"),"",INDEX(B4191:B$2,-1+SUMPRODUCT(MAX(ROW(E4191:E$2)*(E4192=E4191:E$2)))))</f>
        <v> </v>
      </c>
      <c r="J4192" s="25" t="str">
        <f>IF(OR(E4192="",E4192="!!!",F4192="NEW"),"",COUNTBLANK(OFFSET(A$1,,,SUMPRODUCT(MAX(ROW(E$2:E4192)*(E4192=E$2:E4192)))))-COUNTBLANK(OFFSET(A$1,,,SUMPRODUCT(MAX(ROW(E$1:E4191)*(E2=E$1:E4191))))))</f>
        <v> </v>
      </c>
      <c r="K4192" s="25" t="str">
        <f>IF(OR(E4192="",E4192="!!!",F4192="NEW"),"",INDEX(J$1:J4191,SUMPRODUCT(MAX(ROW(E$1:E4191)*(E4192=E$1:E4191)))))</f>
        <v> </v>
      </c>
      <c r="L4192" s="26"/>
    </row>
    <row r="4193" spans="1:12">
      <c r="A4193" s="20" t="s">
        <v>2065</v>
      </c>
      <c r="E4193" s="21">
        <f>IF(D4193="?OLD","!!!","")</f>
        <v/>
      </c>
      <c r="F4193" s="22" t="str">
        <f>IF(OR(E4193="",E4193="!!!"),"",IF(NOT(ISNA(VLOOKUP(E4193,E$1:E4192,1,FALSE()))),"OLD",IF(AND(E4193&lt;&gt;"",E4193&lt;&gt;"!!!"),"NEW","")))</f>
        <v> </v>
      </c>
      <c r="G4193" s="23" t="str">
        <f>IF(OR(E4193="",E4193="!!!"),"",IF(OR(J4193=0,AND(J4193=1,K4193=1),AND(J4193=1,I4193="SBJ"),AND(J4193=1,I4193=0)),"?IN_FOCUS",IF(J4193&lt;=2,"?ACTIVATED",IF(J4193&lt;&gt;"","?FAMILIAR",IF(F4193="NEW",IF(ISNA(VLOOKUP(E4193,#REF!,1,FALSE())),"?TYPE_IDENTIFIABLE","?REFERENTIAL"),"_")))))</f>
        <v> </v>
      </c>
      <c r="H4193" s="24" t="str">
        <f>IF(J4193&lt;&gt;1,"",IF(I4193="SBJ","CB","?"))</f>
        <v> </v>
      </c>
      <c r="I4193" s="25" t="str">
        <f>IF(OR(E4193="",E4193="!!!",F4193="NEW"),"",INDEX(B4192:B$2,-1+SUMPRODUCT(MAX(ROW(E4192:E$2)*(E4193=E4192:E$2)))))</f>
        <v> </v>
      </c>
      <c r="J4193" s="25" t="str">
        <f>IF(OR(E4193="",E4193="!!!",F4193="NEW"),"",COUNTBLANK(OFFSET(A$1,,,SUMPRODUCT(MAX(ROW(E$2:E4193)*(E4193=E$2:E4193)))))-COUNTBLANK(OFFSET(A$1,,,SUMPRODUCT(MAX(ROW(E$1:E4192)*(E2=E$1:E4192))))))</f>
        <v> </v>
      </c>
      <c r="K4193" s="25" t="str">
        <f>IF(OR(E4193="",E4193="!!!",F4193="NEW"),"",INDEX(J$1:J4192,SUMPRODUCT(MAX(ROW(E$1:E4192)*(E4193=E$1:E4192)))))</f>
        <v> </v>
      </c>
      <c r="L4193" s="26"/>
    </row>
    <row r="4194" spans="1:12">
      <c r="A4194" s="20" t="s">
        <v>1027</v>
      </c>
      <c r="E4194" s="21">
        <f>IF(D4194="?OLD","!!!","")</f>
        <v/>
      </c>
      <c r="F4194" s="22" t="str">
        <f>IF(OR(E4194="",E4194="!!!"),"",IF(NOT(ISNA(VLOOKUP(E4194,E$1:E4193,1,FALSE()))),"OLD",IF(AND(E4194&lt;&gt;"",E4194&lt;&gt;"!!!"),"NEW","")))</f>
        <v> </v>
      </c>
      <c r="G4194" s="23" t="str">
        <f>IF(OR(E4194="",E4194="!!!"),"",IF(OR(J4194=0,AND(J4194=1,K4194=1),AND(J4194=1,I4194="SBJ"),AND(J4194=1,I4194=0)),"?IN_FOCUS",IF(J4194&lt;=2,"?ACTIVATED",IF(J4194&lt;&gt;"","?FAMILIAR",IF(F4194="NEW",IF(ISNA(VLOOKUP(E4194,#REF!,1,FALSE())),"?TYPE_IDENTIFIABLE","?REFERENTIAL"),"_")))))</f>
        <v> </v>
      </c>
      <c r="H4194" s="24" t="str">
        <f>IF(J4194&lt;&gt;1,"",IF(I4194="SBJ","CB","?"))</f>
        <v> </v>
      </c>
      <c r="I4194" s="25" t="str">
        <f>IF(OR(E4194="",E4194="!!!",F4194="NEW"),"",INDEX(B4193:B$2,-1+SUMPRODUCT(MAX(ROW(E4193:E$2)*(E4194=E4193:E$2)))))</f>
        <v> </v>
      </c>
      <c r="J4194" s="25" t="str">
        <f>IF(OR(E4194="",E4194="!!!",F4194="NEW"),"",COUNTBLANK(OFFSET(A$1,,,SUMPRODUCT(MAX(ROW(E$2:E4194)*(E4194=E$2:E4194)))))-COUNTBLANK(OFFSET(A$1,,,SUMPRODUCT(MAX(ROW(E$1:E4193)*(E2=E$1:E4193))))))</f>
        <v> </v>
      </c>
      <c r="K4194" s="25" t="str">
        <f>IF(OR(E4194="",E4194="!!!",F4194="NEW"),"",INDEX(J$1:J4193,SUMPRODUCT(MAX(ROW(E$1:E4193)*(E4194=E$1:E4193)))))</f>
        <v> </v>
      </c>
      <c r="L4194" s="26"/>
    </row>
    <row r="4195" spans="1:12">
      <c r="A4195" s="20" t="s">
        <v>1098</v>
      </c>
      <c r="B4195" s="27" t="s">
        <v>1033</v>
      </c>
      <c r="C4195" s="27" t="s">
        <v>1108</v>
      </c>
      <c r="D4195" s="27" t="s">
        <v>1014</v>
      </c>
      <c r="E4195" s="21">
        <f>IF(D4195="?OLD","!!!","")</f>
        <v/>
      </c>
      <c r="F4195" s="22" t="str">
        <f>IF(OR(E4195="",E4195="!!!"),"",IF(NOT(ISNA(VLOOKUP(E4195,E$1:E4194,1,FALSE()))),"OLD",IF(AND(E4195&lt;&gt;"",E4195&lt;&gt;"!!!"),"NEW","")))</f>
        <v> </v>
      </c>
      <c r="G4195" s="23" t="str">
        <f>IF(OR(E4195="",E4195="!!!"),"",IF(OR(J4195=0,AND(J4195=1,K4195=1),AND(J4195=1,I4195="SBJ"),AND(J4195=1,I4195=0)),"?IN_FOCUS",IF(J4195&lt;=2,"?ACTIVATED",IF(J4195&lt;&gt;"","?FAMILIAR",IF(F4195="NEW",IF(ISNA(VLOOKUP(E4195,#REF!,1,FALSE())),"?TYPE_IDENTIFIABLE","?REFERENTIAL"),"_")))))</f>
        <v> </v>
      </c>
      <c r="H4195" s="24" t="str">
        <f>IF(J4195&lt;&gt;1,"",IF(I4195="SBJ","CB","?"))</f>
        <v> </v>
      </c>
      <c r="I4195" s="25" t="str">
        <f>IF(OR(E4195="",E4195="!!!",F4195="NEW"),"",INDEX(B4194:B$2,-1+SUMPRODUCT(MAX(ROW(E4194:E$2)*(E4195=E4194:E$2)))))</f>
        <v> </v>
      </c>
      <c r="J4195" s="25" t="str">
        <f>IF(OR(E4195="",E4195="!!!",F4195="NEW"),"",COUNTBLANK(OFFSET(A$1,,,SUMPRODUCT(MAX(ROW(E$2:E4195)*(E4195=E$2:E4195)))))-COUNTBLANK(OFFSET(A$1,,,SUMPRODUCT(MAX(ROW(E$1:E4194)*(E2=E$1:E4194))))))</f>
        <v> </v>
      </c>
      <c r="K4195" s="25" t="str">
        <f>IF(OR(E4195="",E4195="!!!",F4195="NEW"),"",INDEX(J$1:J4194,SUMPRODUCT(MAX(ROW(E$1:E4194)*(E4195=E$1:E4194)))))</f>
        <v> </v>
      </c>
      <c r="L4195" s="26"/>
    </row>
    <row r="4196" spans="1:12">
      <c r="A4196" s="20" t="s">
        <v>1011</v>
      </c>
      <c r="E4196" s="21">
        <f>IF(D4196="?OLD","!!!","")</f>
        <v/>
      </c>
      <c r="F4196" s="22" t="str">
        <f>IF(OR(E4196="",E4196="!!!"),"",IF(NOT(ISNA(VLOOKUP(E4196,E$1:E4195,1,FALSE()))),"OLD",IF(AND(E4196&lt;&gt;"",E4196&lt;&gt;"!!!"),"NEW","")))</f>
        <v> </v>
      </c>
      <c r="G4196" s="23" t="str">
        <f>IF(OR(E4196="",E4196="!!!"),"",IF(OR(J4196=0,AND(J4196=1,K4196=1),AND(J4196=1,I4196="SBJ"),AND(J4196=1,I4196=0)),"?IN_FOCUS",IF(J4196&lt;=2,"?ACTIVATED",IF(J4196&lt;&gt;"","?FAMILIAR",IF(F4196="NEW",IF(ISNA(VLOOKUP(E4196,#REF!,1,FALSE())),"?TYPE_IDENTIFIABLE","?REFERENTIAL"),"_")))))</f>
        <v> </v>
      </c>
      <c r="H4196" s="24" t="str">
        <f>IF(J4196&lt;&gt;1,"",IF(I4196="SBJ","CB","?"))</f>
        <v> </v>
      </c>
      <c r="I4196" s="25" t="str">
        <f>IF(OR(E4196="",E4196="!!!",F4196="NEW"),"",INDEX(B4195:B$2,-1+SUMPRODUCT(MAX(ROW(E4195:E$2)*(E4196=E4195:E$2)))))</f>
        <v> </v>
      </c>
      <c r="J4196" s="25" t="str">
        <f>IF(OR(E4196="",E4196="!!!",F4196="NEW"),"",COUNTBLANK(OFFSET(A$1,,,SUMPRODUCT(MAX(ROW(E$2:E4196)*(E4196=E$2:E4196)))))-COUNTBLANK(OFFSET(A$1,,,SUMPRODUCT(MAX(ROW(E$1:E4195)*(E2=E$1:E4195))))))</f>
        <v> </v>
      </c>
      <c r="K4196" s="25" t="str">
        <f>IF(OR(E4196="",E4196="!!!",F4196="NEW"),"",INDEX(J$1:J4195,SUMPRODUCT(MAX(ROW(E$1:E4195)*(E4196=E$1:E4195)))))</f>
        <v> </v>
      </c>
      <c r="L4196" s="26"/>
    </row>
    <row r="4197" spans="1:12">
      <c r="A4197" s="20" t="s">
        <v>1615</v>
      </c>
      <c r="B4197" s="27" t="s">
        <v>1026</v>
      </c>
      <c r="C4197" s="27" t="s">
        <v>1147</v>
      </c>
      <c r="D4197" s="27" t="s">
        <v>1014</v>
      </c>
      <c r="E4197" s="21">
        <f>IF(D4197="?OLD","!!!","")</f>
        <v/>
      </c>
      <c r="F4197" s="22" t="str">
        <f>IF(OR(E4197="",E4197="!!!"),"",IF(NOT(ISNA(VLOOKUP(E4197,E$1:E4196,1,FALSE()))),"OLD",IF(AND(E4197&lt;&gt;"",E4197&lt;&gt;"!!!"),"NEW","")))</f>
        <v> </v>
      </c>
      <c r="G4197" s="23" t="str">
        <f>IF(OR(E4197="",E4197="!!!"),"",IF(OR(J4197=0,AND(J4197=1,K4197=1),AND(J4197=1,I4197="SBJ"),AND(J4197=1,I4197=0)),"?IN_FOCUS",IF(J4197&lt;=2,"?ACTIVATED",IF(J4197&lt;&gt;"","?FAMILIAR",IF(F4197="NEW",IF(ISNA(VLOOKUP(E4197,#REF!,1,FALSE())),"?TYPE_IDENTIFIABLE","?REFERENTIAL"),"_")))))</f>
        <v> </v>
      </c>
      <c r="H4197" s="24" t="str">
        <f>IF(J4197&lt;&gt;1,"",IF(I4197="SBJ","CB","?"))</f>
        <v> </v>
      </c>
      <c r="I4197" s="25" t="str">
        <f>IF(OR(E4197="",E4197="!!!",F4197="NEW"),"",INDEX(B4196:B$2,-1+SUMPRODUCT(MAX(ROW(E4196:E$2)*(E4197=E4196:E$2)))))</f>
        <v> </v>
      </c>
      <c r="J4197" s="25" t="str">
        <f>IF(OR(E4197="",E4197="!!!",F4197="NEW"),"",COUNTBLANK(OFFSET(A$1,,,SUMPRODUCT(MAX(ROW(E$2:E4197)*(E4197=E$2:E4197)))))-COUNTBLANK(OFFSET(A$1,,,SUMPRODUCT(MAX(ROW(E$1:E4196)*(E2=E$1:E4196))))))</f>
        <v> </v>
      </c>
      <c r="K4197" s="25" t="str">
        <f>IF(OR(E4197="",E4197="!!!",F4197="NEW"),"",INDEX(J$1:J4196,SUMPRODUCT(MAX(ROW(E$1:E4196)*(E4197=E$1:E4196)))))</f>
        <v> </v>
      </c>
      <c r="L4197" s="26"/>
    </row>
    <row r="4198" spans="1:12">
      <c r="A4198" s="20" t="s">
        <v>1122</v>
      </c>
      <c r="E4198" s="21">
        <f>IF(D4198="?OLD","!!!","")</f>
        <v/>
      </c>
      <c r="F4198" s="22" t="str">
        <f>IF(OR(E4198="",E4198="!!!"),"",IF(NOT(ISNA(VLOOKUP(E4198,E$1:E4197,1,FALSE()))),"OLD",IF(AND(E4198&lt;&gt;"",E4198&lt;&gt;"!!!"),"NEW","")))</f>
        <v> </v>
      </c>
      <c r="G4198" s="23" t="str">
        <f>IF(OR(E4198="",E4198="!!!"),"",IF(OR(J4198=0,AND(J4198=1,K4198=1),AND(J4198=1,I4198="SBJ"),AND(J4198=1,I4198=0)),"?IN_FOCUS",IF(J4198&lt;=2,"?ACTIVATED",IF(J4198&lt;&gt;"","?FAMILIAR",IF(F4198="NEW",IF(ISNA(VLOOKUP(E4198,#REF!,1,FALSE())),"?TYPE_IDENTIFIABLE","?REFERENTIAL"),"_")))))</f>
        <v> </v>
      </c>
      <c r="H4198" s="24" t="str">
        <f>IF(J4198&lt;&gt;1,"",IF(I4198="SBJ","CB","?"))</f>
        <v> </v>
      </c>
      <c r="I4198" s="25" t="str">
        <f>IF(OR(E4198="",E4198="!!!",F4198="NEW"),"",INDEX(B4197:B$2,-1+SUMPRODUCT(MAX(ROW(E4197:E$2)*(E4198=E4197:E$2)))))</f>
        <v> </v>
      </c>
      <c r="J4198" s="25" t="str">
        <f>IF(OR(E4198="",E4198="!!!",F4198="NEW"),"",COUNTBLANK(OFFSET(A$1,,,SUMPRODUCT(MAX(ROW(E$2:E4198)*(E4198=E$2:E4198)))))-COUNTBLANK(OFFSET(A$1,,,SUMPRODUCT(MAX(ROW(E$1:E4197)*(E2=E$1:E4197))))))</f>
        <v> </v>
      </c>
      <c r="K4198" s="25" t="str">
        <f>IF(OR(E4198="",E4198="!!!",F4198="NEW"),"",INDEX(J$1:J4197,SUMPRODUCT(MAX(ROW(E$1:E4197)*(E4198=E$1:E4197)))))</f>
        <v> </v>
      </c>
      <c r="L4198" s="26"/>
    </row>
    <row r="4199" spans="1:12">
      <c r="A4199" s="20" t="s">
        <v>1189</v>
      </c>
      <c r="B4199" s="27" t="s">
        <v>1018</v>
      </c>
      <c r="C4199" s="27" t="s">
        <v>1123</v>
      </c>
      <c r="D4199" s="27" t="s">
        <v>1014</v>
      </c>
      <c r="E4199" s="21">
        <f>IF(D4199="?OLD","!!!","")</f>
        <v/>
      </c>
      <c r="F4199" s="22" t="str">
        <f>IF(OR(E4199="",E4199="!!!"),"",IF(NOT(ISNA(VLOOKUP(E4199,E$1:E4198,1,FALSE()))),"OLD",IF(AND(E4199&lt;&gt;"",E4199&lt;&gt;"!!!"),"NEW","")))</f>
        <v> </v>
      </c>
      <c r="G4199" s="23" t="str">
        <f>IF(OR(E4199="",E4199="!!!"),"",IF(OR(J4199=0,AND(J4199=1,K4199=1),AND(J4199=1,I4199="SBJ"),AND(J4199=1,I4199=0)),"?IN_FOCUS",IF(J4199&lt;=2,"?ACTIVATED",IF(J4199&lt;&gt;"","?FAMILIAR",IF(F4199="NEW",IF(ISNA(VLOOKUP(E4199,#REF!,1,FALSE())),"?TYPE_IDENTIFIABLE","?REFERENTIAL"),"_")))))</f>
        <v> </v>
      </c>
      <c r="H4199" s="24" t="str">
        <f>IF(J4199&lt;&gt;1,"",IF(I4199="SBJ","CB","?"))</f>
        <v> </v>
      </c>
      <c r="I4199" s="25" t="str">
        <f>IF(OR(E4199="",E4199="!!!",F4199="NEW"),"",INDEX(B4198:B$2,-1+SUMPRODUCT(MAX(ROW(E4198:E$2)*(E4199=E4198:E$2)))))</f>
        <v> </v>
      </c>
      <c r="J4199" s="25" t="str">
        <f>IF(OR(E4199="",E4199="!!!",F4199="NEW"),"",COUNTBLANK(OFFSET(A$1,,,SUMPRODUCT(MAX(ROW(E$2:E4199)*(E4199=E$2:E4199)))))-COUNTBLANK(OFFSET(A$1,,,SUMPRODUCT(MAX(ROW(E$1:E4198)*(E2=E$1:E4198))))))</f>
        <v> </v>
      </c>
      <c r="K4199" s="25" t="str">
        <f>IF(OR(E4199="",E4199="!!!",F4199="NEW"),"",INDEX(J$1:J4198,SUMPRODUCT(MAX(ROW(E$1:E4198)*(E4199=E$1:E4198)))))</f>
        <v> </v>
      </c>
      <c r="L4199" s="26"/>
    </row>
    <row r="4200" spans="1:12">
      <c r="A4200" s="20" t="s">
        <v>2066</v>
      </c>
      <c r="E4200" s="21">
        <f>IF(D4200="?OLD","!!!","")</f>
        <v/>
      </c>
      <c r="F4200" s="22" t="str">
        <f>IF(OR(E4200="",E4200="!!!"),"",IF(NOT(ISNA(VLOOKUP(E4200,E$1:E4199,1,FALSE()))),"OLD",IF(AND(E4200&lt;&gt;"",E4200&lt;&gt;"!!!"),"NEW","")))</f>
        <v> </v>
      </c>
      <c r="G4200" s="23" t="str">
        <f>IF(OR(E4200="",E4200="!!!"),"",IF(OR(J4200=0,AND(J4200=1,K4200=1),AND(J4200=1,I4200="SBJ"),AND(J4200=1,I4200=0)),"?IN_FOCUS",IF(J4200&lt;=2,"?ACTIVATED",IF(J4200&lt;&gt;"","?FAMILIAR",IF(F4200="NEW",IF(ISNA(VLOOKUP(E4200,#REF!,1,FALSE())),"?TYPE_IDENTIFIABLE","?REFERENTIAL"),"_")))))</f>
        <v> </v>
      </c>
      <c r="H4200" s="24" t="str">
        <f>IF(J4200&lt;&gt;1,"",IF(I4200="SBJ","CB","?"))</f>
        <v> </v>
      </c>
      <c r="I4200" s="25" t="str">
        <f>IF(OR(E4200="",E4200="!!!",F4200="NEW"),"",INDEX(B4199:B$2,-1+SUMPRODUCT(MAX(ROW(E4199:E$2)*(E4200=E4199:E$2)))))</f>
        <v> </v>
      </c>
      <c r="J4200" s="25" t="str">
        <f>IF(OR(E4200="",E4200="!!!",F4200="NEW"),"",COUNTBLANK(OFFSET(A$1,,,SUMPRODUCT(MAX(ROW(E$2:E4200)*(E4200=E$2:E4200)))))-COUNTBLANK(OFFSET(A$1,,,SUMPRODUCT(MAX(ROW(E$1:E4199)*(E2=E$1:E4199))))))</f>
        <v> </v>
      </c>
      <c r="K4200" s="25" t="str">
        <f>IF(OR(E4200="",E4200="!!!",F4200="NEW"),"",INDEX(J$1:J4199,SUMPRODUCT(MAX(ROW(E$1:E4199)*(E4200=E$1:E4199)))))</f>
        <v> </v>
      </c>
      <c r="L4200" s="26"/>
    </row>
    <row r="4201" spans="1:12">
      <c r="A4201" s="20" t="s">
        <v>1015</v>
      </c>
      <c r="E4201" s="21">
        <f>IF(D4201="?OLD","!!!","")</f>
        <v/>
      </c>
      <c r="F4201" s="22" t="str">
        <f>IF(OR(E4201="",E4201="!!!"),"",IF(NOT(ISNA(VLOOKUP(E4201,E$1:E4200,1,FALSE()))),"OLD",IF(AND(E4201&lt;&gt;"",E4201&lt;&gt;"!!!"),"NEW","")))</f>
        <v> </v>
      </c>
      <c r="G4201" s="23" t="str">
        <f>IF(OR(E4201="",E4201="!!!"),"",IF(OR(J4201=0,AND(J4201=1,K4201=1),AND(J4201=1,I4201="SBJ"),AND(J4201=1,I4201=0)),"?IN_FOCUS",IF(J4201&lt;=2,"?ACTIVATED",IF(J4201&lt;&gt;"","?FAMILIAR",IF(F4201="NEW",IF(ISNA(VLOOKUP(E4201,#REF!,1,FALSE())),"?TYPE_IDENTIFIABLE","?REFERENTIAL"),"_")))))</f>
        <v> </v>
      </c>
      <c r="H4201" s="24" t="str">
        <f>IF(J4201&lt;&gt;1,"",IF(I4201="SBJ","CB","?"))</f>
        <v> </v>
      </c>
      <c r="I4201" s="25" t="str">
        <f>IF(OR(E4201="",E4201="!!!",F4201="NEW"),"",INDEX(B4200:B$2,-1+SUMPRODUCT(MAX(ROW(E4200:E$2)*(E4201=E4200:E$2)))))</f>
        <v> </v>
      </c>
      <c r="J4201" s="25" t="str">
        <f>IF(OR(E4201="",E4201="!!!",F4201="NEW"),"",COUNTBLANK(OFFSET(A$1,,,SUMPRODUCT(MAX(ROW(E$2:E4201)*(E4201=E$2:E4201)))))-COUNTBLANK(OFFSET(A$1,,,SUMPRODUCT(MAX(ROW(E$1:E4200)*(E2=E$1:E4200))))))</f>
        <v> </v>
      </c>
      <c r="K4201" s="25" t="str">
        <f>IF(OR(E4201="",E4201="!!!",F4201="NEW"),"",INDEX(J$1:J4200,SUMPRODUCT(MAX(ROW(E$1:E4200)*(E4201=E$1:E4200)))))</f>
        <v> </v>
      </c>
      <c r="L4201" s="26"/>
    </row>
    <row r="4202" spans="1:12">
      <c r="A4202" s="20" t="s">
        <v>1336</v>
      </c>
      <c r="E4202" s="21">
        <f>IF(D4202="?OLD","!!!","")</f>
        <v/>
      </c>
      <c r="F4202" s="22" t="str">
        <f>IF(OR(E4202="",E4202="!!!"),"",IF(NOT(ISNA(VLOOKUP(E4202,E$1:E4201,1,FALSE()))),"OLD",IF(AND(E4202&lt;&gt;"",E4202&lt;&gt;"!!!"),"NEW","")))</f>
        <v> </v>
      </c>
      <c r="G4202" s="23" t="str">
        <f>IF(OR(E4202="",E4202="!!!"),"",IF(OR(J4202=0,AND(J4202=1,K4202=1),AND(J4202=1,I4202="SBJ"),AND(J4202=1,I4202=0)),"?IN_FOCUS",IF(J4202&lt;=2,"?ACTIVATED",IF(J4202&lt;&gt;"","?FAMILIAR",IF(F4202="NEW",IF(ISNA(VLOOKUP(E4202,#REF!,1,FALSE())),"?TYPE_IDENTIFIABLE","?REFERENTIAL"),"_")))))</f>
        <v> </v>
      </c>
      <c r="H4202" s="24" t="str">
        <f>IF(J4202&lt;&gt;1,"",IF(I4202="SBJ","CB","?"))</f>
        <v> </v>
      </c>
      <c r="I4202" s="25" t="str">
        <f>IF(OR(E4202="",E4202="!!!",F4202="NEW"),"",INDEX(B4201:B$2,-1+SUMPRODUCT(MAX(ROW(E4201:E$2)*(E4202=E4201:E$2)))))</f>
        <v> </v>
      </c>
      <c r="J4202" s="25" t="str">
        <f>IF(OR(E4202="",E4202="!!!",F4202="NEW"),"",COUNTBLANK(OFFSET(A$1,,,SUMPRODUCT(MAX(ROW(E$2:E4202)*(E4202=E$2:E4202)))))-COUNTBLANK(OFFSET(A$1,,,SUMPRODUCT(MAX(ROW(E$1:E4201)*(E2=E$1:E4201))))))</f>
        <v> </v>
      </c>
      <c r="K4202" s="25" t="str">
        <f>IF(OR(E4202="",E4202="!!!",F4202="NEW"),"",INDEX(J$1:J4201,SUMPRODUCT(MAX(ROW(E$1:E4201)*(E4202=E$1:E4201)))))</f>
        <v> </v>
      </c>
      <c r="L4202" s="26"/>
    </row>
    <row r="4203" spans="1:12">
      <c r="A4203" s="20" t="s">
        <v>1022</v>
      </c>
      <c r="E4203" s="21">
        <f>IF(D4203="?OLD","!!!","")</f>
        <v/>
      </c>
      <c r="F4203" s="22" t="str">
        <f>IF(OR(E4203="",E4203="!!!"),"",IF(NOT(ISNA(VLOOKUP(E4203,E$1:E4202,1,FALSE()))),"OLD",IF(AND(E4203&lt;&gt;"",E4203&lt;&gt;"!!!"),"NEW","")))</f>
        <v> </v>
      </c>
      <c r="G4203" s="23" t="str">
        <f>IF(OR(E4203="",E4203="!!!"),"",IF(OR(J4203=0,AND(J4203=1,K4203=1),AND(J4203=1,I4203="SBJ"),AND(J4203=1,I4203=0)),"?IN_FOCUS",IF(J4203&lt;=2,"?ACTIVATED",IF(J4203&lt;&gt;"","?FAMILIAR",IF(F4203="NEW",IF(ISNA(VLOOKUP(E4203,#REF!,1,FALSE())),"?TYPE_IDENTIFIABLE","?REFERENTIAL"),"_")))))</f>
        <v> </v>
      </c>
      <c r="H4203" s="24" t="str">
        <f>IF(J4203&lt;&gt;1,"",IF(I4203="SBJ","CB","?"))</f>
        <v> </v>
      </c>
      <c r="I4203" s="25" t="str">
        <f>IF(OR(E4203="",E4203="!!!",F4203="NEW"),"",INDEX(B4202:B$2,-1+SUMPRODUCT(MAX(ROW(E4202:E$2)*(E4203=E4202:E$2)))))</f>
        <v> </v>
      </c>
      <c r="J4203" s="25" t="str">
        <f>IF(OR(E4203="",E4203="!!!",F4203="NEW"),"",COUNTBLANK(OFFSET(A$1,,,SUMPRODUCT(MAX(ROW(E$2:E4203)*(E4203=E$2:E4203)))))-COUNTBLANK(OFFSET(A$1,,,SUMPRODUCT(MAX(ROW(E$1:E4202)*(E2=E$1:E4202))))))</f>
        <v> </v>
      </c>
      <c r="K4203" s="25" t="str">
        <f>IF(OR(E4203="",E4203="!!!",F4203="NEW"),"",INDEX(J$1:J4202,SUMPRODUCT(MAX(ROW(E$1:E4202)*(E4203=E$1:E4202)))))</f>
        <v> </v>
      </c>
      <c r="L4203" s="26"/>
    </row>
    <row r="4204" spans="1:12">
      <c r="A4204" s="20"/>
    </row>
    <row r="4205" spans="1:12">
      <c r="A4205" s="20" t="s">
        <v>2067</v>
      </c>
    </row>
    <row r="4206" spans="1:12">
      <c r="A4206" s="20" t="s">
        <v>2068</v>
      </c>
      <c r="E4206" s="21">
        <f>IF(D4206="?OLD","!!!","")</f>
        <v/>
      </c>
      <c r="F4206" s="22" t="str">
        <f>IF(OR(E4206="",E4206="!!!"),"",IF(NOT(ISNA(VLOOKUP(E4206,E$1:E4205,1,FALSE()))),"OLD",IF(AND(E4206&lt;&gt;"",E4206&lt;&gt;"!!!"),"NEW","")))</f>
        <v> </v>
      </c>
      <c r="G4206" s="23" t="str">
        <f>IF(OR(E4206="",E4206="!!!"),"",IF(OR(J4206=0,AND(J4206=1,K4206=1),AND(J4206=1,I4206="SBJ"),AND(J4206=1,I4206=0)),"?IN_FOCUS",IF(J4206&lt;=2,"?ACTIVATED",IF(J4206&lt;&gt;"","?FAMILIAR",IF(F4206="NEW",IF(ISNA(VLOOKUP(E4206,#REF!,1,FALSE())),"?TYPE_IDENTIFIABLE","?REFERENTIAL"),"_")))))</f>
        <v> </v>
      </c>
      <c r="H4206" s="24" t="str">
        <f>IF(J4206&lt;&gt;1,"",IF(I4206="SBJ","CB","?"))</f>
        <v> </v>
      </c>
      <c r="I4206" s="25" t="str">
        <f>IF(OR(E4206="",E4206="!!!",F4206="NEW"),"",INDEX(B4205:B$2,-1+SUMPRODUCT(MAX(ROW(E4205:E$2)*(E4206=E4205:E$2)))))</f>
        <v> </v>
      </c>
      <c r="J4206" s="25" t="str">
        <f>IF(OR(E4206="",E4206="!!!",F4206="NEW"),"",COUNTBLANK(OFFSET(A$1,,,SUMPRODUCT(MAX(ROW(E$2:E4206)*(E4206=E$2:E4206)))))-COUNTBLANK(OFFSET(A$1,,,SUMPRODUCT(MAX(ROW(E$1:E4205)*(E2=E$1:E4205))))))</f>
        <v> </v>
      </c>
      <c r="K4206" s="25" t="str">
        <f>IF(OR(E4206="",E4206="!!!",F4206="NEW"),"",INDEX(J$1:J4205,SUMPRODUCT(MAX(ROW(E$1:E4205)*(E4206=E$1:E4205)))))</f>
        <v> </v>
      </c>
      <c r="L4206" s="26"/>
    </row>
    <row r="4207" spans="1:12">
      <c r="A4207" s="20" t="s">
        <v>1049</v>
      </c>
      <c r="B4207" s="27" t="s">
        <v>1012</v>
      </c>
      <c r="C4207" s="27" t="s">
        <v>1013</v>
      </c>
      <c r="D4207" s="27" t="s">
        <v>1014</v>
      </c>
      <c r="E4207" s="21">
        <f>IF(D4207="?OLD","!!!","")</f>
        <v/>
      </c>
      <c r="F4207" s="22" t="str">
        <f>IF(OR(E4207="",E4207="!!!"),"",IF(NOT(ISNA(VLOOKUP(E4207,E$1:E4206,1,FALSE()))),"OLD",IF(AND(E4207&lt;&gt;"",E4207&lt;&gt;"!!!"),"NEW","")))</f>
        <v> </v>
      </c>
      <c r="G4207" s="23" t="str">
        <f>IF(OR(E4207="",E4207="!!!"),"",IF(OR(J4207=0,AND(J4207=1,K4207=1),AND(J4207=1,I4207="SBJ"),AND(J4207=1,I4207=0)),"?IN_FOCUS",IF(J4207&lt;=2,"?ACTIVATED",IF(J4207&lt;&gt;"","?FAMILIAR",IF(F4207="NEW",IF(ISNA(VLOOKUP(E4207,#REF!,1,FALSE())),"?TYPE_IDENTIFIABLE","?REFERENTIAL"),"_")))))</f>
        <v> </v>
      </c>
      <c r="H4207" s="24" t="str">
        <f>IF(J4207&lt;&gt;1,"",IF(I4207="SBJ","CB","?"))</f>
        <v> </v>
      </c>
      <c r="I4207" s="25" t="str">
        <f>IF(OR(E4207="",E4207="!!!",F4207="NEW"),"",INDEX(B4206:B$2,-1+SUMPRODUCT(MAX(ROW(E4206:E$2)*(E4207=E4206:E$2)))))</f>
        <v> </v>
      </c>
      <c r="J4207" s="25" t="str">
        <f>IF(OR(E4207="",E4207="!!!",F4207="NEW"),"",COUNTBLANK(OFFSET(A$1,,,SUMPRODUCT(MAX(ROW(E$2:E4207)*(E4207=E$2:E4207)))))-COUNTBLANK(OFFSET(A$1,,,SUMPRODUCT(MAX(ROW(E$1:E4206)*(E2=E$1:E4206))))))</f>
        <v> </v>
      </c>
      <c r="K4207" s="25" t="str">
        <f>IF(OR(E4207="",E4207="!!!",F4207="NEW"),"",INDEX(J$1:J4206,SUMPRODUCT(MAX(ROW(E$1:E4206)*(E4207=E$1:E4206)))))</f>
        <v> </v>
      </c>
      <c r="L4207" s="26"/>
    </row>
    <row r="4208" spans="1:12">
      <c r="A4208" s="20" t="s">
        <v>1022</v>
      </c>
      <c r="E4208" s="21">
        <f>IF(D4208="?OLD","!!!","")</f>
        <v/>
      </c>
      <c r="F4208" s="22" t="str">
        <f>IF(OR(E4208="",E4208="!!!"),"",IF(NOT(ISNA(VLOOKUP(E4208,E$1:E4207,1,FALSE()))),"OLD",IF(AND(E4208&lt;&gt;"",E4208&lt;&gt;"!!!"),"NEW","")))</f>
        <v> </v>
      </c>
      <c r="G4208" s="23" t="str">
        <f>IF(OR(E4208="",E4208="!!!"),"",IF(OR(J4208=0,AND(J4208=1,K4208=1),AND(J4208=1,I4208="SBJ"),AND(J4208=1,I4208=0)),"?IN_FOCUS",IF(J4208&lt;=2,"?ACTIVATED",IF(J4208&lt;&gt;"","?FAMILIAR",IF(F4208="NEW",IF(ISNA(VLOOKUP(E4208,#REF!,1,FALSE())),"?TYPE_IDENTIFIABLE","?REFERENTIAL"),"_")))))</f>
        <v> </v>
      </c>
      <c r="H4208" s="24" t="str">
        <f>IF(J4208&lt;&gt;1,"",IF(I4208="SBJ","CB","?"))</f>
        <v> </v>
      </c>
      <c r="I4208" s="25" t="str">
        <f>IF(OR(E4208="",E4208="!!!",F4208="NEW"),"",INDEX(B4207:B$2,-1+SUMPRODUCT(MAX(ROW(E4207:E$2)*(E4208=E4207:E$2)))))</f>
        <v> </v>
      </c>
      <c r="J4208" s="25" t="str">
        <f>IF(OR(E4208="",E4208="!!!",F4208="NEW"),"",COUNTBLANK(OFFSET(A$1,,,SUMPRODUCT(MAX(ROW(E$2:E4208)*(E4208=E$2:E4208)))))-COUNTBLANK(OFFSET(A$1,,,SUMPRODUCT(MAX(ROW(E$1:E4207)*(E2=E$1:E4207))))))</f>
        <v> </v>
      </c>
      <c r="K4208" s="25" t="str">
        <f>IF(OR(E4208="",E4208="!!!",F4208="NEW"),"",INDEX(J$1:J4207,SUMPRODUCT(MAX(ROW(E$1:E4207)*(E4208=E$1:E4207)))))</f>
        <v> </v>
      </c>
      <c r="L4208" s="26"/>
    </row>
    <row r="4209" spans="1:12">
      <c r="A4209" s="20"/>
    </row>
    <row r="4210" spans="1:12">
      <c r="A4210" s="20" t="s">
        <v>2067</v>
      </c>
    </row>
    <row r="4211" spans="1:12">
      <c r="A4211" s="20" t="s">
        <v>2068</v>
      </c>
      <c r="E4211" s="21">
        <f>IF(D4211="?OLD","!!!","")</f>
        <v/>
      </c>
      <c r="F4211" s="22" t="str">
        <f>IF(OR(E4211="",E4211="!!!"),"",IF(NOT(ISNA(VLOOKUP(E4211,E$1:E4210,1,FALSE()))),"OLD",IF(AND(E4211&lt;&gt;"",E4211&lt;&gt;"!!!"),"NEW","")))</f>
        <v> </v>
      </c>
      <c r="G4211" s="23" t="str">
        <f>IF(OR(E4211="",E4211="!!!"),"",IF(OR(J4211=0,AND(J4211=1,K4211=1),AND(J4211=1,I4211="SBJ"),AND(J4211=1,I4211=0)),"?IN_FOCUS",IF(J4211&lt;=2,"?ACTIVATED",IF(J4211&lt;&gt;"","?FAMILIAR",IF(F4211="NEW",IF(ISNA(VLOOKUP(E4211,#REF!,1,FALSE())),"?TYPE_IDENTIFIABLE","?REFERENTIAL"),"_")))))</f>
        <v> </v>
      </c>
      <c r="H4211" s="24" t="str">
        <f>IF(J4211&lt;&gt;1,"",IF(I4211="SBJ","CB","?"))</f>
        <v> </v>
      </c>
      <c r="I4211" s="25" t="str">
        <f>IF(OR(E4211="",E4211="!!!",F4211="NEW"),"",INDEX(B4210:B$2,-1+SUMPRODUCT(MAX(ROW(E4210:E$2)*(E4211=E4210:E$2)))))</f>
        <v> </v>
      </c>
      <c r="J4211" s="25" t="str">
        <f>IF(OR(E4211="",E4211="!!!",F4211="NEW"),"",COUNTBLANK(OFFSET(A$1,,,SUMPRODUCT(MAX(ROW(E$2:E4211)*(E4211=E$2:E4211)))))-COUNTBLANK(OFFSET(A$1,,,SUMPRODUCT(MAX(ROW(E$1:E4210)*(E2=E$1:E4210))))))</f>
        <v> </v>
      </c>
      <c r="K4211" s="25" t="str">
        <f>IF(OR(E4211="",E4211="!!!",F4211="NEW"),"",INDEX(J$1:J4210,SUMPRODUCT(MAX(ROW(E$1:E4210)*(E4211=E$1:E4210)))))</f>
        <v> </v>
      </c>
      <c r="L4211" s="26"/>
    </row>
    <row r="4212" spans="1:12">
      <c r="A4212" s="20" t="s">
        <v>1049</v>
      </c>
      <c r="B4212" s="27" t="s">
        <v>1012</v>
      </c>
      <c r="C4212" s="27" t="s">
        <v>1013</v>
      </c>
      <c r="D4212" s="27" t="s">
        <v>1014</v>
      </c>
      <c r="E4212" s="21">
        <f>IF(D4212="?OLD","!!!","")</f>
        <v/>
      </c>
      <c r="F4212" s="22" t="str">
        <f>IF(OR(E4212="",E4212="!!!"),"",IF(NOT(ISNA(VLOOKUP(E4212,E$1:E4211,1,FALSE()))),"OLD",IF(AND(E4212&lt;&gt;"",E4212&lt;&gt;"!!!"),"NEW","")))</f>
        <v> </v>
      </c>
      <c r="G4212" s="23" t="str">
        <f>IF(OR(E4212="",E4212="!!!"),"",IF(OR(J4212=0,AND(J4212=1,K4212=1),AND(J4212=1,I4212="SBJ"),AND(J4212=1,I4212=0)),"?IN_FOCUS",IF(J4212&lt;=2,"?ACTIVATED",IF(J4212&lt;&gt;"","?FAMILIAR",IF(F4212="NEW",IF(ISNA(VLOOKUP(E4212,#REF!,1,FALSE())),"?TYPE_IDENTIFIABLE","?REFERENTIAL"),"_")))))</f>
        <v> </v>
      </c>
      <c r="H4212" s="24" t="str">
        <f>IF(J4212&lt;&gt;1,"",IF(I4212="SBJ","CB","?"))</f>
        <v> </v>
      </c>
      <c r="I4212" s="25" t="str">
        <f>IF(OR(E4212="",E4212="!!!",F4212="NEW"),"",INDEX(B4211:B$2,-1+SUMPRODUCT(MAX(ROW(E4211:E$2)*(E4212=E4211:E$2)))))</f>
        <v> </v>
      </c>
      <c r="J4212" s="25" t="str">
        <f>IF(OR(E4212="",E4212="!!!",F4212="NEW"),"",COUNTBLANK(OFFSET(A$1,,,SUMPRODUCT(MAX(ROW(E$2:E4212)*(E4212=E$2:E4212)))))-COUNTBLANK(OFFSET(A$1,,,SUMPRODUCT(MAX(ROW(E$1:E4211)*(E2=E$1:E4211))))))</f>
        <v> </v>
      </c>
      <c r="K4212" s="25" t="str">
        <f>IF(OR(E4212="",E4212="!!!",F4212="NEW"),"",INDEX(J$1:J4211,SUMPRODUCT(MAX(ROW(E$1:E4211)*(E4212=E$1:E4211)))))</f>
        <v> </v>
      </c>
      <c r="L4212" s="26"/>
    </row>
    <row r="4213" spans="1:12">
      <c r="A4213" s="20" t="s">
        <v>1022</v>
      </c>
      <c r="E4213" s="21">
        <f>IF(D4213="?OLD","!!!","")</f>
        <v/>
      </c>
      <c r="F4213" s="22" t="str">
        <f>IF(OR(E4213="",E4213="!!!"),"",IF(NOT(ISNA(VLOOKUP(E4213,E$1:E4212,1,FALSE()))),"OLD",IF(AND(E4213&lt;&gt;"",E4213&lt;&gt;"!!!"),"NEW","")))</f>
        <v> </v>
      </c>
      <c r="G4213" s="23" t="str">
        <f>IF(OR(E4213="",E4213="!!!"),"",IF(OR(J4213=0,AND(J4213=1,K4213=1),AND(J4213=1,I4213="SBJ"),AND(J4213=1,I4213=0)),"?IN_FOCUS",IF(J4213&lt;=2,"?ACTIVATED",IF(J4213&lt;&gt;"","?FAMILIAR",IF(F4213="NEW",IF(ISNA(VLOOKUP(E4213,#REF!,1,FALSE())),"?TYPE_IDENTIFIABLE","?REFERENTIAL"),"_")))))</f>
        <v> </v>
      </c>
      <c r="H4213" s="24" t="str">
        <f>IF(J4213&lt;&gt;1,"",IF(I4213="SBJ","CB","?"))</f>
        <v> </v>
      </c>
      <c r="I4213" s="25" t="str">
        <f>IF(OR(E4213="",E4213="!!!",F4213="NEW"),"",INDEX(B4212:B$2,-1+SUMPRODUCT(MAX(ROW(E4212:E$2)*(E4213=E4212:E$2)))))</f>
        <v> </v>
      </c>
      <c r="J4213" s="25" t="str">
        <f>IF(OR(E4213="",E4213="!!!",F4213="NEW"),"",COUNTBLANK(OFFSET(A$1,,,SUMPRODUCT(MAX(ROW(E$2:E4213)*(E4213=E$2:E4213)))))-COUNTBLANK(OFFSET(A$1,,,SUMPRODUCT(MAX(ROW(E$1:E4212)*(E2=E$1:E4212))))))</f>
        <v> </v>
      </c>
      <c r="K4213" s="25" t="str">
        <f>IF(OR(E4213="",E4213="!!!",F4213="NEW"),"",INDEX(J$1:J4212,SUMPRODUCT(MAX(ROW(E$1:E4212)*(E4213=E$1:E4212)))))</f>
        <v> </v>
      </c>
      <c r="L4213" s="26"/>
    </row>
    <row r="4214" spans="1:12">
      <c r="A4214" s="20"/>
    </row>
    <row r="4215" spans="1:12">
      <c r="A4215" s="20" t="s">
        <v>2067</v>
      </c>
    </row>
    <row r="4216" spans="1:12">
      <c r="A4216" s="20" t="s">
        <v>2068</v>
      </c>
      <c r="E4216" s="21">
        <f>IF(D4216="?OLD","!!!","")</f>
        <v/>
      </c>
      <c r="F4216" s="22" t="str">
        <f>IF(OR(E4216="",E4216="!!!"),"",IF(NOT(ISNA(VLOOKUP(E4216,E$1:E4215,1,FALSE()))),"OLD",IF(AND(E4216&lt;&gt;"",E4216&lt;&gt;"!!!"),"NEW","")))</f>
        <v> </v>
      </c>
      <c r="G4216" s="23" t="str">
        <f>IF(OR(E4216="",E4216="!!!"),"",IF(OR(J4216=0,AND(J4216=1,K4216=1),AND(J4216=1,I4216="SBJ"),AND(J4216=1,I4216=0)),"?IN_FOCUS",IF(J4216&lt;=2,"?ACTIVATED",IF(J4216&lt;&gt;"","?FAMILIAR",IF(F4216="NEW",IF(ISNA(VLOOKUP(E4216,#REF!,1,FALSE())),"?TYPE_IDENTIFIABLE","?REFERENTIAL"),"_")))))</f>
        <v> </v>
      </c>
      <c r="H4216" s="24" t="str">
        <f>IF(J4216&lt;&gt;1,"",IF(I4216="SBJ","CB","?"))</f>
        <v> </v>
      </c>
      <c r="I4216" s="25" t="str">
        <f>IF(OR(E4216="",E4216="!!!",F4216="NEW"),"",INDEX(B4215:B$2,-1+SUMPRODUCT(MAX(ROW(E4215:E$2)*(E4216=E4215:E$2)))))</f>
        <v> </v>
      </c>
      <c r="J4216" s="25" t="str">
        <f>IF(OR(E4216="",E4216="!!!",F4216="NEW"),"",COUNTBLANK(OFFSET(A$1,,,SUMPRODUCT(MAX(ROW(E$2:E4216)*(E4216=E$2:E4216)))))-COUNTBLANK(OFFSET(A$1,,,SUMPRODUCT(MAX(ROW(E$1:E4215)*(E2=E$1:E4215))))))</f>
        <v> </v>
      </c>
      <c r="K4216" s="25" t="str">
        <f>IF(OR(E4216="",E4216="!!!",F4216="NEW"),"",INDEX(J$1:J4215,SUMPRODUCT(MAX(ROW(E$1:E4215)*(E4216=E$1:E4215)))))</f>
        <v> </v>
      </c>
      <c r="L4216" s="26"/>
    </row>
    <row r="4217" spans="1:12">
      <c r="A4217" s="20" t="s">
        <v>1049</v>
      </c>
      <c r="B4217" s="27" t="s">
        <v>1012</v>
      </c>
      <c r="C4217" s="27" t="s">
        <v>1013</v>
      </c>
      <c r="D4217" s="27" t="s">
        <v>1014</v>
      </c>
      <c r="E4217" s="21">
        <f>IF(D4217="?OLD","!!!","")</f>
        <v/>
      </c>
      <c r="F4217" s="22" t="str">
        <f>IF(OR(E4217="",E4217="!!!"),"",IF(NOT(ISNA(VLOOKUP(E4217,E$1:E4216,1,FALSE()))),"OLD",IF(AND(E4217&lt;&gt;"",E4217&lt;&gt;"!!!"),"NEW","")))</f>
        <v> </v>
      </c>
      <c r="G4217" s="23" t="str">
        <f>IF(OR(E4217="",E4217="!!!"),"",IF(OR(J4217=0,AND(J4217=1,K4217=1),AND(J4217=1,I4217="SBJ"),AND(J4217=1,I4217=0)),"?IN_FOCUS",IF(J4217&lt;=2,"?ACTIVATED",IF(J4217&lt;&gt;"","?FAMILIAR",IF(F4217="NEW",IF(ISNA(VLOOKUP(E4217,#REF!,1,FALSE())),"?TYPE_IDENTIFIABLE","?REFERENTIAL"),"_")))))</f>
        <v> </v>
      </c>
      <c r="H4217" s="24" t="str">
        <f>IF(J4217&lt;&gt;1,"",IF(I4217="SBJ","CB","?"))</f>
        <v> </v>
      </c>
      <c r="I4217" s="25" t="str">
        <f>IF(OR(E4217="",E4217="!!!",F4217="NEW"),"",INDEX(B4216:B$2,-1+SUMPRODUCT(MAX(ROW(E4216:E$2)*(E4217=E4216:E$2)))))</f>
        <v> </v>
      </c>
      <c r="J4217" s="25" t="str">
        <f>IF(OR(E4217="",E4217="!!!",F4217="NEW"),"",COUNTBLANK(OFFSET(A$1,,,SUMPRODUCT(MAX(ROW(E$2:E4217)*(E4217=E$2:E4217)))))-COUNTBLANK(OFFSET(A$1,,,SUMPRODUCT(MAX(ROW(E$1:E4216)*(E2=E$1:E4216))))))</f>
        <v> </v>
      </c>
      <c r="K4217" s="25" t="str">
        <f>IF(OR(E4217="",E4217="!!!",F4217="NEW"),"",INDEX(J$1:J4216,SUMPRODUCT(MAX(ROW(E$1:E4216)*(E4217=E$1:E4216)))))</f>
        <v> </v>
      </c>
      <c r="L4217" s="26"/>
    </row>
    <row r="4218" spans="1:12">
      <c r="A4218" s="20" t="s">
        <v>1022</v>
      </c>
      <c r="E4218" s="21">
        <f>IF(D4218="?OLD","!!!","")</f>
        <v/>
      </c>
      <c r="F4218" s="22" t="str">
        <f>IF(OR(E4218="",E4218="!!!"),"",IF(NOT(ISNA(VLOOKUP(E4218,E$1:E4217,1,FALSE()))),"OLD",IF(AND(E4218&lt;&gt;"",E4218&lt;&gt;"!!!"),"NEW","")))</f>
        <v> </v>
      </c>
      <c r="G4218" s="23" t="str">
        <f>IF(OR(E4218="",E4218="!!!"),"",IF(OR(J4218=0,AND(J4218=1,K4218=1),AND(J4218=1,I4218="SBJ"),AND(J4218=1,I4218=0)),"?IN_FOCUS",IF(J4218&lt;=2,"?ACTIVATED",IF(J4218&lt;&gt;"","?FAMILIAR",IF(F4218="NEW",IF(ISNA(VLOOKUP(E4218,#REF!,1,FALSE())),"?TYPE_IDENTIFIABLE","?REFERENTIAL"),"_")))))</f>
        <v> </v>
      </c>
      <c r="H4218" s="24" t="str">
        <f>IF(J4218&lt;&gt;1,"",IF(I4218="SBJ","CB","?"))</f>
        <v> </v>
      </c>
      <c r="I4218" s="25" t="str">
        <f>IF(OR(E4218="",E4218="!!!",F4218="NEW"),"",INDEX(B4217:B$2,-1+SUMPRODUCT(MAX(ROW(E4217:E$2)*(E4218=E4217:E$2)))))</f>
        <v> </v>
      </c>
      <c r="J4218" s="25" t="str">
        <f>IF(OR(E4218="",E4218="!!!",F4218="NEW"),"",COUNTBLANK(OFFSET(A$1,,,SUMPRODUCT(MAX(ROW(E$2:E4218)*(E4218=E$2:E4218)))))-COUNTBLANK(OFFSET(A$1,,,SUMPRODUCT(MAX(ROW(E$1:E4217)*(E2=E$1:E4217))))))</f>
        <v> </v>
      </c>
      <c r="K4218" s="25" t="str">
        <f>IF(OR(E4218="",E4218="!!!",F4218="NEW"),"",INDEX(J$1:J4217,SUMPRODUCT(MAX(ROW(E$1:E4217)*(E4218=E$1:E4217)))))</f>
        <v> </v>
      </c>
      <c r="L4218" s="26"/>
    </row>
    <row r="4219" spans="1:12">
      <c r="A4219"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2024-01-13T08:33:29Z</dcterms:created>
  <dcterms:modified xsi:type="dcterms:W3CDTF">2024-01-13T08:33:29Z</dcterms:modified>
</cp:coreProperties>
</file>