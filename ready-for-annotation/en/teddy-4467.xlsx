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<sst xmlns="http://schemas.openxmlformats.org/spreadsheetml/2006/main" count="10674" uniqueCount="2039">
  <si>
    <t>ID</t>
  </si>
  <si>
    <t>PRED_ID</t>
  </si>
  <si>
    <t>MARKER_AUTO</t>
  </si>
  <si>
    <t>PREDICATE</t>
  </si>
  <si>
    <t>TEXT</t>
  </si>
  <si>
    <t>SENTENCE</t>
  </si>
  <si>
    <t>MARKER</t>
  </si>
  <si>
    <t>TARGET</t>
  </si>
  <si>
    <t>RELATION</t>
  </si>
  <si>
    <t>COMMENT</t>
  </si>
  <si>
    <t>1</t>
  </si>
  <si>
    <t>2</t>
  </si>
  <si>
    <t>_</t>
  </si>
  <si>
    <t>Rose</t>
  </si>
  <si>
    <t>Charlie Rose :</t>
  </si>
  <si>
    <t>file://conllu/en/teddy-4467.conllu#s1_0</t>
  </si>
  <si>
    <t>3</t>
  </si>
  <si>
    <t>and?</t>
  </si>
  <si>
    <t>send</t>
  </si>
  <si>
    <t>So Larry sent me an email and he basically said , we 've got to make sure that we do n't seem like we 're a couple of middle aged boring men .</t>
  </si>
  <si>
    <t>file://conllu/en/teddy-4467.conllu#s2_0</t>
  </si>
  <si>
    <t>because?</t>
  </si>
  <si>
    <t>say</t>
  </si>
  <si>
    <t>I said , I 'm flattered by that ( Laughter ) — because I 'm a bit older , and he has a bit more net worth than I do .</t>
  </si>
  <si>
    <t>file://conllu/en/teddy-4467.conllu#s3_0</t>
  </si>
  <si>
    <t>4</t>
  </si>
  <si>
    <t>Larry</t>
  </si>
  <si>
    <t>Larry Page :</t>
  </si>
  <si>
    <t>file://conllu/en/teddy-4467.conllu#s4_0</t>
  </si>
  <si>
    <t>5</t>
  </si>
  <si>
    <t>thank</t>
  </si>
  <si>
    <t>Well , thank you .</t>
  </si>
  <si>
    <t>file://conllu/en/teddy-4467.conllu#s5_0</t>
  </si>
  <si>
    <t>6</t>
  </si>
  <si>
    <t>also?</t>
  </si>
  <si>
    <t>Cr</t>
  </si>
  <si>
    <t>CR : So we 'll have a conversation about the Internet , and we 'll have a conversation Google , and we 'll have a conversation about search and privacy , and also about your philosophy and a sense of how you 've connected the dots and how this journey that began some time ago has such interesting prospects .</t>
  </si>
  <si>
    <t>file://conllu/en/teddy-4467.conllu#s6_0</t>
  </si>
  <si>
    <t>7</t>
  </si>
  <si>
    <t>talk (talk want)</t>
  </si>
  <si>
    <t>Mainly we want to talk about the future .</t>
  </si>
  <si>
    <t>file://conllu/en/teddy-4467.conllu#s7_0</t>
  </si>
  <si>
    <t>8</t>
  </si>
  <si>
    <t>so?</t>
  </si>
  <si>
    <t>question</t>
  </si>
  <si>
    <t>So my first question :</t>
  </si>
  <si>
    <t>file://conllu/en/teddy-4467.conllu#s8_0</t>
  </si>
  <si>
    <t>9</t>
  </si>
  <si>
    <t>be (be where)</t>
  </si>
  <si>
    <t>Where is Google and where is it going ?</t>
  </si>
  <si>
    <t>file://conllu/en/teddy-4467.conllu#s9_0</t>
  </si>
  <si>
    <t>10</t>
  </si>
  <si>
    <t>lp</t>
  </si>
  <si>
    <t>LP : Well , this is something we think about a lot , and our mission we defined a long time ago is to organize the world 's information and make it universally accessible and useful .</t>
  </si>
  <si>
    <t>file://conllu/en/teddy-4467.conllu#s10_0</t>
  </si>
  <si>
    <t>11</t>
  </si>
  <si>
    <t>And people always say , is that really what you guys are still doing ?</t>
  </si>
  <si>
    <t>file://conllu/en/teddy-4467.conllu#s11_0</t>
  </si>
  <si>
    <t>12</t>
  </si>
  <si>
    <t>think</t>
  </si>
  <si>
    <t>And I always kind of think about that myself , and I 'm not quite sure .</t>
  </si>
  <si>
    <t>file://conllu/en/teddy-4467.conllu#s12_0</t>
  </si>
  <si>
    <t>13</t>
  </si>
  <si>
    <t>when?</t>
  </si>
  <si>
    <t>be (be thing)</t>
  </si>
  <si>
    <t>But actually , when I think about search , it 's such a deep thing for all of us , to really understand what you want , to understand the world 's information , and we 're still very much in the early stages of that , which is totally crazy .</t>
  </si>
  <si>
    <t>file://conllu/en/teddy-4467.conllu#s13_0</t>
  </si>
  <si>
    <t>14</t>
  </si>
  <si>
    <t>for?</t>
  </si>
  <si>
    <t>be (be it)</t>
  </si>
  <si>
    <t>We 've been at it for 15 years already , but it 's not at all done .</t>
  </si>
  <si>
    <t>file://conllu/en/teddy-4467.conllu#s14_0</t>
  </si>
  <si>
    <t>15</t>
  </si>
  <si>
    <t>CR : When it 's done , how will it be ?</t>
  </si>
  <si>
    <t>file://conllu/en/teddy-4467.conllu#s15_0</t>
  </si>
  <si>
    <t>16</t>
  </si>
  <si>
    <t>LP : Well , I guess , in thinking about where we 're going you know , why is it not done ?</t>
  </si>
  <si>
    <t>file://conllu/en/teddy-4467.conllu#s16_0</t>
  </si>
  <si>
    <t>17</t>
  </si>
  <si>
    <t>comput</t>
  </si>
  <si>
    <t>a lot of it is just computing 's kind of a mess .</t>
  </si>
  <si>
    <t>file://conllu/en/teddy-4467.conllu#s17_0</t>
  </si>
  <si>
    <t>18</t>
  </si>
  <si>
    <t>know (know know)</t>
  </si>
  <si>
    <t>You know , your computer does n't know where you are , it does n't know what you 're doing , it does n't know what you know , and a lot we 've been trying to do recently is just make your devices work , make them understand your context .</t>
  </si>
  <si>
    <t>file://conllu/en/teddy-4467.conllu#s18_0</t>
  </si>
  <si>
    <t>19</t>
  </si>
  <si>
    <t>Google</t>
  </si>
  <si>
    <t>file://conllu/en/teddy-4467.conllu#s19_0</t>
  </si>
  <si>
    <t>20</t>
  </si>
  <si>
    <t>know (know know know)</t>
  </si>
  <si>
    <t>Now , you know , knows where you are , knows what you may need .</t>
  </si>
  <si>
    <t>file://conllu/en/teddy-4467.conllu#s20_0</t>
  </si>
  <si>
    <t>21</t>
  </si>
  <si>
    <t>yet?</t>
  </si>
  <si>
    <t>do</t>
  </si>
  <si>
    <t>So really having computing work and understand you and understand that information , we really have n't done that yet .</t>
  </si>
  <si>
    <t>file://conllu/en/teddy-4467.conllu#s21_0</t>
  </si>
  <si>
    <t>22</t>
  </si>
  <si>
    <t>still?</t>
  </si>
  <si>
    <t>be (be clunky)</t>
  </si>
  <si>
    <t>It 's still very , very clunky .</t>
  </si>
  <si>
    <t>file://conllu/en/teddy-4467.conllu#s22_0</t>
  </si>
  <si>
    <t>23</t>
  </si>
  <si>
    <t>CR : Tell me , when you look at what Google is doing , where does Deep Mind fit ?</t>
  </si>
  <si>
    <t>file://conllu/en/teddy-4467.conllu#s23_0</t>
  </si>
  <si>
    <t>24</t>
  </si>
  <si>
    <t>LP : Yeah , so Deep Mind is a company we just acquired recently .</t>
  </si>
  <si>
    <t>file://conllu/en/teddy-4467.conllu#s24_0</t>
  </si>
  <si>
    <t>25</t>
  </si>
  <si>
    <t>be (be U.K)</t>
  </si>
  <si>
    <t>It 's in the U.K .</t>
  </si>
  <si>
    <t>file://conllu/en/teddy-4467.conllu#s25_0</t>
  </si>
  <si>
    <t>26</t>
  </si>
  <si>
    <t>let</t>
  </si>
  <si>
    <t>First , let me tell you the way we got there , which was looking at search and really understanding , trying to understand everything , and also make the computers not clunky and really understand you like , voice was really important .</t>
  </si>
  <si>
    <t>file://conllu/en/teddy-4467.conllu#s26_0</t>
  </si>
  <si>
    <t>27</t>
  </si>
  <si>
    <t>be (be what)</t>
  </si>
  <si>
    <t>So what 's the state of the art on speech recognition ?</t>
  </si>
  <si>
    <t>file://conllu/en/teddy-4467.conllu#s27_0</t>
  </si>
  <si>
    <t>28</t>
  </si>
  <si>
    <t>be (be good)</t>
  </si>
  <si>
    <t>It 's not very good .</t>
  </si>
  <si>
    <t>file://conllu/en/teddy-4467.conllu#s28_0</t>
  </si>
  <si>
    <t>29</t>
  </si>
  <si>
    <t>understand</t>
  </si>
  <si>
    <t>It does n't really understand you .</t>
  </si>
  <si>
    <t>file://conllu/en/teddy-4467.conllu#s29_0</t>
  </si>
  <si>
    <t>30</t>
  </si>
  <si>
    <t>start</t>
  </si>
  <si>
    <t>So we started doing machine learning research to improve that .</t>
  </si>
  <si>
    <t>file://conllu/en/teddy-4467.conllu#s30_0</t>
  </si>
  <si>
    <t>31</t>
  </si>
  <si>
    <t>help</t>
  </si>
  <si>
    <t>That helped a lot .</t>
  </si>
  <si>
    <t>file://conllu/en/teddy-4467.conllu#s31_0</t>
  </si>
  <si>
    <t>32</t>
  </si>
  <si>
    <t>And we started just looking at things like YouTube .</t>
  </si>
  <si>
    <t>file://conllu/en/teddy-4467.conllu#s32_0</t>
  </si>
  <si>
    <t>33</t>
  </si>
  <si>
    <t>Can we understand YouTube ?</t>
  </si>
  <si>
    <t>file://conllu/en/teddy-4467.conllu#s33_0</t>
  </si>
  <si>
    <t>34</t>
  </si>
  <si>
    <t>but?</t>
  </si>
  <si>
    <t>run</t>
  </si>
  <si>
    <t>But we actually ran machine learning on YouTube and it discovered cats , just by itself .</t>
  </si>
  <si>
    <t>file://conllu/en/teddy-4467.conllu#s34_0</t>
  </si>
  <si>
    <t>35</t>
  </si>
  <si>
    <t>be (be concept)</t>
  </si>
  <si>
    <t>Now , that 's an important concept .</t>
  </si>
  <si>
    <t>file://conllu/en/teddy-4467.conllu#s35_0</t>
  </si>
  <si>
    <t>36</t>
  </si>
  <si>
    <t>realize</t>
  </si>
  <si>
    <t>And we realized there 's really something here .</t>
  </si>
  <si>
    <t>file://conllu/en/teddy-4467.conllu#s36_0</t>
  </si>
  <si>
    <t>37</t>
  </si>
  <si>
    <t>if?</t>
  </si>
  <si>
    <t>be (be important)</t>
  </si>
  <si>
    <t>If we can learn what cats are , that must be really important .</t>
  </si>
  <si>
    <t>file://conllu/en/teddy-4467.conllu#s37_0</t>
  </si>
  <si>
    <t>38</t>
  </si>
  <si>
    <t>So I think Deep Mind , what 's really amazing about Deep Mind is that it can actually they 're learning things in this unsupervised way .</t>
  </si>
  <si>
    <t>file://conllu/en/teddy-4467.conllu#s38_0</t>
  </si>
  <si>
    <t>39</t>
  </si>
  <si>
    <t>They started with video games , and really just , maybe I can show the video , just playing video games , and learning how to do that automatically .</t>
  </si>
  <si>
    <t>file://conllu/en/teddy-4467.conllu#s39_0</t>
  </si>
  <si>
    <t>40</t>
  </si>
  <si>
    <t>CR : Take a look at the video games and how machines are coming to be able to do some remarkable things .</t>
  </si>
  <si>
    <t>file://conllu/en/teddy-4467.conllu#s40_0</t>
  </si>
  <si>
    <t>41</t>
  </si>
  <si>
    <t>LP : The amazing thing about this is this is , I mean , obviously , these are old games , but the system just sees what you see , the pixels , and it has the controls and it has the score , and it 's learned to play all of these games , same program .</t>
  </si>
  <si>
    <t>file://conllu/en/teddy-4467.conllu#s41_0</t>
  </si>
  <si>
    <t>42</t>
  </si>
  <si>
    <t>learn</t>
  </si>
  <si>
    <t>It 's learned to play all of these games with superhuman performance .</t>
  </si>
  <si>
    <t>file://conllu/en/teddy-4467.conllu#s42_0</t>
  </si>
  <si>
    <t>43</t>
  </si>
  <si>
    <t>before?</t>
  </si>
  <si>
    <t>be (be able)</t>
  </si>
  <si>
    <t>We 've not been able to do things like this with computers before .</t>
  </si>
  <si>
    <t>file://conllu/en/teddy-4467.conllu#s43_0</t>
  </si>
  <si>
    <t>44</t>
  </si>
  <si>
    <t>narrate</t>
  </si>
  <si>
    <t>And maybe I 'll just narrate this one quickly .</t>
  </si>
  <si>
    <t>file://conllu/en/teddy-4467.conllu#s44_0</t>
  </si>
  <si>
    <t>45</t>
  </si>
  <si>
    <t>box</t>
  </si>
  <si>
    <t>This is boxing , and it figures out it can sort of pin the opponent down .</t>
  </si>
  <si>
    <t>file://conllu/en/teddy-4467.conllu#s45_0</t>
  </si>
  <si>
    <t>46</t>
  </si>
  <si>
    <t>computer</t>
  </si>
  <si>
    <t>The computer 's on the left , and it 's just racking up points .</t>
  </si>
  <si>
    <t>file://conllu/en/teddy-4467.conllu#s46_0</t>
  </si>
  <si>
    <t>47</t>
  </si>
  <si>
    <t>imagine</t>
  </si>
  <si>
    <t>So imagine if this kind of intelligence were thrown at your schedule , or your information needs , or things like that .</t>
  </si>
  <si>
    <t>file://conllu/en/teddy-4467.conllu#s47_0</t>
  </si>
  <si>
    <t>48</t>
  </si>
  <si>
    <t>be (be beginning)</t>
  </si>
  <si>
    <t>We 're really just at the beginning of that , and that 's what I 'm really excited about .</t>
  </si>
  <si>
    <t>file://conllu/en/teddy-4467.conllu#s48_0</t>
  </si>
  <si>
    <t>49</t>
  </si>
  <si>
    <t>CR : When you look at all that 's taken place with Deep Mind and the boxing , also a part of where we 're going is artificial intelligence .</t>
  </si>
  <si>
    <t>file://conllu/en/teddy-4467.conllu#s49_0</t>
  </si>
  <si>
    <t>50</t>
  </si>
  <si>
    <t>look</t>
  </si>
  <si>
    <t>Where are we , when you look at that ?</t>
  </si>
  <si>
    <t>file://conllu/en/teddy-4467.conllu#s50_0</t>
  </si>
  <si>
    <t>51</t>
  </si>
  <si>
    <t>LP : Well , I think for me , this is kind of one of the most exciting things I 've seen in a long time .</t>
  </si>
  <si>
    <t>file://conllu/en/teddy-4467.conllu#s51_0</t>
  </si>
  <si>
    <t>52</t>
  </si>
  <si>
    <t>have</t>
  </si>
  <si>
    <t>The guy who started this company , Demis , has a neuroscience and a computer science background .</t>
  </si>
  <si>
    <t>file://conllu/en/teddy-4467.conllu#s52_0</t>
  </si>
  <si>
    <t>53</t>
  </si>
  <si>
    <t>go</t>
  </si>
  <si>
    <t>He went back to school to get his Ph.D. to study the brain .</t>
  </si>
  <si>
    <t>file://conllu/en/teddy-4467.conllu#s53_0</t>
  </si>
  <si>
    <t>54</t>
  </si>
  <si>
    <t>see (see think)</t>
  </si>
  <si>
    <t>And so I think we 're seeing a lot of exciting work going on that sort of crosses computer science and neuroscience in terms of really understanding what it takes to make something smart and do really interesting things .</t>
  </si>
  <si>
    <t>file://conllu/en/teddy-4467.conllu#s54_0</t>
  </si>
  <si>
    <t>55</t>
  </si>
  <si>
    <t>CR : But where 's the level of it now ?</t>
  </si>
  <si>
    <t>file://conllu/en/teddy-4467.conllu#s55_0</t>
  </si>
  <si>
    <t>56</t>
  </si>
  <si>
    <t>And how fast do you think we are moving ?</t>
  </si>
  <si>
    <t>file://conllu/en/teddy-4467.conllu#s56_0</t>
  </si>
  <si>
    <t>57</t>
  </si>
  <si>
    <t>LP : Well , this is the state of the art right now , understanding cats on YouTube and things like that , improving voice recognition .</t>
  </si>
  <si>
    <t>file://conllu/en/teddy-4467.conllu#s57_0</t>
  </si>
  <si>
    <t>58</t>
  </si>
  <si>
    <t>learn (learn use)</t>
  </si>
  <si>
    <t>We used a lot of machine learning to improve things incrementally , but I think for me , this example 's really exciting , because it 's one program that can do a lot of different things .</t>
  </si>
  <si>
    <t>file://conllu/en/teddy-4467.conllu#s58_0</t>
  </si>
  <si>
    <t>59</t>
  </si>
  <si>
    <t>CR : I do n't know if we can do this , but we 've got the image of the cat .</t>
  </si>
  <si>
    <t>file://conllu/en/teddy-4467.conllu#s59_0</t>
  </si>
  <si>
    <t>60</t>
  </si>
  <si>
    <t>be (be wonderful)</t>
  </si>
  <si>
    <t>It would be wonderful to see this .</t>
  </si>
  <si>
    <t>file://conllu/en/teddy-4467.conllu#s60_0</t>
  </si>
  <si>
    <t>61</t>
  </si>
  <si>
    <t>be (be look)</t>
  </si>
  <si>
    <t>This is how machines looked at cats and what they came up with .</t>
  </si>
  <si>
    <t>file://conllu/en/teddy-4467.conllu#s61_0</t>
  </si>
  <si>
    <t>62</t>
  </si>
  <si>
    <t>see</t>
  </si>
  <si>
    <t>Can we see that image ?</t>
  </si>
  <si>
    <t>file://conllu/en/teddy-4467.conllu#s62_0</t>
  </si>
  <si>
    <t>63</t>
  </si>
  <si>
    <t>LP : Yeah .</t>
  </si>
  <si>
    <t>file://conllu/en/teddy-4467.conllu#s63_0</t>
  </si>
  <si>
    <t>64</t>
  </si>
  <si>
    <t>CR : There it is .</t>
  </si>
  <si>
    <t>file://conllu/en/teddy-4467.conllu#s64_0</t>
  </si>
  <si>
    <t>65</t>
  </si>
  <si>
    <t>Can you see the cat ?</t>
  </si>
  <si>
    <t>file://conllu/en/teddy-4467.conllu#s65_0</t>
  </si>
  <si>
    <t>66</t>
  </si>
  <si>
    <t>Design</t>
  </si>
  <si>
    <t>Designed by machines , seen by machines .</t>
  </si>
  <si>
    <t>file://conllu/en/teddy-4467.conllu#s66_0</t>
  </si>
  <si>
    <t>67</t>
  </si>
  <si>
    <t>be (be right)</t>
  </si>
  <si>
    <t>LP : That 's right .</t>
  </si>
  <si>
    <t>file://conllu/en/teddy-4467.conllu#s67_0</t>
  </si>
  <si>
    <t>68</t>
  </si>
  <si>
    <t>watch (watch learn)</t>
  </si>
  <si>
    <t>So this is learned from just watching YouTube .</t>
  </si>
  <si>
    <t>file://conllu/en/teddy-4467.conllu#s68_0</t>
  </si>
  <si>
    <t>69</t>
  </si>
  <si>
    <t>be</t>
  </si>
  <si>
    <t>And there 's no training , no notion of a cat , but this concept of a cat is something important that you would understand , and now that the machines can kind of understand .</t>
  </si>
  <si>
    <t>file://conllu/en/teddy-4467.conllu#s69_0</t>
  </si>
  <si>
    <t>70</t>
  </si>
  <si>
    <t>finish</t>
  </si>
  <si>
    <t>Maybe just finishing also on the search part , it started with search , really understanding people 's context and their information .</t>
  </si>
  <si>
    <t>file://conllu/en/teddy-4467.conllu#s70_0</t>
  </si>
  <si>
    <t>71</t>
  </si>
  <si>
    <t>I did have a video I wanted to show quickly on that that we actually found .</t>
  </si>
  <si>
    <t>file://conllu/en/teddy-4467.conllu#s71_0</t>
  </si>
  <si>
    <t>72</t>
  </si>
  <si>
    <t>video</t>
  </si>
  <si>
    <t>( Video )</t>
  </si>
  <si>
    <t>file://conllu/en/teddy-4467.conllu#s72_0</t>
  </si>
  <si>
    <t>73</t>
  </si>
  <si>
    <t>Soy</t>
  </si>
  <si>
    <t>[ &amp;quot; Soy , Kenya &amp;quot; ]</t>
  </si>
  <si>
    <t>file://conllu/en/teddy-4467.conllu#s73_0</t>
  </si>
  <si>
    <t>74</t>
  </si>
  <si>
    <t>Zack</t>
  </si>
  <si>
    <t>Zack Matere :</t>
  </si>
  <si>
    <t>file://conllu/en/teddy-4467.conllu#s74_0</t>
  </si>
  <si>
    <t>75</t>
  </si>
  <si>
    <t>plan</t>
  </si>
  <si>
    <t>Not long ago , I planted a crop of potatoes .</t>
  </si>
  <si>
    <t>file://conllu/en/teddy-4467.conllu#s75_0</t>
  </si>
  <si>
    <t>76</t>
  </si>
  <si>
    <t>then?</t>
  </si>
  <si>
    <t>Then suddenly they started dying one after the other .</t>
  </si>
  <si>
    <t>file://conllu/en/teddy-4467.conllu#s76_0</t>
  </si>
  <si>
    <t>77</t>
  </si>
  <si>
    <t>check</t>
  </si>
  <si>
    <t>I checked out the books and they did n't tell me much .</t>
  </si>
  <si>
    <t>file://conllu/en/teddy-4467.conllu#s77_0</t>
  </si>
  <si>
    <t>78</t>
  </si>
  <si>
    <t>So , I went and I did a search .</t>
  </si>
  <si>
    <t>file://conllu/en/teddy-4467.conllu#s78_0</t>
  </si>
  <si>
    <t>79</t>
  </si>
  <si>
    <t>[ &amp;quot; Zack Matere , Farmer &amp;quot; ]</t>
  </si>
  <si>
    <t>file://conllu/en/teddy-4467.conllu#s79_0</t>
  </si>
  <si>
    <t>80</t>
  </si>
  <si>
    <t>disease</t>
  </si>
  <si>
    <t>Potato diseases .</t>
  </si>
  <si>
    <t>file://conllu/en/teddy-4467.conllu#s80_0</t>
  </si>
  <si>
    <t>81</t>
  </si>
  <si>
    <t>tell</t>
  </si>
  <si>
    <t>One of the websites told me that ants could be the problem .</t>
  </si>
  <si>
    <t>file://conllu/en/teddy-4467.conllu#s81_0</t>
  </si>
  <si>
    <t>82</t>
  </si>
  <si>
    <t>It said , sprinkle wood ash over the plants .</t>
  </si>
  <si>
    <t>file://conllu/en/teddy-4467.conllu#s82_0</t>
  </si>
  <si>
    <t>83</t>
  </si>
  <si>
    <t>after?</t>
  </si>
  <si>
    <t>day</t>
  </si>
  <si>
    <t>Then after a few days the ants disappeared .</t>
  </si>
  <si>
    <t>file://conllu/en/teddy-4467.conllu#s83_0</t>
  </si>
  <si>
    <t>84</t>
  </si>
  <si>
    <t>get</t>
  </si>
  <si>
    <t>I got excited about the Internet .</t>
  </si>
  <si>
    <t>file://conllu/en/teddy-4467.conllu#s84_0</t>
  </si>
  <si>
    <t>85</t>
  </si>
  <si>
    <t>I have this friend who really would like to expand his business .</t>
  </si>
  <si>
    <t>file://conllu/en/teddy-4467.conllu#s85_0</t>
  </si>
  <si>
    <t>86</t>
  </si>
  <si>
    <t>So I went with him to the cyber cafe and we checked out several sites .</t>
  </si>
  <si>
    <t>file://conllu/en/teddy-4467.conllu#s86_0</t>
  </si>
  <si>
    <t>87</t>
  </si>
  <si>
    <t>When I met him next , he was going to put a windmill at the local school .</t>
  </si>
  <si>
    <t>file://conllu/en/teddy-4467.conllu#s87_0</t>
  </si>
  <si>
    <t>88</t>
  </si>
  <si>
    <t>feel</t>
  </si>
  <si>
    <t>I felt proud because something that was n't there before was suddenly there .</t>
  </si>
  <si>
    <t>file://conllu/en/teddy-4467.conllu#s88_0</t>
  </si>
  <si>
    <t>89</t>
  </si>
  <si>
    <t>I realized that not everybody can be able to access what I was able to access .</t>
  </si>
  <si>
    <t>file://conllu/en/teddy-4467.conllu#s89_0</t>
  </si>
  <si>
    <t>90</t>
  </si>
  <si>
    <t>I thought that I need to have an Internet that my grandmother can use .</t>
  </si>
  <si>
    <t>file://conllu/en/teddy-4467.conllu#s90_0</t>
  </si>
  <si>
    <t>91</t>
  </si>
  <si>
    <t>So I thought about a notice board .</t>
  </si>
  <si>
    <t>file://conllu/en/teddy-4467.conllu#s91_0</t>
  </si>
  <si>
    <t>92</t>
  </si>
  <si>
    <t>board</t>
  </si>
  <si>
    <t>A simple wooden notice board .</t>
  </si>
  <si>
    <t>file://conllu/en/teddy-4467.conllu#s92_0</t>
  </si>
  <si>
    <t>93</t>
  </si>
  <si>
    <t>When I get information on my phone , I 'm able to post the information on the notice board .</t>
  </si>
  <si>
    <t>file://conllu/en/teddy-4467.conllu#s93_0</t>
  </si>
  <si>
    <t>94</t>
  </si>
  <si>
    <t>be (be computer)</t>
  </si>
  <si>
    <t>So it 's basically like a computer .</t>
  </si>
  <si>
    <t>file://conllu/en/teddy-4467.conllu#s94_0</t>
  </si>
  <si>
    <t>95</t>
  </si>
  <si>
    <t>help (help use)</t>
  </si>
  <si>
    <t>I use the Internet to help people .</t>
  </si>
  <si>
    <t>file://conllu/en/teddy-4467.conllu#s95_0</t>
  </si>
  <si>
    <t>96</t>
  </si>
  <si>
    <t>I think I am searching for a better life for me and my neighbors .</t>
  </si>
  <si>
    <t>file://conllu/en/teddy-4467.conllu#s96_0</t>
  </si>
  <si>
    <t>97</t>
  </si>
  <si>
    <t>So many people have access to information , but there 's no follow up to that .</t>
  </si>
  <si>
    <t>file://conllu/en/teddy-4467.conllu#s97_0</t>
  </si>
  <si>
    <t>98</t>
  </si>
  <si>
    <t>I think the follow up to that is our knowledge .</t>
  </si>
  <si>
    <t>file://conllu/en/teddy-4467.conllu#s98_0</t>
  </si>
  <si>
    <t>99</t>
  </si>
  <si>
    <t>find</t>
  </si>
  <si>
    <t>When people have the knowledge , they can find solutions without having to helped out .</t>
  </si>
  <si>
    <t>file://conllu/en/teddy-4467.conllu#s99_0</t>
  </si>
  <si>
    <t>100</t>
  </si>
  <si>
    <t>be (be powerful)</t>
  </si>
  <si>
    <t>Information is powerful , but it is how we use it that will define us .</t>
  </si>
  <si>
    <t>file://conllu/en/teddy-4467.conllu#s100_0</t>
  </si>
  <si>
    <t>101</t>
  </si>
  <si>
    <t>Applause</t>
  </si>
  <si>
    <t>( Applause ) LP : Now , the amazing thing about that video , actually , was we just read about it in the news , and we found this gentlemen , and made that little clip .</t>
  </si>
  <si>
    <t>file://conllu/en/teddy-4467.conllu#s101_0</t>
  </si>
  <si>
    <t>102</t>
  </si>
  <si>
    <t>CR : When I talk to people about you , they say to me , people who know you well , say , Larry wants to change the world , and he believes technology can show the way .</t>
  </si>
  <si>
    <t>file://conllu/en/teddy-4467.conllu#s102_0</t>
  </si>
  <si>
    <t>103</t>
  </si>
  <si>
    <t>mean</t>
  </si>
  <si>
    <t>And that means access to the Internet .</t>
  </si>
  <si>
    <t>file://conllu/en/teddy-4467.conllu#s103_0</t>
  </si>
  <si>
    <t>104</t>
  </si>
  <si>
    <t>It has to do with languages .</t>
  </si>
  <si>
    <t>file://conllu/en/teddy-4467.conllu#s104_0</t>
  </si>
  <si>
    <t>105</t>
  </si>
  <si>
    <t>It also means how people can get access and do things that will affect their community , and this is an example .</t>
  </si>
  <si>
    <t>file://conllu/en/teddy-4467.conllu#s105_0</t>
  </si>
  <si>
    <t>106</t>
  </si>
  <si>
    <t>LP : Yeah , that 's right , and I think for me , I have been focusing on access more , if we 're talking about the future .</t>
  </si>
  <si>
    <t>file://conllu/en/teddy-4467.conllu#s106_0</t>
  </si>
  <si>
    <t>107</t>
  </si>
  <si>
    <t>release</t>
  </si>
  <si>
    <t>We recently released this Loon Project which is using balloons to do it .</t>
  </si>
  <si>
    <t>file://conllu/en/teddy-4467.conllu#s107_0</t>
  </si>
  <si>
    <t>108</t>
  </si>
  <si>
    <t>sound</t>
  </si>
  <si>
    <t>It sounds totally crazy .</t>
  </si>
  <si>
    <t>file://conllu/en/teddy-4467.conllu#s108_0</t>
  </si>
  <si>
    <t>109</t>
  </si>
  <si>
    <t>show</t>
  </si>
  <si>
    <t>We can show the video here .</t>
  </si>
  <si>
    <t>file://conllu/en/teddy-4467.conllu#s109_0</t>
  </si>
  <si>
    <t>110</t>
  </si>
  <si>
    <t>Actually , two out of three people in the world do n't have good Internet access now .</t>
  </si>
  <si>
    <t>file://conllu/en/teddy-4467.conllu#s110_0</t>
  </si>
  <si>
    <t>111</t>
  </si>
  <si>
    <t>help (help think)</t>
  </si>
  <si>
    <t>We actually think this can really help people sort of cost-efficiently .</t>
  </si>
  <si>
    <t>file://conllu/en/teddy-4467.conllu#s111_0</t>
  </si>
  <si>
    <t>112</t>
  </si>
  <si>
    <t>CR : It 's a balloon .</t>
  </si>
  <si>
    <t>file://conllu/en/teddy-4467.conllu#s112_0</t>
  </si>
  <si>
    <t>113</t>
  </si>
  <si>
    <t>LP : Yeah , get access to the Internet .</t>
  </si>
  <si>
    <t>file://conllu/en/teddy-4467.conllu#s113_0</t>
  </si>
  <si>
    <t>114</t>
  </si>
  <si>
    <t>CR : And why does this balloon give you access to the Internet ?</t>
  </si>
  <si>
    <t>file://conllu/en/teddy-4467.conllu#s114_0</t>
  </si>
  <si>
    <t>115</t>
  </si>
  <si>
    <t>Because there was some interesting things you had to do to figure out how to make balloons possible , they did n't have to be tethered .</t>
  </si>
  <si>
    <t>file://conllu/en/teddy-4467.conllu#s115_0</t>
  </si>
  <si>
    <t>116</t>
  </si>
  <si>
    <t>LP : Yeah , and this is a good example of innovation .</t>
  </si>
  <si>
    <t>file://conllu/en/teddy-4467.conllu#s116_0</t>
  </si>
  <si>
    <t>117</t>
  </si>
  <si>
    <t>Like , we 've been thinking about this idea for five years or more before we started working on it , but it was just really , how do we get access points up high , cheaply ?</t>
  </si>
  <si>
    <t>file://conllu/en/teddy-4467.conllu#s117_0</t>
  </si>
  <si>
    <t>118</t>
  </si>
  <si>
    <t>You normally have to use satellites and it takes a long time to launch them .</t>
  </si>
  <si>
    <t>file://conllu/en/teddy-4467.conllu#s118_0</t>
  </si>
  <si>
    <t>119</t>
  </si>
  <si>
    <t>find (find see)</t>
  </si>
  <si>
    <t>But you saw there how easy it is to launch a balloon and get it up , and actually again , it 's the power of the Internet , I did a search on it , and I found , 30 , 40 years ago , someone had put up a balloon and it had gone around the Earth multiple times .</t>
  </si>
  <si>
    <t>file://conllu/en/teddy-4467.conllu#s119_0</t>
  </si>
  <si>
    <t>120</t>
  </si>
  <si>
    <t>And I thought , why ca n't we do that today ?</t>
  </si>
  <si>
    <t>file://conllu/en/teddy-4467.conllu#s120_0</t>
  </si>
  <si>
    <t>121</t>
  </si>
  <si>
    <t>And that 's how this project got going .</t>
  </si>
  <si>
    <t>file://conllu/en/teddy-4467.conllu#s121_0</t>
  </si>
  <si>
    <t>122</t>
  </si>
  <si>
    <t>CR : But are you at the mercy of the wind ?</t>
  </si>
  <si>
    <t>file://conllu/en/teddy-4467.conllu#s122_0</t>
  </si>
  <si>
    <t>123</t>
  </si>
  <si>
    <t>LP : Yeah , but it turns out , we did some weather simulations which probably had n't really been done before , and if you control the altitude of the balloons , which you can do by pumping air into them and other ways , you can actually control roughly where they go , and so I think we can build a worldwide mesh of these balloons that can cover the whole planet .</t>
  </si>
  <si>
    <t>file://conllu/en/teddy-4467.conllu#s123_0</t>
  </si>
  <si>
    <t>124</t>
  </si>
  <si>
    <t>CR : Before I talk about the future and transportation , where you 've been a nerd for a while , and this fascination you have with transportation and automated cars and bicycles , let me talk a bit about what 's been the subject here earlier with Edward Snowden .</t>
  </si>
  <si>
    <t>file://conllu/en/teddy-4467.conllu#s124_0</t>
  </si>
  <si>
    <t>125</t>
  </si>
  <si>
    <t>be (be security)</t>
  </si>
  <si>
    <t>It is security and privacy .</t>
  </si>
  <si>
    <t>file://conllu/en/teddy-4467.conllu#s125_0</t>
  </si>
  <si>
    <t>126</t>
  </si>
  <si>
    <t>You have to have been thinking about that .</t>
  </si>
  <si>
    <t>file://conllu/en/teddy-4467.conllu#s126_0</t>
  </si>
  <si>
    <t>127</t>
  </si>
  <si>
    <t>LP : Yeah , absolutely .</t>
  </si>
  <si>
    <t>file://conllu/en/teddy-4467.conllu#s127_0</t>
  </si>
  <si>
    <t>128</t>
  </si>
  <si>
    <t>I saw the picture of Sergey with Edward Snowden yesterday .</t>
  </si>
  <si>
    <t>file://conllu/en/teddy-4467.conllu#s128_0</t>
  </si>
  <si>
    <t>129</t>
  </si>
  <si>
    <t>Some of you may have seen it .</t>
  </si>
  <si>
    <t>file://conllu/en/teddy-4467.conllu#s129_0</t>
  </si>
  <si>
    <t>130</t>
  </si>
  <si>
    <t>But I think , for me , I guess , privacy and security are a really important thing .</t>
  </si>
  <si>
    <t>file://conllu/en/teddy-4467.conllu#s130_0</t>
  </si>
  <si>
    <t>131</t>
  </si>
  <si>
    <t>think (think think)</t>
  </si>
  <si>
    <t>We think about it in terms of both things , and I think you ca n't have privacy without security , so let me just talk about security first , because you asked about Snowden and all of that , and then I 'll say a little bit about privacy .</t>
  </si>
  <si>
    <t>file://conllu/en/teddy-4467.conllu#s131_0</t>
  </si>
  <si>
    <t>132</t>
  </si>
  <si>
    <t>I think for me , it 's tremendously disappointing that the government secretly did all this stuff and did n't tell us .</t>
  </si>
  <si>
    <t>file://conllu/en/teddy-4467.conllu#s132_0</t>
  </si>
  <si>
    <t>133</t>
  </si>
  <si>
    <t>I do n't think we can have a democracy if we 're having to protect you and our users from the government for stuff that we 've never had a conversation about .</t>
  </si>
  <si>
    <t>file://conllu/en/teddy-4467.conllu#s133_0</t>
  </si>
  <si>
    <t>134</t>
  </si>
  <si>
    <t>And I do n't mean we have to know what the particular terrorist attack is they 're worried about protecting us from , but we do need to know what the parameters of it is , what kind of surveillance the government 's going to do and how and why , and I think we have n't had that conversation .</t>
  </si>
  <si>
    <t>file://conllu/en/teddy-4467.conllu#s134_0</t>
  </si>
  <si>
    <t>135</t>
  </si>
  <si>
    <t>So I think the government 's actually done itself a tremendous disservice by doing all that in secret .</t>
  </si>
  <si>
    <t>file://conllu/en/teddy-4467.conllu#s135_0</t>
  </si>
  <si>
    <t>136</t>
  </si>
  <si>
    <t>CR : Never coming to Google to ask for anything .</t>
  </si>
  <si>
    <t>file://conllu/en/teddy-4467.conllu#s136_0</t>
  </si>
  <si>
    <t>137</t>
  </si>
  <si>
    <t>LP : Not Google , but the public .</t>
  </si>
  <si>
    <t>file://conllu/en/teddy-4467.conllu#s137_0</t>
  </si>
  <si>
    <t>138</t>
  </si>
  <si>
    <t>or?</t>
  </si>
  <si>
    <t>I think we need to have a debate about that , or we ca n't have a functioning democracy .</t>
  </si>
  <si>
    <t>file://conllu/en/teddy-4467.conllu#s138_0</t>
  </si>
  <si>
    <t>139</t>
  </si>
  <si>
    <t>be (be possible)</t>
  </si>
  <si>
    <t>It 's just not possible .</t>
  </si>
  <si>
    <t>file://conllu/en/teddy-4467.conllu#s139_0</t>
  </si>
  <si>
    <t>140</t>
  </si>
  <si>
    <t>be (be sad)</t>
  </si>
  <si>
    <t>So I 'm sad that Google 's in the position of protecting you and our users doing secret thing that nobody knows about .</t>
  </si>
  <si>
    <t>file://conllu/en/teddy-4467.conllu#s140_0</t>
  </si>
  <si>
    <t>141</t>
  </si>
  <si>
    <t>make</t>
  </si>
  <si>
    <t>It does n't make any sense .</t>
  </si>
  <si>
    <t>file://conllu/en/teddy-4467.conllu#s141_0</t>
  </si>
  <si>
    <t>142</t>
  </si>
  <si>
    <t>CR : Yeah .</t>
  </si>
  <si>
    <t>file://conllu/en/teddy-4467.conllu#s142_0</t>
  </si>
  <si>
    <t>143</t>
  </si>
  <si>
    <t>And then there 's a privacy side of it .</t>
  </si>
  <si>
    <t>file://conllu/en/teddy-4467.conllu#s143_0</t>
  </si>
  <si>
    <t>144</t>
  </si>
  <si>
    <t>LP : Yes .</t>
  </si>
  <si>
    <t>file://conllu/en/teddy-4467.conllu#s144_0</t>
  </si>
  <si>
    <t>145</t>
  </si>
  <si>
    <t>The privacy side , I think it 's the world is changing .</t>
  </si>
  <si>
    <t>file://conllu/en/teddy-4467.conllu#s145_0</t>
  </si>
  <si>
    <t>146</t>
  </si>
  <si>
    <t>carry</t>
  </si>
  <si>
    <t>You carry a phone .</t>
  </si>
  <si>
    <t>file://conllu/en/teddy-4467.conllu#s146_0</t>
  </si>
  <si>
    <t>147</t>
  </si>
  <si>
    <t>know</t>
  </si>
  <si>
    <t>It knows where you are .</t>
  </si>
  <si>
    <t>file://conllu/en/teddy-4467.conllu#s147_0</t>
  </si>
  <si>
    <t>148</t>
  </si>
  <si>
    <t>There 's so much more information about you , and that 's an important thing , and it makes sense why people are asking difficult questions .</t>
  </si>
  <si>
    <t>file://conllu/en/teddy-4467.conllu#s148_0</t>
  </si>
  <si>
    <t>149</t>
  </si>
  <si>
    <t>spend</t>
  </si>
  <si>
    <t>We spend a lot of time thinking about this and what the issues are .</t>
  </si>
  <si>
    <t>file://conllu/en/teddy-4467.conllu#s149_0</t>
  </si>
  <si>
    <t>150</t>
  </si>
  <si>
    <t>be (be bit)</t>
  </si>
  <si>
    <t>I 'm a little bit I think the main thing that we need to do is just provide people choice , show them what data 's being collected search history , location data .</t>
  </si>
  <si>
    <t>file://conllu/en/teddy-4467.conllu#s150_0</t>
  </si>
  <si>
    <t>151</t>
  </si>
  <si>
    <t>be (be excite)</t>
  </si>
  <si>
    <t>We 're excited about incognito mode in Chrome , and doing that in more ways , just giving people more choice and more awareness of what 's going on .</t>
  </si>
  <si>
    <t>file://conllu/en/teddy-4467.conllu#s151_0</t>
  </si>
  <si>
    <t>152</t>
  </si>
  <si>
    <t>I also think it 's very easy .</t>
  </si>
  <si>
    <t>file://conllu/en/teddy-4467.conllu#s152_0</t>
  </si>
  <si>
    <t>153</t>
  </si>
  <si>
    <t>What I 'm worried is that we throw out the baby with the bathwater .</t>
  </si>
  <si>
    <t>file://conllu/en/teddy-4467.conllu#s153_0</t>
  </si>
  <si>
    <t>154</t>
  </si>
  <si>
    <t>And I look at , on your show , actually , I kind of lost my voice , and I have n't gotten it back .</t>
  </si>
  <si>
    <t>file://conllu/en/teddy-4467.conllu#s154_0</t>
  </si>
  <si>
    <t>155</t>
  </si>
  <si>
    <t>hope</t>
  </si>
  <si>
    <t>I 'm hoping that by talking to you I 'm going to get it back .</t>
  </si>
  <si>
    <t>file://conllu/en/teddy-4467.conllu#s155_0</t>
  </si>
  <si>
    <t>156</t>
  </si>
  <si>
    <t>CR : If I could do anything , I would do that .</t>
  </si>
  <si>
    <t>file://conllu/en/teddy-4467.conllu#s156_0</t>
  </si>
  <si>
    <t>157</t>
  </si>
  <si>
    <t>LP : All right .</t>
  </si>
  <si>
    <t>file://conllu/en/teddy-4467.conllu#s157_0</t>
  </si>
  <si>
    <t>158</t>
  </si>
  <si>
    <t>So get out your voodoo doll and whatever you need to do .</t>
  </si>
  <si>
    <t>file://conllu/en/teddy-4467.conllu#s158_0</t>
  </si>
  <si>
    <t>159</t>
  </si>
  <si>
    <t>know (know think)</t>
  </si>
  <si>
    <t>But I think , you know what , I look at that , I made that public , and I got all this information .</t>
  </si>
  <si>
    <t>file://conllu/en/teddy-4467.conllu#s159_0</t>
  </si>
  <si>
    <t>160</t>
  </si>
  <si>
    <t>We got a survey done on medical conditions with people who have similar issues , and I look at medical records , and I say , would n't it be amazing if everyone 's medical records were available anonymously to research doctors ?</t>
  </si>
  <si>
    <t>file://conllu/en/teddy-4467.conllu#s160_0</t>
  </si>
  <si>
    <t>161</t>
  </si>
  <si>
    <t>see (see see)</t>
  </si>
  <si>
    <t>And when someone accesses your medical record , a research doctor , they could see , you could see which doctor accessed it and why , and you could maybe learn about what conditions you have .</t>
  </si>
  <si>
    <t>file://conllu/en/teddy-4467.conllu#s161_0</t>
  </si>
  <si>
    <t>162</t>
  </si>
  <si>
    <t>I think if we just did that , we 'd save 100,000 lives this year .</t>
  </si>
  <si>
    <t>file://conllu/en/teddy-4467.conllu#s162_0</t>
  </si>
  <si>
    <t>163</t>
  </si>
  <si>
    <t>CR : Absolutely .</t>
  </si>
  <si>
    <t>file://conllu/en/teddy-4467.conllu#s163_0</t>
  </si>
  <si>
    <t>164</t>
  </si>
  <si>
    <t>Let me go — ( Applause ) LP : So I guess I 'm just very worried that with Internet privacy , we 're doing the same thing we 're doing with medical records , is we 're throwing out the baby with the bathwater , and we 're not really thinking about the tremendous good that can come from people sharing information with the right people in the right ways .</t>
  </si>
  <si>
    <t>file://conllu/en/teddy-4467.conllu#s164_0</t>
  </si>
  <si>
    <t>165</t>
  </si>
  <si>
    <t>CR :</t>
  </si>
  <si>
    <t>file://conllu/en/teddy-4467.conllu#s165_0</t>
  </si>
  <si>
    <t>166</t>
  </si>
  <si>
    <t>condition</t>
  </si>
  <si>
    <t>And the necessary condition that people have to have confidence that their information will not be abused .</t>
  </si>
  <si>
    <t>file://conllu/en/teddy-4467.conllu#s166_0</t>
  </si>
  <si>
    <t>167</t>
  </si>
  <si>
    <t>LP : Yeah , and I had this problem with my voice stuff .</t>
  </si>
  <si>
    <t>file://conllu/en/teddy-4467.conllu#s167_0</t>
  </si>
  <si>
    <t>168</t>
  </si>
  <si>
    <t>be (be scared)</t>
  </si>
  <si>
    <t>I was scared to share it .</t>
  </si>
  <si>
    <t>file://conllu/en/teddy-4467.conllu#s168_0</t>
  </si>
  <si>
    <t>169</t>
  </si>
  <si>
    <t>encourage</t>
  </si>
  <si>
    <t>Sergey encouraged me to do that , and it was a great thing to do .</t>
  </si>
  <si>
    <t>file://conllu/en/teddy-4467.conllu#s169_0</t>
  </si>
  <si>
    <t>170</t>
  </si>
  <si>
    <t>CR : And the response has been overwhelming .</t>
  </si>
  <si>
    <t>file://conllu/en/teddy-4467.conllu#s170_0</t>
  </si>
  <si>
    <t>171</t>
  </si>
  <si>
    <t>LP : Yeah , and people are super positive .</t>
  </si>
  <si>
    <t>file://conllu/en/teddy-4467.conllu#s171_0</t>
  </si>
  <si>
    <t>172</t>
  </si>
  <si>
    <t>We got thousands and thousands of people with similar conditions , which there 's no data on today .</t>
  </si>
  <si>
    <t>file://conllu/en/teddy-4467.conllu#s172_0</t>
  </si>
  <si>
    <t>173</t>
  </si>
  <si>
    <t>So it was a really good thing .</t>
  </si>
  <si>
    <t>file://conllu/en/teddy-4467.conllu#s173_0</t>
  </si>
  <si>
    <t>174</t>
  </si>
  <si>
    <t>CR : So talking about the future , what is it about you and transportation systems ?</t>
  </si>
  <si>
    <t>file://conllu/en/teddy-4467.conllu#s174_0</t>
  </si>
  <si>
    <t>175</t>
  </si>
  <si>
    <t>file://conllu/en/teddy-4467.conllu#s175_0</t>
  </si>
  <si>
    <t>176</t>
  </si>
  <si>
    <t>guess</t>
  </si>
  <si>
    <t>I guess I was just frustrated with this when I was at college in Michigan .</t>
  </si>
  <si>
    <t>file://conllu/en/teddy-4467.conllu#s176_0</t>
  </si>
  <si>
    <t>177</t>
  </si>
  <si>
    <t>I had to get on the bus and take it and wait for it .</t>
  </si>
  <si>
    <t>file://conllu/en/teddy-4467.conllu#s177_0</t>
  </si>
  <si>
    <t>178</t>
  </si>
  <si>
    <t>be (be cold)</t>
  </si>
  <si>
    <t>And it was cold and snowing .</t>
  </si>
  <si>
    <t>file://conllu/en/teddy-4467.conllu#s178_0</t>
  </si>
  <si>
    <t>179</t>
  </si>
  <si>
    <t>I did some research on how much it cost , and I just became a bit obsessed with transportation systems .</t>
  </si>
  <si>
    <t>file://conllu/en/teddy-4467.conllu#s179_0</t>
  </si>
  <si>
    <t>180</t>
  </si>
  <si>
    <t>CR : And that began the idea of an automated car .</t>
  </si>
  <si>
    <t>file://conllu/en/teddy-4467.conllu#s180_0</t>
  </si>
  <si>
    <t>181</t>
  </si>
  <si>
    <t>LP : Yeah , about 18 years ago I learned about people working on automated cars , and I became fascinated by that , and it takes a while to get these projects going , but I 'm super excited about the possibilities of that improving the world .</t>
  </si>
  <si>
    <t>file://conllu/en/teddy-4467.conllu#s181_0</t>
  </si>
  <si>
    <t>182</t>
  </si>
  <si>
    <t>There 's 20 million people or more injured per year .</t>
  </si>
  <si>
    <t>file://conllu/en/teddy-4467.conllu#s182_0</t>
  </si>
  <si>
    <t>183</t>
  </si>
  <si>
    <t>be (be cause)</t>
  </si>
  <si>
    <t>It 's the leading cause of death for people under 34 in the U.S. CR : So you 're talking about saving lives .</t>
  </si>
  <si>
    <t>file://conllu/en/teddy-4467.conllu#s183_0</t>
  </si>
  <si>
    <t>184</t>
  </si>
  <si>
    <t>LP : Yeah , and also saving space and making life better .</t>
  </si>
  <si>
    <t>file://conllu/en/teddy-4467.conllu#s184_0</t>
  </si>
  <si>
    <t>185</t>
  </si>
  <si>
    <t>be (be lot)</t>
  </si>
  <si>
    <t>Los Angeles is half parking lots and roads , half of the area , and most cities are not far behind , actually .</t>
  </si>
  <si>
    <t>file://conllu/en/teddy-4467.conllu#s185_0</t>
  </si>
  <si>
    <t>186</t>
  </si>
  <si>
    <t>be (be crazy)</t>
  </si>
  <si>
    <t>It 's just crazy that that 's what we use our space for .</t>
  </si>
  <si>
    <t>file://conllu/en/teddy-4467.conllu#s186_0</t>
  </si>
  <si>
    <t>187</t>
  </si>
  <si>
    <t>CR : And how soon will we be there ?</t>
  </si>
  <si>
    <t>file://conllu/en/teddy-4467.conllu#s187_0</t>
  </si>
  <si>
    <t>188</t>
  </si>
  <si>
    <t>LP : I think we can be there very , very soon .</t>
  </si>
  <si>
    <t>file://conllu/en/teddy-4467.conllu#s188_0</t>
  </si>
  <si>
    <t>189</t>
  </si>
  <si>
    <t>drive</t>
  </si>
  <si>
    <t>We 've driven well over 100,000 miles now totally automated .</t>
  </si>
  <si>
    <t>file://conllu/en/teddy-4467.conllu#s189_0</t>
  </si>
  <si>
    <t>190</t>
  </si>
  <si>
    <t>be (be excited)</t>
  </si>
  <si>
    <t>I 'm super excited about getting that out quickly .</t>
  </si>
  <si>
    <t>file://conllu/en/teddy-4467.conllu#s190_0</t>
  </si>
  <si>
    <t>191</t>
  </si>
  <si>
    <t>CR : But it 's not only you 're talking about automated cars .</t>
  </si>
  <si>
    <t>file://conllu/en/teddy-4467.conllu#s191_0</t>
  </si>
  <si>
    <t>192</t>
  </si>
  <si>
    <t>You also have this idea for bicycles .</t>
  </si>
  <si>
    <t>file://conllu/en/teddy-4467.conllu#s192_0</t>
  </si>
  <si>
    <t>193</t>
  </si>
  <si>
    <t>LP : Well at Google , we got this idea that we should just provide free bikes to everyone , and that 's been amazing , most of the trips .</t>
  </si>
  <si>
    <t>file://conllu/en/teddy-4467.conllu#s193_0</t>
  </si>
  <si>
    <t>194</t>
  </si>
  <si>
    <t>You see bikes going everywhere , and the bikes wear out .</t>
  </si>
  <si>
    <t>file://conllu/en/teddy-4467.conllu#s194_0</t>
  </si>
  <si>
    <t>195</t>
  </si>
  <si>
    <t>They 're getting used 24 hours a day .</t>
  </si>
  <si>
    <t>file://conllu/en/teddy-4467.conllu#s195_0</t>
  </si>
  <si>
    <t>196</t>
  </si>
  <si>
    <t>CR : But you want to put them above the street , too .</t>
  </si>
  <si>
    <t>file://conllu/en/teddy-4467.conllu#s196_0</t>
  </si>
  <si>
    <t>197</t>
  </si>
  <si>
    <t>LP :</t>
  </si>
  <si>
    <t>file://conllu/en/teddy-4467.conllu#s197_0</t>
  </si>
  <si>
    <t>198</t>
  </si>
  <si>
    <t>Well I said , how do we get people using bikes more ?</t>
  </si>
  <si>
    <t>file://conllu/en/teddy-4467.conllu#s198_0</t>
  </si>
  <si>
    <t>199</t>
  </si>
  <si>
    <t>CR : We may have a video here .</t>
  </si>
  <si>
    <t>file://conllu/en/teddy-4467.conllu#s199_0</t>
  </si>
  <si>
    <t>200</t>
  </si>
  <si>
    <t>LP : Yeah , let 's show the video .</t>
  </si>
  <si>
    <t>file://conllu/en/teddy-4467.conllu#s200_0</t>
  </si>
  <si>
    <t>201</t>
  </si>
  <si>
    <t>I just got excited about this .</t>
  </si>
  <si>
    <t>file://conllu/en/teddy-4467.conllu#s201_0</t>
  </si>
  <si>
    <t>202</t>
  </si>
  <si>
    <t>music</t>
  </si>
  <si>
    <t>( Music )</t>
  </si>
  <si>
    <t>file://conllu/en/teddy-4467.conllu#s202_0</t>
  </si>
  <si>
    <t>203</t>
  </si>
  <si>
    <t>be (be how)</t>
  </si>
  <si>
    <t>So this is actually how you might separate bikes from cars with minimal cost .</t>
  </si>
  <si>
    <t>file://conllu/en/teddy-4467.conllu#s203_0</t>
  </si>
  <si>
    <t>204</t>
  </si>
  <si>
    <t>Anyway , it looks totally crazy , but I was actually thinking about our campus , working with the Zippies and stuff , and just trying to get a lot more bike usage , and I was thinking about , how do you cost-effectively separate the bikes from traffic ?</t>
  </si>
  <si>
    <t>file://conllu/en/teddy-4467.conllu#s204_0</t>
  </si>
  <si>
    <t>205</t>
  </si>
  <si>
    <t>And I went and searched , and this is what I found .</t>
  </si>
  <si>
    <t>file://conllu/en/teddy-4467.conllu#s205_0</t>
  </si>
  <si>
    <t>206</t>
  </si>
  <si>
    <t>work</t>
  </si>
  <si>
    <t>And we 're not actually working on this , that particular thing , but it gets your imagination going .</t>
  </si>
  <si>
    <t>file://conllu/en/teddy-4467.conllu#s206_0</t>
  </si>
  <si>
    <t>207</t>
  </si>
  <si>
    <t>CR : Let me close with this .</t>
  </si>
  <si>
    <t>file://conllu/en/teddy-4467.conllu#s207_0</t>
  </si>
  <si>
    <t>208</t>
  </si>
  <si>
    <t>give</t>
  </si>
  <si>
    <t>Give me a sense of the philosophy of your own mind .</t>
  </si>
  <si>
    <t>file://conllu/en/teddy-4467.conllu#s208_0</t>
  </si>
  <si>
    <t>209</t>
  </si>
  <si>
    <t>You have this idea of [ Google X ] .</t>
  </si>
  <si>
    <t>file://conllu/en/teddy-4467.conllu#s209_0</t>
  </si>
  <si>
    <t>210</t>
  </si>
  <si>
    <t>want</t>
  </si>
  <si>
    <t>You do n't simply want to go in some small , measurable arena of progress .</t>
  </si>
  <si>
    <t>file://conllu/en/teddy-4467.conllu#s210_0</t>
  </si>
  <si>
    <t>211</t>
  </si>
  <si>
    <t>use (use think)</t>
  </si>
  <si>
    <t>LP : Yeah , I think many of the things we just talked about are like that , where they 're really I almost use the economic concept of additionality , which means that you 're doing something that would n't happen unless you were actually doing it .</t>
  </si>
  <si>
    <t>file://conllu/en/teddy-4467.conllu#s211_0</t>
  </si>
  <si>
    <t>212</t>
  </si>
  <si>
    <t>And I think the more you can do things like that , the bigger impact you have , and that 's about doing things that people might not think are possible .</t>
  </si>
  <si>
    <t>file://conllu/en/teddy-4467.conllu#s212_0</t>
  </si>
  <si>
    <t>213</t>
  </si>
  <si>
    <t>amaze</t>
  </si>
  <si>
    <t>And I 've been amazed , the more I learn about technology , the more I realize I do n't know , and that 's because this technological horizon , the thing that you can see to do next , the more you learn about technology , the more you learn what 's possible .</t>
  </si>
  <si>
    <t>file://conllu/en/teddy-4467.conllu#s213_0</t>
  </si>
  <si>
    <t>214</t>
  </si>
  <si>
    <t>You learn that the balloons are possible because there 's some material that will work for them .</t>
  </si>
  <si>
    <t>file://conllu/en/teddy-4467.conllu#s214_0</t>
  </si>
  <si>
    <t>215</t>
  </si>
  <si>
    <t>CR : What 's interesting about you too , though , for me , is that , we have lots of people who are thinking about the future , and they are going and looking and they 're coming back , but we never see the implementation .</t>
  </si>
  <si>
    <t>file://conllu/en/teddy-4467.conllu#s215_0</t>
  </si>
  <si>
    <t>216</t>
  </si>
  <si>
    <t>I think of somebody you knew and read about , Tesla .</t>
  </si>
  <si>
    <t>file://conllu/en/teddy-4467.conllu#s216_0</t>
  </si>
  <si>
    <t>217</t>
  </si>
  <si>
    <t>The principle of that for you is what ?</t>
  </si>
  <si>
    <t>file://conllu/en/teddy-4467.conllu#s217_0</t>
  </si>
  <si>
    <t>218</t>
  </si>
  <si>
    <t>LP : Well , I think invention is not enough .</t>
  </si>
  <si>
    <t>file://conllu/en/teddy-4467.conllu#s218_0</t>
  </si>
  <si>
    <t>219</t>
  </si>
  <si>
    <t>invent</t>
  </si>
  <si>
    <t>If you invent something , Tesla invented electric power that we use , but he struggled to get it out to people .</t>
  </si>
  <si>
    <t>file://conllu/en/teddy-4467.conllu#s219_0</t>
  </si>
  <si>
    <t>220</t>
  </si>
  <si>
    <t>That had to be done by other people .</t>
  </si>
  <si>
    <t>file://conllu/en/teddy-4467.conllu#s220_0</t>
  </si>
  <si>
    <t>221</t>
  </si>
  <si>
    <t>take</t>
  </si>
  <si>
    <t>It took a long time .</t>
  </si>
  <si>
    <t>file://conllu/en/teddy-4467.conllu#s221_0</t>
  </si>
  <si>
    <t>222</t>
  </si>
  <si>
    <t>And I think if we can actually combine both things , where we have an innovation and invention focus , plus the ability to really a company that can really commercialize things and get them to people in a way that 's positive for the world and to give people hope .</t>
  </si>
  <si>
    <t>file://conllu/en/teddy-4467.conllu#s222_0</t>
  </si>
  <si>
    <t>223</t>
  </si>
  <si>
    <t>You know , I 'm amazed with the Loon Project just how excited people were about that , because it gave them hope for the two thirds of the world that does n't have Internet right now that 's any good .</t>
  </si>
  <si>
    <t>file://conllu/en/teddy-4467.conllu#s223_0</t>
  </si>
  <si>
    <t>224</t>
  </si>
  <si>
    <t>CR : Which is a second thing about corporations .</t>
  </si>
  <si>
    <t>file://conllu/en/teddy-4467.conllu#s224_0</t>
  </si>
  <si>
    <t>225</t>
  </si>
  <si>
    <t>be (be one)</t>
  </si>
  <si>
    <t>You are one of those people who believe that corporations are an agent of change if they are run well .</t>
  </si>
  <si>
    <t>file://conllu/en/teddy-4467.conllu#s225_0</t>
  </si>
  <si>
    <t>226</t>
  </si>
  <si>
    <t>file://conllu/en/teddy-4467.conllu#s226_0</t>
  </si>
  <si>
    <t>227</t>
  </si>
  <si>
    <t>dismay</t>
  </si>
  <si>
    <t>I 'm really dismayed most people think companies are basically evil .</t>
  </si>
  <si>
    <t>file://conllu/en/teddy-4467.conllu#s227_0</t>
  </si>
  <si>
    <t>228</t>
  </si>
  <si>
    <t>They get a bad rap .</t>
  </si>
  <si>
    <t>file://conllu/en/teddy-4467.conllu#s228_0</t>
  </si>
  <si>
    <t>229</t>
  </si>
  <si>
    <t>And I think that 's somewhat correct .</t>
  </si>
  <si>
    <t>file://conllu/en/teddy-4467.conllu#s229_0</t>
  </si>
  <si>
    <t>230</t>
  </si>
  <si>
    <t>Companies are doing the same incremental thing that they did 50 years ago or 20 years ago .</t>
  </si>
  <si>
    <t>file://conllu/en/teddy-4467.conllu#s230_0</t>
  </si>
  <si>
    <t>231</t>
  </si>
  <si>
    <t>That 's not really what we need .</t>
  </si>
  <si>
    <t>file://conllu/en/teddy-4467.conllu#s231_0</t>
  </si>
  <si>
    <t>232</t>
  </si>
  <si>
    <t>need</t>
  </si>
  <si>
    <t>We need , especially in technology , we need revolutionary change , not incremental change .</t>
  </si>
  <si>
    <t>file://conllu/en/teddy-4467.conllu#s232_0</t>
  </si>
  <si>
    <t>233</t>
  </si>
  <si>
    <t>therefore?</t>
  </si>
  <si>
    <t>CR : You once said , actually , as I think I 've got this about right , that you might consider , rather than giving your money , if you were leaving it to some cause , just simply giving it to Elon Musk , because you had confidence that he would change the future , and that you would therefore — LP : Yeah , if you want to go Mars , he wants to go to Mars , to back up humanity , that 's a worthy goal , but it 's a company , and it 's philanthropical .</t>
  </si>
  <si>
    <t>file://conllu/en/teddy-4467.conllu#s233_0</t>
  </si>
  <si>
    <t>234</t>
  </si>
  <si>
    <t>So I think we aim to do kind of similar things .</t>
  </si>
  <si>
    <t>file://conllu/en/teddy-4467.conllu#s234_0</t>
  </si>
  <si>
    <t>235</t>
  </si>
  <si>
    <t>ask (ask think)</t>
  </si>
  <si>
    <t>And I think , you ask , we have a lot of employees at Google who have become pretty wealthy .</t>
  </si>
  <si>
    <t>file://conllu/en/teddy-4467.conllu#s235_0</t>
  </si>
  <si>
    <t>236</t>
  </si>
  <si>
    <t>People make a lot of money in technology .</t>
  </si>
  <si>
    <t>file://conllu/en/teddy-4467.conllu#s236_0</t>
  </si>
  <si>
    <t>237</t>
  </si>
  <si>
    <t>be (be wealthy)</t>
  </si>
  <si>
    <t>A lot of people in the room are pretty wealthy .</t>
  </si>
  <si>
    <t>file://conllu/en/teddy-4467.conllu#s237_0</t>
  </si>
  <si>
    <t>238</t>
  </si>
  <si>
    <t>You 're working because you want to change the world .</t>
  </si>
  <si>
    <t>file://conllu/en/teddy-4467.conllu#s238_0</t>
  </si>
  <si>
    <t>239</t>
  </si>
  <si>
    <t>You want to make it better .</t>
  </si>
  <si>
    <t>file://conllu/en/teddy-4467.conllu#s239_0</t>
  </si>
  <si>
    <t>240</t>
  </si>
  <si>
    <t>be (be why)</t>
  </si>
  <si>
    <t>Why is n't the company that you work for worthy not just of your time but your money as well ?</t>
  </si>
  <si>
    <t>file://conllu/en/teddy-4467.conllu#s240_0</t>
  </si>
  <si>
    <t>241</t>
  </si>
  <si>
    <t>I mean , but we do n't have a concept of that .</t>
  </si>
  <si>
    <t>file://conllu/en/teddy-4467.conllu#s241_0</t>
  </si>
  <si>
    <t>242</t>
  </si>
  <si>
    <t>That 's not how we think about companies , and I think it 's sad , because companies are most of our effort .</t>
  </si>
  <si>
    <t>file://conllu/en/teddy-4467.conllu#s242_0</t>
  </si>
  <si>
    <t>243</t>
  </si>
  <si>
    <t>be (be most)</t>
  </si>
  <si>
    <t>They 're where most of people 's time is , where a lot of the money is , and so I think I 'd like for us to help out more than we are .</t>
  </si>
  <si>
    <t>file://conllu/en/teddy-4467.conllu#s243_0</t>
  </si>
  <si>
    <t>244</t>
  </si>
  <si>
    <t>CR : When I close conversations with lots of people , I always ask this question :</t>
  </si>
  <si>
    <t>file://conllu/en/teddy-4467.conllu#s244_0</t>
  </si>
  <si>
    <t>245</t>
  </si>
  <si>
    <t>What state of mind , what quality of mind is it that has served you best ?</t>
  </si>
  <si>
    <t>file://conllu/en/teddy-4467.conllu#s245_0</t>
  </si>
  <si>
    <t>246</t>
  </si>
  <si>
    <t>say (say say)</t>
  </si>
  <si>
    <t>People like Rupert Murdoch have said curiosity , and other people in the media have said that .</t>
  </si>
  <si>
    <t>file://conllu/en/teddy-4467.conllu#s246_0</t>
  </si>
  <si>
    <t>247</t>
  </si>
  <si>
    <t>Bill Gates and Warren Buffett have said focus .</t>
  </si>
  <si>
    <t>file://conllu/en/teddy-4467.conllu#s247_0</t>
  </si>
  <si>
    <t>248</t>
  </si>
  <si>
    <t>enable</t>
  </si>
  <si>
    <t>What quality of mind , as I leave this audience , has enabled you to think about the future and at the same time change the present ?</t>
  </si>
  <si>
    <t>file://conllu/en/teddy-4467.conllu#s248_0</t>
  </si>
  <si>
    <t>249</t>
  </si>
  <si>
    <t>LP : You know , I think the most important thing I looked at lots of companies and why I thought they do n't succeed over time .</t>
  </si>
  <si>
    <t>file://conllu/en/teddy-4467.conllu#s249_0</t>
  </si>
  <si>
    <t>250</t>
  </si>
  <si>
    <t>We 've had a more rapid turnover of companies .</t>
  </si>
  <si>
    <t>file://conllu/en/teddy-4467.conllu#s250_0</t>
  </si>
  <si>
    <t>251</t>
  </si>
  <si>
    <t>And I said , what did they fundamentally do wrong ?</t>
  </si>
  <si>
    <t>file://conllu/en/teddy-4467.conllu#s251_0</t>
  </si>
  <si>
    <t>252</t>
  </si>
  <si>
    <t>What did those companies all do wrong ?</t>
  </si>
  <si>
    <t>file://conllu/en/teddy-4467.conllu#s252_0</t>
  </si>
  <si>
    <t>253</t>
  </si>
  <si>
    <t>be (be miss)</t>
  </si>
  <si>
    <t>And usually it 's just that they missed the future .</t>
  </si>
  <si>
    <t>file://conllu/en/teddy-4467.conllu#s253_0</t>
  </si>
  <si>
    <t>254</t>
  </si>
  <si>
    <t>try (try think)</t>
  </si>
  <si>
    <t>And so I think , for me , I just try to focus on that and say , what is that future really going to be and how do we create it , and how do we cause our organization , to really focus on that and drive that at a really high rate ?</t>
  </si>
  <si>
    <t>file://conllu/en/teddy-4467.conllu#s254_0</t>
  </si>
  <si>
    <t>255</t>
  </si>
  <si>
    <t>so that?</t>
  </si>
  <si>
    <t>And so that 's been curiosity , it 's been looking at things people might not think about , working on things that no one else is working on , because that 's where the additionality really is , and be willing to do that , to take that risk .</t>
  </si>
  <si>
    <t>file://conllu/en/teddy-4467.conllu#s255_0</t>
  </si>
  <si>
    <t>256</t>
  </si>
  <si>
    <t>Look at Android .</t>
  </si>
  <si>
    <t>file://conllu/en/teddy-4467.conllu#s256_0</t>
  </si>
  <si>
    <t>257</t>
  </si>
  <si>
    <t>I felt guilty about working on Android when it was starting .</t>
  </si>
  <si>
    <t>file://conllu/en/teddy-4467.conllu#s257_0</t>
  </si>
  <si>
    <t>258</t>
  </si>
  <si>
    <t>be (be startup)</t>
  </si>
  <si>
    <t>It was a little startup we bought .</t>
  </si>
  <si>
    <t>file://conllu/en/teddy-4467.conllu#s258_0</t>
  </si>
  <si>
    <t>259</t>
  </si>
  <si>
    <t>It was n't really what we were really working on .</t>
  </si>
  <si>
    <t>file://conllu/en/teddy-4467.conllu#s259_0</t>
  </si>
  <si>
    <t>260</t>
  </si>
  <si>
    <t>And I felt guilty about spending time on that .</t>
  </si>
  <si>
    <t>file://conllu/en/teddy-4467.conllu#s260_0</t>
  </si>
  <si>
    <t>261</t>
  </si>
  <si>
    <t>be (be stupid)</t>
  </si>
  <si>
    <t>That was stupid .</t>
  </si>
  <si>
    <t>file://conllu/en/teddy-4467.conllu#s261_0</t>
  </si>
  <si>
    <t>262</t>
  </si>
  <si>
    <t>be (be future)</t>
  </si>
  <si>
    <t>That was the future , right ?</t>
  </si>
  <si>
    <t>file://conllu/en/teddy-4467.conllu#s262_0</t>
  </si>
  <si>
    <t>263</t>
  </si>
  <si>
    <t>That was a good thing to be working on .</t>
  </si>
  <si>
    <t>file://conllu/en/teddy-4467.conllu#s263_0</t>
  </si>
  <si>
    <t>264</t>
  </si>
  <si>
    <t>CR : It is great to see you here .</t>
  </si>
  <si>
    <t>file://conllu/en/teddy-4467.conllu#s264_0</t>
  </si>
  <si>
    <t>265</t>
  </si>
  <si>
    <t>be (be great)</t>
  </si>
  <si>
    <t>It 's great to hear from you , and a pleasure to sit at this table with you .</t>
  </si>
  <si>
    <t>file://conllu/en/teddy-4467.conllu#s265_0</t>
  </si>
  <si>
    <t>266</t>
  </si>
  <si>
    <t>thanks</t>
  </si>
  <si>
    <t>Thanks ,</t>
  </si>
  <si>
    <t>file://conllu/en/teddy-4467.conllu#s266_0</t>
  </si>
  <si>
    <t>267</t>
  </si>
  <si>
    <t>Larry .</t>
  </si>
  <si>
    <t>file://conllu/en/teddy-4467.conllu#s267_0</t>
  </si>
  <si>
    <t>268</t>
  </si>
  <si>
    <t>LP : Thank you .</t>
  </si>
  <si>
    <t>file://conllu/en/teddy-4467.conllu#s268_0</t>
  </si>
  <si>
    <t>269</t>
  </si>
  <si>
    <t>CR : Larry Page .</t>
  </si>
  <si>
    <t>file://conllu/en/teddy-4467.conllu#s269_0</t>
  </si>
  <si>
    <t>WORD</t>
  </si>
  <si>
    <t>GR</t>
  </si>
  <si>
    <t>NP_TYPE</t>
  </si>
  <si>
    <t>REF_AUTO</t>
  </si>
  <si>
    <t>COREF</t>
  </si>
  <si>
    <t>REF</t>
  </si>
  <si>
    <t>IS</t>
  </si>
  <si>
    <t>CB</t>
  </si>
  <si>
    <t>GR_ANTE</t>
  </si>
  <si>
    <t>REF_DIST</t>
  </si>
  <si>
    <t>REF_DIST_ANTE</t>
  </si>
  <si>
    <t># text = Charlie Rose:</t>
  </si>
  <si>
    <t>Charlie</t>
  </si>
  <si>
    <t>other</t>
  </si>
  <si>
    <t>ne</t>
  </si>
  <si>
    <t>?OLD</t>
  </si>
  <si>
    <t>:</t>
  </si>
  <si>
    <t># text = So Larry sent me an email and he basically said, we've got to make sure that we don't seem like we're a couple of middle-aged boring men.</t>
  </si>
  <si>
    <t>So</t>
  </si>
  <si>
    <t>SBJ</t>
  </si>
  <si>
    <t>sent</t>
  </si>
  <si>
    <t>me</t>
  </si>
  <si>
    <t>OBJ</t>
  </si>
  <si>
    <t>pron.pper</t>
  </si>
  <si>
    <t>an</t>
  </si>
  <si>
    <t>email</t>
  </si>
  <si>
    <t>indef-np.a</t>
  </si>
  <si>
    <t>and</t>
  </si>
  <si>
    <t>he</t>
  </si>
  <si>
    <t>SBJ_2</t>
  </si>
  <si>
    <t>basically</t>
  </si>
  <si>
    <t>said</t>
  </si>
  <si>
    <t>,</t>
  </si>
  <si>
    <t>we</t>
  </si>
  <si>
    <t>SBJ_3</t>
  </si>
  <si>
    <t>'ve</t>
  </si>
  <si>
    <t>got</t>
  </si>
  <si>
    <t>to</t>
  </si>
  <si>
    <t>sure</t>
  </si>
  <si>
    <t>that</t>
  </si>
  <si>
    <t>SBJ_6</t>
  </si>
  <si>
    <t>n't</t>
  </si>
  <si>
    <t>seem</t>
  </si>
  <si>
    <t>like</t>
  </si>
  <si>
    <t>SBJ_7</t>
  </si>
  <si>
    <t>'re</t>
  </si>
  <si>
    <t>a</t>
  </si>
  <si>
    <t>couple</t>
  </si>
  <si>
    <t>other_6</t>
  </si>
  <si>
    <t>of</t>
  </si>
  <si>
    <t>middle</t>
  </si>
  <si>
    <t>aged</t>
  </si>
  <si>
    <t>boring</t>
  </si>
  <si>
    <t>men</t>
  </si>
  <si>
    <t>other_7</t>
  </si>
  <si>
    <t>indef-np.bare</t>
  </si>
  <si>
    <t>.</t>
  </si>
  <si>
    <t># text = I said, I'm flattered by that -- (Laughter) — because I'm a bit older, and he has a bit more net worth than I do.</t>
  </si>
  <si>
    <t>I</t>
  </si>
  <si>
    <t>'m</t>
  </si>
  <si>
    <t>flattered</t>
  </si>
  <si>
    <t>by</t>
  </si>
  <si>
    <t>other_2</t>
  </si>
  <si>
    <t>pron.pds</t>
  </si>
  <si>
    <t>(</t>
  </si>
  <si>
    <t>Laughter</t>
  </si>
  <si>
    <t>)</t>
  </si>
  <si>
    <t>—</t>
  </si>
  <si>
    <t>because</t>
  </si>
  <si>
    <t>bit</t>
  </si>
  <si>
    <t>older</t>
  </si>
  <si>
    <t>has</t>
  </si>
  <si>
    <t>other_5</t>
  </si>
  <si>
    <t>more</t>
  </si>
  <si>
    <t>net</t>
  </si>
  <si>
    <t>other_4</t>
  </si>
  <si>
    <t>worth</t>
  </si>
  <si>
    <t>than</t>
  </si>
  <si>
    <t>SBJ_5</t>
  </si>
  <si>
    <t># text = Larry Page:</t>
  </si>
  <si>
    <t>Page</t>
  </si>
  <si>
    <t># text = Well, thank you.</t>
  </si>
  <si>
    <t>Well</t>
  </si>
  <si>
    <t>you</t>
  </si>
  <si>
    <t># text = CR: So we'll have a conversation about the Internet, and we'll have a conversation Google, and we'll have a conversation about search and privacy, and also about your philosophy and a sense of how you've connected the dots and how this journey that began some time ago has such interesting prospects.</t>
  </si>
  <si>
    <t>CR</t>
  </si>
  <si>
    <t>'ll</t>
  </si>
  <si>
    <t>conversation</t>
  </si>
  <si>
    <t>OBJ_2</t>
  </si>
  <si>
    <t>about</t>
  </si>
  <si>
    <t>the</t>
  </si>
  <si>
    <t>Internet</t>
  </si>
  <si>
    <t>other_3</t>
  </si>
  <si>
    <t>def-np.the</t>
  </si>
  <si>
    <t>OBJ_4</t>
  </si>
  <si>
    <t>OBJ_3</t>
  </si>
  <si>
    <t>search</t>
  </si>
  <si>
    <t>privacy</t>
  </si>
  <si>
    <t>also</t>
  </si>
  <si>
    <t>your</t>
  </si>
  <si>
    <t>pron.ppos</t>
  </si>
  <si>
    <t>philosophy</t>
  </si>
  <si>
    <t>def-np.poss</t>
  </si>
  <si>
    <t>sense</t>
  </si>
  <si>
    <t>how</t>
  </si>
  <si>
    <t>SBJ_4</t>
  </si>
  <si>
    <t>connected</t>
  </si>
  <si>
    <t>dots</t>
  </si>
  <si>
    <t>this</t>
  </si>
  <si>
    <t>journey</t>
  </si>
  <si>
    <t>def-np.dem</t>
  </si>
  <si>
    <t>began</t>
  </si>
  <si>
    <t>some</t>
  </si>
  <si>
    <t>time</t>
  </si>
  <si>
    <t>indef-np.quant</t>
  </si>
  <si>
    <t>ago</t>
  </si>
  <si>
    <t>such</t>
  </si>
  <si>
    <t>interesting</t>
  </si>
  <si>
    <t>prospects</t>
  </si>
  <si>
    <t># text = Mainly we want to talk about the future.</t>
  </si>
  <si>
    <t>Mainly</t>
  </si>
  <si>
    <t>talk</t>
  </si>
  <si>
    <t>future</t>
  </si>
  <si>
    <t># text = So my first question:</t>
  </si>
  <si>
    <t>my</t>
  </si>
  <si>
    <t>first</t>
  </si>
  <si>
    <t># text = Where is Google and where is it going?</t>
  </si>
  <si>
    <t>Where</t>
  </si>
  <si>
    <t>pron.pint</t>
  </si>
  <si>
    <t>is</t>
  </si>
  <si>
    <t>where</t>
  </si>
  <si>
    <t>it</t>
  </si>
  <si>
    <t>going</t>
  </si>
  <si>
    <t>?</t>
  </si>
  <si>
    <t># text = LP: Well, this is something we think about a lot, and our mission we defined a long time ago is to organize the world's information and make it universally accessible and useful.</t>
  </si>
  <si>
    <t>LP</t>
  </si>
  <si>
    <t>something</t>
  </si>
  <si>
    <t>pron</t>
  </si>
  <si>
    <t>lot</t>
  </si>
  <si>
    <t>our</t>
  </si>
  <si>
    <t>mission</t>
  </si>
  <si>
    <t>defined</t>
  </si>
  <si>
    <t>long</t>
  </si>
  <si>
    <t>organize</t>
  </si>
  <si>
    <t>world</t>
  </si>
  <si>
    <t>'s</t>
  </si>
  <si>
    <t>information</t>
  </si>
  <si>
    <t>OBJ_5</t>
  </si>
  <si>
    <t>OBJ_6</t>
  </si>
  <si>
    <t>universally</t>
  </si>
  <si>
    <t>accessible</t>
  </si>
  <si>
    <t>useful</t>
  </si>
  <si>
    <t># text = And people always say, is that really what you guys are still doing?</t>
  </si>
  <si>
    <t>And</t>
  </si>
  <si>
    <t>people</t>
  </si>
  <si>
    <t>always</t>
  </si>
  <si>
    <t>really</t>
  </si>
  <si>
    <t>what</t>
  </si>
  <si>
    <t>guys</t>
  </si>
  <si>
    <t>are</t>
  </si>
  <si>
    <t>still</t>
  </si>
  <si>
    <t>doing</t>
  </si>
  <si>
    <t># text = And I always kind of think about that myself, and I'm not quite sure.</t>
  </si>
  <si>
    <t>kind</t>
  </si>
  <si>
    <t>myself</t>
  </si>
  <si>
    <t>not</t>
  </si>
  <si>
    <t>quite</t>
  </si>
  <si>
    <t># text = But actually, when I think about search, it's such a deep thing for all of us, to really understand what you want, to understand the world's information, and we're still very much in the early stages of that, which is totally crazy.</t>
  </si>
  <si>
    <t>But</t>
  </si>
  <si>
    <t>actually</t>
  </si>
  <si>
    <t>when</t>
  </si>
  <si>
    <t>deep</t>
  </si>
  <si>
    <t>thing</t>
  </si>
  <si>
    <t>for</t>
  </si>
  <si>
    <t>all</t>
  </si>
  <si>
    <t>us</t>
  </si>
  <si>
    <t>very</t>
  </si>
  <si>
    <t>much</t>
  </si>
  <si>
    <t>in</t>
  </si>
  <si>
    <t>early</t>
  </si>
  <si>
    <t>stages</t>
  </si>
  <si>
    <t>which</t>
  </si>
  <si>
    <t>totally</t>
  </si>
  <si>
    <t>crazy</t>
  </si>
  <si>
    <t># text = We've been at it for 15 years already, but it's not at all done.</t>
  </si>
  <si>
    <t>We</t>
  </si>
  <si>
    <t>been</t>
  </si>
  <si>
    <t>at</t>
  </si>
  <si>
    <t>years</t>
  </si>
  <si>
    <t>already</t>
  </si>
  <si>
    <t>but</t>
  </si>
  <si>
    <t>done</t>
  </si>
  <si>
    <t># text = CR: When it's done, how will it be?</t>
  </si>
  <si>
    <t>When</t>
  </si>
  <si>
    <t>will</t>
  </si>
  <si>
    <t># text = LP: Well, I guess, in thinking about where we're going -- you know, why is it not done?</t>
  </si>
  <si>
    <t>thinking</t>
  </si>
  <si>
    <t>why</t>
  </si>
  <si>
    <t># text = -- a lot of it is just computing's kind of a mess.</t>
  </si>
  <si>
    <t>just</t>
  </si>
  <si>
    <t>computing</t>
  </si>
  <si>
    <t>mess</t>
  </si>
  <si>
    <t># text = You know, your computer doesn't know where you are, it doesn't know what you're doing, it doesn't know what you know, and a lot we've been trying to do recently is just make your devices work, make them understand your context.</t>
  </si>
  <si>
    <t>You</t>
  </si>
  <si>
    <t>does</t>
  </si>
  <si>
    <t>trying</t>
  </si>
  <si>
    <t>recently</t>
  </si>
  <si>
    <t>devices</t>
  </si>
  <si>
    <t>them</t>
  </si>
  <si>
    <t>context</t>
  </si>
  <si>
    <t># text = Google</t>
  </si>
  <si>
    <t># text = Now, you know, knows where you are, knows what you may need.</t>
  </si>
  <si>
    <t>Now</t>
  </si>
  <si>
    <t>knows</t>
  </si>
  <si>
    <t>may</t>
  </si>
  <si>
    <t># text = So really having computing work and understand you and understand that information, we really haven't done that yet.</t>
  </si>
  <si>
    <t>having</t>
  </si>
  <si>
    <t>yet</t>
  </si>
  <si>
    <t># text = It's still very, very clunky.</t>
  </si>
  <si>
    <t>It</t>
  </si>
  <si>
    <t>clunky</t>
  </si>
  <si>
    <t># text = CR: Tell me, when you look at what Google is doing, where does Deep Mind fit?</t>
  </si>
  <si>
    <t>Tell</t>
  </si>
  <si>
    <t>Deep</t>
  </si>
  <si>
    <t>Mind</t>
  </si>
  <si>
    <t>fit</t>
  </si>
  <si>
    <t># text = LP: Yeah, so Deep Mind is a company we just acquired recently.</t>
  </si>
  <si>
    <t>Yeah</t>
  </si>
  <si>
    <t>so</t>
  </si>
  <si>
    <t>company</t>
  </si>
  <si>
    <t>acquired</t>
  </si>
  <si>
    <t># text = It's in the U.K.</t>
  </si>
  <si>
    <t>U.K</t>
  </si>
  <si>
    <t># text = First, let me tell you the way we got there, which was looking at search and really understanding, trying to understand everything, and also make the computers not clunky and really understand you -- like, voice was really important.</t>
  </si>
  <si>
    <t>First</t>
  </si>
  <si>
    <t>way</t>
  </si>
  <si>
    <t>there</t>
  </si>
  <si>
    <t>was</t>
  </si>
  <si>
    <t>looking</t>
  </si>
  <si>
    <t>understanding</t>
  </si>
  <si>
    <t>everything</t>
  </si>
  <si>
    <t>computers</t>
  </si>
  <si>
    <t>voice</t>
  </si>
  <si>
    <t>important</t>
  </si>
  <si>
    <t># text = So what's the state of the art on speech recognition?</t>
  </si>
  <si>
    <t>state</t>
  </si>
  <si>
    <t>art</t>
  </si>
  <si>
    <t>on</t>
  </si>
  <si>
    <t>speech</t>
  </si>
  <si>
    <t>recognition</t>
  </si>
  <si>
    <t># text = It's not very good.</t>
  </si>
  <si>
    <t>good</t>
  </si>
  <si>
    <t># text = It doesn't really understand you.</t>
  </si>
  <si>
    <t># text = So we started doing machine learning research to improve that.</t>
  </si>
  <si>
    <t>started</t>
  </si>
  <si>
    <t>machine</t>
  </si>
  <si>
    <t>learning</t>
  </si>
  <si>
    <t>research</t>
  </si>
  <si>
    <t>improve</t>
  </si>
  <si>
    <t># text = That helped a lot.</t>
  </si>
  <si>
    <t>That</t>
  </si>
  <si>
    <t>helped</t>
  </si>
  <si>
    <t># text = And we started just looking at things like YouTube.</t>
  </si>
  <si>
    <t>things</t>
  </si>
  <si>
    <t>YouTube</t>
  </si>
  <si>
    <t># text = Can we understand YouTube?</t>
  </si>
  <si>
    <t>Can</t>
  </si>
  <si>
    <t># text = But we actually ran machine learning on YouTube and it discovered cats, just by itself.</t>
  </si>
  <si>
    <t>ran</t>
  </si>
  <si>
    <t>discovered</t>
  </si>
  <si>
    <t>cats</t>
  </si>
  <si>
    <t>itself</t>
  </si>
  <si>
    <t># text = Now, that's an important concept.</t>
  </si>
  <si>
    <t>concept</t>
  </si>
  <si>
    <t># text = And we realized there's really something here.</t>
  </si>
  <si>
    <t>realized</t>
  </si>
  <si>
    <t>here</t>
  </si>
  <si>
    <t># text = If we can learn what cats are, that must be really important.</t>
  </si>
  <si>
    <t>If</t>
  </si>
  <si>
    <t>can</t>
  </si>
  <si>
    <t>must</t>
  </si>
  <si>
    <t># text = So I think Deep Mind, what's really amazing about Deep Mind is that it can actually -- they're learning things in this unsupervised way.</t>
  </si>
  <si>
    <t>amazing</t>
  </si>
  <si>
    <t>they</t>
  </si>
  <si>
    <t>unsupervised</t>
  </si>
  <si>
    <t># text = They started with video games, and really just, maybe I can show the video, just playing video games, and learning how to do that automatically.</t>
  </si>
  <si>
    <t>They</t>
  </si>
  <si>
    <t>with</t>
  </si>
  <si>
    <t>games</t>
  </si>
  <si>
    <t>maybe</t>
  </si>
  <si>
    <t>playing</t>
  </si>
  <si>
    <t>automatically</t>
  </si>
  <si>
    <t># text = CR: Take a look at the video games and how machines are coming to be able to do some remarkable things.</t>
  </si>
  <si>
    <t>Take</t>
  </si>
  <si>
    <t>machines</t>
  </si>
  <si>
    <t>coming</t>
  </si>
  <si>
    <t>able</t>
  </si>
  <si>
    <t>remarkable</t>
  </si>
  <si>
    <t># text = LP: The amazing thing about this is this is, I mean, obviously, these are old games, but the system just sees what you see, the pixels, and it has the controls and it has the score, and it's learned to play all of these games, same program.</t>
  </si>
  <si>
    <t>The</t>
  </si>
  <si>
    <t>obviously</t>
  </si>
  <si>
    <t>these</t>
  </si>
  <si>
    <t>old</t>
  </si>
  <si>
    <t>system</t>
  </si>
  <si>
    <t>sees</t>
  </si>
  <si>
    <t>pixels</t>
  </si>
  <si>
    <t>controls</t>
  </si>
  <si>
    <t>score</t>
  </si>
  <si>
    <t>learned</t>
  </si>
  <si>
    <t>play</t>
  </si>
  <si>
    <t>same</t>
  </si>
  <si>
    <t>program</t>
  </si>
  <si>
    <t># text = It's learned to play all of these games with superhuman performance.</t>
  </si>
  <si>
    <t>superhuman</t>
  </si>
  <si>
    <t>performance</t>
  </si>
  <si>
    <t># text = We've not been able to do things like this with computers before.</t>
  </si>
  <si>
    <t>before</t>
  </si>
  <si>
    <t># text = And maybe I'll just narrate this one quickly.</t>
  </si>
  <si>
    <t>one</t>
  </si>
  <si>
    <t>quickly</t>
  </si>
  <si>
    <t># text = This is boxing, and it figures out it can sort of pin the opponent down.</t>
  </si>
  <si>
    <t>This</t>
  </si>
  <si>
    <t>boxing</t>
  </si>
  <si>
    <t>figures</t>
  </si>
  <si>
    <t>out</t>
  </si>
  <si>
    <t>sort</t>
  </si>
  <si>
    <t>pin</t>
  </si>
  <si>
    <t>opponent</t>
  </si>
  <si>
    <t>down</t>
  </si>
  <si>
    <t># text = The computer's on the left, and it's just racking up points.</t>
  </si>
  <si>
    <t>left</t>
  </si>
  <si>
    <t>racking</t>
  </si>
  <si>
    <t>up</t>
  </si>
  <si>
    <t>points</t>
  </si>
  <si>
    <t># text = So imagine if this kind of intelligence were thrown at your schedule, or your information needs, or things like that.</t>
  </si>
  <si>
    <t>if</t>
  </si>
  <si>
    <t>intelligence</t>
  </si>
  <si>
    <t>were</t>
  </si>
  <si>
    <t>thrown</t>
  </si>
  <si>
    <t>schedule</t>
  </si>
  <si>
    <t>or</t>
  </si>
  <si>
    <t>needs</t>
  </si>
  <si>
    <t># text = We're really just at the beginning of that, and that's what I'm really excited about.</t>
  </si>
  <si>
    <t>beginning</t>
  </si>
  <si>
    <t>excited</t>
  </si>
  <si>
    <t># text = CR: When you look at all that's taken place with Deep Mind and the boxing, also a part of where we're going is artificial intelligence.</t>
  </si>
  <si>
    <t>taken</t>
  </si>
  <si>
    <t>place</t>
  </si>
  <si>
    <t>part</t>
  </si>
  <si>
    <t>artificial</t>
  </si>
  <si>
    <t># text = Where are we, when you look at that?</t>
  </si>
  <si>
    <t># text = LP: Well, I think for me, this is kind of one of the most exciting things I've seen in a long time.</t>
  </si>
  <si>
    <t>most</t>
  </si>
  <si>
    <t>exciting</t>
  </si>
  <si>
    <t>seen</t>
  </si>
  <si>
    <t># text = The guy who started this company, Demis, has a neuroscience and a computer science background.</t>
  </si>
  <si>
    <t>guy</t>
  </si>
  <si>
    <t>who</t>
  </si>
  <si>
    <t>Demis</t>
  </si>
  <si>
    <t>neuroscience</t>
  </si>
  <si>
    <t>science</t>
  </si>
  <si>
    <t>background</t>
  </si>
  <si>
    <t># text = He went back to school to get his Ph.D. to study the brain.</t>
  </si>
  <si>
    <t>He</t>
  </si>
  <si>
    <t>went</t>
  </si>
  <si>
    <t>back</t>
  </si>
  <si>
    <t>school</t>
  </si>
  <si>
    <t>his</t>
  </si>
  <si>
    <t>Ph.D.</t>
  </si>
  <si>
    <t>study</t>
  </si>
  <si>
    <t>brain</t>
  </si>
  <si>
    <t># text = And so I think we're seeing a lot of exciting work going on that sort of crosses computer science and neuroscience in terms of really understanding what it takes to make something smart and do really interesting things.</t>
  </si>
  <si>
    <t>seeing</t>
  </si>
  <si>
    <t>crosses</t>
  </si>
  <si>
    <t>terms</t>
  </si>
  <si>
    <t>takes</t>
  </si>
  <si>
    <t>OBJ_7</t>
  </si>
  <si>
    <t>smart</t>
  </si>
  <si>
    <t># text = CR: But where's the level of it now?</t>
  </si>
  <si>
    <t>level</t>
  </si>
  <si>
    <t>now</t>
  </si>
  <si>
    <t># text = And how fast do you think we are moving?</t>
  </si>
  <si>
    <t>fast</t>
  </si>
  <si>
    <t>moving</t>
  </si>
  <si>
    <t># text = LP: Well, this is the state of the art right now, understanding cats on YouTube and things like that, improving voice recognition.</t>
  </si>
  <si>
    <t>right</t>
  </si>
  <si>
    <t>improving</t>
  </si>
  <si>
    <t># text = We used a lot of machine learning to improve things incrementally, but I think for me, this example's really exciting, because it's one program that can do a lot of different things.</t>
  </si>
  <si>
    <t>used</t>
  </si>
  <si>
    <t>incrementally</t>
  </si>
  <si>
    <t>example</t>
  </si>
  <si>
    <t>different</t>
  </si>
  <si>
    <t># text = CR: I don't know if we can do this, but we've got the image of the cat.</t>
  </si>
  <si>
    <t>image</t>
  </si>
  <si>
    <t>cat</t>
  </si>
  <si>
    <t># text = It would be wonderful to see this.</t>
  </si>
  <si>
    <t>would</t>
  </si>
  <si>
    <t>wonderful</t>
  </si>
  <si>
    <t># text = This is how machines looked at cats and what they came up with.</t>
  </si>
  <si>
    <t>looked</t>
  </si>
  <si>
    <t>came</t>
  </si>
  <si>
    <t># text = Can we see that image?</t>
  </si>
  <si>
    <t># text = LP: Yeah.</t>
  </si>
  <si>
    <t># text = CR: There it is.</t>
  </si>
  <si>
    <t>There</t>
  </si>
  <si>
    <t># text = Can you see the cat?</t>
  </si>
  <si>
    <t># text = Designed by machines, seen by machines.</t>
  </si>
  <si>
    <t>Designed</t>
  </si>
  <si>
    <t># text = LP: That's right.</t>
  </si>
  <si>
    <t># text = So this is learned from just watching YouTube.</t>
  </si>
  <si>
    <t>from</t>
  </si>
  <si>
    <t>watching</t>
  </si>
  <si>
    <t># text = And there's no training, no notion of a cat, but this concept of a cat is something important that you would understand, and now that the machines can kind of understand.</t>
  </si>
  <si>
    <t>no</t>
  </si>
  <si>
    <t>training</t>
  </si>
  <si>
    <t>notion</t>
  </si>
  <si>
    <t># text = Maybe just finishing also on the search part, it started with search, really understanding people's context and their information.</t>
  </si>
  <si>
    <t>Maybe</t>
  </si>
  <si>
    <t>finishing</t>
  </si>
  <si>
    <t>their</t>
  </si>
  <si>
    <t># text = I did have a video I wanted to show quickly on that that we actually found.</t>
  </si>
  <si>
    <t>did</t>
  </si>
  <si>
    <t>wanted</t>
  </si>
  <si>
    <t>found</t>
  </si>
  <si>
    <t># text = (Video)</t>
  </si>
  <si>
    <t>Video</t>
  </si>
  <si>
    <t>--</t>
  </si>
  <si>
    <t># text = [\"Soy, Kenya\"]</t>
  </si>
  <si>
    <t>[</t>
  </si>
  <si>
    <t>&amp;quot;</t>
  </si>
  <si>
    <t>Kenya</t>
  </si>
  <si>
    <t>]</t>
  </si>
  <si>
    <t># text = Zack Matere:</t>
  </si>
  <si>
    <t>Matere</t>
  </si>
  <si>
    <t># text = Not long ago, I planted a crop of potatoes.</t>
  </si>
  <si>
    <t>Not</t>
  </si>
  <si>
    <t>planted</t>
  </si>
  <si>
    <t>crop</t>
  </si>
  <si>
    <t>potatoes</t>
  </si>
  <si>
    <t># text = Then suddenly they started dying one after the other.</t>
  </si>
  <si>
    <t>Then</t>
  </si>
  <si>
    <t>suddenly</t>
  </si>
  <si>
    <t>dying</t>
  </si>
  <si>
    <t>after</t>
  </si>
  <si>
    <t># text = I checked out the books and they didn't tell me much.</t>
  </si>
  <si>
    <t>checked</t>
  </si>
  <si>
    <t>books</t>
  </si>
  <si>
    <t># text = So, I went and I did a search.</t>
  </si>
  <si>
    <t># text = ["Zack Matere, Farmer"]</t>
  </si>
  <si>
    <t>Farmer</t>
  </si>
  <si>
    <t># text = Potato diseases.</t>
  </si>
  <si>
    <t>Potato</t>
  </si>
  <si>
    <t>diseases</t>
  </si>
  <si>
    <t># text = One of the websites told me that ants could be the problem.</t>
  </si>
  <si>
    <t>One</t>
  </si>
  <si>
    <t>websites</t>
  </si>
  <si>
    <t>told</t>
  </si>
  <si>
    <t>ants</t>
  </si>
  <si>
    <t>could</t>
  </si>
  <si>
    <t>problem</t>
  </si>
  <si>
    <t># text = It said, sprinkle wood ash over the plants.</t>
  </si>
  <si>
    <t>sprinkle</t>
  </si>
  <si>
    <t>wood</t>
  </si>
  <si>
    <t>ash</t>
  </si>
  <si>
    <t>over</t>
  </si>
  <si>
    <t>plants</t>
  </si>
  <si>
    <t># text = Then after a few days the ants disappeared.</t>
  </si>
  <si>
    <t>few</t>
  </si>
  <si>
    <t>days</t>
  </si>
  <si>
    <t>disappeared</t>
  </si>
  <si>
    <t># text = I got excited about the Internet.</t>
  </si>
  <si>
    <t># text = I have this friend who really would like to expand his business.</t>
  </si>
  <si>
    <t>friend</t>
  </si>
  <si>
    <t>expand</t>
  </si>
  <si>
    <t>business</t>
  </si>
  <si>
    <t># text = So I went with him to the cyber cafe and we checked out several sites.</t>
  </si>
  <si>
    <t>him</t>
  </si>
  <si>
    <t>cyber</t>
  </si>
  <si>
    <t>cafe</t>
  </si>
  <si>
    <t>several</t>
  </si>
  <si>
    <t>sites</t>
  </si>
  <si>
    <t># text = When I met him next, he was going to put a windmill at the local school.</t>
  </si>
  <si>
    <t>met</t>
  </si>
  <si>
    <t>next</t>
  </si>
  <si>
    <t>put</t>
  </si>
  <si>
    <t>windmill</t>
  </si>
  <si>
    <t>local</t>
  </si>
  <si>
    <t># text = I felt proud because something that wasn't there before was suddenly there.</t>
  </si>
  <si>
    <t>felt</t>
  </si>
  <si>
    <t>proud</t>
  </si>
  <si>
    <t>pron.padv</t>
  </si>
  <si>
    <t># text = I realized that not everybody can be able to access what I was able to access.</t>
  </si>
  <si>
    <t>everybody</t>
  </si>
  <si>
    <t>access</t>
  </si>
  <si>
    <t># text = I thought that I need to have an Internet that my grandmother can use.</t>
  </si>
  <si>
    <t>thought</t>
  </si>
  <si>
    <t>grandmother</t>
  </si>
  <si>
    <t>use</t>
  </si>
  <si>
    <t># text = So I thought about a notice board.</t>
  </si>
  <si>
    <t>notice</t>
  </si>
  <si>
    <t># text = A simple wooden notice board.</t>
  </si>
  <si>
    <t>A</t>
  </si>
  <si>
    <t>simple</t>
  </si>
  <si>
    <t>wooden</t>
  </si>
  <si>
    <t># text = When I get information on my phone, I'm able to post the information on the notice board.</t>
  </si>
  <si>
    <t>phone</t>
  </si>
  <si>
    <t>post</t>
  </si>
  <si>
    <t># text = So it's basically like a computer.</t>
  </si>
  <si>
    <t># text = I use the Internet to help people.</t>
  </si>
  <si>
    <t># text = I think I am searching for a better life for me and my neighbors.</t>
  </si>
  <si>
    <t>am</t>
  </si>
  <si>
    <t>searching</t>
  </si>
  <si>
    <t>better</t>
  </si>
  <si>
    <t>life</t>
  </si>
  <si>
    <t>neighbors</t>
  </si>
  <si>
    <t># text = So many people have access to information, but there's no follow-up to that.</t>
  </si>
  <si>
    <t>many</t>
  </si>
  <si>
    <t>follow</t>
  </si>
  <si>
    <t># text = I think the follow-up to that is our knowledge.</t>
  </si>
  <si>
    <t>knowledge</t>
  </si>
  <si>
    <t># text = When people have the knowledge, they can find solutions without having to helped out.</t>
  </si>
  <si>
    <t>solutions</t>
  </si>
  <si>
    <t>without</t>
  </si>
  <si>
    <t># text = Information is powerful, but it is how we use it that will define us.</t>
  </si>
  <si>
    <t>Information</t>
  </si>
  <si>
    <t>powerful</t>
  </si>
  <si>
    <t>define</t>
  </si>
  <si>
    <t># text = (Applause) LP: Now, the amazing thing about that video, actually, was we just read about it in the news, and we found this gentlemen, and made that little clip.</t>
  </si>
  <si>
    <t>read</t>
  </si>
  <si>
    <t>news</t>
  </si>
  <si>
    <t>gentlemen</t>
  </si>
  <si>
    <t>made</t>
  </si>
  <si>
    <t>little</t>
  </si>
  <si>
    <t>clip</t>
  </si>
  <si>
    <t># text = CR: When I talk to people about you, they say to me, people who know you well, say, Larry wants to change the world, and he believes technology can show the way.</t>
  </si>
  <si>
    <t>well</t>
  </si>
  <si>
    <t>wants</t>
  </si>
  <si>
    <t>change</t>
  </si>
  <si>
    <t>believes</t>
  </si>
  <si>
    <t>technology</t>
  </si>
  <si>
    <t># text = And that means access to the Internet.</t>
  </si>
  <si>
    <t>means</t>
  </si>
  <si>
    <t># text = It has to do with languages.</t>
  </si>
  <si>
    <t>languages</t>
  </si>
  <si>
    <t># text = It also means how people can get access and do things that will affect their community, and this is an example.</t>
  </si>
  <si>
    <t>affect</t>
  </si>
  <si>
    <t>community</t>
  </si>
  <si>
    <t># text = LP: Yeah, that's right, and I think for me, I have been focusing on access more, if we're talking about the future.</t>
  </si>
  <si>
    <t>focusing</t>
  </si>
  <si>
    <t>talking</t>
  </si>
  <si>
    <t># text = We recently released this Loon Project which is using balloons to do it.</t>
  </si>
  <si>
    <t>released</t>
  </si>
  <si>
    <t>Loon</t>
  </si>
  <si>
    <t>Project</t>
  </si>
  <si>
    <t>using</t>
  </si>
  <si>
    <t>balloons</t>
  </si>
  <si>
    <t># text = It sounds totally crazy.</t>
  </si>
  <si>
    <t>sounds</t>
  </si>
  <si>
    <t># text = We can show the video here.</t>
  </si>
  <si>
    <t># text = Actually, two out of three people in the world don't have good Internet access now.</t>
  </si>
  <si>
    <t>Actually</t>
  </si>
  <si>
    <t>two</t>
  </si>
  <si>
    <t>three</t>
  </si>
  <si>
    <t># text = We actually think this can really help people sort of cost-efficiently.</t>
  </si>
  <si>
    <t>cost-efficiently</t>
  </si>
  <si>
    <t># text = CR: It's a balloon.</t>
  </si>
  <si>
    <t>balloon</t>
  </si>
  <si>
    <t># text = LP: Yeah, get access to the Internet.</t>
  </si>
  <si>
    <t># text = CR: And why does this balloon give you access to the Internet?</t>
  </si>
  <si>
    <t># text = Because there was some interesting things you had to do to figure out how to make balloons possible, they didn't have to be tethered.</t>
  </si>
  <si>
    <t>Because</t>
  </si>
  <si>
    <t>had</t>
  </si>
  <si>
    <t>figure</t>
  </si>
  <si>
    <t>possible</t>
  </si>
  <si>
    <t>tethered</t>
  </si>
  <si>
    <t># text = LP: Yeah, and this is a good example of innovation.</t>
  </si>
  <si>
    <t>innovation</t>
  </si>
  <si>
    <t># text = Like, we've been thinking about this idea for five years or more before we started working on it, but it was just really, how do we get access points up high, cheaply?</t>
  </si>
  <si>
    <t>Like</t>
  </si>
  <si>
    <t>idea</t>
  </si>
  <si>
    <t>five</t>
  </si>
  <si>
    <t>working</t>
  </si>
  <si>
    <t>high</t>
  </si>
  <si>
    <t>cheaply</t>
  </si>
  <si>
    <t># text = You normally have to use satellites and it takes a long time to launch them.</t>
  </si>
  <si>
    <t>normally</t>
  </si>
  <si>
    <t>satellites</t>
  </si>
  <si>
    <t>launch</t>
  </si>
  <si>
    <t># text = But you saw there how easy it is to launch a balloon and get it up, and actually again, it's the power of the Internet, I did a search on it, and I found, 30, 40 years ago, someone had put up a balloon and it had gone around the Earth multiple times.</t>
  </si>
  <si>
    <t>saw</t>
  </si>
  <si>
    <t>easy</t>
  </si>
  <si>
    <t>again</t>
  </si>
  <si>
    <t>power</t>
  </si>
  <si>
    <t>someone</t>
  </si>
  <si>
    <t>pron.pind</t>
  </si>
  <si>
    <t>gone</t>
  </si>
  <si>
    <t>around</t>
  </si>
  <si>
    <t>Earth</t>
  </si>
  <si>
    <t>multiple</t>
  </si>
  <si>
    <t>times</t>
  </si>
  <si>
    <t># text = And I thought, why can't we do that today?</t>
  </si>
  <si>
    <t>ca</t>
  </si>
  <si>
    <t>today</t>
  </si>
  <si>
    <t># text = And that's how this project got going.</t>
  </si>
  <si>
    <t>project</t>
  </si>
  <si>
    <t># text = CR: But are you at the mercy of the wind?</t>
  </si>
  <si>
    <t>mercy</t>
  </si>
  <si>
    <t>wind</t>
  </si>
  <si>
    <t># text = LP: Yeah, but it turns out, we did some weather simulations which probably hadn't really been done before, and if you control the altitude of the balloons, which you can do by pumping air into them and other ways, you can actually control roughly where they go, and so I think we can build a worldwide mesh of these balloons that can cover the whole planet.</t>
  </si>
  <si>
    <t>turns</t>
  </si>
  <si>
    <t>weather</t>
  </si>
  <si>
    <t>simulations</t>
  </si>
  <si>
    <t>probably</t>
  </si>
  <si>
    <t>control</t>
  </si>
  <si>
    <t>altitude</t>
  </si>
  <si>
    <t>pumping</t>
  </si>
  <si>
    <t>air</t>
  </si>
  <si>
    <t>OBJ_8</t>
  </si>
  <si>
    <t>into</t>
  </si>
  <si>
    <t>other_8</t>
  </si>
  <si>
    <t>ways</t>
  </si>
  <si>
    <t>roughly</t>
  </si>
  <si>
    <t>build</t>
  </si>
  <si>
    <t>worldwide</t>
  </si>
  <si>
    <t>mesh</t>
  </si>
  <si>
    <t>cover</t>
  </si>
  <si>
    <t>whole</t>
  </si>
  <si>
    <t>planet</t>
  </si>
  <si>
    <t># text = CR: Before I talk about the future and transportation, where you've been a nerd for a while, and this fascination you have with transportation and automated cars and bicycles, let me talk a bit about what's been the subject here earlier with Edward Snowden.</t>
  </si>
  <si>
    <t>Before</t>
  </si>
  <si>
    <t>transportation</t>
  </si>
  <si>
    <t>nerd</t>
  </si>
  <si>
    <t>while</t>
  </si>
  <si>
    <t>fascination</t>
  </si>
  <si>
    <t>automated</t>
  </si>
  <si>
    <t>cars</t>
  </si>
  <si>
    <t>bicycles</t>
  </si>
  <si>
    <t>subject</t>
  </si>
  <si>
    <t>earlier</t>
  </si>
  <si>
    <t>Edward</t>
  </si>
  <si>
    <t>Snowden</t>
  </si>
  <si>
    <t># text = It is security and privacy.</t>
  </si>
  <si>
    <t>security</t>
  </si>
  <si>
    <t># text = You have to have been thinking about that.</t>
  </si>
  <si>
    <t># text = LP: Yeah, absolutely.</t>
  </si>
  <si>
    <t>absolutely</t>
  </si>
  <si>
    <t># text = I saw the picture of Sergey with Edward Snowden yesterday.</t>
  </si>
  <si>
    <t>picture</t>
  </si>
  <si>
    <t>Sergey</t>
  </si>
  <si>
    <t>yesterday</t>
  </si>
  <si>
    <t># text = Some of you may have seen it.</t>
  </si>
  <si>
    <t>Some</t>
  </si>
  <si>
    <t># text = But I think, for me, I guess, privacy and security are a really important thing.</t>
  </si>
  <si>
    <t># text = We think about it in terms of both things, and I think you can't have privacy without security, so let me just talk about security first, because you asked about Snowden and all of that, and then I'll say a little bit about privacy.</t>
  </si>
  <si>
    <t>both</t>
  </si>
  <si>
    <t>def-np.quant</t>
  </si>
  <si>
    <t>asked</t>
  </si>
  <si>
    <t>then</t>
  </si>
  <si>
    <t># text = I think for me, it's tremendously disappointing that the government secretly did all this stuff and didn't tell us.</t>
  </si>
  <si>
    <t>tremendously</t>
  </si>
  <si>
    <t>disappointing</t>
  </si>
  <si>
    <t>government</t>
  </si>
  <si>
    <t>secretly</t>
  </si>
  <si>
    <t>stuff</t>
  </si>
  <si>
    <t># text = I don't think we can have a democracy if we're having to protect you and our users from the government for stuff that we've never had a conversation about.</t>
  </si>
  <si>
    <t>democracy</t>
  </si>
  <si>
    <t>protect</t>
  </si>
  <si>
    <t>users</t>
  </si>
  <si>
    <t>never</t>
  </si>
  <si>
    <t># text = And I don't mean we have to know what the particular terrorist attack is they're worried about protecting us from, but we do need to know what the parameters of it is, what kind of surveillance the government's going to do and how and why, and I think we haven't had that conversation.</t>
  </si>
  <si>
    <t>particular</t>
  </si>
  <si>
    <t>terrorist</t>
  </si>
  <si>
    <t>attack</t>
  </si>
  <si>
    <t>worried</t>
  </si>
  <si>
    <t>protecting</t>
  </si>
  <si>
    <t>parameters</t>
  </si>
  <si>
    <t>indef-np</t>
  </si>
  <si>
    <t>surveillance</t>
  </si>
  <si>
    <t>SBJ_8</t>
  </si>
  <si>
    <t>SBJ_9</t>
  </si>
  <si>
    <t>OBJ_9</t>
  </si>
  <si>
    <t># text = So I think the government's actually done itself a tremendous disservice by doing all that in secret.</t>
  </si>
  <si>
    <t>tremendous</t>
  </si>
  <si>
    <t>disservice</t>
  </si>
  <si>
    <t>secret</t>
  </si>
  <si>
    <t># text = CR: Never coming to Google to ask for anything.</t>
  </si>
  <si>
    <t>Never</t>
  </si>
  <si>
    <t>ask</t>
  </si>
  <si>
    <t>anything</t>
  </si>
  <si>
    <t># text = LP: Not Google, but the public.</t>
  </si>
  <si>
    <t>public</t>
  </si>
  <si>
    <t># text = I think we need to have a debate about that, or we can't have a functioning democracy.</t>
  </si>
  <si>
    <t>debate</t>
  </si>
  <si>
    <t>functioning</t>
  </si>
  <si>
    <t># text = It's just not possible.</t>
  </si>
  <si>
    <t># text = So I'm sad that Google's in the position of protecting you and our users doing secret thing that nobody knows about.</t>
  </si>
  <si>
    <t>sad</t>
  </si>
  <si>
    <t>position</t>
  </si>
  <si>
    <t>nobody</t>
  </si>
  <si>
    <t># text = It doesn't make any sense.</t>
  </si>
  <si>
    <t>any</t>
  </si>
  <si>
    <t># text = CR: Yeah.</t>
  </si>
  <si>
    <t># text = And then there's a privacy side of it.</t>
  </si>
  <si>
    <t>side</t>
  </si>
  <si>
    <t># text = LP: Yes.</t>
  </si>
  <si>
    <t>Yes</t>
  </si>
  <si>
    <t># text = The privacy side, I think it's -- the world is changing.</t>
  </si>
  <si>
    <t>changing</t>
  </si>
  <si>
    <t># text = You carry a phone.</t>
  </si>
  <si>
    <t># text = It knows where you are.</t>
  </si>
  <si>
    <t># text = There's so much more information about you, and that's an important thing, and it makes sense why people are asking difficult questions.</t>
  </si>
  <si>
    <t>makes</t>
  </si>
  <si>
    <t>asking</t>
  </si>
  <si>
    <t>difficult</t>
  </si>
  <si>
    <t>questions</t>
  </si>
  <si>
    <t># text = We spend a lot of time thinking about this and what the issues are.</t>
  </si>
  <si>
    <t>issues</t>
  </si>
  <si>
    <t># text = I'm a little bit -- I think the main thing that we need to do is just provide people choice, show them what data's being collected -- search history, location data.</t>
  </si>
  <si>
    <t>main</t>
  </si>
  <si>
    <t>provide</t>
  </si>
  <si>
    <t>choice</t>
  </si>
  <si>
    <t>data</t>
  </si>
  <si>
    <t>being</t>
  </si>
  <si>
    <t>collected</t>
  </si>
  <si>
    <t>history</t>
  </si>
  <si>
    <t>location</t>
  </si>
  <si>
    <t># text = We're excited about incognito mode in Chrome, and doing that in more ways, just giving people more choice and more awareness of what's going on.</t>
  </si>
  <si>
    <t>incognito</t>
  </si>
  <si>
    <t>mode</t>
  </si>
  <si>
    <t>Chrome</t>
  </si>
  <si>
    <t>giving</t>
  </si>
  <si>
    <t>awareness</t>
  </si>
  <si>
    <t># text = I also think it's very easy.</t>
  </si>
  <si>
    <t># text = What I'm worried is that we throw out the baby with the bathwater.</t>
  </si>
  <si>
    <t>What</t>
  </si>
  <si>
    <t>throw</t>
  </si>
  <si>
    <t>baby</t>
  </si>
  <si>
    <t>bathwater</t>
  </si>
  <si>
    <t># text = And I look at, on your show, actually, I kind of lost my voice, and I haven't gotten it back.</t>
  </si>
  <si>
    <t>lost</t>
  </si>
  <si>
    <t>gotten</t>
  </si>
  <si>
    <t># text = I'm hoping that by talking to you I'm going to get it back.</t>
  </si>
  <si>
    <t>hoping</t>
  </si>
  <si>
    <t># text = CR: If I could do anything, I would do that.</t>
  </si>
  <si>
    <t># text = LP: All right.</t>
  </si>
  <si>
    <t>All</t>
  </si>
  <si>
    <t># text = So get out your voodoo doll and whatever you need to do.</t>
  </si>
  <si>
    <t>voodoo</t>
  </si>
  <si>
    <t>doll</t>
  </si>
  <si>
    <t>whatever</t>
  </si>
  <si>
    <t># text = But I think, you know what, I look at that, I made that public, and I got all this information.</t>
  </si>
  <si>
    <t># text = We got a survey done on medical conditions with people who have similar issues, and I look at medical records, and I say, wouldn't it be amazing if everyone's medical records were available anonymously to research doctors?</t>
  </si>
  <si>
    <t>survey</t>
  </si>
  <si>
    <t>medical</t>
  </si>
  <si>
    <t>conditions</t>
  </si>
  <si>
    <t>similar</t>
  </si>
  <si>
    <t>records</t>
  </si>
  <si>
    <t>everyone</t>
  </si>
  <si>
    <t>available</t>
  </si>
  <si>
    <t>anonymously</t>
  </si>
  <si>
    <t>doctors</t>
  </si>
  <si>
    <t># text = And when someone accesses your medical record, a research doctor, they could see, you could see which doctor accessed it and why, and you could maybe learn about what conditions you have.</t>
  </si>
  <si>
    <t>accesses</t>
  </si>
  <si>
    <t>record</t>
  </si>
  <si>
    <t>doctor</t>
  </si>
  <si>
    <t>accessed</t>
  </si>
  <si>
    <t># text = I think if we just did that, we'd save 100,000 lives this year.</t>
  </si>
  <si>
    <t>'d</t>
  </si>
  <si>
    <t>save</t>
  </si>
  <si>
    <t>100,000</t>
  </si>
  <si>
    <t>lives</t>
  </si>
  <si>
    <t>year</t>
  </si>
  <si>
    <t># text = CR: Absolutely.</t>
  </si>
  <si>
    <t>Absolutely</t>
  </si>
  <si>
    <t># text = Let me go — (Applause) LP: So I guess I'm just very worried that with Internet privacy, we're doing the same thing we're doing with medical records, is we're throwing out the baby with the bathwater, and we're not really thinking about the tremendous good that can come from people sharing information with the right people in the right ways.</t>
  </si>
  <si>
    <t>Let</t>
  </si>
  <si>
    <t>throwing</t>
  </si>
  <si>
    <t>come</t>
  </si>
  <si>
    <t>sharing</t>
  </si>
  <si>
    <t>other_9</t>
  </si>
  <si>
    <t># text = CR:</t>
  </si>
  <si>
    <t># text = And the necessary condition that people have to have confidence that their information will not be abused.</t>
  </si>
  <si>
    <t>necessary</t>
  </si>
  <si>
    <t>confidence</t>
  </si>
  <si>
    <t>abused</t>
  </si>
  <si>
    <t># text = LP: Yeah, and I had this problem with my voice stuff.</t>
  </si>
  <si>
    <t># text = I was scared to share it.</t>
  </si>
  <si>
    <t>scared</t>
  </si>
  <si>
    <t>share</t>
  </si>
  <si>
    <t># text = Sergey encouraged me to do that, and it was a great thing to do.</t>
  </si>
  <si>
    <t>encouraged</t>
  </si>
  <si>
    <t>great</t>
  </si>
  <si>
    <t># text = CR: And the response has been overwhelming.</t>
  </si>
  <si>
    <t>response</t>
  </si>
  <si>
    <t>overwhelming</t>
  </si>
  <si>
    <t># text = LP: Yeah, and people are super positive.</t>
  </si>
  <si>
    <t>super</t>
  </si>
  <si>
    <t>positive</t>
  </si>
  <si>
    <t># text = We got thousands and thousands of people with similar conditions, which there's no data on today.</t>
  </si>
  <si>
    <t>thousands</t>
  </si>
  <si>
    <t># text = So it was a really good thing.</t>
  </si>
  <si>
    <t># text = CR: So talking about the future, what is it about you and transportation systems?</t>
  </si>
  <si>
    <t>systems</t>
  </si>
  <si>
    <t># text = I guess I was just frustrated with this when I was at college in Michigan.</t>
  </si>
  <si>
    <t>frustrated</t>
  </si>
  <si>
    <t>college</t>
  </si>
  <si>
    <t>Michigan</t>
  </si>
  <si>
    <t># text = I had to get on the bus and take it and wait for it.</t>
  </si>
  <si>
    <t>bus</t>
  </si>
  <si>
    <t>wait</t>
  </si>
  <si>
    <t># text = And it was cold and snowing.</t>
  </si>
  <si>
    <t>cold</t>
  </si>
  <si>
    <t>snowing</t>
  </si>
  <si>
    <t># text = I did some research on how much it cost, and I just became a bit obsessed with transportation systems.</t>
  </si>
  <si>
    <t>cost</t>
  </si>
  <si>
    <t>became</t>
  </si>
  <si>
    <t>obsessed</t>
  </si>
  <si>
    <t># text = CR: And that began the idea of an automated car.</t>
  </si>
  <si>
    <t>car</t>
  </si>
  <si>
    <t># text = LP: Yeah, about 18 years ago I learned about people working on automated cars, and I became fascinated by that, and it takes a while to get these projects going, but I'm super excited about the possibilities of that improving the world.</t>
  </si>
  <si>
    <t>fascinated</t>
  </si>
  <si>
    <t>projects</t>
  </si>
  <si>
    <t>possibilities</t>
  </si>
  <si>
    <t># text = There's 20 million people or more injured per year.</t>
  </si>
  <si>
    <t>million</t>
  </si>
  <si>
    <t>injured</t>
  </si>
  <si>
    <t>per</t>
  </si>
  <si>
    <t># text = It's the leading cause of death for people under 34 in the U.S. CR: So you're talking about saving lives.</t>
  </si>
  <si>
    <t>leading</t>
  </si>
  <si>
    <t>cause</t>
  </si>
  <si>
    <t>death</t>
  </si>
  <si>
    <t>under</t>
  </si>
  <si>
    <t>U.S.</t>
  </si>
  <si>
    <t>saving</t>
  </si>
  <si>
    <t># text = LP: Yeah, and also saving space and making life better.</t>
  </si>
  <si>
    <t>space</t>
  </si>
  <si>
    <t>making</t>
  </si>
  <si>
    <t># text = Los Angeles is half parking lots and roads, half of the area, and most cities are not far behind, actually.</t>
  </si>
  <si>
    <t>Los</t>
  </si>
  <si>
    <t>Angeles</t>
  </si>
  <si>
    <t>half</t>
  </si>
  <si>
    <t>parking</t>
  </si>
  <si>
    <t>lots</t>
  </si>
  <si>
    <t>roads</t>
  </si>
  <si>
    <t>area</t>
  </si>
  <si>
    <t>cities</t>
  </si>
  <si>
    <t>far</t>
  </si>
  <si>
    <t>behind</t>
  </si>
  <si>
    <t># text = It's just crazy that that's what we use our space for.</t>
  </si>
  <si>
    <t># text = CR: And how soon will we be there?</t>
  </si>
  <si>
    <t>soon</t>
  </si>
  <si>
    <t># text = LP: I think we can be there very, very soon.</t>
  </si>
  <si>
    <t># text = We've driven well over 100,000 miles now totally automated.</t>
  </si>
  <si>
    <t>driven</t>
  </si>
  <si>
    <t>miles</t>
  </si>
  <si>
    <t># text = I'm super excited about getting that out quickly.</t>
  </si>
  <si>
    <t>getting</t>
  </si>
  <si>
    <t># text = CR: But it's not only you're talking about automated cars.</t>
  </si>
  <si>
    <t>only</t>
  </si>
  <si>
    <t># text = You also have this idea for bicycles.</t>
  </si>
  <si>
    <t># text = LP: Well at Google, we got this idea that we should just provide free bikes to everyone, and that's been amazing, most of the trips.</t>
  </si>
  <si>
    <t>should</t>
  </si>
  <si>
    <t>free</t>
  </si>
  <si>
    <t>bikes</t>
  </si>
  <si>
    <t>trips</t>
  </si>
  <si>
    <t># text = You see bikes going everywhere, and the bikes wear out.</t>
  </si>
  <si>
    <t>everywhere</t>
  </si>
  <si>
    <t>wear</t>
  </si>
  <si>
    <t># text = They're getting used 24 hours a day.</t>
  </si>
  <si>
    <t>hours</t>
  </si>
  <si>
    <t># text = CR: But you want to put them above the street, too.</t>
  </si>
  <si>
    <t>above</t>
  </si>
  <si>
    <t>street</t>
  </si>
  <si>
    <t>too</t>
  </si>
  <si>
    <t># text = LP:</t>
  </si>
  <si>
    <t># text = Well I said, how do we get people using bikes more?</t>
  </si>
  <si>
    <t># text = CR: We may have a video here.</t>
  </si>
  <si>
    <t># text = LP: Yeah, let's show the video.</t>
  </si>
  <si>
    <t># text = I just got excited about this.</t>
  </si>
  <si>
    <t># text = (Music)</t>
  </si>
  <si>
    <t>Music</t>
  </si>
  <si>
    <t># text = So this is actually how you might separate bikes from cars with minimal cost.</t>
  </si>
  <si>
    <t>might</t>
  </si>
  <si>
    <t>separate</t>
  </si>
  <si>
    <t>minimal</t>
  </si>
  <si>
    <t># text = Anyway, it looks totally crazy, but I was actually thinking about our campus, working with the Zippies and stuff, and just trying to get a lot more bike usage, and I was thinking about, how do you cost-effectively separate the bikes from traffic?</t>
  </si>
  <si>
    <t>Anyway</t>
  </si>
  <si>
    <t>looks</t>
  </si>
  <si>
    <t>campus</t>
  </si>
  <si>
    <t>Zippies</t>
  </si>
  <si>
    <t>bike</t>
  </si>
  <si>
    <t>usage</t>
  </si>
  <si>
    <t>cost-effectively</t>
  </si>
  <si>
    <t>traffic</t>
  </si>
  <si>
    <t># text = And I went and searched, and this is what I found.</t>
  </si>
  <si>
    <t>searched</t>
  </si>
  <si>
    <t># text = And we're not actually working on this, that particular thing, but it gets your imagination going.</t>
  </si>
  <si>
    <t>gets</t>
  </si>
  <si>
    <t>imagination</t>
  </si>
  <si>
    <t># text = CR: Let me close with this.</t>
  </si>
  <si>
    <t>close</t>
  </si>
  <si>
    <t># text = Give me a sense of the philosophy of your own mind.</t>
  </si>
  <si>
    <t>Give</t>
  </si>
  <si>
    <t>own</t>
  </si>
  <si>
    <t>mind</t>
  </si>
  <si>
    <t># text = You have this idea of [Google X].</t>
  </si>
  <si>
    <t>X</t>
  </si>
  <si>
    <t># text = You don't simply want to go in some small, measurable arena of progress.</t>
  </si>
  <si>
    <t>simply</t>
  </si>
  <si>
    <t>small</t>
  </si>
  <si>
    <t>measurable</t>
  </si>
  <si>
    <t>arena</t>
  </si>
  <si>
    <t>progress</t>
  </si>
  <si>
    <t># text = LP: Yeah, I think many of the things we just talked about are like that, where they're really -- I almost use the economic concept of additionality, which means that you're doing something that wouldn't happen unless you were actually doing it.</t>
  </si>
  <si>
    <t>talked</t>
  </si>
  <si>
    <t>almost</t>
  </si>
  <si>
    <t>economic</t>
  </si>
  <si>
    <t>additionality</t>
  </si>
  <si>
    <t>happen</t>
  </si>
  <si>
    <t>unless</t>
  </si>
  <si>
    <t># text = And I think the more you can do things like that, the bigger impact you have, and that's about doing things that people might not think are possible.</t>
  </si>
  <si>
    <t>bigger</t>
  </si>
  <si>
    <t>impact</t>
  </si>
  <si>
    <t># text = And I've been amazed, the more I learn about technology, the more I realize I don't know, and that's because this technological horizon, the thing that you can see to do next, the more you learn about technology, the more you learn what's possible.</t>
  </si>
  <si>
    <t>amazed</t>
  </si>
  <si>
    <t>technological</t>
  </si>
  <si>
    <t>horizon</t>
  </si>
  <si>
    <t># text = You learn that the balloons are possible because there's some material that will work for them.</t>
  </si>
  <si>
    <t>material</t>
  </si>
  <si>
    <t># text = CR: What's interesting about you too, though, for me, is that, we have lots of people who are thinking about the future, and they are going and looking and they're coming back, but we never see the implementation.</t>
  </si>
  <si>
    <t>though</t>
  </si>
  <si>
    <t>implementation</t>
  </si>
  <si>
    <t># text = I think of somebody you knew and read about, Tesla.</t>
  </si>
  <si>
    <t>somebody</t>
  </si>
  <si>
    <t>knew</t>
  </si>
  <si>
    <t>Tesla</t>
  </si>
  <si>
    <t># text = The principle of that for you is what?</t>
  </si>
  <si>
    <t>principle</t>
  </si>
  <si>
    <t># text = LP: Well, I think invention is not enough.</t>
  </si>
  <si>
    <t>invention</t>
  </si>
  <si>
    <t>enough</t>
  </si>
  <si>
    <t># text = If you invent something, Tesla invented electric power that we use, but he struggled to get it out to people.</t>
  </si>
  <si>
    <t>invented</t>
  </si>
  <si>
    <t>electric</t>
  </si>
  <si>
    <t>struggled</t>
  </si>
  <si>
    <t># text = That had to be done by other people.</t>
  </si>
  <si>
    <t># text = It took a long time.</t>
  </si>
  <si>
    <t>took</t>
  </si>
  <si>
    <t># text = And I think if we can actually combine both things, where we have an innovation and invention focus, plus the ability to really -- a company that can really commercialize things and get them to people in a way that's positive for the world and to give people hope.</t>
  </si>
  <si>
    <t>combine</t>
  </si>
  <si>
    <t>focus</t>
  </si>
  <si>
    <t>plus</t>
  </si>
  <si>
    <t>ability</t>
  </si>
  <si>
    <t>commercialize</t>
  </si>
  <si>
    <t>OBJ_10</t>
  </si>
  <si>
    <t># text = You know, I'm amazed with the Loon Project just how excited people were about that, because it gave them hope for the two thirds of the world that doesn't have Internet right now that's any good.</t>
  </si>
  <si>
    <t>gave</t>
  </si>
  <si>
    <t>thirds</t>
  </si>
  <si>
    <t># text = CR: Which is a second thing about corporations.</t>
  </si>
  <si>
    <t>Which</t>
  </si>
  <si>
    <t>second</t>
  </si>
  <si>
    <t>corporations</t>
  </si>
  <si>
    <t># text = You are one of those people who believe that corporations are an agent of change if they are run well.</t>
  </si>
  <si>
    <t>those</t>
  </si>
  <si>
    <t>believe</t>
  </si>
  <si>
    <t>agent</t>
  </si>
  <si>
    <t># text = I'm really dismayed most people think companies are basically evil.</t>
  </si>
  <si>
    <t>dismayed</t>
  </si>
  <si>
    <t>companies</t>
  </si>
  <si>
    <t>evil</t>
  </si>
  <si>
    <t># text = They get a bad rap.</t>
  </si>
  <si>
    <t>bad</t>
  </si>
  <si>
    <t>rap</t>
  </si>
  <si>
    <t># text = And I think that's somewhat correct.</t>
  </si>
  <si>
    <t>somewhat</t>
  </si>
  <si>
    <t>correct</t>
  </si>
  <si>
    <t># text = Companies are doing the same incremental thing that they did 50 years ago or 20 years ago.</t>
  </si>
  <si>
    <t>Companies</t>
  </si>
  <si>
    <t>incremental</t>
  </si>
  <si>
    <t># text = That's not really what we need.</t>
  </si>
  <si>
    <t># text = We need, especially in technology, we need revolutionary change, not incremental change.</t>
  </si>
  <si>
    <t>especially</t>
  </si>
  <si>
    <t>revolutionary</t>
  </si>
  <si>
    <t># text = CR: You once said, actually, as I think I've got this about right, that you might consider, rather than giving your money, if you were leaving it to some cause, just simply giving it to Elon Musk, because you had confidence that he would change the future, and that you would therefore — LP: Yeah, if you want to go Mars, he wants to go to Mars, to back up humanity, that's a worthy goal, but it's a company, and it's philanthropical.</t>
  </si>
  <si>
    <t>once</t>
  </si>
  <si>
    <t>as</t>
  </si>
  <si>
    <t>consider</t>
  </si>
  <si>
    <t>rather</t>
  </si>
  <si>
    <t>money</t>
  </si>
  <si>
    <t>leaving</t>
  </si>
  <si>
    <t>Elon</t>
  </si>
  <si>
    <t>Musk</t>
  </si>
  <si>
    <t>therefore</t>
  </si>
  <si>
    <t>Mars</t>
  </si>
  <si>
    <t>humanity</t>
  </si>
  <si>
    <t>worthy</t>
  </si>
  <si>
    <t>goal</t>
  </si>
  <si>
    <t>philanthropical</t>
  </si>
  <si>
    <t># text = So I think we aim to do kind of similar things.</t>
  </si>
  <si>
    <t>aim</t>
  </si>
  <si>
    <t># text = And I think, you ask, we have a lot of employees at Google who have become pretty wealthy.</t>
  </si>
  <si>
    <t>employees</t>
  </si>
  <si>
    <t>become</t>
  </si>
  <si>
    <t>pretty</t>
  </si>
  <si>
    <t>wealthy</t>
  </si>
  <si>
    <t># text = People make a lot of money in technology.</t>
  </si>
  <si>
    <t>People</t>
  </si>
  <si>
    <t># text = A lot of people in the room are pretty wealthy.</t>
  </si>
  <si>
    <t>room</t>
  </si>
  <si>
    <t># text = You're working because you want to change the world.</t>
  </si>
  <si>
    <t># text = You want to make it better.</t>
  </si>
  <si>
    <t># text = Why isn't the company that you work for worthy not just of your time but your money as well?</t>
  </si>
  <si>
    <t>Why</t>
  </si>
  <si>
    <t># text = I mean, but we don't have a concept of that.</t>
  </si>
  <si>
    <t># text = That's not how we think about companies, and I think it's sad, because companies are most of our effort.</t>
  </si>
  <si>
    <t>effort</t>
  </si>
  <si>
    <t># text = They're where most of people's time is, where a lot of the money is, and so I think I'd like for us to help out more than we are.</t>
  </si>
  <si>
    <t># text = CR: When I close conversations with lots of people, I always ask this question:</t>
  </si>
  <si>
    <t>conversations</t>
  </si>
  <si>
    <t># text = What state of mind, what quality of mind is it that has served you best?</t>
  </si>
  <si>
    <t>quality</t>
  </si>
  <si>
    <t>served</t>
  </si>
  <si>
    <t>best</t>
  </si>
  <si>
    <t># text = People like Rupert Murdoch have said curiosity, and other people in the media have said that.</t>
  </si>
  <si>
    <t>Rupert</t>
  </si>
  <si>
    <t>Murdoch</t>
  </si>
  <si>
    <t>curiosity</t>
  </si>
  <si>
    <t>media</t>
  </si>
  <si>
    <t># text = Bill Gates and Warren Buffett have said focus.</t>
  </si>
  <si>
    <t>Bill</t>
  </si>
  <si>
    <t>Gates</t>
  </si>
  <si>
    <t>Warren</t>
  </si>
  <si>
    <t>Buffett</t>
  </si>
  <si>
    <t># text = What quality of mind, as I leave this audience, has enabled you to think about the future and at the same time change the present?</t>
  </si>
  <si>
    <t>leave</t>
  </si>
  <si>
    <t>audience</t>
  </si>
  <si>
    <t>enabled</t>
  </si>
  <si>
    <t>present</t>
  </si>
  <si>
    <t># text = LP: You know, I think the most important thing -- I looked at lots of companies and why I thought they don't succeed over time.</t>
  </si>
  <si>
    <t>succeed</t>
  </si>
  <si>
    <t># text = We've had a more rapid turnover of companies.</t>
  </si>
  <si>
    <t>rapid</t>
  </si>
  <si>
    <t>turnover</t>
  </si>
  <si>
    <t># text = And I said, what did they fundamentally do wrong?</t>
  </si>
  <si>
    <t>fundamentally</t>
  </si>
  <si>
    <t>wrong</t>
  </si>
  <si>
    <t># text = What did those companies all do wrong?</t>
  </si>
  <si>
    <t># text = And usually it's just that they missed the future.</t>
  </si>
  <si>
    <t>usually</t>
  </si>
  <si>
    <t>missed</t>
  </si>
  <si>
    <t># text = And so I think, for me, I just try to focus on that and say, what is that future really going to be and how do we create it, and how do we cause our organization, to really focus on that and drive that at a really high rate?</t>
  </si>
  <si>
    <t>try</t>
  </si>
  <si>
    <t>create</t>
  </si>
  <si>
    <t>organization</t>
  </si>
  <si>
    <t>rate</t>
  </si>
  <si>
    <t>other_10</t>
  </si>
  <si>
    <t># text = And so that's been curiosity, it's been looking at things people might not think about, working on things that no one else is working on, because that's where the additionality really is, and be willing to do that, to take that risk.</t>
  </si>
  <si>
    <t>else</t>
  </si>
  <si>
    <t>willing</t>
  </si>
  <si>
    <t>risk</t>
  </si>
  <si>
    <t># text = Look at Android.</t>
  </si>
  <si>
    <t>Look</t>
  </si>
  <si>
    <t>Android</t>
  </si>
  <si>
    <t># text = I felt guilty about working on Android when it was starting.</t>
  </si>
  <si>
    <t>guilty</t>
  </si>
  <si>
    <t>starting</t>
  </si>
  <si>
    <t># text = It was a little startup we bought.</t>
  </si>
  <si>
    <t>startup</t>
  </si>
  <si>
    <t>bought</t>
  </si>
  <si>
    <t># text = It wasn't really what we were really working on.</t>
  </si>
  <si>
    <t># text = And I felt guilty about spending time on that.</t>
  </si>
  <si>
    <t>spending</t>
  </si>
  <si>
    <t># text = That was stupid.</t>
  </si>
  <si>
    <t>stupid</t>
  </si>
  <si>
    <t># text = That was the future, right?</t>
  </si>
  <si>
    <t># text = That was a good thing to be working on.</t>
  </si>
  <si>
    <t># text = CR: It is great to see you here.</t>
  </si>
  <si>
    <t># text = It's great to hear from you, and a pleasure to sit at this table with you.</t>
  </si>
  <si>
    <t>hear</t>
  </si>
  <si>
    <t>pleasure</t>
  </si>
  <si>
    <t>sit</t>
  </si>
  <si>
    <t>table</t>
  </si>
  <si>
    <t># text = Thanks,</t>
  </si>
  <si>
    <t>Thanks</t>
  </si>
  <si>
    <t># text = Larry.</t>
  </si>
  <si>
    <t># text = LP: Thank you.</t>
  </si>
  <si>
    <t>Thank</t>
  </si>
  <si>
    <t># text = CR: Larry Page.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</si>
</sst>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17</v>
      </c>
      <c r="D3" s="7" t="s">
        <v>18</v>
      </c>
      <c r="E3" s="8" t="s">
        <v>19</v>
      </c>
      <c r="F3" s="6" t="s">
        <v>20</v>
      </c>
      <c r="G3" s="9">
        <f>IF(A3=1,"_",IF(C3="_","???",C3))</f>
        <v/>
      </c>
      <c r="H3" s="10" t="s">
        <v>12</v>
      </c>
      <c r="I3" s="11" t="s">
        <v>12</v>
      </c>
      <c r="J3" s="12"/>
    </row>
    <row r="4" spans="1:10" ht="60" customHeight="1">
      <c r="A4" s="6" t="s">
        <v>16</v>
      </c>
      <c r="B4" s="6" t="s">
        <v>11</v>
      </c>
      <c r="C4" s="6" t="s">
        <v>21</v>
      </c>
      <c r="D4" s="7" t="s">
        <v>22</v>
      </c>
      <c r="E4" s="8" t="s">
        <v>23</v>
      </c>
      <c r="F4" s="6" t="s">
        <v>24</v>
      </c>
      <c r="G4" s="9">
        <f>IF(A4=1,"_",IF(C4="_","???",C4))</f>
        <v/>
      </c>
      <c r="H4" s="10" t="s">
        <v>12</v>
      </c>
      <c r="I4" s="11" t="s">
        <v>12</v>
      </c>
      <c r="J4" s="12"/>
    </row>
    <row r="5" spans="1:10" ht="60" customHeight="1">
      <c r="A5" s="6" t="s">
        <v>25</v>
      </c>
      <c r="B5" s="6" t="s">
        <v>10</v>
      </c>
      <c r="C5" s="6" t="s">
        <v>12</v>
      </c>
      <c r="D5" s="7" t="s">
        <v>26</v>
      </c>
      <c r="E5" s="8" t="s">
        <v>27</v>
      </c>
      <c r="F5" s="6" t="s">
        <v>28</v>
      </c>
      <c r="G5" s="9">
        <f>IF(A5=1,"_",IF(C5="_","???",C5))</f>
        <v/>
      </c>
      <c r="H5" s="10" t="s">
        <v>12</v>
      </c>
      <c r="I5" s="11" t="s">
        <v>12</v>
      </c>
      <c r="J5" s="12"/>
    </row>
    <row r="6" spans="1:10" ht="60" customHeight="1">
      <c r="A6" s="6" t="s">
        <v>29</v>
      </c>
      <c r="B6" s="6" t="s">
        <v>16</v>
      </c>
      <c r="C6" s="6" t="s">
        <v>12</v>
      </c>
      <c r="D6" s="7" t="s">
        <v>30</v>
      </c>
      <c r="E6" s="8" t="s">
        <v>31</v>
      </c>
      <c r="F6" s="6" t="s">
        <v>32</v>
      </c>
      <c r="G6" s="9">
        <f>IF(A6=1,"_",IF(C6="_","???",C6))</f>
        <v/>
      </c>
      <c r="H6" s="10" t="s">
        <v>12</v>
      </c>
      <c r="I6" s="11" t="s">
        <v>12</v>
      </c>
      <c r="J6" s="12"/>
    </row>
    <row r="7" spans="1:10" ht="60" customHeight="1">
      <c r="A7" s="6" t="s">
        <v>33</v>
      </c>
      <c r="B7" s="6" t="s">
        <v>10</v>
      </c>
      <c r="C7" s="6" t="s">
        <v>34</v>
      </c>
      <c r="D7" s="7" t="s">
        <v>35</v>
      </c>
      <c r="E7" s="8" t="s">
        <v>36</v>
      </c>
      <c r="F7" s="6" t="s">
        <v>37</v>
      </c>
      <c r="G7" s="9">
        <f>IF(A7=1,"_",IF(C7="_","???",C7))</f>
        <v/>
      </c>
      <c r="H7" s="10" t="s">
        <v>12</v>
      </c>
      <c r="I7" s="11" t="s">
        <v>12</v>
      </c>
      <c r="J7" s="12"/>
    </row>
    <row r="8" spans="1:10" ht="60" customHeight="1">
      <c r="A8" s="6" t="s">
        <v>38</v>
      </c>
      <c r="B8" s="6" t="s">
        <v>29</v>
      </c>
      <c r="C8" s="6" t="s">
        <v>12</v>
      </c>
      <c r="D8" s="7" t="s">
        <v>39</v>
      </c>
      <c r="E8" s="8" t="s">
        <v>40</v>
      </c>
      <c r="F8" s="6" t="s">
        <v>41</v>
      </c>
      <c r="G8" s="9">
        <f>IF(A8=1,"_",IF(C8="_","???",C8))</f>
        <v/>
      </c>
      <c r="H8" s="10" t="s">
        <v>12</v>
      </c>
      <c r="I8" s="11" t="s">
        <v>12</v>
      </c>
      <c r="J8" s="12"/>
    </row>
    <row r="9" spans="1:10" ht="60" customHeight="1">
      <c r="A9" s="6" t="s">
        <v>42</v>
      </c>
      <c r="B9" s="6" t="s">
        <v>25</v>
      </c>
      <c r="C9" s="6" t="s">
        <v>43</v>
      </c>
      <c r="D9" s="7" t="s">
        <v>44</v>
      </c>
      <c r="E9" s="8" t="s">
        <v>45</v>
      </c>
      <c r="F9" s="6" t="s">
        <v>46</v>
      </c>
      <c r="G9" s="9">
        <f>IF(A9=1,"_",IF(C9="_","???",C9))</f>
        <v/>
      </c>
      <c r="H9" s="10" t="s">
        <v>12</v>
      </c>
      <c r="I9" s="11" t="s">
        <v>12</v>
      </c>
      <c r="J9" s="12"/>
    </row>
    <row r="10" spans="1:10" ht="60" customHeight="1">
      <c r="A10" s="6" t="s">
        <v>47</v>
      </c>
      <c r="B10" s="6" t="s">
        <v>11</v>
      </c>
      <c r="C10" s="6" t="s">
        <v>17</v>
      </c>
      <c r="D10" s="7" t="s">
        <v>48</v>
      </c>
      <c r="E10" s="8" t="s">
        <v>49</v>
      </c>
      <c r="F10" s="6" t="s">
        <v>50</v>
      </c>
      <c r="G10" s="9">
        <f>IF(A10=1,"_",IF(C10="_","???",C10))</f>
        <v/>
      </c>
      <c r="H10" s="10" t="s">
        <v>12</v>
      </c>
      <c r="I10" s="11" t="s">
        <v>12</v>
      </c>
      <c r="J10" s="12"/>
    </row>
    <row r="11" spans="1:10" ht="60" customHeight="1">
      <c r="A11" s="6" t="s">
        <v>51</v>
      </c>
      <c r="B11" s="6" t="s">
        <v>10</v>
      </c>
      <c r="C11" s="6" t="s">
        <v>12</v>
      </c>
      <c r="D11" s="7" t="s">
        <v>52</v>
      </c>
      <c r="E11" s="8" t="s">
        <v>53</v>
      </c>
      <c r="F11" s="6" t="s">
        <v>54</v>
      </c>
      <c r="G11" s="9">
        <f>IF(A11=1,"_",IF(C11="_","???",C11))</f>
        <v/>
      </c>
      <c r="H11" s="10" t="s">
        <v>12</v>
      </c>
      <c r="I11" s="11" t="s">
        <v>12</v>
      </c>
      <c r="J11" s="12"/>
    </row>
    <row r="12" spans="1:10" ht="60" customHeight="1">
      <c r="A12" s="6" t="s">
        <v>55</v>
      </c>
      <c r="B12" s="6" t="s">
        <v>25</v>
      </c>
      <c r="C12" s="6" t="s">
        <v>17</v>
      </c>
      <c r="D12" s="7" t="s">
        <v>22</v>
      </c>
      <c r="E12" s="8" t="s">
        <v>56</v>
      </c>
      <c r="F12" s="6" t="s">
        <v>57</v>
      </c>
      <c r="G12" s="9">
        <f>IF(A12=1,"_",IF(C12="_","???",C12))</f>
        <v/>
      </c>
      <c r="H12" s="10" t="s">
        <v>12</v>
      </c>
      <c r="I12" s="11" t="s">
        <v>12</v>
      </c>
      <c r="J12" s="12"/>
    </row>
    <row r="13" spans="1:10" ht="60" customHeight="1">
      <c r="A13" s="6" t="s">
        <v>58</v>
      </c>
      <c r="B13" s="6" t="s">
        <v>33</v>
      </c>
      <c r="C13" s="6" t="s">
        <v>17</v>
      </c>
      <c r="D13" s="7" t="s">
        <v>59</v>
      </c>
      <c r="E13" s="8" t="s">
        <v>60</v>
      </c>
      <c r="F13" s="6" t="s">
        <v>61</v>
      </c>
      <c r="G13" s="9">
        <f>IF(A13=1,"_",IF(C13="_","???",C13))</f>
        <v/>
      </c>
      <c r="H13" s="10" t="s">
        <v>12</v>
      </c>
      <c r="I13" s="11" t="s">
        <v>12</v>
      </c>
      <c r="J13" s="12"/>
    </row>
    <row r="14" spans="1:10" ht="60" customHeight="1">
      <c r="A14" s="6" t="s">
        <v>62</v>
      </c>
      <c r="B14" s="6" t="s">
        <v>55</v>
      </c>
      <c r="C14" s="6" t="s">
        <v>63</v>
      </c>
      <c r="D14" s="7" t="s">
        <v>64</v>
      </c>
      <c r="E14" s="8" t="s">
        <v>65</v>
      </c>
      <c r="F14" s="6" t="s">
        <v>66</v>
      </c>
      <c r="G14" s="9">
        <f>IF(A14=1,"_",IF(C14="_","???",C14))</f>
        <v/>
      </c>
      <c r="H14" s="10" t="s">
        <v>12</v>
      </c>
      <c r="I14" s="11" t="s">
        <v>12</v>
      </c>
      <c r="J14" s="12"/>
    </row>
    <row r="15" spans="1:10" ht="60" customHeight="1">
      <c r="A15" s="6" t="s">
        <v>67</v>
      </c>
      <c r="B15" s="6" t="s">
        <v>16</v>
      </c>
      <c r="C15" s="6" t="s">
        <v>68</v>
      </c>
      <c r="D15" s="7" t="s">
        <v>69</v>
      </c>
      <c r="E15" s="8" t="s">
        <v>70</v>
      </c>
      <c r="F15" s="6" t="s">
        <v>71</v>
      </c>
      <c r="G15" s="9">
        <f>IF(A15=1,"_",IF(C15="_","???",C15))</f>
        <v/>
      </c>
      <c r="H15" s="10" t="s">
        <v>12</v>
      </c>
      <c r="I15" s="11" t="s">
        <v>12</v>
      </c>
      <c r="J15" s="12"/>
    </row>
    <row r="16" spans="1:10" ht="60" customHeight="1">
      <c r="A16" s="6" t="s">
        <v>72</v>
      </c>
      <c r="B16" s="6" t="s">
        <v>10</v>
      </c>
      <c r="C16" s="6" t="s">
        <v>12</v>
      </c>
      <c r="D16" s="7" t="s">
        <v>35</v>
      </c>
      <c r="E16" s="8" t="s">
        <v>73</v>
      </c>
      <c r="F16" s="6" t="s">
        <v>74</v>
      </c>
      <c r="G16" s="9">
        <f>IF(A16=1,"_",IF(C16="_","???",C16))</f>
        <v/>
      </c>
      <c r="H16" s="10" t="s">
        <v>12</v>
      </c>
      <c r="I16" s="11" t="s">
        <v>12</v>
      </c>
      <c r="J16" s="12"/>
    </row>
    <row r="17" spans="1:10" ht="60" customHeight="1">
      <c r="A17" s="6" t="s">
        <v>75</v>
      </c>
      <c r="B17" s="6" t="s">
        <v>10</v>
      </c>
      <c r="C17" s="6" t="s">
        <v>12</v>
      </c>
      <c r="D17" s="7" t="s">
        <v>52</v>
      </c>
      <c r="E17" s="8" t="s">
        <v>76</v>
      </c>
      <c r="F17" s="6" t="s">
        <v>77</v>
      </c>
      <c r="G17" s="9">
        <f>IF(A17=1,"_",IF(C17="_","???",C17))</f>
        <v/>
      </c>
      <c r="H17" s="10" t="s">
        <v>12</v>
      </c>
      <c r="I17" s="11" t="s">
        <v>12</v>
      </c>
      <c r="J17" s="12"/>
    </row>
    <row r="18" spans="1:10" ht="60" customHeight="1">
      <c r="A18" s="6" t="s">
        <v>78</v>
      </c>
      <c r="B18" s="6" t="s">
        <v>42</v>
      </c>
      <c r="C18" s="6" t="s">
        <v>12</v>
      </c>
      <c r="D18" s="7" t="s">
        <v>79</v>
      </c>
      <c r="E18" s="8" t="s">
        <v>80</v>
      </c>
      <c r="F18" s="6" t="s">
        <v>81</v>
      </c>
      <c r="G18" s="9">
        <f>IF(A18=1,"_",IF(C18="_","???",C18))</f>
        <v/>
      </c>
      <c r="H18" s="10" t="s">
        <v>12</v>
      </c>
      <c r="I18" s="11" t="s">
        <v>12</v>
      </c>
      <c r="J18" s="12"/>
    </row>
    <row r="19" spans="1:10" ht="60" customHeight="1">
      <c r="A19" s="6" t="s">
        <v>82</v>
      </c>
      <c r="B19" s="6" t="s">
        <v>42</v>
      </c>
      <c r="C19" s="6" t="s">
        <v>17</v>
      </c>
      <c r="D19" s="7" t="s">
        <v>83</v>
      </c>
      <c r="E19" s="8" t="s">
        <v>84</v>
      </c>
      <c r="F19" s="6" t="s">
        <v>85</v>
      </c>
      <c r="G19" s="9">
        <f>IF(A19=1,"_",IF(C19="_","???",C19))</f>
        <v/>
      </c>
      <c r="H19" s="10" t="s">
        <v>12</v>
      </c>
      <c r="I19" s="11" t="s">
        <v>12</v>
      </c>
      <c r="J19" s="12"/>
    </row>
    <row r="20" spans="1:10" ht="60" customHeight="1">
      <c r="A20" s="6" t="s">
        <v>86</v>
      </c>
      <c r="B20" s="6" t="s">
        <v>10</v>
      </c>
      <c r="C20" s="6" t="s">
        <v>12</v>
      </c>
      <c r="D20" s="7" t="s">
        <v>87</v>
      </c>
      <c r="E20" s="8" t="s">
        <v>87</v>
      </c>
      <c r="F20" s="6" t="s">
        <v>88</v>
      </c>
      <c r="G20" s="9">
        <f>IF(A20=1,"_",IF(C20="_","???",C20))</f>
        <v/>
      </c>
      <c r="H20" s="10" t="s">
        <v>12</v>
      </c>
      <c r="I20" s="11" t="s">
        <v>12</v>
      </c>
      <c r="J20" s="12"/>
    </row>
    <row r="21" spans="1:10" ht="60" customHeight="1">
      <c r="A21" s="6" t="s">
        <v>89</v>
      </c>
      <c r="B21" s="6" t="s">
        <v>55</v>
      </c>
      <c r="C21" s="6" t="s">
        <v>12</v>
      </c>
      <c r="D21" s="7" t="s">
        <v>90</v>
      </c>
      <c r="E21" s="8" t="s">
        <v>91</v>
      </c>
      <c r="F21" s="6" t="s">
        <v>92</v>
      </c>
      <c r="G21" s="9">
        <f>IF(A21=1,"_",IF(C21="_","???",C21))</f>
        <v/>
      </c>
      <c r="H21" s="10" t="s">
        <v>12</v>
      </c>
      <c r="I21" s="11" t="s">
        <v>12</v>
      </c>
      <c r="J21" s="12"/>
    </row>
    <row r="22" spans="1:10" ht="60" customHeight="1">
      <c r="A22" s="6" t="s">
        <v>93</v>
      </c>
      <c r="B22" s="6" t="s">
        <v>82</v>
      </c>
      <c r="C22" s="6" t="s">
        <v>94</v>
      </c>
      <c r="D22" s="7" t="s">
        <v>95</v>
      </c>
      <c r="E22" s="8" t="s">
        <v>96</v>
      </c>
      <c r="F22" s="6" t="s">
        <v>97</v>
      </c>
      <c r="G22" s="9">
        <f>IF(A22=1,"_",IF(C22="_","???",C22))</f>
        <v/>
      </c>
      <c r="H22" s="10" t="s">
        <v>12</v>
      </c>
      <c r="I22" s="11" t="s">
        <v>12</v>
      </c>
      <c r="J22" s="12"/>
    </row>
    <row r="23" spans="1:10" ht="60" customHeight="1">
      <c r="A23" s="6" t="s">
        <v>98</v>
      </c>
      <c r="B23" s="6" t="s">
        <v>11</v>
      </c>
      <c r="C23" s="6" t="s">
        <v>99</v>
      </c>
      <c r="D23" s="7" t="s">
        <v>100</v>
      </c>
      <c r="E23" s="8" t="s">
        <v>101</v>
      </c>
      <c r="F23" s="6" t="s">
        <v>102</v>
      </c>
      <c r="G23" s="9">
        <f>IF(A23=1,"_",IF(C23="_","???",C23))</f>
        <v/>
      </c>
      <c r="H23" s="10" t="s">
        <v>12</v>
      </c>
      <c r="I23" s="11" t="s">
        <v>12</v>
      </c>
      <c r="J23" s="12"/>
    </row>
    <row r="24" spans="1:10" ht="60" customHeight="1">
      <c r="A24" s="6" t="s">
        <v>103</v>
      </c>
      <c r="B24" s="6" t="s">
        <v>10</v>
      </c>
      <c r="C24" s="6" t="s">
        <v>12</v>
      </c>
      <c r="D24" s="7" t="s">
        <v>35</v>
      </c>
      <c r="E24" s="8" t="s">
        <v>104</v>
      </c>
      <c r="F24" s="6" t="s">
        <v>105</v>
      </c>
      <c r="G24" s="9">
        <f>IF(A24=1,"_",IF(C24="_","???",C24))</f>
        <v/>
      </c>
      <c r="H24" s="10" t="s">
        <v>12</v>
      </c>
      <c r="I24" s="11" t="s">
        <v>12</v>
      </c>
      <c r="J24" s="12"/>
    </row>
    <row r="25" spans="1:10" ht="60" customHeight="1">
      <c r="A25" s="6" t="s">
        <v>106</v>
      </c>
      <c r="B25" s="6" t="s">
        <v>10</v>
      </c>
      <c r="C25" s="6" t="s">
        <v>43</v>
      </c>
      <c r="D25" s="7" t="s">
        <v>52</v>
      </c>
      <c r="E25" s="8" t="s">
        <v>107</v>
      </c>
      <c r="F25" s="6" t="s">
        <v>108</v>
      </c>
      <c r="G25" s="9">
        <f>IF(A25=1,"_",IF(C25="_","???",C25))</f>
        <v/>
      </c>
      <c r="H25" s="10" t="s">
        <v>12</v>
      </c>
      <c r="I25" s="11" t="s">
        <v>12</v>
      </c>
      <c r="J25" s="12"/>
    </row>
    <row r="26" spans="1:10" ht="60" customHeight="1">
      <c r="A26" s="6" t="s">
        <v>109</v>
      </c>
      <c r="B26" s="6" t="s">
        <v>11</v>
      </c>
      <c r="C26" s="6" t="s">
        <v>12</v>
      </c>
      <c r="D26" s="7" t="s">
        <v>110</v>
      </c>
      <c r="E26" s="8" t="s">
        <v>111</v>
      </c>
      <c r="F26" s="6" t="s">
        <v>112</v>
      </c>
      <c r="G26" s="9">
        <f>IF(A26=1,"_",IF(C26="_","???",C26))</f>
        <v/>
      </c>
      <c r="H26" s="10" t="s">
        <v>12</v>
      </c>
      <c r="I26" s="11" t="s">
        <v>12</v>
      </c>
      <c r="J26" s="12"/>
    </row>
    <row r="27" spans="1:10" ht="60" customHeight="1">
      <c r="A27" s="6" t="s">
        <v>113</v>
      </c>
      <c r="B27" s="6" t="s">
        <v>16</v>
      </c>
      <c r="C27" s="6" t="s">
        <v>34</v>
      </c>
      <c r="D27" s="7" t="s">
        <v>114</v>
      </c>
      <c r="E27" s="8" t="s">
        <v>115</v>
      </c>
      <c r="F27" s="6" t="s">
        <v>116</v>
      </c>
      <c r="G27" s="9">
        <f>IF(A27=1,"_",IF(C27="_","???",C27))</f>
        <v/>
      </c>
      <c r="H27" s="10" t="s">
        <v>12</v>
      </c>
      <c r="I27" s="11" t="s">
        <v>12</v>
      </c>
      <c r="J27" s="12"/>
    </row>
    <row r="28" spans="1:10" ht="60" customHeight="1">
      <c r="A28" s="6" t="s">
        <v>117</v>
      </c>
      <c r="B28" s="6" t="s">
        <v>16</v>
      </c>
      <c r="C28" s="6" t="s">
        <v>43</v>
      </c>
      <c r="D28" s="7" t="s">
        <v>118</v>
      </c>
      <c r="E28" s="8" t="s">
        <v>119</v>
      </c>
      <c r="F28" s="6" t="s">
        <v>120</v>
      </c>
      <c r="G28" s="9">
        <f>IF(A28=1,"_",IF(C28="_","???",C28))</f>
        <v/>
      </c>
      <c r="H28" s="10" t="s">
        <v>12</v>
      </c>
      <c r="I28" s="11" t="s">
        <v>12</v>
      </c>
      <c r="J28" s="12"/>
    </row>
    <row r="29" spans="1:10" ht="60" customHeight="1">
      <c r="A29" s="6" t="s">
        <v>121</v>
      </c>
      <c r="B29" s="6" t="s">
        <v>11</v>
      </c>
      <c r="C29" s="6" t="s">
        <v>12</v>
      </c>
      <c r="D29" s="7" t="s">
        <v>122</v>
      </c>
      <c r="E29" s="8" t="s">
        <v>123</v>
      </c>
      <c r="F29" s="6" t="s">
        <v>124</v>
      </c>
      <c r="G29" s="9">
        <f>IF(A29=1,"_",IF(C29="_","???",C29))</f>
        <v/>
      </c>
      <c r="H29" s="10" t="s">
        <v>12</v>
      </c>
      <c r="I29" s="11" t="s">
        <v>12</v>
      </c>
      <c r="J29" s="12"/>
    </row>
    <row r="30" spans="1:10" ht="60" customHeight="1">
      <c r="A30" s="6" t="s">
        <v>125</v>
      </c>
      <c r="B30" s="6" t="s">
        <v>29</v>
      </c>
      <c r="C30" s="6" t="s">
        <v>12</v>
      </c>
      <c r="D30" s="7" t="s">
        <v>126</v>
      </c>
      <c r="E30" s="8" t="s">
        <v>127</v>
      </c>
      <c r="F30" s="6" t="s">
        <v>128</v>
      </c>
      <c r="G30" s="9">
        <f>IF(A30=1,"_",IF(C30="_","???",C30))</f>
        <v/>
      </c>
      <c r="H30" s="10" t="s">
        <v>12</v>
      </c>
      <c r="I30" s="11" t="s">
        <v>12</v>
      </c>
      <c r="J30" s="12"/>
    </row>
    <row r="31" spans="1:10" ht="60" customHeight="1">
      <c r="A31" s="6" t="s">
        <v>129</v>
      </c>
      <c r="B31" s="6" t="s">
        <v>16</v>
      </c>
      <c r="C31" s="6" t="s">
        <v>43</v>
      </c>
      <c r="D31" s="7" t="s">
        <v>130</v>
      </c>
      <c r="E31" s="8" t="s">
        <v>131</v>
      </c>
      <c r="F31" s="6" t="s">
        <v>132</v>
      </c>
      <c r="G31" s="9">
        <f>IF(A31=1,"_",IF(C31="_","???",C31))</f>
        <v/>
      </c>
      <c r="H31" s="10" t="s">
        <v>12</v>
      </c>
      <c r="I31" s="11" t="s">
        <v>12</v>
      </c>
      <c r="J31" s="12"/>
    </row>
    <row r="32" spans="1:10" ht="60" customHeight="1">
      <c r="A32" s="6" t="s">
        <v>133</v>
      </c>
      <c r="B32" s="6" t="s">
        <v>11</v>
      </c>
      <c r="C32" s="6" t="s">
        <v>12</v>
      </c>
      <c r="D32" s="7" t="s">
        <v>134</v>
      </c>
      <c r="E32" s="8" t="s">
        <v>135</v>
      </c>
      <c r="F32" s="6" t="s">
        <v>136</v>
      </c>
      <c r="G32" s="9">
        <f>IF(A32=1,"_",IF(C32="_","???",C32))</f>
        <v/>
      </c>
      <c r="H32" s="10" t="s">
        <v>12</v>
      </c>
      <c r="I32" s="11" t="s">
        <v>12</v>
      </c>
      <c r="J32" s="12"/>
    </row>
    <row r="33" spans="1:10" ht="60" customHeight="1">
      <c r="A33" s="6" t="s">
        <v>137</v>
      </c>
      <c r="B33" s="6" t="s">
        <v>16</v>
      </c>
      <c r="C33" s="6" t="s">
        <v>17</v>
      </c>
      <c r="D33" s="7" t="s">
        <v>130</v>
      </c>
      <c r="E33" s="8" t="s">
        <v>138</v>
      </c>
      <c r="F33" s="6" t="s">
        <v>139</v>
      </c>
      <c r="G33" s="9">
        <f>IF(A33=1,"_",IF(C33="_","???",C33))</f>
        <v/>
      </c>
      <c r="H33" s="10" t="s">
        <v>12</v>
      </c>
      <c r="I33" s="11" t="s">
        <v>12</v>
      </c>
      <c r="J33" s="12"/>
    </row>
    <row r="34" spans="1:10" ht="60" customHeight="1">
      <c r="A34" s="6" t="s">
        <v>140</v>
      </c>
      <c r="B34" s="6" t="s">
        <v>16</v>
      </c>
      <c r="C34" s="6" t="s">
        <v>12</v>
      </c>
      <c r="D34" s="7" t="s">
        <v>126</v>
      </c>
      <c r="E34" s="8" t="s">
        <v>141</v>
      </c>
      <c r="F34" s="6" t="s">
        <v>142</v>
      </c>
      <c r="G34" s="9">
        <f>IF(A34=1,"_",IF(C34="_","???",C34))</f>
        <v/>
      </c>
      <c r="H34" s="10" t="s">
        <v>12</v>
      </c>
      <c r="I34" s="11" t="s">
        <v>12</v>
      </c>
      <c r="J34" s="12"/>
    </row>
    <row r="35" spans="1:10" ht="60" customHeight="1">
      <c r="A35" s="6" t="s">
        <v>143</v>
      </c>
      <c r="B35" s="6" t="s">
        <v>25</v>
      </c>
      <c r="C35" s="6" t="s">
        <v>144</v>
      </c>
      <c r="D35" s="7" t="s">
        <v>145</v>
      </c>
      <c r="E35" s="8" t="s">
        <v>146</v>
      </c>
      <c r="F35" s="6" t="s">
        <v>147</v>
      </c>
      <c r="G35" s="9">
        <f>IF(A35=1,"_",IF(C35="_","???",C35))</f>
        <v/>
      </c>
      <c r="H35" s="10" t="s">
        <v>12</v>
      </c>
      <c r="I35" s="11" t="s">
        <v>12</v>
      </c>
      <c r="J35" s="12"/>
    </row>
    <row r="36" spans="1:10" ht="60" customHeight="1">
      <c r="A36" s="6" t="s">
        <v>148</v>
      </c>
      <c r="B36" s="6" t="s">
        <v>25</v>
      </c>
      <c r="C36" s="6" t="s">
        <v>12</v>
      </c>
      <c r="D36" s="7" t="s">
        <v>149</v>
      </c>
      <c r="E36" s="8" t="s">
        <v>150</v>
      </c>
      <c r="F36" s="6" t="s">
        <v>151</v>
      </c>
      <c r="G36" s="9">
        <f>IF(A36=1,"_",IF(C36="_","???",C36))</f>
        <v/>
      </c>
      <c r="H36" s="10" t="s">
        <v>12</v>
      </c>
      <c r="I36" s="11" t="s">
        <v>12</v>
      </c>
      <c r="J36" s="12"/>
    </row>
    <row r="37" spans="1:10" ht="60" customHeight="1">
      <c r="A37" s="6" t="s">
        <v>152</v>
      </c>
      <c r="B37" s="6" t="s">
        <v>16</v>
      </c>
      <c r="C37" s="6" t="s">
        <v>17</v>
      </c>
      <c r="D37" s="7" t="s">
        <v>153</v>
      </c>
      <c r="E37" s="8" t="s">
        <v>154</v>
      </c>
      <c r="F37" s="6" t="s">
        <v>155</v>
      </c>
      <c r="G37" s="9">
        <f>IF(A37=1,"_",IF(C37="_","???",C37))</f>
        <v/>
      </c>
      <c r="H37" s="10" t="s">
        <v>12</v>
      </c>
      <c r="I37" s="11" t="s">
        <v>12</v>
      </c>
      <c r="J37" s="12"/>
    </row>
    <row r="38" spans="1:10" ht="60" customHeight="1">
      <c r="A38" s="6" t="s">
        <v>156</v>
      </c>
      <c r="B38" s="6" t="s">
        <v>55</v>
      </c>
      <c r="C38" s="6" t="s">
        <v>157</v>
      </c>
      <c r="D38" s="7" t="s">
        <v>158</v>
      </c>
      <c r="E38" s="8" t="s">
        <v>159</v>
      </c>
      <c r="F38" s="6" t="s">
        <v>160</v>
      </c>
      <c r="G38" s="9">
        <f>IF(A38=1,"_",IF(C38="_","???",C38))</f>
        <v/>
      </c>
      <c r="H38" s="10" t="s">
        <v>12</v>
      </c>
      <c r="I38" s="11" t="s">
        <v>12</v>
      </c>
      <c r="J38" s="12"/>
    </row>
    <row r="39" spans="1:10" ht="60" customHeight="1">
      <c r="A39" s="6" t="s">
        <v>161</v>
      </c>
      <c r="B39" s="6" t="s">
        <v>16</v>
      </c>
      <c r="C39" s="6" t="s">
        <v>43</v>
      </c>
      <c r="D39" s="7" t="s">
        <v>59</v>
      </c>
      <c r="E39" s="8" t="s">
        <v>162</v>
      </c>
      <c r="F39" s="6" t="s">
        <v>163</v>
      </c>
      <c r="G39" s="9">
        <f>IF(A39=1,"_",IF(C39="_","???",C39))</f>
        <v/>
      </c>
      <c r="H39" s="10" t="s">
        <v>12</v>
      </c>
      <c r="I39" s="11" t="s">
        <v>12</v>
      </c>
      <c r="J39" s="12"/>
    </row>
    <row r="40" spans="1:10" ht="60" customHeight="1">
      <c r="A40" s="6" t="s">
        <v>164</v>
      </c>
      <c r="B40" s="6" t="s">
        <v>11</v>
      </c>
      <c r="C40" s="6" t="s">
        <v>17</v>
      </c>
      <c r="D40" s="7" t="s">
        <v>130</v>
      </c>
      <c r="E40" s="8" t="s">
        <v>165</v>
      </c>
      <c r="F40" s="6" t="s">
        <v>166</v>
      </c>
      <c r="G40" s="9">
        <f>IF(A40=1,"_",IF(C40="_","???",C40))</f>
        <v/>
      </c>
      <c r="H40" s="10" t="s">
        <v>12</v>
      </c>
      <c r="I40" s="11" t="s">
        <v>12</v>
      </c>
      <c r="J40" s="12"/>
    </row>
    <row r="41" spans="1:10" ht="60" customHeight="1">
      <c r="A41" s="6" t="s">
        <v>167</v>
      </c>
      <c r="B41" s="6" t="s">
        <v>10</v>
      </c>
      <c r="C41" s="6" t="s">
        <v>12</v>
      </c>
      <c r="D41" s="7" t="s">
        <v>35</v>
      </c>
      <c r="E41" s="8" t="s">
        <v>168</v>
      </c>
      <c r="F41" s="6" t="s">
        <v>169</v>
      </c>
      <c r="G41" s="9">
        <f>IF(A41=1,"_",IF(C41="_","???",C41))</f>
        <v/>
      </c>
      <c r="H41" s="10" t="s">
        <v>12</v>
      </c>
      <c r="I41" s="11" t="s">
        <v>12</v>
      </c>
      <c r="J41" s="12"/>
    </row>
    <row r="42" spans="1:10" ht="60" customHeight="1">
      <c r="A42" s="6" t="s">
        <v>170</v>
      </c>
      <c r="B42" s="6" t="s">
        <v>10</v>
      </c>
      <c r="C42" s="6" t="s">
        <v>12</v>
      </c>
      <c r="D42" s="7" t="s">
        <v>52</v>
      </c>
      <c r="E42" s="8" t="s">
        <v>171</v>
      </c>
      <c r="F42" s="6" t="s">
        <v>172</v>
      </c>
      <c r="G42" s="9">
        <f>IF(A42=1,"_",IF(C42="_","???",C42))</f>
        <v/>
      </c>
      <c r="H42" s="10" t="s">
        <v>12</v>
      </c>
      <c r="I42" s="11" t="s">
        <v>12</v>
      </c>
      <c r="J42" s="12"/>
    </row>
    <row r="43" spans="1:10" ht="60" customHeight="1">
      <c r="A43" s="6" t="s">
        <v>173</v>
      </c>
      <c r="B43" s="6" t="s">
        <v>16</v>
      </c>
      <c r="C43" s="6" t="s">
        <v>12</v>
      </c>
      <c r="D43" s="7" t="s">
        <v>174</v>
      </c>
      <c r="E43" s="8" t="s">
        <v>175</v>
      </c>
      <c r="F43" s="6" t="s">
        <v>176</v>
      </c>
      <c r="G43" s="9">
        <f>IF(A43=1,"_",IF(C43="_","???",C43))</f>
        <v/>
      </c>
      <c r="H43" s="10" t="s">
        <v>12</v>
      </c>
      <c r="I43" s="11" t="s">
        <v>12</v>
      </c>
      <c r="J43" s="12"/>
    </row>
    <row r="44" spans="1:10" ht="60" customHeight="1">
      <c r="A44" s="6" t="s">
        <v>177</v>
      </c>
      <c r="B44" s="6" t="s">
        <v>25</v>
      </c>
      <c r="C44" s="6" t="s">
        <v>178</v>
      </c>
      <c r="D44" s="7" t="s">
        <v>179</v>
      </c>
      <c r="E44" s="8" t="s">
        <v>180</v>
      </c>
      <c r="F44" s="6" t="s">
        <v>181</v>
      </c>
      <c r="G44" s="9">
        <f>IF(A44=1,"_",IF(C44="_","???",C44))</f>
        <v/>
      </c>
      <c r="H44" s="10" t="s">
        <v>12</v>
      </c>
      <c r="I44" s="11" t="s">
        <v>12</v>
      </c>
      <c r="J44" s="12"/>
    </row>
    <row r="45" spans="1:10" ht="60" customHeight="1">
      <c r="A45" s="6" t="s">
        <v>182</v>
      </c>
      <c r="B45" s="6" t="s">
        <v>33</v>
      </c>
      <c r="C45" s="6" t="s">
        <v>17</v>
      </c>
      <c r="D45" s="7" t="s">
        <v>183</v>
      </c>
      <c r="E45" s="8" t="s">
        <v>184</v>
      </c>
      <c r="F45" s="6" t="s">
        <v>185</v>
      </c>
      <c r="G45" s="9">
        <f>IF(A45=1,"_",IF(C45="_","???",C45))</f>
        <v/>
      </c>
      <c r="H45" s="10" t="s">
        <v>12</v>
      </c>
      <c r="I45" s="11" t="s">
        <v>12</v>
      </c>
      <c r="J45" s="12"/>
    </row>
    <row r="46" spans="1:10" ht="60" customHeight="1">
      <c r="A46" s="6" t="s">
        <v>186</v>
      </c>
      <c r="B46" s="6" t="s">
        <v>16</v>
      </c>
      <c r="C46" s="6" t="s">
        <v>17</v>
      </c>
      <c r="D46" s="7" t="s">
        <v>187</v>
      </c>
      <c r="E46" s="8" t="s">
        <v>188</v>
      </c>
      <c r="F46" s="6" t="s">
        <v>189</v>
      </c>
      <c r="G46" s="9">
        <f>IF(A46=1,"_",IF(C46="_","???",C46))</f>
        <v/>
      </c>
      <c r="H46" s="10" t="s">
        <v>12</v>
      </c>
      <c r="I46" s="11" t="s">
        <v>12</v>
      </c>
      <c r="J46" s="12"/>
    </row>
    <row r="47" spans="1:10" ht="60" customHeight="1">
      <c r="A47" s="6" t="s">
        <v>190</v>
      </c>
      <c r="B47" s="6" t="s">
        <v>11</v>
      </c>
      <c r="C47" s="6" t="s">
        <v>17</v>
      </c>
      <c r="D47" s="7" t="s">
        <v>191</v>
      </c>
      <c r="E47" s="8" t="s">
        <v>192</v>
      </c>
      <c r="F47" s="6" t="s">
        <v>193</v>
      </c>
      <c r="G47" s="9">
        <f>IF(A47=1,"_",IF(C47="_","???",C47))</f>
        <v/>
      </c>
      <c r="H47" s="10" t="s">
        <v>12</v>
      </c>
      <c r="I47" s="11" t="s">
        <v>12</v>
      </c>
      <c r="J47" s="12"/>
    </row>
    <row r="48" spans="1:10" ht="60" customHeight="1">
      <c r="A48" s="6" t="s">
        <v>194</v>
      </c>
      <c r="B48" s="6" t="s">
        <v>11</v>
      </c>
      <c r="C48" s="6" t="s">
        <v>43</v>
      </c>
      <c r="D48" s="7" t="s">
        <v>195</v>
      </c>
      <c r="E48" s="8" t="s">
        <v>196</v>
      </c>
      <c r="F48" s="6" t="s">
        <v>197</v>
      </c>
      <c r="G48" s="9">
        <f>IF(A48=1,"_",IF(C48="_","???",C48))</f>
        <v/>
      </c>
      <c r="H48" s="10" t="s">
        <v>12</v>
      </c>
      <c r="I48" s="11" t="s">
        <v>12</v>
      </c>
      <c r="J48" s="12"/>
    </row>
    <row r="49" spans="1:10" ht="60" customHeight="1">
      <c r="A49" s="6" t="s">
        <v>198</v>
      </c>
      <c r="B49" s="6" t="s">
        <v>11</v>
      </c>
      <c r="C49" s="6" t="s">
        <v>17</v>
      </c>
      <c r="D49" s="7" t="s">
        <v>199</v>
      </c>
      <c r="E49" s="8" t="s">
        <v>200</v>
      </c>
      <c r="F49" s="6" t="s">
        <v>201</v>
      </c>
      <c r="G49" s="9">
        <f>IF(A49=1,"_",IF(C49="_","???",C49))</f>
        <v/>
      </c>
      <c r="H49" s="10" t="s">
        <v>12</v>
      </c>
      <c r="I49" s="11" t="s">
        <v>12</v>
      </c>
      <c r="J49" s="12"/>
    </row>
    <row r="50" spans="1:10" ht="60" customHeight="1">
      <c r="A50" s="6" t="s">
        <v>202</v>
      </c>
      <c r="B50" s="6" t="s">
        <v>10</v>
      </c>
      <c r="C50" s="6" t="s">
        <v>12</v>
      </c>
      <c r="D50" s="7" t="s">
        <v>35</v>
      </c>
      <c r="E50" s="8" t="s">
        <v>203</v>
      </c>
      <c r="F50" s="6" t="s">
        <v>204</v>
      </c>
      <c r="G50" s="9">
        <f>IF(A50=1,"_",IF(C50="_","???",C50))</f>
        <v/>
      </c>
      <c r="H50" s="10" t="s">
        <v>12</v>
      </c>
      <c r="I50" s="11" t="s">
        <v>12</v>
      </c>
      <c r="J50" s="12"/>
    </row>
    <row r="51" spans="1:10" ht="60" customHeight="1">
      <c r="A51" s="6" t="s">
        <v>205</v>
      </c>
      <c r="B51" s="6" t="s">
        <v>38</v>
      </c>
      <c r="C51" s="6" t="s">
        <v>63</v>
      </c>
      <c r="D51" s="7" t="s">
        <v>206</v>
      </c>
      <c r="E51" s="8" t="s">
        <v>207</v>
      </c>
      <c r="F51" s="6" t="s">
        <v>208</v>
      </c>
      <c r="G51" s="9">
        <f>IF(A51=1,"_",IF(C51="_","???",C51))</f>
        <v/>
      </c>
      <c r="H51" s="10" t="s">
        <v>12</v>
      </c>
      <c r="I51" s="11" t="s">
        <v>12</v>
      </c>
      <c r="J51" s="12"/>
    </row>
    <row r="52" spans="1:10" ht="60" customHeight="1">
      <c r="A52" s="6" t="s">
        <v>209</v>
      </c>
      <c r="B52" s="6" t="s">
        <v>10</v>
      </c>
      <c r="C52" s="6" t="s">
        <v>12</v>
      </c>
      <c r="D52" s="7" t="s">
        <v>52</v>
      </c>
      <c r="E52" s="8" t="s">
        <v>210</v>
      </c>
      <c r="F52" s="6" t="s">
        <v>211</v>
      </c>
      <c r="G52" s="9">
        <f>IF(A52=1,"_",IF(C52="_","???",C52))</f>
        <v/>
      </c>
      <c r="H52" s="10" t="s">
        <v>12</v>
      </c>
      <c r="I52" s="11" t="s">
        <v>12</v>
      </c>
      <c r="J52" s="12"/>
    </row>
    <row r="53" spans="1:10" ht="60" customHeight="1">
      <c r="A53" s="6" t="s">
        <v>212</v>
      </c>
      <c r="B53" s="6" t="s">
        <v>51</v>
      </c>
      <c r="C53" s="6" t="s">
        <v>12</v>
      </c>
      <c r="D53" s="7" t="s">
        <v>213</v>
      </c>
      <c r="E53" s="8" t="s">
        <v>214</v>
      </c>
      <c r="F53" s="6" t="s">
        <v>215</v>
      </c>
      <c r="G53" s="9">
        <f>IF(A53=1,"_",IF(C53="_","???",C53))</f>
        <v/>
      </c>
      <c r="H53" s="10" t="s">
        <v>12</v>
      </c>
      <c r="I53" s="11" t="s">
        <v>12</v>
      </c>
      <c r="J53" s="12"/>
    </row>
    <row r="54" spans="1:10" ht="60" customHeight="1">
      <c r="A54" s="6" t="s">
        <v>216</v>
      </c>
      <c r="B54" s="6" t="s">
        <v>11</v>
      </c>
      <c r="C54" s="6" t="s">
        <v>12</v>
      </c>
      <c r="D54" s="7" t="s">
        <v>217</v>
      </c>
      <c r="E54" s="8" t="s">
        <v>218</v>
      </c>
      <c r="F54" s="6" t="s">
        <v>219</v>
      </c>
      <c r="G54" s="9">
        <f>IF(A54=1,"_",IF(C54="_","???",C54))</f>
        <v/>
      </c>
      <c r="H54" s="10" t="s">
        <v>12</v>
      </c>
      <c r="I54" s="11" t="s">
        <v>12</v>
      </c>
      <c r="J54" s="12"/>
    </row>
    <row r="55" spans="1:10" ht="60" customHeight="1">
      <c r="A55" s="6" t="s">
        <v>220</v>
      </c>
      <c r="B55" s="6" t="s">
        <v>38</v>
      </c>
      <c r="C55" s="6" t="s">
        <v>17</v>
      </c>
      <c r="D55" s="7" t="s">
        <v>221</v>
      </c>
      <c r="E55" s="8" t="s">
        <v>222</v>
      </c>
      <c r="F55" s="6" t="s">
        <v>223</v>
      </c>
      <c r="G55" s="9">
        <f>IF(A55=1,"_",IF(C55="_","???",C55))</f>
        <v/>
      </c>
      <c r="H55" s="10" t="s">
        <v>12</v>
      </c>
      <c r="I55" s="11" t="s">
        <v>12</v>
      </c>
      <c r="J55" s="12"/>
    </row>
    <row r="56" spans="1:10" ht="60" customHeight="1">
      <c r="A56" s="6" t="s">
        <v>224</v>
      </c>
      <c r="B56" s="6" t="s">
        <v>10</v>
      </c>
      <c r="C56" s="6" t="s">
        <v>144</v>
      </c>
      <c r="D56" s="7" t="s">
        <v>35</v>
      </c>
      <c r="E56" s="8" t="s">
        <v>225</v>
      </c>
      <c r="F56" s="6" t="s">
        <v>226</v>
      </c>
      <c r="G56" s="9">
        <f>IF(A56=1,"_",IF(C56="_","???",C56))</f>
        <v/>
      </c>
      <c r="H56" s="10" t="s">
        <v>12</v>
      </c>
      <c r="I56" s="11" t="s">
        <v>12</v>
      </c>
      <c r="J56" s="12"/>
    </row>
    <row r="57" spans="1:10" ht="60" customHeight="1">
      <c r="A57" s="6" t="s">
        <v>227</v>
      </c>
      <c r="B57" s="6" t="s">
        <v>33</v>
      </c>
      <c r="C57" s="6" t="s">
        <v>17</v>
      </c>
      <c r="D57" s="7" t="s">
        <v>59</v>
      </c>
      <c r="E57" s="8" t="s">
        <v>228</v>
      </c>
      <c r="F57" s="6" t="s">
        <v>229</v>
      </c>
      <c r="G57" s="9">
        <f>IF(A57=1,"_",IF(C57="_","???",C57))</f>
        <v/>
      </c>
      <c r="H57" s="10" t="s">
        <v>12</v>
      </c>
      <c r="I57" s="11" t="s">
        <v>12</v>
      </c>
      <c r="J57" s="12"/>
    </row>
    <row r="58" spans="1:10" ht="60" customHeight="1">
      <c r="A58" s="6" t="s">
        <v>230</v>
      </c>
      <c r="B58" s="6" t="s">
        <v>10</v>
      </c>
      <c r="C58" s="6" t="s">
        <v>12</v>
      </c>
      <c r="D58" s="7" t="s">
        <v>52</v>
      </c>
      <c r="E58" s="8" t="s">
        <v>231</v>
      </c>
      <c r="F58" s="6" t="s">
        <v>232</v>
      </c>
      <c r="G58" s="9">
        <f>IF(A58=1,"_",IF(C58="_","???",C58))</f>
        <v/>
      </c>
      <c r="H58" s="10" t="s">
        <v>12</v>
      </c>
      <c r="I58" s="11" t="s">
        <v>12</v>
      </c>
      <c r="J58" s="12"/>
    </row>
    <row r="59" spans="1:10" ht="60" customHeight="1">
      <c r="A59" s="6" t="s">
        <v>233</v>
      </c>
      <c r="B59" s="6" t="s">
        <v>38</v>
      </c>
      <c r="C59" s="6" t="s">
        <v>21</v>
      </c>
      <c r="D59" s="7" t="s">
        <v>234</v>
      </c>
      <c r="E59" s="8" t="s">
        <v>235</v>
      </c>
      <c r="F59" s="6" t="s">
        <v>236</v>
      </c>
      <c r="G59" s="9">
        <f>IF(A59=1,"_",IF(C59="_","???",C59))</f>
        <v/>
      </c>
      <c r="H59" s="10" t="s">
        <v>12</v>
      </c>
      <c r="I59" s="11" t="s">
        <v>12</v>
      </c>
      <c r="J59" s="12"/>
    </row>
    <row r="60" spans="1:10" ht="60" customHeight="1">
      <c r="A60" s="6" t="s">
        <v>237</v>
      </c>
      <c r="B60" s="6" t="s">
        <v>10</v>
      </c>
      <c r="C60" s="6" t="s">
        <v>12</v>
      </c>
      <c r="D60" s="7" t="s">
        <v>35</v>
      </c>
      <c r="E60" s="8" t="s">
        <v>238</v>
      </c>
      <c r="F60" s="6" t="s">
        <v>239</v>
      </c>
      <c r="G60" s="9">
        <f>IF(A60=1,"_",IF(C60="_","???",C60))</f>
        <v/>
      </c>
      <c r="H60" s="10" t="s">
        <v>12</v>
      </c>
      <c r="I60" s="11" t="s">
        <v>12</v>
      </c>
      <c r="J60" s="12"/>
    </row>
    <row r="61" spans="1:10" ht="60" customHeight="1">
      <c r="A61" s="6" t="s">
        <v>240</v>
      </c>
      <c r="B61" s="6" t="s">
        <v>16</v>
      </c>
      <c r="C61" s="6" t="s">
        <v>12</v>
      </c>
      <c r="D61" s="7" t="s">
        <v>241</v>
      </c>
      <c r="E61" s="8" t="s">
        <v>242</v>
      </c>
      <c r="F61" s="6" t="s">
        <v>243</v>
      </c>
      <c r="G61" s="9">
        <f>IF(A61=1,"_",IF(C61="_","???",C61))</f>
        <v/>
      </c>
      <c r="H61" s="10" t="s">
        <v>12</v>
      </c>
      <c r="I61" s="11" t="s">
        <v>12</v>
      </c>
      <c r="J61" s="12"/>
    </row>
    <row r="62" spans="1:10" ht="60" customHeight="1">
      <c r="A62" s="6" t="s">
        <v>244</v>
      </c>
      <c r="B62" s="6" t="s">
        <v>11</v>
      </c>
      <c r="C62" s="6" t="s">
        <v>17</v>
      </c>
      <c r="D62" s="7" t="s">
        <v>245</v>
      </c>
      <c r="E62" s="8" t="s">
        <v>246</v>
      </c>
      <c r="F62" s="6" t="s">
        <v>247</v>
      </c>
      <c r="G62" s="9">
        <f>IF(A62=1,"_",IF(C62="_","???",C62))</f>
        <v/>
      </c>
      <c r="H62" s="10" t="s">
        <v>12</v>
      </c>
      <c r="I62" s="11" t="s">
        <v>12</v>
      </c>
      <c r="J62" s="12"/>
    </row>
    <row r="63" spans="1:10" ht="60" customHeight="1">
      <c r="A63" s="6" t="s">
        <v>248</v>
      </c>
      <c r="B63" s="6" t="s">
        <v>16</v>
      </c>
      <c r="C63" s="6" t="s">
        <v>12</v>
      </c>
      <c r="D63" s="7" t="s">
        <v>249</v>
      </c>
      <c r="E63" s="8" t="s">
        <v>250</v>
      </c>
      <c r="F63" s="6" t="s">
        <v>251</v>
      </c>
      <c r="G63" s="9">
        <f>IF(A63=1,"_",IF(C63="_","???",C63))</f>
        <v/>
      </c>
      <c r="H63" s="10" t="s">
        <v>12</v>
      </c>
      <c r="I63" s="11" t="s">
        <v>12</v>
      </c>
      <c r="J63" s="12"/>
    </row>
    <row r="64" spans="1:10" ht="60" customHeight="1">
      <c r="A64" s="6" t="s">
        <v>252</v>
      </c>
      <c r="B64" s="6" t="s">
        <v>10</v>
      </c>
      <c r="C64" s="6" t="s">
        <v>12</v>
      </c>
      <c r="D64" s="7" t="s">
        <v>52</v>
      </c>
      <c r="E64" s="8" t="s">
        <v>253</v>
      </c>
      <c r="F64" s="6" t="s">
        <v>254</v>
      </c>
      <c r="G64" s="9">
        <f>IF(A64=1,"_",IF(C64="_","???",C64))</f>
        <v/>
      </c>
      <c r="H64" s="10" t="s">
        <v>12</v>
      </c>
      <c r="I64" s="11" t="s">
        <v>12</v>
      </c>
      <c r="J64" s="12"/>
    </row>
    <row r="65" spans="1:10" ht="60" customHeight="1">
      <c r="A65" s="6" t="s">
        <v>255</v>
      </c>
      <c r="B65" s="6" t="s">
        <v>10</v>
      </c>
      <c r="C65" s="6" t="s">
        <v>12</v>
      </c>
      <c r="D65" s="7" t="s">
        <v>35</v>
      </c>
      <c r="E65" s="8" t="s">
        <v>256</v>
      </c>
      <c r="F65" s="6" t="s">
        <v>257</v>
      </c>
      <c r="G65" s="9">
        <f>IF(A65=1,"_",IF(C65="_","???",C65))</f>
        <v/>
      </c>
      <c r="H65" s="10" t="s">
        <v>12</v>
      </c>
      <c r="I65" s="11" t="s">
        <v>12</v>
      </c>
      <c r="J65" s="12"/>
    </row>
    <row r="66" spans="1:10" ht="60" customHeight="1">
      <c r="A66" s="6" t="s">
        <v>258</v>
      </c>
      <c r="B66" s="6" t="s">
        <v>16</v>
      </c>
      <c r="C66" s="6" t="s">
        <v>12</v>
      </c>
      <c r="D66" s="7" t="s">
        <v>249</v>
      </c>
      <c r="E66" s="8" t="s">
        <v>259</v>
      </c>
      <c r="F66" s="6" t="s">
        <v>260</v>
      </c>
      <c r="G66" s="9">
        <f>IF(A66=1,"_",IF(C66="_","???",C66))</f>
        <v/>
      </c>
      <c r="H66" s="10" t="s">
        <v>12</v>
      </c>
      <c r="I66" s="11" t="s">
        <v>12</v>
      </c>
      <c r="J66" s="12"/>
    </row>
    <row r="67" spans="1:10" ht="60" customHeight="1">
      <c r="A67" s="6" t="s">
        <v>261</v>
      </c>
      <c r="B67" s="6" t="s">
        <v>10</v>
      </c>
      <c r="C67" s="6" t="s">
        <v>12</v>
      </c>
      <c r="D67" s="7" t="s">
        <v>262</v>
      </c>
      <c r="E67" s="8" t="s">
        <v>263</v>
      </c>
      <c r="F67" s="6" t="s">
        <v>264</v>
      </c>
      <c r="G67" s="9">
        <f>IF(A67=1,"_",IF(C67="_","???",C67))</f>
        <v/>
      </c>
      <c r="H67" s="10" t="s">
        <v>12</v>
      </c>
      <c r="I67" s="11" t="s">
        <v>12</v>
      </c>
      <c r="J67" s="12"/>
    </row>
    <row r="68" spans="1:10" ht="60" customHeight="1">
      <c r="A68" s="6" t="s">
        <v>265</v>
      </c>
      <c r="B68" s="6" t="s">
        <v>25</v>
      </c>
      <c r="C68" s="6" t="s">
        <v>12</v>
      </c>
      <c r="D68" s="7" t="s">
        <v>266</v>
      </c>
      <c r="E68" s="8" t="s">
        <v>267</v>
      </c>
      <c r="F68" s="6" t="s">
        <v>268</v>
      </c>
      <c r="G68" s="9">
        <f>IF(A68=1,"_",IF(C68="_","???",C68))</f>
        <v/>
      </c>
      <c r="H68" s="10" t="s">
        <v>12</v>
      </c>
      <c r="I68" s="11" t="s">
        <v>12</v>
      </c>
      <c r="J68" s="12"/>
    </row>
    <row r="69" spans="1:10" ht="60" customHeight="1">
      <c r="A69" s="6" t="s">
        <v>269</v>
      </c>
      <c r="B69" s="6" t="s">
        <v>38</v>
      </c>
      <c r="C69" s="6" t="s">
        <v>43</v>
      </c>
      <c r="D69" s="7" t="s">
        <v>270</v>
      </c>
      <c r="E69" s="8" t="s">
        <v>271</v>
      </c>
      <c r="F69" s="6" t="s">
        <v>272</v>
      </c>
      <c r="G69" s="9">
        <f>IF(A69=1,"_",IF(C69="_","???",C69))</f>
        <v/>
      </c>
      <c r="H69" s="10" t="s">
        <v>12</v>
      </c>
      <c r="I69" s="11" t="s">
        <v>12</v>
      </c>
      <c r="J69" s="12"/>
    </row>
    <row r="70" spans="1:10" ht="60" customHeight="1">
      <c r="A70" s="6" t="s">
        <v>273</v>
      </c>
      <c r="B70" s="6" t="s">
        <v>16</v>
      </c>
      <c r="C70" s="6" t="s">
        <v>144</v>
      </c>
      <c r="D70" s="7" t="s">
        <v>274</v>
      </c>
      <c r="E70" s="8" t="s">
        <v>275</v>
      </c>
      <c r="F70" s="6" t="s">
        <v>276</v>
      </c>
      <c r="G70" s="9">
        <f>IF(A70=1,"_",IF(C70="_","???",C70))</f>
        <v/>
      </c>
      <c r="H70" s="10" t="s">
        <v>12</v>
      </c>
      <c r="I70" s="11" t="s">
        <v>12</v>
      </c>
      <c r="J70" s="12"/>
    </row>
    <row r="71" spans="1:10" ht="60" customHeight="1">
      <c r="A71" s="6" t="s">
        <v>277</v>
      </c>
      <c r="B71" s="6" t="s">
        <v>16</v>
      </c>
      <c r="C71" s="6" t="s">
        <v>34</v>
      </c>
      <c r="D71" s="7" t="s">
        <v>278</v>
      </c>
      <c r="E71" s="8" t="s">
        <v>279</v>
      </c>
      <c r="F71" s="6" t="s">
        <v>280</v>
      </c>
      <c r="G71" s="9">
        <f>IF(A71=1,"_",IF(C71="_","???",C71))</f>
        <v/>
      </c>
      <c r="H71" s="10" t="s">
        <v>12</v>
      </c>
      <c r="I71" s="11" t="s">
        <v>12</v>
      </c>
      <c r="J71" s="12"/>
    </row>
    <row r="72" spans="1:10" ht="60" customHeight="1">
      <c r="A72" s="6" t="s">
        <v>281</v>
      </c>
      <c r="B72" s="6" t="s">
        <v>16</v>
      </c>
      <c r="C72" s="6" t="s">
        <v>12</v>
      </c>
      <c r="D72" s="7" t="s">
        <v>213</v>
      </c>
      <c r="E72" s="8" t="s">
        <v>282</v>
      </c>
      <c r="F72" s="6" t="s">
        <v>283</v>
      </c>
      <c r="G72" s="9">
        <f>IF(A72=1,"_",IF(C72="_","???",C72))</f>
        <v/>
      </c>
      <c r="H72" s="10" t="s">
        <v>12</v>
      </c>
      <c r="I72" s="11" t="s">
        <v>12</v>
      </c>
      <c r="J72" s="12"/>
    </row>
    <row r="73" spans="1:10" ht="60" customHeight="1">
      <c r="A73" s="6" t="s">
        <v>284</v>
      </c>
      <c r="B73" s="6" t="s">
        <v>11</v>
      </c>
      <c r="C73" s="6" t="s">
        <v>12</v>
      </c>
      <c r="D73" s="7" t="s">
        <v>285</v>
      </c>
      <c r="E73" s="8" t="s">
        <v>286</v>
      </c>
      <c r="F73" s="6" t="s">
        <v>287</v>
      </c>
      <c r="G73" s="9">
        <f>IF(A73=1,"_",IF(C73="_","???",C73))</f>
        <v/>
      </c>
      <c r="H73" s="10" t="s">
        <v>12</v>
      </c>
      <c r="I73" s="11" t="s">
        <v>12</v>
      </c>
      <c r="J73" s="12"/>
    </row>
    <row r="74" spans="1:10" ht="60" customHeight="1">
      <c r="A74" s="6" t="s">
        <v>288</v>
      </c>
      <c r="B74" s="6" t="s">
        <v>16</v>
      </c>
      <c r="C74" s="6" t="s">
        <v>12</v>
      </c>
      <c r="D74" s="7" t="s">
        <v>289</v>
      </c>
      <c r="E74" s="8" t="s">
        <v>290</v>
      </c>
      <c r="F74" s="6" t="s">
        <v>291</v>
      </c>
      <c r="G74" s="9">
        <f>IF(A74=1,"_",IF(C74="_","???",C74))</f>
        <v/>
      </c>
      <c r="H74" s="10" t="s">
        <v>12</v>
      </c>
      <c r="I74" s="11" t="s">
        <v>12</v>
      </c>
      <c r="J74" s="12"/>
    </row>
    <row r="75" spans="1:10" ht="60" customHeight="1">
      <c r="A75" s="6" t="s">
        <v>292</v>
      </c>
      <c r="B75" s="6" t="s">
        <v>10</v>
      </c>
      <c r="C75" s="6" t="s">
        <v>12</v>
      </c>
      <c r="D75" s="7" t="s">
        <v>293</v>
      </c>
      <c r="E75" s="8" t="s">
        <v>294</v>
      </c>
      <c r="F75" s="6" t="s">
        <v>295</v>
      </c>
      <c r="G75" s="9">
        <f>IF(A75=1,"_",IF(C75="_","???",C75))</f>
        <v/>
      </c>
      <c r="H75" s="10" t="s">
        <v>12</v>
      </c>
      <c r="I75" s="11" t="s">
        <v>12</v>
      </c>
      <c r="J75" s="12"/>
    </row>
    <row r="76" spans="1:10" ht="60" customHeight="1">
      <c r="A76" s="6" t="s">
        <v>296</v>
      </c>
      <c r="B76" s="6" t="s">
        <v>33</v>
      </c>
      <c r="C76" s="6" t="s">
        <v>12</v>
      </c>
      <c r="D76" s="7" t="s">
        <v>297</v>
      </c>
      <c r="E76" s="8" t="s">
        <v>298</v>
      </c>
      <c r="F76" s="6" t="s">
        <v>299</v>
      </c>
      <c r="G76" s="9">
        <f>IF(A76=1,"_",IF(C76="_","???",C76))</f>
        <v/>
      </c>
      <c r="H76" s="10" t="s">
        <v>12</v>
      </c>
      <c r="I76" s="11" t="s">
        <v>12</v>
      </c>
      <c r="J76" s="12"/>
    </row>
    <row r="77" spans="1:10" ht="60" customHeight="1">
      <c r="A77" s="6" t="s">
        <v>300</v>
      </c>
      <c r="B77" s="6" t="s">
        <v>25</v>
      </c>
      <c r="C77" s="6" t="s">
        <v>301</v>
      </c>
      <c r="D77" s="7" t="s">
        <v>130</v>
      </c>
      <c r="E77" s="8" t="s">
        <v>302</v>
      </c>
      <c r="F77" s="6" t="s">
        <v>303</v>
      </c>
      <c r="G77" s="9">
        <f>IF(A77=1,"_",IF(C77="_","???",C77))</f>
        <v/>
      </c>
      <c r="H77" s="10" t="s">
        <v>12</v>
      </c>
      <c r="I77" s="11" t="s">
        <v>12</v>
      </c>
      <c r="J77" s="12"/>
    </row>
    <row r="78" spans="1:10" ht="60" customHeight="1">
      <c r="A78" s="6" t="s">
        <v>304</v>
      </c>
      <c r="B78" s="6" t="s">
        <v>11</v>
      </c>
      <c r="C78" s="6" t="s">
        <v>17</v>
      </c>
      <c r="D78" s="7" t="s">
        <v>305</v>
      </c>
      <c r="E78" s="8" t="s">
        <v>306</v>
      </c>
      <c r="F78" s="6" t="s">
        <v>307</v>
      </c>
      <c r="G78" s="9">
        <f>IF(A78=1,"_",IF(C78="_","???",C78))</f>
        <v/>
      </c>
      <c r="H78" s="10" t="s">
        <v>12</v>
      </c>
      <c r="I78" s="11" t="s">
        <v>12</v>
      </c>
      <c r="J78" s="12"/>
    </row>
    <row r="79" spans="1:10" ht="60" customHeight="1">
      <c r="A79" s="6" t="s">
        <v>308</v>
      </c>
      <c r="B79" s="6" t="s">
        <v>25</v>
      </c>
      <c r="C79" s="6" t="s">
        <v>17</v>
      </c>
      <c r="D79" s="7" t="s">
        <v>217</v>
      </c>
      <c r="E79" s="8" t="s">
        <v>309</v>
      </c>
      <c r="F79" s="6" t="s">
        <v>310</v>
      </c>
      <c r="G79" s="9">
        <f>IF(A79=1,"_",IF(C79="_","???",C79))</f>
        <v/>
      </c>
      <c r="H79" s="10" t="s">
        <v>12</v>
      </c>
      <c r="I79" s="11" t="s">
        <v>12</v>
      </c>
      <c r="J79" s="12"/>
    </row>
    <row r="80" spans="1:10" ht="60" customHeight="1">
      <c r="A80" s="6" t="s">
        <v>311</v>
      </c>
      <c r="B80" s="6" t="s">
        <v>16</v>
      </c>
      <c r="C80" s="6" t="s">
        <v>12</v>
      </c>
      <c r="D80" s="7" t="s">
        <v>293</v>
      </c>
      <c r="E80" s="8" t="s">
        <v>312</v>
      </c>
      <c r="F80" s="6" t="s">
        <v>313</v>
      </c>
      <c r="G80" s="9">
        <f>IF(A80=1,"_",IF(C80="_","???",C80))</f>
        <v/>
      </c>
      <c r="H80" s="10" t="s">
        <v>12</v>
      </c>
      <c r="I80" s="11" t="s">
        <v>12</v>
      </c>
      <c r="J80" s="12"/>
    </row>
    <row r="81" spans="1:10" ht="60" customHeight="1">
      <c r="A81" s="6" t="s">
        <v>314</v>
      </c>
      <c r="B81" s="6" t="s">
        <v>11</v>
      </c>
      <c r="C81" s="6" t="s">
        <v>12</v>
      </c>
      <c r="D81" s="7" t="s">
        <v>315</v>
      </c>
      <c r="E81" s="8" t="s">
        <v>316</v>
      </c>
      <c r="F81" s="6" t="s">
        <v>317</v>
      </c>
      <c r="G81" s="9">
        <f>IF(A81=1,"_",IF(C81="_","???",C81))</f>
        <v/>
      </c>
      <c r="H81" s="10" t="s">
        <v>12</v>
      </c>
      <c r="I81" s="11" t="s">
        <v>12</v>
      </c>
      <c r="J81" s="12"/>
    </row>
    <row r="82" spans="1:10" ht="60" customHeight="1">
      <c r="A82" s="6" t="s">
        <v>318</v>
      </c>
      <c r="B82" s="6" t="s">
        <v>29</v>
      </c>
      <c r="C82" s="6" t="s">
        <v>12</v>
      </c>
      <c r="D82" s="7" t="s">
        <v>319</v>
      </c>
      <c r="E82" s="8" t="s">
        <v>320</v>
      </c>
      <c r="F82" s="6" t="s">
        <v>321</v>
      </c>
      <c r="G82" s="9">
        <f>IF(A82=1,"_",IF(C82="_","???",C82))</f>
        <v/>
      </c>
      <c r="H82" s="10" t="s">
        <v>12</v>
      </c>
      <c r="I82" s="11" t="s">
        <v>12</v>
      </c>
      <c r="J82" s="12"/>
    </row>
    <row r="83" spans="1:10" ht="60" customHeight="1">
      <c r="A83" s="6" t="s">
        <v>322</v>
      </c>
      <c r="B83" s="6" t="s">
        <v>11</v>
      </c>
      <c r="C83" s="6" t="s">
        <v>12</v>
      </c>
      <c r="D83" s="7" t="s">
        <v>22</v>
      </c>
      <c r="E83" s="8" t="s">
        <v>323</v>
      </c>
      <c r="F83" s="6" t="s">
        <v>324</v>
      </c>
      <c r="G83" s="9">
        <f>IF(A83=1,"_",IF(C83="_","???",C83))</f>
        <v/>
      </c>
      <c r="H83" s="10" t="s">
        <v>12</v>
      </c>
      <c r="I83" s="11" t="s">
        <v>12</v>
      </c>
      <c r="J83" s="12"/>
    </row>
    <row r="84" spans="1:10" ht="60" customHeight="1">
      <c r="A84" s="6" t="s">
        <v>325</v>
      </c>
      <c r="B84" s="6" t="s">
        <v>29</v>
      </c>
      <c r="C84" s="6" t="s">
        <v>326</v>
      </c>
      <c r="D84" s="7" t="s">
        <v>327</v>
      </c>
      <c r="E84" s="8" t="s">
        <v>328</v>
      </c>
      <c r="F84" s="6" t="s">
        <v>329</v>
      </c>
      <c r="G84" s="9">
        <f>IF(A84=1,"_",IF(C84="_","???",C84))</f>
        <v/>
      </c>
      <c r="H84" s="10" t="s">
        <v>12</v>
      </c>
      <c r="I84" s="11" t="s">
        <v>12</v>
      </c>
      <c r="J84" s="12"/>
    </row>
    <row r="85" spans="1:10" ht="60" customHeight="1">
      <c r="A85" s="6" t="s">
        <v>330</v>
      </c>
      <c r="B85" s="6" t="s">
        <v>11</v>
      </c>
      <c r="C85" s="6" t="s">
        <v>12</v>
      </c>
      <c r="D85" s="7" t="s">
        <v>331</v>
      </c>
      <c r="E85" s="8" t="s">
        <v>332</v>
      </c>
      <c r="F85" s="6" t="s">
        <v>333</v>
      </c>
      <c r="G85" s="9">
        <f>IF(A85=1,"_",IF(C85="_","???",C85))</f>
        <v/>
      </c>
      <c r="H85" s="10" t="s">
        <v>12</v>
      </c>
      <c r="I85" s="11" t="s">
        <v>12</v>
      </c>
      <c r="J85" s="12"/>
    </row>
    <row r="86" spans="1:10" ht="60" customHeight="1">
      <c r="A86" s="6" t="s">
        <v>334</v>
      </c>
      <c r="B86" s="6" t="s">
        <v>11</v>
      </c>
      <c r="C86" s="6" t="s">
        <v>12</v>
      </c>
      <c r="D86" s="7" t="s">
        <v>213</v>
      </c>
      <c r="E86" s="8" t="s">
        <v>335</v>
      </c>
      <c r="F86" s="6" t="s">
        <v>336</v>
      </c>
      <c r="G86" s="9">
        <f>IF(A86=1,"_",IF(C86="_","???",C86))</f>
        <v/>
      </c>
      <c r="H86" s="10" t="s">
        <v>12</v>
      </c>
      <c r="I86" s="11" t="s">
        <v>12</v>
      </c>
      <c r="J86" s="12"/>
    </row>
    <row r="87" spans="1:10" ht="60" customHeight="1">
      <c r="A87" s="6" t="s">
        <v>337</v>
      </c>
      <c r="B87" s="6" t="s">
        <v>16</v>
      </c>
      <c r="C87" s="6" t="s">
        <v>17</v>
      </c>
      <c r="D87" s="7" t="s">
        <v>217</v>
      </c>
      <c r="E87" s="8" t="s">
        <v>338</v>
      </c>
      <c r="F87" s="6" t="s">
        <v>339</v>
      </c>
      <c r="G87" s="9">
        <f>IF(A87=1,"_",IF(C87="_","???",C87))</f>
        <v/>
      </c>
      <c r="H87" s="10" t="s">
        <v>12</v>
      </c>
      <c r="I87" s="11" t="s">
        <v>12</v>
      </c>
      <c r="J87" s="12"/>
    </row>
    <row r="88" spans="1:10" ht="60" customHeight="1">
      <c r="A88" s="6" t="s">
        <v>340</v>
      </c>
      <c r="B88" s="6" t="s">
        <v>47</v>
      </c>
      <c r="C88" s="6" t="s">
        <v>63</v>
      </c>
      <c r="D88" s="7" t="s">
        <v>217</v>
      </c>
      <c r="E88" s="8" t="s">
        <v>341</v>
      </c>
      <c r="F88" s="6" t="s">
        <v>342</v>
      </c>
      <c r="G88" s="9">
        <f>IF(A88=1,"_",IF(C88="_","???",C88))</f>
        <v/>
      </c>
      <c r="H88" s="10" t="s">
        <v>12</v>
      </c>
      <c r="I88" s="11" t="s">
        <v>12</v>
      </c>
      <c r="J88" s="12"/>
    </row>
    <row r="89" spans="1:10" ht="60" customHeight="1">
      <c r="A89" s="6" t="s">
        <v>343</v>
      </c>
      <c r="B89" s="6" t="s">
        <v>11</v>
      </c>
      <c r="C89" s="6" t="s">
        <v>21</v>
      </c>
      <c r="D89" s="7" t="s">
        <v>344</v>
      </c>
      <c r="E89" s="8" t="s">
        <v>345</v>
      </c>
      <c r="F89" s="6" t="s">
        <v>346</v>
      </c>
      <c r="G89" s="9">
        <f>IF(A89=1,"_",IF(C89="_","???",C89))</f>
        <v/>
      </c>
      <c r="H89" s="10" t="s">
        <v>12</v>
      </c>
      <c r="I89" s="11" t="s">
        <v>12</v>
      </c>
      <c r="J89" s="12"/>
    </row>
    <row r="90" spans="1:10" ht="60" customHeight="1">
      <c r="A90" s="6" t="s">
        <v>347</v>
      </c>
      <c r="B90" s="6" t="s">
        <v>11</v>
      </c>
      <c r="C90" s="6" t="s">
        <v>12</v>
      </c>
      <c r="D90" s="7" t="s">
        <v>153</v>
      </c>
      <c r="E90" s="8" t="s">
        <v>348</v>
      </c>
      <c r="F90" s="6" t="s">
        <v>349</v>
      </c>
      <c r="G90" s="9">
        <f>IF(A90=1,"_",IF(C90="_","???",C90))</f>
        <v/>
      </c>
      <c r="H90" s="10" t="s">
        <v>12</v>
      </c>
      <c r="I90" s="11" t="s">
        <v>12</v>
      </c>
      <c r="J90" s="12"/>
    </row>
    <row r="91" spans="1:10" ht="60" customHeight="1">
      <c r="A91" s="6" t="s">
        <v>350</v>
      </c>
      <c r="B91" s="6" t="s">
        <v>11</v>
      </c>
      <c r="C91" s="6" t="s">
        <v>12</v>
      </c>
      <c r="D91" s="7" t="s">
        <v>59</v>
      </c>
      <c r="E91" s="8" t="s">
        <v>351</v>
      </c>
      <c r="F91" s="6" t="s">
        <v>352</v>
      </c>
      <c r="G91" s="9">
        <f>IF(A91=1,"_",IF(C91="_","???",C91))</f>
        <v/>
      </c>
      <c r="H91" s="10" t="s">
        <v>12</v>
      </c>
      <c r="I91" s="11" t="s">
        <v>12</v>
      </c>
      <c r="J91" s="12"/>
    </row>
    <row r="92" spans="1:10" ht="60" customHeight="1">
      <c r="A92" s="6" t="s">
        <v>353</v>
      </c>
      <c r="B92" s="6" t="s">
        <v>16</v>
      </c>
      <c r="C92" s="6" t="s">
        <v>43</v>
      </c>
      <c r="D92" s="7" t="s">
        <v>59</v>
      </c>
      <c r="E92" s="8" t="s">
        <v>354</v>
      </c>
      <c r="F92" s="6" t="s">
        <v>355</v>
      </c>
      <c r="G92" s="9">
        <f>IF(A92=1,"_",IF(C92="_","???",C92))</f>
        <v/>
      </c>
      <c r="H92" s="10" t="s">
        <v>12</v>
      </c>
      <c r="I92" s="11" t="s">
        <v>12</v>
      </c>
      <c r="J92" s="12"/>
    </row>
    <row r="93" spans="1:10" ht="60" customHeight="1">
      <c r="A93" s="6" t="s">
        <v>356</v>
      </c>
      <c r="B93" s="6" t="s">
        <v>29</v>
      </c>
      <c r="C93" s="6" t="s">
        <v>12</v>
      </c>
      <c r="D93" s="7" t="s">
        <v>357</v>
      </c>
      <c r="E93" s="8" t="s">
        <v>358</v>
      </c>
      <c r="F93" s="6" t="s">
        <v>359</v>
      </c>
      <c r="G93" s="9">
        <f>IF(A93=1,"_",IF(C93="_","???",C93))</f>
        <v/>
      </c>
      <c r="H93" s="10" t="s">
        <v>12</v>
      </c>
      <c r="I93" s="11" t="s">
        <v>12</v>
      </c>
      <c r="J93" s="12"/>
    </row>
    <row r="94" spans="1:10" ht="60" customHeight="1">
      <c r="A94" s="6" t="s">
        <v>360</v>
      </c>
      <c r="B94" s="6" t="s">
        <v>51</v>
      </c>
      <c r="C94" s="6" t="s">
        <v>63</v>
      </c>
      <c r="D94" s="7" t="s">
        <v>179</v>
      </c>
      <c r="E94" s="8" t="s">
        <v>361</v>
      </c>
      <c r="F94" s="6" t="s">
        <v>362</v>
      </c>
      <c r="G94" s="9">
        <f>IF(A94=1,"_",IF(C94="_","???",C94))</f>
        <v/>
      </c>
      <c r="H94" s="10" t="s">
        <v>12</v>
      </c>
      <c r="I94" s="11" t="s">
        <v>12</v>
      </c>
      <c r="J94" s="12"/>
    </row>
    <row r="95" spans="1:10" ht="60" customHeight="1">
      <c r="A95" s="6" t="s">
        <v>363</v>
      </c>
      <c r="B95" s="6" t="s">
        <v>16</v>
      </c>
      <c r="C95" s="6" t="s">
        <v>43</v>
      </c>
      <c r="D95" s="7" t="s">
        <v>364</v>
      </c>
      <c r="E95" s="8" t="s">
        <v>365</v>
      </c>
      <c r="F95" s="6" t="s">
        <v>366</v>
      </c>
      <c r="G95" s="9">
        <f>IF(A95=1,"_",IF(C95="_","???",C95))</f>
        <v/>
      </c>
      <c r="H95" s="10" t="s">
        <v>12</v>
      </c>
      <c r="I95" s="11" t="s">
        <v>12</v>
      </c>
      <c r="J95" s="12"/>
    </row>
    <row r="96" spans="1:10" ht="60" customHeight="1">
      <c r="A96" s="6" t="s">
        <v>367</v>
      </c>
      <c r="B96" s="6" t="s">
        <v>33</v>
      </c>
      <c r="C96" s="6" t="s">
        <v>12</v>
      </c>
      <c r="D96" s="7" t="s">
        <v>368</v>
      </c>
      <c r="E96" s="8" t="s">
        <v>369</v>
      </c>
      <c r="F96" s="6" t="s">
        <v>370</v>
      </c>
      <c r="G96" s="9">
        <f>IF(A96=1,"_",IF(C96="_","???",C96))</f>
        <v/>
      </c>
      <c r="H96" s="10" t="s">
        <v>12</v>
      </c>
      <c r="I96" s="11" t="s">
        <v>12</v>
      </c>
      <c r="J96" s="12"/>
    </row>
    <row r="97" spans="1:10" ht="60" customHeight="1">
      <c r="A97" s="6" t="s">
        <v>371</v>
      </c>
      <c r="B97" s="6" t="s">
        <v>11</v>
      </c>
      <c r="C97" s="6" t="s">
        <v>12</v>
      </c>
      <c r="D97" s="7" t="s">
        <v>59</v>
      </c>
      <c r="E97" s="8" t="s">
        <v>372</v>
      </c>
      <c r="F97" s="6" t="s">
        <v>373</v>
      </c>
      <c r="G97" s="9">
        <f>IF(A97=1,"_",IF(C97="_","???",C97))</f>
        <v/>
      </c>
      <c r="H97" s="10" t="s">
        <v>12</v>
      </c>
      <c r="I97" s="11" t="s">
        <v>12</v>
      </c>
      <c r="J97" s="12"/>
    </row>
    <row r="98" spans="1:10" ht="60" customHeight="1">
      <c r="A98" s="6" t="s">
        <v>374</v>
      </c>
      <c r="B98" s="6" t="s">
        <v>25</v>
      </c>
      <c r="C98" s="6" t="s">
        <v>144</v>
      </c>
      <c r="D98" s="7" t="s">
        <v>213</v>
      </c>
      <c r="E98" s="8" t="s">
        <v>375</v>
      </c>
      <c r="F98" s="6" t="s">
        <v>376</v>
      </c>
      <c r="G98" s="9">
        <f>IF(A98=1,"_",IF(C98="_","???",C98))</f>
        <v/>
      </c>
      <c r="H98" s="10" t="s">
        <v>12</v>
      </c>
      <c r="I98" s="11" t="s">
        <v>12</v>
      </c>
      <c r="J98" s="12"/>
    </row>
    <row r="99" spans="1:10" ht="60" customHeight="1">
      <c r="A99" s="6" t="s">
        <v>377</v>
      </c>
      <c r="B99" s="6" t="s">
        <v>11</v>
      </c>
      <c r="C99" s="6" t="s">
        <v>12</v>
      </c>
      <c r="D99" s="7" t="s">
        <v>59</v>
      </c>
      <c r="E99" s="8" t="s">
        <v>378</v>
      </c>
      <c r="F99" s="6" t="s">
        <v>379</v>
      </c>
      <c r="G99" s="9">
        <f>IF(A99=1,"_",IF(C99="_","???",C99))</f>
        <v/>
      </c>
      <c r="H99" s="10" t="s">
        <v>12</v>
      </c>
      <c r="I99" s="11" t="s">
        <v>12</v>
      </c>
      <c r="J99" s="12"/>
    </row>
    <row r="100" spans="1:10" ht="60" customHeight="1">
      <c r="A100" s="6" t="s">
        <v>380</v>
      </c>
      <c r="B100" s="6" t="s">
        <v>47</v>
      </c>
      <c r="C100" s="6" t="s">
        <v>63</v>
      </c>
      <c r="D100" s="7" t="s">
        <v>381</v>
      </c>
      <c r="E100" s="8" t="s">
        <v>382</v>
      </c>
      <c r="F100" s="6" t="s">
        <v>383</v>
      </c>
      <c r="G100" s="9">
        <f>IF(A100=1,"_",IF(C100="_","???",C100))</f>
        <v/>
      </c>
      <c r="H100" s="10" t="s">
        <v>12</v>
      </c>
      <c r="I100" s="11" t="s">
        <v>12</v>
      </c>
      <c r="J100" s="12"/>
    </row>
    <row r="101" spans="1:10" ht="60" customHeight="1">
      <c r="A101" s="6" t="s">
        <v>384</v>
      </c>
      <c r="B101" s="6" t="s">
        <v>11</v>
      </c>
      <c r="C101" s="6" t="s">
        <v>144</v>
      </c>
      <c r="D101" s="7" t="s">
        <v>385</v>
      </c>
      <c r="E101" s="8" t="s">
        <v>386</v>
      </c>
      <c r="F101" s="6" t="s">
        <v>387</v>
      </c>
      <c r="G101" s="9">
        <f>IF(A101=1,"_",IF(C101="_","???",C101))</f>
        <v/>
      </c>
      <c r="H101" s="10" t="s">
        <v>12</v>
      </c>
      <c r="I101" s="11" t="s">
        <v>12</v>
      </c>
      <c r="J101" s="12"/>
    </row>
    <row r="102" spans="1:10" ht="60" customHeight="1">
      <c r="A102" s="6" t="s">
        <v>388</v>
      </c>
      <c r="B102" s="6" t="s">
        <v>11</v>
      </c>
      <c r="C102" s="6" t="s">
        <v>12</v>
      </c>
      <c r="D102" s="7" t="s">
        <v>389</v>
      </c>
      <c r="E102" s="8" t="s">
        <v>390</v>
      </c>
      <c r="F102" s="6" t="s">
        <v>391</v>
      </c>
      <c r="G102" s="9">
        <f>IF(A102=1,"_",IF(C102="_","???",C102))</f>
        <v/>
      </c>
      <c r="H102" s="10" t="s">
        <v>12</v>
      </c>
      <c r="I102" s="11" t="s">
        <v>12</v>
      </c>
      <c r="J102" s="12"/>
    </row>
    <row r="103" spans="1:10" ht="60" customHeight="1">
      <c r="A103" s="6" t="s">
        <v>392</v>
      </c>
      <c r="B103" s="6" t="s">
        <v>10</v>
      </c>
      <c r="C103" s="6" t="s">
        <v>17</v>
      </c>
      <c r="D103" s="7" t="s">
        <v>35</v>
      </c>
      <c r="E103" s="8" t="s">
        <v>393</v>
      </c>
      <c r="F103" s="6" t="s">
        <v>394</v>
      </c>
      <c r="G103" s="9">
        <f>IF(A103=1,"_",IF(C103="_","???",C103))</f>
        <v/>
      </c>
      <c r="H103" s="10" t="s">
        <v>12</v>
      </c>
      <c r="I103" s="11" t="s">
        <v>12</v>
      </c>
      <c r="J103" s="12"/>
    </row>
    <row r="104" spans="1:10" ht="60" customHeight="1">
      <c r="A104" s="6" t="s">
        <v>395</v>
      </c>
      <c r="B104" s="6" t="s">
        <v>16</v>
      </c>
      <c r="C104" s="6" t="s">
        <v>17</v>
      </c>
      <c r="D104" s="7" t="s">
        <v>396</v>
      </c>
      <c r="E104" s="8" t="s">
        <v>397</v>
      </c>
      <c r="F104" s="6" t="s">
        <v>398</v>
      </c>
      <c r="G104" s="9">
        <f>IF(A104=1,"_",IF(C104="_","???",C104))</f>
        <v/>
      </c>
      <c r="H104" s="10" t="s">
        <v>12</v>
      </c>
      <c r="I104" s="11" t="s">
        <v>12</v>
      </c>
      <c r="J104" s="12"/>
    </row>
    <row r="105" spans="1:10" ht="60" customHeight="1">
      <c r="A105" s="6" t="s">
        <v>399</v>
      </c>
      <c r="B105" s="6" t="s">
        <v>11</v>
      </c>
      <c r="C105" s="6" t="s">
        <v>12</v>
      </c>
      <c r="D105" s="7" t="s">
        <v>213</v>
      </c>
      <c r="E105" s="8" t="s">
        <v>400</v>
      </c>
      <c r="F105" s="6" t="s">
        <v>401</v>
      </c>
      <c r="G105" s="9">
        <f>IF(A105=1,"_",IF(C105="_","???",C105))</f>
        <v/>
      </c>
      <c r="H105" s="10" t="s">
        <v>12</v>
      </c>
      <c r="I105" s="11" t="s">
        <v>12</v>
      </c>
      <c r="J105" s="12"/>
    </row>
    <row r="106" spans="1:10" ht="60" customHeight="1">
      <c r="A106" s="6" t="s">
        <v>402</v>
      </c>
      <c r="B106" s="6" t="s">
        <v>16</v>
      </c>
      <c r="C106" s="6" t="s">
        <v>34</v>
      </c>
      <c r="D106" s="7" t="s">
        <v>396</v>
      </c>
      <c r="E106" s="8" t="s">
        <v>403</v>
      </c>
      <c r="F106" s="6" t="s">
        <v>404</v>
      </c>
      <c r="G106" s="9">
        <f>IF(A106=1,"_",IF(C106="_","???",C106))</f>
        <v/>
      </c>
      <c r="H106" s="10" t="s">
        <v>12</v>
      </c>
      <c r="I106" s="11" t="s">
        <v>12</v>
      </c>
      <c r="J106" s="12"/>
    </row>
    <row r="107" spans="1:10" ht="60" customHeight="1">
      <c r="A107" s="6" t="s">
        <v>405</v>
      </c>
      <c r="B107" s="6" t="s">
        <v>33</v>
      </c>
      <c r="C107" s="6" t="s">
        <v>17</v>
      </c>
      <c r="D107" s="7" t="s">
        <v>266</v>
      </c>
      <c r="E107" s="8" t="s">
        <v>406</v>
      </c>
      <c r="F107" s="6" t="s">
        <v>407</v>
      </c>
      <c r="G107" s="9">
        <f>IF(A107=1,"_",IF(C107="_","???",C107))</f>
        <v/>
      </c>
      <c r="H107" s="10" t="s">
        <v>12</v>
      </c>
      <c r="I107" s="11" t="s">
        <v>12</v>
      </c>
      <c r="J107" s="12"/>
    </row>
    <row r="108" spans="1:10" ht="60" customHeight="1">
      <c r="A108" s="6" t="s">
        <v>408</v>
      </c>
      <c r="B108" s="6" t="s">
        <v>16</v>
      </c>
      <c r="C108" s="6" t="s">
        <v>12</v>
      </c>
      <c r="D108" s="7" t="s">
        <v>409</v>
      </c>
      <c r="E108" s="8" t="s">
        <v>410</v>
      </c>
      <c r="F108" s="6" t="s">
        <v>411</v>
      </c>
      <c r="G108" s="9">
        <f>IF(A108=1,"_",IF(C108="_","???",C108))</f>
        <v/>
      </c>
      <c r="H108" s="10" t="s">
        <v>12</v>
      </c>
      <c r="I108" s="11" t="s">
        <v>12</v>
      </c>
      <c r="J108" s="12"/>
    </row>
    <row r="109" spans="1:10" ht="60" customHeight="1">
      <c r="A109" s="6" t="s">
        <v>412</v>
      </c>
      <c r="B109" s="6" t="s">
        <v>11</v>
      </c>
      <c r="C109" s="6" t="s">
        <v>12</v>
      </c>
      <c r="D109" s="7" t="s">
        <v>413</v>
      </c>
      <c r="E109" s="8" t="s">
        <v>414</v>
      </c>
      <c r="F109" s="6" t="s">
        <v>415</v>
      </c>
      <c r="G109" s="9">
        <f>IF(A109=1,"_",IF(C109="_","???",C109))</f>
        <v/>
      </c>
      <c r="H109" s="10" t="s">
        <v>12</v>
      </c>
      <c r="I109" s="11" t="s">
        <v>12</v>
      </c>
      <c r="J109" s="12"/>
    </row>
    <row r="110" spans="1:10" ht="60" customHeight="1">
      <c r="A110" s="6" t="s">
        <v>416</v>
      </c>
      <c r="B110" s="6" t="s">
        <v>16</v>
      </c>
      <c r="C110" s="6" t="s">
        <v>12</v>
      </c>
      <c r="D110" s="7" t="s">
        <v>417</v>
      </c>
      <c r="E110" s="8" t="s">
        <v>418</v>
      </c>
      <c r="F110" s="6" t="s">
        <v>419</v>
      </c>
      <c r="G110" s="9">
        <f>IF(A110=1,"_",IF(C110="_","???",C110))</f>
        <v/>
      </c>
      <c r="H110" s="10" t="s">
        <v>12</v>
      </c>
      <c r="I110" s="11" t="s">
        <v>12</v>
      </c>
      <c r="J110" s="12"/>
    </row>
    <row r="111" spans="1:10" ht="60" customHeight="1">
      <c r="A111" s="6" t="s">
        <v>420</v>
      </c>
      <c r="B111" s="6" t="s">
        <v>62</v>
      </c>
      <c r="C111" s="6" t="s">
        <v>12</v>
      </c>
      <c r="D111" s="7" t="s">
        <v>213</v>
      </c>
      <c r="E111" s="8" t="s">
        <v>421</v>
      </c>
      <c r="F111" s="6" t="s">
        <v>422</v>
      </c>
      <c r="G111" s="9">
        <f>IF(A111=1,"_",IF(C111="_","???",C111))</f>
        <v/>
      </c>
      <c r="H111" s="10" t="s">
        <v>12</v>
      </c>
      <c r="I111" s="11" t="s">
        <v>12</v>
      </c>
      <c r="J111" s="12"/>
    </row>
    <row r="112" spans="1:10" ht="60" customHeight="1">
      <c r="A112" s="6" t="s">
        <v>423</v>
      </c>
      <c r="B112" s="6" t="s">
        <v>38</v>
      </c>
      <c r="C112" s="6" t="s">
        <v>12</v>
      </c>
      <c r="D112" s="7" t="s">
        <v>424</v>
      </c>
      <c r="E112" s="8" t="s">
        <v>425</v>
      </c>
      <c r="F112" s="6" t="s">
        <v>426</v>
      </c>
      <c r="G112" s="9">
        <f>IF(A112=1,"_",IF(C112="_","???",C112))</f>
        <v/>
      </c>
      <c r="H112" s="10" t="s">
        <v>12</v>
      </c>
      <c r="I112" s="11" t="s">
        <v>12</v>
      </c>
      <c r="J112" s="12"/>
    </row>
    <row r="113" spans="1:10" ht="60" customHeight="1">
      <c r="A113" s="6" t="s">
        <v>427</v>
      </c>
      <c r="B113" s="6" t="s">
        <v>10</v>
      </c>
      <c r="C113" s="6" t="s">
        <v>12</v>
      </c>
      <c r="D113" s="7" t="s">
        <v>35</v>
      </c>
      <c r="E113" s="8" t="s">
        <v>428</v>
      </c>
      <c r="F113" s="6" t="s">
        <v>429</v>
      </c>
      <c r="G113" s="9">
        <f>IF(A113=1,"_",IF(C113="_","???",C113))</f>
        <v/>
      </c>
      <c r="H113" s="10" t="s">
        <v>12</v>
      </c>
      <c r="I113" s="11" t="s">
        <v>12</v>
      </c>
      <c r="J113" s="12"/>
    </row>
    <row r="114" spans="1:10" ht="60" customHeight="1">
      <c r="A114" s="6" t="s">
        <v>430</v>
      </c>
      <c r="B114" s="6" t="s">
        <v>29</v>
      </c>
      <c r="C114" s="6" t="s">
        <v>12</v>
      </c>
      <c r="D114" s="7" t="s">
        <v>331</v>
      </c>
      <c r="E114" s="8" t="s">
        <v>431</v>
      </c>
      <c r="F114" s="6" t="s">
        <v>432</v>
      </c>
      <c r="G114" s="9">
        <f>IF(A114=1,"_",IF(C114="_","???",C114))</f>
        <v/>
      </c>
      <c r="H114" s="10" t="s">
        <v>12</v>
      </c>
      <c r="I114" s="11" t="s">
        <v>12</v>
      </c>
      <c r="J114" s="12"/>
    </row>
    <row r="115" spans="1:10" ht="60" customHeight="1">
      <c r="A115" s="6" t="s">
        <v>433</v>
      </c>
      <c r="B115" s="6" t="s">
        <v>10</v>
      </c>
      <c r="C115" s="6" t="s">
        <v>17</v>
      </c>
      <c r="D115" s="7" t="s">
        <v>35</v>
      </c>
      <c r="E115" s="8" t="s">
        <v>434</v>
      </c>
      <c r="F115" s="6" t="s">
        <v>435</v>
      </c>
      <c r="G115" s="9">
        <f>IF(A115=1,"_",IF(C115="_","???",C115))</f>
        <v/>
      </c>
      <c r="H115" s="10" t="s">
        <v>12</v>
      </c>
      <c r="I115" s="11" t="s">
        <v>12</v>
      </c>
      <c r="J115" s="12"/>
    </row>
    <row r="116" spans="1:10" ht="60" customHeight="1">
      <c r="A116" s="6" t="s">
        <v>436</v>
      </c>
      <c r="B116" s="6" t="s">
        <v>103</v>
      </c>
      <c r="C116" s="6" t="s">
        <v>21</v>
      </c>
      <c r="D116" s="7" t="s">
        <v>213</v>
      </c>
      <c r="E116" s="8" t="s">
        <v>437</v>
      </c>
      <c r="F116" s="6" t="s">
        <v>438</v>
      </c>
      <c r="G116" s="9">
        <f>IF(A116=1,"_",IF(C116="_","???",C116))</f>
        <v/>
      </c>
      <c r="H116" s="10" t="s">
        <v>12</v>
      </c>
      <c r="I116" s="11" t="s">
        <v>12</v>
      </c>
      <c r="J116" s="12"/>
    </row>
    <row r="117" spans="1:10" ht="60" customHeight="1">
      <c r="A117" s="6" t="s">
        <v>439</v>
      </c>
      <c r="B117" s="6" t="s">
        <v>10</v>
      </c>
      <c r="C117" s="6" t="s">
        <v>17</v>
      </c>
      <c r="D117" s="7" t="s">
        <v>52</v>
      </c>
      <c r="E117" s="8" t="s">
        <v>440</v>
      </c>
      <c r="F117" s="6" t="s">
        <v>441</v>
      </c>
      <c r="G117" s="9">
        <f>IF(A117=1,"_",IF(C117="_","???",C117))</f>
        <v/>
      </c>
      <c r="H117" s="10" t="s">
        <v>12</v>
      </c>
      <c r="I117" s="11" t="s">
        <v>12</v>
      </c>
      <c r="J117" s="12"/>
    </row>
    <row r="118" spans="1:10" ht="60" customHeight="1">
      <c r="A118" s="6" t="s">
        <v>442</v>
      </c>
      <c r="B118" s="6" t="s">
        <v>33</v>
      </c>
      <c r="C118" s="6" t="s">
        <v>178</v>
      </c>
      <c r="D118" s="7" t="s">
        <v>59</v>
      </c>
      <c r="E118" s="8" t="s">
        <v>443</v>
      </c>
      <c r="F118" s="6" t="s">
        <v>444</v>
      </c>
      <c r="G118" s="9">
        <f>IF(A118=1,"_",IF(C118="_","???",C118))</f>
        <v/>
      </c>
      <c r="H118" s="10" t="s">
        <v>12</v>
      </c>
      <c r="I118" s="11" t="s">
        <v>12</v>
      </c>
      <c r="J118" s="12"/>
    </row>
    <row r="119" spans="1:10" ht="60" customHeight="1">
      <c r="A119" s="6" t="s">
        <v>445</v>
      </c>
      <c r="B119" s="6" t="s">
        <v>16</v>
      </c>
      <c r="C119" s="6" t="s">
        <v>17</v>
      </c>
      <c r="D119" s="7" t="s">
        <v>213</v>
      </c>
      <c r="E119" s="8" t="s">
        <v>446</v>
      </c>
      <c r="F119" s="6" t="s">
        <v>447</v>
      </c>
      <c r="G119" s="9">
        <f>IF(A119=1,"_",IF(C119="_","???",C119))</f>
        <v/>
      </c>
      <c r="H119" s="10" t="s">
        <v>12</v>
      </c>
      <c r="I119" s="11" t="s">
        <v>12</v>
      </c>
      <c r="J119" s="12"/>
    </row>
    <row r="120" spans="1:10" ht="60" customHeight="1">
      <c r="A120" s="6" t="s">
        <v>448</v>
      </c>
      <c r="B120" s="6" t="s">
        <v>164</v>
      </c>
      <c r="C120" s="6" t="s">
        <v>144</v>
      </c>
      <c r="D120" s="7" t="s">
        <v>449</v>
      </c>
      <c r="E120" s="8" t="s">
        <v>450</v>
      </c>
      <c r="F120" s="6" t="s">
        <v>451</v>
      </c>
      <c r="G120" s="9">
        <f>IF(A120=1,"_",IF(C120="_","???",C120))</f>
        <v/>
      </c>
      <c r="H120" s="10" t="s">
        <v>12</v>
      </c>
      <c r="I120" s="11" t="s">
        <v>12</v>
      </c>
      <c r="J120" s="12"/>
    </row>
    <row r="121" spans="1:10" ht="60" customHeight="1">
      <c r="A121" s="6" t="s">
        <v>452</v>
      </c>
      <c r="B121" s="6" t="s">
        <v>16</v>
      </c>
      <c r="C121" s="6" t="s">
        <v>17</v>
      </c>
      <c r="D121" s="7" t="s">
        <v>59</v>
      </c>
      <c r="E121" s="8" t="s">
        <v>453</v>
      </c>
      <c r="F121" s="6" t="s">
        <v>454</v>
      </c>
      <c r="G121" s="9">
        <f>IF(A121=1,"_",IF(C121="_","???",C121))</f>
        <v/>
      </c>
      <c r="H121" s="10" t="s">
        <v>12</v>
      </c>
      <c r="I121" s="11" t="s">
        <v>12</v>
      </c>
      <c r="J121" s="12"/>
    </row>
    <row r="122" spans="1:10" ht="60" customHeight="1">
      <c r="A122" s="6" t="s">
        <v>455</v>
      </c>
      <c r="B122" s="6" t="s">
        <v>16</v>
      </c>
      <c r="C122" s="6" t="s">
        <v>17</v>
      </c>
      <c r="D122" s="7" t="s">
        <v>274</v>
      </c>
      <c r="E122" s="8" t="s">
        <v>456</v>
      </c>
      <c r="F122" s="6" t="s">
        <v>457</v>
      </c>
      <c r="G122" s="9">
        <f>IF(A122=1,"_",IF(C122="_","???",C122))</f>
        <v/>
      </c>
      <c r="H122" s="10" t="s">
        <v>12</v>
      </c>
      <c r="I122" s="11" t="s">
        <v>12</v>
      </c>
      <c r="J122" s="12"/>
    </row>
    <row r="123" spans="1:10" ht="60" customHeight="1">
      <c r="A123" s="6" t="s">
        <v>458</v>
      </c>
      <c r="B123" s="6" t="s">
        <v>10</v>
      </c>
      <c r="C123" s="6" t="s">
        <v>144</v>
      </c>
      <c r="D123" s="7" t="s">
        <v>35</v>
      </c>
      <c r="E123" s="8" t="s">
        <v>459</v>
      </c>
      <c r="F123" s="6" t="s">
        <v>460</v>
      </c>
      <c r="G123" s="9">
        <f>IF(A123=1,"_",IF(C123="_","???",C123))</f>
        <v/>
      </c>
      <c r="H123" s="10" t="s">
        <v>12</v>
      </c>
      <c r="I123" s="11" t="s">
        <v>12</v>
      </c>
      <c r="J123" s="12"/>
    </row>
    <row r="124" spans="1:10" ht="60" customHeight="1">
      <c r="A124" s="6" t="s">
        <v>461</v>
      </c>
      <c r="B124" s="6" t="s">
        <v>10</v>
      </c>
      <c r="C124" s="6" t="s">
        <v>144</v>
      </c>
      <c r="D124" s="7" t="s">
        <v>52</v>
      </c>
      <c r="E124" s="8" t="s">
        <v>462</v>
      </c>
      <c r="F124" s="6" t="s">
        <v>463</v>
      </c>
      <c r="G124" s="9">
        <f>IF(A124=1,"_",IF(C124="_","???",C124))</f>
        <v/>
      </c>
      <c r="H124" s="10" t="s">
        <v>12</v>
      </c>
      <c r="I124" s="11" t="s">
        <v>12</v>
      </c>
      <c r="J124" s="12"/>
    </row>
    <row r="125" spans="1:10" ht="60" customHeight="1">
      <c r="A125" s="6" t="s">
        <v>464</v>
      </c>
      <c r="B125" s="6" t="s">
        <v>10</v>
      </c>
      <c r="C125" s="6" t="s">
        <v>178</v>
      </c>
      <c r="D125" s="7" t="s">
        <v>35</v>
      </c>
      <c r="E125" s="8" t="s">
        <v>465</v>
      </c>
      <c r="F125" s="6" t="s">
        <v>466</v>
      </c>
      <c r="G125" s="9">
        <f>IF(A125=1,"_",IF(C125="_","???",C125))</f>
        <v/>
      </c>
      <c r="H125" s="10" t="s">
        <v>12</v>
      </c>
      <c r="I125" s="11" t="s">
        <v>12</v>
      </c>
      <c r="J125" s="12"/>
    </row>
    <row r="126" spans="1:10" ht="60" customHeight="1">
      <c r="A126" s="6" t="s">
        <v>467</v>
      </c>
      <c r="B126" s="6" t="s">
        <v>11</v>
      </c>
      <c r="C126" s="6" t="s">
        <v>17</v>
      </c>
      <c r="D126" s="7" t="s">
        <v>468</v>
      </c>
      <c r="E126" s="8" t="s">
        <v>469</v>
      </c>
      <c r="F126" s="6" t="s">
        <v>470</v>
      </c>
      <c r="G126" s="9">
        <f>IF(A126=1,"_",IF(C126="_","???",C126))</f>
        <v/>
      </c>
      <c r="H126" s="10" t="s">
        <v>12</v>
      </c>
      <c r="I126" s="11" t="s">
        <v>12</v>
      </c>
      <c r="J126" s="12"/>
    </row>
    <row r="127" spans="1:10" ht="60" customHeight="1">
      <c r="A127" s="6" t="s">
        <v>471</v>
      </c>
      <c r="B127" s="6" t="s">
        <v>11</v>
      </c>
      <c r="C127" s="6" t="s">
        <v>12</v>
      </c>
      <c r="D127" s="7" t="s">
        <v>213</v>
      </c>
      <c r="E127" s="8" t="s">
        <v>472</v>
      </c>
      <c r="F127" s="6" t="s">
        <v>473</v>
      </c>
      <c r="G127" s="9">
        <f>IF(A127=1,"_",IF(C127="_","???",C127))</f>
        <v/>
      </c>
      <c r="H127" s="10" t="s">
        <v>12</v>
      </c>
      <c r="I127" s="11" t="s">
        <v>12</v>
      </c>
      <c r="J127" s="12"/>
    </row>
    <row r="128" spans="1:10" ht="60" customHeight="1">
      <c r="A128" s="6" t="s">
        <v>474</v>
      </c>
      <c r="B128" s="6" t="s">
        <v>10</v>
      </c>
      <c r="C128" s="6" t="s">
        <v>12</v>
      </c>
      <c r="D128" s="7" t="s">
        <v>52</v>
      </c>
      <c r="E128" s="8" t="s">
        <v>475</v>
      </c>
      <c r="F128" s="6" t="s">
        <v>476</v>
      </c>
      <c r="G128" s="9">
        <f>IF(A128=1,"_",IF(C128="_","???",C128))</f>
        <v/>
      </c>
      <c r="H128" s="10" t="s">
        <v>12</v>
      </c>
      <c r="I128" s="11" t="s">
        <v>12</v>
      </c>
      <c r="J128" s="12"/>
    </row>
    <row r="129" spans="1:10" ht="60" customHeight="1">
      <c r="A129" s="6" t="s">
        <v>477</v>
      </c>
      <c r="B129" s="6" t="s">
        <v>11</v>
      </c>
      <c r="C129" s="6" t="s">
        <v>12</v>
      </c>
      <c r="D129" s="7" t="s">
        <v>249</v>
      </c>
      <c r="E129" s="8" t="s">
        <v>478</v>
      </c>
      <c r="F129" s="6" t="s">
        <v>479</v>
      </c>
      <c r="G129" s="9">
        <f>IF(A129=1,"_",IF(C129="_","???",C129))</f>
        <v/>
      </c>
      <c r="H129" s="10" t="s">
        <v>12</v>
      </c>
      <c r="I129" s="11" t="s">
        <v>12</v>
      </c>
      <c r="J129" s="12"/>
    </row>
    <row r="130" spans="1:10" ht="60" customHeight="1">
      <c r="A130" s="6" t="s">
        <v>480</v>
      </c>
      <c r="B130" s="6" t="s">
        <v>33</v>
      </c>
      <c r="C130" s="6" t="s">
        <v>12</v>
      </c>
      <c r="D130" s="7" t="s">
        <v>249</v>
      </c>
      <c r="E130" s="8" t="s">
        <v>481</v>
      </c>
      <c r="F130" s="6" t="s">
        <v>482</v>
      </c>
      <c r="G130" s="9">
        <f>IF(A130=1,"_",IF(C130="_","???",C130))</f>
        <v/>
      </c>
      <c r="H130" s="10" t="s">
        <v>12</v>
      </c>
      <c r="I130" s="11" t="s">
        <v>12</v>
      </c>
      <c r="J130" s="12"/>
    </row>
    <row r="131" spans="1:10" ht="60" customHeight="1">
      <c r="A131" s="6" t="s">
        <v>483</v>
      </c>
      <c r="B131" s="6" t="s">
        <v>16</v>
      </c>
      <c r="C131" s="6" t="s">
        <v>68</v>
      </c>
      <c r="D131" s="7" t="s">
        <v>59</v>
      </c>
      <c r="E131" s="8" t="s">
        <v>484</v>
      </c>
      <c r="F131" s="6" t="s">
        <v>485</v>
      </c>
      <c r="G131" s="9">
        <f>IF(A131=1,"_",IF(C131="_","???",C131))</f>
        <v/>
      </c>
      <c r="H131" s="10" t="s">
        <v>12</v>
      </c>
      <c r="I131" s="11" t="s">
        <v>12</v>
      </c>
      <c r="J131" s="12"/>
    </row>
    <row r="132" spans="1:10" ht="60" customHeight="1">
      <c r="A132" s="6" t="s">
        <v>486</v>
      </c>
      <c r="B132" s="6" t="s">
        <v>62</v>
      </c>
      <c r="C132" s="6" t="s">
        <v>17</v>
      </c>
      <c r="D132" s="7" t="s">
        <v>487</v>
      </c>
      <c r="E132" s="8" t="s">
        <v>488</v>
      </c>
      <c r="F132" s="6" t="s">
        <v>489</v>
      </c>
      <c r="G132" s="9">
        <f>IF(A132=1,"_",IF(C132="_","???",C132))</f>
        <v/>
      </c>
      <c r="H132" s="10" t="s">
        <v>12</v>
      </c>
      <c r="I132" s="11" t="s">
        <v>12</v>
      </c>
      <c r="J132" s="12"/>
    </row>
    <row r="133" spans="1:10" ht="60" customHeight="1">
      <c r="A133" s="6" t="s">
        <v>490</v>
      </c>
      <c r="B133" s="6" t="s">
        <v>11</v>
      </c>
      <c r="C133" s="6" t="s">
        <v>68</v>
      </c>
      <c r="D133" s="7" t="s">
        <v>59</v>
      </c>
      <c r="E133" s="8" t="s">
        <v>491</v>
      </c>
      <c r="F133" s="6" t="s">
        <v>492</v>
      </c>
      <c r="G133" s="9">
        <f>IF(A133=1,"_",IF(C133="_","???",C133))</f>
        <v/>
      </c>
      <c r="H133" s="10" t="s">
        <v>12</v>
      </c>
      <c r="I133" s="11" t="s">
        <v>12</v>
      </c>
      <c r="J133" s="12"/>
    </row>
    <row r="134" spans="1:10" ht="60" customHeight="1">
      <c r="A134" s="6" t="s">
        <v>493</v>
      </c>
      <c r="B134" s="6" t="s">
        <v>25</v>
      </c>
      <c r="C134" s="6" t="s">
        <v>12</v>
      </c>
      <c r="D134" s="7" t="s">
        <v>59</v>
      </c>
      <c r="E134" s="8" t="s">
        <v>494</v>
      </c>
      <c r="F134" s="6" t="s">
        <v>495</v>
      </c>
      <c r="G134" s="9">
        <f>IF(A134=1,"_",IF(C134="_","???",C134))</f>
        <v/>
      </c>
      <c r="H134" s="10" t="s">
        <v>12</v>
      </c>
      <c r="I134" s="11" t="s">
        <v>12</v>
      </c>
      <c r="J134" s="12"/>
    </row>
    <row r="135" spans="1:10" ht="60" customHeight="1">
      <c r="A135" s="6" t="s">
        <v>496</v>
      </c>
      <c r="B135" s="6" t="s">
        <v>29</v>
      </c>
      <c r="C135" s="6" t="s">
        <v>144</v>
      </c>
      <c r="D135" s="7" t="s">
        <v>396</v>
      </c>
      <c r="E135" s="8" t="s">
        <v>497</v>
      </c>
      <c r="F135" s="6" t="s">
        <v>498</v>
      </c>
      <c r="G135" s="9">
        <f>IF(A135=1,"_",IF(C135="_","???",C135))</f>
        <v/>
      </c>
      <c r="H135" s="10" t="s">
        <v>12</v>
      </c>
      <c r="I135" s="11" t="s">
        <v>12</v>
      </c>
      <c r="J135" s="12"/>
    </row>
    <row r="136" spans="1:10" ht="60" customHeight="1">
      <c r="A136" s="6" t="s">
        <v>499</v>
      </c>
      <c r="B136" s="6" t="s">
        <v>16</v>
      </c>
      <c r="C136" s="6" t="s">
        <v>43</v>
      </c>
      <c r="D136" s="7" t="s">
        <v>59</v>
      </c>
      <c r="E136" s="8" t="s">
        <v>500</v>
      </c>
      <c r="F136" s="6" t="s">
        <v>501</v>
      </c>
      <c r="G136" s="9">
        <f>IF(A136=1,"_",IF(C136="_","???",C136))</f>
        <v/>
      </c>
      <c r="H136" s="10" t="s">
        <v>12</v>
      </c>
      <c r="I136" s="11" t="s">
        <v>12</v>
      </c>
      <c r="J136" s="12"/>
    </row>
    <row r="137" spans="1:10" ht="60" customHeight="1">
      <c r="A137" s="6" t="s">
        <v>502</v>
      </c>
      <c r="B137" s="6" t="s">
        <v>10</v>
      </c>
      <c r="C137" s="6" t="s">
        <v>12</v>
      </c>
      <c r="D137" s="7" t="s">
        <v>35</v>
      </c>
      <c r="E137" s="8" t="s">
        <v>503</v>
      </c>
      <c r="F137" s="6" t="s">
        <v>504</v>
      </c>
      <c r="G137" s="9">
        <f>IF(A137=1,"_",IF(C137="_","???",C137))</f>
        <v/>
      </c>
      <c r="H137" s="10" t="s">
        <v>12</v>
      </c>
      <c r="I137" s="11" t="s">
        <v>12</v>
      </c>
      <c r="J137" s="12"/>
    </row>
    <row r="138" spans="1:10" ht="60" customHeight="1">
      <c r="A138" s="6" t="s">
        <v>505</v>
      </c>
      <c r="B138" s="6" t="s">
        <v>10</v>
      </c>
      <c r="C138" s="6" t="s">
        <v>12</v>
      </c>
      <c r="D138" s="7" t="s">
        <v>52</v>
      </c>
      <c r="E138" s="8" t="s">
        <v>506</v>
      </c>
      <c r="F138" s="6" t="s">
        <v>507</v>
      </c>
      <c r="G138" s="9">
        <f>IF(A138=1,"_",IF(C138="_","???",C138))</f>
        <v/>
      </c>
      <c r="H138" s="10" t="s">
        <v>12</v>
      </c>
      <c r="I138" s="11" t="s">
        <v>12</v>
      </c>
      <c r="J138" s="12"/>
    </row>
    <row r="139" spans="1:10" ht="60" customHeight="1">
      <c r="A139" s="6" t="s">
        <v>508</v>
      </c>
      <c r="B139" s="6" t="s">
        <v>11</v>
      </c>
      <c r="C139" s="6" t="s">
        <v>509</v>
      </c>
      <c r="D139" s="7" t="s">
        <v>59</v>
      </c>
      <c r="E139" s="8" t="s">
        <v>510</v>
      </c>
      <c r="F139" s="6" t="s">
        <v>511</v>
      </c>
      <c r="G139" s="9">
        <f>IF(A139=1,"_",IF(C139="_","???",C139))</f>
        <v/>
      </c>
      <c r="H139" s="10" t="s">
        <v>12</v>
      </c>
      <c r="I139" s="11" t="s">
        <v>12</v>
      </c>
      <c r="J139" s="12"/>
    </row>
    <row r="140" spans="1:10" ht="60" customHeight="1">
      <c r="A140" s="6" t="s">
        <v>512</v>
      </c>
      <c r="B140" s="6" t="s">
        <v>11</v>
      </c>
      <c r="C140" s="6" t="s">
        <v>12</v>
      </c>
      <c r="D140" s="7" t="s">
        <v>513</v>
      </c>
      <c r="E140" s="8" t="s">
        <v>514</v>
      </c>
      <c r="F140" s="6" t="s">
        <v>515</v>
      </c>
      <c r="G140" s="9">
        <f>IF(A140=1,"_",IF(C140="_","???",C140))</f>
        <v/>
      </c>
      <c r="H140" s="10" t="s">
        <v>12</v>
      </c>
      <c r="I140" s="11" t="s">
        <v>12</v>
      </c>
      <c r="J140" s="12"/>
    </row>
    <row r="141" spans="1:10" ht="60" customHeight="1">
      <c r="A141" s="6" t="s">
        <v>516</v>
      </c>
      <c r="B141" s="6" t="s">
        <v>16</v>
      </c>
      <c r="C141" s="6" t="s">
        <v>43</v>
      </c>
      <c r="D141" s="7" t="s">
        <v>517</v>
      </c>
      <c r="E141" s="8" t="s">
        <v>518</v>
      </c>
      <c r="F141" s="6" t="s">
        <v>519</v>
      </c>
      <c r="G141" s="9">
        <f>IF(A141=1,"_",IF(C141="_","???",C141))</f>
        <v/>
      </c>
      <c r="H141" s="10" t="s">
        <v>12</v>
      </c>
      <c r="I141" s="11" t="s">
        <v>12</v>
      </c>
      <c r="J141" s="12"/>
    </row>
    <row r="142" spans="1:10" ht="60" customHeight="1">
      <c r="A142" s="6" t="s">
        <v>520</v>
      </c>
      <c r="B142" s="6" t="s">
        <v>25</v>
      </c>
      <c r="C142" s="6" t="s">
        <v>12</v>
      </c>
      <c r="D142" s="7" t="s">
        <v>521</v>
      </c>
      <c r="E142" s="8" t="s">
        <v>522</v>
      </c>
      <c r="F142" s="6" t="s">
        <v>523</v>
      </c>
      <c r="G142" s="9">
        <f>IF(A142=1,"_",IF(C142="_","???",C142))</f>
        <v/>
      </c>
      <c r="H142" s="10" t="s">
        <v>12</v>
      </c>
      <c r="I142" s="11" t="s">
        <v>12</v>
      </c>
      <c r="J142" s="12"/>
    </row>
    <row r="143" spans="1:10" ht="60" customHeight="1">
      <c r="A143" s="6" t="s">
        <v>524</v>
      </c>
      <c r="B143" s="6" t="s">
        <v>10</v>
      </c>
      <c r="C143" s="6" t="s">
        <v>12</v>
      </c>
      <c r="D143" s="7" t="s">
        <v>35</v>
      </c>
      <c r="E143" s="8" t="s">
        <v>525</v>
      </c>
      <c r="F143" s="6" t="s">
        <v>526</v>
      </c>
      <c r="G143" s="9">
        <f>IF(A143=1,"_",IF(C143="_","???",C143))</f>
        <v/>
      </c>
      <c r="H143" s="10" t="s">
        <v>12</v>
      </c>
      <c r="I143" s="11" t="s">
        <v>12</v>
      </c>
      <c r="J143" s="12"/>
    </row>
    <row r="144" spans="1:10" ht="60" customHeight="1">
      <c r="A144" s="6" t="s">
        <v>527</v>
      </c>
      <c r="B144" s="6" t="s">
        <v>25</v>
      </c>
      <c r="C144" s="6" t="s">
        <v>301</v>
      </c>
      <c r="D144" s="7" t="s">
        <v>274</v>
      </c>
      <c r="E144" s="8" t="s">
        <v>528</v>
      </c>
      <c r="F144" s="6" t="s">
        <v>529</v>
      </c>
      <c r="G144" s="9">
        <f>IF(A144=1,"_",IF(C144="_","???",C144))</f>
        <v/>
      </c>
      <c r="H144" s="10" t="s">
        <v>12</v>
      </c>
      <c r="I144" s="11" t="s">
        <v>12</v>
      </c>
      <c r="J144" s="12"/>
    </row>
    <row r="145" spans="1:10" ht="60" customHeight="1">
      <c r="A145" s="6" t="s">
        <v>530</v>
      </c>
      <c r="B145" s="6" t="s">
        <v>10</v>
      </c>
      <c r="C145" s="6" t="s">
        <v>12</v>
      </c>
      <c r="D145" s="7" t="s">
        <v>52</v>
      </c>
      <c r="E145" s="8" t="s">
        <v>531</v>
      </c>
      <c r="F145" s="6" t="s">
        <v>532</v>
      </c>
      <c r="G145" s="9">
        <f>IF(A145=1,"_",IF(C145="_","???",C145))</f>
        <v/>
      </c>
      <c r="H145" s="10" t="s">
        <v>12</v>
      </c>
      <c r="I145" s="11" t="s">
        <v>12</v>
      </c>
      <c r="J145" s="12"/>
    </row>
    <row r="146" spans="1:10" ht="60" customHeight="1">
      <c r="A146" s="6" t="s">
        <v>533</v>
      </c>
      <c r="B146" s="6" t="s">
        <v>33</v>
      </c>
      <c r="C146" s="6" t="s">
        <v>12</v>
      </c>
      <c r="D146" s="7" t="s">
        <v>59</v>
      </c>
      <c r="E146" s="8" t="s">
        <v>534</v>
      </c>
      <c r="F146" s="6" t="s">
        <v>535</v>
      </c>
      <c r="G146" s="9">
        <f>IF(A146=1,"_",IF(C146="_","???",C146))</f>
        <v/>
      </c>
      <c r="H146" s="10" t="s">
        <v>12</v>
      </c>
      <c r="I146" s="11" t="s">
        <v>12</v>
      </c>
      <c r="J146" s="12"/>
    </row>
    <row r="147" spans="1:10" ht="60" customHeight="1">
      <c r="A147" s="6" t="s">
        <v>536</v>
      </c>
      <c r="B147" s="6" t="s">
        <v>11</v>
      </c>
      <c r="C147" s="6" t="s">
        <v>12</v>
      </c>
      <c r="D147" s="7" t="s">
        <v>537</v>
      </c>
      <c r="E147" s="8" t="s">
        <v>538</v>
      </c>
      <c r="F147" s="6" t="s">
        <v>539</v>
      </c>
      <c r="G147" s="9">
        <f>IF(A147=1,"_",IF(C147="_","???",C147))</f>
        <v/>
      </c>
      <c r="H147" s="10" t="s">
        <v>12</v>
      </c>
      <c r="I147" s="11" t="s">
        <v>12</v>
      </c>
      <c r="J147" s="12"/>
    </row>
    <row r="148" spans="1:10" ht="60" customHeight="1">
      <c r="A148" s="6" t="s">
        <v>540</v>
      </c>
      <c r="B148" s="6" t="s">
        <v>11</v>
      </c>
      <c r="C148" s="6" t="s">
        <v>12</v>
      </c>
      <c r="D148" s="7" t="s">
        <v>541</v>
      </c>
      <c r="E148" s="8" t="s">
        <v>542</v>
      </c>
      <c r="F148" s="6" t="s">
        <v>543</v>
      </c>
      <c r="G148" s="9">
        <f>IF(A148=1,"_",IF(C148="_","???",C148))</f>
        <v/>
      </c>
      <c r="H148" s="10" t="s">
        <v>12</v>
      </c>
      <c r="I148" s="11" t="s">
        <v>12</v>
      </c>
      <c r="J148" s="12"/>
    </row>
    <row r="149" spans="1:10" ht="60" customHeight="1">
      <c r="A149" s="6" t="s">
        <v>544</v>
      </c>
      <c r="B149" s="6" t="s">
        <v>11</v>
      </c>
      <c r="C149" s="6" t="s">
        <v>17</v>
      </c>
      <c r="D149" s="7" t="s">
        <v>274</v>
      </c>
      <c r="E149" s="8" t="s">
        <v>545</v>
      </c>
      <c r="F149" s="6" t="s">
        <v>546</v>
      </c>
      <c r="G149" s="9">
        <f>IF(A149=1,"_",IF(C149="_","???",C149))</f>
        <v/>
      </c>
      <c r="H149" s="10" t="s">
        <v>12</v>
      </c>
      <c r="I149" s="11" t="s">
        <v>12</v>
      </c>
      <c r="J149" s="12"/>
    </row>
    <row r="150" spans="1:10" ht="60" customHeight="1">
      <c r="A150" s="6" t="s">
        <v>547</v>
      </c>
      <c r="B150" s="6" t="s">
        <v>11</v>
      </c>
      <c r="C150" s="6" t="s">
        <v>12</v>
      </c>
      <c r="D150" s="7" t="s">
        <v>548</v>
      </c>
      <c r="E150" s="8" t="s">
        <v>549</v>
      </c>
      <c r="F150" s="6" t="s">
        <v>550</v>
      </c>
      <c r="G150" s="9">
        <f>IF(A150=1,"_",IF(C150="_","???",C150))</f>
        <v/>
      </c>
      <c r="H150" s="10" t="s">
        <v>12</v>
      </c>
      <c r="I150" s="11" t="s">
        <v>12</v>
      </c>
      <c r="J150" s="12"/>
    </row>
    <row r="151" spans="1:10" ht="60" customHeight="1">
      <c r="A151" s="6" t="s">
        <v>551</v>
      </c>
      <c r="B151" s="6" t="s">
        <v>11</v>
      </c>
      <c r="C151" s="6" t="s">
        <v>12</v>
      </c>
      <c r="D151" s="7" t="s">
        <v>552</v>
      </c>
      <c r="E151" s="8" t="s">
        <v>553</v>
      </c>
      <c r="F151" s="6" t="s">
        <v>554</v>
      </c>
      <c r="G151" s="9">
        <f>IF(A151=1,"_",IF(C151="_","???",C151))</f>
        <v/>
      </c>
      <c r="H151" s="10" t="s">
        <v>12</v>
      </c>
      <c r="I151" s="11" t="s">
        <v>12</v>
      </c>
      <c r="J151" s="12"/>
    </row>
    <row r="152" spans="1:10" ht="60" customHeight="1">
      <c r="A152" s="6" t="s">
        <v>555</v>
      </c>
      <c r="B152" s="6" t="s">
        <v>11</v>
      </c>
      <c r="C152" s="6" t="s">
        <v>17</v>
      </c>
      <c r="D152" s="7" t="s">
        <v>556</v>
      </c>
      <c r="E152" s="8" t="s">
        <v>557</v>
      </c>
      <c r="F152" s="6" t="s">
        <v>558</v>
      </c>
      <c r="G152" s="9">
        <f>IF(A152=1,"_",IF(C152="_","???",C152))</f>
        <v/>
      </c>
      <c r="H152" s="10" t="s">
        <v>12</v>
      </c>
      <c r="I152" s="11" t="s">
        <v>12</v>
      </c>
      <c r="J152" s="12"/>
    </row>
    <row r="153" spans="1:10" ht="60" customHeight="1">
      <c r="A153" s="6" t="s">
        <v>559</v>
      </c>
      <c r="B153" s="6" t="s">
        <v>16</v>
      </c>
      <c r="C153" s="6" t="s">
        <v>34</v>
      </c>
      <c r="D153" s="7" t="s">
        <v>59</v>
      </c>
      <c r="E153" s="8" t="s">
        <v>560</v>
      </c>
      <c r="F153" s="6" t="s">
        <v>561</v>
      </c>
      <c r="G153" s="9">
        <f>IF(A153=1,"_",IF(C153="_","???",C153))</f>
        <v/>
      </c>
      <c r="H153" s="10" t="s">
        <v>12</v>
      </c>
      <c r="I153" s="11" t="s">
        <v>12</v>
      </c>
      <c r="J153" s="12"/>
    </row>
    <row r="154" spans="1:10" ht="60" customHeight="1">
      <c r="A154" s="6" t="s">
        <v>562</v>
      </c>
      <c r="B154" s="6" t="s">
        <v>29</v>
      </c>
      <c r="C154" s="6" t="s">
        <v>12</v>
      </c>
      <c r="D154" s="7" t="s">
        <v>274</v>
      </c>
      <c r="E154" s="8" t="s">
        <v>563</v>
      </c>
      <c r="F154" s="6" t="s">
        <v>564</v>
      </c>
      <c r="G154" s="9">
        <f>IF(A154=1,"_",IF(C154="_","???",C154))</f>
        <v/>
      </c>
      <c r="H154" s="10" t="s">
        <v>12</v>
      </c>
      <c r="I154" s="11" t="s">
        <v>12</v>
      </c>
      <c r="J154" s="12"/>
    </row>
    <row r="155" spans="1:10" ht="60" customHeight="1">
      <c r="A155" s="6" t="s">
        <v>565</v>
      </c>
      <c r="B155" s="6" t="s">
        <v>16</v>
      </c>
      <c r="C155" s="6" t="s">
        <v>17</v>
      </c>
      <c r="D155" s="7" t="s">
        <v>206</v>
      </c>
      <c r="E155" s="8" t="s">
        <v>566</v>
      </c>
      <c r="F155" s="6" t="s">
        <v>567</v>
      </c>
      <c r="G155" s="9">
        <f>IF(A155=1,"_",IF(C155="_","???",C155))</f>
        <v/>
      </c>
      <c r="H155" s="10" t="s">
        <v>12</v>
      </c>
      <c r="I155" s="11" t="s">
        <v>12</v>
      </c>
      <c r="J155" s="12"/>
    </row>
    <row r="156" spans="1:10" ht="60" customHeight="1">
      <c r="A156" s="6" t="s">
        <v>568</v>
      </c>
      <c r="B156" s="6" t="s">
        <v>16</v>
      </c>
      <c r="C156" s="6" t="s">
        <v>12</v>
      </c>
      <c r="D156" s="7" t="s">
        <v>569</v>
      </c>
      <c r="E156" s="8" t="s">
        <v>570</v>
      </c>
      <c r="F156" s="6" t="s">
        <v>571</v>
      </c>
      <c r="G156" s="9">
        <f>IF(A156=1,"_",IF(C156="_","???",C156))</f>
        <v/>
      </c>
      <c r="H156" s="10" t="s">
        <v>12</v>
      </c>
      <c r="I156" s="11" t="s">
        <v>12</v>
      </c>
      <c r="J156" s="12"/>
    </row>
    <row r="157" spans="1:10" ht="60" customHeight="1">
      <c r="A157" s="6" t="s">
        <v>572</v>
      </c>
      <c r="B157" s="6" t="s">
        <v>10</v>
      </c>
      <c r="C157" s="6" t="s">
        <v>12</v>
      </c>
      <c r="D157" s="7" t="s">
        <v>35</v>
      </c>
      <c r="E157" s="8" t="s">
        <v>573</v>
      </c>
      <c r="F157" s="6" t="s">
        <v>574</v>
      </c>
      <c r="G157" s="9">
        <f>IF(A157=1,"_",IF(C157="_","???",C157))</f>
        <v/>
      </c>
      <c r="H157" s="10" t="s">
        <v>12</v>
      </c>
      <c r="I157" s="11" t="s">
        <v>12</v>
      </c>
      <c r="J157" s="12"/>
    </row>
    <row r="158" spans="1:10" ht="60" customHeight="1">
      <c r="A158" s="6" t="s">
        <v>575</v>
      </c>
      <c r="B158" s="6" t="s">
        <v>10</v>
      </c>
      <c r="C158" s="6" t="s">
        <v>12</v>
      </c>
      <c r="D158" s="7" t="s">
        <v>52</v>
      </c>
      <c r="E158" s="8" t="s">
        <v>576</v>
      </c>
      <c r="F158" s="6" t="s">
        <v>577</v>
      </c>
      <c r="G158" s="9">
        <f>IF(A158=1,"_",IF(C158="_","???",C158))</f>
        <v/>
      </c>
      <c r="H158" s="10" t="s">
        <v>12</v>
      </c>
      <c r="I158" s="11" t="s">
        <v>12</v>
      </c>
      <c r="J158" s="12"/>
    </row>
    <row r="159" spans="1:10" ht="60" customHeight="1">
      <c r="A159" s="6" t="s">
        <v>578</v>
      </c>
      <c r="B159" s="6" t="s">
        <v>11</v>
      </c>
      <c r="C159" s="6" t="s">
        <v>17</v>
      </c>
      <c r="D159" s="7" t="s">
        <v>331</v>
      </c>
      <c r="E159" s="8" t="s">
        <v>579</v>
      </c>
      <c r="F159" s="6" t="s">
        <v>580</v>
      </c>
      <c r="G159" s="9">
        <f>IF(A159=1,"_",IF(C159="_","???",C159))</f>
        <v/>
      </c>
      <c r="H159" s="10" t="s">
        <v>12</v>
      </c>
      <c r="I159" s="11" t="s">
        <v>12</v>
      </c>
      <c r="J159" s="12"/>
    </row>
    <row r="160" spans="1:10" ht="60" customHeight="1">
      <c r="A160" s="6" t="s">
        <v>581</v>
      </c>
      <c r="B160" s="6" t="s">
        <v>33</v>
      </c>
      <c r="C160" s="6" t="s">
        <v>144</v>
      </c>
      <c r="D160" s="7" t="s">
        <v>582</v>
      </c>
      <c r="E160" s="8" t="s">
        <v>583</v>
      </c>
      <c r="F160" s="6" t="s">
        <v>584</v>
      </c>
      <c r="G160" s="9">
        <f>IF(A160=1,"_",IF(C160="_","???",C160))</f>
        <v/>
      </c>
      <c r="H160" s="10" t="s">
        <v>12</v>
      </c>
      <c r="I160" s="11" t="s">
        <v>12</v>
      </c>
      <c r="J160" s="12"/>
    </row>
    <row r="161" spans="1:10" ht="60" customHeight="1">
      <c r="A161" s="6" t="s">
        <v>585</v>
      </c>
      <c r="B161" s="6" t="s">
        <v>11</v>
      </c>
      <c r="C161" s="6" t="s">
        <v>17</v>
      </c>
      <c r="D161" s="7" t="s">
        <v>331</v>
      </c>
      <c r="E161" s="8" t="s">
        <v>586</v>
      </c>
      <c r="F161" s="6" t="s">
        <v>587</v>
      </c>
      <c r="G161" s="9">
        <f>IF(A161=1,"_",IF(C161="_","???",C161))</f>
        <v/>
      </c>
      <c r="H161" s="10" t="s">
        <v>12</v>
      </c>
      <c r="I161" s="11" t="s">
        <v>12</v>
      </c>
      <c r="J161" s="12"/>
    </row>
    <row r="162" spans="1:10" ht="60" customHeight="1">
      <c r="A162" s="6" t="s">
        <v>588</v>
      </c>
      <c r="B162" s="6" t="s">
        <v>86</v>
      </c>
      <c r="C162" s="6" t="s">
        <v>63</v>
      </c>
      <c r="D162" s="7" t="s">
        <v>589</v>
      </c>
      <c r="E162" s="8" t="s">
        <v>590</v>
      </c>
      <c r="F162" s="6" t="s">
        <v>591</v>
      </c>
      <c r="G162" s="9">
        <f>IF(A162=1,"_",IF(C162="_","???",C162))</f>
        <v/>
      </c>
      <c r="H162" s="10" t="s">
        <v>12</v>
      </c>
      <c r="I162" s="11" t="s">
        <v>12</v>
      </c>
      <c r="J162" s="12"/>
    </row>
    <row r="163" spans="1:10" ht="60" customHeight="1">
      <c r="A163" s="6" t="s">
        <v>592</v>
      </c>
      <c r="B163" s="6" t="s">
        <v>11</v>
      </c>
      <c r="C163" s="6" t="s">
        <v>12</v>
      </c>
      <c r="D163" s="7" t="s">
        <v>59</v>
      </c>
      <c r="E163" s="8" t="s">
        <v>593</v>
      </c>
      <c r="F163" s="6" t="s">
        <v>594</v>
      </c>
      <c r="G163" s="9">
        <f>IF(A163=1,"_",IF(C163="_","???",C163))</f>
        <v/>
      </c>
      <c r="H163" s="10" t="s">
        <v>12</v>
      </c>
      <c r="I163" s="11" t="s">
        <v>12</v>
      </c>
      <c r="J163" s="12"/>
    </row>
    <row r="164" spans="1:10" ht="60" customHeight="1">
      <c r="A164" s="6" t="s">
        <v>595</v>
      </c>
      <c r="B164" s="6" t="s">
        <v>10</v>
      </c>
      <c r="C164" s="6" t="s">
        <v>12</v>
      </c>
      <c r="D164" s="7" t="s">
        <v>35</v>
      </c>
      <c r="E164" s="8" t="s">
        <v>596</v>
      </c>
      <c r="F164" s="6" t="s">
        <v>597</v>
      </c>
      <c r="G164" s="9">
        <f>IF(A164=1,"_",IF(C164="_","???",C164))</f>
        <v/>
      </c>
      <c r="H164" s="10" t="s">
        <v>12</v>
      </c>
      <c r="I164" s="11" t="s">
        <v>12</v>
      </c>
      <c r="J164" s="12"/>
    </row>
    <row r="165" spans="1:10" ht="60" customHeight="1">
      <c r="A165" s="6" t="s">
        <v>598</v>
      </c>
      <c r="B165" s="6" t="s">
        <v>42</v>
      </c>
      <c r="C165" s="6" t="s">
        <v>43</v>
      </c>
      <c r="D165" s="7" t="s">
        <v>52</v>
      </c>
      <c r="E165" s="8" t="s">
        <v>599</v>
      </c>
      <c r="F165" s="6" t="s">
        <v>600</v>
      </c>
      <c r="G165" s="9">
        <f>IF(A165=1,"_",IF(C165="_","???",C165))</f>
        <v/>
      </c>
      <c r="H165" s="10" t="s">
        <v>12</v>
      </c>
      <c r="I165" s="11" t="s">
        <v>12</v>
      </c>
      <c r="J165" s="12"/>
    </row>
    <row r="166" spans="1:10" ht="60" customHeight="1">
      <c r="A166" s="6" t="s">
        <v>601</v>
      </c>
      <c r="B166" s="6" t="s">
        <v>10</v>
      </c>
      <c r="C166" s="6" t="s">
        <v>12</v>
      </c>
      <c r="D166" s="7" t="s">
        <v>35</v>
      </c>
      <c r="E166" s="8" t="s">
        <v>602</v>
      </c>
      <c r="F166" s="6" t="s">
        <v>603</v>
      </c>
      <c r="G166" s="9">
        <f>IF(A166=1,"_",IF(C166="_","???",C166))</f>
        <v/>
      </c>
      <c r="H166" s="10" t="s">
        <v>12</v>
      </c>
      <c r="I166" s="11" t="s">
        <v>12</v>
      </c>
      <c r="J166" s="12"/>
    </row>
    <row r="167" spans="1:10" ht="60" customHeight="1">
      <c r="A167" s="6" t="s">
        <v>604</v>
      </c>
      <c r="B167" s="6" t="s">
        <v>25</v>
      </c>
      <c r="C167" s="6" t="s">
        <v>17</v>
      </c>
      <c r="D167" s="7" t="s">
        <v>605</v>
      </c>
      <c r="E167" s="8" t="s">
        <v>606</v>
      </c>
      <c r="F167" s="6" t="s">
        <v>607</v>
      </c>
      <c r="G167" s="9">
        <f>IF(A167=1,"_",IF(C167="_","???",C167))</f>
        <v/>
      </c>
      <c r="H167" s="10" t="s">
        <v>12</v>
      </c>
      <c r="I167" s="11" t="s">
        <v>12</v>
      </c>
      <c r="J167" s="12"/>
    </row>
    <row r="168" spans="1:10" ht="60" customHeight="1">
      <c r="A168" s="6" t="s">
        <v>608</v>
      </c>
      <c r="B168" s="6" t="s">
        <v>10</v>
      </c>
      <c r="C168" s="6" t="s">
        <v>17</v>
      </c>
      <c r="D168" s="7" t="s">
        <v>52</v>
      </c>
      <c r="E168" s="8" t="s">
        <v>609</v>
      </c>
      <c r="F168" s="6" t="s">
        <v>610</v>
      </c>
      <c r="G168" s="9">
        <f>IF(A168=1,"_",IF(C168="_","???",C168))</f>
        <v/>
      </c>
      <c r="H168" s="10" t="s">
        <v>12</v>
      </c>
      <c r="I168" s="11" t="s">
        <v>12</v>
      </c>
      <c r="J168" s="12"/>
    </row>
    <row r="169" spans="1:10" ht="60" customHeight="1">
      <c r="A169" s="6" t="s">
        <v>611</v>
      </c>
      <c r="B169" s="6" t="s">
        <v>11</v>
      </c>
      <c r="C169" s="6" t="s">
        <v>12</v>
      </c>
      <c r="D169" s="7" t="s">
        <v>612</v>
      </c>
      <c r="E169" s="8" t="s">
        <v>613</v>
      </c>
      <c r="F169" s="6" t="s">
        <v>614</v>
      </c>
      <c r="G169" s="9">
        <f>IF(A169=1,"_",IF(C169="_","???",C169))</f>
        <v/>
      </c>
      <c r="H169" s="10" t="s">
        <v>12</v>
      </c>
      <c r="I169" s="11" t="s">
        <v>12</v>
      </c>
      <c r="J169" s="12"/>
    </row>
    <row r="170" spans="1:10" ht="60" customHeight="1">
      <c r="A170" s="6" t="s">
        <v>615</v>
      </c>
      <c r="B170" s="6" t="s">
        <v>11</v>
      </c>
      <c r="C170" s="6" t="s">
        <v>17</v>
      </c>
      <c r="D170" s="7" t="s">
        <v>616</v>
      </c>
      <c r="E170" s="8" t="s">
        <v>617</v>
      </c>
      <c r="F170" s="6" t="s">
        <v>618</v>
      </c>
      <c r="G170" s="9">
        <f>IF(A170=1,"_",IF(C170="_","???",C170))</f>
        <v/>
      </c>
      <c r="H170" s="10" t="s">
        <v>12</v>
      </c>
      <c r="I170" s="11" t="s">
        <v>12</v>
      </c>
      <c r="J170" s="12"/>
    </row>
    <row r="171" spans="1:10" ht="60" customHeight="1">
      <c r="A171" s="6" t="s">
        <v>619</v>
      </c>
      <c r="B171" s="6" t="s">
        <v>10</v>
      </c>
      <c r="C171" s="6" t="s">
        <v>17</v>
      </c>
      <c r="D171" s="7" t="s">
        <v>35</v>
      </c>
      <c r="E171" s="8" t="s">
        <v>620</v>
      </c>
      <c r="F171" s="6" t="s">
        <v>621</v>
      </c>
      <c r="G171" s="9">
        <f>IF(A171=1,"_",IF(C171="_","???",C171))</f>
        <v/>
      </c>
      <c r="H171" s="10" t="s">
        <v>12</v>
      </c>
      <c r="I171" s="11" t="s">
        <v>12</v>
      </c>
      <c r="J171" s="12"/>
    </row>
    <row r="172" spans="1:10" ht="60" customHeight="1">
      <c r="A172" s="6" t="s">
        <v>622</v>
      </c>
      <c r="B172" s="6" t="s">
        <v>10</v>
      </c>
      <c r="C172" s="6" t="s">
        <v>17</v>
      </c>
      <c r="D172" s="7" t="s">
        <v>52</v>
      </c>
      <c r="E172" s="8" t="s">
        <v>623</v>
      </c>
      <c r="F172" s="6" t="s">
        <v>624</v>
      </c>
      <c r="G172" s="9">
        <f>IF(A172=1,"_",IF(C172="_","???",C172))</f>
        <v/>
      </c>
      <c r="H172" s="10" t="s">
        <v>12</v>
      </c>
      <c r="I172" s="11" t="s">
        <v>12</v>
      </c>
      <c r="J172" s="12"/>
    </row>
    <row r="173" spans="1:10" ht="60" customHeight="1">
      <c r="A173" s="6" t="s">
        <v>625</v>
      </c>
      <c r="B173" s="6" t="s">
        <v>11</v>
      </c>
      <c r="C173" s="6" t="s">
        <v>12</v>
      </c>
      <c r="D173" s="7" t="s">
        <v>331</v>
      </c>
      <c r="E173" s="8" t="s">
        <v>626</v>
      </c>
      <c r="F173" s="6" t="s">
        <v>627</v>
      </c>
      <c r="G173" s="9">
        <f>IF(A173=1,"_",IF(C173="_","???",C173))</f>
        <v/>
      </c>
      <c r="H173" s="10" t="s">
        <v>12</v>
      </c>
      <c r="I173" s="11" t="s">
        <v>12</v>
      </c>
      <c r="J173" s="12"/>
    </row>
    <row r="174" spans="1:10" ht="60" customHeight="1">
      <c r="A174" s="6" t="s">
        <v>628</v>
      </c>
      <c r="B174" s="6" t="s">
        <v>16</v>
      </c>
      <c r="C174" s="6" t="s">
        <v>43</v>
      </c>
      <c r="D174" s="7" t="s">
        <v>64</v>
      </c>
      <c r="E174" s="8" t="s">
        <v>629</v>
      </c>
      <c r="F174" s="6" t="s">
        <v>630</v>
      </c>
      <c r="G174" s="9">
        <f>IF(A174=1,"_",IF(C174="_","???",C174))</f>
        <v/>
      </c>
      <c r="H174" s="10" t="s">
        <v>12</v>
      </c>
      <c r="I174" s="11" t="s">
        <v>12</v>
      </c>
      <c r="J174" s="12"/>
    </row>
    <row r="175" spans="1:10" ht="60" customHeight="1">
      <c r="A175" s="6" t="s">
        <v>631</v>
      </c>
      <c r="B175" s="6" t="s">
        <v>10</v>
      </c>
      <c r="C175" s="6" t="s">
        <v>43</v>
      </c>
      <c r="D175" s="7" t="s">
        <v>35</v>
      </c>
      <c r="E175" s="8" t="s">
        <v>632</v>
      </c>
      <c r="F175" s="6" t="s">
        <v>633</v>
      </c>
      <c r="G175" s="9">
        <f>IF(A175=1,"_",IF(C175="_","???",C175))</f>
        <v/>
      </c>
      <c r="H175" s="10" t="s">
        <v>12</v>
      </c>
      <c r="I175" s="11" t="s">
        <v>12</v>
      </c>
      <c r="J175" s="12"/>
    </row>
    <row r="176" spans="1:10" ht="60" customHeight="1">
      <c r="A176" s="6" t="s">
        <v>634</v>
      </c>
      <c r="B176" s="6" t="s">
        <v>10</v>
      </c>
      <c r="C176" s="6" t="s">
        <v>12</v>
      </c>
      <c r="D176" s="7" t="s">
        <v>52</v>
      </c>
      <c r="E176" s="8" t="s">
        <v>253</v>
      </c>
      <c r="F176" s="6" t="s">
        <v>635</v>
      </c>
      <c r="G176" s="9">
        <f>IF(A176=1,"_",IF(C176="_","???",C176))</f>
        <v/>
      </c>
      <c r="H176" s="10" t="s">
        <v>12</v>
      </c>
      <c r="I176" s="11" t="s">
        <v>12</v>
      </c>
      <c r="J176" s="12"/>
    </row>
    <row r="177" spans="1:10" ht="60" customHeight="1">
      <c r="A177" s="6" t="s">
        <v>636</v>
      </c>
      <c r="B177" s="6" t="s">
        <v>11</v>
      </c>
      <c r="C177" s="6" t="s">
        <v>12</v>
      </c>
      <c r="D177" s="7" t="s">
        <v>637</v>
      </c>
      <c r="E177" s="8" t="s">
        <v>638</v>
      </c>
      <c r="F177" s="6" t="s">
        <v>639</v>
      </c>
      <c r="G177" s="9">
        <f>IF(A177=1,"_",IF(C177="_","???",C177))</f>
        <v/>
      </c>
      <c r="H177" s="10" t="s">
        <v>12</v>
      </c>
      <c r="I177" s="11" t="s">
        <v>12</v>
      </c>
      <c r="J177" s="12"/>
    </row>
    <row r="178" spans="1:10" ht="60" customHeight="1">
      <c r="A178" s="6" t="s">
        <v>640</v>
      </c>
      <c r="B178" s="6" t="s">
        <v>11</v>
      </c>
      <c r="C178" s="6" t="s">
        <v>12</v>
      </c>
      <c r="D178" s="7" t="s">
        <v>213</v>
      </c>
      <c r="E178" s="8" t="s">
        <v>641</v>
      </c>
      <c r="F178" s="6" t="s">
        <v>642</v>
      </c>
      <c r="G178" s="9">
        <f>IF(A178=1,"_",IF(C178="_","???",C178))</f>
        <v/>
      </c>
      <c r="H178" s="10" t="s">
        <v>12</v>
      </c>
      <c r="I178" s="11" t="s">
        <v>12</v>
      </c>
      <c r="J178" s="12"/>
    </row>
    <row r="179" spans="1:10" ht="60" customHeight="1">
      <c r="A179" s="6" t="s">
        <v>643</v>
      </c>
      <c r="B179" s="6" t="s">
        <v>16</v>
      </c>
      <c r="C179" s="6" t="s">
        <v>17</v>
      </c>
      <c r="D179" s="7" t="s">
        <v>644</v>
      </c>
      <c r="E179" s="8" t="s">
        <v>645</v>
      </c>
      <c r="F179" s="6" t="s">
        <v>646</v>
      </c>
      <c r="G179" s="9">
        <f>IF(A179=1,"_",IF(C179="_","???",C179))</f>
        <v/>
      </c>
      <c r="H179" s="10" t="s">
        <v>12</v>
      </c>
      <c r="I179" s="11" t="s">
        <v>12</v>
      </c>
      <c r="J179" s="12"/>
    </row>
    <row r="180" spans="1:10" ht="60" customHeight="1">
      <c r="A180" s="6" t="s">
        <v>647</v>
      </c>
      <c r="B180" s="6" t="s">
        <v>11</v>
      </c>
      <c r="C180" s="6" t="s">
        <v>12</v>
      </c>
      <c r="D180" s="7" t="s">
        <v>95</v>
      </c>
      <c r="E180" s="8" t="s">
        <v>648</v>
      </c>
      <c r="F180" s="6" t="s">
        <v>649</v>
      </c>
      <c r="G180" s="9">
        <f>IF(A180=1,"_",IF(C180="_","???",C180))</f>
        <v/>
      </c>
      <c r="H180" s="10" t="s">
        <v>12</v>
      </c>
      <c r="I180" s="11" t="s">
        <v>12</v>
      </c>
      <c r="J180" s="12"/>
    </row>
    <row r="181" spans="1:10" ht="60" customHeight="1">
      <c r="A181" s="6" t="s">
        <v>650</v>
      </c>
      <c r="B181" s="6" t="s">
        <v>10</v>
      </c>
      <c r="C181" s="6" t="s">
        <v>17</v>
      </c>
      <c r="D181" s="7" t="s">
        <v>35</v>
      </c>
      <c r="E181" s="8" t="s">
        <v>651</v>
      </c>
      <c r="F181" s="6" t="s">
        <v>652</v>
      </c>
      <c r="G181" s="9">
        <f>IF(A181=1,"_",IF(C181="_","???",C181))</f>
        <v/>
      </c>
      <c r="H181" s="10" t="s">
        <v>12</v>
      </c>
      <c r="I181" s="11" t="s">
        <v>12</v>
      </c>
      <c r="J181" s="12"/>
    </row>
    <row r="182" spans="1:10" ht="60" customHeight="1">
      <c r="A182" s="6" t="s">
        <v>653</v>
      </c>
      <c r="B182" s="6" t="s">
        <v>10</v>
      </c>
      <c r="C182" s="6" t="s">
        <v>144</v>
      </c>
      <c r="D182" s="7" t="s">
        <v>52</v>
      </c>
      <c r="E182" s="8" t="s">
        <v>654</v>
      </c>
      <c r="F182" s="6" t="s">
        <v>655</v>
      </c>
      <c r="G182" s="9">
        <f>IF(A182=1,"_",IF(C182="_","???",C182))</f>
        <v/>
      </c>
      <c r="H182" s="10" t="s">
        <v>12</v>
      </c>
      <c r="I182" s="11" t="s">
        <v>12</v>
      </c>
      <c r="J182" s="12"/>
    </row>
    <row r="183" spans="1:10" ht="60" customHeight="1">
      <c r="A183" s="6" t="s">
        <v>656</v>
      </c>
      <c r="B183" s="6" t="s">
        <v>11</v>
      </c>
      <c r="C183" s="6" t="s">
        <v>12</v>
      </c>
      <c r="D183" s="7" t="s">
        <v>274</v>
      </c>
      <c r="E183" s="8" t="s">
        <v>657</v>
      </c>
      <c r="F183" s="6" t="s">
        <v>658</v>
      </c>
      <c r="G183" s="9">
        <f>IF(A183=1,"_",IF(C183="_","???",C183))</f>
        <v/>
      </c>
      <c r="H183" s="10" t="s">
        <v>12</v>
      </c>
      <c r="I183" s="11" t="s">
        <v>12</v>
      </c>
      <c r="J183" s="12"/>
    </row>
    <row r="184" spans="1:10" ht="60" customHeight="1">
      <c r="A184" s="6" t="s">
        <v>659</v>
      </c>
      <c r="B184" s="6" t="s">
        <v>11</v>
      </c>
      <c r="C184" s="6" t="s">
        <v>68</v>
      </c>
      <c r="D184" s="7" t="s">
        <v>660</v>
      </c>
      <c r="E184" s="8" t="s">
        <v>661</v>
      </c>
      <c r="F184" s="6" t="s">
        <v>662</v>
      </c>
      <c r="G184" s="9">
        <f>IF(A184=1,"_",IF(C184="_","???",C184))</f>
        <v/>
      </c>
      <c r="H184" s="10" t="s">
        <v>12</v>
      </c>
      <c r="I184" s="11" t="s">
        <v>12</v>
      </c>
      <c r="J184" s="12"/>
    </row>
    <row r="185" spans="1:10" ht="60" customHeight="1">
      <c r="A185" s="6" t="s">
        <v>663</v>
      </c>
      <c r="B185" s="6" t="s">
        <v>10</v>
      </c>
      <c r="C185" s="6" t="s">
        <v>34</v>
      </c>
      <c r="D185" s="7" t="s">
        <v>52</v>
      </c>
      <c r="E185" s="8" t="s">
        <v>664</v>
      </c>
      <c r="F185" s="6" t="s">
        <v>665</v>
      </c>
      <c r="G185" s="9">
        <f>IF(A185=1,"_",IF(C185="_","???",C185))</f>
        <v/>
      </c>
      <c r="H185" s="10" t="s">
        <v>12</v>
      </c>
      <c r="I185" s="11" t="s">
        <v>12</v>
      </c>
      <c r="J185" s="12"/>
    </row>
    <row r="186" spans="1:10" ht="60" customHeight="1">
      <c r="A186" s="6" t="s">
        <v>666</v>
      </c>
      <c r="B186" s="6" t="s">
        <v>16</v>
      </c>
      <c r="C186" s="6" t="s">
        <v>17</v>
      </c>
      <c r="D186" s="7" t="s">
        <v>667</v>
      </c>
      <c r="E186" s="8" t="s">
        <v>668</v>
      </c>
      <c r="F186" s="6" t="s">
        <v>669</v>
      </c>
      <c r="G186" s="9">
        <f>IF(A186=1,"_",IF(C186="_","???",C186))</f>
        <v/>
      </c>
      <c r="H186" s="10" t="s">
        <v>12</v>
      </c>
      <c r="I186" s="11" t="s">
        <v>12</v>
      </c>
      <c r="J186" s="12"/>
    </row>
    <row r="187" spans="1:10" ht="60" customHeight="1">
      <c r="A187" s="6" t="s">
        <v>670</v>
      </c>
      <c r="B187" s="6" t="s">
        <v>11</v>
      </c>
      <c r="C187" s="6" t="s">
        <v>12</v>
      </c>
      <c r="D187" s="7" t="s">
        <v>671</v>
      </c>
      <c r="E187" s="8" t="s">
        <v>672</v>
      </c>
      <c r="F187" s="6" t="s">
        <v>673</v>
      </c>
      <c r="G187" s="9">
        <f>IF(A187=1,"_",IF(C187="_","???",C187))</f>
        <v/>
      </c>
      <c r="H187" s="10" t="s">
        <v>12</v>
      </c>
      <c r="I187" s="11" t="s">
        <v>12</v>
      </c>
      <c r="J187" s="12"/>
    </row>
    <row r="188" spans="1:10" ht="60" customHeight="1">
      <c r="A188" s="6" t="s">
        <v>674</v>
      </c>
      <c r="B188" s="6" t="s">
        <v>10</v>
      </c>
      <c r="C188" s="6" t="s">
        <v>17</v>
      </c>
      <c r="D188" s="7" t="s">
        <v>35</v>
      </c>
      <c r="E188" s="8" t="s">
        <v>675</v>
      </c>
      <c r="F188" s="6" t="s">
        <v>676</v>
      </c>
      <c r="G188" s="9">
        <f>IF(A188=1,"_",IF(C188="_","???",C188))</f>
        <v/>
      </c>
      <c r="H188" s="10" t="s">
        <v>12</v>
      </c>
      <c r="I188" s="11" t="s">
        <v>12</v>
      </c>
      <c r="J188" s="12"/>
    </row>
    <row r="189" spans="1:10" ht="60" customHeight="1">
      <c r="A189" s="6" t="s">
        <v>677</v>
      </c>
      <c r="B189" s="6" t="s">
        <v>10</v>
      </c>
      <c r="C189" s="6" t="s">
        <v>12</v>
      </c>
      <c r="D189" s="7" t="s">
        <v>52</v>
      </c>
      <c r="E189" s="8" t="s">
        <v>678</v>
      </c>
      <c r="F189" s="6" t="s">
        <v>679</v>
      </c>
      <c r="G189" s="9">
        <f>IF(A189=1,"_",IF(C189="_","???",C189))</f>
        <v/>
      </c>
      <c r="H189" s="10" t="s">
        <v>12</v>
      </c>
      <c r="I189" s="11" t="s">
        <v>12</v>
      </c>
      <c r="J189" s="12"/>
    </row>
    <row r="190" spans="1:10" ht="60" customHeight="1">
      <c r="A190" s="6" t="s">
        <v>680</v>
      </c>
      <c r="B190" s="6" t="s">
        <v>16</v>
      </c>
      <c r="C190" s="6" t="s">
        <v>12</v>
      </c>
      <c r="D190" s="7" t="s">
        <v>681</v>
      </c>
      <c r="E190" s="8" t="s">
        <v>682</v>
      </c>
      <c r="F190" s="6" t="s">
        <v>683</v>
      </c>
      <c r="G190" s="9">
        <f>IF(A190=1,"_",IF(C190="_","???",C190))</f>
        <v/>
      </c>
      <c r="H190" s="10" t="s">
        <v>12</v>
      </c>
      <c r="I190" s="11" t="s">
        <v>12</v>
      </c>
      <c r="J190" s="12"/>
    </row>
    <row r="191" spans="1:10" ht="60" customHeight="1">
      <c r="A191" s="6" t="s">
        <v>684</v>
      </c>
      <c r="B191" s="6" t="s">
        <v>11</v>
      </c>
      <c r="C191" s="6" t="s">
        <v>12</v>
      </c>
      <c r="D191" s="7" t="s">
        <v>685</v>
      </c>
      <c r="E191" s="8" t="s">
        <v>686</v>
      </c>
      <c r="F191" s="6" t="s">
        <v>687</v>
      </c>
      <c r="G191" s="9">
        <f>IF(A191=1,"_",IF(C191="_","???",C191))</f>
        <v/>
      </c>
      <c r="H191" s="10" t="s">
        <v>12</v>
      </c>
      <c r="I191" s="11" t="s">
        <v>12</v>
      </c>
      <c r="J191" s="12"/>
    </row>
    <row r="192" spans="1:10" ht="60" customHeight="1">
      <c r="A192" s="6" t="s">
        <v>688</v>
      </c>
      <c r="B192" s="6" t="s">
        <v>10</v>
      </c>
      <c r="C192" s="6" t="s">
        <v>144</v>
      </c>
      <c r="D192" s="7" t="s">
        <v>35</v>
      </c>
      <c r="E192" s="8" t="s">
        <v>689</v>
      </c>
      <c r="F192" s="6" t="s">
        <v>690</v>
      </c>
      <c r="G192" s="9">
        <f>IF(A192=1,"_",IF(C192="_","???",C192))</f>
        <v/>
      </c>
      <c r="H192" s="10" t="s">
        <v>12</v>
      </c>
      <c r="I192" s="11" t="s">
        <v>12</v>
      </c>
      <c r="J192" s="12"/>
    </row>
    <row r="193" spans="1:10" ht="60" customHeight="1">
      <c r="A193" s="6" t="s">
        <v>691</v>
      </c>
      <c r="B193" s="6" t="s">
        <v>16</v>
      </c>
      <c r="C193" s="6" t="s">
        <v>34</v>
      </c>
      <c r="D193" s="7" t="s">
        <v>213</v>
      </c>
      <c r="E193" s="8" t="s">
        <v>692</v>
      </c>
      <c r="F193" s="6" t="s">
        <v>693</v>
      </c>
      <c r="G193" s="9">
        <f>IF(A193=1,"_",IF(C193="_","???",C193))</f>
        <v/>
      </c>
      <c r="H193" s="10" t="s">
        <v>12</v>
      </c>
      <c r="I193" s="11" t="s">
        <v>12</v>
      </c>
      <c r="J193" s="12"/>
    </row>
    <row r="194" spans="1:10" ht="60" customHeight="1">
      <c r="A194" s="6" t="s">
        <v>694</v>
      </c>
      <c r="B194" s="6" t="s">
        <v>42</v>
      </c>
      <c r="C194" s="6" t="s">
        <v>12</v>
      </c>
      <c r="D194" s="7" t="s">
        <v>331</v>
      </c>
      <c r="E194" s="8" t="s">
        <v>695</v>
      </c>
      <c r="F194" s="6" t="s">
        <v>696</v>
      </c>
      <c r="G194" s="9">
        <f>IF(A194=1,"_",IF(C194="_","???",C194))</f>
        <v/>
      </c>
      <c r="H194" s="10" t="s">
        <v>12</v>
      </c>
      <c r="I194" s="11" t="s">
        <v>12</v>
      </c>
      <c r="J194" s="12"/>
    </row>
    <row r="195" spans="1:10" ht="60" customHeight="1">
      <c r="A195" s="6" t="s">
        <v>697</v>
      </c>
      <c r="B195" s="6" t="s">
        <v>11</v>
      </c>
      <c r="C195" s="6" t="s">
        <v>17</v>
      </c>
      <c r="D195" s="7" t="s">
        <v>249</v>
      </c>
      <c r="E195" s="8" t="s">
        <v>698</v>
      </c>
      <c r="F195" s="6" t="s">
        <v>699</v>
      </c>
      <c r="G195" s="9">
        <f>IF(A195=1,"_",IF(C195="_","???",C195))</f>
        <v/>
      </c>
      <c r="H195" s="10" t="s">
        <v>12</v>
      </c>
      <c r="I195" s="11" t="s">
        <v>12</v>
      </c>
      <c r="J195" s="12"/>
    </row>
    <row r="196" spans="1:10" ht="60" customHeight="1">
      <c r="A196" s="6" t="s">
        <v>700</v>
      </c>
      <c r="B196" s="6" t="s">
        <v>16</v>
      </c>
      <c r="C196" s="6" t="s">
        <v>12</v>
      </c>
      <c r="D196" s="7" t="s">
        <v>331</v>
      </c>
      <c r="E196" s="8" t="s">
        <v>701</v>
      </c>
      <c r="F196" s="6" t="s">
        <v>702</v>
      </c>
      <c r="G196" s="9">
        <f>IF(A196=1,"_",IF(C196="_","???",C196))</f>
        <v/>
      </c>
      <c r="H196" s="10" t="s">
        <v>12</v>
      </c>
      <c r="I196" s="11" t="s">
        <v>12</v>
      </c>
      <c r="J196" s="12"/>
    </row>
    <row r="197" spans="1:10" ht="60" customHeight="1">
      <c r="A197" s="6" t="s">
        <v>703</v>
      </c>
      <c r="B197" s="6" t="s">
        <v>10</v>
      </c>
      <c r="C197" s="6" t="s">
        <v>144</v>
      </c>
      <c r="D197" s="7" t="s">
        <v>35</v>
      </c>
      <c r="E197" s="8" t="s">
        <v>704</v>
      </c>
      <c r="F197" s="6" t="s">
        <v>705</v>
      </c>
      <c r="G197" s="9">
        <f>IF(A197=1,"_",IF(C197="_","???",C197))</f>
        <v/>
      </c>
      <c r="H197" s="10" t="s">
        <v>12</v>
      </c>
      <c r="I197" s="11" t="s">
        <v>12</v>
      </c>
      <c r="J197" s="12"/>
    </row>
    <row r="198" spans="1:10" ht="60" customHeight="1">
      <c r="A198" s="6" t="s">
        <v>706</v>
      </c>
      <c r="B198" s="6" t="s">
        <v>10</v>
      </c>
      <c r="C198" s="6" t="s">
        <v>12</v>
      </c>
      <c r="D198" s="7" t="s">
        <v>52</v>
      </c>
      <c r="E198" s="8" t="s">
        <v>707</v>
      </c>
      <c r="F198" s="6" t="s">
        <v>708</v>
      </c>
      <c r="G198" s="9">
        <f>IF(A198=1,"_",IF(C198="_","???",C198))</f>
        <v/>
      </c>
      <c r="H198" s="10" t="s">
        <v>12</v>
      </c>
      <c r="I198" s="11" t="s">
        <v>12</v>
      </c>
      <c r="J198" s="12"/>
    </row>
    <row r="199" spans="1:10" ht="60" customHeight="1">
      <c r="A199" s="6" t="s">
        <v>709</v>
      </c>
      <c r="B199" s="6" t="s">
        <v>16</v>
      </c>
      <c r="C199" s="6" t="s">
        <v>12</v>
      </c>
      <c r="D199" s="7" t="s">
        <v>22</v>
      </c>
      <c r="E199" s="8" t="s">
        <v>710</v>
      </c>
      <c r="F199" s="6" t="s">
        <v>711</v>
      </c>
      <c r="G199" s="9">
        <f>IF(A199=1,"_",IF(C199="_","???",C199))</f>
        <v/>
      </c>
      <c r="H199" s="10" t="s">
        <v>12</v>
      </c>
      <c r="I199" s="11" t="s">
        <v>12</v>
      </c>
      <c r="J199" s="12"/>
    </row>
    <row r="200" spans="1:10" ht="60" customHeight="1">
      <c r="A200" s="6" t="s">
        <v>712</v>
      </c>
      <c r="B200" s="6" t="s">
        <v>10</v>
      </c>
      <c r="C200" s="6" t="s">
        <v>12</v>
      </c>
      <c r="D200" s="7" t="s">
        <v>35</v>
      </c>
      <c r="E200" s="8" t="s">
        <v>713</v>
      </c>
      <c r="F200" s="6" t="s">
        <v>714</v>
      </c>
      <c r="G200" s="9">
        <f>IF(A200=1,"_",IF(C200="_","???",C200))</f>
        <v/>
      </c>
      <c r="H200" s="10" t="s">
        <v>12</v>
      </c>
      <c r="I200" s="11" t="s">
        <v>12</v>
      </c>
      <c r="J200" s="12"/>
    </row>
    <row r="201" spans="1:10" ht="60" customHeight="1">
      <c r="A201" s="6" t="s">
        <v>715</v>
      </c>
      <c r="B201" s="6" t="s">
        <v>29</v>
      </c>
      <c r="C201" s="6" t="s">
        <v>12</v>
      </c>
      <c r="D201" s="7" t="s">
        <v>114</v>
      </c>
      <c r="E201" s="8" t="s">
        <v>716</v>
      </c>
      <c r="F201" s="6" t="s">
        <v>717</v>
      </c>
      <c r="G201" s="9">
        <f>IF(A201=1,"_",IF(C201="_","???",C201))</f>
        <v/>
      </c>
      <c r="H201" s="10" t="s">
        <v>12</v>
      </c>
      <c r="I201" s="11" t="s">
        <v>12</v>
      </c>
      <c r="J201" s="12"/>
    </row>
    <row r="202" spans="1:10" ht="60" customHeight="1">
      <c r="A202" s="6" t="s">
        <v>718</v>
      </c>
      <c r="B202" s="6" t="s">
        <v>16</v>
      </c>
      <c r="C202" s="6" t="s">
        <v>12</v>
      </c>
      <c r="D202" s="7" t="s">
        <v>331</v>
      </c>
      <c r="E202" s="8" t="s">
        <v>719</v>
      </c>
      <c r="F202" s="6" t="s">
        <v>720</v>
      </c>
      <c r="G202" s="9">
        <f>IF(A202=1,"_",IF(C202="_","???",C202))</f>
        <v/>
      </c>
      <c r="H202" s="10" t="s">
        <v>12</v>
      </c>
      <c r="I202" s="11" t="s">
        <v>12</v>
      </c>
      <c r="J202" s="12"/>
    </row>
    <row r="203" spans="1:10" ht="60" customHeight="1">
      <c r="A203" s="6" t="s">
        <v>721</v>
      </c>
      <c r="B203" s="6" t="s">
        <v>11</v>
      </c>
      <c r="C203" s="6" t="s">
        <v>12</v>
      </c>
      <c r="D203" s="7" t="s">
        <v>722</v>
      </c>
      <c r="E203" s="8" t="s">
        <v>723</v>
      </c>
      <c r="F203" s="6" t="s">
        <v>724</v>
      </c>
      <c r="G203" s="9">
        <f>IF(A203=1,"_",IF(C203="_","???",C203))</f>
        <v/>
      </c>
      <c r="H203" s="10" t="s">
        <v>12</v>
      </c>
      <c r="I203" s="11" t="s">
        <v>12</v>
      </c>
      <c r="J203" s="12"/>
    </row>
    <row r="204" spans="1:10" ht="60" customHeight="1">
      <c r="A204" s="6" t="s">
        <v>725</v>
      </c>
      <c r="B204" s="6" t="s">
        <v>16</v>
      </c>
      <c r="C204" s="6" t="s">
        <v>43</v>
      </c>
      <c r="D204" s="7" t="s">
        <v>726</v>
      </c>
      <c r="E204" s="8" t="s">
        <v>727</v>
      </c>
      <c r="F204" s="6" t="s">
        <v>728</v>
      </c>
      <c r="G204" s="9">
        <f>IF(A204=1,"_",IF(C204="_","???",C204))</f>
        <v/>
      </c>
      <c r="H204" s="10" t="s">
        <v>12</v>
      </c>
      <c r="I204" s="11" t="s">
        <v>12</v>
      </c>
      <c r="J204" s="12"/>
    </row>
    <row r="205" spans="1:10" ht="60" customHeight="1">
      <c r="A205" s="6" t="s">
        <v>729</v>
      </c>
      <c r="B205" s="6" t="s">
        <v>25</v>
      </c>
      <c r="C205" s="6" t="s">
        <v>144</v>
      </c>
      <c r="D205" s="7" t="s">
        <v>206</v>
      </c>
      <c r="E205" s="8" t="s">
        <v>730</v>
      </c>
      <c r="F205" s="6" t="s">
        <v>731</v>
      </c>
      <c r="G205" s="9">
        <f>IF(A205=1,"_",IF(C205="_","???",C205))</f>
        <v/>
      </c>
      <c r="H205" s="10" t="s">
        <v>12</v>
      </c>
      <c r="I205" s="11" t="s">
        <v>12</v>
      </c>
      <c r="J205" s="12"/>
    </row>
    <row r="206" spans="1:10" ht="60" customHeight="1">
      <c r="A206" s="6" t="s">
        <v>732</v>
      </c>
      <c r="B206" s="6" t="s">
        <v>16</v>
      </c>
      <c r="C206" s="6" t="s">
        <v>17</v>
      </c>
      <c r="D206" s="7" t="s">
        <v>217</v>
      </c>
      <c r="E206" s="8" t="s">
        <v>733</v>
      </c>
      <c r="F206" s="6" t="s">
        <v>734</v>
      </c>
      <c r="G206" s="9">
        <f>IF(A206=1,"_",IF(C206="_","???",C206))</f>
        <v/>
      </c>
      <c r="H206" s="10" t="s">
        <v>12</v>
      </c>
      <c r="I206" s="11" t="s">
        <v>12</v>
      </c>
      <c r="J206" s="12"/>
    </row>
    <row r="207" spans="1:10" ht="60" customHeight="1">
      <c r="A207" s="6" t="s">
        <v>735</v>
      </c>
      <c r="B207" s="6" t="s">
        <v>33</v>
      </c>
      <c r="C207" s="6" t="s">
        <v>144</v>
      </c>
      <c r="D207" s="7" t="s">
        <v>736</v>
      </c>
      <c r="E207" s="8" t="s">
        <v>737</v>
      </c>
      <c r="F207" s="6" t="s">
        <v>738</v>
      </c>
      <c r="G207" s="9">
        <f>IF(A207=1,"_",IF(C207="_","???",C207))</f>
        <v/>
      </c>
      <c r="H207" s="10" t="s">
        <v>12</v>
      </c>
      <c r="I207" s="11" t="s">
        <v>12</v>
      </c>
      <c r="J207" s="12"/>
    </row>
    <row r="208" spans="1:10" ht="60" customHeight="1">
      <c r="A208" s="6" t="s">
        <v>739</v>
      </c>
      <c r="B208" s="6" t="s">
        <v>10</v>
      </c>
      <c r="C208" s="6" t="s">
        <v>12</v>
      </c>
      <c r="D208" s="7" t="s">
        <v>35</v>
      </c>
      <c r="E208" s="8" t="s">
        <v>740</v>
      </c>
      <c r="F208" s="6" t="s">
        <v>741</v>
      </c>
      <c r="G208" s="9">
        <f>IF(A208=1,"_",IF(C208="_","???",C208))</f>
        <v/>
      </c>
      <c r="H208" s="10" t="s">
        <v>12</v>
      </c>
      <c r="I208" s="11" t="s">
        <v>12</v>
      </c>
      <c r="J208" s="12"/>
    </row>
    <row r="209" spans="1:10" ht="60" customHeight="1">
      <c r="A209" s="6" t="s">
        <v>742</v>
      </c>
      <c r="B209" s="6" t="s">
        <v>10</v>
      </c>
      <c r="C209" s="6" t="s">
        <v>12</v>
      </c>
      <c r="D209" s="7" t="s">
        <v>743</v>
      </c>
      <c r="E209" s="8" t="s">
        <v>744</v>
      </c>
      <c r="F209" s="6" t="s">
        <v>745</v>
      </c>
      <c r="G209" s="9">
        <f>IF(A209=1,"_",IF(C209="_","???",C209))</f>
        <v/>
      </c>
      <c r="H209" s="10" t="s">
        <v>12</v>
      </c>
      <c r="I209" s="11" t="s">
        <v>12</v>
      </c>
      <c r="J209" s="12"/>
    </row>
    <row r="210" spans="1:10" ht="60" customHeight="1">
      <c r="A210" s="6" t="s">
        <v>746</v>
      </c>
      <c r="B210" s="6" t="s">
        <v>11</v>
      </c>
      <c r="C210" s="6" t="s">
        <v>12</v>
      </c>
      <c r="D210" s="7" t="s">
        <v>213</v>
      </c>
      <c r="E210" s="8" t="s">
        <v>747</v>
      </c>
      <c r="F210" s="6" t="s">
        <v>748</v>
      </c>
      <c r="G210" s="9">
        <f>IF(A210=1,"_",IF(C210="_","???",C210))</f>
        <v/>
      </c>
      <c r="H210" s="10" t="s">
        <v>12</v>
      </c>
      <c r="I210" s="11" t="s">
        <v>12</v>
      </c>
      <c r="J210" s="12"/>
    </row>
    <row r="211" spans="1:10" ht="60" customHeight="1">
      <c r="A211" s="6" t="s">
        <v>749</v>
      </c>
      <c r="B211" s="6" t="s">
        <v>29</v>
      </c>
      <c r="C211" s="6" t="s">
        <v>12</v>
      </c>
      <c r="D211" s="7" t="s">
        <v>750</v>
      </c>
      <c r="E211" s="8" t="s">
        <v>751</v>
      </c>
      <c r="F211" s="6" t="s">
        <v>752</v>
      </c>
      <c r="G211" s="9">
        <f>IF(A211=1,"_",IF(C211="_","???",C211))</f>
        <v/>
      </c>
      <c r="H211" s="10" t="s">
        <v>12</v>
      </c>
      <c r="I211" s="11" t="s">
        <v>12</v>
      </c>
      <c r="J211" s="12"/>
    </row>
    <row r="212" spans="1:10" ht="60" customHeight="1">
      <c r="A212" s="6" t="s">
        <v>753</v>
      </c>
      <c r="B212" s="6" t="s">
        <v>113</v>
      </c>
      <c r="C212" s="6" t="s">
        <v>12</v>
      </c>
      <c r="D212" s="7" t="s">
        <v>754</v>
      </c>
      <c r="E212" s="8" t="s">
        <v>755</v>
      </c>
      <c r="F212" s="6" t="s">
        <v>756</v>
      </c>
      <c r="G212" s="9">
        <f>IF(A212=1,"_",IF(C212="_","???",C212))</f>
        <v/>
      </c>
      <c r="H212" s="10" t="s">
        <v>12</v>
      </c>
      <c r="I212" s="11" t="s">
        <v>12</v>
      </c>
      <c r="J212" s="12"/>
    </row>
    <row r="213" spans="1:10" ht="60" customHeight="1">
      <c r="A213" s="6" t="s">
        <v>757</v>
      </c>
      <c r="B213" s="6" t="s">
        <v>16</v>
      </c>
      <c r="C213" s="6" t="s">
        <v>17</v>
      </c>
      <c r="D213" s="7" t="s">
        <v>59</v>
      </c>
      <c r="E213" s="8" t="s">
        <v>758</v>
      </c>
      <c r="F213" s="6" t="s">
        <v>759</v>
      </c>
      <c r="G213" s="9">
        <f>IF(A213=1,"_",IF(C213="_","???",C213))</f>
        <v/>
      </c>
      <c r="H213" s="10" t="s">
        <v>12</v>
      </c>
      <c r="I213" s="11" t="s">
        <v>12</v>
      </c>
      <c r="J213" s="12"/>
    </row>
    <row r="214" spans="1:10" ht="60" customHeight="1">
      <c r="A214" s="6" t="s">
        <v>760</v>
      </c>
      <c r="B214" s="6" t="s">
        <v>29</v>
      </c>
      <c r="C214" s="6" t="s">
        <v>17</v>
      </c>
      <c r="D214" s="7" t="s">
        <v>761</v>
      </c>
      <c r="E214" s="8" t="s">
        <v>762</v>
      </c>
      <c r="F214" s="6" t="s">
        <v>763</v>
      </c>
      <c r="G214" s="9">
        <f>IF(A214=1,"_",IF(C214="_","???",C214))</f>
        <v/>
      </c>
      <c r="H214" s="10" t="s">
        <v>12</v>
      </c>
      <c r="I214" s="11" t="s">
        <v>12</v>
      </c>
      <c r="J214" s="12"/>
    </row>
    <row r="215" spans="1:10" ht="60" customHeight="1">
      <c r="A215" s="6" t="s">
        <v>764</v>
      </c>
      <c r="B215" s="6" t="s">
        <v>11</v>
      </c>
      <c r="C215" s="6" t="s">
        <v>21</v>
      </c>
      <c r="D215" s="7" t="s">
        <v>174</v>
      </c>
      <c r="E215" s="8" t="s">
        <v>765</v>
      </c>
      <c r="F215" s="6" t="s">
        <v>766</v>
      </c>
      <c r="G215" s="9">
        <f>IF(A215=1,"_",IF(C215="_","???",C215))</f>
        <v/>
      </c>
      <c r="H215" s="10" t="s">
        <v>12</v>
      </c>
      <c r="I215" s="11" t="s">
        <v>12</v>
      </c>
      <c r="J215" s="12"/>
    </row>
    <row r="216" spans="1:10" ht="60" customHeight="1">
      <c r="A216" s="6" t="s">
        <v>767</v>
      </c>
      <c r="B216" s="6" t="s">
        <v>10</v>
      </c>
      <c r="C216" s="6" t="s">
        <v>12</v>
      </c>
      <c r="D216" s="7" t="s">
        <v>35</v>
      </c>
      <c r="E216" s="8" t="s">
        <v>768</v>
      </c>
      <c r="F216" s="6" t="s">
        <v>769</v>
      </c>
      <c r="G216" s="9">
        <f>IF(A216=1,"_",IF(C216="_","???",C216))</f>
        <v/>
      </c>
      <c r="H216" s="10" t="s">
        <v>12</v>
      </c>
      <c r="I216" s="11" t="s">
        <v>12</v>
      </c>
      <c r="J216" s="12"/>
    </row>
    <row r="217" spans="1:10" ht="60" customHeight="1">
      <c r="A217" s="6" t="s">
        <v>770</v>
      </c>
      <c r="B217" s="6" t="s">
        <v>11</v>
      </c>
      <c r="C217" s="6" t="s">
        <v>12</v>
      </c>
      <c r="D217" s="7" t="s">
        <v>59</v>
      </c>
      <c r="E217" s="8" t="s">
        <v>771</v>
      </c>
      <c r="F217" s="6" t="s">
        <v>772</v>
      </c>
      <c r="G217" s="9">
        <f>IF(A217=1,"_",IF(C217="_","???",C217))</f>
        <v/>
      </c>
      <c r="H217" s="10" t="s">
        <v>12</v>
      </c>
      <c r="I217" s="11" t="s">
        <v>12</v>
      </c>
      <c r="J217" s="12"/>
    </row>
    <row r="218" spans="1:10" ht="60" customHeight="1">
      <c r="A218" s="6" t="s">
        <v>773</v>
      </c>
      <c r="B218" s="6" t="s">
        <v>38</v>
      </c>
      <c r="C218" s="6" t="s">
        <v>12</v>
      </c>
      <c r="D218" s="7" t="s">
        <v>118</v>
      </c>
      <c r="E218" s="8" t="s">
        <v>774</v>
      </c>
      <c r="F218" s="6" t="s">
        <v>775</v>
      </c>
      <c r="G218" s="9">
        <f>IF(A218=1,"_",IF(C218="_","???",C218))</f>
        <v/>
      </c>
      <c r="H218" s="10" t="s">
        <v>12</v>
      </c>
      <c r="I218" s="11" t="s">
        <v>12</v>
      </c>
      <c r="J218" s="12"/>
    </row>
    <row r="219" spans="1:10" ht="60" customHeight="1">
      <c r="A219" s="6" t="s">
        <v>776</v>
      </c>
      <c r="B219" s="6" t="s">
        <v>10</v>
      </c>
      <c r="C219" s="6" t="s">
        <v>12</v>
      </c>
      <c r="D219" s="7" t="s">
        <v>52</v>
      </c>
      <c r="E219" s="8" t="s">
        <v>777</v>
      </c>
      <c r="F219" s="6" t="s">
        <v>778</v>
      </c>
      <c r="G219" s="9">
        <f>IF(A219=1,"_",IF(C219="_","???",C219))</f>
        <v/>
      </c>
      <c r="H219" s="10" t="s">
        <v>12</v>
      </c>
      <c r="I219" s="11" t="s">
        <v>12</v>
      </c>
      <c r="J219" s="12"/>
    </row>
    <row r="220" spans="1:10" ht="60" customHeight="1">
      <c r="A220" s="6" t="s">
        <v>779</v>
      </c>
      <c r="B220" s="6" t="s">
        <v>38</v>
      </c>
      <c r="C220" s="6" t="s">
        <v>144</v>
      </c>
      <c r="D220" s="7" t="s">
        <v>780</v>
      </c>
      <c r="E220" s="8" t="s">
        <v>781</v>
      </c>
      <c r="F220" s="6" t="s">
        <v>782</v>
      </c>
      <c r="G220" s="9">
        <f>IF(A220=1,"_",IF(C220="_","???",C220))</f>
        <v/>
      </c>
      <c r="H220" s="10" t="s">
        <v>12</v>
      </c>
      <c r="I220" s="11" t="s">
        <v>12</v>
      </c>
      <c r="J220" s="12"/>
    </row>
    <row r="221" spans="1:10" ht="60" customHeight="1">
      <c r="A221" s="6" t="s">
        <v>783</v>
      </c>
      <c r="B221" s="6" t="s">
        <v>11</v>
      </c>
      <c r="C221" s="6" t="s">
        <v>12</v>
      </c>
      <c r="D221" s="7" t="s">
        <v>213</v>
      </c>
      <c r="E221" s="8" t="s">
        <v>784</v>
      </c>
      <c r="F221" s="6" t="s">
        <v>785</v>
      </c>
      <c r="G221" s="9">
        <f>IF(A221=1,"_",IF(C221="_","???",C221))</f>
        <v/>
      </c>
      <c r="H221" s="10" t="s">
        <v>12</v>
      </c>
      <c r="I221" s="11" t="s">
        <v>12</v>
      </c>
      <c r="J221" s="12"/>
    </row>
    <row r="222" spans="1:10" ht="60" customHeight="1">
      <c r="A222" s="6" t="s">
        <v>786</v>
      </c>
      <c r="B222" s="6" t="s">
        <v>11</v>
      </c>
      <c r="C222" s="6" t="s">
        <v>12</v>
      </c>
      <c r="D222" s="7" t="s">
        <v>787</v>
      </c>
      <c r="E222" s="8" t="s">
        <v>788</v>
      </c>
      <c r="F222" s="6" t="s">
        <v>789</v>
      </c>
      <c r="G222" s="9">
        <f>IF(A222=1,"_",IF(C222="_","???",C222))</f>
        <v/>
      </c>
      <c r="H222" s="10" t="s">
        <v>12</v>
      </c>
      <c r="I222" s="11" t="s">
        <v>12</v>
      </c>
      <c r="J222" s="12"/>
    </row>
    <row r="223" spans="1:10" ht="60" customHeight="1">
      <c r="A223" s="6" t="s">
        <v>790</v>
      </c>
      <c r="B223" s="6" t="s">
        <v>16</v>
      </c>
      <c r="C223" s="6" t="s">
        <v>17</v>
      </c>
      <c r="D223" s="7" t="s">
        <v>59</v>
      </c>
      <c r="E223" s="8" t="s">
        <v>791</v>
      </c>
      <c r="F223" s="6" t="s">
        <v>792</v>
      </c>
      <c r="G223" s="9">
        <f>IF(A223=1,"_",IF(C223="_","???",C223))</f>
        <v/>
      </c>
      <c r="H223" s="10" t="s">
        <v>12</v>
      </c>
      <c r="I223" s="11" t="s">
        <v>12</v>
      </c>
      <c r="J223" s="12"/>
    </row>
    <row r="224" spans="1:10" ht="60" customHeight="1">
      <c r="A224" s="6" t="s">
        <v>793</v>
      </c>
      <c r="B224" s="6" t="s">
        <v>11</v>
      </c>
      <c r="C224" s="6" t="s">
        <v>21</v>
      </c>
      <c r="D224" s="7" t="s">
        <v>541</v>
      </c>
      <c r="E224" s="8" t="s">
        <v>794</v>
      </c>
      <c r="F224" s="6" t="s">
        <v>795</v>
      </c>
      <c r="G224" s="9">
        <f>IF(A224=1,"_",IF(C224="_","???",C224))</f>
        <v/>
      </c>
      <c r="H224" s="10" t="s">
        <v>12</v>
      </c>
      <c r="I224" s="11" t="s">
        <v>12</v>
      </c>
      <c r="J224" s="12"/>
    </row>
    <row r="225" spans="1:10" ht="60" customHeight="1">
      <c r="A225" s="6" t="s">
        <v>796</v>
      </c>
      <c r="B225" s="6" t="s">
        <v>10</v>
      </c>
      <c r="C225" s="6" t="s">
        <v>12</v>
      </c>
      <c r="D225" s="7" t="s">
        <v>35</v>
      </c>
      <c r="E225" s="8" t="s">
        <v>797</v>
      </c>
      <c r="F225" s="6" t="s">
        <v>798</v>
      </c>
      <c r="G225" s="9">
        <f>IF(A225=1,"_",IF(C225="_","???",C225))</f>
        <v/>
      </c>
      <c r="H225" s="10" t="s">
        <v>12</v>
      </c>
      <c r="I225" s="11" t="s">
        <v>12</v>
      </c>
      <c r="J225" s="12"/>
    </row>
    <row r="226" spans="1:10" ht="60" customHeight="1">
      <c r="A226" s="6" t="s">
        <v>799</v>
      </c>
      <c r="B226" s="6" t="s">
        <v>11</v>
      </c>
      <c r="C226" s="6" t="s">
        <v>12</v>
      </c>
      <c r="D226" s="7" t="s">
        <v>800</v>
      </c>
      <c r="E226" s="8" t="s">
        <v>801</v>
      </c>
      <c r="F226" s="6" t="s">
        <v>802</v>
      </c>
      <c r="G226" s="9">
        <f>IF(A226=1,"_",IF(C226="_","???",C226))</f>
        <v/>
      </c>
      <c r="H226" s="10" t="s">
        <v>12</v>
      </c>
      <c r="I226" s="11" t="s">
        <v>12</v>
      </c>
      <c r="J226" s="12"/>
    </row>
    <row r="227" spans="1:10" ht="60" customHeight="1">
      <c r="A227" s="6" t="s">
        <v>803</v>
      </c>
      <c r="B227" s="6" t="s">
        <v>10</v>
      </c>
      <c r="C227" s="6" t="s">
        <v>12</v>
      </c>
      <c r="D227" s="7" t="s">
        <v>52</v>
      </c>
      <c r="E227" s="8" t="s">
        <v>253</v>
      </c>
      <c r="F227" s="6" t="s">
        <v>804</v>
      </c>
      <c r="G227" s="9">
        <f>IF(A227=1,"_",IF(C227="_","???",C227))</f>
        <v/>
      </c>
      <c r="H227" s="10" t="s">
        <v>12</v>
      </c>
      <c r="I227" s="11" t="s">
        <v>12</v>
      </c>
      <c r="J227" s="12"/>
    </row>
    <row r="228" spans="1:10" ht="60" customHeight="1">
      <c r="A228" s="6" t="s">
        <v>805</v>
      </c>
      <c r="B228" s="6" t="s">
        <v>25</v>
      </c>
      <c r="C228" s="6" t="s">
        <v>12</v>
      </c>
      <c r="D228" s="7" t="s">
        <v>806</v>
      </c>
      <c r="E228" s="8" t="s">
        <v>807</v>
      </c>
      <c r="F228" s="6" t="s">
        <v>808</v>
      </c>
      <c r="G228" s="9">
        <f>IF(A228=1,"_",IF(C228="_","???",C228))</f>
        <v/>
      </c>
      <c r="H228" s="10" t="s">
        <v>12</v>
      </c>
      <c r="I228" s="11" t="s">
        <v>12</v>
      </c>
      <c r="J228" s="12"/>
    </row>
    <row r="229" spans="1:10" ht="60" customHeight="1">
      <c r="A229" s="6" t="s">
        <v>809</v>
      </c>
      <c r="B229" s="6" t="s">
        <v>11</v>
      </c>
      <c r="C229" s="6" t="s">
        <v>12</v>
      </c>
      <c r="D229" s="7" t="s">
        <v>331</v>
      </c>
      <c r="E229" s="8" t="s">
        <v>810</v>
      </c>
      <c r="F229" s="6" t="s">
        <v>811</v>
      </c>
      <c r="G229" s="9">
        <f>IF(A229=1,"_",IF(C229="_","???",C229))</f>
        <v/>
      </c>
      <c r="H229" s="10" t="s">
        <v>12</v>
      </c>
      <c r="I229" s="11" t="s">
        <v>12</v>
      </c>
      <c r="J229" s="12"/>
    </row>
    <row r="230" spans="1:10" ht="60" customHeight="1">
      <c r="A230" s="6" t="s">
        <v>812</v>
      </c>
      <c r="B230" s="6" t="s">
        <v>16</v>
      </c>
      <c r="C230" s="6" t="s">
        <v>17</v>
      </c>
      <c r="D230" s="7" t="s">
        <v>59</v>
      </c>
      <c r="E230" s="8" t="s">
        <v>813</v>
      </c>
      <c r="F230" s="6" t="s">
        <v>814</v>
      </c>
      <c r="G230" s="9">
        <f>IF(A230=1,"_",IF(C230="_","???",C230))</f>
        <v/>
      </c>
      <c r="H230" s="10" t="s">
        <v>12</v>
      </c>
      <c r="I230" s="11" t="s">
        <v>12</v>
      </c>
      <c r="J230" s="12"/>
    </row>
    <row r="231" spans="1:10" ht="60" customHeight="1">
      <c r="A231" s="6" t="s">
        <v>815</v>
      </c>
      <c r="B231" s="6" t="s">
        <v>16</v>
      </c>
      <c r="C231" s="6" t="s">
        <v>509</v>
      </c>
      <c r="D231" s="7" t="s">
        <v>95</v>
      </c>
      <c r="E231" s="8" t="s">
        <v>816</v>
      </c>
      <c r="F231" s="6" t="s">
        <v>817</v>
      </c>
      <c r="G231" s="9">
        <f>IF(A231=1,"_",IF(C231="_","???",C231))</f>
        <v/>
      </c>
      <c r="H231" s="10" t="s">
        <v>12</v>
      </c>
      <c r="I231" s="11" t="s">
        <v>12</v>
      </c>
      <c r="J231" s="12"/>
    </row>
    <row r="232" spans="1:10" ht="60" customHeight="1">
      <c r="A232" s="6" t="s">
        <v>818</v>
      </c>
      <c r="B232" s="6" t="s">
        <v>11</v>
      </c>
      <c r="C232" s="6" t="s">
        <v>12</v>
      </c>
      <c r="D232" s="7" t="s">
        <v>118</v>
      </c>
      <c r="E232" s="8" t="s">
        <v>819</v>
      </c>
      <c r="F232" s="6" t="s">
        <v>820</v>
      </c>
      <c r="G232" s="9">
        <f>IF(A232=1,"_",IF(C232="_","???",C232))</f>
        <v/>
      </c>
      <c r="H232" s="10" t="s">
        <v>12</v>
      </c>
      <c r="I232" s="11" t="s">
        <v>12</v>
      </c>
      <c r="J232" s="12"/>
    </row>
    <row r="233" spans="1:10" ht="60" customHeight="1">
      <c r="A233" s="6" t="s">
        <v>821</v>
      </c>
      <c r="B233" s="6" t="s">
        <v>11</v>
      </c>
      <c r="C233" s="6" t="s">
        <v>12</v>
      </c>
      <c r="D233" s="7" t="s">
        <v>822</v>
      </c>
      <c r="E233" s="8" t="s">
        <v>823</v>
      </c>
      <c r="F233" s="6" t="s">
        <v>824</v>
      </c>
      <c r="G233" s="9">
        <f>IF(A233=1,"_",IF(C233="_","???",C233))</f>
        <v/>
      </c>
      <c r="H233" s="10" t="s">
        <v>12</v>
      </c>
      <c r="I233" s="11" t="s">
        <v>12</v>
      </c>
      <c r="J233" s="12"/>
    </row>
    <row r="234" spans="1:10" ht="60" customHeight="1">
      <c r="A234" s="6" t="s">
        <v>825</v>
      </c>
      <c r="B234" s="6" t="s">
        <v>10</v>
      </c>
      <c r="C234" s="6" t="s">
        <v>826</v>
      </c>
      <c r="D234" s="7" t="s">
        <v>35</v>
      </c>
      <c r="E234" s="8" t="s">
        <v>827</v>
      </c>
      <c r="F234" s="6" t="s">
        <v>828</v>
      </c>
      <c r="G234" s="9">
        <f>IF(A234=1,"_",IF(C234="_","???",C234))</f>
        <v/>
      </c>
      <c r="H234" s="10" t="s">
        <v>12</v>
      </c>
      <c r="I234" s="11" t="s">
        <v>12</v>
      </c>
      <c r="J234" s="12"/>
    </row>
    <row r="235" spans="1:10" ht="60" customHeight="1">
      <c r="A235" s="6" t="s">
        <v>829</v>
      </c>
      <c r="B235" s="6" t="s">
        <v>16</v>
      </c>
      <c r="C235" s="6" t="s">
        <v>43</v>
      </c>
      <c r="D235" s="7" t="s">
        <v>59</v>
      </c>
      <c r="E235" s="8" t="s">
        <v>830</v>
      </c>
      <c r="F235" s="6" t="s">
        <v>831</v>
      </c>
      <c r="G235" s="9">
        <f>IF(A235=1,"_",IF(C235="_","???",C235))</f>
        <v/>
      </c>
      <c r="H235" s="10" t="s">
        <v>12</v>
      </c>
      <c r="I235" s="11" t="s">
        <v>12</v>
      </c>
      <c r="J235" s="12"/>
    </row>
    <row r="236" spans="1:10" ht="60" customHeight="1">
      <c r="A236" s="6" t="s">
        <v>832</v>
      </c>
      <c r="B236" s="6" t="s">
        <v>33</v>
      </c>
      <c r="C236" s="6" t="s">
        <v>17</v>
      </c>
      <c r="D236" s="7" t="s">
        <v>833</v>
      </c>
      <c r="E236" s="8" t="s">
        <v>834</v>
      </c>
      <c r="F236" s="6" t="s">
        <v>835</v>
      </c>
      <c r="G236" s="9">
        <f>IF(A236=1,"_",IF(C236="_","???",C236))</f>
        <v/>
      </c>
      <c r="H236" s="10" t="s">
        <v>12</v>
      </c>
      <c r="I236" s="11" t="s">
        <v>12</v>
      </c>
      <c r="J236" s="12"/>
    </row>
    <row r="237" spans="1:10" ht="60" customHeight="1">
      <c r="A237" s="6" t="s">
        <v>836</v>
      </c>
      <c r="B237" s="6" t="s">
        <v>11</v>
      </c>
      <c r="C237" s="6" t="s">
        <v>12</v>
      </c>
      <c r="D237" s="7" t="s">
        <v>521</v>
      </c>
      <c r="E237" s="8" t="s">
        <v>837</v>
      </c>
      <c r="F237" s="6" t="s">
        <v>838</v>
      </c>
      <c r="G237" s="9">
        <f>IF(A237=1,"_",IF(C237="_","???",C237))</f>
        <v/>
      </c>
      <c r="H237" s="10" t="s">
        <v>12</v>
      </c>
      <c r="I237" s="11" t="s">
        <v>12</v>
      </c>
      <c r="J237" s="12"/>
    </row>
    <row r="238" spans="1:10" ht="60" customHeight="1">
      <c r="A238" s="6" t="s">
        <v>839</v>
      </c>
      <c r="B238" s="6" t="s">
        <v>42</v>
      </c>
      <c r="C238" s="6" t="s">
        <v>12</v>
      </c>
      <c r="D238" s="7" t="s">
        <v>840</v>
      </c>
      <c r="E238" s="8" t="s">
        <v>841</v>
      </c>
      <c r="F238" s="6" t="s">
        <v>842</v>
      </c>
      <c r="G238" s="9">
        <f>IF(A238=1,"_",IF(C238="_","???",C238))</f>
        <v/>
      </c>
      <c r="H238" s="10" t="s">
        <v>12</v>
      </c>
      <c r="I238" s="11" t="s">
        <v>12</v>
      </c>
      <c r="J238" s="12"/>
    </row>
    <row r="239" spans="1:10" ht="60" customHeight="1">
      <c r="A239" s="6" t="s">
        <v>843</v>
      </c>
      <c r="B239" s="6" t="s">
        <v>16</v>
      </c>
      <c r="C239" s="6" t="s">
        <v>21</v>
      </c>
      <c r="D239" s="7" t="s">
        <v>736</v>
      </c>
      <c r="E239" s="8" t="s">
        <v>844</v>
      </c>
      <c r="F239" s="6" t="s">
        <v>845</v>
      </c>
      <c r="G239" s="9">
        <f>IF(A239=1,"_",IF(C239="_","???",C239))</f>
        <v/>
      </c>
      <c r="H239" s="10" t="s">
        <v>12</v>
      </c>
      <c r="I239" s="11" t="s">
        <v>12</v>
      </c>
      <c r="J239" s="12"/>
    </row>
    <row r="240" spans="1:10" ht="60" customHeight="1">
      <c r="A240" s="6" t="s">
        <v>846</v>
      </c>
      <c r="B240" s="6" t="s">
        <v>11</v>
      </c>
      <c r="C240" s="6" t="s">
        <v>12</v>
      </c>
      <c r="D240" s="7" t="s">
        <v>750</v>
      </c>
      <c r="E240" s="8" t="s">
        <v>847</v>
      </c>
      <c r="F240" s="6" t="s">
        <v>848</v>
      </c>
      <c r="G240" s="9">
        <f>IF(A240=1,"_",IF(C240="_","???",C240))</f>
        <v/>
      </c>
      <c r="H240" s="10" t="s">
        <v>12</v>
      </c>
      <c r="I240" s="11" t="s">
        <v>12</v>
      </c>
      <c r="J240" s="12"/>
    </row>
    <row r="241" spans="1:10" ht="60" customHeight="1">
      <c r="A241" s="6" t="s">
        <v>849</v>
      </c>
      <c r="B241" s="6" t="s">
        <v>11</v>
      </c>
      <c r="C241" s="6" t="s">
        <v>144</v>
      </c>
      <c r="D241" s="7" t="s">
        <v>850</v>
      </c>
      <c r="E241" s="8" t="s">
        <v>851</v>
      </c>
      <c r="F241" s="6" t="s">
        <v>852</v>
      </c>
      <c r="G241" s="9">
        <f>IF(A241=1,"_",IF(C241="_","???",C241))</f>
        <v/>
      </c>
      <c r="H241" s="10" t="s">
        <v>12</v>
      </c>
      <c r="I241" s="11" t="s">
        <v>12</v>
      </c>
      <c r="J241" s="12"/>
    </row>
    <row r="242" spans="1:10" ht="60" customHeight="1">
      <c r="A242" s="6" t="s">
        <v>853</v>
      </c>
      <c r="B242" s="6" t="s">
        <v>11</v>
      </c>
      <c r="C242" s="6" t="s">
        <v>144</v>
      </c>
      <c r="D242" s="7" t="s">
        <v>396</v>
      </c>
      <c r="E242" s="8" t="s">
        <v>854</v>
      </c>
      <c r="F242" s="6" t="s">
        <v>855</v>
      </c>
      <c r="G242" s="9">
        <f>IF(A242=1,"_",IF(C242="_","???",C242))</f>
        <v/>
      </c>
      <c r="H242" s="10" t="s">
        <v>12</v>
      </c>
      <c r="I242" s="11" t="s">
        <v>12</v>
      </c>
      <c r="J242" s="12"/>
    </row>
    <row r="243" spans="1:10" ht="60" customHeight="1">
      <c r="A243" s="6" t="s">
        <v>856</v>
      </c>
      <c r="B243" s="6" t="s">
        <v>58</v>
      </c>
      <c r="C243" s="6" t="s">
        <v>17</v>
      </c>
      <c r="D243" s="7" t="s">
        <v>487</v>
      </c>
      <c r="E243" s="8" t="s">
        <v>857</v>
      </c>
      <c r="F243" s="6" t="s">
        <v>858</v>
      </c>
      <c r="G243" s="9">
        <f>IF(A243=1,"_",IF(C243="_","???",C243))</f>
        <v/>
      </c>
      <c r="H243" s="10" t="s">
        <v>12</v>
      </c>
      <c r="I243" s="11" t="s">
        <v>12</v>
      </c>
      <c r="J243" s="12"/>
    </row>
    <row r="244" spans="1:10" ht="60" customHeight="1">
      <c r="A244" s="6" t="s">
        <v>859</v>
      </c>
      <c r="B244" s="6" t="s">
        <v>11</v>
      </c>
      <c r="C244" s="6" t="s">
        <v>12</v>
      </c>
      <c r="D244" s="7" t="s">
        <v>860</v>
      </c>
      <c r="E244" s="8" t="s">
        <v>861</v>
      </c>
      <c r="F244" s="6" t="s">
        <v>862</v>
      </c>
      <c r="G244" s="9">
        <f>IF(A244=1,"_",IF(C244="_","???",C244))</f>
        <v/>
      </c>
      <c r="H244" s="10" t="s">
        <v>12</v>
      </c>
      <c r="I244" s="11" t="s">
        <v>12</v>
      </c>
      <c r="J244" s="12"/>
    </row>
    <row r="245" spans="1:10" ht="60" customHeight="1">
      <c r="A245" s="6" t="s">
        <v>863</v>
      </c>
      <c r="B245" s="6" t="s">
        <v>10</v>
      </c>
      <c r="C245" s="6" t="s">
        <v>63</v>
      </c>
      <c r="D245" s="7" t="s">
        <v>35</v>
      </c>
      <c r="E245" s="8" t="s">
        <v>864</v>
      </c>
      <c r="F245" s="6" t="s">
        <v>865</v>
      </c>
      <c r="G245" s="9">
        <f>IF(A245=1,"_",IF(C245="_","???",C245))</f>
        <v/>
      </c>
      <c r="H245" s="10" t="s">
        <v>12</v>
      </c>
      <c r="I245" s="11" t="s">
        <v>12</v>
      </c>
      <c r="J245" s="12"/>
    </row>
    <row r="246" spans="1:10" ht="60" customHeight="1">
      <c r="A246" s="6" t="s">
        <v>866</v>
      </c>
      <c r="B246" s="6" t="s">
        <v>51</v>
      </c>
      <c r="C246" s="6" t="s">
        <v>12</v>
      </c>
      <c r="D246" s="7" t="s">
        <v>274</v>
      </c>
      <c r="E246" s="8" t="s">
        <v>867</v>
      </c>
      <c r="F246" s="6" t="s">
        <v>868</v>
      </c>
      <c r="G246" s="9">
        <f>IF(A246=1,"_",IF(C246="_","???",C246))</f>
        <v/>
      </c>
      <c r="H246" s="10" t="s">
        <v>12</v>
      </c>
      <c r="I246" s="11" t="s">
        <v>12</v>
      </c>
      <c r="J246" s="12"/>
    </row>
    <row r="247" spans="1:10" ht="60" customHeight="1">
      <c r="A247" s="6" t="s">
        <v>869</v>
      </c>
      <c r="B247" s="6" t="s">
        <v>75</v>
      </c>
      <c r="C247" s="6" t="s">
        <v>12</v>
      </c>
      <c r="D247" s="7" t="s">
        <v>870</v>
      </c>
      <c r="E247" s="8" t="s">
        <v>871</v>
      </c>
      <c r="F247" s="6" t="s">
        <v>872</v>
      </c>
      <c r="G247" s="9">
        <f>IF(A247=1,"_",IF(C247="_","???",C247))</f>
        <v/>
      </c>
      <c r="H247" s="10" t="s">
        <v>12</v>
      </c>
      <c r="I247" s="11" t="s">
        <v>12</v>
      </c>
      <c r="J247" s="12"/>
    </row>
    <row r="248" spans="1:10" ht="60" customHeight="1">
      <c r="A248" s="6" t="s">
        <v>873</v>
      </c>
      <c r="B248" s="6" t="s">
        <v>38</v>
      </c>
      <c r="C248" s="6" t="s">
        <v>12</v>
      </c>
      <c r="D248" s="7" t="s">
        <v>22</v>
      </c>
      <c r="E248" s="8" t="s">
        <v>874</v>
      </c>
      <c r="F248" s="6" t="s">
        <v>875</v>
      </c>
      <c r="G248" s="9">
        <f>IF(A248=1,"_",IF(C248="_","???",C248))</f>
        <v/>
      </c>
      <c r="H248" s="10" t="s">
        <v>12</v>
      </c>
      <c r="I248" s="11" t="s">
        <v>12</v>
      </c>
      <c r="J248" s="12"/>
    </row>
    <row r="249" spans="1:10" ht="60" customHeight="1">
      <c r="A249" s="6" t="s">
        <v>876</v>
      </c>
      <c r="B249" s="6" t="s">
        <v>62</v>
      </c>
      <c r="C249" s="6" t="s">
        <v>17</v>
      </c>
      <c r="D249" s="7" t="s">
        <v>877</v>
      </c>
      <c r="E249" s="8" t="s">
        <v>878</v>
      </c>
      <c r="F249" s="6" t="s">
        <v>879</v>
      </c>
      <c r="G249" s="9">
        <f>IF(A249=1,"_",IF(C249="_","???",C249))</f>
        <v/>
      </c>
      <c r="H249" s="10" t="s">
        <v>12</v>
      </c>
      <c r="I249" s="11" t="s">
        <v>12</v>
      </c>
      <c r="J249" s="12"/>
    </row>
    <row r="250" spans="1:10" ht="60" customHeight="1">
      <c r="A250" s="6" t="s">
        <v>880</v>
      </c>
      <c r="B250" s="6" t="s">
        <v>10</v>
      </c>
      <c r="C250" s="6" t="s">
        <v>12</v>
      </c>
      <c r="D250" s="7" t="s">
        <v>52</v>
      </c>
      <c r="E250" s="8" t="s">
        <v>881</v>
      </c>
      <c r="F250" s="6" t="s">
        <v>882</v>
      </c>
      <c r="G250" s="9">
        <f>IF(A250=1,"_",IF(C250="_","???",C250))</f>
        <v/>
      </c>
      <c r="H250" s="10" t="s">
        <v>12</v>
      </c>
      <c r="I250" s="11" t="s">
        <v>12</v>
      </c>
      <c r="J250" s="12"/>
    </row>
    <row r="251" spans="1:10" ht="60" customHeight="1">
      <c r="A251" s="6" t="s">
        <v>883</v>
      </c>
      <c r="B251" s="6" t="s">
        <v>16</v>
      </c>
      <c r="C251" s="6" t="s">
        <v>12</v>
      </c>
      <c r="D251" s="7" t="s">
        <v>213</v>
      </c>
      <c r="E251" s="8" t="s">
        <v>884</v>
      </c>
      <c r="F251" s="6" t="s">
        <v>885</v>
      </c>
      <c r="G251" s="9">
        <f>IF(A251=1,"_",IF(C251="_","???",C251))</f>
        <v/>
      </c>
      <c r="H251" s="10" t="s">
        <v>12</v>
      </c>
      <c r="I251" s="11" t="s">
        <v>12</v>
      </c>
      <c r="J251" s="12"/>
    </row>
    <row r="252" spans="1:10" ht="60" customHeight="1">
      <c r="A252" s="6" t="s">
        <v>886</v>
      </c>
      <c r="B252" s="6" t="s">
        <v>16</v>
      </c>
      <c r="C252" s="6" t="s">
        <v>17</v>
      </c>
      <c r="D252" s="7" t="s">
        <v>22</v>
      </c>
      <c r="E252" s="8" t="s">
        <v>887</v>
      </c>
      <c r="F252" s="6" t="s">
        <v>888</v>
      </c>
      <c r="G252" s="9">
        <f>IF(A252=1,"_",IF(C252="_","???",C252))</f>
        <v/>
      </c>
      <c r="H252" s="10" t="s">
        <v>12</v>
      </c>
      <c r="I252" s="11" t="s">
        <v>12</v>
      </c>
      <c r="J252" s="12"/>
    </row>
    <row r="253" spans="1:10" ht="60" customHeight="1">
      <c r="A253" s="6" t="s">
        <v>889</v>
      </c>
      <c r="B253" s="6" t="s">
        <v>11</v>
      </c>
      <c r="C253" s="6" t="s">
        <v>12</v>
      </c>
      <c r="D253" s="7" t="s">
        <v>95</v>
      </c>
      <c r="E253" s="8" t="s">
        <v>890</v>
      </c>
      <c r="F253" s="6" t="s">
        <v>891</v>
      </c>
      <c r="G253" s="9">
        <f>IF(A253=1,"_",IF(C253="_","???",C253))</f>
        <v/>
      </c>
      <c r="H253" s="10" t="s">
        <v>12</v>
      </c>
      <c r="I253" s="11" t="s">
        <v>12</v>
      </c>
      <c r="J253" s="12"/>
    </row>
    <row r="254" spans="1:10" ht="60" customHeight="1">
      <c r="A254" s="6" t="s">
        <v>892</v>
      </c>
      <c r="B254" s="6" t="s">
        <v>25</v>
      </c>
      <c r="C254" s="6" t="s">
        <v>17</v>
      </c>
      <c r="D254" s="7" t="s">
        <v>893</v>
      </c>
      <c r="E254" s="8" t="s">
        <v>894</v>
      </c>
      <c r="F254" s="6" t="s">
        <v>895</v>
      </c>
      <c r="G254" s="9">
        <f>IF(A254=1,"_",IF(C254="_","???",C254))</f>
        <v/>
      </c>
      <c r="H254" s="10" t="s">
        <v>12</v>
      </c>
      <c r="I254" s="11" t="s">
        <v>12</v>
      </c>
      <c r="J254" s="12"/>
    </row>
    <row r="255" spans="1:10" ht="60" customHeight="1">
      <c r="A255" s="6" t="s">
        <v>896</v>
      </c>
      <c r="B255" s="6" t="s">
        <v>55</v>
      </c>
      <c r="C255" s="6" t="s">
        <v>68</v>
      </c>
      <c r="D255" s="7" t="s">
        <v>897</v>
      </c>
      <c r="E255" s="8" t="s">
        <v>898</v>
      </c>
      <c r="F255" s="6" t="s">
        <v>899</v>
      </c>
      <c r="G255" s="9">
        <f>IF(A255=1,"_",IF(C255="_","???",C255))</f>
        <v/>
      </c>
      <c r="H255" s="10" t="s">
        <v>12</v>
      </c>
      <c r="I255" s="11" t="s">
        <v>12</v>
      </c>
      <c r="J255" s="12"/>
    </row>
    <row r="256" spans="1:10" ht="60" customHeight="1">
      <c r="A256" s="6" t="s">
        <v>900</v>
      </c>
      <c r="B256" s="6" t="s">
        <v>78</v>
      </c>
      <c r="C256" s="6" t="s">
        <v>901</v>
      </c>
      <c r="D256" s="7" t="s">
        <v>59</v>
      </c>
      <c r="E256" s="8" t="s">
        <v>902</v>
      </c>
      <c r="F256" s="6" t="s">
        <v>903</v>
      </c>
      <c r="G256" s="9">
        <f>IF(A256=1,"_",IF(C256="_","???",C256))</f>
        <v/>
      </c>
      <c r="H256" s="10" t="s">
        <v>12</v>
      </c>
      <c r="I256" s="11" t="s">
        <v>12</v>
      </c>
      <c r="J256" s="12"/>
    </row>
    <row r="257" spans="1:10" ht="60" customHeight="1">
      <c r="A257" s="6" t="s">
        <v>904</v>
      </c>
      <c r="B257" s="6" t="s">
        <v>10</v>
      </c>
      <c r="C257" s="6" t="s">
        <v>12</v>
      </c>
      <c r="D257" s="7" t="s">
        <v>206</v>
      </c>
      <c r="E257" s="8" t="s">
        <v>905</v>
      </c>
      <c r="F257" s="6" t="s">
        <v>906</v>
      </c>
      <c r="G257" s="9">
        <f>IF(A257=1,"_",IF(C257="_","???",C257))</f>
        <v/>
      </c>
      <c r="H257" s="10" t="s">
        <v>12</v>
      </c>
      <c r="I257" s="11" t="s">
        <v>12</v>
      </c>
      <c r="J257" s="12"/>
    </row>
    <row r="258" spans="1:10" ht="60" customHeight="1">
      <c r="A258" s="6" t="s">
        <v>907</v>
      </c>
      <c r="B258" s="6" t="s">
        <v>11</v>
      </c>
      <c r="C258" s="6" t="s">
        <v>12</v>
      </c>
      <c r="D258" s="7" t="s">
        <v>344</v>
      </c>
      <c r="E258" s="8" t="s">
        <v>908</v>
      </c>
      <c r="F258" s="6" t="s">
        <v>909</v>
      </c>
      <c r="G258" s="9">
        <f>IF(A258=1,"_",IF(C258="_","???",C258))</f>
        <v/>
      </c>
      <c r="H258" s="10" t="s">
        <v>12</v>
      </c>
      <c r="I258" s="11" t="s">
        <v>12</v>
      </c>
      <c r="J258" s="12"/>
    </row>
    <row r="259" spans="1:10" ht="60" customHeight="1">
      <c r="A259" s="6" t="s">
        <v>910</v>
      </c>
      <c r="B259" s="6" t="s">
        <v>11</v>
      </c>
      <c r="C259" s="6" t="s">
        <v>12</v>
      </c>
      <c r="D259" s="7" t="s">
        <v>911</v>
      </c>
      <c r="E259" s="8" t="s">
        <v>912</v>
      </c>
      <c r="F259" s="6" t="s">
        <v>913</v>
      </c>
      <c r="G259" s="9">
        <f>IF(A259=1,"_",IF(C259="_","???",C259))</f>
        <v/>
      </c>
      <c r="H259" s="10" t="s">
        <v>12</v>
      </c>
      <c r="I259" s="11" t="s">
        <v>12</v>
      </c>
      <c r="J259" s="12"/>
    </row>
    <row r="260" spans="1:10" ht="60" customHeight="1">
      <c r="A260" s="6" t="s">
        <v>914</v>
      </c>
      <c r="B260" s="6" t="s">
        <v>11</v>
      </c>
      <c r="C260" s="6" t="s">
        <v>12</v>
      </c>
      <c r="D260" s="7" t="s">
        <v>118</v>
      </c>
      <c r="E260" s="8" t="s">
        <v>915</v>
      </c>
      <c r="F260" s="6" t="s">
        <v>916</v>
      </c>
      <c r="G260" s="9">
        <f>IF(A260=1,"_",IF(C260="_","???",C260))</f>
        <v/>
      </c>
      <c r="H260" s="10" t="s">
        <v>12</v>
      </c>
      <c r="I260" s="11" t="s">
        <v>12</v>
      </c>
      <c r="J260" s="12"/>
    </row>
    <row r="261" spans="1:10" ht="60" customHeight="1">
      <c r="A261" s="6" t="s">
        <v>917</v>
      </c>
      <c r="B261" s="6" t="s">
        <v>16</v>
      </c>
      <c r="C261" s="6" t="s">
        <v>17</v>
      </c>
      <c r="D261" s="7" t="s">
        <v>344</v>
      </c>
      <c r="E261" s="8" t="s">
        <v>918</v>
      </c>
      <c r="F261" s="6" t="s">
        <v>919</v>
      </c>
      <c r="G261" s="9">
        <f>IF(A261=1,"_",IF(C261="_","???",C261))</f>
        <v/>
      </c>
      <c r="H261" s="10" t="s">
        <v>12</v>
      </c>
      <c r="I261" s="11" t="s">
        <v>12</v>
      </c>
      <c r="J261" s="12"/>
    </row>
    <row r="262" spans="1:10" ht="60" customHeight="1">
      <c r="A262" s="6" t="s">
        <v>920</v>
      </c>
      <c r="B262" s="6" t="s">
        <v>11</v>
      </c>
      <c r="C262" s="6" t="s">
        <v>12</v>
      </c>
      <c r="D262" s="7" t="s">
        <v>921</v>
      </c>
      <c r="E262" s="8" t="s">
        <v>922</v>
      </c>
      <c r="F262" s="6" t="s">
        <v>923</v>
      </c>
      <c r="G262" s="9">
        <f>IF(A262=1,"_",IF(C262="_","???",C262))</f>
        <v/>
      </c>
      <c r="H262" s="10" t="s">
        <v>12</v>
      </c>
      <c r="I262" s="11" t="s">
        <v>12</v>
      </c>
      <c r="J262" s="12"/>
    </row>
    <row r="263" spans="1:10" ht="60" customHeight="1">
      <c r="A263" s="6" t="s">
        <v>924</v>
      </c>
      <c r="B263" s="6" t="s">
        <v>11</v>
      </c>
      <c r="C263" s="6" t="s">
        <v>12</v>
      </c>
      <c r="D263" s="7" t="s">
        <v>925</v>
      </c>
      <c r="E263" s="8" t="s">
        <v>926</v>
      </c>
      <c r="F263" s="6" t="s">
        <v>927</v>
      </c>
      <c r="G263" s="9">
        <f>IF(A263=1,"_",IF(C263="_","???",C263))</f>
        <v/>
      </c>
      <c r="H263" s="10" t="s">
        <v>12</v>
      </c>
      <c r="I263" s="11" t="s">
        <v>12</v>
      </c>
      <c r="J263" s="12"/>
    </row>
    <row r="264" spans="1:10" ht="60" customHeight="1">
      <c r="A264" s="6" t="s">
        <v>928</v>
      </c>
      <c r="B264" s="6" t="s">
        <v>11</v>
      </c>
      <c r="C264" s="6" t="s">
        <v>12</v>
      </c>
      <c r="D264" s="7" t="s">
        <v>64</v>
      </c>
      <c r="E264" s="8" t="s">
        <v>929</v>
      </c>
      <c r="F264" s="6" t="s">
        <v>930</v>
      </c>
      <c r="G264" s="9">
        <f>IF(A264=1,"_",IF(C264="_","???",C264))</f>
        <v/>
      </c>
      <c r="H264" s="10" t="s">
        <v>12</v>
      </c>
      <c r="I264" s="11" t="s">
        <v>12</v>
      </c>
      <c r="J264" s="12"/>
    </row>
    <row r="265" spans="1:10" ht="60" customHeight="1">
      <c r="A265" s="6" t="s">
        <v>931</v>
      </c>
      <c r="B265" s="6" t="s">
        <v>10</v>
      </c>
      <c r="C265" s="6" t="s">
        <v>12</v>
      </c>
      <c r="D265" s="7" t="s">
        <v>35</v>
      </c>
      <c r="E265" s="8" t="s">
        <v>932</v>
      </c>
      <c r="F265" s="6" t="s">
        <v>933</v>
      </c>
      <c r="G265" s="9">
        <f>IF(A265=1,"_",IF(C265="_","???",C265))</f>
        <v/>
      </c>
      <c r="H265" s="10" t="s">
        <v>12</v>
      </c>
      <c r="I265" s="11" t="s">
        <v>12</v>
      </c>
      <c r="J265" s="12"/>
    </row>
    <row r="266" spans="1:10" ht="60" customHeight="1">
      <c r="A266" s="6" t="s">
        <v>934</v>
      </c>
      <c r="B266" s="6" t="s">
        <v>11</v>
      </c>
      <c r="C266" s="6" t="s">
        <v>17</v>
      </c>
      <c r="D266" s="7" t="s">
        <v>935</v>
      </c>
      <c r="E266" s="8" t="s">
        <v>936</v>
      </c>
      <c r="F266" s="6" t="s">
        <v>937</v>
      </c>
      <c r="G266" s="9">
        <f>IF(A266=1,"_",IF(C266="_","???",C266))</f>
        <v/>
      </c>
      <c r="H266" s="10" t="s">
        <v>12</v>
      </c>
      <c r="I266" s="11" t="s">
        <v>12</v>
      </c>
      <c r="J266" s="12"/>
    </row>
    <row r="267" spans="1:10" ht="60" customHeight="1">
      <c r="A267" s="6" t="s">
        <v>938</v>
      </c>
      <c r="B267" s="6" t="s">
        <v>10</v>
      </c>
      <c r="C267" s="6" t="s">
        <v>12</v>
      </c>
      <c r="D267" s="7" t="s">
        <v>939</v>
      </c>
      <c r="E267" s="8" t="s">
        <v>940</v>
      </c>
      <c r="F267" s="6" t="s">
        <v>941</v>
      </c>
      <c r="G267" s="9">
        <f>IF(A267=1,"_",IF(C267="_","???",C267))</f>
        <v/>
      </c>
      <c r="H267" s="10" t="s">
        <v>12</v>
      </c>
      <c r="I267" s="11" t="s">
        <v>12</v>
      </c>
      <c r="J267" s="12"/>
    </row>
    <row r="268" spans="1:10" ht="60" customHeight="1">
      <c r="A268" s="6" t="s">
        <v>942</v>
      </c>
      <c r="B268" s="6" t="s">
        <v>10</v>
      </c>
      <c r="C268" s="6" t="s">
        <v>12</v>
      </c>
      <c r="D268" s="7" t="s">
        <v>26</v>
      </c>
      <c r="E268" s="8" t="s">
        <v>943</v>
      </c>
      <c r="F268" s="6" t="s">
        <v>944</v>
      </c>
      <c r="G268" s="9">
        <f>IF(A268=1,"_",IF(C268="_","???",C268))</f>
        <v/>
      </c>
      <c r="H268" s="10" t="s">
        <v>12</v>
      </c>
      <c r="I268" s="11" t="s">
        <v>12</v>
      </c>
      <c r="J268" s="12"/>
    </row>
    <row r="269" spans="1:10" ht="60" customHeight="1">
      <c r="A269" s="6" t="s">
        <v>945</v>
      </c>
      <c r="B269" s="6" t="s">
        <v>16</v>
      </c>
      <c r="C269" s="6" t="s">
        <v>12</v>
      </c>
      <c r="D269" s="7" t="s">
        <v>30</v>
      </c>
      <c r="E269" s="8" t="s">
        <v>946</v>
      </c>
      <c r="F269" s="6" t="s">
        <v>947</v>
      </c>
      <c r="G269" s="9">
        <f>IF(A269=1,"_",IF(C269="_","???",C269))</f>
        <v/>
      </c>
      <c r="H269" s="10" t="s">
        <v>12</v>
      </c>
      <c r="I269" s="11" t="s">
        <v>12</v>
      </c>
      <c r="J269" s="12"/>
    </row>
    <row r="270" spans="1:10" ht="60" customHeight="1">
      <c r="A270" s="6" t="s">
        <v>948</v>
      </c>
      <c r="B270" s="6" t="s">
        <v>10</v>
      </c>
      <c r="C270" s="6" t="s">
        <v>12</v>
      </c>
      <c r="D270" s="7" t="s">
        <v>35</v>
      </c>
      <c r="E270" s="8" t="s">
        <v>949</v>
      </c>
      <c r="F270" s="6" t="s">
        <v>950</v>
      </c>
      <c r="G270" s="9">
        <f>IF(A270=1,"_",IF(C270="_","???",C270))</f>
        <v/>
      </c>
      <c r="H270" s="10" t="s">
        <v>12</v>
      </c>
      <c r="I270" s="11" t="s">
        <v>12</v>
      </c>
      <c r="J27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22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951</v>
      </c>
      <c r="B1" s="13" t="s">
        <v>952</v>
      </c>
      <c r="C1" s="13" t="s">
        <v>953</v>
      </c>
      <c r="D1" s="13" t="s">
        <v>954</v>
      </c>
      <c r="E1" s="14" t="s">
        <v>955</v>
      </c>
      <c r="F1" s="15" t="s">
        <v>956</v>
      </c>
      <c r="G1" s="16" t="s">
        <v>957</v>
      </c>
      <c r="H1" s="17" t="s">
        <v>958</v>
      </c>
      <c r="I1" s="18" t="s">
        <v>959</v>
      </c>
      <c r="J1" s="18" t="s">
        <v>960</v>
      </c>
      <c r="K1" s="18" t="s">
        <v>961</v>
      </c>
      <c r="L1" s="19" t="s">
        <v>9</v>
      </c>
    </row>
    <row r="2" spans="1:12">
      <c r="A2" s="20" t="s">
        <v>962</v>
      </c>
    </row>
    <row r="3" spans="1:12">
      <c r="A3" s="20" t="s">
        <v>963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v>
      </c>
      <c r="B4" s="27" t="s">
        <v>964</v>
      </c>
      <c r="C4" s="27" t="s">
        <v>965</v>
      </c>
      <c r="D4" s="27" t="s">
        <v>966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967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row>
    <row r="7" spans="1:12">
      <c r="A7" s="20" t="s">
        <v>968</v>
      </c>
    </row>
    <row r="8" spans="1:12">
      <c r="A8" s="20" t="s">
        <v>969</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26</v>
      </c>
      <c r="B9" s="27" t="s">
        <v>970</v>
      </c>
      <c r="C9" s="27" t="s">
        <v>965</v>
      </c>
      <c r="D9" s="27" t="s">
        <v>966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971</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972</v>
      </c>
      <c r="B11" s="27" t="s">
        <v>973</v>
      </c>
      <c r="C11" s="27" t="s">
        <v>974</v>
      </c>
      <c r="D11" s="27" t="s">
        <v>966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975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976</v>
      </c>
      <c r="B13" s="27" t="s">
        <v>973</v>
      </c>
      <c r="C13" s="27" t="s">
        <v>977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978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979</v>
      </c>
      <c r="B15" s="27" t="s">
        <v>980</v>
      </c>
      <c r="C15" s="27" t="s">
        <v>974</v>
      </c>
      <c r="D15" s="27" t="s">
        <v>966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981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982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983</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984</v>
      </c>
      <c r="B19" s="27" t="s">
        <v>985</v>
      </c>
      <c r="C19" s="27" t="s">
        <v>974</v>
      </c>
      <c r="D19" s="27" t="s">
        <v>966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986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987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988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521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989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990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984</v>
      </c>
      <c r="B26" s="27" t="s">
        <v>991</v>
      </c>
      <c r="C26" s="27" t="s">
        <v>974</v>
      </c>
      <c r="D26" s="27" t="s">
        <v>966</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95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992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993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994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984</v>
      </c>
      <c r="B31" s="27" t="s">
        <v>995</v>
      </c>
      <c r="C31" s="27" t="s">
        <v>974</v>
      </c>
      <c r="D31" s="27" t="s">
        <v>966</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996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997</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998</v>
      </c>
      <c r="B34" s="27" t="s">
        <v>999</v>
      </c>
      <c r="C34" s="27" t="s">
        <v>977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1000</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1001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1002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1003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1004</v>
      </c>
      <c r="B40" s="27" t="s">
        <v>1005</v>
      </c>
      <c r="C40" s="27" t="s">
        <v>1006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1007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row>
    <row r="43" spans="1:12">
      <c r="A43" s="20" t="s">
        <v>1008</v>
      </c>
    </row>
    <row r="44" spans="1:12">
      <c r="A44" s="20" t="s">
        <v>1009</v>
      </c>
      <c r="B44" s="27" t="s">
        <v>970</v>
      </c>
      <c r="C44" s="27" t="s">
        <v>974</v>
      </c>
      <c r="D44" s="27" t="s">
        <v>966</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982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983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1009</v>
      </c>
      <c r="B47" s="27" t="s">
        <v>980</v>
      </c>
      <c r="C47" s="27" t="s">
        <v>974</v>
      </c>
      <c r="D47" s="27" t="s">
        <v>966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1010</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1011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1012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990</v>
      </c>
      <c r="B51" s="27" t="s">
        <v>1013</v>
      </c>
      <c r="C51" s="27" t="s">
        <v>1014</v>
      </c>
      <c r="D51" s="27" t="s">
        <v>966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12</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1015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1016</v>
      </c>
      <c r="B54" s="27" t="s">
        <v>964</v>
      </c>
      <c r="C54" s="27" t="s">
        <v>965</v>
      </c>
      <c r="D54" s="27" t="s">
        <v>966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1017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1018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1019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1009</v>
      </c>
      <c r="B58" s="27" t="s">
        <v>980</v>
      </c>
      <c r="C58" s="27" t="s">
        <v>974</v>
      </c>
      <c r="D58" s="27" t="s">
        <v>966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1010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997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1020</v>
      </c>
      <c r="B61" s="27" t="s">
        <v>1013</v>
      </c>
      <c r="C61" s="27" t="s">
        <v>977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1021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983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978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979</v>
      </c>
      <c r="B65" s="27" t="s">
        <v>985</v>
      </c>
      <c r="C65" s="27" t="s">
        <v>974</v>
      </c>
      <c r="D65" s="27" t="s">
        <v>966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1022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997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1020</v>
      </c>
      <c r="B68" s="27" t="s">
        <v>1023</v>
      </c>
      <c r="C68" s="27" t="s">
        <v>977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1024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1025</v>
      </c>
      <c r="B70" s="27" t="s">
        <v>1026</v>
      </c>
      <c r="C70" s="27" t="s">
        <v>1006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1027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1028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1009</v>
      </c>
      <c r="B73" s="27" t="s">
        <v>1029</v>
      </c>
      <c r="C73" s="27" t="s">
        <v>974</v>
      </c>
      <c r="D73" s="27" t="s">
        <v>966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95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1007</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row>
    <row r="77" spans="1:12">
      <c r="A77" s="20" t="s">
        <v>1030</v>
      </c>
    </row>
    <row r="78" spans="1:12">
      <c r="A78" s="20" t="s">
        <v>26</v>
      </c>
      <c r="B78" s="27" t="s">
        <v>964</v>
      </c>
      <c r="C78" s="27" t="s">
        <v>965</v>
      </c>
      <c r="D78" s="27" t="s">
        <v>966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1031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967</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1032</v>
      </c>
    </row>
    <row r="83" spans="1:12">
      <c r="A83" s="20" t="s">
        <v>1033</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983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1034</v>
      </c>
      <c r="B86" s="27" t="s">
        <v>973</v>
      </c>
      <c r="C86" s="27" t="s">
        <v>974</v>
      </c>
      <c r="D86" s="27" t="s">
        <v>966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1007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row>
    <row r="89" spans="1:12">
      <c r="A89" s="20" t="s">
        <v>1035</v>
      </c>
    </row>
    <row r="90" spans="1:12">
      <c r="A90" s="20" t="s">
        <v>1036</v>
      </c>
      <c r="B90" s="27" t="s">
        <v>964</v>
      </c>
      <c r="C90" s="27" t="s">
        <v>1006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967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969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984</v>
      </c>
      <c r="B93" s="27" t="s">
        <v>980</v>
      </c>
      <c r="C93" s="27" t="s">
        <v>974</v>
      </c>
      <c r="D93" s="27" t="s">
        <v>966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1037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213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997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1038</v>
      </c>
      <c r="B97" s="27" t="s">
        <v>1039</v>
      </c>
      <c r="C97" s="27" t="s">
        <v>977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1040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1041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1042</v>
      </c>
      <c r="B100" s="27" t="s">
        <v>1043</v>
      </c>
      <c r="C100" s="27" t="s">
        <v>1044</v>
      </c>
      <c r="D100" s="27" t="s">
        <v>966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983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978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984</v>
      </c>
      <c r="B103" s="27" t="s">
        <v>985</v>
      </c>
      <c r="C103" s="27" t="s">
        <v>974</v>
      </c>
      <c r="D103" s="27" t="s">
        <v>966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1037</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213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997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1038</v>
      </c>
      <c r="B107" s="27" t="s">
        <v>1045</v>
      </c>
      <c r="C107" s="27" t="s">
        <v>977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87</v>
      </c>
      <c r="B108" s="27" t="s">
        <v>1046</v>
      </c>
      <c r="C108" s="27" t="s">
        <v>965</v>
      </c>
      <c r="D108" s="27" t="s">
        <v>966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983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978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984</v>
      </c>
      <c r="B111" s="27" t="s">
        <v>980</v>
      </c>
      <c r="C111" s="27" t="s">
        <v>974</v>
      </c>
      <c r="D111" s="27" t="s">
        <v>966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1037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213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997</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1038</v>
      </c>
      <c r="B115" s="27" t="s">
        <v>1039</v>
      </c>
      <c r="C115" s="27" t="s">
        <v>977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1040</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1047</v>
      </c>
      <c r="B117" s="27" t="s">
        <v>1043</v>
      </c>
      <c r="C117" s="27" t="s">
        <v>1006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978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1048</v>
      </c>
      <c r="B119" s="27" t="s">
        <v>1026</v>
      </c>
      <c r="C119" s="27" t="s">
        <v>1006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983</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978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1049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1040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1050</v>
      </c>
      <c r="B124" s="27" t="s">
        <v>1013</v>
      </c>
      <c r="C124" s="27" t="s">
        <v>1051</v>
      </c>
      <c r="D124" s="27" t="s">
        <v>966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1052</v>
      </c>
      <c r="B125" s="27" t="s">
        <v>964</v>
      </c>
      <c r="C125" s="27" t="s">
        <v>1053</v>
      </c>
      <c r="D125" s="27" t="s">
        <v>966</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978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997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1054</v>
      </c>
      <c r="B128" s="27" t="s">
        <v>1013</v>
      </c>
      <c r="C128" s="27" t="s">
        <v>977</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1000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1055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1034</v>
      </c>
      <c r="B131" s="27" t="s">
        <v>1056</v>
      </c>
      <c r="C131" s="27" t="s">
        <v>974</v>
      </c>
      <c r="D131" s="27" t="s">
        <v>966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986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1057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1041</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1058</v>
      </c>
      <c r="B135" s="27" t="s">
        <v>1045</v>
      </c>
      <c r="C135" s="27" t="s">
        <v>1044</v>
      </c>
      <c r="D135" s="27" t="s">
        <v>966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978</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1055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1059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1060</v>
      </c>
      <c r="B139" s="27" t="s">
        <v>985</v>
      </c>
      <c r="C139" s="27" t="s">
        <v>1061</v>
      </c>
      <c r="D139" s="27" t="s">
        <v>966</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990</v>
      </c>
      <c r="B140" s="27" t="s">
        <v>1029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1062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1063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1064</v>
      </c>
      <c r="B143" s="27" t="s">
        <v>999</v>
      </c>
      <c r="C143" s="27" t="s">
        <v>1065</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1066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1022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1067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1068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1069</v>
      </c>
      <c r="B148" s="27" t="s">
        <v>1046</v>
      </c>
      <c r="C148" s="27" t="s">
        <v>1014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1007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row>
    <row r="151" spans="1:12">
      <c r="A151" s="20" t="s">
        <v>1070</v>
      </c>
    </row>
    <row r="152" spans="1:12">
      <c r="A152" s="20" t="s">
        <v>1071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984</v>
      </c>
      <c r="B153" s="27" t="s">
        <v>970</v>
      </c>
      <c r="C153" s="27" t="s">
        <v>974</v>
      </c>
      <c r="D153" s="27" t="s">
        <v>966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750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988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1072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1040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1041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1073</v>
      </c>
      <c r="B159" s="27" t="s">
        <v>1013</v>
      </c>
      <c r="C159" s="27" t="s">
        <v>1044</v>
      </c>
      <c r="D159" s="27" t="s">
        <v>966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1007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row>
    <row r="162" spans="1:12">
      <c r="A162" s="20" t="s">
        <v>1074</v>
      </c>
    </row>
    <row r="163" spans="1:12">
      <c r="A163" s="20" t="s">
        <v>969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1075</v>
      </c>
      <c r="B164" s="27" t="s">
        <v>964</v>
      </c>
      <c r="C164" s="27" t="s">
        <v>1051</v>
      </c>
      <c r="D164" s="27" t="s">
        <v>966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1076</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44</v>
      </c>
      <c r="B166" s="27" t="s">
        <v>964</v>
      </c>
      <c r="C166" s="27" t="s">
        <v>1053</v>
      </c>
      <c r="D166" s="27" t="s">
        <v>966</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967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row>
    <row r="169" spans="1:12">
      <c r="A169" s="20" t="s">
        <v>1077</v>
      </c>
    </row>
    <row r="170" spans="1:12">
      <c r="A170" s="20" t="s">
        <v>1078</v>
      </c>
      <c r="B170" s="27" t="s">
        <v>964</v>
      </c>
      <c r="C170" s="27" t="s">
        <v>1079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1080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87</v>
      </c>
      <c r="B172" s="27" t="s">
        <v>970</v>
      </c>
      <c r="C172" s="27" t="s">
        <v>965</v>
      </c>
      <c r="D172" s="27" t="s">
        <v>966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978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1081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1080</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1082</v>
      </c>
      <c r="B176" s="27" t="s">
        <v>980</v>
      </c>
      <c r="C176" s="27" t="s">
        <v>974</v>
      </c>
      <c r="D176" s="27" t="s">
        <v>966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1083</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1084</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row>
    <row r="180" spans="1:12">
      <c r="A180" s="20" t="s">
        <v>1085</v>
      </c>
    </row>
    <row r="181" spans="1:12">
      <c r="A181" s="20" t="s">
        <v>1086</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967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1033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983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1059</v>
      </c>
      <c r="B185" s="27" t="s">
        <v>980</v>
      </c>
      <c r="C185" s="27" t="s">
        <v>1014</v>
      </c>
      <c r="D185" s="27" t="s">
        <v>966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1080</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1087</v>
      </c>
      <c r="B187" s="27" t="s">
        <v>964</v>
      </c>
      <c r="C187" s="27" t="s">
        <v>1088</v>
      </c>
      <c r="D187" s="27" t="s">
        <v>966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984</v>
      </c>
      <c r="B188" s="27" t="s">
        <v>985</v>
      </c>
      <c r="C188" s="27" t="s">
        <v>974</v>
      </c>
      <c r="D188" s="27" t="s">
        <v>966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59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1040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997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1089</v>
      </c>
      <c r="B192" s="27" t="s">
        <v>1043</v>
      </c>
      <c r="C192" s="27" t="s">
        <v>977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983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978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1090</v>
      </c>
      <c r="B195" s="27" t="s">
        <v>1023</v>
      </c>
      <c r="C195" s="27" t="s">
        <v>1051</v>
      </c>
      <c r="D195" s="27" t="s">
        <v>966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1091</v>
      </c>
      <c r="B196" s="27" t="s">
        <v>1056</v>
      </c>
      <c r="C196" s="27" t="s">
        <v>1053</v>
      </c>
      <c r="D196" s="27" t="s">
        <v>966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984</v>
      </c>
      <c r="B197" s="27" t="s">
        <v>991</v>
      </c>
      <c r="C197" s="27" t="s">
        <v>974</v>
      </c>
      <c r="D197" s="27" t="s">
        <v>966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1092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997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1093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1064</v>
      </c>
      <c r="B201" s="27" t="s">
        <v>1005</v>
      </c>
      <c r="C201" s="27" t="s">
        <v>977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1066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1080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988</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1094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1041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1095</v>
      </c>
      <c r="B207" s="27" t="s">
        <v>999</v>
      </c>
      <c r="C207" s="27" t="s">
        <v>1044</v>
      </c>
      <c r="D207" s="27" t="s">
        <v>966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1096</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1097</v>
      </c>
      <c r="B209" s="27" t="s">
        <v>1098</v>
      </c>
      <c r="C209" s="27" t="s">
        <v>1053</v>
      </c>
      <c r="D209" s="27" t="s">
        <v>966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978</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521</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1082</v>
      </c>
      <c r="B212" s="27" t="s">
        <v>1099</v>
      </c>
      <c r="C212" s="27" t="s">
        <v>974</v>
      </c>
      <c r="D212" s="27" t="s">
        <v>966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1100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1101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978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1102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1007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row>
    <row r="219" spans="1:12">
      <c r="A219" s="20" t="s">
        <v>1103</v>
      </c>
    </row>
    <row r="220" spans="1:12">
      <c r="A220" s="20" t="s">
        <v>1104</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1105</v>
      </c>
      <c r="B221" s="27" t="s">
        <v>970</v>
      </c>
      <c r="C221" s="27" t="s">
        <v>1006</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1106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983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1080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990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1107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1108</v>
      </c>
      <c r="B228" s="27" t="s">
        <v>985</v>
      </c>
      <c r="C228" s="27" t="s">
        <v>1079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1034</v>
      </c>
      <c r="B229" s="27" t="s">
        <v>1023</v>
      </c>
      <c r="C229" s="27" t="s">
        <v>974</v>
      </c>
      <c r="D229" s="27" t="s">
        <v>966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1109</v>
      </c>
      <c r="B230" s="27" t="s">
        <v>1056</v>
      </c>
      <c r="C230" s="27" t="s">
        <v>1006</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1110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1111</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1112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1084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row>
    <row r="236" spans="1:12">
      <c r="A236" s="20" t="s">
        <v>1113</v>
      </c>
    </row>
    <row r="237" spans="1:12">
      <c r="A237" s="20" t="s">
        <v>1104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1009</v>
      </c>
      <c r="B238" s="27" t="s">
        <v>970</v>
      </c>
      <c r="C238" s="27" t="s">
        <v>974</v>
      </c>
      <c r="D238" s="27" t="s">
        <v>966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1106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1114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1000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59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1040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990</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1115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983</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978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1009</v>
      </c>
      <c r="B248" s="27" t="s">
        <v>980</v>
      </c>
      <c r="C248" s="27" t="s">
        <v>974</v>
      </c>
      <c r="D248" s="27" t="s">
        <v>966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1010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1116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1117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989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1007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row>
    <row r="255" spans="1:12">
      <c r="A255" s="20" t="s">
        <v>1118</v>
      </c>
    </row>
    <row r="256" spans="1:12">
      <c r="A256" s="20" t="s">
        <v>1119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1120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983</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1121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1009</v>
      </c>
      <c r="B260" s="27" t="s">
        <v>980</v>
      </c>
      <c r="C260" s="27" t="s">
        <v>974</v>
      </c>
      <c r="D260" s="27" t="s">
        <v>966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59</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1040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1047</v>
      </c>
      <c r="B263" s="27" t="s">
        <v>1013</v>
      </c>
      <c r="C263" s="27" t="s">
        <v>1006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983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1082</v>
      </c>
      <c r="B265" s="27" t="s">
        <v>970</v>
      </c>
      <c r="C265" s="27" t="s">
        <v>974</v>
      </c>
      <c r="D265" s="27" t="s">
        <v>966</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1096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1067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997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1122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1123</v>
      </c>
      <c r="B270" s="27" t="s">
        <v>964</v>
      </c>
      <c r="C270" s="27" t="s">
        <v>1014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1124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1125</v>
      </c>
      <c r="B272" s="27" t="s">
        <v>964</v>
      </c>
      <c r="C272" s="27" t="s">
        <v>1053</v>
      </c>
      <c r="D272" s="27" t="s">
        <v>966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1000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1126</v>
      </c>
      <c r="B274" s="27" t="s">
        <v>1013</v>
      </c>
      <c r="C274" s="27" t="s">
        <v>974</v>
      </c>
      <c r="D274" s="27" t="s">
        <v>966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983</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988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1107</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126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1108</v>
      </c>
      <c r="B279" s="27" t="s">
        <v>1039</v>
      </c>
      <c r="C279" s="27" t="s">
        <v>1079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1034</v>
      </c>
      <c r="B280" s="27" t="s">
        <v>1056</v>
      </c>
      <c r="C280" s="27" t="s">
        <v>974</v>
      </c>
      <c r="D280" s="27" t="s">
        <v>966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750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983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988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126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1041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1095</v>
      </c>
      <c r="B286" s="27" t="s">
        <v>1026</v>
      </c>
      <c r="C286" s="27" t="s">
        <v>1044</v>
      </c>
      <c r="D286" s="27" t="s">
        <v>966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1096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1097</v>
      </c>
      <c r="B288" s="27" t="s">
        <v>1046</v>
      </c>
      <c r="C288" s="27" t="s">
        <v>1053</v>
      </c>
      <c r="D288" s="27" t="s">
        <v>966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983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978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984</v>
      </c>
      <c r="B291" s="27" t="s">
        <v>1029</v>
      </c>
      <c r="C291" s="27" t="s">
        <v>974</v>
      </c>
      <c r="D291" s="27" t="s">
        <v>966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996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1111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1127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1128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1129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1041</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1130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1131</v>
      </c>
      <c r="B299" s="27" t="s">
        <v>1026</v>
      </c>
      <c r="C299" s="27" t="s">
        <v>1053</v>
      </c>
      <c r="D299" s="27" t="s">
        <v>966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1000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990</v>
      </c>
      <c r="B301" s="27" t="s">
        <v>1023</v>
      </c>
      <c r="C301" s="27" t="s">
        <v>1014</v>
      </c>
      <c r="D301" s="27" t="s">
        <v>966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983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1132</v>
      </c>
      <c r="B303" s="27" t="s">
        <v>1056</v>
      </c>
      <c r="C303" s="27" t="s">
        <v>1079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1080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1133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1134</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1007</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1135</v>
      </c>
    </row>
    <row r="310" spans="1:12">
      <c r="A310" s="20" t="s">
        <v>1136</v>
      </c>
      <c r="B310" s="27" t="s">
        <v>970</v>
      </c>
      <c r="C310" s="27" t="s">
        <v>974</v>
      </c>
      <c r="D310" s="27" t="s">
        <v>966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986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1137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1138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1082</v>
      </c>
      <c r="B314" s="27" t="s">
        <v>964</v>
      </c>
      <c r="C314" s="27" t="s">
        <v>974</v>
      </c>
      <c r="D314" s="27" t="s">
        <v>966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1124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1139</v>
      </c>
      <c r="B317" s="27" t="s">
        <v>964</v>
      </c>
      <c r="C317" s="27" t="s">
        <v>1065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1140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983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1141</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1082</v>
      </c>
      <c r="B321" s="27" t="s">
        <v>980</v>
      </c>
      <c r="C321" s="27" t="s">
        <v>974</v>
      </c>
      <c r="D321" s="27" t="s">
        <v>966</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1096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1116</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1138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1125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1142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1007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row>
    <row r="329" spans="1:12">
      <c r="A329" s="20" t="s">
        <v>1143</v>
      </c>
    </row>
    <row r="330" spans="1:12">
      <c r="A330" s="20" t="s">
        <v>1036</v>
      </c>
      <c r="B330" s="27" t="s">
        <v>964</v>
      </c>
      <c r="C330" s="27" t="s">
        <v>1006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967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1144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1082</v>
      </c>
      <c r="B333" s="27" t="s">
        <v>985</v>
      </c>
      <c r="C333" s="27" t="s">
        <v>974</v>
      </c>
      <c r="D333" s="27" t="s">
        <v>966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1096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1142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983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1055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1145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1082</v>
      </c>
      <c r="B339" s="27" t="s">
        <v>980</v>
      </c>
      <c r="C339" s="27" t="s">
        <v>974</v>
      </c>
      <c r="D339" s="27" t="s">
        <v>966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274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1084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1146</v>
      </c>
    </row>
    <row r="344" spans="1:12">
      <c r="A344" s="20" t="s">
        <v>1086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967</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1033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983</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1009</v>
      </c>
      <c r="B348" s="27" t="s">
        <v>980</v>
      </c>
      <c r="C348" s="27" t="s">
        <v>974</v>
      </c>
      <c r="D348" s="27" t="s">
        <v>966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637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983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1129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1147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1040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1081</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984</v>
      </c>
      <c r="B355" s="27" t="s">
        <v>1056</v>
      </c>
      <c r="C355" s="27" t="s">
        <v>974</v>
      </c>
      <c r="D355" s="27" t="s">
        <v>966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996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1083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1034</v>
      </c>
      <c r="B359" s="27" t="s">
        <v>980</v>
      </c>
      <c r="C359" s="27" t="s">
        <v>974</v>
      </c>
      <c r="D359" s="27" t="s">
        <v>966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541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983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1148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1080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1082</v>
      </c>
      <c r="B364" s="27" t="s">
        <v>980</v>
      </c>
      <c r="C364" s="27" t="s">
        <v>974</v>
      </c>
      <c r="D364" s="27" t="s">
        <v>966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1116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1142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1084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row>
    <row r="369" spans="1:12">
      <c r="A369" s="20" t="s">
        <v>1149</v>
      </c>
    </row>
    <row r="370" spans="1:12">
      <c r="A370" s="20" t="s">
        <v>12</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997</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1089</v>
      </c>
      <c r="B372" s="27" t="s">
        <v>970</v>
      </c>
      <c r="C372" s="27" t="s">
        <v>1053</v>
      </c>
      <c r="D372" s="27" t="s">
        <v>966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1000</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1082</v>
      </c>
      <c r="B374" s="27" t="s">
        <v>1013</v>
      </c>
      <c r="C374" s="27" t="s">
        <v>974</v>
      </c>
      <c r="D374" s="27" t="s">
        <v>966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1080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1150</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1151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1096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1114</v>
      </c>
      <c r="B379" s="27" t="s">
        <v>973</v>
      </c>
      <c r="C379" s="27" t="s">
        <v>1006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1000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997</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1152</v>
      </c>
      <c r="B382" s="27" t="s">
        <v>1013</v>
      </c>
      <c r="C382" s="27" t="s">
        <v>977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1007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row>
    <row r="385" spans="1:12">
      <c r="A385" s="20" t="s">
        <v>1153</v>
      </c>
    </row>
    <row r="386" spans="1:12">
      <c r="A386" s="20" t="s">
        <v>1154</v>
      </c>
      <c r="B386" s="27" t="s">
        <v>970</v>
      </c>
      <c r="C386" s="27" t="s">
        <v>974</v>
      </c>
      <c r="D386" s="27" t="s">
        <v>966</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541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983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1050</v>
      </c>
      <c r="B389" s="27" t="s">
        <v>1043</v>
      </c>
      <c r="C389" s="27" t="s">
        <v>1051</v>
      </c>
      <c r="D389" s="27" t="s">
        <v>966</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191</v>
      </c>
      <c r="B390" s="27" t="s">
        <v>980</v>
      </c>
      <c r="C390" s="27" t="s">
        <v>1053</v>
      </c>
      <c r="D390" s="27" t="s">
        <v>966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1155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992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541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1081</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1034</v>
      </c>
      <c r="B395" s="27" t="s">
        <v>985</v>
      </c>
      <c r="C395" s="27" t="s">
        <v>974</v>
      </c>
      <c r="D395" s="27" t="s">
        <v>966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1110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983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1082</v>
      </c>
      <c r="B398" s="27" t="s">
        <v>980</v>
      </c>
      <c r="C398" s="27" t="s">
        <v>974</v>
      </c>
      <c r="D398" s="27" t="s">
        <v>966</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1155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992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541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1108</v>
      </c>
      <c r="B402" s="27" t="s">
        <v>1046</v>
      </c>
      <c r="C402" s="27" t="s">
        <v>1079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1034</v>
      </c>
      <c r="B403" s="27" t="s">
        <v>985</v>
      </c>
      <c r="C403" s="27" t="s">
        <v>974</v>
      </c>
      <c r="D403" s="27" t="s">
        <v>966</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996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1112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983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1082</v>
      </c>
      <c r="B407" s="27" t="s">
        <v>980</v>
      </c>
      <c r="C407" s="27" t="s">
        <v>974</v>
      </c>
      <c r="D407" s="27" t="s">
        <v>966</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1155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992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541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1108</v>
      </c>
      <c r="B411" s="27" t="s">
        <v>1046</v>
      </c>
      <c r="C411" s="27" t="s">
        <v>1079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1034</v>
      </c>
      <c r="B412" s="27" t="s">
        <v>985</v>
      </c>
      <c r="C412" s="27" t="s">
        <v>974</v>
      </c>
      <c r="D412" s="27" t="s">
        <v>966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541</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983</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978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997</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1089</v>
      </c>
      <c r="B417" s="27" t="s">
        <v>980</v>
      </c>
      <c r="C417" s="27" t="s">
        <v>977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984</v>
      </c>
      <c r="B418" s="27" t="s">
        <v>1056</v>
      </c>
      <c r="C418" s="27" t="s">
        <v>974</v>
      </c>
      <c r="D418" s="27" t="s">
        <v>966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986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1137</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1156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988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1157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1080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1150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521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1050</v>
      </c>
      <c r="B428" s="27" t="s">
        <v>1043</v>
      </c>
      <c r="C428" s="27" t="s">
        <v>1051</v>
      </c>
      <c r="D428" s="27" t="s">
        <v>966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1158</v>
      </c>
      <c r="B429" s="27" t="s">
        <v>1039</v>
      </c>
      <c r="C429" s="27" t="s">
        <v>1053</v>
      </c>
      <c r="D429" s="27" t="s">
        <v>966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736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983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521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1159</v>
      </c>
      <c r="B433" s="27" t="s">
        <v>1045</v>
      </c>
      <c r="C433" s="27" t="s">
        <v>974</v>
      </c>
      <c r="D433" s="27" t="s">
        <v>966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126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1050</v>
      </c>
      <c r="B435" s="27" t="s">
        <v>999</v>
      </c>
      <c r="C435" s="27" t="s">
        <v>1051</v>
      </c>
      <c r="D435" s="27" t="s">
        <v>966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1160</v>
      </c>
      <c r="B436" s="27" t="s">
        <v>1098</v>
      </c>
      <c r="C436" s="27" t="s">
        <v>1053</v>
      </c>
      <c r="D436" s="27" t="s">
        <v>966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1007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row>
    <row r="439" spans="1:12">
      <c r="A439" s="20" t="s">
        <v>1161</v>
      </c>
    </row>
    <row r="440" spans="1:12">
      <c r="A440" s="20" t="s">
        <v>87</v>
      </c>
      <c r="B440" s="27" t="s">
        <v>964</v>
      </c>
      <c r="C440" s="27" t="s">
        <v>965</v>
      </c>
      <c r="D440" s="27" t="s">
        <v>966</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row>
    <row r="442" spans="1:12">
      <c r="A442" s="20" t="s">
        <v>1162</v>
      </c>
    </row>
    <row r="443" spans="1:12">
      <c r="A443" s="20" t="s">
        <v>1163</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983</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1034</v>
      </c>
      <c r="B445" s="27" t="s">
        <v>970</v>
      </c>
      <c r="C445" s="27" t="s">
        <v>974</v>
      </c>
      <c r="D445" s="27" t="s">
        <v>966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541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983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1164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1081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1034</v>
      </c>
      <c r="B450" s="27" t="s">
        <v>985</v>
      </c>
      <c r="C450" s="27" t="s">
        <v>974</v>
      </c>
      <c r="D450" s="27" t="s">
        <v>966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1110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983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1164</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1108</v>
      </c>
      <c r="B454" s="27" t="s">
        <v>1045</v>
      </c>
      <c r="C454" s="27" t="s">
        <v>1079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1034</v>
      </c>
      <c r="B455" s="27" t="s">
        <v>1056</v>
      </c>
      <c r="C455" s="27" t="s">
        <v>974</v>
      </c>
      <c r="D455" s="27" t="s">
        <v>966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1165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822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1007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row>
    <row r="460" spans="1:12">
      <c r="A460" s="20" t="s">
        <v>1166</v>
      </c>
    </row>
    <row r="461" spans="1:12">
      <c r="A461" s="20" t="s">
        <v>969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1107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1167</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1151</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736</v>
      </c>
      <c r="B465" s="27" t="s">
        <v>1046</v>
      </c>
      <c r="C465" s="27" t="s">
        <v>1006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978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126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1034</v>
      </c>
      <c r="B468" s="27" t="s">
        <v>1045</v>
      </c>
      <c r="C468" s="27" t="s">
        <v>974</v>
      </c>
      <c r="D468" s="27" t="s">
        <v>966</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978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126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990</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1097</v>
      </c>
      <c r="B472" s="27" t="s">
        <v>1045</v>
      </c>
      <c r="C472" s="27" t="s">
        <v>1061</v>
      </c>
      <c r="D472" s="27" t="s">
        <v>966</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983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984</v>
      </c>
      <c r="B474" s="27" t="s">
        <v>970</v>
      </c>
      <c r="C474" s="27" t="s">
        <v>974</v>
      </c>
      <c r="D474" s="27" t="s">
        <v>966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1107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213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992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1142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990</v>
      </c>
      <c r="B479" s="27" t="s">
        <v>973</v>
      </c>
      <c r="C479" s="27" t="s">
        <v>1014</v>
      </c>
      <c r="D479" s="27" t="s">
        <v>966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1168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1007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row>
    <row r="483" spans="1:12">
      <c r="A483" s="20" t="s">
        <v>1169</v>
      </c>
    </row>
    <row r="484" spans="1:12">
      <c r="A484" s="20" t="s">
        <v>1170</v>
      </c>
      <c r="B484" s="27" t="s">
        <v>970</v>
      </c>
      <c r="C484" s="27" t="s">
        <v>974</v>
      </c>
      <c r="D484" s="27" t="s">
        <v>966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1096</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1111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1127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983</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1127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1171</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1007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row>
    <row r="493" spans="1:12">
      <c r="A493" s="20" t="s">
        <v>1172</v>
      </c>
    </row>
    <row r="494" spans="1:12">
      <c r="A494" s="20" t="s">
        <v>1036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967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1173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972</v>
      </c>
      <c r="B497" s="27" t="s">
        <v>1039</v>
      </c>
      <c r="C497" s="27" t="s">
        <v>974</v>
      </c>
      <c r="D497" s="27" t="s">
        <v>966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983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1121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1034</v>
      </c>
      <c r="B500" s="27" t="s">
        <v>1056</v>
      </c>
      <c r="C500" s="27" t="s">
        <v>974</v>
      </c>
      <c r="D500" s="27" t="s">
        <v>966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206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1138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1108</v>
      </c>
      <c r="B503" s="27" t="s">
        <v>1023</v>
      </c>
      <c r="C503" s="27" t="s">
        <v>1079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87</v>
      </c>
      <c r="B504" s="27" t="s">
        <v>1029</v>
      </c>
      <c r="C504" s="27" t="s">
        <v>965</v>
      </c>
      <c r="D504" s="27" t="s">
        <v>966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1080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1112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983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1081</v>
      </c>
      <c r="B508" s="27" t="s">
        <v>985</v>
      </c>
      <c r="C508" s="27" t="s">
        <v>1088</v>
      </c>
      <c r="D508" s="27" t="s">
        <v>966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1155</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1174</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1175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1176</v>
      </c>
      <c r="B512" s="27" t="s">
        <v>1046</v>
      </c>
      <c r="C512" s="27" t="s">
        <v>1006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1084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row>
    <row r="515" spans="1:12">
      <c r="A515" s="20" t="s">
        <v>1177</v>
      </c>
    </row>
    <row r="516" spans="1:12">
      <c r="A516" s="20" t="s">
        <v>1086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967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1178</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983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1179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1174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1175</v>
      </c>
      <c r="B522" s="27" t="s">
        <v>980</v>
      </c>
      <c r="C522" s="27" t="s">
        <v>1006</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1080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997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1180</v>
      </c>
      <c r="B525" s="27" t="s">
        <v>964</v>
      </c>
      <c r="C525" s="27" t="s">
        <v>977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984</v>
      </c>
      <c r="B526" s="27" t="s">
        <v>985</v>
      </c>
      <c r="C526" s="27" t="s">
        <v>974</v>
      </c>
      <c r="D526" s="27" t="s">
        <v>966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1150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1181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1157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1007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row>
    <row r="532" spans="1:12">
      <c r="A532" s="20" t="s">
        <v>1182</v>
      </c>
    </row>
    <row r="533" spans="1:12">
      <c r="A533" s="20" t="s">
        <v>1170</v>
      </c>
      <c r="B533" s="27" t="s">
        <v>970</v>
      </c>
      <c r="C533" s="27" t="s">
        <v>974</v>
      </c>
      <c r="D533" s="27" t="s">
        <v>966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1096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1129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1041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1183</v>
      </c>
      <c r="B537" s="27" t="s">
        <v>964</v>
      </c>
      <c r="C537" s="27" t="s">
        <v>965</v>
      </c>
      <c r="D537" s="27" t="s">
        <v>966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1007</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row>
    <row r="540" spans="1:12">
      <c r="A540" s="20" t="s">
        <v>1184</v>
      </c>
    </row>
    <row r="541" spans="1:12">
      <c r="A541" s="20" t="s">
        <v>1185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983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114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972</v>
      </c>
      <c r="B544" s="27" t="s">
        <v>973</v>
      </c>
      <c r="C544" s="27" t="s">
        <v>974</v>
      </c>
      <c r="D544" s="27" t="s">
        <v>966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319</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1034</v>
      </c>
      <c r="B546" s="27" t="s">
        <v>1039</v>
      </c>
      <c r="C546" s="27" t="s">
        <v>974</v>
      </c>
      <c r="D546" s="27" t="s">
        <v>966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1041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1186</v>
      </c>
      <c r="B548" s="27" t="s">
        <v>1039</v>
      </c>
      <c r="C548" s="27" t="s">
        <v>1044</v>
      </c>
      <c r="D548" s="27" t="s">
        <v>966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984</v>
      </c>
      <c r="B549" s="27" t="s">
        <v>1056</v>
      </c>
      <c r="C549" s="27" t="s">
        <v>974</v>
      </c>
      <c r="D549" s="27" t="s">
        <v>966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987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1187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983</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1132</v>
      </c>
      <c r="B553" s="27" t="s">
        <v>1056</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1188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1189</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1138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1047</v>
      </c>
      <c r="B557" s="27" t="s">
        <v>1026</v>
      </c>
      <c r="C557" s="27" t="s">
        <v>1006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978</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1107</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1190</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983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1156</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988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126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1191</v>
      </c>
      <c r="B565" s="27" t="s">
        <v>1046</v>
      </c>
      <c r="C565" s="27" t="s">
        <v>1088</v>
      </c>
      <c r="D565" s="27" t="s">
        <v>966</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983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978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1049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521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1041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1192</v>
      </c>
      <c r="B571" s="27" t="s">
        <v>1039</v>
      </c>
      <c r="C571" s="27" t="s">
        <v>1044</v>
      </c>
      <c r="D571" s="27" t="s">
        <v>966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1116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1171</v>
      </c>
      <c r="B573" s="27" t="s">
        <v>1043</v>
      </c>
      <c r="C573" s="27" t="s">
        <v>1006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978</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1107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126</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1034</v>
      </c>
      <c r="B577" s="27" t="s">
        <v>1039</v>
      </c>
      <c r="C577" s="27" t="s">
        <v>974</v>
      </c>
      <c r="D577" s="27" t="s">
        <v>966</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12</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994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983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1193</v>
      </c>
      <c r="B581" s="27" t="s">
        <v>980</v>
      </c>
      <c r="C581" s="27" t="s">
        <v>1006</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1188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1107</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1194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1007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row>
    <row r="587" spans="1:12">
      <c r="A587" s="20" t="s">
        <v>1195</v>
      </c>
    </row>
    <row r="588" spans="1:12">
      <c r="A588" s="20" t="s">
        <v>969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1108</v>
      </c>
      <c r="B589" s="27" t="s">
        <v>964</v>
      </c>
      <c r="C589" s="27" t="s">
        <v>1079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1096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1041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1196</v>
      </c>
      <c r="B592" s="27" t="s">
        <v>970</v>
      </c>
      <c r="C592" s="27" t="s">
        <v>1044</v>
      </c>
      <c r="D592" s="27" t="s">
        <v>966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1000</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1041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1197</v>
      </c>
      <c r="B595" s="27" t="s">
        <v>1013</v>
      </c>
      <c r="C595" s="27" t="s">
        <v>1044</v>
      </c>
      <c r="D595" s="27" t="s">
        <v>966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1198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1199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1200</v>
      </c>
      <c r="B598" s="27" t="s">
        <v>1013</v>
      </c>
      <c r="C598" s="27" t="s">
        <v>1006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1084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row>
    <row r="601" spans="1:12">
      <c r="A601" s="20" t="s">
        <v>1201</v>
      </c>
    </row>
    <row r="602" spans="1:12">
      <c r="A602" s="20" t="s">
        <v>1170</v>
      </c>
      <c r="B602" s="27" t="s">
        <v>970</v>
      </c>
      <c r="C602" s="27" t="s">
        <v>974</v>
      </c>
      <c r="D602" s="27" t="s">
        <v>966</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1096</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1116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1127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1202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1007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row>
    <row r="609" spans="1:12">
      <c r="A609" s="20" t="s">
        <v>1203</v>
      </c>
    </row>
    <row r="610" spans="1:12">
      <c r="A610" s="20" t="s">
        <v>1170</v>
      </c>
      <c r="B610" s="27" t="s">
        <v>970</v>
      </c>
      <c r="C610" s="27" t="s">
        <v>974</v>
      </c>
      <c r="D610" s="27" t="s">
        <v>966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1155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992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1107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126</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1034</v>
      </c>
      <c r="B615" s="27" t="s">
        <v>973</v>
      </c>
      <c r="C615" s="27" t="s">
        <v>974</v>
      </c>
      <c r="D615" s="27" t="s">
        <v>966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1007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1204</v>
      </c>
    </row>
    <row r="619" spans="1:12">
      <c r="A619" s="20" t="s">
        <v>969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984</v>
      </c>
      <c r="B620" s="27" t="s">
        <v>970</v>
      </c>
      <c r="C620" s="27" t="s">
        <v>974</v>
      </c>
      <c r="D620" s="27" t="s">
        <v>966</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1205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1112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1206</v>
      </c>
      <c r="B623" s="27" t="s">
        <v>1039</v>
      </c>
      <c r="C623" s="27" t="s">
        <v>1006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1207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1208</v>
      </c>
      <c r="B625" s="27" t="s">
        <v>1045</v>
      </c>
      <c r="C625" s="27" t="s">
        <v>1006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988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1209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990</v>
      </c>
      <c r="B628" s="27" t="s">
        <v>1099</v>
      </c>
      <c r="C628" s="27" t="s">
        <v>1014</v>
      </c>
      <c r="D628" s="27" t="s">
        <v>966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1007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1210</v>
      </c>
    </row>
    <row r="632" spans="1:12">
      <c r="A632" s="20" t="s">
        <v>1211</v>
      </c>
      <c r="B632" s="27" t="s">
        <v>970</v>
      </c>
      <c r="C632" s="27" t="s">
        <v>1014</v>
      </c>
      <c r="D632" s="27" t="s">
        <v>966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1212</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997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1089</v>
      </c>
      <c r="B635" s="27" t="s">
        <v>973</v>
      </c>
      <c r="C635" s="27" t="s">
        <v>977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1007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row>
    <row r="638" spans="1:12">
      <c r="A638" s="20" t="s">
        <v>1213</v>
      </c>
    </row>
    <row r="639" spans="1:12">
      <c r="A639" s="20" t="s">
        <v>1104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984</v>
      </c>
      <c r="B640" s="27" t="s">
        <v>970</v>
      </c>
      <c r="C640" s="27" t="s">
        <v>974</v>
      </c>
      <c r="D640" s="27" t="s">
        <v>966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1205</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1150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1189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1138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1214</v>
      </c>
      <c r="B645" s="27" t="s">
        <v>1013</v>
      </c>
      <c r="C645" s="27" t="s">
        <v>1006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994</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1215</v>
      </c>
      <c r="B647" s="27" t="s">
        <v>1043</v>
      </c>
      <c r="C647" s="27" t="s">
        <v>965</v>
      </c>
      <c r="D647" s="27" t="s">
        <v>966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1007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1216</v>
      </c>
    </row>
    <row r="651" spans="1:12">
      <c r="A651" s="20" t="s">
        <v>1217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984</v>
      </c>
      <c r="B652" s="27" t="s">
        <v>970</v>
      </c>
      <c r="C652" s="27" t="s">
        <v>974</v>
      </c>
      <c r="D652" s="27" t="s">
        <v>966</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126</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1215</v>
      </c>
      <c r="B654" s="27" t="s">
        <v>973</v>
      </c>
      <c r="C654" s="27" t="s">
        <v>965</v>
      </c>
      <c r="D654" s="27" t="s">
        <v>966</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1084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row>
    <row r="657" spans="1:12">
      <c r="A657" s="20" t="s">
        <v>1218</v>
      </c>
    </row>
    <row r="658" spans="1:12">
      <c r="A658" s="20" t="s">
        <v>1119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984</v>
      </c>
      <c r="B659" s="27" t="s">
        <v>970</v>
      </c>
      <c r="C659" s="27" t="s">
        <v>974</v>
      </c>
      <c r="D659" s="27" t="s">
        <v>966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1120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1219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1206</v>
      </c>
      <c r="B662" s="27" t="s">
        <v>973</v>
      </c>
      <c r="C662" s="27" t="s">
        <v>1006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1207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1198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1215</v>
      </c>
      <c r="B665" s="27" t="s">
        <v>1013</v>
      </c>
      <c r="C665" s="27" t="s">
        <v>965</v>
      </c>
      <c r="D665" s="27" t="s">
        <v>966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978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1082</v>
      </c>
      <c r="B667" s="27" t="s">
        <v>980</v>
      </c>
      <c r="C667" s="27" t="s">
        <v>974</v>
      </c>
      <c r="D667" s="27" t="s">
        <v>966</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1220</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1221</v>
      </c>
      <c r="B669" s="27" t="s">
        <v>1039</v>
      </c>
      <c r="C669" s="27" t="s">
        <v>1006</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983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1150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1012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1222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1007</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row>
    <row r="676" spans="1:12">
      <c r="A676" s="20" t="s">
        <v>1223</v>
      </c>
    </row>
    <row r="677" spans="1:12">
      <c r="A677" s="20" t="s">
        <v>1163</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983</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990</v>
      </c>
      <c r="B679" s="27" t="s">
        <v>970</v>
      </c>
      <c r="C679" s="27" t="s">
        <v>1014</v>
      </c>
      <c r="D679" s="27" t="s">
        <v>966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1096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975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1194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1224</v>
      </c>
      <c r="B683" s="27" t="s">
        <v>964</v>
      </c>
      <c r="C683" s="27" t="s">
        <v>977</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1007</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row>
    <row r="686" spans="1:12">
      <c r="A686" s="20" t="s">
        <v>1225</v>
      </c>
    </row>
    <row r="687" spans="1:12">
      <c r="A687" s="20" t="s">
        <v>1104</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984</v>
      </c>
      <c r="B688" s="27" t="s">
        <v>970</v>
      </c>
      <c r="C688" s="27" t="s">
        <v>974</v>
      </c>
      <c r="D688" s="27" t="s">
        <v>966</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1226</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1187</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1096</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1107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1087</v>
      </c>
      <c r="B693" s="27" t="s">
        <v>980</v>
      </c>
      <c r="C693" s="27" t="s">
        <v>1088</v>
      </c>
      <c r="D693" s="27" t="s">
        <v>966</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1227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1007</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row>
    <row r="697" spans="1:12">
      <c r="A697" s="20" t="s">
        <v>1228</v>
      </c>
    </row>
    <row r="698" spans="1:12">
      <c r="A698" s="20" t="s">
        <v>1229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984</v>
      </c>
      <c r="B699" s="27" t="s">
        <v>980</v>
      </c>
      <c r="C699" s="27" t="s">
        <v>974</v>
      </c>
      <c r="D699" s="27" t="s">
        <v>966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1230</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174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1108</v>
      </c>
      <c r="B702" s="27" t="s">
        <v>1039</v>
      </c>
      <c r="C702" s="27" t="s">
        <v>1079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1221</v>
      </c>
      <c r="B703" s="27" t="s">
        <v>1056</v>
      </c>
      <c r="C703" s="27" t="s">
        <v>1006</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1110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983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990</v>
      </c>
      <c r="B706" s="27" t="s">
        <v>970</v>
      </c>
      <c r="C706" s="27" t="s">
        <v>1014</v>
      </c>
      <c r="D706" s="27" t="s">
        <v>966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1231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274</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1107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1194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1007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row>
    <row r="713" spans="1:12">
      <c r="A713" s="20" t="s">
        <v>1232</v>
      </c>
    </row>
    <row r="714" spans="1:12">
      <c r="A714" s="20" t="s">
        <v>969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1009</v>
      </c>
      <c r="B715" s="27" t="s">
        <v>970</v>
      </c>
      <c r="C715" s="27" t="s">
        <v>974</v>
      </c>
      <c r="D715" s="27" t="s">
        <v>966</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1174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1175</v>
      </c>
      <c r="B718" s="27" t="s">
        <v>973</v>
      </c>
      <c r="C718" s="27" t="s">
        <v>965</v>
      </c>
      <c r="D718" s="27" t="s">
        <v>966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983</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1108</v>
      </c>
      <c r="B720" s="27" t="s">
        <v>985</v>
      </c>
      <c r="C720" s="27" t="s">
        <v>1079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1096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1107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1233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1040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1174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1175</v>
      </c>
      <c r="B726" s="27" t="s">
        <v>1043</v>
      </c>
      <c r="C726" s="27" t="s">
        <v>1006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1080</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990</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1082</v>
      </c>
      <c r="B729" s="27" t="s">
        <v>985</v>
      </c>
      <c r="C729" s="27" t="s">
        <v>974</v>
      </c>
      <c r="D729" s="27" t="s">
        <v>966</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1230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1120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1234</v>
      </c>
      <c r="B733" s="27" t="s">
        <v>1056</v>
      </c>
      <c r="C733" s="27" t="s">
        <v>974</v>
      </c>
      <c r="D733" s="27" t="s">
        <v>966</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996</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1207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1214</v>
      </c>
      <c r="B736" s="27" t="s">
        <v>1045</v>
      </c>
      <c r="C736" s="27" t="s">
        <v>1006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1129</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1059</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1235</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1186</v>
      </c>
      <c r="B740" s="27" t="s">
        <v>1023</v>
      </c>
      <c r="C740" s="27" t="s">
        <v>1061</v>
      </c>
      <c r="D740" s="27" t="s">
        <v>966</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1007</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row>
    <row r="743" spans="1:12">
      <c r="A743" s="20" t="s">
        <v>1236</v>
      </c>
    </row>
    <row r="744" spans="1:12">
      <c r="A744" s="20" t="s">
        <v>1237</v>
      </c>
      <c r="B744" s="27" t="s">
        <v>970</v>
      </c>
      <c r="C744" s="27" t="s">
        <v>974</v>
      </c>
      <c r="D744" s="27" t="s">
        <v>966</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1205</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1238</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285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1239</v>
      </c>
      <c r="B748" s="27" t="s">
        <v>964</v>
      </c>
      <c r="C748" s="27" t="s">
        <v>1006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983</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978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1107</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1150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983</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1240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1009</v>
      </c>
      <c r="B755" s="27" t="s">
        <v>980</v>
      </c>
      <c r="C755" s="27" t="s">
        <v>974</v>
      </c>
      <c r="D755" s="27" t="s">
        <v>966</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1230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417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1041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285</v>
      </c>
      <c r="B759" s="27" t="s">
        <v>1039</v>
      </c>
      <c r="C759" s="27" t="s">
        <v>1044</v>
      </c>
      <c r="D759" s="27" t="s">
        <v>966</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983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1150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1241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285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1239</v>
      </c>
      <c r="B764" s="27" t="s">
        <v>1046</v>
      </c>
      <c r="C764" s="27" t="s">
        <v>1006</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983</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978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1207</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1055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988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95</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990</v>
      </c>
      <c r="B771" s="27" t="s">
        <v>1046</v>
      </c>
      <c r="C771" s="27" t="s">
        <v>1014</v>
      </c>
      <c r="D771" s="27" t="s">
        <v>966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1242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1007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row>
    <row r="775" spans="1:12">
      <c r="A775" s="20" t="s">
        <v>1243</v>
      </c>
    </row>
    <row r="776" spans="1:12">
      <c r="A776" s="20" t="s">
        <v>1036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967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1244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997</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206</v>
      </c>
      <c r="B780" s="27" t="s">
        <v>1039</v>
      </c>
      <c r="C780" s="27" t="s">
        <v>977</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1138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1041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285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1239</v>
      </c>
      <c r="B784" s="27" t="s">
        <v>1013</v>
      </c>
      <c r="C784" s="27" t="s">
        <v>1044</v>
      </c>
      <c r="D784" s="27" t="s">
        <v>966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978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1055</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1245</v>
      </c>
      <c r="B787" s="27" t="s">
        <v>1056</v>
      </c>
      <c r="C787" s="27" t="s">
        <v>1006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1110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1246</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988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274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1247</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988</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95</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1063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1248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1214</v>
      </c>
      <c r="B797" s="27" t="s">
        <v>1099</v>
      </c>
      <c r="C797" s="27" t="s">
        <v>1065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1007</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1249</v>
      </c>
    </row>
    <row r="801" spans="1:12">
      <c r="A801" s="20" t="s">
        <v>1086</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967</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1250</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1233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1123</v>
      </c>
      <c r="B805" s="27" t="s">
        <v>980</v>
      </c>
      <c r="C805" s="27" t="s">
        <v>1044</v>
      </c>
      <c r="D805" s="27" t="s">
        <v>966</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1040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1059</v>
      </c>
      <c r="B807" s="27" t="s">
        <v>1043</v>
      </c>
      <c r="C807" s="27" t="s">
        <v>1014</v>
      </c>
      <c r="D807" s="27" t="s">
        <v>966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1080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1059</v>
      </c>
      <c r="B809" s="27" t="s">
        <v>980</v>
      </c>
      <c r="C809" s="27" t="s">
        <v>1014</v>
      </c>
      <c r="D809" s="27" t="s">
        <v>966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1080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983</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1009</v>
      </c>
      <c r="B812" s="27" t="s">
        <v>980</v>
      </c>
      <c r="C812" s="27" t="s">
        <v>974</v>
      </c>
      <c r="D812" s="27" t="s">
        <v>966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396</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983</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1251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983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1252</v>
      </c>
      <c r="B817" s="27" t="s">
        <v>980</v>
      </c>
      <c r="C817" s="27" t="s">
        <v>1014</v>
      </c>
      <c r="D817" s="27" t="s">
        <v>966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1110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1253</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1239</v>
      </c>
      <c r="B820" s="27" t="s">
        <v>964</v>
      </c>
      <c r="C820" s="27" t="s">
        <v>1006</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983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1141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1041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1254</v>
      </c>
      <c r="B824" s="27" t="s">
        <v>985</v>
      </c>
      <c r="C824" s="27" t="s">
        <v>1044</v>
      </c>
      <c r="D824" s="27" t="s">
        <v>966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1150</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1255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1108</v>
      </c>
      <c r="B827" s="27" t="s">
        <v>1046</v>
      </c>
      <c r="C827" s="27" t="s">
        <v>1079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1034</v>
      </c>
      <c r="B828" s="27" t="s">
        <v>1029</v>
      </c>
      <c r="C828" s="27" t="s">
        <v>974</v>
      </c>
      <c r="D828" s="27" t="s">
        <v>966</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249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983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1041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1256</v>
      </c>
      <c r="B832" s="27" t="s">
        <v>1043</v>
      </c>
      <c r="C832" s="27" t="s">
        <v>1044</v>
      </c>
      <c r="D832" s="27" t="s">
        <v>966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983</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978</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1082</v>
      </c>
      <c r="B835" s="27" t="s">
        <v>1056</v>
      </c>
      <c r="C835" s="27" t="s">
        <v>974</v>
      </c>
      <c r="D835" s="27" t="s">
        <v>966</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1022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1041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1257</v>
      </c>
      <c r="B838" s="27" t="s">
        <v>1045</v>
      </c>
      <c r="C838" s="27" t="s">
        <v>1044</v>
      </c>
      <c r="D838" s="27" t="s">
        <v>966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978</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1082</v>
      </c>
      <c r="B840" s="27" t="s">
        <v>1056</v>
      </c>
      <c r="C840" s="27" t="s">
        <v>974</v>
      </c>
      <c r="D840" s="27" t="s">
        <v>966</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1022</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1041</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1258</v>
      </c>
      <c r="B843" s="27" t="s">
        <v>1045</v>
      </c>
      <c r="C843" s="27" t="s">
        <v>1044</v>
      </c>
      <c r="D843" s="27" t="s">
        <v>966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983</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978</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1082</v>
      </c>
      <c r="B846" s="27" t="s">
        <v>1056</v>
      </c>
      <c r="C846" s="27" t="s">
        <v>974</v>
      </c>
      <c r="D846" s="27" t="s">
        <v>966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1096</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1259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988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1260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1125</v>
      </c>
      <c r="B851" s="27" t="s">
        <v>1098</v>
      </c>
      <c r="C851" s="27" t="s">
        <v>1053</v>
      </c>
      <c r="D851" s="27" t="s">
        <v>966</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1000</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1252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1239</v>
      </c>
      <c r="B854" s="27" t="s">
        <v>999</v>
      </c>
      <c r="C854" s="27" t="s">
        <v>1061</v>
      </c>
      <c r="D854" s="27" t="s">
        <v>966</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983</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1261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1262</v>
      </c>
      <c r="B857" s="27" t="s">
        <v>1023</v>
      </c>
      <c r="C857" s="27" t="s">
        <v>1006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1007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row>
    <row r="860" spans="1:12">
      <c r="A860" s="20" t="s">
        <v>1263</v>
      </c>
    </row>
    <row r="861" spans="1:12">
      <c r="A861" s="20" t="s">
        <v>1170</v>
      </c>
      <c r="B861" s="27" t="s">
        <v>970</v>
      </c>
      <c r="C861" s="27" t="s">
        <v>974</v>
      </c>
      <c r="D861" s="27" t="s">
        <v>966</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1096</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1259</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988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1260</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1125</v>
      </c>
      <c r="B866" s="27" t="s">
        <v>1039</v>
      </c>
      <c r="C866" s="27" t="s">
        <v>1053</v>
      </c>
      <c r="D866" s="27" t="s">
        <v>966</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1000</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1252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1239</v>
      </c>
      <c r="B869" s="27" t="s">
        <v>1043</v>
      </c>
      <c r="C869" s="27" t="s">
        <v>1061</v>
      </c>
      <c r="D869" s="27" t="s">
        <v>966</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1238</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1264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1265</v>
      </c>
      <c r="B872" s="27" t="s">
        <v>1013</v>
      </c>
      <c r="C872" s="27" t="s">
        <v>1006</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1007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1266</v>
      </c>
    </row>
    <row r="876" spans="1:12">
      <c r="A876" s="20" t="s">
        <v>1136</v>
      </c>
      <c r="B876" s="27" t="s">
        <v>970</v>
      </c>
      <c r="C876" s="27" t="s">
        <v>974</v>
      </c>
      <c r="D876" s="27" t="s">
        <v>966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986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1116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1137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1247</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988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1214</v>
      </c>
      <c r="B883" s="27" t="s">
        <v>1039</v>
      </c>
      <c r="C883" s="27" t="s">
        <v>1006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994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1059</v>
      </c>
      <c r="B885" s="27" t="s">
        <v>1043</v>
      </c>
      <c r="C885" s="27" t="s">
        <v>1014</v>
      </c>
      <c r="D885" s="27" t="s">
        <v>966</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1238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1192</v>
      </c>
      <c r="B887" s="27" t="s">
        <v>1013</v>
      </c>
      <c r="C887" s="27" t="s">
        <v>1006</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1267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1007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row>
    <row r="891" spans="1:12">
      <c r="A891" s="20" t="s">
        <v>1268</v>
      </c>
    </row>
    <row r="892" spans="1:12">
      <c r="A892" s="20" t="s">
        <v>1104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1240</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1009</v>
      </c>
      <c r="B894" s="27" t="s">
        <v>970</v>
      </c>
      <c r="C894" s="27" t="s">
        <v>974</v>
      </c>
      <c r="D894" s="27" t="s">
        <v>966</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1037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1150</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183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1059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1269</v>
      </c>
      <c r="B899" s="27" t="s">
        <v>973</v>
      </c>
      <c r="C899" s="27" t="s">
        <v>1061</v>
      </c>
      <c r="D899" s="27" t="s">
        <v>966</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1270</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1007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row>
    <row r="903" spans="1:12">
      <c r="A903" s="20" t="s">
        <v>1271</v>
      </c>
    </row>
    <row r="904" spans="1:12">
      <c r="A904" s="20" t="s">
        <v>1272</v>
      </c>
      <c r="B904" s="27" t="s">
        <v>970</v>
      </c>
      <c r="C904" s="27" t="s">
        <v>1014</v>
      </c>
      <c r="D904" s="27" t="s">
        <v>966</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1080</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1273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983</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978</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1082</v>
      </c>
      <c r="B909" s="27" t="s">
        <v>980</v>
      </c>
      <c r="C909" s="27" t="s">
        <v>974</v>
      </c>
      <c r="D909" s="27" t="s">
        <v>966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1274</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1275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1082</v>
      </c>
      <c r="B912" s="27" t="s">
        <v>985</v>
      </c>
      <c r="C912" s="27" t="s">
        <v>974</v>
      </c>
      <c r="D912" s="27" t="s">
        <v>966</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1230</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1276</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1000</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1277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1041</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1278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1279</v>
      </c>
      <c r="B919" s="27" t="s">
        <v>1046</v>
      </c>
      <c r="C919" s="27" t="s">
        <v>1044</v>
      </c>
      <c r="D919" s="27" t="s">
        <v>966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1007</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row>
    <row r="922" spans="1:12">
      <c r="A922" s="20" t="s">
        <v>1280</v>
      </c>
    </row>
    <row r="923" spans="1:12">
      <c r="A923" s="20" t="s">
        <v>1250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191</v>
      </c>
      <c r="B924" s="27" t="s">
        <v>964</v>
      </c>
      <c r="C924" s="27" t="s">
        <v>1044</v>
      </c>
      <c r="D924" s="27" t="s">
        <v>966</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1096</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1198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1041</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1281</v>
      </c>
      <c r="B928" s="27" t="s">
        <v>964</v>
      </c>
      <c r="C928" s="27" t="s">
        <v>1044</v>
      </c>
      <c r="D928" s="27" t="s">
        <v>966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983</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978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1082</v>
      </c>
      <c r="B931" s="27" t="s">
        <v>980</v>
      </c>
      <c r="C931" s="27" t="s">
        <v>974</v>
      </c>
      <c r="D931" s="27" t="s">
        <v>966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1096</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1150</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1282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1283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1284</v>
      </c>
      <c r="B936" s="27" t="s">
        <v>1039</v>
      </c>
      <c r="C936" s="27" t="s">
        <v>1006</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1007</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row>
    <row r="939" spans="1:12">
      <c r="A939" s="20" t="s">
        <v>1285</v>
      </c>
    </row>
    <row r="940" spans="1:12">
      <c r="A940" s="20" t="s">
        <v>969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195</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1286</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1059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1114</v>
      </c>
      <c r="B944" s="27" t="s">
        <v>980</v>
      </c>
      <c r="C944" s="27" t="s">
        <v>1061</v>
      </c>
      <c r="D944" s="27" t="s">
        <v>966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1000</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1287</v>
      </c>
      <c r="B946" s="27" t="s">
        <v>1043</v>
      </c>
      <c r="C946" s="27" t="s">
        <v>1006</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1288</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1289</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1138</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1050</v>
      </c>
      <c r="B950" s="27" t="s">
        <v>1043</v>
      </c>
      <c r="C950" s="27" t="s">
        <v>1051</v>
      </c>
      <c r="D950" s="27" t="s">
        <v>966</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1290</v>
      </c>
      <c r="B951" s="27" t="s">
        <v>1013</v>
      </c>
      <c r="C951" s="27" t="s">
        <v>1053</v>
      </c>
      <c r="D951" s="27" t="s">
        <v>966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983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1291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1050</v>
      </c>
      <c r="B954" s="27" t="s">
        <v>1026</v>
      </c>
      <c r="C954" s="27" t="s">
        <v>1051</v>
      </c>
      <c r="D954" s="27" t="s">
        <v>966</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1097</v>
      </c>
      <c r="B955" s="27" t="s">
        <v>985</v>
      </c>
      <c r="C955" s="27" t="s">
        <v>1053</v>
      </c>
      <c r="D955" s="27" t="s">
        <v>966</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1292</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983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1291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1214</v>
      </c>
      <c r="B959" s="27" t="s">
        <v>1013</v>
      </c>
      <c r="C959" s="27" t="s">
        <v>1006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994</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990</v>
      </c>
      <c r="B961" s="27" t="s">
        <v>1043</v>
      </c>
      <c r="C961" s="27" t="s">
        <v>1014</v>
      </c>
      <c r="D961" s="27" t="s">
        <v>966</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1007</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row>
    <row r="964" spans="1:12">
      <c r="A964" s="20" t="s">
        <v>1293</v>
      </c>
    </row>
    <row r="965" spans="1:12">
      <c r="A965" s="20" t="s">
        <v>1136</v>
      </c>
      <c r="B965" s="27" t="s">
        <v>970</v>
      </c>
      <c r="C965" s="27" t="s">
        <v>974</v>
      </c>
      <c r="D965" s="27" t="s">
        <v>966</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996</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1107</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1150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1138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1041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1294</v>
      </c>
      <c r="B971" s="27" t="s">
        <v>964</v>
      </c>
      <c r="C971" s="27" t="s">
        <v>1053</v>
      </c>
      <c r="D971" s="27" t="s">
        <v>966</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1000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990</v>
      </c>
      <c r="B973" s="27" t="s">
        <v>964</v>
      </c>
      <c r="C973" s="27" t="s">
        <v>1014</v>
      </c>
      <c r="D973" s="27" t="s">
        <v>966</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983</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978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990</v>
      </c>
      <c r="B976" s="27" t="s">
        <v>980</v>
      </c>
      <c r="C976" s="27" t="s">
        <v>1014</v>
      </c>
      <c r="D976" s="27" t="s">
        <v>966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1096</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1108</v>
      </c>
      <c r="B978" s="27" t="s">
        <v>964</v>
      </c>
      <c r="C978" s="27" t="s">
        <v>1079</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1009</v>
      </c>
      <c r="B979" s="27" t="s">
        <v>985</v>
      </c>
      <c r="C979" s="27" t="s">
        <v>974</v>
      </c>
      <c r="D979" s="27" t="s">
        <v>966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1010</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1107</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1295</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1040</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1007</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row>
    <row r="986" spans="1:12">
      <c r="A986" s="20" t="s">
        <v>1296</v>
      </c>
    </row>
    <row r="987" spans="1:12">
      <c r="A987" s="20" t="s">
        <v>1036</v>
      </c>
      <c r="B987" s="27" t="s">
        <v>964</v>
      </c>
      <c r="C987" s="27" t="s">
        <v>1006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967</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1144</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1034</v>
      </c>
      <c r="B990" s="27" t="s">
        <v>985</v>
      </c>
      <c r="C990" s="27" t="s">
        <v>974</v>
      </c>
      <c r="D990" s="27" t="s">
        <v>966</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206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1138</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1125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990</v>
      </c>
      <c r="B994" s="27" t="s">
        <v>1026</v>
      </c>
      <c r="C994" s="27" t="s">
        <v>1014</v>
      </c>
      <c r="D994" s="27" t="s">
        <v>966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1096</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1297</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1298</v>
      </c>
      <c r="B997" s="27" t="s">
        <v>1043</v>
      </c>
      <c r="C997" s="27" t="s">
        <v>1061</v>
      </c>
      <c r="D997" s="27" t="s">
        <v>966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1238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1174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1175</v>
      </c>
      <c r="B1000" s="27" t="s">
        <v>1026</v>
      </c>
      <c r="C1000" s="27" t="s">
        <v>1006</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978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1041</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1273</v>
      </c>
      <c r="B1003" s="27" t="s">
        <v>1023</v>
      </c>
      <c r="C1003" s="27" t="s">
        <v>1044</v>
      </c>
      <c r="D1003" s="27" t="s">
        <v>966</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983</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1049</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997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1299</v>
      </c>
      <c r="B1007" s="27" t="s">
        <v>1056</v>
      </c>
      <c r="C1007" s="27" t="s">
        <v>977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1000</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1081</v>
      </c>
      <c r="B1009" s="27" t="s">
        <v>1023</v>
      </c>
      <c r="C1009" s="27" t="s">
        <v>1079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984</v>
      </c>
      <c r="B1010" s="27" t="s">
        <v>995</v>
      </c>
      <c r="C1010" s="27" t="s">
        <v>974</v>
      </c>
      <c r="D1010" s="27" t="s">
        <v>966</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996</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1083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1080</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1300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1287</v>
      </c>
      <c r="B1015" s="27" t="s">
        <v>964</v>
      </c>
      <c r="C1015" s="27" t="s">
        <v>1006</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1007</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row>
    <row r="1018" spans="1:12">
      <c r="A1018" s="20" t="s">
        <v>1301</v>
      </c>
    </row>
    <row r="1019" spans="1:12">
      <c r="A1019" s="20" t="s">
        <v>1078</v>
      </c>
      <c r="B1019" s="27" t="s">
        <v>964</v>
      </c>
      <c r="C1019" s="27" t="s">
        <v>1079</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1110</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984</v>
      </c>
      <c r="B1021" s="27" t="s">
        <v>980</v>
      </c>
      <c r="C1021" s="27" t="s">
        <v>974</v>
      </c>
      <c r="D1021" s="27" t="s">
        <v>966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983</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1121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1034</v>
      </c>
      <c r="B1024" s="27" t="s">
        <v>970</v>
      </c>
      <c r="C1024" s="27" t="s">
        <v>974</v>
      </c>
      <c r="D1024" s="27" t="s">
        <v>966</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206</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1138</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990</v>
      </c>
      <c r="B1027" s="27" t="s">
        <v>964</v>
      </c>
      <c r="C1027" s="27" t="s">
        <v>1014</v>
      </c>
      <c r="D1027" s="27" t="s">
        <v>966</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1084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row>
    <row r="1030" spans="1:12">
      <c r="A1030" s="20" t="s">
        <v>1302</v>
      </c>
    </row>
    <row r="1031" spans="1:12">
      <c r="A1031" s="20" t="s">
        <v>1086</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967</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1033</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983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1009</v>
      </c>
      <c r="B1035" s="27" t="s">
        <v>985</v>
      </c>
      <c r="C1035" s="27" t="s">
        <v>974</v>
      </c>
      <c r="D1035" s="27" t="s">
        <v>966</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59</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1124</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972</v>
      </c>
      <c r="B1038" s="27" t="s">
        <v>1043</v>
      </c>
      <c r="C1038" s="27" t="s">
        <v>974</v>
      </c>
      <c r="D1038" s="27" t="s">
        <v>966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983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1059</v>
      </c>
      <c r="B1040" s="27" t="s">
        <v>980</v>
      </c>
      <c r="C1040" s="27" t="s">
        <v>1014</v>
      </c>
      <c r="D1040" s="27" t="s">
        <v>966</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1080</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1114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1000</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1269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1000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1041</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1303</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1304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1214</v>
      </c>
      <c r="B1049" s="27" t="s">
        <v>1013</v>
      </c>
      <c r="C1049" s="27" t="s">
        <v>1044</v>
      </c>
      <c r="D1049" s="27" t="s">
        <v>966</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1009</v>
      </c>
      <c r="B1050" s="27" t="s">
        <v>1056</v>
      </c>
      <c r="C1050" s="27" t="s">
        <v>974</v>
      </c>
      <c r="D1050" s="27" t="s">
        <v>966</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986</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1305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1129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997</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1093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1064</v>
      </c>
      <c r="B1056" s="27" t="s">
        <v>1026</v>
      </c>
      <c r="C1056" s="27" t="s">
        <v>977</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1007</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row>
    <row r="1059" spans="1:12">
      <c r="A1059" s="20" t="s">
        <v>1306</v>
      </c>
    </row>
    <row r="1060" spans="1:12">
      <c r="A1060" s="20" t="s">
        <v>1250</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1307</v>
      </c>
      <c r="B1061" s="27" t="s">
        <v>970</v>
      </c>
      <c r="C1061" s="27" t="s">
        <v>1044</v>
      </c>
      <c r="D1061" s="27" t="s">
        <v>966</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1308</v>
      </c>
      <c r="B1062" s="27" t="s">
        <v>985</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1205</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1059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1180</v>
      </c>
      <c r="B1065" s="27" t="s">
        <v>1046</v>
      </c>
      <c r="C1065" s="27" t="s">
        <v>1061</v>
      </c>
      <c r="D1065" s="27" t="s">
        <v>966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983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1309</v>
      </c>
      <c r="B1067" s="27" t="s">
        <v>1013</v>
      </c>
      <c r="C1067" s="27" t="s">
        <v>965</v>
      </c>
      <c r="D1067" s="27" t="s">
        <v>966</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983</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1022</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997</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1310</v>
      </c>
      <c r="B1071" s="27" t="s">
        <v>973</v>
      </c>
      <c r="C1071" s="27" t="s">
        <v>977</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978</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997</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191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1311</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1312</v>
      </c>
      <c r="B1076" s="27" t="s">
        <v>1013</v>
      </c>
      <c r="C1076" s="27" t="s">
        <v>977</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1007</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row>
    <row r="1079" spans="1:12">
      <c r="A1079" s="20" t="s">
        <v>1313</v>
      </c>
    </row>
    <row r="1080" spans="1:12">
      <c r="A1080" s="20" t="s">
        <v>1314</v>
      </c>
      <c r="B1080" s="27" t="s">
        <v>970</v>
      </c>
      <c r="C1080" s="27" t="s">
        <v>974</v>
      </c>
      <c r="D1080" s="27" t="s">
        <v>966</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1315</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1316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988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1317</v>
      </c>
      <c r="B1084" s="27" t="s">
        <v>964</v>
      </c>
      <c r="C1084" s="27" t="s">
        <v>1006</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988</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331</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1318</v>
      </c>
      <c r="B1087" s="27" t="s">
        <v>1043</v>
      </c>
      <c r="C1087" s="27" t="s">
        <v>1051</v>
      </c>
      <c r="D1087" s="27" t="s">
        <v>966</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1319</v>
      </c>
      <c r="B1088" s="27" t="s">
        <v>1039</v>
      </c>
      <c r="C1088" s="27" t="s">
        <v>1053</v>
      </c>
      <c r="D1088" s="27" t="s">
        <v>966</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988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1320</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1041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1321</v>
      </c>
      <c r="B1092" s="27" t="s">
        <v>1046</v>
      </c>
      <c r="C1092" s="27" t="s">
        <v>1044</v>
      </c>
      <c r="D1092" s="27" t="s">
        <v>966</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1007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row>
    <row r="1095" spans="1:12">
      <c r="A1095" s="20" t="s">
        <v>1322</v>
      </c>
    </row>
    <row r="1096" spans="1:12">
      <c r="A1096" s="20" t="s">
        <v>1104</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1179</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1009</v>
      </c>
      <c r="B1098" s="27" t="s">
        <v>970</v>
      </c>
      <c r="C1098" s="27" t="s">
        <v>974</v>
      </c>
      <c r="D1098" s="27" t="s">
        <v>966</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59</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984</v>
      </c>
      <c r="B1100" s="27" t="s">
        <v>980</v>
      </c>
      <c r="C1100" s="27" t="s">
        <v>974</v>
      </c>
      <c r="D1100" s="27" t="s">
        <v>966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996</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1323</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997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1089</v>
      </c>
      <c r="B1104" s="27" t="s">
        <v>1039</v>
      </c>
      <c r="C1104" s="27" t="s">
        <v>977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1000</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1304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736</v>
      </c>
      <c r="B1107" s="27" t="s">
        <v>1043</v>
      </c>
      <c r="C1107" s="27" t="s">
        <v>1006</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1083</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1198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990</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1276</v>
      </c>
      <c r="B1111" s="27" t="s">
        <v>1043</v>
      </c>
      <c r="C1111" s="27" t="s">
        <v>1061</v>
      </c>
      <c r="D1111" s="27" t="s">
        <v>966</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1000</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1324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191</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1311</v>
      </c>
      <c r="B1115" s="27" t="s">
        <v>1026</v>
      </c>
      <c r="C1115" s="27" t="s">
        <v>1006</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978</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1310</v>
      </c>
      <c r="B1117" s="27" t="s">
        <v>1023</v>
      </c>
      <c r="C1117" s="27" t="s">
        <v>1006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1129</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1325</v>
      </c>
      <c r="B1119" s="27" t="s">
        <v>1043</v>
      </c>
      <c r="C1119" s="27" t="s">
        <v>1006</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1000</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1107</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1190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1108</v>
      </c>
      <c r="B1123" s="27" t="s">
        <v>1099</v>
      </c>
      <c r="C1123" s="27" t="s">
        <v>1079</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1082</v>
      </c>
      <c r="B1124" s="27" t="s">
        <v>991</v>
      </c>
      <c r="C1124" s="27" t="s">
        <v>974</v>
      </c>
      <c r="D1124" s="27" t="s">
        <v>966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1326</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988</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521</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1087</v>
      </c>
      <c r="B1128" s="27" t="s">
        <v>1327</v>
      </c>
      <c r="C1128" s="27" t="s">
        <v>1088</v>
      </c>
      <c r="D1128" s="27" t="s">
        <v>966</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1328</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978</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95</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1107</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1068</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1214</v>
      </c>
      <c r="B1134" s="27" t="s">
        <v>1039</v>
      </c>
      <c r="C1134" s="27" t="s">
        <v>1006</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1007</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row>
    <row r="1137" spans="1:12">
      <c r="A1137" s="20" t="s">
        <v>1329</v>
      </c>
    </row>
    <row r="1138" spans="1:12">
      <c r="A1138" s="20" t="s">
        <v>1036</v>
      </c>
      <c r="B1138" s="27" t="s">
        <v>964</v>
      </c>
      <c r="C1138" s="27" t="s">
        <v>1006</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967</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1119</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1081</v>
      </c>
      <c r="B1141" s="27" t="s">
        <v>964</v>
      </c>
      <c r="C1141" s="27" t="s">
        <v>1079</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1096</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1041</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1330</v>
      </c>
      <c r="B1144" s="27" t="s">
        <v>980</v>
      </c>
      <c r="C1144" s="27" t="s">
        <v>1053</v>
      </c>
      <c r="D1144" s="27" t="s">
        <v>966</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1000</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1082</v>
      </c>
      <c r="B1146" s="27" t="s">
        <v>1043</v>
      </c>
      <c r="C1146" s="27" t="s">
        <v>974</v>
      </c>
      <c r="D1146" s="27" t="s">
        <v>966</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1331</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1084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row>
    <row r="1150" spans="1:12">
      <c r="A1150" s="20" t="s">
        <v>1332</v>
      </c>
    </row>
    <row r="1151" spans="1:12">
      <c r="A1151" s="20" t="s">
        <v>1104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1055</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1333</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95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1034</v>
      </c>
      <c r="B1155" s="27" t="s">
        <v>970</v>
      </c>
      <c r="C1155" s="27" t="s">
        <v>974</v>
      </c>
      <c r="D1155" s="27" t="s">
        <v>966</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59</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984</v>
      </c>
      <c r="B1157" s="27" t="s">
        <v>980</v>
      </c>
      <c r="C1157" s="27" t="s">
        <v>974</v>
      </c>
      <c r="D1157" s="27" t="s">
        <v>966</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1110</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1334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1084</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row>
    <row r="1162" spans="1:12">
      <c r="A1162" s="20" t="s">
        <v>1335</v>
      </c>
    </row>
    <row r="1163" spans="1:12">
      <c r="A1163" s="20" t="s">
        <v>1086</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967</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1033</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983</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1059</v>
      </c>
      <c r="B1167" s="27" t="s">
        <v>980</v>
      </c>
      <c r="C1167" s="27" t="s">
        <v>1014</v>
      </c>
      <c r="D1167" s="27" t="s">
        <v>966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1080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1041</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1196</v>
      </c>
      <c r="B1170" s="27" t="s">
        <v>964</v>
      </c>
      <c r="C1170" s="27" t="s">
        <v>1044</v>
      </c>
      <c r="D1170" s="27" t="s">
        <v>966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1000</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1041</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1197</v>
      </c>
      <c r="B1173" s="27" t="s">
        <v>1013</v>
      </c>
      <c r="C1173" s="27" t="s">
        <v>1044</v>
      </c>
      <c r="D1173" s="27" t="s">
        <v>966</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1336</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1331</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983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1190</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1221</v>
      </c>
      <c r="B1178" s="27" t="s">
        <v>1013</v>
      </c>
      <c r="C1178" s="27" t="s">
        <v>1006</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1198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1215</v>
      </c>
      <c r="B1180" s="27" t="s">
        <v>1043</v>
      </c>
      <c r="C1180" s="27" t="s">
        <v>965</v>
      </c>
      <c r="D1180" s="27" t="s">
        <v>966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978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1214</v>
      </c>
      <c r="B1182" s="27" t="s">
        <v>1026</v>
      </c>
      <c r="C1182" s="27" t="s">
        <v>1006</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994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990</v>
      </c>
      <c r="B1184" s="27" t="s">
        <v>1023</v>
      </c>
      <c r="C1184" s="27" t="s">
        <v>1014</v>
      </c>
      <c r="D1184" s="27" t="s">
        <v>966</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983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1337</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1193</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1200</v>
      </c>
      <c r="B1188" s="27" t="s">
        <v>1045</v>
      </c>
      <c r="C1188" s="27" t="s">
        <v>1006</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1007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row>
    <row r="1191" spans="1:12">
      <c r="A1191" s="20" t="s">
        <v>1338</v>
      </c>
    </row>
    <row r="1192" spans="1:12">
      <c r="A1192" s="20" t="s">
        <v>1136</v>
      </c>
      <c r="B1192" s="27" t="s">
        <v>970</v>
      </c>
      <c r="C1192" s="27" t="s">
        <v>974</v>
      </c>
      <c r="D1192" s="27" t="s">
        <v>966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1339</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997</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1089</v>
      </c>
      <c r="B1195" s="27" t="s">
        <v>973</v>
      </c>
      <c r="C1195" s="27" t="s">
        <v>977</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1000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1206</v>
      </c>
      <c r="B1197" s="27" t="s">
        <v>1013</v>
      </c>
      <c r="C1197" s="27" t="s">
        <v>1006</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1207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988</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1209</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1214</v>
      </c>
      <c r="B1201" s="27" t="s">
        <v>1046</v>
      </c>
      <c r="C1201" s="27" t="s">
        <v>1006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1340</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983</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1141</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1009</v>
      </c>
      <c r="B1205" s="27" t="s">
        <v>980</v>
      </c>
      <c r="C1205" s="27" t="s">
        <v>974</v>
      </c>
      <c r="D1205" s="27" t="s">
        <v>966</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59</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1124</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972</v>
      </c>
      <c r="B1208" s="27" t="s">
        <v>1013</v>
      </c>
      <c r="C1208" s="27" t="s">
        <v>974</v>
      </c>
      <c r="D1208" s="27" t="s">
        <v>966</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983</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1059</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1341</v>
      </c>
      <c r="B1211" s="27" t="s">
        <v>1013</v>
      </c>
      <c r="C1211" s="27" t="s">
        <v>1061</v>
      </c>
      <c r="D1211" s="27" t="s">
        <v>966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1096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1107</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1304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983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1019</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1082</v>
      </c>
      <c r="B1217" s="27" t="s">
        <v>980</v>
      </c>
      <c r="C1217" s="27" t="s">
        <v>974</v>
      </c>
      <c r="D1217" s="27" t="s">
        <v>966</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1096</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1269</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1262</v>
      </c>
      <c r="B1220" s="27" t="s">
        <v>964</v>
      </c>
      <c r="C1220" s="27" t="s">
        <v>1065</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990</v>
      </c>
      <c r="B1221" s="27" t="s">
        <v>985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1230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95</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997</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1089</v>
      </c>
      <c r="B1225" s="27" t="s">
        <v>1046</v>
      </c>
      <c r="C1225" s="27" t="s">
        <v>977</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1000</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1342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1214</v>
      </c>
      <c r="B1228" s="27" t="s">
        <v>1026</v>
      </c>
      <c r="C1228" s="27" t="s">
        <v>1006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1007</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row>
    <row r="1231" spans="1:12">
      <c r="A1231" s="20" t="s">
        <v>1343</v>
      </c>
    </row>
    <row r="1232" spans="1:12">
      <c r="A1232" s="20" t="s">
        <v>1036</v>
      </c>
      <c r="B1232" s="27" t="s">
        <v>964</v>
      </c>
      <c r="C1232" s="27" t="s">
        <v>1006</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967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1009</v>
      </c>
      <c r="B1234" s="27" t="s">
        <v>980</v>
      </c>
      <c r="C1234" s="27" t="s">
        <v>974</v>
      </c>
      <c r="D1234" s="27" t="s">
        <v>966</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95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992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541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1286</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984</v>
      </c>
      <c r="B1239" s="27" t="s">
        <v>985</v>
      </c>
      <c r="C1239" s="27" t="s">
        <v>974</v>
      </c>
      <c r="D1239" s="27" t="s">
        <v>966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1230</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95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1059</v>
      </c>
      <c r="B1242" s="27" t="s">
        <v>1046</v>
      </c>
      <c r="C1242" s="27" t="s">
        <v>1014</v>
      </c>
      <c r="D1242" s="27" t="s">
        <v>966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983</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1141</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984</v>
      </c>
      <c r="B1245" s="27" t="s">
        <v>985</v>
      </c>
      <c r="C1245" s="27" t="s">
        <v>974</v>
      </c>
      <c r="D1245" s="27" t="s">
        <v>966</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986</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987</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1041</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1344</v>
      </c>
      <c r="B1249" s="27" t="s">
        <v>1046</v>
      </c>
      <c r="C1249" s="27" t="s">
        <v>1044</v>
      </c>
      <c r="D1249" s="27" t="s">
        <v>966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1000</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1041</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1345</v>
      </c>
      <c r="B1252" s="27" t="s">
        <v>1026</v>
      </c>
      <c r="C1252" s="27" t="s">
        <v>1044</v>
      </c>
      <c r="D1252" s="27" t="s">
        <v>966</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1007</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row>
    <row r="1255" spans="1:12">
      <c r="A1255" s="20" t="s">
        <v>1346</v>
      </c>
    </row>
    <row r="1256" spans="1:12">
      <c r="A1256" s="20" t="s">
        <v>1170</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1347</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274</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1348</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988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249</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1059</v>
      </c>
      <c r="B1262" s="27" t="s">
        <v>1039</v>
      </c>
      <c r="C1262" s="27" t="s">
        <v>1014</v>
      </c>
      <c r="D1262" s="27" t="s">
        <v>966</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1007</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row>
    <row r="1265" spans="1:12">
      <c r="A1265" s="20" t="s">
        <v>1349</v>
      </c>
    </row>
    <row r="1266" spans="1:12">
      <c r="A1266" s="20" t="s">
        <v>1272</v>
      </c>
      <c r="B1266" s="27" t="s">
        <v>970</v>
      </c>
      <c r="C1266" s="27" t="s">
        <v>1014</v>
      </c>
      <c r="D1266" s="27" t="s">
        <v>966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1080</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1055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1245</v>
      </c>
      <c r="B1269" s="27" t="s">
        <v>970</v>
      </c>
      <c r="C1269" s="27" t="s">
        <v>1006</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1350</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1138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1221</v>
      </c>
      <c r="B1272" s="27" t="s">
        <v>964</v>
      </c>
      <c r="C1272" s="27" t="s">
        <v>1006</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978</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1108</v>
      </c>
      <c r="B1274" s="27" t="s">
        <v>964</v>
      </c>
      <c r="C1274" s="27" t="s">
        <v>1079</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1234</v>
      </c>
      <c r="B1275" s="27" t="s">
        <v>985</v>
      </c>
      <c r="C1275" s="27" t="s">
        <v>974</v>
      </c>
      <c r="D1275" s="27" t="s">
        <v>966</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1351</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1283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1238</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1007</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row>
    <row r="1281" spans="1:12">
      <c r="A1281" s="20" t="s">
        <v>1352</v>
      </c>
    </row>
    <row r="1282" spans="1:12">
      <c r="A1282" s="20" t="s">
        <v>1217</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984</v>
      </c>
      <c r="B1283" s="27" t="s">
        <v>970</v>
      </c>
      <c r="C1283" s="27" t="s">
        <v>974</v>
      </c>
      <c r="D1283" s="27" t="s">
        <v>966</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249</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990</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1344</v>
      </c>
      <c r="B1286" s="27" t="s">
        <v>973</v>
      </c>
      <c r="C1286" s="27" t="s">
        <v>1061</v>
      </c>
      <c r="D1286" s="27" t="s">
        <v>966</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1084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row>
    <row r="1289" spans="1:12">
      <c r="A1289" s="20" t="s">
        <v>1353</v>
      </c>
    </row>
    <row r="1290" spans="1:12">
      <c r="A1290" s="20" t="s">
        <v>1086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967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1178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1007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row>
    <row r="1295" spans="1:12">
      <c r="A1295" s="20" t="s">
        <v>1354</v>
      </c>
    </row>
    <row r="1296" spans="1:12">
      <c r="A1296" s="20" t="s">
        <v>1036</v>
      </c>
      <c r="B1296" s="27" t="s">
        <v>964</v>
      </c>
      <c r="C1296" s="27" t="s">
        <v>1006</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967</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1355</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1082</v>
      </c>
      <c r="B1299" s="27" t="s">
        <v>980</v>
      </c>
      <c r="C1299" s="27" t="s">
        <v>974</v>
      </c>
      <c r="D1299" s="27" t="s">
        <v>966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1080</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1007</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row>
    <row r="1303" spans="1:12">
      <c r="A1303" s="20" t="s">
        <v>1356</v>
      </c>
    </row>
    <row r="1304" spans="1:12">
      <c r="A1304" s="20" t="s">
        <v>1217</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1034</v>
      </c>
      <c r="B1305" s="27" t="s">
        <v>970</v>
      </c>
      <c r="C1305" s="27" t="s">
        <v>974</v>
      </c>
      <c r="D1305" s="27" t="s">
        <v>966</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249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1041</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1345</v>
      </c>
      <c r="B1308" s="27" t="s">
        <v>973</v>
      </c>
      <c r="C1308" s="27" t="s">
        <v>1044</v>
      </c>
      <c r="D1308" s="27" t="s">
        <v>966</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1084</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row>
    <row r="1311" spans="1:12">
      <c r="A1311" s="20" t="s">
        <v>1357</v>
      </c>
    </row>
    <row r="1312" spans="1:12">
      <c r="A1312" s="20" t="s">
        <v>1358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1012</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1245</v>
      </c>
      <c r="B1314" s="27" t="s">
        <v>964</v>
      </c>
      <c r="C1314" s="27" t="s">
        <v>1006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983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1305</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1012</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1245</v>
      </c>
      <c r="B1318" s="27" t="s">
        <v>1013</v>
      </c>
      <c r="C1318" s="27" t="s">
        <v>1006</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1007</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row>
    <row r="1321" spans="1:12">
      <c r="A1321" s="20" t="s">
        <v>1359</v>
      </c>
    </row>
    <row r="1322" spans="1:12">
      <c r="A1322" s="20" t="s">
        <v>1086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967</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1211</v>
      </c>
      <c r="B1324" s="27" t="s">
        <v>970</v>
      </c>
      <c r="C1324" s="27" t="s">
        <v>1014</v>
      </c>
      <c r="D1324" s="27" t="s">
        <v>966</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1096</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1336</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1007</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row>
    <row r="1329" spans="1:12">
      <c r="A1329" s="20" t="s">
        <v>1360</v>
      </c>
    </row>
    <row r="1330" spans="1:12">
      <c r="A1330" s="20" t="s">
        <v>969</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1059</v>
      </c>
      <c r="B1331" s="27" t="s">
        <v>970</v>
      </c>
      <c r="C1331" s="27" t="s">
        <v>1014</v>
      </c>
      <c r="D1331" s="27" t="s">
        <v>966</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1080</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1259</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1361</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1150</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1362</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1215</v>
      </c>
      <c r="B1337" s="27" t="s">
        <v>1039</v>
      </c>
      <c r="C1337" s="27" t="s">
        <v>965</v>
      </c>
      <c r="D1337" s="27" t="s">
        <v>966</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1007</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row>
    <row r="1340" spans="1:12">
      <c r="A1340" s="20" t="s">
        <v>1363</v>
      </c>
    </row>
    <row r="1341" spans="1:12">
      <c r="A1341" s="20" t="s">
        <v>1104</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1187</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1096</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1364</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1365</v>
      </c>
      <c r="B1345" s="27" t="s">
        <v>970</v>
      </c>
      <c r="C1345" s="27" t="s">
        <v>1065</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983</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1364</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1366</v>
      </c>
      <c r="B1348" s="27" t="s">
        <v>1013</v>
      </c>
      <c r="C1348" s="27" t="s">
        <v>1065</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1000</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997</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1345</v>
      </c>
      <c r="B1351" s="27" t="s">
        <v>1043</v>
      </c>
      <c r="C1351" s="27" t="s">
        <v>977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983</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1141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1059</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1224</v>
      </c>
      <c r="B1355" s="27" t="s">
        <v>980</v>
      </c>
      <c r="C1355" s="27" t="s">
        <v>1061</v>
      </c>
      <c r="D1355" s="27" t="s">
        <v>966</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1000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997</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1345</v>
      </c>
      <c r="B1358" s="27" t="s">
        <v>1043</v>
      </c>
      <c r="C1358" s="27" t="s">
        <v>977</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1080</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1087</v>
      </c>
      <c r="B1360" s="27" t="s">
        <v>964</v>
      </c>
      <c r="C1360" s="27" t="s">
        <v>1088</v>
      </c>
      <c r="D1360" s="27" t="s">
        <v>966</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1194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990</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1034</v>
      </c>
      <c r="B1363" s="27" t="s">
        <v>1056</v>
      </c>
      <c r="C1363" s="27" t="s">
        <v>974</v>
      </c>
      <c r="D1363" s="27" t="s">
        <v>966</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1347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126</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983</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978</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1331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990</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1041</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1245</v>
      </c>
      <c r="B1371" s="27" t="s">
        <v>1029</v>
      </c>
      <c r="C1371" s="27" t="s">
        <v>1044</v>
      </c>
      <c r="D1371" s="27" t="s">
        <v>966</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1230</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1114</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1000</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126</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1007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row>
    <row r="1378" spans="1:12">
      <c r="A1378" s="20" t="s">
        <v>1367</v>
      </c>
    </row>
    <row r="1379" spans="1:12">
      <c r="A1379" s="20" t="s">
        <v>1368</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1150</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1369</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1049</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1198</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1041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1047</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1299</v>
      </c>
      <c r="B1386" s="27" t="s">
        <v>964</v>
      </c>
      <c r="C1386" s="27" t="s">
        <v>1044</v>
      </c>
      <c r="D1386" s="27" t="s">
        <v>966</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983</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1082</v>
      </c>
      <c r="B1388" s="27" t="s">
        <v>980</v>
      </c>
      <c r="C1388" s="27" t="s">
        <v>974</v>
      </c>
      <c r="D1388" s="27" t="s">
        <v>966</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1205</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1238</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1047</v>
      </c>
      <c r="B1391" s="27" t="s">
        <v>1013</v>
      </c>
      <c r="C1391" s="27" t="s">
        <v>1006</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983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1107</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1190</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1105</v>
      </c>
      <c r="B1395" s="27" t="s">
        <v>1013</v>
      </c>
      <c r="C1395" s="27" t="s">
        <v>1006</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1096</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1160</v>
      </c>
      <c r="B1397" s="27" t="s">
        <v>964</v>
      </c>
      <c r="C1397" s="27" t="s">
        <v>1053</v>
      </c>
      <c r="D1397" s="27" t="s">
        <v>966</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978</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1370</v>
      </c>
      <c r="B1399" s="27" t="s">
        <v>1043</v>
      </c>
      <c r="C1399" s="27" t="s">
        <v>1051</v>
      </c>
      <c r="D1399" s="27" t="s">
        <v>966</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1097</v>
      </c>
      <c r="B1400" s="27" t="s">
        <v>1013</v>
      </c>
      <c r="C1400" s="27" t="s">
        <v>1053</v>
      </c>
      <c r="D1400" s="27" t="s">
        <v>966</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1007</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row>
    <row r="1403" spans="1:12">
      <c r="A1403" s="20" t="s">
        <v>1371</v>
      </c>
    </row>
    <row r="1404" spans="1:12">
      <c r="A1404" s="20" t="s">
        <v>1009</v>
      </c>
      <c r="B1404" s="27" t="s">
        <v>970</v>
      </c>
      <c r="C1404" s="27" t="s">
        <v>974</v>
      </c>
      <c r="D1404" s="27" t="s">
        <v>966</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1372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213</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997</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285</v>
      </c>
      <c r="B1408" s="27" t="s">
        <v>973</v>
      </c>
      <c r="C1408" s="27" t="s">
        <v>977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1009</v>
      </c>
      <c r="B1409" s="27" t="s">
        <v>985</v>
      </c>
      <c r="C1409" s="27" t="s">
        <v>974</v>
      </c>
      <c r="D1409" s="27" t="s">
        <v>966</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1373</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988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417</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1270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1198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990</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990</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984</v>
      </c>
      <c r="B1417" s="27" t="s">
        <v>980</v>
      </c>
      <c r="C1417" s="27" t="s">
        <v>974</v>
      </c>
      <c r="D1417" s="27" t="s">
        <v>966</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1120</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1374</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1007</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row>
    <row r="1422" spans="1:12">
      <c r="A1422" s="20" t="s">
        <v>1375</v>
      </c>
    </row>
    <row r="1423" spans="1:12">
      <c r="A1423" s="20" t="s">
        <v>1015</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1376</v>
      </c>
      <c r="B1424" s="27" t="s">
        <v>964</v>
      </c>
      <c r="C1424" s="27" t="s">
        <v>1006</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1017</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row>
    <row r="1427" spans="1:12">
      <c r="A1427" s="20" t="s">
        <v>1377</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1378</v>
      </c>
    </row>
    <row r="1429" spans="1:12">
      <c r="A1429" s="20" t="s">
        <v>1379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1380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289</v>
      </c>
      <c r="B1431" s="27" t="s">
        <v>964</v>
      </c>
      <c r="C1431" s="27" t="s">
        <v>965</v>
      </c>
      <c r="D1431" s="27" t="s">
        <v>966</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983</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1381</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1380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1382</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row>
    <row r="1437" spans="1:12">
      <c r="A1437" s="20" t="s">
        <v>1383</v>
      </c>
    </row>
    <row r="1438" spans="1:12">
      <c r="A1438" s="20" t="s">
        <v>293</v>
      </c>
      <c r="B1438" s="27" t="s">
        <v>964</v>
      </c>
      <c r="C1438" s="27" t="s">
        <v>965</v>
      </c>
      <c r="D1438" s="27" t="s">
        <v>966</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1384</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967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row>
    <row r="1442" spans="1:12">
      <c r="A1442" s="20" t="s">
        <v>1385</v>
      </c>
    </row>
    <row r="1443" spans="1:12">
      <c r="A1443" s="20" t="s">
        <v>1386</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1093</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1066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983</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1009</v>
      </c>
      <c r="B1447" s="27" t="s">
        <v>970</v>
      </c>
      <c r="C1447" s="27" t="s">
        <v>974</v>
      </c>
      <c r="D1447" s="27" t="s">
        <v>966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1387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997</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1388</v>
      </c>
      <c r="B1450" s="27" t="s">
        <v>973</v>
      </c>
      <c r="C1450" s="27" t="s">
        <v>977</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1000</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1389</v>
      </c>
      <c r="B1452" s="27" t="s">
        <v>1013</v>
      </c>
      <c r="C1452" s="27" t="s">
        <v>1006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1007</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row>
    <row r="1455" spans="1:12">
      <c r="A1455" s="20" t="s">
        <v>1390</v>
      </c>
    </row>
    <row r="1456" spans="1:12">
      <c r="A1456" s="20" t="s">
        <v>1391</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1392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1234</v>
      </c>
      <c r="B1458" s="27" t="s">
        <v>970</v>
      </c>
      <c r="C1458" s="27" t="s">
        <v>974</v>
      </c>
      <c r="D1458" s="27" t="s">
        <v>966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1205</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1393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1269</v>
      </c>
      <c r="B1461" s="27" t="s">
        <v>1039</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1394</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1041</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964</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1007</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row>
    <row r="1467" spans="1:12">
      <c r="A1467" s="20" t="s">
        <v>1395</v>
      </c>
    </row>
    <row r="1468" spans="1:12">
      <c r="A1468" s="20" t="s">
        <v>1009</v>
      </c>
      <c r="B1468" s="27" t="s">
        <v>970</v>
      </c>
      <c r="C1468" s="27" t="s">
        <v>974</v>
      </c>
      <c r="D1468" s="27" t="s">
        <v>966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1396</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1275</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1041</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1397</v>
      </c>
      <c r="B1472" s="27" t="s">
        <v>973</v>
      </c>
      <c r="C1472" s="27" t="s">
        <v>1044</v>
      </c>
      <c r="D1472" s="27" t="s">
        <v>966</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978</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1234</v>
      </c>
      <c r="B1474" s="27" t="s">
        <v>980</v>
      </c>
      <c r="C1474" s="27" t="s">
        <v>974</v>
      </c>
      <c r="D1474" s="27" t="s">
        <v>966</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1372</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992</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319</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972</v>
      </c>
      <c r="B1478" s="27" t="s">
        <v>1039</v>
      </c>
      <c r="C1478" s="27" t="s">
        <v>974</v>
      </c>
      <c r="D1478" s="27" t="s">
        <v>966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1128</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1007</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row>
    <row r="1482" spans="1:12">
      <c r="A1482" s="20" t="s">
        <v>1398</v>
      </c>
    </row>
    <row r="1483" spans="1:12">
      <c r="A1483" s="20" t="s">
        <v>969</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983</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1009</v>
      </c>
      <c r="B1485" s="27" t="s">
        <v>970</v>
      </c>
      <c r="C1485" s="27" t="s">
        <v>974</v>
      </c>
      <c r="D1485" s="27" t="s">
        <v>966</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1315</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978</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1009</v>
      </c>
      <c r="B1488" s="27" t="s">
        <v>980</v>
      </c>
      <c r="C1488" s="27" t="s">
        <v>974</v>
      </c>
      <c r="D1488" s="27" t="s">
        <v>966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1372</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997</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1047</v>
      </c>
      <c r="B1491" s="27" t="s">
        <v>1039</v>
      </c>
      <c r="C1491" s="27" t="s">
        <v>977</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1007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row>
    <row r="1494" spans="1:12">
      <c r="A1494" s="20" t="s">
        <v>1377</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1399</v>
      </c>
    </row>
    <row r="1496" spans="1:12">
      <c r="A1496" s="20" t="s">
        <v>1379</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1380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293</v>
      </c>
      <c r="B1498" s="27" t="s">
        <v>964</v>
      </c>
      <c r="C1498" s="27" t="s">
        <v>965</v>
      </c>
      <c r="D1498" s="27" t="s">
        <v>966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1384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983</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1400</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1380</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1382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row>
    <row r="1505" spans="1:12">
      <c r="A1505" s="20" t="s">
        <v>1401</v>
      </c>
    </row>
    <row r="1506" spans="1:12">
      <c r="A1506" s="20" t="s">
        <v>1402</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1403</v>
      </c>
      <c r="B1507" s="27" t="s">
        <v>964</v>
      </c>
      <c r="C1507" s="27" t="s">
        <v>1006</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1007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row>
    <row r="1510" spans="1:12">
      <c r="A1510" s="20" t="s">
        <v>1404</v>
      </c>
    </row>
    <row r="1511" spans="1:12">
      <c r="A1511" s="20" t="s">
        <v>1405</v>
      </c>
      <c r="B1511" s="27" t="s">
        <v>970</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1000</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1041</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1406</v>
      </c>
      <c r="B1514" s="27" t="s">
        <v>1013</v>
      </c>
      <c r="C1514" s="27" t="s">
        <v>1044</v>
      </c>
      <c r="D1514" s="27" t="s">
        <v>966</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1407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972</v>
      </c>
      <c r="B1516" s="27" t="s">
        <v>973</v>
      </c>
      <c r="C1516" s="27" t="s">
        <v>974</v>
      </c>
      <c r="D1516" s="27" t="s">
        <v>966</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990</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1408</v>
      </c>
      <c r="B1518" s="27" t="s">
        <v>980</v>
      </c>
      <c r="C1518" s="27" t="s">
        <v>1006</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1409</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274</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1041</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1410</v>
      </c>
      <c r="B1522" s="27" t="s">
        <v>964</v>
      </c>
      <c r="C1522" s="27" t="s">
        <v>1044</v>
      </c>
      <c r="D1522" s="27" t="s">
        <v>966</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1007</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row>
    <row r="1525" spans="1:12">
      <c r="A1525" s="20" t="s">
        <v>1411</v>
      </c>
    </row>
    <row r="1526" spans="1:12">
      <c r="A1526" s="20" t="s">
        <v>1170</v>
      </c>
      <c r="B1526" s="27" t="s">
        <v>970</v>
      </c>
      <c r="C1526" s="27" t="s">
        <v>974</v>
      </c>
      <c r="D1526" s="27" t="s">
        <v>966</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982</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983</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1412</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1413</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1414</v>
      </c>
      <c r="B1531" s="27" t="s">
        <v>973</v>
      </c>
      <c r="C1531" s="27" t="s">
        <v>1006</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1415</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1041</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1416</v>
      </c>
      <c r="B1534" s="27" t="s">
        <v>1013</v>
      </c>
      <c r="C1534" s="27" t="s">
        <v>1044</v>
      </c>
      <c r="D1534" s="27" t="s">
        <v>966</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1007</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row>
    <row r="1537" spans="1:12">
      <c r="A1537" s="20" t="s">
        <v>1417</v>
      </c>
    </row>
    <row r="1538" spans="1:12">
      <c r="A1538" s="20" t="s">
        <v>1391</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1394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997</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1418</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1419</v>
      </c>
      <c r="B1542" s="27" t="s">
        <v>964</v>
      </c>
      <c r="C1542" s="27" t="s">
        <v>977</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1041</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1408</v>
      </c>
      <c r="B1544" s="27" t="s">
        <v>980</v>
      </c>
      <c r="C1544" s="27" t="s">
        <v>1044</v>
      </c>
      <c r="D1544" s="27" t="s">
        <v>966</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1420</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1007</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row>
    <row r="1548" spans="1:12">
      <c r="A1548" s="20" t="s">
        <v>1421</v>
      </c>
    </row>
    <row r="1549" spans="1:12">
      <c r="A1549" s="20" t="s">
        <v>1009</v>
      </c>
      <c r="B1549" s="27" t="s">
        <v>970</v>
      </c>
      <c r="C1549" s="27" t="s">
        <v>974</v>
      </c>
      <c r="D1549" s="27" t="s">
        <v>966</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987</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1295</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1040</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1041</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1042</v>
      </c>
      <c r="B1554" s="27" t="s">
        <v>1013</v>
      </c>
      <c r="C1554" s="27" t="s">
        <v>1044</v>
      </c>
      <c r="D1554" s="27" t="s">
        <v>966</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1007</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row>
    <row r="1557" spans="1:12">
      <c r="A1557" s="20" t="s">
        <v>1422</v>
      </c>
    </row>
    <row r="1558" spans="1:12">
      <c r="A1558" s="20" t="s">
        <v>1009</v>
      </c>
      <c r="B1558" s="27" t="s">
        <v>970</v>
      </c>
      <c r="C1558" s="27" t="s">
        <v>974</v>
      </c>
      <c r="D1558" s="27" t="s">
        <v>966</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213</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1059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1423</v>
      </c>
      <c r="B1561" s="27" t="s">
        <v>973</v>
      </c>
      <c r="C1561" s="27" t="s">
        <v>1061</v>
      </c>
      <c r="D1561" s="27" t="s">
        <v>966</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1308</v>
      </c>
      <c r="B1562" s="27" t="s">
        <v>980</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1107</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1347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994</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988</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1424</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1318</v>
      </c>
      <c r="B1568" s="27" t="s">
        <v>1026</v>
      </c>
      <c r="C1568" s="27" t="s">
        <v>1051</v>
      </c>
      <c r="D1568" s="27" t="s">
        <v>966</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1425</v>
      </c>
      <c r="B1569" s="27" t="s">
        <v>1046</v>
      </c>
      <c r="C1569" s="27" t="s">
        <v>1053</v>
      </c>
      <c r="D1569" s="27" t="s">
        <v>966</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1007</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row>
    <row r="1572" spans="1:12">
      <c r="A1572" s="20" t="s">
        <v>1426</v>
      </c>
    </row>
    <row r="1573" spans="1:12">
      <c r="A1573" s="20" t="s">
        <v>969</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1009</v>
      </c>
      <c r="B1574" s="27" t="s">
        <v>970</v>
      </c>
      <c r="C1574" s="27" t="s">
        <v>974</v>
      </c>
      <c r="D1574" s="27" t="s">
        <v>966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1315</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1238</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1427</v>
      </c>
      <c r="B1577" s="27" t="s">
        <v>964</v>
      </c>
      <c r="C1577" s="27" t="s">
        <v>974</v>
      </c>
      <c r="D1577" s="27" t="s">
        <v>966</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988</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1041</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1428</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1429</v>
      </c>
      <c r="B1581" s="27" t="s">
        <v>964</v>
      </c>
      <c r="C1581" s="27" t="s">
        <v>1044</v>
      </c>
      <c r="D1581" s="27" t="s">
        <v>966</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978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984</v>
      </c>
      <c r="B1583" s="27" t="s">
        <v>980</v>
      </c>
      <c r="C1583" s="27" t="s">
        <v>974</v>
      </c>
      <c r="D1583" s="27" t="s">
        <v>966</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1396</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1275</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1430</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1431</v>
      </c>
      <c r="B1587" s="27" t="s">
        <v>1039</v>
      </c>
      <c r="C1587" s="27" t="s">
        <v>1006</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1007</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row>
    <row r="1590" spans="1:12">
      <c r="A1590" s="20" t="s">
        <v>1432</v>
      </c>
    </row>
    <row r="1591" spans="1:12">
      <c r="A1591" s="20" t="s">
        <v>1144</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1009</v>
      </c>
      <c r="B1592" s="27" t="s">
        <v>980</v>
      </c>
      <c r="C1592" s="27" t="s">
        <v>974</v>
      </c>
      <c r="D1592" s="27" t="s">
        <v>966</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1433</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1427</v>
      </c>
      <c r="B1594" s="27" t="s">
        <v>1039</v>
      </c>
      <c r="C1594" s="27" t="s">
        <v>974</v>
      </c>
      <c r="D1594" s="27" t="s">
        <v>966</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1434</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983</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979</v>
      </c>
      <c r="B1597" s="27" t="s">
        <v>970</v>
      </c>
      <c r="C1597" s="27" t="s">
        <v>974</v>
      </c>
      <c r="D1597" s="27" t="s">
        <v>966</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1188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1083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988</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1435</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997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1436</v>
      </c>
      <c r="B1603" s="27" t="s">
        <v>1039</v>
      </c>
      <c r="C1603" s="27" t="s">
        <v>977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1138</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1041</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1437</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1317</v>
      </c>
      <c r="B1607" s="27" t="s">
        <v>1013</v>
      </c>
      <c r="C1607" s="27" t="s">
        <v>1044</v>
      </c>
      <c r="D1607" s="27" t="s">
        <v>966</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1007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row>
    <row r="1610" spans="1:12">
      <c r="A1610" s="20" t="s">
        <v>1438</v>
      </c>
    </row>
    <row r="1611" spans="1:12">
      <c r="A1611" s="20" t="s">
        <v>1009</v>
      </c>
      <c r="B1611" s="27" t="s">
        <v>970</v>
      </c>
      <c r="C1611" s="27" t="s">
        <v>974</v>
      </c>
      <c r="D1611" s="27" t="s">
        <v>966</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1439</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1440</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1019</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1087</v>
      </c>
      <c r="B1615" s="27" t="s">
        <v>980</v>
      </c>
      <c r="C1615" s="27" t="s">
        <v>1088</v>
      </c>
      <c r="D1615" s="27" t="s">
        <v>966</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990</v>
      </c>
      <c r="B1616" s="27" t="s">
        <v>1056</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1188</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992</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1187</v>
      </c>
      <c r="B1619" s="27" t="s">
        <v>1043</v>
      </c>
      <c r="C1619" s="27" t="s">
        <v>1441</v>
      </c>
      <c r="D1619" s="27" t="s">
        <v>966</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1267</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1188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1392</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1187</v>
      </c>
      <c r="B1623" s="27" t="s">
        <v>964</v>
      </c>
      <c r="C1623" s="27" t="s">
        <v>1441</v>
      </c>
      <c r="D1623" s="27" t="s">
        <v>966</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1007</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row>
    <row r="1626" spans="1:12">
      <c r="A1626" s="20" t="s">
        <v>1442</v>
      </c>
    </row>
    <row r="1627" spans="1:12">
      <c r="A1627" s="20" t="s">
        <v>1009</v>
      </c>
      <c r="B1627" s="27" t="s">
        <v>970</v>
      </c>
      <c r="C1627" s="27" t="s">
        <v>974</v>
      </c>
      <c r="D1627" s="27" t="s">
        <v>966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1226</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990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1116</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1443</v>
      </c>
      <c r="B1631" s="27" t="s">
        <v>980</v>
      </c>
      <c r="C1631" s="27" t="s">
        <v>1088</v>
      </c>
      <c r="D1631" s="27" t="s">
        <v>966</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1230</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274</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1247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988</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1444</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1108</v>
      </c>
      <c r="B1637" s="27" t="s">
        <v>1046</v>
      </c>
      <c r="C1637" s="27" t="s">
        <v>1079</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1009</v>
      </c>
      <c r="B1638" s="27" t="s">
        <v>1029</v>
      </c>
      <c r="C1638" s="27" t="s">
        <v>974</v>
      </c>
      <c r="D1638" s="27" t="s">
        <v>966</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1188</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1247</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988</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1444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1007</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row>
    <row r="1645" spans="1:12">
      <c r="A1645" s="20" t="s">
        <v>1445</v>
      </c>
    </row>
    <row r="1646" spans="1:12">
      <c r="A1646" s="20" t="s">
        <v>1009</v>
      </c>
      <c r="B1646" s="27" t="s">
        <v>970</v>
      </c>
      <c r="C1646" s="27" t="s">
        <v>974</v>
      </c>
      <c r="D1646" s="27" t="s">
        <v>966</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1446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990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1009</v>
      </c>
      <c r="B1649" s="27" t="s">
        <v>980</v>
      </c>
      <c r="C1649" s="27" t="s">
        <v>974</v>
      </c>
      <c r="D1649" s="27" t="s">
        <v>966</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822</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988</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213</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975</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1042</v>
      </c>
      <c r="B1654" s="27" t="s">
        <v>1046</v>
      </c>
      <c r="C1654" s="27" t="s">
        <v>977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990</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1075</v>
      </c>
      <c r="B1656" s="27" t="s">
        <v>999</v>
      </c>
      <c r="C1656" s="27" t="s">
        <v>1051</v>
      </c>
      <c r="D1656" s="27" t="s">
        <v>966</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1447</v>
      </c>
      <c r="B1657" s="27" t="s">
        <v>1029</v>
      </c>
      <c r="C1657" s="27" t="s">
        <v>1053</v>
      </c>
      <c r="D1657" s="27" t="s">
        <v>966</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1230</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1448</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1007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row>
    <row r="1662" spans="1:12">
      <c r="A1662" s="20" t="s">
        <v>1449</v>
      </c>
    </row>
    <row r="1663" spans="1:12">
      <c r="A1663" s="20" t="s">
        <v>969</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1009</v>
      </c>
      <c r="B1664" s="27" t="s">
        <v>970</v>
      </c>
      <c r="C1664" s="27" t="s">
        <v>974</v>
      </c>
      <c r="D1664" s="27" t="s">
        <v>966</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1446</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1040</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997</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1450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357</v>
      </c>
      <c r="B1669" s="27" t="s">
        <v>964</v>
      </c>
      <c r="C1669" s="27" t="s">
        <v>977</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1007</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row>
    <row r="1672" spans="1:12">
      <c r="A1672" s="20" t="s">
        <v>1451</v>
      </c>
    </row>
    <row r="1673" spans="1:12">
      <c r="A1673" s="20" t="s">
        <v>1452</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1453</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1454</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1450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357</v>
      </c>
      <c r="B1677" s="27" t="s">
        <v>964</v>
      </c>
      <c r="C1677" s="27" t="s">
        <v>977</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1007</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row>
    <row r="1680" spans="1:12">
      <c r="A1680" s="20" t="s">
        <v>1455</v>
      </c>
    </row>
    <row r="1681" spans="1:12">
      <c r="A1681" s="20" t="s">
        <v>1144</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1009</v>
      </c>
      <c r="B1682" s="27" t="s">
        <v>980</v>
      </c>
      <c r="C1682" s="27" t="s">
        <v>974</v>
      </c>
      <c r="D1682" s="27" t="s">
        <v>966</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331</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1097</v>
      </c>
      <c r="B1684" s="27" t="s">
        <v>1039</v>
      </c>
      <c r="C1684" s="27" t="s">
        <v>1006</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1198</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1075</v>
      </c>
      <c r="B1686" s="27" t="s">
        <v>1043</v>
      </c>
      <c r="C1686" s="27" t="s">
        <v>1051</v>
      </c>
      <c r="D1686" s="27" t="s">
        <v>966</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1456</v>
      </c>
      <c r="B1687" s="27" t="s">
        <v>1013</v>
      </c>
      <c r="C1687" s="27" t="s">
        <v>1053</v>
      </c>
      <c r="D1687" s="27" t="s">
        <v>966</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983</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1009</v>
      </c>
      <c r="B1689" s="27" t="s">
        <v>970</v>
      </c>
      <c r="C1689" s="27" t="s">
        <v>974</v>
      </c>
      <c r="D1689" s="27" t="s">
        <v>966</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1010</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1247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988</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1457</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1041</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1097</v>
      </c>
      <c r="B1695" s="27" t="s">
        <v>1039</v>
      </c>
      <c r="C1695" s="27" t="s">
        <v>1044</v>
      </c>
      <c r="D1695" s="27" t="s">
        <v>966</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1198</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1041</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1450</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357</v>
      </c>
      <c r="B1699" s="27" t="s">
        <v>1013</v>
      </c>
      <c r="C1699" s="27" t="s">
        <v>1044</v>
      </c>
      <c r="D1699" s="27" t="s">
        <v>966</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1007</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row>
    <row r="1702" spans="1:12">
      <c r="A1702" s="20" t="s">
        <v>1458</v>
      </c>
    </row>
    <row r="1703" spans="1:12">
      <c r="A1703" s="20" t="s">
        <v>969</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1082</v>
      </c>
      <c r="B1704" s="27" t="s">
        <v>970</v>
      </c>
      <c r="C1704" s="27" t="s">
        <v>974</v>
      </c>
      <c r="D1704" s="27" t="s">
        <v>966</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1096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981</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994</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997</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191</v>
      </c>
      <c r="B1709" s="27" t="s">
        <v>964</v>
      </c>
      <c r="C1709" s="27" t="s">
        <v>977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1007</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row>
    <row r="1712" spans="1:12">
      <c r="A1712" s="20" t="s">
        <v>1459</v>
      </c>
    </row>
    <row r="1713" spans="1:12">
      <c r="A1713" s="20" t="s">
        <v>1009</v>
      </c>
      <c r="B1713" s="27" t="s">
        <v>970</v>
      </c>
      <c r="C1713" s="27" t="s">
        <v>974</v>
      </c>
      <c r="D1713" s="27" t="s">
        <v>966</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1448</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1041</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1042</v>
      </c>
      <c r="B1716" s="27" t="s">
        <v>973</v>
      </c>
      <c r="C1716" s="27" t="s">
        <v>1044</v>
      </c>
      <c r="D1716" s="27" t="s">
        <v>966</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988</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134</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1105</v>
      </c>
      <c r="B1719" s="27" t="s">
        <v>1039</v>
      </c>
      <c r="C1719" s="27" t="s">
        <v>1006</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1007</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row>
    <row r="1722" spans="1:12">
      <c r="A1722" s="20" t="s">
        <v>1460</v>
      </c>
    </row>
    <row r="1723" spans="1:12">
      <c r="A1723" s="20" t="s">
        <v>1009</v>
      </c>
      <c r="B1723" s="27" t="s">
        <v>970</v>
      </c>
      <c r="C1723" s="27" t="s">
        <v>974</v>
      </c>
      <c r="D1723" s="27" t="s">
        <v>966</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59</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1009</v>
      </c>
      <c r="B1725" s="27" t="s">
        <v>980</v>
      </c>
      <c r="C1725" s="27" t="s">
        <v>974</v>
      </c>
      <c r="D1725" s="27" t="s">
        <v>966</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1461</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1462</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1124</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997</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1463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1464</v>
      </c>
      <c r="B1731" s="27" t="s">
        <v>1013</v>
      </c>
      <c r="C1731" s="27" t="s">
        <v>977</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1124</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972</v>
      </c>
      <c r="B1733" s="27" t="s">
        <v>1043</v>
      </c>
      <c r="C1733" s="27" t="s">
        <v>974</v>
      </c>
      <c r="D1733" s="27" t="s">
        <v>966</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978</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1075</v>
      </c>
      <c r="B1735" s="27" t="s">
        <v>1023</v>
      </c>
      <c r="C1735" s="27" t="s">
        <v>1051</v>
      </c>
      <c r="D1735" s="27" t="s">
        <v>966</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1465</v>
      </c>
      <c r="B1736" s="27" t="s">
        <v>1026</v>
      </c>
      <c r="C1736" s="27" t="s">
        <v>1053</v>
      </c>
      <c r="D1736" s="27" t="s">
        <v>966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1007</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row>
    <row r="1739" spans="1:12">
      <c r="A1739" s="20" t="s">
        <v>1466</v>
      </c>
    </row>
    <row r="1740" spans="1:12">
      <c r="A1740" s="20" t="s">
        <v>969</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1467</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1105</v>
      </c>
      <c r="B1742" s="27" t="s">
        <v>970</v>
      </c>
      <c r="C1742" s="27" t="s">
        <v>1065</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213</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1444</v>
      </c>
      <c r="B1744" s="27" t="s">
        <v>973</v>
      </c>
      <c r="C1744" s="27" t="s">
        <v>1006</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988</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1097</v>
      </c>
      <c r="B1746" s="27" t="s">
        <v>1013</v>
      </c>
      <c r="C1746" s="27" t="s">
        <v>1006</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983</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1141</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1187</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1096</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1364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1468</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1283</v>
      </c>
      <c r="B1754" s="27" t="s">
        <v>1039</v>
      </c>
      <c r="C1754" s="27" t="s">
        <v>1065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988</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990</v>
      </c>
      <c r="B1756" s="27" t="s">
        <v>1043</v>
      </c>
      <c r="C1756" s="27" t="s">
        <v>1014</v>
      </c>
      <c r="D1756" s="27" t="s">
        <v>966</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1007</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row>
    <row r="1759" spans="1:12">
      <c r="A1759" s="20" t="s">
        <v>1469</v>
      </c>
    </row>
    <row r="1760" spans="1:12">
      <c r="A1760" s="20" t="s">
        <v>1009</v>
      </c>
      <c r="B1760" s="27" t="s">
        <v>970</v>
      </c>
      <c r="C1760" s="27" t="s">
        <v>974</v>
      </c>
      <c r="D1760" s="27" t="s">
        <v>966</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59</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1041</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1468</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12</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1283</v>
      </c>
      <c r="B1765" s="27" t="s">
        <v>973</v>
      </c>
      <c r="C1765" s="27" t="s">
        <v>1044</v>
      </c>
      <c r="D1765" s="27" t="s">
        <v>966</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988</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990</v>
      </c>
      <c r="B1767" s="27" t="s">
        <v>1013</v>
      </c>
      <c r="C1767" s="27" t="s">
        <v>1014</v>
      </c>
      <c r="D1767" s="27" t="s">
        <v>966</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1080</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1090</v>
      </c>
      <c r="B1769" s="27" t="s">
        <v>1013</v>
      </c>
      <c r="C1769" s="27" t="s">
        <v>1051</v>
      </c>
      <c r="D1769" s="27" t="s">
        <v>966</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1470</v>
      </c>
      <c r="B1770" s="27" t="s">
        <v>964</v>
      </c>
      <c r="C1770" s="27" t="s">
        <v>1053</v>
      </c>
      <c r="D1770" s="27" t="s">
        <v>966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1007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row>
    <row r="1773" spans="1:12">
      <c r="A1773" s="20" t="s">
        <v>1471</v>
      </c>
    </row>
    <row r="1774" spans="1:12">
      <c r="A1774" s="20" t="s">
        <v>1144</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1105</v>
      </c>
      <c r="B1775" s="27" t="s">
        <v>980</v>
      </c>
      <c r="C1775" s="27" t="s">
        <v>1006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213</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1041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1470</v>
      </c>
      <c r="B1778" s="27" t="s">
        <v>1039</v>
      </c>
      <c r="C1778" s="27" t="s">
        <v>1044</v>
      </c>
      <c r="D1778" s="27" t="s">
        <v>966</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983</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1234</v>
      </c>
      <c r="B1780" s="27" t="s">
        <v>970</v>
      </c>
      <c r="C1780" s="27" t="s">
        <v>974</v>
      </c>
      <c r="D1780" s="27" t="s">
        <v>966</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1230</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381</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1472</v>
      </c>
      <c r="B1783" s="27" t="s">
        <v>973</v>
      </c>
      <c r="C1783" s="27" t="s">
        <v>1006</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1473</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1167</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988</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1212</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1275</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1007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row>
    <row r="1791" spans="1:12">
      <c r="A1791" s="20" t="s">
        <v>1474</v>
      </c>
    </row>
    <row r="1792" spans="1:12">
      <c r="A1792" s="20" t="s">
        <v>1475</v>
      </c>
      <c r="B1792" s="27" t="s">
        <v>970</v>
      </c>
      <c r="C1792" s="27" t="s">
        <v>1006</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1080</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1476</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983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1141</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1082</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1080</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1055</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984</v>
      </c>
      <c r="B1800" s="27" t="s">
        <v>985</v>
      </c>
      <c r="C1800" s="27" t="s">
        <v>974</v>
      </c>
      <c r="D1800" s="27" t="s">
        <v>966</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1448</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1082</v>
      </c>
      <c r="B1802" s="27" t="s">
        <v>1046</v>
      </c>
      <c r="C1802" s="27" t="s">
        <v>974</v>
      </c>
      <c r="D1802" s="27" t="s">
        <v>966</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990</v>
      </c>
      <c r="B1803" s="27" t="s">
        <v>1056</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1145</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1477</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1126</v>
      </c>
      <c r="B1806" s="27" t="s">
        <v>1045</v>
      </c>
      <c r="C1806" s="27" t="s">
        <v>974</v>
      </c>
      <c r="D1806" s="27" t="s">
        <v>966</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1007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row>
    <row r="1809" spans="1:12">
      <c r="A1809" s="20" t="s">
        <v>1478</v>
      </c>
    </row>
    <row r="1810" spans="1:12">
      <c r="A1810" s="20" t="s">
        <v>1015</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389</v>
      </c>
      <c r="B1811" s="27" t="s">
        <v>964</v>
      </c>
      <c r="C1811" s="27" t="s">
        <v>1006</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1017</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1086</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967</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1163</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983</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1041</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1233</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1123</v>
      </c>
      <c r="B1819" s="27" t="s">
        <v>980</v>
      </c>
      <c r="C1819" s="27" t="s">
        <v>1044</v>
      </c>
      <c r="D1819" s="27" t="s">
        <v>966</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1040</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990</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285</v>
      </c>
      <c r="B1822" s="27" t="s">
        <v>1013</v>
      </c>
      <c r="C1822" s="27" t="s">
        <v>1061</v>
      </c>
      <c r="D1822" s="27" t="s">
        <v>966</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983</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1120</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983</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1188</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984</v>
      </c>
      <c r="B1827" s="27" t="s">
        <v>980</v>
      </c>
      <c r="C1827" s="27" t="s">
        <v>974</v>
      </c>
      <c r="D1827" s="27" t="s">
        <v>966</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1150</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1479</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1040</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1082</v>
      </c>
      <c r="B1831" s="27" t="s">
        <v>1013</v>
      </c>
      <c r="C1831" s="27" t="s">
        <v>974</v>
      </c>
      <c r="D1831" s="27" t="s">
        <v>966</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1129</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1041</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1480</v>
      </c>
      <c r="B1834" s="27" t="s">
        <v>1013</v>
      </c>
      <c r="C1834" s="27" t="s">
        <v>1044</v>
      </c>
      <c r="D1834" s="27" t="s">
        <v>966</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983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978</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984</v>
      </c>
      <c r="B1837" s="27" t="s">
        <v>985</v>
      </c>
      <c r="C1837" s="27" t="s">
        <v>974</v>
      </c>
      <c r="D1837" s="27" t="s">
        <v>966</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1374</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1059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1481</v>
      </c>
      <c r="B1840" s="27" t="s">
        <v>1046</v>
      </c>
      <c r="C1840" s="27" t="s">
        <v>1061</v>
      </c>
      <c r="D1840" s="27" t="s">
        <v>966</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983</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978</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1482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990</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1483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1484</v>
      </c>
      <c r="B1846" s="27" t="s">
        <v>1046</v>
      </c>
      <c r="C1846" s="27" t="s">
        <v>1061</v>
      </c>
      <c r="D1846" s="27" t="s">
        <v>966</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1007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row>
    <row r="1849" spans="1:12">
      <c r="A1849" s="20" t="s">
        <v>1485</v>
      </c>
    </row>
    <row r="1850" spans="1:12">
      <c r="A1850" s="20" t="s">
        <v>1036</v>
      </c>
      <c r="B1850" s="27" t="s">
        <v>964</v>
      </c>
      <c r="C1850" s="27" t="s">
        <v>1006</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967</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1144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1009</v>
      </c>
      <c r="B1853" s="27" t="s">
        <v>985</v>
      </c>
      <c r="C1853" s="27" t="s">
        <v>974</v>
      </c>
      <c r="D1853" s="27" t="s">
        <v>966</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1072</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988</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1105</v>
      </c>
      <c r="B1856" s="27" t="s">
        <v>1043</v>
      </c>
      <c r="C1856" s="27" t="s">
        <v>1006</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1040</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1034</v>
      </c>
      <c r="B1858" s="27" t="s">
        <v>1026</v>
      </c>
      <c r="C1858" s="27" t="s">
        <v>974</v>
      </c>
      <c r="D1858" s="27" t="s">
        <v>966</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983</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1234</v>
      </c>
      <c r="B1860" s="27" t="s">
        <v>980</v>
      </c>
      <c r="C1860" s="27" t="s">
        <v>974</v>
      </c>
      <c r="D1860" s="27" t="s">
        <v>966</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22</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988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972</v>
      </c>
      <c r="B1863" s="27" t="s">
        <v>1013</v>
      </c>
      <c r="C1863" s="27" t="s">
        <v>974</v>
      </c>
      <c r="D1863" s="27" t="s">
        <v>966</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983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1105</v>
      </c>
      <c r="B1865" s="27" t="s">
        <v>964</v>
      </c>
      <c r="C1865" s="27" t="s">
        <v>1006</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1308</v>
      </c>
      <c r="B1866" s="27" t="s">
        <v>985</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541</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1034</v>
      </c>
      <c r="B1868" s="27" t="s">
        <v>1056</v>
      </c>
      <c r="C1868" s="27" t="s">
        <v>974</v>
      </c>
      <c r="D1868" s="27" t="s">
        <v>966</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1486</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983</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22</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983</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26</v>
      </c>
      <c r="B1873" s="27" t="s">
        <v>1056</v>
      </c>
      <c r="C1873" s="27" t="s">
        <v>965</v>
      </c>
      <c r="D1873" s="27" t="s">
        <v>966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1487</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988</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1488</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1041</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1095</v>
      </c>
      <c r="B1878" s="27" t="s">
        <v>1098</v>
      </c>
      <c r="C1878" s="27" t="s">
        <v>1044</v>
      </c>
      <c r="D1878" s="27" t="s">
        <v>966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983</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978</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979</v>
      </c>
      <c r="B1881" s="27" t="s">
        <v>980</v>
      </c>
      <c r="C1881" s="27" t="s">
        <v>974</v>
      </c>
      <c r="D1881" s="27" t="s">
        <v>966</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1489</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1490</v>
      </c>
      <c r="B1883" s="27" t="s">
        <v>985</v>
      </c>
      <c r="C1883" s="27" t="s">
        <v>1006</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1230</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417</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1041</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1186</v>
      </c>
      <c r="B1887" s="27" t="s">
        <v>1046</v>
      </c>
      <c r="C1887" s="27" t="s">
        <v>1044</v>
      </c>
      <c r="D1887" s="27" t="s">
        <v>966</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1007</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row>
    <row r="1890" spans="1:12">
      <c r="A1890" s="20" t="s">
        <v>1491</v>
      </c>
    </row>
    <row r="1891" spans="1:12">
      <c r="A1891" s="20" t="s">
        <v>1104</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990</v>
      </c>
      <c r="B1892" s="27" t="s">
        <v>970</v>
      </c>
      <c r="C1892" s="27" t="s">
        <v>1014</v>
      </c>
      <c r="D1892" s="27" t="s">
        <v>966</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1492</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1444</v>
      </c>
      <c r="B1894" s="27" t="s">
        <v>973</v>
      </c>
      <c r="C1894" s="27" t="s">
        <v>1006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988</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1041</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1042</v>
      </c>
      <c r="B1897" s="27" t="s">
        <v>964</v>
      </c>
      <c r="C1897" s="27" t="s">
        <v>1044</v>
      </c>
      <c r="D1897" s="27" t="s">
        <v>966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1007</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row>
    <row r="1900" spans="1:12">
      <c r="A1900" s="20" t="s">
        <v>1493</v>
      </c>
    </row>
    <row r="1901" spans="1:12">
      <c r="A1901" s="20" t="s">
        <v>1170</v>
      </c>
      <c r="B1901" s="27" t="s">
        <v>970</v>
      </c>
      <c r="C1901" s="27" t="s">
        <v>974</v>
      </c>
      <c r="D1901" s="27" t="s">
        <v>966</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1022</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988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95</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1238</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1494</v>
      </c>
      <c r="B1906" s="27" t="s">
        <v>1013</v>
      </c>
      <c r="C1906" s="27" t="s">
        <v>1006</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1007</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row>
    <row r="1909" spans="1:12">
      <c r="A1909" s="20" t="s">
        <v>1495</v>
      </c>
    </row>
    <row r="1910" spans="1:12">
      <c r="A1910" s="20" t="s">
        <v>1170</v>
      </c>
      <c r="B1910" s="27" t="s">
        <v>970</v>
      </c>
      <c r="C1910" s="27" t="s">
        <v>974</v>
      </c>
      <c r="D1910" s="27" t="s">
        <v>966</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1049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1492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1055</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1105</v>
      </c>
      <c r="B1914" s="27" t="s">
        <v>980</v>
      </c>
      <c r="C1914" s="27" t="s">
        <v>1006</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1230</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331</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1444</v>
      </c>
      <c r="B1917" s="27" t="s">
        <v>1039</v>
      </c>
      <c r="C1917" s="27" t="s">
        <v>1006</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978</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95</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1214</v>
      </c>
      <c r="B1920" s="27" t="s">
        <v>1045</v>
      </c>
      <c r="C1920" s="27" t="s">
        <v>1006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990</v>
      </c>
      <c r="B1921" s="27" t="s">
        <v>991</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1145</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1496</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1370</v>
      </c>
      <c r="B1924" s="27" t="s">
        <v>1005</v>
      </c>
      <c r="C1924" s="27" t="s">
        <v>1051</v>
      </c>
      <c r="D1924" s="27" t="s">
        <v>966</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1497</v>
      </c>
      <c r="B1925" s="27" t="s">
        <v>1099</v>
      </c>
      <c r="C1925" s="27" t="s">
        <v>1053</v>
      </c>
      <c r="D1925" s="27" t="s">
        <v>966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983</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978</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1059</v>
      </c>
      <c r="B1928" s="27" t="s">
        <v>980</v>
      </c>
      <c r="C1928" s="27" t="s">
        <v>1014</v>
      </c>
      <c r="D1928" s="27" t="s">
        <v>966</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1080</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975</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1341</v>
      </c>
      <c r="B1931" s="27" t="s">
        <v>964</v>
      </c>
      <c r="C1931" s="27" t="s">
        <v>977</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1007</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row>
    <row r="1934" spans="1:12">
      <c r="A1934" s="20" t="s">
        <v>1498</v>
      </c>
    </row>
    <row r="1935" spans="1:12">
      <c r="A1935" s="20" t="s">
        <v>1086</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967</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1178</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983</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990</v>
      </c>
      <c r="B1939" s="27" t="s">
        <v>970</v>
      </c>
      <c r="C1939" s="27" t="s">
        <v>1014</v>
      </c>
      <c r="D1939" s="27" t="s">
        <v>966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1096</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1336</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983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978</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1009</v>
      </c>
      <c r="B1944" s="27" t="s">
        <v>980</v>
      </c>
      <c r="C1944" s="27" t="s">
        <v>974</v>
      </c>
      <c r="D1944" s="27" t="s">
        <v>966</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59</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1124</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972</v>
      </c>
      <c r="B1947" s="27" t="s">
        <v>1013</v>
      </c>
      <c r="C1947" s="27" t="s">
        <v>974</v>
      </c>
      <c r="D1947" s="27" t="s">
        <v>966</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983</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1009</v>
      </c>
      <c r="B1949" s="27" t="s">
        <v>980</v>
      </c>
      <c r="C1949" s="27" t="s">
        <v>974</v>
      </c>
      <c r="D1949" s="27" t="s">
        <v>966</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213</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1137</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1499</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1198</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1444</v>
      </c>
      <c r="B1954" s="27" t="s">
        <v>1013</v>
      </c>
      <c r="C1954" s="27" t="s">
        <v>1006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1024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983</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1286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984</v>
      </c>
      <c r="B1958" s="27" t="s">
        <v>980</v>
      </c>
      <c r="C1958" s="27" t="s">
        <v>974</v>
      </c>
      <c r="D1958" s="27" t="s">
        <v>966</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996</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1500</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1040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1041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1073</v>
      </c>
      <c r="B1963" s="27" t="s">
        <v>1013</v>
      </c>
      <c r="C1963" s="27" t="s">
        <v>1044</v>
      </c>
      <c r="D1963" s="27" t="s">
        <v>966</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1007</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row>
    <row r="1966" spans="1:12">
      <c r="A1966" s="20" t="s">
        <v>1501</v>
      </c>
    </row>
    <row r="1967" spans="1:12">
      <c r="A1967" s="20" t="s">
        <v>1136</v>
      </c>
      <c r="B1967" s="27" t="s">
        <v>970</v>
      </c>
      <c r="C1967" s="27" t="s">
        <v>974</v>
      </c>
      <c r="D1967" s="27" t="s">
        <v>966</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1157</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1502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1059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1503</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1504</v>
      </c>
      <c r="B1972" s="27" t="s">
        <v>973</v>
      </c>
      <c r="C1972" s="27" t="s">
        <v>1061</v>
      </c>
      <c r="D1972" s="27" t="s">
        <v>966</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1132</v>
      </c>
      <c r="B1973" s="27" t="s">
        <v>985</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1080</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1505</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1506</v>
      </c>
      <c r="B1976" s="27" t="s">
        <v>1046</v>
      </c>
      <c r="C1976" s="27" t="s">
        <v>1006</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988</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95</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1082</v>
      </c>
      <c r="B1979" s="27" t="s">
        <v>1045</v>
      </c>
      <c r="C1979" s="27" t="s">
        <v>974</v>
      </c>
      <c r="D1979" s="27" t="s">
        <v>966</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1007</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row>
    <row r="1982" spans="1:12">
      <c r="A1982" s="20" t="s">
        <v>1507</v>
      </c>
    </row>
    <row r="1983" spans="1:12">
      <c r="A1983" s="20" t="s">
        <v>1170</v>
      </c>
      <c r="B1983" s="27" t="s">
        <v>970</v>
      </c>
      <c r="C1983" s="27" t="s">
        <v>974</v>
      </c>
      <c r="D1983" s="27" t="s">
        <v>966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1508</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1133</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1134</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1007</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row>
    <row r="1989" spans="1:12">
      <c r="A1989" s="20" t="s">
        <v>1509</v>
      </c>
    </row>
    <row r="1990" spans="1:12">
      <c r="A1990" s="20" t="s">
        <v>1136</v>
      </c>
      <c r="B1990" s="27" t="s">
        <v>970</v>
      </c>
      <c r="C1990" s="27" t="s">
        <v>974</v>
      </c>
      <c r="D1990" s="27" t="s">
        <v>966</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1230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417</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1041</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285</v>
      </c>
      <c r="B1994" s="27" t="s">
        <v>973</v>
      </c>
      <c r="C1994" s="27" t="s">
        <v>1044</v>
      </c>
      <c r="D1994" s="27" t="s">
        <v>966</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1227</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1007</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row>
    <row r="1998" spans="1:12">
      <c r="A1998" s="20" t="s">
        <v>1510</v>
      </c>
    </row>
    <row r="1999" spans="1:12">
      <c r="A1999" s="20" t="s">
        <v>1511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983</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1512</v>
      </c>
      <c r="B2001" s="27" t="s">
        <v>970</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1275</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1000</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1513</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1105</v>
      </c>
      <c r="B2005" s="27" t="s">
        <v>1013</v>
      </c>
      <c r="C2005" s="27" t="s">
        <v>1065</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1129</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1041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1095</v>
      </c>
      <c r="B2008" s="27" t="s">
        <v>1043</v>
      </c>
      <c r="C2008" s="27" t="s">
        <v>1044</v>
      </c>
      <c r="D2008" s="27" t="s">
        <v>966</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95</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992</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213</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1202</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1042</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1444</v>
      </c>
      <c r="B2014" s="27" t="s">
        <v>973</v>
      </c>
      <c r="C2014" s="27" t="s">
        <v>1006</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1331</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1007</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row>
    <row r="2018" spans="1:12">
      <c r="A2018" s="20" t="s">
        <v>1514</v>
      </c>
    </row>
    <row r="2019" spans="1:12">
      <c r="A2019" s="20" t="s">
        <v>1136</v>
      </c>
      <c r="B2019" s="27" t="s">
        <v>970</v>
      </c>
      <c r="C2019" s="27" t="s">
        <v>974</v>
      </c>
      <c r="D2019" s="27" t="s">
        <v>966</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1120</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59</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1059</v>
      </c>
      <c r="B2022" s="27" t="s">
        <v>980</v>
      </c>
      <c r="C2022" s="27" t="s">
        <v>1014</v>
      </c>
      <c r="D2022" s="27" t="s">
        <v>966</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1230</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1107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134</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1105</v>
      </c>
      <c r="B2026" s="27" t="s">
        <v>1039</v>
      </c>
      <c r="C2026" s="27" t="s">
        <v>1006</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1276</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1000</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1515</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1007</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row>
    <row r="2032" spans="1:12">
      <c r="A2032" s="20" t="s">
        <v>1516</v>
      </c>
    </row>
    <row r="2033" spans="1:12">
      <c r="A2033" s="20" t="s">
        <v>1036</v>
      </c>
      <c r="B2033" s="27" t="s">
        <v>964</v>
      </c>
      <c r="C2033" s="27" t="s">
        <v>1006</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967</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1170</v>
      </c>
      <c r="B2035" s="27" t="s">
        <v>980</v>
      </c>
      <c r="C2035" s="27" t="s">
        <v>974</v>
      </c>
      <c r="D2035" s="27" t="s">
        <v>966</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1096</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997</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1517</v>
      </c>
      <c r="B2038" s="27" t="s">
        <v>964</v>
      </c>
      <c r="C2038" s="27" t="s">
        <v>977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1007</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row>
    <row r="2041" spans="1:12">
      <c r="A2041" s="20" t="s">
        <v>1518</v>
      </c>
    </row>
    <row r="2042" spans="1:12">
      <c r="A2042" s="20" t="s">
        <v>1086</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967</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1178</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983</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331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1444</v>
      </c>
      <c r="B2047" s="27" t="s">
        <v>973</v>
      </c>
      <c r="C2047" s="27" t="s">
        <v>1006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988</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1041</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1042</v>
      </c>
      <c r="B2050" s="27" t="s">
        <v>1013</v>
      </c>
      <c r="C2050" s="27" t="s">
        <v>1044</v>
      </c>
      <c r="D2050" s="27" t="s">
        <v>966</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1007</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row>
    <row r="2053" spans="1:12">
      <c r="A2053" s="20" t="s">
        <v>1519</v>
      </c>
    </row>
    <row r="2054" spans="1:12">
      <c r="A2054" s="20" t="s">
        <v>1036</v>
      </c>
      <c r="B2054" s="27" t="s">
        <v>964</v>
      </c>
      <c r="C2054" s="27" t="s">
        <v>1006</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967</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1104</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1148</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1155</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1059</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1517</v>
      </c>
      <c r="B2060" s="27" t="s">
        <v>1046</v>
      </c>
      <c r="C2060" s="27" t="s">
        <v>1061</v>
      </c>
      <c r="D2060" s="27" t="s">
        <v>966</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743</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1034</v>
      </c>
      <c r="B2062" s="27" t="s">
        <v>1039</v>
      </c>
      <c r="C2062" s="27" t="s">
        <v>974</v>
      </c>
      <c r="D2062" s="27" t="s">
        <v>966</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1444</v>
      </c>
      <c r="B2063" s="27" t="s">
        <v>1039</v>
      </c>
      <c r="C2063" s="27" t="s">
        <v>1006</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988</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1041</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1042</v>
      </c>
      <c r="B2066" s="27" t="s">
        <v>1043</v>
      </c>
      <c r="C2066" s="27" t="s">
        <v>1044</v>
      </c>
      <c r="D2066" s="27" t="s">
        <v>966</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1084</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row>
    <row r="2069" spans="1:12">
      <c r="A2069" s="20" t="s">
        <v>1520</v>
      </c>
    </row>
    <row r="2070" spans="1:12">
      <c r="A2070" s="20" t="s">
        <v>1521</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1187</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1188</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1063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1068</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1214</v>
      </c>
      <c r="B2075" s="27" t="s">
        <v>980</v>
      </c>
      <c r="C2075" s="27" t="s">
        <v>1065</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1034</v>
      </c>
      <c r="B2076" s="27" t="s">
        <v>1056</v>
      </c>
      <c r="C2076" s="27" t="s">
        <v>974</v>
      </c>
      <c r="D2076" s="27" t="s">
        <v>966</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1522</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988</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95</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988</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1523</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1275</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1055</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988</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521</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1506</v>
      </c>
      <c r="B2086" s="27" t="s">
        <v>1327</v>
      </c>
      <c r="C2086" s="27" t="s">
        <v>1006</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1524</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983</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1234</v>
      </c>
      <c r="B2089" s="27" t="s">
        <v>970</v>
      </c>
      <c r="C2089" s="27" t="s">
        <v>974</v>
      </c>
      <c r="D2089" s="27" t="s">
        <v>966</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1372</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992</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213</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988</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274</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1525</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1007</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row>
    <row r="2098" spans="1:12">
      <c r="A2098" s="20" t="s">
        <v>1526</v>
      </c>
    </row>
    <row r="2099" spans="1:12">
      <c r="A2099" s="20" t="s">
        <v>1086</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967</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1178</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983</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978</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1059</v>
      </c>
      <c r="B2104" s="27" t="s">
        <v>980</v>
      </c>
      <c r="C2104" s="27" t="s">
        <v>1014</v>
      </c>
      <c r="D2104" s="27" t="s">
        <v>966</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1080</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997</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1202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1341</v>
      </c>
      <c r="B2108" s="27" t="s">
        <v>964</v>
      </c>
      <c r="C2108" s="27" t="s">
        <v>977</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1000</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1527</v>
      </c>
      <c r="B2110" s="27" t="s">
        <v>1013</v>
      </c>
      <c r="C2110" s="27" t="s">
        <v>1006</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1007</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row>
    <row r="2113" spans="1:12">
      <c r="A2113" s="20" t="s">
        <v>1528</v>
      </c>
    </row>
    <row r="2114" spans="1:12">
      <c r="A2114" s="20" t="s">
        <v>1529</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983</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984</v>
      </c>
      <c r="B2116" s="27" t="s">
        <v>970</v>
      </c>
      <c r="C2116" s="27" t="s">
        <v>974</v>
      </c>
      <c r="D2116" s="27" t="s">
        <v>966</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986</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1137</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1147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1040</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1059</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1530</v>
      </c>
      <c r="B2122" s="27" t="s">
        <v>964</v>
      </c>
      <c r="C2122" s="27" t="s">
        <v>1061</v>
      </c>
      <c r="D2122" s="27" t="s">
        <v>966</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1124</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1531</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1139</v>
      </c>
      <c r="B2125" s="27" t="s">
        <v>1013</v>
      </c>
      <c r="C2125" s="27" t="s">
        <v>1065</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1291</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1024</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1267</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984</v>
      </c>
      <c r="B2129" s="27" t="s">
        <v>980</v>
      </c>
      <c r="C2129" s="27" t="s">
        <v>974</v>
      </c>
      <c r="D2129" s="27" t="s">
        <v>966</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1205</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1532</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1198</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1082</v>
      </c>
      <c r="B2133" s="27" t="s">
        <v>1043</v>
      </c>
      <c r="C2133" s="27" t="s">
        <v>974</v>
      </c>
      <c r="D2133" s="27" t="s">
        <v>966</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983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1141</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1082</v>
      </c>
      <c r="B2136" s="27" t="s">
        <v>985</v>
      </c>
      <c r="C2136" s="27" t="s">
        <v>974</v>
      </c>
      <c r="D2136" s="27" t="s">
        <v>966</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1188</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1150</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1107</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983</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1055</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95</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984</v>
      </c>
      <c r="B2143" s="27" t="s">
        <v>980</v>
      </c>
      <c r="C2143" s="27" t="s">
        <v>974</v>
      </c>
      <c r="D2143" s="27" t="s">
        <v>966</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331</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1444</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1284</v>
      </c>
      <c r="B2146" s="27" t="s">
        <v>1039</v>
      </c>
      <c r="C2146" s="27" t="s">
        <v>1006</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1283</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1533</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983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1534</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1084</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row>
    <row r="2153" spans="1:12">
      <c r="A2153" s="20" t="s">
        <v>1535</v>
      </c>
    </row>
    <row r="2154" spans="1:12">
      <c r="A2154" s="20" t="s">
        <v>1154</v>
      </c>
      <c r="B2154" s="27" t="s">
        <v>970</v>
      </c>
      <c r="C2154" s="27" t="s">
        <v>974</v>
      </c>
      <c r="D2154" s="27" t="s">
        <v>966</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1536</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213</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988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1448</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1537</v>
      </c>
      <c r="B2159" s="27" t="s">
        <v>1039</v>
      </c>
      <c r="C2159" s="27" t="s">
        <v>1006</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978</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1082</v>
      </c>
      <c r="B2161" s="27" t="s">
        <v>980</v>
      </c>
      <c r="C2161" s="27" t="s">
        <v>974</v>
      </c>
      <c r="D2161" s="27" t="s">
        <v>966</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1326</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997</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1093</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1064</v>
      </c>
      <c r="B2165" s="27" t="s">
        <v>1039</v>
      </c>
      <c r="C2165" s="27" t="s">
        <v>977</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988</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1538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1159</v>
      </c>
      <c r="B2168" s="27" t="s">
        <v>1046</v>
      </c>
      <c r="C2168" s="27" t="s">
        <v>974</v>
      </c>
      <c r="D2168" s="27" t="s">
        <v>966</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1007</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row>
    <row r="2171" spans="1:12">
      <c r="A2171" s="20" t="s">
        <v>1539</v>
      </c>
    </row>
    <row r="2172" spans="1:12">
      <c r="A2172" s="20" t="s">
        <v>1119</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1034</v>
      </c>
      <c r="B2173" s="27" t="s">
        <v>970</v>
      </c>
      <c r="C2173" s="27" t="s">
        <v>974</v>
      </c>
      <c r="D2173" s="27" t="s">
        <v>966</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1540</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1187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1055</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1541</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1082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1080</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988</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1538</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997</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1517</v>
      </c>
      <c r="B2183" s="27" t="s">
        <v>1046</v>
      </c>
      <c r="C2183" s="27" t="s">
        <v>977</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978</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331</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1082</v>
      </c>
      <c r="B2186" s="27" t="s">
        <v>1045</v>
      </c>
      <c r="C2186" s="27" t="s">
        <v>974</v>
      </c>
      <c r="D2186" s="27" t="s">
        <v>966</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1283</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983</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978</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1120</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1542</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983</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1082</v>
      </c>
      <c r="B2193" s="27" t="s">
        <v>980</v>
      </c>
      <c r="C2193" s="27" t="s">
        <v>974</v>
      </c>
      <c r="D2193" s="27" t="s">
        <v>966</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1096</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1041</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1543</v>
      </c>
      <c r="B2196" s="27" t="s">
        <v>964</v>
      </c>
      <c r="C2196" s="27" t="s">
        <v>1044</v>
      </c>
      <c r="D2196" s="27" t="s">
        <v>966</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1000</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1041</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1042</v>
      </c>
      <c r="B2199" s="27" t="s">
        <v>1013</v>
      </c>
      <c r="C2199" s="27" t="s">
        <v>1044</v>
      </c>
      <c r="D2199" s="27" t="s">
        <v>966</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983</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1009</v>
      </c>
      <c r="B2201" s="27" t="s">
        <v>980</v>
      </c>
      <c r="C2201" s="27" t="s">
        <v>974</v>
      </c>
      <c r="D2201" s="27" t="s">
        <v>966</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1372</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997</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1047</v>
      </c>
      <c r="B2204" s="27" t="s">
        <v>1039</v>
      </c>
      <c r="C2204" s="27" t="s">
        <v>977</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1198</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1082</v>
      </c>
      <c r="B2206" s="27" t="s">
        <v>1013</v>
      </c>
      <c r="C2206" s="27" t="s">
        <v>974</v>
      </c>
      <c r="D2206" s="27" t="s">
        <v>966</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983</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978</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1009</v>
      </c>
      <c r="B2209" s="27" t="s">
        <v>980</v>
      </c>
      <c r="C2209" s="27" t="s">
        <v>974</v>
      </c>
      <c r="D2209" s="27" t="s">
        <v>966</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1374</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983</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129</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983</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167</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1139</v>
      </c>
      <c r="B2215" s="27" t="s">
        <v>1043</v>
      </c>
      <c r="C2215" s="27" t="s">
        <v>1065</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1066</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983</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1544</v>
      </c>
      <c r="B2218" s="27" t="s">
        <v>980</v>
      </c>
      <c r="C2218" s="27" t="s">
        <v>1545</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1522</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1435</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1283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997</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1517</v>
      </c>
      <c r="B2223" s="27" t="s">
        <v>1039</v>
      </c>
      <c r="C2223" s="27" t="s">
        <v>977</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978</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1082</v>
      </c>
      <c r="B2225" s="27" t="s">
        <v>980</v>
      </c>
      <c r="C2225" s="27" t="s">
        <v>974</v>
      </c>
      <c r="D2225" s="27" t="s">
        <v>966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1522</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1546</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1547</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1041</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1548</v>
      </c>
      <c r="B2230" s="27" t="s">
        <v>1013</v>
      </c>
      <c r="C2230" s="27" t="s">
        <v>965</v>
      </c>
      <c r="D2230" s="27" t="s">
        <v>966</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1549</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1550</v>
      </c>
      <c r="B2232" s="27" t="s">
        <v>1013</v>
      </c>
      <c r="C2232" s="27" t="s">
        <v>1006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1007</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row>
    <row r="2235" spans="1:12">
      <c r="A2235" s="20" t="s">
        <v>1551</v>
      </c>
    </row>
    <row r="2236" spans="1:12">
      <c r="A2236" s="20" t="s">
        <v>1104</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1009</v>
      </c>
      <c r="B2237" s="27" t="s">
        <v>970</v>
      </c>
      <c r="C2237" s="27" t="s">
        <v>974</v>
      </c>
      <c r="D2237" s="27" t="s">
        <v>966</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1446</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983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1148</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1552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992</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984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95</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990</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1553</v>
      </c>
      <c r="B2246" s="27" t="s">
        <v>1013</v>
      </c>
      <c r="C2246" s="27" t="s">
        <v>1006</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1084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row>
    <row r="2249" spans="1:12">
      <c r="A2249" s="20" t="s">
        <v>1554</v>
      </c>
    </row>
    <row r="2250" spans="1:12">
      <c r="A2250" s="20" t="s">
        <v>1104</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990</v>
      </c>
      <c r="B2251" s="27" t="s">
        <v>970</v>
      </c>
      <c r="C2251" s="27" t="s">
        <v>1014</v>
      </c>
      <c r="D2251" s="27" t="s">
        <v>966</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1096</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1055</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1059</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1555</v>
      </c>
      <c r="B2255" s="27" t="s">
        <v>980</v>
      </c>
      <c r="C2255" s="27" t="s">
        <v>1061</v>
      </c>
      <c r="D2255" s="27" t="s">
        <v>966</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987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1083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1007</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row>
    <row r="2260" spans="1:12">
      <c r="A2260" s="20" t="s">
        <v>1556</v>
      </c>
    </row>
    <row r="2261" spans="1:12">
      <c r="A2261" s="20" t="s">
        <v>1036</v>
      </c>
      <c r="B2261" s="27" t="s">
        <v>964</v>
      </c>
      <c r="C2261" s="27" t="s">
        <v>1006</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967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1119</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1110</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1034</v>
      </c>
      <c r="B2265" s="27" t="s">
        <v>980</v>
      </c>
      <c r="C2265" s="27" t="s">
        <v>974</v>
      </c>
      <c r="D2265" s="27" t="s">
        <v>966</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1138</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1041</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1557</v>
      </c>
      <c r="B2268" s="27" t="s">
        <v>964</v>
      </c>
      <c r="C2268" s="27" t="s">
        <v>1044</v>
      </c>
      <c r="D2268" s="27" t="s">
        <v>966</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1000</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1041</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1558</v>
      </c>
      <c r="B2271" s="27" t="s">
        <v>1013</v>
      </c>
      <c r="C2271" s="27" t="s">
        <v>1044</v>
      </c>
      <c r="D2271" s="27" t="s">
        <v>966</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1084</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row>
    <row r="2274" spans="1:12">
      <c r="A2274" s="20" t="s">
        <v>1559</v>
      </c>
    </row>
    <row r="2275" spans="1:12">
      <c r="A2275" s="20" t="s">
        <v>1086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967</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1178</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983</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1141</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1082</v>
      </c>
      <c r="B2280" s="27" t="s">
        <v>980</v>
      </c>
      <c r="C2280" s="27" t="s">
        <v>974</v>
      </c>
      <c r="D2280" s="27" t="s">
        <v>966</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1560</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1275</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983</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984</v>
      </c>
      <c r="B2284" s="27" t="s">
        <v>985</v>
      </c>
      <c r="C2284" s="27" t="s">
        <v>974</v>
      </c>
      <c r="D2284" s="27" t="s">
        <v>966</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1372</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1063</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1561</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1562</v>
      </c>
      <c r="B2288" s="27" t="s">
        <v>1046</v>
      </c>
      <c r="C2288" s="27" t="s">
        <v>1065</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1132</v>
      </c>
      <c r="B2289" s="27" t="s">
        <v>1029</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1563</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1522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992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1107</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1137</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1142</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1267</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983</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978</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1286</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1034</v>
      </c>
      <c r="B2300" s="27" t="s">
        <v>1056</v>
      </c>
      <c r="C2300" s="27" t="s">
        <v>974</v>
      </c>
      <c r="D2300" s="27" t="s">
        <v>966</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1564</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1041</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1565</v>
      </c>
      <c r="B2303" s="27" t="s">
        <v>1045</v>
      </c>
      <c r="C2303" s="27" t="s">
        <v>1044</v>
      </c>
      <c r="D2303" s="27" t="s">
        <v>966</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1000</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1041</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1506</v>
      </c>
      <c r="B2306" s="27" t="s">
        <v>1023</v>
      </c>
      <c r="C2306" s="27" t="s">
        <v>1044</v>
      </c>
      <c r="D2306" s="27" t="s">
        <v>966</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983</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1132</v>
      </c>
      <c r="B2308" s="27" t="s">
        <v>1327</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1034</v>
      </c>
      <c r="B2309" s="27" t="s">
        <v>995</v>
      </c>
      <c r="C2309" s="27" t="s">
        <v>974</v>
      </c>
      <c r="D2309" s="27" t="s">
        <v>966</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1230</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95</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1012</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1566</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1567</v>
      </c>
      <c r="B2314" s="27" t="s">
        <v>1568</v>
      </c>
      <c r="C2314" s="27" t="s">
        <v>1006</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1569</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1159</v>
      </c>
      <c r="B2316" s="27" t="s">
        <v>1570</v>
      </c>
      <c r="C2316" s="27" t="s">
        <v>974</v>
      </c>
      <c r="D2316" s="27" t="s">
        <v>966</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978</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964</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1571</v>
      </c>
      <c r="B2319" s="27" t="s">
        <v>1570</v>
      </c>
      <c r="C2319" s="27" t="s">
        <v>1006</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983</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1034</v>
      </c>
      <c r="B2321" s="27" t="s">
        <v>985</v>
      </c>
      <c r="C2321" s="27" t="s">
        <v>974</v>
      </c>
      <c r="D2321" s="27" t="s">
        <v>966</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1230</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1120</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1564</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1572</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1081</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1234</v>
      </c>
      <c r="B2327" s="27" t="s">
        <v>1056</v>
      </c>
      <c r="C2327" s="27" t="s">
        <v>974</v>
      </c>
      <c r="D2327" s="27" t="s">
        <v>966</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217</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983</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978</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1179</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1009</v>
      </c>
      <c r="B2332" s="27" t="s">
        <v>1029</v>
      </c>
      <c r="C2332" s="27" t="s">
        <v>974</v>
      </c>
      <c r="D2332" s="27" t="s">
        <v>966</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59</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984</v>
      </c>
      <c r="B2334" s="27" t="s">
        <v>991</v>
      </c>
      <c r="C2334" s="27" t="s">
        <v>974</v>
      </c>
      <c r="D2334" s="27" t="s">
        <v>966</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1230</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1573</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997</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1574</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1575</v>
      </c>
      <c r="B2339" s="27" t="s">
        <v>1099</v>
      </c>
      <c r="C2339" s="27" t="s">
        <v>1053</v>
      </c>
      <c r="D2339" s="27" t="s">
        <v>966</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1000</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1252</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1506</v>
      </c>
      <c r="B2342" s="27" t="s">
        <v>1005</v>
      </c>
      <c r="C2342" s="27" t="s">
        <v>1061</v>
      </c>
      <c r="D2342" s="27" t="s">
        <v>966</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990</v>
      </c>
      <c r="B2343" s="27" t="s">
        <v>995</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1230</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1576</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1041</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1577</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1578</v>
      </c>
      <c r="B2348" s="27" t="s">
        <v>1327</v>
      </c>
      <c r="C2348" s="27" t="s">
        <v>1044</v>
      </c>
      <c r="D2348" s="27" t="s">
        <v>966</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1007</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row>
    <row r="2351" spans="1:12">
      <c r="A2351" s="20" t="s">
        <v>1579</v>
      </c>
    </row>
    <row r="2352" spans="1:12">
      <c r="A2352" s="20" t="s">
        <v>1036</v>
      </c>
      <c r="B2352" s="27" t="s">
        <v>964</v>
      </c>
      <c r="C2352" s="27" t="s">
        <v>1006</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967</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1580</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1009</v>
      </c>
      <c r="B2355" s="27" t="s">
        <v>980</v>
      </c>
      <c r="C2355" s="27" t="s">
        <v>974</v>
      </c>
      <c r="D2355" s="27" t="s">
        <v>966</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1072</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1040</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1041</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1073</v>
      </c>
      <c r="B2359" s="27" t="s">
        <v>1013</v>
      </c>
      <c r="C2359" s="27" t="s">
        <v>1044</v>
      </c>
      <c r="D2359" s="27" t="s">
        <v>966</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978</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1581</v>
      </c>
      <c r="B2361" s="27" t="s">
        <v>1043</v>
      </c>
      <c r="C2361" s="27" t="s">
        <v>1006</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983</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1081</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1034</v>
      </c>
      <c r="B2364" s="27" t="s">
        <v>985</v>
      </c>
      <c r="C2364" s="27" t="s">
        <v>974</v>
      </c>
      <c r="D2364" s="27" t="s">
        <v>966</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986</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1137</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997</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1582</v>
      </c>
      <c r="B2368" s="27" t="s">
        <v>1013</v>
      </c>
      <c r="C2368" s="27" t="s">
        <v>977</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1124</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997</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1583</v>
      </c>
      <c r="B2371" s="27" t="s">
        <v>1043</v>
      </c>
      <c r="C2371" s="27" t="s">
        <v>977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983</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978</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1059</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1584</v>
      </c>
      <c r="B2375" s="27" t="s">
        <v>985</v>
      </c>
      <c r="C2375" s="27" t="s">
        <v>1061</v>
      </c>
      <c r="D2375" s="27" t="s">
        <v>966</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1034</v>
      </c>
      <c r="B2376" s="27" t="s">
        <v>1029</v>
      </c>
      <c r="C2376" s="27" t="s">
        <v>974</v>
      </c>
      <c r="D2376" s="27" t="s">
        <v>966</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213</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1238</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1581</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978</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1585</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1586</v>
      </c>
      <c r="B2382" s="27" t="s">
        <v>1023</v>
      </c>
      <c r="C2382" s="27" t="s">
        <v>1006</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978</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1587</v>
      </c>
      <c r="B2384" s="27" t="s">
        <v>999</v>
      </c>
      <c r="C2384" s="27" t="s">
        <v>1006</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983</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114</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972</v>
      </c>
      <c r="B2387" s="27" t="s">
        <v>1046</v>
      </c>
      <c r="C2387" s="27" t="s">
        <v>974</v>
      </c>
      <c r="D2387" s="27" t="s">
        <v>966</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1072</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997</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1020</v>
      </c>
      <c r="B2390" s="27" t="s">
        <v>1045</v>
      </c>
      <c r="C2390" s="27" t="s">
        <v>977</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1040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1108</v>
      </c>
      <c r="B2392" s="27" t="s">
        <v>991</v>
      </c>
      <c r="C2392" s="27" t="s">
        <v>1079</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1096</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1137</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1041</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1588</v>
      </c>
      <c r="B2396" s="27" t="s">
        <v>1023</v>
      </c>
      <c r="C2396" s="27" t="s">
        <v>1044</v>
      </c>
      <c r="D2396" s="27" t="s">
        <v>966</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1227</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1589</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1238</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1590</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1591</v>
      </c>
      <c r="B2401" s="27" t="s">
        <v>999</v>
      </c>
      <c r="C2401" s="27" t="s">
        <v>965</v>
      </c>
      <c r="D2401" s="27" t="s">
        <v>966</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1007</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row>
    <row r="2404" spans="1:12">
      <c r="A2404" s="20" t="s">
        <v>1592</v>
      </c>
    </row>
    <row r="2405" spans="1:12">
      <c r="A2405" s="20" t="s">
        <v>1170</v>
      </c>
      <c r="B2405" s="27" t="s">
        <v>970</v>
      </c>
      <c r="C2405" s="27" t="s">
        <v>974</v>
      </c>
      <c r="D2405" s="27" t="s">
        <v>966</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1080</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1593</v>
      </c>
      <c r="B2407" s="27" t="s">
        <v>964</v>
      </c>
      <c r="C2407" s="27" t="s">
        <v>1006</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978</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1048</v>
      </c>
      <c r="B2409" s="27" t="s">
        <v>964</v>
      </c>
      <c r="C2409" s="27" t="s">
        <v>1006</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1007</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row>
    <row r="2412" spans="1:12">
      <c r="A2412" s="20" t="s">
        <v>1594</v>
      </c>
    </row>
    <row r="2413" spans="1:12">
      <c r="A2413" s="20" t="s">
        <v>1154</v>
      </c>
      <c r="B2413" s="27" t="s">
        <v>970</v>
      </c>
      <c r="C2413" s="27" t="s">
        <v>974</v>
      </c>
      <c r="D2413" s="27" t="s">
        <v>966</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213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988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213</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1137</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1147</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1040</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990</v>
      </c>
      <c r="B2420" s="27" t="s">
        <v>1013</v>
      </c>
      <c r="C2420" s="27" t="s">
        <v>1014</v>
      </c>
      <c r="D2420" s="27" t="s">
        <v>966</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1007</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row>
    <row r="2423" spans="1:12">
      <c r="A2423" s="20" t="s">
        <v>1595</v>
      </c>
    </row>
    <row r="2424" spans="1:12">
      <c r="A2424" s="20" t="s">
        <v>1086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967</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1178</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983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1596</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1007</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row>
    <row r="2431" spans="1:12">
      <c r="A2431" s="20" t="s">
        <v>1597</v>
      </c>
    </row>
    <row r="2432" spans="1:12">
      <c r="A2432" s="20" t="s">
        <v>1009</v>
      </c>
      <c r="B2432" s="27" t="s">
        <v>970</v>
      </c>
      <c r="C2432" s="27" t="s">
        <v>974</v>
      </c>
      <c r="D2432" s="27" t="s">
        <v>966</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1540</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1041</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1598</v>
      </c>
      <c r="B2435" s="27" t="s">
        <v>973</v>
      </c>
      <c r="C2435" s="27" t="s">
        <v>1053</v>
      </c>
      <c r="D2435" s="27" t="s">
        <v>966</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1000</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1599</v>
      </c>
      <c r="B2437" s="27" t="s">
        <v>1013</v>
      </c>
      <c r="C2437" s="27" t="s">
        <v>965</v>
      </c>
      <c r="D2437" s="27" t="s">
        <v>966</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1238</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1590</v>
      </c>
      <c r="B2439" s="27" t="s">
        <v>1013</v>
      </c>
      <c r="C2439" s="27" t="s">
        <v>965</v>
      </c>
      <c r="D2439" s="27" t="s">
        <v>966</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1591</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1600</v>
      </c>
      <c r="B2441" s="27" t="s">
        <v>964</v>
      </c>
      <c r="C2441" s="27" t="s">
        <v>1006</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1007</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1601</v>
      </c>
    </row>
    <row r="2445" spans="1:12">
      <c r="A2445" s="20" t="s">
        <v>1602</v>
      </c>
      <c r="B2445" s="27" t="s">
        <v>970</v>
      </c>
      <c r="C2445" s="27" t="s">
        <v>1053</v>
      </c>
      <c r="D2445" s="27" t="s">
        <v>966</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1000</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1034</v>
      </c>
      <c r="B2447" s="27" t="s">
        <v>1013</v>
      </c>
      <c r="C2447" s="27" t="s">
        <v>974</v>
      </c>
      <c r="D2447" s="27" t="s">
        <v>966</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1165</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213</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1305</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1082</v>
      </c>
      <c r="B2451" s="27" t="s">
        <v>973</v>
      </c>
      <c r="C2451" s="27" t="s">
        <v>974</v>
      </c>
      <c r="D2451" s="27" t="s">
        <v>966</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1007</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row>
    <row r="2454" spans="1:12">
      <c r="A2454" s="20" t="s">
        <v>1603</v>
      </c>
    </row>
    <row r="2455" spans="1:12">
      <c r="A2455" s="20" t="s">
        <v>1119</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1009</v>
      </c>
      <c r="B2456" s="27" t="s">
        <v>970</v>
      </c>
      <c r="C2456" s="27" t="s">
        <v>974</v>
      </c>
      <c r="D2456" s="27" t="s">
        <v>966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59</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983</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1124</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972</v>
      </c>
      <c r="B2460" s="27" t="s">
        <v>964</v>
      </c>
      <c r="C2460" s="27" t="s">
        <v>974</v>
      </c>
      <c r="D2460" s="27" t="s">
        <v>966</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983</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1009</v>
      </c>
      <c r="B2462" s="27" t="s">
        <v>980</v>
      </c>
      <c r="C2462" s="27" t="s">
        <v>974</v>
      </c>
      <c r="D2462" s="27" t="s">
        <v>966</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637</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983</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1048</v>
      </c>
      <c r="B2465" s="27" t="s">
        <v>985</v>
      </c>
      <c r="C2465" s="27" t="s">
        <v>1006</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978</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1593</v>
      </c>
      <c r="B2467" s="27" t="s">
        <v>1026</v>
      </c>
      <c r="C2467" s="27" t="s">
        <v>1006</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1110</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997</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1107</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1194</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1123</v>
      </c>
      <c r="B2472" s="27" t="s">
        <v>1013</v>
      </c>
      <c r="C2472" s="27" t="s">
        <v>977</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1007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row>
    <row r="2475" spans="1:12">
      <c r="A2475" s="20" t="s">
        <v>1604</v>
      </c>
    </row>
    <row r="2476" spans="1:12">
      <c r="A2476" s="20" t="s">
        <v>1136</v>
      </c>
      <c r="B2476" s="27" t="s">
        <v>970</v>
      </c>
      <c r="C2476" s="27" t="s">
        <v>974</v>
      </c>
      <c r="D2476" s="27" t="s">
        <v>966</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59</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1040</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1082</v>
      </c>
      <c r="B2479" s="27" t="s">
        <v>964</v>
      </c>
      <c r="C2479" s="27" t="s">
        <v>974</v>
      </c>
      <c r="D2479" s="27" t="s">
        <v>966</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1129</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1325</v>
      </c>
      <c r="B2481" s="27" t="s">
        <v>964</v>
      </c>
      <c r="C2481" s="27" t="s">
        <v>1006</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1000</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1605</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1214</v>
      </c>
      <c r="B2484" s="27" t="s">
        <v>1013</v>
      </c>
      <c r="C2484" s="27" t="s">
        <v>1606</v>
      </c>
      <c r="D2484" s="27" t="s">
        <v>966</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983</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978</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1009</v>
      </c>
      <c r="B2487" s="27" t="s">
        <v>980</v>
      </c>
      <c r="C2487" s="27" t="s">
        <v>974</v>
      </c>
      <c r="D2487" s="27" t="s">
        <v>966</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59</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1034</v>
      </c>
      <c r="B2489" s="27" t="s">
        <v>985</v>
      </c>
      <c r="C2489" s="27" t="s">
        <v>974</v>
      </c>
      <c r="D2489" s="27" t="s">
        <v>966</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1552</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992</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213</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1048</v>
      </c>
      <c r="B2493" s="27" t="s">
        <v>1046</v>
      </c>
      <c r="C2493" s="27" t="s">
        <v>1006</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1473</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1593</v>
      </c>
      <c r="B2495" s="27" t="s">
        <v>1026</v>
      </c>
      <c r="C2495" s="27" t="s">
        <v>1006</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983</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1179</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114</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972</v>
      </c>
      <c r="B2499" s="27" t="s">
        <v>1039</v>
      </c>
      <c r="C2499" s="27" t="s">
        <v>974</v>
      </c>
      <c r="D2499" s="27" t="s">
        <v>966</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1150</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1072</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1040</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1593</v>
      </c>
      <c r="B2503" s="27" t="s">
        <v>1043</v>
      </c>
      <c r="C2503" s="27" t="s">
        <v>1006</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1076</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983</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1019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1034</v>
      </c>
      <c r="B2507" s="27" t="s">
        <v>1056</v>
      </c>
      <c r="C2507" s="27" t="s">
        <v>974</v>
      </c>
      <c r="D2507" s="27" t="s">
        <v>966</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1607</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1040</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1591</v>
      </c>
      <c r="B2510" s="27" t="s">
        <v>1026</v>
      </c>
      <c r="C2510" s="27" t="s">
        <v>965</v>
      </c>
      <c r="D2510" s="27" t="s">
        <v>966</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978</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1125</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1000</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990</v>
      </c>
      <c r="B2514" s="27" t="s">
        <v>1023</v>
      </c>
      <c r="C2514" s="27" t="s">
        <v>1014</v>
      </c>
      <c r="D2514" s="27" t="s">
        <v>966</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983</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978</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1608</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1009</v>
      </c>
      <c r="B2518" s="27" t="s">
        <v>1029</v>
      </c>
      <c r="C2518" s="27" t="s">
        <v>974</v>
      </c>
      <c r="D2518" s="27" t="s">
        <v>966</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1037</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22</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997</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1483</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1020</v>
      </c>
      <c r="B2523" s="27" t="s">
        <v>1098</v>
      </c>
      <c r="C2523" s="27" t="s">
        <v>977</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1040</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1048</v>
      </c>
      <c r="B2525" s="27" t="s">
        <v>999</v>
      </c>
      <c r="C2525" s="27" t="s">
        <v>1006</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1007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row>
    <row r="2528" spans="1:12">
      <c r="A2528" s="20" t="s">
        <v>1609</v>
      </c>
    </row>
    <row r="2529" spans="1:12">
      <c r="A2529" s="20" t="s">
        <v>1009</v>
      </c>
      <c r="B2529" s="27" t="s">
        <v>970</v>
      </c>
      <c r="C2529" s="27" t="s">
        <v>974</v>
      </c>
      <c r="D2529" s="27" t="s">
        <v>966</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59</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1124</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972</v>
      </c>
      <c r="B2532" s="27" t="s">
        <v>964</v>
      </c>
      <c r="C2532" s="27" t="s">
        <v>974</v>
      </c>
      <c r="D2532" s="27" t="s">
        <v>966</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983</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1082</v>
      </c>
      <c r="B2534" s="27" t="s">
        <v>980</v>
      </c>
      <c r="C2534" s="27" t="s">
        <v>974</v>
      </c>
      <c r="D2534" s="27" t="s">
        <v>966</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1096</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1610</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1611</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990</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1041</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1612</v>
      </c>
      <c r="B2540" s="27" t="s">
        <v>985</v>
      </c>
      <c r="C2540" s="27" t="s">
        <v>1044</v>
      </c>
      <c r="D2540" s="27" t="s">
        <v>966</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1613</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1372</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1125</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1059</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1614</v>
      </c>
      <c r="B2545" s="27" t="s">
        <v>1046</v>
      </c>
      <c r="C2545" s="27" t="s">
        <v>1061</v>
      </c>
      <c r="D2545" s="27" t="s">
        <v>966</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978</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1372</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992</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319</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1126</v>
      </c>
      <c r="B2550" s="27" t="s">
        <v>1045</v>
      </c>
      <c r="C2550" s="27" t="s">
        <v>974</v>
      </c>
      <c r="D2550" s="27" t="s">
        <v>966</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1007</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row>
    <row r="2553" spans="1:12">
      <c r="A2553" s="20" t="s">
        <v>1615</v>
      </c>
    </row>
    <row r="2554" spans="1:12">
      <c r="A2554" s="20" t="s">
        <v>1009</v>
      </c>
      <c r="B2554" s="27" t="s">
        <v>970</v>
      </c>
      <c r="C2554" s="27" t="s">
        <v>974</v>
      </c>
      <c r="D2554" s="27" t="s">
        <v>966</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95</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992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59</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984</v>
      </c>
      <c r="B2558" s="27" t="s">
        <v>980</v>
      </c>
      <c r="C2558" s="27" t="s">
        <v>974</v>
      </c>
      <c r="D2558" s="27" t="s">
        <v>966</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1230</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213</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997</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1616</v>
      </c>
      <c r="B2562" s="27" t="s">
        <v>1039</v>
      </c>
      <c r="C2562" s="27" t="s">
        <v>977</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1286</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984</v>
      </c>
      <c r="B2564" s="27" t="s">
        <v>985</v>
      </c>
      <c r="C2564" s="27" t="s">
        <v>974</v>
      </c>
      <c r="D2564" s="27" t="s">
        <v>966</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996</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1167</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988</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1617</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1034</v>
      </c>
      <c r="B2569" s="27" t="s">
        <v>1045</v>
      </c>
      <c r="C2569" s="27" t="s">
        <v>974</v>
      </c>
      <c r="D2569" s="27" t="s">
        <v>966</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978</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1090</v>
      </c>
      <c r="B2571" s="27" t="s">
        <v>1026</v>
      </c>
      <c r="C2571" s="27" t="s">
        <v>1051</v>
      </c>
      <c r="D2571" s="27" t="s">
        <v>966</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1618</v>
      </c>
      <c r="B2572" s="27" t="s">
        <v>1043</v>
      </c>
      <c r="C2572" s="27" t="s">
        <v>1053</v>
      </c>
      <c r="D2572" s="27" t="s">
        <v>966</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1361</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1041</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1612</v>
      </c>
      <c r="B2575" s="27" t="s">
        <v>1026</v>
      </c>
      <c r="C2575" s="27" t="s">
        <v>1044</v>
      </c>
      <c r="D2575" s="27" t="s">
        <v>966</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1124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1614</v>
      </c>
      <c r="B2577" s="27" t="s">
        <v>1026</v>
      </c>
      <c r="C2577" s="27" t="s">
        <v>1006</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990</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984</v>
      </c>
      <c r="B2579" s="27" t="s">
        <v>1029</v>
      </c>
      <c r="C2579" s="27" t="s">
        <v>974</v>
      </c>
      <c r="D2579" s="27" t="s">
        <v>966</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986</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1619</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1522</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997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1038</v>
      </c>
      <c r="B2584" s="27" t="s">
        <v>1098</v>
      </c>
      <c r="C2584" s="27" t="s">
        <v>977</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1040</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1007</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row>
    <row r="2588" spans="1:12">
      <c r="A2588" s="20" t="s">
        <v>1620</v>
      </c>
    </row>
    <row r="2589" spans="1:12">
      <c r="A2589" s="20" t="s">
        <v>1104</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1009</v>
      </c>
      <c r="B2590" s="27" t="s">
        <v>970</v>
      </c>
      <c r="C2590" s="27" t="s">
        <v>974</v>
      </c>
      <c r="D2590" s="27" t="s">
        <v>966</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95</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992</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396</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984</v>
      </c>
      <c r="B2594" s="27" t="s">
        <v>980</v>
      </c>
      <c r="C2594" s="27" t="s">
        <v>974</v>
      </c>
      <c r="D2594" s="27" t="s">
        <v>966</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213</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988</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541</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1108</v>
      </c>
      <c r="B2598" s="27" t="s">
        <v>1043</v>
      </c>
      <c r="C2598" s="27" t="s">
        <v>1079</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1041</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1621</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1622</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1623</v>
      </c>
      <c r="B2602" s="27" t="s">
        <v>1056</v>
      </c>
      <c r="C2602" s="27" t="s">
        <v>1044</v>
      </c>
      <c r="D2602" s="27" t="s">
        <v>966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1080</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1234</v>
      </c>
      <c r="B2604" s="27" t="s">
        <v>1029</v>
      </c>
      <c r="C2604" s="27" t="s">
        <v>974</v>
      </c>
      <c r="D2604" s="27" t="s">
        <v>966</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996</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1624</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1040</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1625</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1126</v>
      </c>
      <c r="B2609" s="27" t="s">
        <v>1099</v>
      </c>
      <c r="C2609" s="27" t="s">
        <v>974</v>
      </c>
      <c r="D2609" s="27" t="s">
        <v>966</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1361</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983</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1141</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984</v>
      </c>
      <c r="B2613" s="27" t="s">
        <v>980</v>
      </c>
      <c r="C2613" s="27" t="s">
        <v>974</v>
      </c>
      <c r="D2613" s="27" t="s">
        <v>966</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95</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822</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988</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541</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1108</v>
      </c>
      <c r="B2618" s="27" t="s">
        <v>1043</v>
      </c>
      <c r="C2618" s="27" t="s">
        <v>1079</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1041</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1626</v>
      </c>
      <c r="B2620" s="27" t="s">
        <v>1056</v>
      </c>
      <c r="C2620" s="27" t="s">
        <v>1053</v>
      </c>
      <c r="D2620" s="27" t="s">
        <v>966</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1000</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1082</v>
      </c>
      <c r="B2622" s="27" t="s">
        <v>1023</v>
      </c>
      <c r="C2622" s="27" t="s">
        <v>974</v>
      </c>
      <c r="D2622" s="27" t="s">
        <v>966</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1080</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983</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1108</v>
      </c>
      <c r="B2625" s="27" t="s">
        <v>999</v>
      </c>
      <c r="C2625" s="27" t="s">
        <v>1079</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1114</v>
      </c>
      <c r="B2626" s="27" t="s">
        <v>1098</v>
      </c>
      <c r="C2626" s="27" t="s">
        <v>1627</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1000</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1628</v>
      </c>
      <c r="B2628" s="27" t="s">
        <v>999</v>
      </c>
      <c r="C2628" s="27" t="s">
        <v>1006</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1041</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1612</v>
      </c>
      <c r="B2630" s="27" t="s">
        <v>1029</v>
      </c>
      <c r="C2630" s="27" t="s">
        <v>1044</v>
      </c>
      <c r="D2630" s="27" t="s">
        <v>966</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1096</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1083</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988</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95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978</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1055</v>
      </c>
      <c r="B2636" s="27" t="s">
        <v>999</v>
      </c>
      <c r="C2636" s="27" t="s">
        <v>1079</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978</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1148</v>
      </c>
      <c r="B2638" s="27" t="s">
        <v>1005</v>
      </c>
      <c r="C2638" s="27" t="s">
        <v>1079</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983</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978</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1009</v>
      </c>
      <c r="B2641" s="27" t="s">
        <v>1629</v>
      </c>
      <c r="C2641" s="27" t="s">
        <v>974</v>
      </c>
      <c r="D2641" s="27" t="s">
        <v>966</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59</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984</v>
      </c>
      <c r="B2643" s="27" t="s">
        <v>1630</v>
      </c>
      <c r="C2643" s="27" t="s">
        <v>974</v>
      </c>
      <c r="D2643" s="27" t="s">
        <v>966</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213</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992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1522</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990</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1038</v>
      </c>
      <c r="B2648" s="27" t="s">
        <v>1631</v>
      </c>
      <c r="C2648" s="27" t="s">
        <v>1061</v>
      </c>
      <c r="D2648" s="27" t="s">
        <v>966</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1007</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row>
    <row r="2651" spans="1:12">
      <c r="A2651" s="20" t="s">
        <v>1632</v>
      </c>
    </row>
    <row r="2652" spans="1:12">
      <c r="A2652" s="20" t="s">
        <v>969</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1009</v>
      </c>
      <c r="B2653" s="27" t="s">
        <v>970</v>
      </c>
      <c r="C2653" s="27" t="s">
        <v>974</v>
      </c>
      <c r="D2653" s="27" t="s">
        <v>966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59</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1041</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1612</v>
      </c>
      <c r="B2656" s="27" t="s">
        <v>1013</v>
      </c>
      <c r="C2656" s="27" t="s">
        <v>1044</v>
      </c>
      <c r="D2656" s="27" t="s">
        <v>966</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1096</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1120</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1142</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1222</v>
      </c>
      <c r="B2660" s="27" t="s">
        <v>1039</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997</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1633</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1634</v>
      </c>
      <c r="B2663" s="27" t="s">
        <v>1039</v>
      </c>
      <c r="C2663" s="27" t="s">
        <v>977</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1012</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1112</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1125</v>
      </c>
      <c r="B2666" s="27" t="s">
        <v>1046</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990</v>
      </c>
      <c r="B2667" s="27" t="s">
        <v>1098</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1129</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1635</v>
      </c>
      <c r="B2669" s="27" t="s">
        <v>1026</v>
      </c>
      <c r="C2669" s="27" t="s">
        <v>1006</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1007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row>
    <row r="2672" spans="1:12">
      <c r="A2672" s="20" t="s">
        <v>1636</v>
      </c>
    </row>
    <row r="2673" spans="1:12">
      <c r="A2673" s="20" t="s">
        <v>1036</v>
      </c>
      <c r="B2673" s="27" t="s">
        <v>964</v>
      </c>
      <c r="C2673" s="27" t="s">
        <v>1006</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967</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1637</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1246</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988</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87</v>
      </c>
      <c r="B2678" s="27" t="s">
        <v>1013</v>
      </c>
      <c r="C2678" s="27" t="s">
        <v>965</v>
      </c>
      <c r="D2678" s="27" t="s">
        <v>966</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988</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1638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1124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1639</v>
      </c>
      <c r="B2682" s="27" t="s">
        <v>1043</v>
      </c>
      <c r="C2682" s="27" t="s">
        <v>1088</v>
      </c>
      <c r="D2682" s="27" t="s">
        <v>966</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1007</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row>
    <row r="2685" spans="1:12">
      <c r="A2685" s="20" t="s">
        <v>1640</v>
      </c>
    </row>
    <row r="2686" spans="1:12">
      <c r="A2686" s="20" t="s">
        <v>1086</v>
      </c>
      <c r="B2686" s="27" t="s">
        <v>964</v>
      </c>
      <c r="C2686" s="27" t="s">
        <v>1006</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967</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1386</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87</v>
      </c>
      <c r="B2689" s="27" t="s">
        <v>964</v>
      </c>
      <c r="C2689" s="27" t="s">
        <v>965</v>
      </c>
      <c r="D2689" s="27" t="s">
        <v>966</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983</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1141</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1041</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1641</v>
      </c>
      <c r="B2693" s="27" t="s">
        <v>1013</v>
      </c>
      <c r="C2693" s="27" t="s">
        <v>1044</v>
      </c>
      <c r="D2693" s="27" t="s">
        <v>966</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1007</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row>
    <row r="2696" spans="1:12">
      <c r="A2696" s="20" t="s">
        <v>1642</v>
      </c>
    </row>
    <row r="2697" spans="1:12">
      <c r="A2697" s="20" t="s">
        <v>1009</v>
      </c>
      <c r="B2697" s="27" t="s">
        <v>970</v>
      </c>
      <c r="C2697" s="27" t="s">
        <v>974</v>
      </c>
      <c r="D2697" s="27" t="s">
        <v>966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59</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984</v>
      </c>
      <c r="B2699" s="27" t="s">
        <v>980</v>
      </c>
      <c r="C2699" s="27" t="s">
        <v>974</v>
      </c>
      <c r="D2699" s="27" t="s">
        <v>966</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822</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988</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213</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997</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1643</v>
      </c>
      <c r="B2704" s="27" t="s">
        <v>1046</v>
      </c>
      <c r="C2704" s="27" t="s">
        <v>977</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1040</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990</v>
      </c>
      <c r="B2706" s="27" t="s">
        <v>1026</v>
      </c>
      <c r="C2706" s="27" t="s">
        <v>1014</v>
      </c>
      <c r="D2706" s="27" t="s">
        <v>966</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983</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1291</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984</v>
      </c>
      <c r="B2709" s="27" t="s">
        <v>980</v>
      </c>
      <c r="C2709" s="27" t="s">
        <v>974</v>
      </c>
      <c r="D2709" s="27" t="s">
        <v>966</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1552</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992</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213</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997</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1644</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1616</v>
      </c>
      <c r="B2715" s="27" t="s">
        <v>1039</v>
      </c>
      <c r="C2715" s="27" t="s">
        <v>977</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1007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row>
    <row r="2718" spans="1:12">
      <c r="A2718" s="20" t="s">
        <v>1645</v>
      </c>
    </row>
    <row r="2719" spans="1:12">
      <c r="A2719" s="20" t="s">
        <v>1170</v>
      </c>
      <c r="B2719" s="27" t="s">
        <v>970</v>
      </c>
      <c r="C2719" s="27" t="s">
        <v>974</v>
      </c>
      <c r="D2719" s="27" t="s">
        <v>966</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1096</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1150</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1116</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1524</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1007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row>
    <row r="2726" spans="1:12">
      <c r="A2726" s="20" t="s">
        <v>1646</v>
      </c>
    </row>
    <row r="2727" spans="1:12">
      <c r="A2727" s="20" t="s">
        <v>969</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1009</v>
      </c>
      <c r="B2728" s="27" t="s">
        <v>970</v>
      </c>
      <c r="C2728" s="27" t="s">
        <v>974</v>
      </c>
      <c r="D2728" s="27" t="s">
        <v>966</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1010</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1647</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990</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87</v>
      </c>
      <c r="B2732" s="27" t="s">
        <v>1013</v>
      </c>
      <c r="C2732" s="27" t="s">
        <v>965</v>
      </c>
      <c r="D2732" s="27" t="s">
        <v>966</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1096</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1129</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1041</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1648</v>
      </c>
      <c r="B2736" s="27" t="s">
        <v>964</v>
      </c>
      <c r="C2736" s="27" t="s">
        <v>1053</v>
      </c>
      <c r="D2736" s="27" t="s">
        <v>966</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1000</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1625</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1034</v>
      </c>
      <c r="B2739" s="27" t="s">
        <v>1046</v>
      </c>
      <c r="C2739" s="27" t="s">
        <v>974</v>
      </c>
      <c r="D2739" s="27" t="s">
        <v>966</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978</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1090</v>
      </c>
      <c r="B2741" s="27" t="s">
        <v>1026</v>
      </c>
      <c r="C2741" s="27" t="s">
        <v>1051</v>
      </c>
      <c r="D2741" s="27" t="s">
        <v>966</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1618</v>
      </c>
      <c r="B2742" s="27" t="s">
        <v>985</v>
      </c>
      <c r="C2742" s="27" t="s">
        <v>1053</v>
      </c>
      <c r="D2742" s="27" t="s">
        <v>966</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1112</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1635</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1123</v>
      </c>
      <c r="B2745" s="27" t="s">
        <v>1046</v>
      </c>
      <c r="C2745" s="27" t="s">
        <v>1006</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990</v>
      </c>
      <c r="B2746" s="27" t="s">
        <v>1098</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1649</v>
      </c>
      <c r="B2747" s="27" t="s">
        <v>1029</v>
      </c>
      <c r="C2747" s="27" t="s">
        <v>1088</v>
      </c>
      <c r="D2747" s="27" t="s">
        <v>966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1164</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1040</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1007</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row>
    <row r="2752" spans="1:12">
      <c r="A2752" s="20" t="s">
        <v>1650</v>
      </c>
    </row>
    <row r="2753" spans="1:12">
      <c r="A2753" s="20" t="s">
        <v>1170</v>
      </c>
      <c r="B2753" s="27" t="s">
        <v>970</v>
      </c>
      <c r="C2753" s="27" t="s">
        <v>974</v>
      </c>
      <c r="D2753" s="27" t="s">
        <v>966</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1155</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992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521</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1651</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1054</v>
      </c>
      <c r="B2758" s="27" t="s">
        <v>973</v>
      </c>
      <c r="C2758" s="27" t="s">
        <v>977</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1007</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row>
    <row r="2761" spans="1:12">
      <c r="A2761" s="20" t="s">
        <v>1652</v>
      </c>
    </row>
    <row r="2762" spans="1:12">
      <c r="A2762" s="20" t="s">
        <v>1036</v>
      </c>
      <c r="B2762" s="27" t="s">
        <v>964</v>
      </c>
      <c r="C2762" s="27" t="s">
        <v>1006</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967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1178</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1007</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row>
    <row r="2767" spans="1:12">
      <c r="A2767" s="20" t="s">
        <v>1653</v>
      </c>
    </row>
    <row r="2768" spans="1:12">
      <c r="A2768" s="20" t="s">
        <v>1104</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1608</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1187</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1096</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997</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1048</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1654</v>
      </c>
      <c r="B2774" s="27" t="s">
        <v>970</v>
      </c>
      <c r="C2774" s="27" t="s">
        <v>1053</v>
      </c>
      <c r="D2774" s="27" t="s">
        <v>966</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1000</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1082</v>
      </c>
      <c r="B2776" s="27" t="s">
        <v>1013</v>
      </c>
      <c r="C2776" s="27" t="s">
        <v>974</v>
      </c>
      <c r="D2776" s="27" t="s">
        <v>966</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1007</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row>
    <row r="2779" spans="1:12">
      <c r="A2779" s="20" t="s">
        <v>1655</v>
      </c>
    </row>
    <row r="2780" spans="1:12">
      <c r="A2780" s="20" t="s">
        <v>1086</v>
      </c>
      <c r="B2780" s="27" t="s">
        <v>964</v>
      </c>
      <c r="C2780" s="27" t="s">
        <v>1006</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967</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1656</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1007</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row>
    <row r="2785" spans="1:12">
      <c r="A2785" s="20" t="s">
        <v>1657</v>
      </c>
    </row>
    <row r="2786" spans="1:12">
      <c r="A2786" s="20" t="s">
        <v>1250</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1048</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1654</v>
      </c>
      <c r="B2788" s="27" t="s">
        <v>970</v>
      </c>
      <c r="C2788" s="27" t="s">
        <v>1044</v>
      </c>
      <c r="D2788" s="27" t="s">
        <v>966</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983</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1009</v>
      </c>
      <c r="B2790" s="27" t="s">
        <v>970</v>
      </c>
      <c r="C2790" s="27" t="s">
        <v>974</v>
      </c>
      <c r="D2790" s="27" t="s">
        <v>966</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59</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1082</v>
      </c>
      <c r="B2792" s="27" t="s">
        <v>980</v>
      </c>
      <c r="C2792" s="27" t="s">
        <v>974</v>
      </c>
      <c r="D2792" s="27" t="s">
        <v>966</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1096</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1041</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1095</v>
      </c>
      <c r="B2796" s="27" t="s">
        <v>980</v>
      </c>
      <c r="C2796" s="27" t="s">
        <v>1044</v>
      </c>
      <c r="D2796" s="27" t="s">
        <v>966</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1080</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1658</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1007</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row>
    <row r="2801" spans="1:12">
      <c r="A2801" s="20" t="s">
        <v>1659</v>
      </c>
    </row>
    <row r="2802" spans="1:12">
      <c r="A2802" s="20" t="s">
        <v>1154</v>
      </c>
      <c r="B2802" s="27" t="s">
        <v>970</v>
      </c>
      <c r="C2802" s="27" t="s">
        <v>974</v>
      </c>
      <c r="D2802" s="27" t="s">
        <v>966</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537</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997</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1456</v>
      </c>
      <c r="B2805" s="27" t="s">
        <v>973</v>
      </c>
      <c r="C2805" s="27" t="s">
        <v>977</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1007</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row>
    <row r="2808" spans="1:12">
      <c r="A2808" s="20" t="s">
        <v>1660</v>
      </c>
    </row>
    <row r="2809" spans="1:12">
      <c r="A2809" s="20" t="s">
        <v>1170</v>
      </c>
      <c r="B2809" s="27" t="s">
        <v>970</v>
      </c>
      <c r="C2809" s="27" t="s">
        <v>974</v>
      </c>
      <c r="D2809" s="27" t="s">
        <v>966</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1164</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1081</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1034</v>
      </c>
      <c r="B2812" s="27" t="s">
        <v>980</v>
      </c>
      <c r="C2812" s="27" t="s">
        <v>974</v>
      </c>
      <c r="D2812" s="27" t="s">
        <v>966</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1110</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1007</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row>
    <row r="2816" spans="1:12">
      <c r="A2816" s="20" t="s">
        <v>1661</v>
      </c>
    </row>
    <row r="2817" spans="1:12">
      <c r="A2817" s="20" t="s">
        <v>1355</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1096</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1179</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1128</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1024</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1097</v>
      </c>
      <c r="B2822" s="27" t="s">
        <v>970</v>
      </c>
      <c r="C2822" s="27" t="s">
        <v>1006</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1040</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1034</v>
      </c>
      <c r="B2824" s="27" t="s">
        <v>1013</v>
      </c>
      <c r="C2824" s="27" t="s">
        <v>974</v>
      </c>
      <c r="D2824" s="27" t="s">
        <v>966</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983</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978</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990</v>
      </c>
      <c r="B2827" s="27" t="s">
        <v>980</v>
      </c>
      <c r="C2827" s="27" t="s">
        <v>1014</v>
      </c>
      <c r="D2827" s="27" t="s">
        <v>966</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1096</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975</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1194</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1123</v>
      </c>
      <c r="B2831" s="27" t="s">
        <v>964</v>
      </c>
      <c r="C2831" s="27" t="s">
        <v>977</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983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978</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1082</v>
      </c>
      <c r="B2834" s="27" t="s">
        <v>980</v>
      </c>
      <c r="C2834" s="27" t="s">
        <v>974</v>
      </c>
      <c r="D2834" s="27" t="s">
        <v>966</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1662</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1054</v>
      </c>
      <c r="B2836" s="27" t="s">
        <v>1039</v>
      </c>
      <c r="C2836" s="27" t="s">
        <v>1006</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1148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1105</v>
      </c>
      <c r="B2838" s="27" t="s">
        <v>985</v>
      </c>
      <c r="C2838" s="27" t="s">
        <v>1006</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1110</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1663</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1664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1665</v>
      </c>
      <c r="B2842" s="27" t="s">
        <v>1046</v>
      </c>
      <c r="C2842" s="27" t="s">
        <v>1006</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1007</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row>
    <row r="2845" spans="1:12">
      <c r="A2845" s="20" t="s">
        <v>1666</v>
      </c>
    </row>
    <row r="2846" spans="1:12">
      <c r="A2846" s="20" t="s">
        <v>1136</v>
      </c>
      <c r="B2846" s="27" t="s">
        <v>970</v>
      </c>
      <c r="C2846" s="27" t="s">
        <v>974</v>
      </c>
      <c r="D2846" s="27" t="s">
        <v>966</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548</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997</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1089</v>
      </c>
      <c r="B2849" s="27" t="s">
        <v>973</v>
      </c>
      <c r="C2849" s="27" t="s">
        <v>977</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1000</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1064</v>
      </c>
      <c r="B2851" s="27" t="s">
        <v>1013</v>
      </c>
      <c r="C2851" s="27" t="s">
        <v>1006</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1147</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1040</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1059</v>
      </c>
      <c r="B2854" s="27" t="s">
        <v>1013</v>
      </c>
      <c r="C2854" s="27" t="s">
        <v>1014</v>
      </c>
      <c r="D2854" s="27" t="s">
        <v>966</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978</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1108</v>
      </c>
      <c r="B2856" s="27" t="s">
        <v>1043</v>
      </c>
      <c r="C2856" s="27" t="s">
        <v>1079</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1041</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1667</v>
      </c>
      <c r="B2858" s="27" t="s">
        <v>1029</v>
      </c>
      <c r="C2858" s="27" t="s">
        <v>1044</v>
      </c>
      <c r="D2858" s="27" t="s">
        <v>966</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1110</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1007</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row>
    <row r="2862" spans="1:12">
      <c r="A2862" s="20" t="s">
        <v>1668</v>
      </c>
    </row>
    <row r="2863" spans="1:12">
      <c r="A2863" s="20" t="s">
        <v>1009</v>
      </c>
      <c r="B2863" s="27" t="s">
        <v>970</v>
      </c>
      <c r="C2863" s="27" t="s">
        <v>974</v>
      </c>
      <c r="D2863" s="27" t="s">
        <v>966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1010</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997</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1483</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1020</v>
      </c>
      <c r="B2867" s="27" t="s">
        <v>964</v>
      </c>
      <c r="C2867" s="27" t="s">
        <v>977</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12</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1009</v>
      </c>
      <c r="B2869" s="27" t="s">
        <v>980</v>
      </c>
      <c r="C2869" s="27" t="s">
        <v>974</v>
      </c>
      <c r="D2869" s="27" t="s">
        <v>966</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59</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1041</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1669</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1123</v>
      </c>
      <c r="B2873" s="27" t="s">
        <v>1039</v>
      </c>
      <c r="C2873" s="27" t="s">
        <v>1044</v>
      </c>
      <c r="D2873" s="27" t="s">
        <v>966</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990</v>
      </c>
      <c r="B2874" s="27" t="s">
        <v>1045</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984</v>
      </c>
      <c r="B2875" s="27" t="s">
        <v>1056</v>
      </c>
      <c r="C2875" s="27" t="s">
        <v>974</v>
      </c>
      <c r="D2875" s="27" t="s">
        <v>966</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822</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988</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95</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1080</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1150</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1670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1105</v>
      </c>
      <c r="B2882" s="27" t="s">
        <v>1046</v>
      </c>
      <c r="C2882" s="27" t="s">
        <v>1006</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1671</v>
      </c>
      <c r="B2883" s="27" t="s">
        <v>1039</v>
      </c>
      <c r="C2883" s="27" t="s">
        <v>1006</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983</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417</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1159</v>
      </c>
      <c r="B2886" s="27" t="s">
        <v>1039</v>
      </c>
      <c r="C2886" s="27" t="s">
        <v>974</v>
      </c>
      <c r="D2886" s="27" t="s">
        <v>966</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1108</v>
      </c>
      <c r="B2887" s="27" t="s">
        <v>1026</v>
      </c>
      <c r="C2887" s="27" t="s">
        <v>1079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1672</v>
      </c>
      <c r="B2888" s="27" t="s">
        <v>1043</v>
      </c>
      <c r="C2888" s="27" t="s">
        <v>1627</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1096</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1673</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1674</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1047</v>
      </c>
      <c r="B2893" s="27" t="s">
        <v>1043</v>
      </c>
      <c r="C2893" s="27" t="s">
        <v>1079</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1675</v>
      </c>
      <c r="B2894" s="27" t="s">
        <v>1039</v>
      </c>
      <c r="C2894" s="27" t="s">
        <v>1053</v>
      </c>
      <c r="D2894" s="27" t="s">
        <v>966</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983</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1676</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1672</v>
      </c>
      <c r="B2897" s="27" t="s">
        <v>1043</v>
      </c>
      <c r="C2897" s="27" t="s">
        <v>1006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1007</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row>
    <row r="2900" spans="1:12">
      <c r="A2900" s="20" t="s">
        <v>1677</v>
      </c>
    </row>
    <row r="2901" spans="1:12">
      <c r="A2901" s="20" t="s">
        <v>1136</v>
      </c>
      <c r="B2901" s="27" t="s">
        <v>970</v>
      </c>
      <c r="C2901" s="27" t="s">
        <v>974</v>
      </c>
      <c r="D2901" s="27" t="s">
        <v>966</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996</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1295</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1040</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1678</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1679</v>
      </c>
      <c r="B2906" s="27" t="s">
        <v>964</v>
      </c>
      <c r="C2906" s="27" t="s">
        <v>1006</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1129</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1680</v>
      </c>
      <c r="B2908" s="27" t="s">
        <v>1013</v>
      </c>
      <c r="C2908" s="27" t="s">
        <v>965</v>
      </c>
      <c r="D2908" s="27" t="s">
        <v>966</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983</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978</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1112</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990</v>
      </c>
      <c r="B2912" s="27" t="s">
        <v>1039</v>
      </c>
      <c r="C2912" s="27" t="s">
        <v>1014</v>
      </c>
      <c r="D2912" s="27" t="s">
        <v>966</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1129</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1024</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1571</v>
      </c>
      <c r="B2915" s="27" t="s">
        <v>1013</v>
      </c>
      <c r="C2915" s="27" t="s">
        <v>1006</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983</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1150</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1681</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1105</v>
      </c>
      <c r="B2919" s="27" t="s">
        <v>1039</v>
      </c>
      <c r="C2919" s="27" t="s">
        <v>1006</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1024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1671</v>
      </c>
      <c r="B2921" s="27" t="s">
        <v>1039</v>
      </c>
      <c r="C2921" s="27" t="s">
        <v>1006</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978</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1024</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1682</v>
      </c>
      <c r="B2924" s="27" t="s">
        <v>1043</v>
      </c>
      <c r="C2924" s="27" t="s">
        <v>1006</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1000</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1108</v>
      </c>
      <c r="B2926" s="27" t="s">
        <v>1043</v>
      </c>
      <c r="C2926" s="27" t="s">
        <v>1079</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1096</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1083</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1198</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1007</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row>
    <row r="2932" spans="1:12">
      <c r="A2932" s="20" t="s">
        <v>1683</v>
      </c>
    </row>
    <row r="2933" spans="1:12">
      <c r="A2933" s="20" t="s">
        <v>1009</v>
      </c>
      <c r="B2933" s="27" t="s">
        <v>970</v>
      </c>
      <c r="C2933" s="27" t="s">
        <v>974</v>
      </c>
      <c r="D2933" s="27" t="s">
        <v>966</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1049</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59</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1082</v>
      </c>
      <c r="B2936" s="27" t="s">
        <v>980</v>
      </c>
      <c r="C2936" s="27" t="s">
        <v>974</v>
      </c>
      <c r="D2936" s="27" t="s">
        <v>966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1096</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1127</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1541</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1007</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row>
    <row r="2942" spans="1:12">
      <c r="A2942" s="20" t="s">
        <v>1684</v>
      </c>
    </row>
    <row r="2943" spans="1:12">
      <c r="A2943" s="20" t="s">
        <v>1685</v>
      </c>
      <c r="B2943" s="27" t="s">
        <v>970</v>
      </c>
      <c r="C2943" s="27" t="s">
        <v>1079</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1009</v>
      </c>
      <c r="B2944" s="27" t="s">
        <v>985</v>
      </c>
      <c r="C2944" s="27" t="s">
        <v>974</v>
      </c>
      <c r="D2944" s="27" t="s">
        <v>966</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1010</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1624</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1080</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990</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984</v>
      </c>
      <c r="B2949" s="27" t="s">
        <v>980</v>
      </c>
      <c r="C2949" s="27" t="s">
        <v>974</v>
      </c>
      <c r="D2949" s="27" t="s">
        <v>966</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1686</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1275</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1041</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1687</v>
      </c>
      <c r="B2953" s="27" t="s">
        <v>1039</v>
      </c>
      <c r="C2953" s="27" t="s">
        <v>1044</v>
      </c>
      <c r="D2953" s="27" t="s">
        <v>966</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1238</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1041</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1688</v>
      </c>
      <c r="B2956" s="27" t="s">
        <v>1043</v>
      </c>
      <c r="C2956" s="27" t="s">
        <v>1044</v>
      </c>
      <c r="D2956" s="27" t="s">
        <v>966</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1007</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row>
    <row r="2959" spans="1:12">
      <c r="A2959" s="20" t="s">
        <v>1689</v>
      </c>
    </row>
    <row r="2960" spans="1:12">
      <c r="A2960" s="20" t="s">
        <v>1104</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1009</v>
      </c>
      <c r="B2961" s="27" t="s">
        <v>970</v>
      </c>
      <c r="C2961" s="27" t="s">
        <v>974</v>
      </c>
      <c r="D2961" s="27" t="s">
        <v>966</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206</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1138</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983</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1198</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1050</v>
      </c>
      <c r="B2966" s="27" t="s">
        <v>1013</v>
      </c>
      <c r="C2966" s="27" t="s">
        <v>1051</v>
      </c>
      <c r="D2966" s="27" t="s">
        <v>966</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417</v>
      </c>
      <c r="B2967" s="27" t="s">
        <v>964</v>
      </c>
      <c r="C2967" s="27" t="s">
        <v>1053</v>
      </c>
      <c r="D2967" s="27" t="s">
        <v>966</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983</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1120</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983</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1009</v>
      </c>
      <c r="B2971" s="27" t="s">
        <v>980</v>
      </c>
      <c r="C2971" s="27" t="s">
        <v>974</v>
      </c>
      <c r="D2971" s="27" t="s">
        <v>966</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1114</v>
      </c>
      <c r="B2972" s="27" t="s">
        <v>980</v>
      </c>
      <c r="C2972" s="27" t="s">
        <v>1006</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1000</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1690</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1075</v>
      </c>
      <c r="B2975" s="27" t="s">
        <v>1043</v>
      </c>
      <c r="C2975" s="27" t="s">
        <v>1051</v>
      </c>
      <c r="D2975" s="27" t="s">
        <v>966</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1193</v>
      </c>
      <c r="B2976" s="27" t="s">
        <v>1039</v>
      </c>
      <c r="C2976" s="27" t="s">
        <v>1053</v>
      </c>
      <c r="D2976" s="27" t="s">
        <v>966</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983</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978</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1009</v>
      </c>
      <c r="B2979" s="27" t="s">
        <v>985</v>
      </c>
      <c r="C2979" s="27" t="s">
        <v>974</v>
      </c>
      <c r="D2979" s="27" t="s">
        <v>966</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213</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992</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1691</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1082</v>
      </c>
      <c r="B2983" s="27" t="s">
        <v>1046</v>
      </c>
      <c r="C2983" s="27" t="s">
        <v>974</v>
      </c>
      <c r="D2983" s="27" t="s">
        <v>966</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1316</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1007</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row>
    <row r="2987" spans="1:12">
      <c r="A2987" s="20" t="s">
        <v>1692</v>
      </c>
    </row>
    <row r="2988" spans="1:12">
      <c r="A2988" s="20" t="s">
        <v>1009</v>
      </c>
      <c r="B2988" s="27" t="s">
        <v>970</v>
      </c>
      <c r="C2988" s="27" t="s">
        <v>974</v>
      </c>
      <c r="D2988" s="27" t="s">
        <v>966</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1010</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1693</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990</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1012</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1500</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988</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1034</v>
      </c>
      <c r="B2995" s="27" t="s">
        <v>1043</v>
      </c>
      <c r="C2995" s="27" t="s">
        <v>974</v>
      </c>
      <c r="D2995" s="27" t="s">
        <v>966</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1009</v>
      </c>
      <c r="B2996" s="27" t="s">
        <v>980</v>
      </c>
      <c r="C2996" s="27" t="s">
        <v>974</v>
      </c>
      <c r="D2996" s="27" t="s">
        <v>966</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1010</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1083</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988</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331</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1082</v>
      </c>
      <c r="B3001" s="27" t="s">
        <v>1046</v>
      </c>
      <c r="C3001" s="27" t="s">
        <v>974</v>
      </c>
      <c r="D3001" s="27" t="s">
        <v>966</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1316</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1007</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row>
    <row r="3005" spans="1:12">
      <c r="A3005" s="20" t="s">
        <v>1694</v>
      </c>
    </row>
    <row r="3006" spans="1:12">
      <c r="A3006" s="20" t="s">
        <v>1036</v>
      </c>
      <c r="B3006" s="27" t="s">
        <v>964</v>
      </c>
      <c r="C3006" s="27" t="s">
        <v>1006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967</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1229</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1009</v>
      </c>
      <c r="B3009" s="27" t="s">
        <v>985</v>
      </c>
      <c r="C3009" s="27" t="s">
        <v>974</v>
      </c>
      <c r="D3009" s="27" t="s">
        <v>966</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1409</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95</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1639</v>
      </c>
      <c r="B3012" s="27" t="s">
        <v>1046</v>
      </c>
      <c r="C3012" s="27" t="s">
        <v>1088</v>
      </c>
      <c r="D3012" s="27" t="s">
        <v>966</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983</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1009</v>
      </c>
      <c r="B3014" s="27" t="s">
        <v>980</v>
      </c>
      <c r="C3014" s="27" t="s">
        <v>974</v>
      </c>
      <c r="D3014" s="27" t="s">
        <v>966</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1347</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95</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990</v>
      </c>
      <c r="B3017" s="27" t="s">
        <v>1039</v>
      </c>
      <c r="C3017" s="27" t="s">
        <v>1014</v>
      </c>
      <c r="D3017" s="27" t="s">
        <v>966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1007</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row>
    <row r="3020" spans="1:12">
      <c r="A3020" s="20" t="s">
        <v>1695</v>
      </c>
    </row>
    <row r="3021" spans="1:12">
      <c r="A3021" s="20" t="s">
        <v>1086</v>
      </c>
      <c r="B3021" s="27" t="s">
        <v>964</v>
      </c>
      <c r="C3021" s="27" t="s">
        <v>1006</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967</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1696</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1336</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1007</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row>
    <row r="3027" spans="1:12">
      <c r="A3027" s="20" t="s">
        <v>1697</v>
      </c>
    </row>
    <row r="3028" spans="1:12">
      <c r="A3028" s="20" t="s">
        <v>969</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331</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1275</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1050</v>
      </c>
      <c r="B3031" s="27" t="s">
        <v>1013</v>
      </c>
      <c r="C3031" s="27" t="s">
        <v>1051</v>
      </c>
      <c r="D3031" s="27" t="s">
        <v>966</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1698</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1699</v>
      </c>
      <c r="B3033" s="27" t="s">
        <v>973</v>
      </c>
      <c r="C3033" s="27" t="s">
        <v>1053</v>
      </c>
      <c r="D3033" s="27" t="s">
        <v>966</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978</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1700</v>
      </c>
      <c r="B3035" s="27" t="s">
        <v>964</v>
      </c>
      <c r="C3035" s="27" t="s">
        <v>1079</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1034</v>
      </c>
      <c r="B3036" s="27" t="s">
        <v>985</v>
      </c>
      <c r="C3036" s="27" t="s">
        <v>974</v>
      </c>
      <c r="D3036" s="27" t="s">
        <v>966</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822</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988</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95</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1007</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row>
    <row r="3042" spans="1:12">
      <c r="A3042" s="20" t="s">
        <v>1701</v>
      </c>
    </row>
    <row r="3043" spans="1:12">
      <c r="A3043" s="20" t="s">
        <v>1119</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1009</v>
      </c>
      <c r="B3044" s="27" t="s">
        <v>970</v>
      </c>
      <c r="C3044" s="27" t="s">
        <v>974</v>
      </c>
      <c r="D3044" s="27" t="s">
        <v>966</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59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983</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1034</v>
      </c>
      <c r="B3047" s="27" t="s">
        <v>980</v>
      </c>
      <c r="C3047" s="27" t="s">
        <v>974</v>
      </c>
      <c r="D3047" s="27" t="s">
        <v>966</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541</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1108</v>
      </c>
      <c r="B3049" s="27" t="s">
        <v>1043</v>
      </c>
      <c r="C3049" s="27" t="s">
        <v>1079</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983</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1009</v>
      </c>
      <c r="B3051" s="27" t="s">
        <v>985</v>
      </c>
      <c r="C3051" s="27" t="s">
        <v>974</v>
      </c>
      <c r="D3051" s="27" t="s">
        <v>966</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206</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1138</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990</v>
      </c>
      <c r="B3054" s="27" t="s">
        <v>1043</v>
      </c>
      <c r="C3054" s="27" t="s">
        <v>1014</v>
      </c>
      <c r="D3054" s="27" t="s">
        <v>966</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983</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1009</v>
      </c>
      <c r="B3056" s="27" t="s">
        <v>1056</v>
      </c>
      <c r="C3056" s="27" t="s">
        <v>974</v>
      </c>
      <c r="D3056" s="27" t="s">
        <v>966</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1482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990</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1641</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983</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978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1009</v>
      </c>
      <c r="B3062" s="27" t="s">
        <v>991</v>
      </c>
      <c r="C3062" s="27" t="s">
        <v>974</v>
      </c>
      <c r="D3062" s="27" t="s">
        <v>966</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987</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1125</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1059</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1097</v>
      </c>
      <c r="B3066" s="27" t="s">
        <v>1099</v>
      </c>
      <c r="C3066" s="27" t="s">
        <v>1061</v>
      </c>
      <c r="D3066" s="27" t="s">
        <v>966</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1007</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row>
    <row r="3069" spans="1:12">
      <c r="A3069" s="20" t="s">
        <v>1702</v>
      </c>
    </row>
    <row r="3070" spans="1:12">
      <c r="A3070" s="20" t="s">
        <v>1136</v>
      </c>
      <c r="B3070" s="27" t="s">
        <v>970</v>
      </c>
      <c r="C3070" s="27" t="s">
        <v>974</v>
      </c>
      <c r="D3070" s="27" t="s">
        <v>966</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987</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997</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1703</v>
      </c>
      <c r="B3073" s="27" t="s">
        <v>973</v>
      </c>
      <c r="C3073" s="27" t="s">
        <v>977</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1142</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1198</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1704</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1705</v>
      </c>
      <c r="B3077" s="27" t="s">
        <v>1013</v>
      </c>
      <c r="C3077" s="27" t="s">
        <v>1006</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1238</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1105</v>
      </c>
      <c r="B3079" s="27" t="s">
        <v>964</v>
      </c>
      <c r="C3079" s="27" t="s">
        <v>1006</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1308</v>
      </c>
      <c r="B3080" s="27" t="s">
        <v>985</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213</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1706</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1667</v>
      </c>
      <c r="B3083" s="27" t="s">
        <v>1046</v>
      </c>
      <c r="C3083" s="27" t="s">
        <v>1006</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983</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978</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1009</v>
      </c>
      <c r="B3086" s="27" t="s">
        <v>1056</v>
      </c>
      <c r="C3086" s="27" t="s">
        <v>974</v>
      </c>
      <c r="D3086" s="27" t="s">
        <v>966</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206</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1138</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1704</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1707</v>
      </c>
      <c r="B3090" s="27" t="s">
        <v>1026</v>
      </c>
      <c r="C3090" s="27" t="s">
        <v>1006</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983</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978</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1009</v>
      </c>
      <c r="B3093" s="27" t="s">
        <v>980</v>
      </c>
      <c r="C3093" s="27" t="s">
        <v>974</v>
      </c>
      <c r="D3093" s="27" t="s">
        <v>966</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22</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983</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1347</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992</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1082</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274</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1233</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1286</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1708</v>
      </c>
      <c r="B3102" s="27" t="s">
        <v>1029</v>
      </c>
      <c r="C3102" s="27" t="s">
        <v>1545</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1096</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1704</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1707</v>
      </c>
      <c r="B3105" s="27" t="s">
        <v>1056</v>
      </c>
      <c r="C3105" s="27" t="s">
        <v>1006</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1288</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1709</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1710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988</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1208</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1711</v>
      </c>
      <c r="B3111" s="27" t="s">
        <v>1098</v>
      </c>
      <c r="C3111" s="27" t="s">
        <v>1006</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1084</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row>
    <row r="3114" spans="1:12">
      <c r="A3114" s="20" t="s">
        <v>1712</v>
      </c>
    </row>
    <row r="3115" spans="1:12">
      <c r="A3115" s="20" t="s">
        <v>1104</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1121</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1544</v>
      </c>
      <c r="B3117" s="27" t="s">
        <v>980</v>
      </c>
      <c r="C3117" s="27" t="s">
        <v>1545</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1713</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1050</v>
      </c>
      <c r="B3119" s="27" t="s">
        <v>1043</v>
      </c>
      <c r="C3119" s="27" t="s">
        <v>1051</v>
      </c>
      <c r="D3119" s="27" t="s">
        <v>966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1704</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1714</v>
      </c>
      <c r="B3121" s="27" t="s">
        <v>1039</v>
      </c>
      <c r="C3121" s="27" t="s">
        <v>1053</v>
      </c>
      <c r="D3121" s="27" t="s">
        <v>966</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983</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997</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1208</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1715</v>
      </c>
      <c r="B3125" s="27" t="s">
        <v>1013</v>
      </c>
      <c r="C3125" s="27" t="s">
        <v>977</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983</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1234</v>
      </c>
      <c r="B3127" s="27" t="s">
        <v>970</v>
      </c>
      <c r="C3127" s="27" t="s">
        <v>974</v>
      </c>
      <c r="D3127" s="27" t="s">
        <v>966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1409</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249</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983</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1034</v>
      </c>
      <c r="B3131" s="27" t="s">
        <v>980</v>
      </c>
      <c r="C3131" s="27" t="s">
        <v>974</v>
      </c>
      <c r="D3131" s="27" t="s">
        <v>966</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1409</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249</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1132</v>
      </c>
      <c r="B3134" s="27" t="s">
        <v>1026</v>
      </c>
      <c r="C3134" s="27" t="s">
        <v>1079</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1715</v>
      </c>
      <c r="B3135" s="27" t="s">
        <v>985</v>
      </c>
      <c r="C3135" s="27" t="s">
        <v>1627</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1716</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1082</v>
      </c>
      <c r="B3137" s="27" t="s">
        <v>1046</v>
      </c>
      <c r="C3137" s="27" t="s">
        <v>974</v>
      </c>
      <c r="D3137" s="27" t="s">
        <v>966</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978</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1148</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983</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978</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1034</v>
      </c>
      <c r="B3142" s="27" t="s">
        <v>1056</v>
      </c>
      <c r="C3142" s="27" t="s">
        <v>974</v>
      </c>
      <c r="D3142" s="27" t="s">
        <v>966</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1409</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1240</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174</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1040</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1108</v>
      </c>
      <c r="B3147" s="27" t="s">
        <v>1026</v>
      </c>
      <c r="C3147" s="27" t="s">
        <v>1079</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1705</v>
      </c>
      <c r="B3148" s="27" t="s">
        <v>1029</v>
      </c>
      <c r="C3148" s="27" t="s">
        <v>1006</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1034</v>
      </c>
      <c r="B3149" s="27" t="s">
        <v>995</v>
      </c>
      <c r="C3149" s="27" t="s">
        <v>974</v>
      </c>
      <c r="D3149" s="27" t="s">
        <v>966</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213</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1007</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row>
    <row r="3153" spans="1:12">
      <c r="A3153" s="20" t="s">
        <v>1717</v>
      </c>
    </row>
    <row r="3154" spans="1:12">
      <c r="A3154" s="20" t="s">
        <v>1009</v>
      </c>
      <c r="B3154" s="27" t="s">
        <v>970</v>
      </c>
      <c r="C3154" s="27" t="s">
        <v>974</v>
      </c>
      <c r="D3154" s="27" t="s">
        <v>966</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59</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1286</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984</v>
      </c>
      <c r="B3157" s="27" t="s">
        <v>985</v>
      </c>
      <c r="C3157" s="27" t="s">
        <v>974</v>
      </c>
      <c r="D3157" s="27" t="s">
        <v>966</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1150</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1372</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990</v>
      </c>
      <c r="B3160" s="27" t="s">
        <v>1046</v>
      </c>
      <c r="C3160" s="27" t="s">
        <v>1014</v>
      </c>
      <c r="D3160" s="27" t="s">
        <v>966</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983</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984</v>
      </c>
      <c r="B3162" s="27" t="s">
        <v>980</v>
      </c>
      <c r="C3162" s="27" t="s">
        <v>974</v>
      </c>
      <c r="D3162" s="27" t="s">
        <v>966</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1718</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1719</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1720</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1721</v>
      </c>
      <c r="B3166" s="27" t="s">
        <v>1039</v>
      </c>
      <c r="C3166" s="27" t="s">
        <v>1065</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1059</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1722</v>
      </c>
      <c r="B3168" s="27" t="s">
        <v>1013</v>
      </c>
      <c r="C3168" s="27" t="s">
        <v>1061</v>
      </c>
      <c r="D3168" s="27" t="s">
        <v>966</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1007</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row>
    <row r="3171" spans="1:12">
      <c r="A3171" s="20" t="s">
        <v>1723</v>
      </c>
    </row>
    <row r="3172" spans="1:12">
      <c r="A3172" s="20" t="s">
        <v>1036</v>
      </c>
      <c r="B3172" s="27" t="s">
        <v>964</v>
      </c>
      <c r="C3172" s="27" t="s">
        <v>1006</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967</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1724</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1007</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row>
    <row r="3177" spans="1:12">
      <c r="A3177" s="20" t="s">
        <v>1725</v>
      </c>
    </row>
    <row r="3178" spans="1:12">
      <c r="A3178" s="20" t="s">
        <v>1726</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972</v>
      </c>
      <c r="B3179" s="27" t="s">
        <v>1039</v>
      </c>
      <c r="C3179" s="27" t="s">
        <v>974</v>
      </c>
      <c r="D3179" s="27" t="s">
        <v>966</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217</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1018</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1015</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389</v>
      </c>
      <c r="B3183" s="27" t="s">
        <v>1013</v>
      </c>
      <c r="C3183" s="27" t="s">
        <v>1006</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1017</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1086</v>
      </c>
      <c r="B3185" s="27" t="s">
        <v>964</v>
      </c>
      <c r="C3185" s="27" t="s">
        <v>1006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967</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969</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1009</v>
      </c>
      <c r="B3188" s="27" t="s">
        <v>980</v>
      </c>
      <c r="C3188" s="27" t="s">
        <v>974</v>
      </c>
      <c r="D3188" s="27" t="s">
        <v>966</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637</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1009</v>
      </c>
      <c r="B3190" s="27" t="s">
        <v>985</v>
      </c>
      <c r="C3190" s="27" t="s">
        <v>974</v>
      </c>
      <c r="D3190" s="27" t="s">
        <v>966</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1010</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1150</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1127</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1624</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990</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1238</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1042</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1048</v>
      </c>
      <c r="B3198" s="27" t="s">
        <v>1026</v>
      </c>
      <c r="C3198" s="27" t="s">
        <v>1006</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983</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984</v>
      </c>
      <c r="B3200" s="27" t="s">
        <v>1056</v>
      </c>
      <c r="C3200" s="27" t="s">
        <v>974</v>
      </c>
      <c r="D3200" s="27" t="s">
        <v>966</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996</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1112</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1041</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1261</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1123</v>
      </c>
      <c r="B3205" s="27" t="s">
        <v>1045</v>
      </c>
      <c r="C3205" s="27" t="s">
        <v>1044</v>
      </c>
      <c r="D3205" s="27" t="s">
        <v>966</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984</v>
      </c>
      <c r="B3206" s="27" t="s">
        <v>991</v>
      </c>
      <c r="C3206" s="27" t="s">
        <v>974</v>
      </c>
      <c r="D3206" s="27" t="s">
        <v>966</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996</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1112</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1238</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1704</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1707</v>
      </c>
      <c r="B3211" s="27" t="s">
        <v>999</v>
      </c>
      <c r="C3211" s="27" t="s">
        <v>1006</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983</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1080</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984</v>
      </c>
      <c r="B3214" s="27" t="s">
        <v>985</v>
      </c>
      <c r="C3214" s="27" t="s">
        <v>974</v>
      </c>
      <c r="D3214" s="27" t="s">
        <v>966</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996</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1727</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1275</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1041</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1687</v>
      </c>
      <c r="B3219" s="27" t="s">
        <v>1046</v>
      </c>
      <c r="C3219" s="27" t="s">
        <v>1044</v>
      </c>
      <c r="D3219" s="27" t="s">
        <v>966</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1238</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1041</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1688</v>
      </c>
      <c r="B3222" s="27" t="s">
        <v>1026</v>
      </c>
      <c r="C3222" s="27" t="s">
        <v>1044</v>
      </c>
      <c r="D3222" s="27" t="s">
        <v>966</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983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978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984</v>
      </c>
      <c r="B3225" s="27" t="s">
        <v>1056</v>
      </c>
      <c r="C3225" s="27" t="s">
        <v>974</v>
      </c>
      <c r="D3225" s="27" t="s">
        <v>966</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996</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1116</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1107</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1147</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1040</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1041</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1633</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1202</v>
      </c>
      <c r="B3233" s="27" t="s">
        <v>1026</v>
      </c>
      <c r="C3233" s="27" t="s">
        <v>1044</v>
      </c>
      <c r="D3233" s="27" t="s">
        <v>966</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990</v>
      </c>
      <c r="B3234" s="27" t="s">
        <v>991</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1230</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1728</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1361</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1105</v>
      </c>
      <c r="B3238" s="27" t="s">
        <v>999</v>
      </c>
      <c r="C3238" s="27" t="s">
        <v>1006</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1729</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1097</v>
      </c>
      <c r="B3240" s="27" t="s">
        <v>1568</v>
      </c>
      <c r="C3240" s="27" t="s">
        <v>1006</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1238</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1041</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1336</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1105</v>
      </c>
      <c r="B3244" s="27" t="s">
        <v>1570</v>
      </c>
      <c r="C3244" s="27" t="s">
        <v>1044</v>
      </c>
      <c r="D3244" s="27" t="s">
        <v>966</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1129</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1041</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1336</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1571</v>
      </c>
      <c r="B3248" s="27" t="s">
        <v>1730</v>
      </c>
      <c r="C3248" s="27" t="s">
        <v>1044</v>
      </c>
      <c r="D3248" s="27" t="s">
        <v>966</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1007</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row>
    <row r="3251" spans="1:12">
      <c r="A3251" s="20" t="s">
        <v>1731</v>
      </c>
    </row>
    <row r="3252" spans="1:12">
      <c r="A3252" s="20" t="s">
        <v>1036</v>
      </c>
      <c r="B3252" s="27" t="s">
        <v>964</v>
      </c>
      <c r="C3252" s="27" t="s">
        <v>1006</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967</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row>
    <row r="3255" spans="1:12">
      <c r="A3255" s="20" t="s">
        <v>1732</v>
      </c>
    </row>
    <row r="3256" spans="1:12">
      <c r="A3256" s="20" t="s">
        <v>1104</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1041</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1733</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605</v>
      </c>
      <c r="B3259" s="27" t="s">
        <v>964</v>
      </c>
      <c r="C3259" s="27" t="s">
        <v>1044</v>
      </c>
      <c r="D3259" s="27" t="s">
        <v>966</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990</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1105</v>
      </c>
      <c r="B3261" s="27" t="s">
        <v>980</v>
      </c>
      <c r="C3261" s="27" t="s">
        <v>1006</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213</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988</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213</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1734</v>
      </c>
      <c r="B3265" s="27" t="s">
        <v>1046</v>
      </c>
      <c r="C3265" s="27" t="s">
        <v>1006</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990</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1370</v>
      </c>
      <c r="B3267" s="27" t="s">
        <v>999</v>
      </c>
      <c r="C3267" s="27" t="s">
        <v>1051</v>
      </c>
      <c r="D3267" s="27" t="s">
        <v>966</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1097</v>
      </c>
      <c r="B3268" s="27" t="s">
        <v>1029</v>
      </c>
      <c r="C3268" s="27" t="s">
        <v>1053</v>
      </c>
      <c r="D3268" s="27" t="s">
        <v>966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1145</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1116</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274</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1735</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1007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row>
    <row r="3275" spans="1:12">
      <c r="A3275" s="20" t="s">
        <v>1736</v>
      </c>
    </row>
    <row r="3276" spans="1:12">
      <c r="A3276" s="20" t="s">
        <v>1086</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967</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1178</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983</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978</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1009</v>
      </c>
      <c r="B3281" s="27" t="s">
        <v>980</v>
      </c>
      <c r="C3281" s="27" t="s">
        <v>974</v>
      </c>
      <c r="D3281" s="27" t="s">
        <v>966</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1522</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1059</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1410</v>
      </c>
      <c r="B3284" s="27" t="s">
        <v>1039</v>
      </c>
      <c r="C3284" s="27" t="s">
        <v>1061</v>
      </c>
      <c r="D3284" s="27" t="s">
        <v>966</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1238</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1075</v>
      </c>
      <c r="B3286" s="27" t="s">
        <v>1043</v>
      </c>
      <c r="C3286" s="27" t="s">
        <v>1051</v>
      </c>
      <c r="D3286" s="27" t="s">
        <v>966</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1193</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1614</v>
      </c>
      <c r="B3288" s="27" t="s">
        <v>1013</v>
      </c>
      <c r="C3288" s="27" t="s">
        <v>1053</v>
      </c>
      <c r="D3288" s="27" t="s">
        <v>966</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1007</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row>
    <row r="3291" spans="1:12">
      <c r="A3291" s="20" t="s">
        <v>1737</v>
      </c>
    </row>
    <row r="3292" spans="1:12">
      <c r="A3292" s="20" t="s">
        <v>1009</v>
      </c>
      <c r="B3292" s="27" t="s">
        <v>970</v>
      </c>
      <c r="C3292" s="27" t="s">
        <v>974</v>
      </c>
      <c r="D3292" s="27" t="s">
        <v>966</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1188</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1738</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988</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1739</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1082</v>
      </c>
      <c r="B3297" s="27" t="s">
        <v>1039</v>
      </c>
      <c r="C3297" s="27" t="s">
        <v>974</v>
      </c>
      <c r="D3297" s="27" t="s">
        <v>966</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1007</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row>
    <row r="3300" spans="1:12">
      <c r="A3300" s="20" t="s">
        <v>1740</v>
      </c>
    </row>
    <row r="3301" spans="1:12">
      <c r="A3301" s="20" t="s">
        <v>1599</v>
      </c>
      <c r="B3301" s="27" t="s">
        <v>970</v>
      </c>
      <c r="C3301" s="27" t="s">
        <v>974</v>
      </c>
      <c r="D3301" s="27" t="s">
        <v>966</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1741</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972</v>
      </c>
      <c r="B3303" s="27" t="s">
        <v>973</v>
      </c>
      <c r="C3303" s="27" t="s">
        <v>974</v>
      </c>
      <c r="D3303" s="27" t="s">
        <v>966</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988</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95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990</v>
      </c>
      <c r="B3306" s="27" t="s">
        <v>1039</v>
      </c>
      <c r="C3306" s="27" t="s">
        <v>1014</v>
      </c>
      <c r="D3306" s="27" t="s">
        <v>966</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983</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978</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1082</v>
      </c>
      <c r="B3309" s="27" t="s">
        <v>980</v>
      </c>
      <c r="C3309" s="27" t="s">
        <v>974</v>
      </c>
      <c r="D3309" s="27" t="s">
        <v>966</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1188</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997</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1742</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1123</v>
      </c>
      <c r="B3313" s="27" t="s">
        <v>964</v>
      </c>
      <c r="C3313" s="27" t="s">
        <v>977</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988</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95</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1007</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row>
    <row r="3318" spans="1:12">
      <c r="A3318" s="20" t="s">
        <v>1743</v>
      </c>
    </row>
    <row r="3319" spans="1:12">
      <c r="A3319" s="20" t="s">
        <v>1036</v>
      </c>
      <c r="B3319" s="27" t="s">
        <v>964</v>
      </c>
      <c r="C3319" s="27" t="s">
        <v>1006</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967</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1104</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1041</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1744</v>
      </c>
      <c r="B3323" s="27" t="s">
        <v>980</v>
      </c>
      <c r="C3323" s="27" t="s">
        <v>1044</v>
      </c>
      <c r="D3323" s="27" t="s">
        <v>966</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1022</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1137</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1745</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1007</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row>
    <row r="3329" spans="1:12">
      <c r="A3329" s="20" t="s">
        <v>1746</v>
      </c>
    </row>
    <row r="3330" spans="1:12">
      <c r="A3330" s="20" t="s">
        <v>1086</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967</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1178</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983</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978</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1105</v>
      </c>
      <c r="B3335" s="27" t="s">
        <v>980</v>
      </c>
      <c r="C3335" s="27" t="s">
        <v>1006</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1110</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1747</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1748</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1007</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row>
    <row r="3341" spans="1:12">
      <c r="A3341" s="20" t="s">
        <v>1749</v>
      </c>
    </row>
    <row r="3342" spans="1:12">
      <c r="A3342" s="20" t="s">
        <v>1136</v>
      </c>
      <c r="B3342" s="27" t="s">
        <v>970</v>
      </c>
      <c r="C3342" s="27" t="s">
        <v>974</v>
      </c>
      <c r="D3342" s="27" t="s">
        <v>966</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987</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1750</v>
      </c>
      <c r="B3344" s="27" t="s">
        <v>973</v>
      </c>
      <c r="C3344" s="27" t="s">
        <v>1006</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978</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1750</v>
      </c>
      <c r="B3346" s="27" t="s">
        <v>1013</v>
      </c>
      <c r="C3346" s="27" t="s">
        <v>1006</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1000</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1105</v>
      </c>
      <c r="B3348" s="27" t="s">
        <v>1013</v>
      </c>
      <c r="C3348" s="27" t="s">
        <v>1006</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1238</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1706</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1705</v>
      </c>
      <c r="B3351" s="27" t="s">
        <v>964</v>
      </c>
      <c r="C3351" s="27" t="s">
        <v>1006</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983</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1132</v>
      </c>
      <c r="B3353" s="27" t="s">
        <v>1039</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1187</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1096</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1364</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1672</v>
      </c>
      <c r="B3357" s="27" t="s">
        <v>980</v>
      </c>
      <c r="C3357" s="27" t="s">
        <v>1065</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1198</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1553</v>
      </c>
      <c r="B3359" s="27" t="s">
        <v>1043</v>
      </c>
      <c r="C3359" s="27" t="s">
        <v>1006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1007</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row>
    <row r="3362" spans="1:12">
      <c r="A3362" s="20" t="s">
        <v>1751</v>
      </c>
    </row>
    <row r="3363" spans="1:12">
      <c r="A3363" s="20" t="s">
        <v>969</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1082</v>
      </c>
      <c r="B3364" s="27" t="s">
        <v>970</v>
      </c>
      <c r="C3364" s="27" t="s">
        <v>974</v>
      </c>
      <c r="D3364" s="27" t="s">
        <v>966</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1188</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997</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1107</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1202</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1123</v>
      </c>
      <c r="B3369" s="27" t="s">
        <v>964</v>
      </c>
      <c r="C3369" s="27" t="s">
        <v>977</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1007</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row>
    <row r="3372" spans="1:12">
      <c r="A3372" s="20" t="s">
        <v>1752</v>
      </c>
    </row>
    <row r="3373" spans="1:12">
      <c r="A3373" s="20" t="s">
        <v>1036</v>
      </c>
      <c r="B3373" s="27" t="s">
        <v>964</v>
      </c>
      <c r="C3373" s="27" t="s">
        <v>1006</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967</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969</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1500</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1040</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1041</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1073</v>
      </c>
      <c r="B3379" s="27" t="s">
        <v>1013</v>
      </c>
      <c r="C3379" s="27" t="s">
        <v>1044</v>
      </c>
      <c r="D3379" s="27" t="s">
        <v>966</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983</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1108</v>
      </c>
      <c r="B3381" s="27" t="s">
        <v>985</v>
      </c>
      <c r="C3381" s="27" t="s">
        <v>1079</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1080</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1082</v>
      </c>
      <c r="B3383" s="27" t="s">
        <v>1013</v>
      </c>
      <c r="C3383" s="27" t="s">
        <v>974</v>
      </c>
      <c r="D3383" s="27" t="s">
        <v>966</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1040</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1034</v>
      </c>
      <c r="B3385" s="27" t="s">
        <v>1043</v>
      </c>
      <c r="C3385" s="27" t="s">
        <v>974</v>
      </c>
      <c r="D3385" s="27" t="s">
        <v>966</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978</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1581</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1753</v>
      </c>
      <c r="B3388" s="27" t="s">
        <v>1026</v>
      </c>
      <c r="C3388" s="27" t="s">
        <v>1006</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1084</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row>
    <row r="3391" spans="1:12">
      <c r="A3391" s="20" t="s">
        <v>1353</v>
      </c>
    </row>
    <row r="3392" spans="1:12">
      <c r="A3392" s="20" t="s">
        <v>1086</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967</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1178</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1007</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row>
    <row r="3397" spans="1:12">
      <c r="A3397" s="20" t="s">
        <v>1754</v>
      </c>
    </row>
    <row r="3398" spans="1:12">
      <c r="A3398" s="20" t="s">
        <v>1009</v>
      </c>
      <c r="B3398" s="27" t="s">
        <v>970</v>
      </c>
      <c r="C3398" s="27" t="s">
        <v>974</v>
      </c>
      <c r="D3398" s="27" t="s">
        <v>966</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637</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1009</v>
      </c>
      <c r="B3400" s="27" t="s">
        <v>980</v>
      </c>
      <c r="C3400" s="27" t="s">
        <v>974</v>
      </c>
      <c r="D3400" s="27" t="s">
        <v>966</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1188</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1150</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1755</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1238</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1059</v>
      </c>
      <c r="B3405" s="27" t="s">
        <v>1013</v>
      </c>
      <c r="C3405" s="27" t="s">
        <v>1014</v>
      </c>
      <c r="D3405" s="27" t="s">
        <v>966</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1121</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1009</v>
      </c>
      <c r="B3407" s="27" t="s">
        <v>985</v>
      </c>
      <c r="C3407" s="27" t="s">
        <v>974</v>
      </c>
      <c r="D3407" s="27" t="s">
        <v>966</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1188</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1138</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1756</v>
      </c>
      <c r="B3410" s="27" t="s">
        <v>1013</v>
      </c>
      <c r="C3410" s="27" t="s">
        <v>1006</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1129</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1757</v>
      </c>
      <c r="B3412" s="27" t="s">
        <v>1043</v>
      </c>
      <c r="C3412" s="27" t="s">
        <v>965</v>
      </c>
      <c r="D3412" s="27" t="s">
        <v>966</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1007</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row>
    <row r="3415" spans="1:12">
      <c r="A3415" s="20" t="s">
        <v>1758</v>
      </c>
    </row>
    <row r="3416" spans="1:12">
      <c r="A3416" s="20" t="s">
        <v>1009</v>
      </c>
      <c r="B3416" s="27" t="s">
        <v>970</v>
      </c>
      <c r="C3416" s="27" t="s">
        <v>974</v>
      </c>
      <c r="D3416" s="27" t="s">
        <v>966</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1522</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988</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331</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1198</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1041</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1759</v>
      </c>
      <c r="B3422" s="27" t="s">
        <v>1013</v>
      </c>
      <c r="C3422" s="27" t="s">
        <v>1044</v>
      </c>
      <c r="D3422" s="27" t="s">
        <v>966</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978</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787</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1082</v>
      </c>
      <c r="B3425" s="27" t="s">
        <v>1046</v>
      </c>
      <c r="C3425" s="27" t="s">
        <v>974</v>
      </c>
      <c r="D3425" s="27" t="s">
        <v>966</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978</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1760</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1124</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1082</v>
      </c>
      <c r="B3429" s="27" t="s">
        <v>1026</v>
      </c>
      <c r="C3429" s="27" t="s">
        <v>974</v>
      </c>
      <c r="D3429" s="27" t="s">
        <v>966</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1007</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row>
    <row r="3432" spans="1:12">
      <c r="A3432" s="20" t="s">
        <v>1761</v>
      </c>
    </row>
    <row r="3433" spans="1:12">
      <c r="A3433" s="20" t="s">
        <v>1104</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1082</v>
      </c>
      <c r="B3434" s="27" t="s">
        <v>970</v>
      </c>
      <c r="C3434" s="27" t="s">
        <v>974</v>
      </c>
      <c r="D3434" s="27" t="s">
        <v>966</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1188</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1762</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978</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1763</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1007</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row>
    <row r="3441" spans="1:12">
      <c r="A3441" s="20" t="s">
        <v>1764</v>
      </c>
    </row>
    <row r="3442" spans="1:12">
      <c r="A3442" s="20" t="s">
        <v>1009</v>
      </c>
      <c r="B3442" s="27" t="s">
        <v>970</v>
      </c>
      <c r="C3442" s="27" t="s">
        <v>974</v>
      </c>
      <c r="D3442" s="27" t="s">
        <v>966</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1372</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1063</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1208</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1198</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1055</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1128</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1082</v>
      </c>
      <c r="B3449" s="27" t="s">
        <v>980</v>
      </c>
      <c r="C3449" s="27" t="s">
        <v>974</v>
      </c>
      <c r="D3449" s="27" t="s">
        <v>966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1765</v>
      </c>
      <c r="B3450" s="27" t="s">
        <v>973</v>
      </c>
      <c r="C3450" s="27" t="s">
        <v>1006</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983</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978</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1009</v>
      </c>
      <c r="B3453" s="27" t="s">
        <v>985</v>
      </c>
      <c r="C3453" s="27" t="s">
        <v>974</v>
      </c>
      <c r="D3453" s="27" t="s">
        <v>966</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1150</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1766</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997</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1020</v>
      </c>
      <c r="B3457" s="27" t="s">
        <v>1046</v>
      </c>
      <c r="C3457" s="27" t="s">
        <v>977</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1767</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1238</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1581</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1753</v>
      </c>
      <c r="B3461" s="27" t="s">
        <v>1023</v>
      </c>
      <c r="C3461" s="27" t="s">
        <v>1006</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1007</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row>
    <row r="3464" spans="1:12">
      <c r="A3464" s="20" t="s">
        <v>1768</v>
      </c>
    </row>
    <row r="3465" spans="1:12">
      <c r="A3465" s="20" t="s">
        <v>1036</v>
      </c>
      <c r="B3465" s="27" t="s">
        <v>964</v>
      </c>
      <c r="C3465" s="27" t="s">
        <v>1006</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967</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1104</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990</v>
      </c>
      <c r="B3468" s="27" t="s">
        <v>980</v>
      </c>
      <c r="C3468" s="27" t="s">
        <v>1014</v>
      </c>
      <c r="D3468" s="27" t="s">
        <v>966</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1062</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1041</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1530</v>
      </c>
      <c r="B3471" s="27" t="s">
        <v>1039</v>
      </c>
      <c r="C3471" s="27" t="s">
        <v>1044</v>
      </c>
      <c r="D3471" s="27" t="s">
        <v>966</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1000</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975</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1585</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1769</v>
      </c>
      <c r="B3475" s="27" t="s">
        <v>1043</v>
      </c>
      <c r="C3475" s="27" t="s">
        <v>977</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1007</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row>
    <row r="3478" spans="1:12">
      <c r="A3478" s="20" t="s">
        <v>1770</v>
      </c>
    </row>
    <row r="3479" spans="1:12">
      <c r="A3479" s="20" t="s">
        <v>1086</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967</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1178</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983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1040</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82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1139</v>
      </c>
      <c r="B3485" s="27" t="s">
        <v>1013</v>
      </c>
      <c r="C3485" s="27" t="s">
        <v>1065</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1066</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1009</v>
      </c>
      <c r="B3487" s="27" t="s">
        <v>980</v>
      </c>
      <c r="C3487" s="27" t="s">
        <v>974</v>
      </c>
      <c r="D3487" s="27" t="s">
        <v>966</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1259</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1040</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1105</v>
      </c>
      <c r="B3490" s="27" t="s">
        <v>1013</v>
      </c>
      <c r="C3490" s="27" t="s">
        <v>1006</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1532</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1198</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1585</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1586</v>
      </c>
      <c r="B3494" s="27" t="s">
        <v>1026</v>
      </c>
      <c r="C3494" s="27" t="s">
        <v>1006</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983</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978</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1009</v>
      </c>
      <c r="B3497" s="27" t="s">
        <v>985</v>
      </c>
      <c r="C3497" s="27" t="s">
        <v>974</v>
      </c>
      <c r="D3497" s="27" t="s">
        <v>966</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1766</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1771</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1012</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990</v>
      </c>
      <c r="B3501" s="27" t="s">
        <v>1026</v>
      </c>
      <c r="C3501" s="27" t="s">
        <v>1014</v>
      </c>
      <c r="D3501" s="27" t="s">
        <v>966</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983</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978</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1082</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1326</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997</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1583</v>
      </c>
      <c r="B3507" s="27" t="s">
        <v>1046</v>
      </c>
      <c r="C3507" s="27" t="s">
        <v>977</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988</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331</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1252</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1772</v>
      </c>
      <c r="B3511" s="27" t="s">
        <v>1045</v>
      </c>
      <c r="C3511" s="27" t="s">
        <v>1061</v>
      </c>
      <c r="D3511" s="27" t="s">
        <v>966</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1083</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983</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1141</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1009</v>
      </c>
      <c r="B3515" s="27" t="s">
        <v>980</v>
      </c>
      <c r="C3515" s="27" t="s">
        <v>974</v>
      </c>
      <c r="D3515" s="27" t="s">
        <v>966</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1010</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1747</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1295</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1040</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1041</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1773</v>
      </c>
      <c r="B3521" s="27" t="s">
        <v>1013</v>
      </c>
      <c r="C3521" s="27" t="s">
        <v>1044</v>
      </c>
      <c r="D3521" s="27" t="s">
        <v>966</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1000</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990</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1337</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1041</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1095</v>
      </c>
      <c r="B3526" s="27" t="s">
        <v>1045</v>
      </c>
      <c r="C3526" s="27" t="s">
        <v>1044</v>
      </c>
      <c r="D3526" s="27" t="s">
        <v>966</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1007</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row>
    <row r="3529" spans="1:12">
      <c r="A3529" s="20" t="s">
        <v>1774</v>
      </c>
    </row>
    <row r="3530" spans="1:12">
      <c r="A3530" s="20" t="s">
        <v>1355</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1096</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89</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1775</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1105</v>
      </c>
      <c r="B3534" s="27" t="s">
        <v>970</v>
      </c>
      <c r="C3534" s="27" t="s">
        <v>1065</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1291</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1024</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1776</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1777</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1722</v>
      </c>
      <c r="B3539" s="27" t="s">
        <v>1043</v>
      </c>
      <c r="C3539" s="27" t="s">
        <v>1006</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1007</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row>
    <row r="3542" spans="1:12">
      <c r="A3542" s="20" t="s">
        <v>1778</v>
      </c>
    </row>
    <row r="3543" spans="1:12">
      <c r="A3543" s="20" t="s">
        <v>1170</v>
      </c>
      <c r="B3543" s="27" t="s">
        <v>970</v>
      </c>
      <c r="C3543" s="27" t="s">
        <v>974</v>
      </c>
      <c r="D3543" s="27" t="s">
        <v>966</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1096</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1041</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1779</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1780</v>
      </c>
      <c r="B3547" s="27" t="s">
        <v>964</v>
      </c>
      <c r="C3547" s="27" t="s">
        <v>1606</v>
      </c>
      <c r="D3547" s="27" t="s">
        <v>966</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1000</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1781</v>
      </c>
      <c r="B3549" s="27" t="s">
        <v>964</v>
      </c>
      <c r="C3549" s="27" t="s">
        <v>1006</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1124</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1105</v>
      </c>
      <c r="B3551" s="27" t="s">
        <v>964</v>
      </c>
      <c r="C3551" s="27" t="s">
        <v>1006</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1782</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143</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1129</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1041</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1783</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1036</v>
      </c>
      <c r="B3557" s="27" t="s">
        <v>964</v>
      </c>
      <c r="C3557" s="27" t="s">
        <v>965</v>
      </c>
      <c r="D3557" s="27" t="s">
        <v>966</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967</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969</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1034</v>
      </c>
      <c r="B3560" s="27" t="s">
        <v>980</v>
      </c>
      <c r="C3560" s="27" t="s">
        <v>974</v>
      </c>
      <c r="D3560" s="27" t="s">
        <v>966</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996</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1500</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1040</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1784</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1721</v>
      </c>
      <c r="B3565" s="27" t="s">
        <v>1013</v>
      </c>
      <c r="C3565" s="27" t="s">
        <v>1006</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1007</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row>
    <row r="3568" spans="1:12">
      <c r="A3568" s="20" t="s">
        <v>1785</v>
      </c>
    </row>
    <row r="3569" spans="1:12">
      <c r="A3569" s="20" t="s">
        <v>1086</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967</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1178</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983</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978</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1049</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1784</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1786</v>
      </c>
      <c r="B3576" s="27" t="s">
        <v>1039</v>
      </c>
      <c r="C3576" s="27" t="s">
        <v>1006</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978</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1787</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1464</v>
      </c>
      <c r="B3579" s="27" t="s">
        <v>1046</v>
      </c>
      <c r="C3579" s="27" t="s">
        <v>1006</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1463</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1007</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row>
    <row r="3583" spans="1:12">
      <c r="A3583" s="20" t="s">
        <v>1788</v>
      </c>
    </row>
    <row r="3584" spans="1:12">
      <c r="A3584" s="20" t="s">
        <v>1789</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1790</v>
      </c>
      <c r="B3585" s="27" t="s">
        <v>970</v>
      </c>
      <c r="C3585" s="27" t="s">
        <v>965</v>
      </c>
      <c r="D3585" s="27" t="s">
        <v>966</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1080</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1791</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1792</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1793</v>
      </c>
      <c r="B3589" s="27" t="s">
        <v>964</v>
      </c>
      <c r="C3589" s="27" t="s">
        <v>1006</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978</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1794</v>
      </c>
      <c r="B3591" s="27" t="s">
        <v>964</v>
      </c>
      <c r="C3591" s="27" t="s">
        <v>1006</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983</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1791</v>
      </c>
      <c r="B3593" s="27" t="s">
        <v>964</v>
      </c>
      <c r="C3593" s="27" t="s">
        <v>1006</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1000</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1041</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1795</v>
      </c>
      <c r="B3596" s="27" t="s">
        <v>1013</v>
      </c>
      <c r="C3596" s="27" t="s">
        <v>1044</v>
      </c>
      <c r="D3596" s="27" t="s">
        <v>966</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983</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978</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1303</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1796</v>
      </c>
      <c r="B3600" s="27" t="s">
        <v>980</v>
      </c>
      <c r="C3600" s="27" t="s">
        <v>1006</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1110</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1116</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1797</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1798</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983</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1120</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1007</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row>
    <row r="3609" spans="1:12">
      <c r="A3609" s="20" t="s">
        <v>1799</v>
      </c>
    </row>
    <row r="3610" spans="1:12">
      <c r="A3610" s="20" t="s">
        <v>1170</v>
      </c>
      <c r="B3610" s="27" t="s">
        <v>970</v>
      </c>
      <c r="C3610" s="27" t="s">
        <v>974</v>
      </c>
      <c r="D3610" s="27" t="s">
        <v>966</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1096</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1150</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1134</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990</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990</v>
      </c>
      <c r="B3615" s="27" t="s">
        <v>980</v>
      </c>
      <c r="C3615" s="27" t="s">
        <v>1014</v>
      </c>
      <c r="D3615" s="27" t="s">
        <v>966</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1096</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1108</v>
      </c>
      <c r="B3617" s="27" t="s">
        <v>964</v>
      </c>
      <c r="C3617" s="27" t="s">
        <v>1079</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984</v>
      </c>
      <c r="B3618" s="27" t="s">
        <v>985</v>
      </c>
      <c r="C3618" s="27" t="s">
        <v>974</v>
      </c>
      <c r="D3618" s="27" t="s">
        <v>966</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1448</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1090</v>
      </c>
      <c r="B3620" s="27" t="s">
        <v>1026</v>
      </c>
      <c r="C3620" s="27" t="s">
        <v>1051</v>
      </c>
      <c r="D3620" s="27" t="s">
        <v>966</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1786</v>
      </c>
      <c r="B3621" s="27" t="s">
        <v>1046</v>
      </c>
      <c r="C3621" s="27" t="s">
        <v>1053</v>
      </c>
      <c r="D3621" s="27" t="s">
        <v>966</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1124</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1007</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row>
    <row r="3625" spans="1:12">
      <c r="A3625" s="20" t="s">
        <v>1800</v>
      </c>
    </row>
    <row r="3626" spans="1:12">
      <c r="A3626" s="20" t="s">
        <v>1036</v>
      </c>
      <c r="B3626" s="27" t="s">
        <v>964</v>
      </c>
      <c r="C3626" s="27" t="s">
        <v>1006</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967</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1104</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1055</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1801</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1145</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984</v>
      </c>
      <c r="B3632" s="27" t="s">
        <v>980</v>
      </c>
      <c r="C3632" s="27" t="s">
        <v>974</v>
      </c>
      <c r="D3632" s="27" t="s">
        <v>966</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274</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1187</v>
      </c>
      <c r="B3634" s="27" t="s">
        <v>964</v>
      </c>
      <c r="C3634" s="27" t="s">
        <v>1441</v>
      </c>
      <c r="D3634" s="27" t="s">
        <v>966</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1084</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row>
    <row r="3637" spans="1:12">
      <c r="A3637" s="20" t="s">
        <v>1802</v>
      </c>
    </row>
    <row r="3638" spans="1:12">
      <c r="A3638" s="20" t="s">
        <v>1086</v>
      </c>
      <c r="B3638" s="27" t="s">
        <v>964</v>
      </c>
      <c r="C3638" s="27" t="s">
        <v>1006</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967</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1009</v>
      </c>
      <c r="B3640" s="27" t="s">
        <v>980</v>
      </c>
      <c r="C3640" s="27" t="s">
        <v>974</v>
      </c>
      <c r="D3640" s="27" t="s">
        <v>966</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59</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984</v>
      </c>
      <c r="B3642" s="27" t="s">
        <v>985</v>
      </c>
      <c r="C3642" s="27" t="s">
        <v>974</v>
      </c>
      <c r="D3642" s="27" t="s">
        <v>966</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1230</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274</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1187</v>
      </c>
      <c r="B3645" s="27" t="s">
        <v>1013</v>
      </c>
      <c r="C3645" s="27" t="s">
        <v>1441</v>
      </c>
      <c r="D3645" s="27" t="s">
        <v>966</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1127</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983</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1127</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1801</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1007</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row>
    <row r="3652" spans="1:12">
      <c r="A3652" s="20" t="s">
        <v>1803</v>
      </c>
    </row>
    <row r="3653" spans="1:12">
      <c r="A3653" s="20" t="s">
        <v>1136</v>
      </c>
      <c r="B3653" s="27" t="s">
        <v>970</v>
      </c>
      <c r="C3653" s="27" t="s">
        <v>974</v>
      </c>
      <c r="D3653" s="27" t="s">
        <v>966</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986</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1804</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1486</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1415</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1720</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1805</v>
      </c>
      <c r="B3659" s="27" t="s">
        <v>964</v>
      </c>
      <c r="C3659" s="27" t="s">
        <v>1065</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1331</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1133</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1585</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1007</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row>
    <row r="3665" spans="1:12">
      <c r="A3665" s="20" t="s">
        <v>1806</v>
      </c>
    </row>
    <row r="3666" spans="1:12">
      <c r="A3666" s="20" t="s">
        <v>1009</v>
      </c>
      <c r="B3666" s="27" t="s">
        <v>970</v>
      </c>
      <c r="C3666" s="27" t="s">
        <v>974</v>
      </c>
      <c r="D3666" s="27" t="s">
        <v>966</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1010</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1747</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1295</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1040</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1807</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990</v>
      </c>
      <c r="B3672" s="27" t="s">
        <v>1039</v>
      </c>
      <c r="C3672" s="27" t="s">
        <v>1014</v>
      </c>
      <c r="D3672" s="27" t="s">
        <v>966</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1275</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1270</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1007</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row>
    <row r="3677" spans="1:12">
      <c r="A3677" s="20" t="s">
        <v>1808</v>
      </c>
    </row>
    <row r="3678" spans="1:12">
      <c r="A3678" s="20" t="s">
        <v>1036</v>
      </c>
      <c r="B3678" s="27" t="s">
        <v>964</v>
      </c>
      <c r="C3678" s="27" t="s">
        <v>1006</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967</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1119</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1082</v>
      </c>
      <c r="B3681" s="27" t="s">
        <v>980</v>
      </c>
      <c r="C3681" s="27" t="s">
        <v>974</v>
      </c>
      <c r="D3681" s="27" t="s">
        <v>966</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1096</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1116</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1809</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1034</v>
      </c>
      <c r="B3685" s="27" t="s">
        <v>980</v>
      </c>
      <c r="C3685" s="27" t="s">
        <v>974</v>
      </c>
      <c r="D3685" s="27" t="s">
        <v>966</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996</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1500</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1040</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1585</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1586</v>
      </c>
      <c r="B3690" s="27" t="s">
        <v>1013</v>
      </c>
      <c r="C3690" s="27" t="s">
        <v>1006</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1007</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row>
    <row r="3693" spans="1:12">
      <c r="A3693" s="20" t="s">
        <v>1810</v>
      </c>
    </row>
    <row r="3694" spans="1:12">
      <c r="A3694" s="20" t="s">
        <v>1154</v>
      </c>
      <c r="B3694" s="27" t="s">
        <v>970</v>
      </c>
      <c r="C3694" s="27" t="s">
        <v>974</v>
      </c>
      <c r="D3694" s="27" t="s">
        <v>966</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1049</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213</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1059</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1530</v>
      </c>
      <c r="B3698" s="27" t="s">
        <v>973</v>
      </c>
      <c r="C3698" s="27" t="s">
        <v>1061</v>
      </c>
      <c r="D3698" s="27" t="s">
        <v>966</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1124</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1587</v>
      </c>
      <c r="B3700" s="27" t="s">
        <v>964</v>
      </c>
      <c r="C3700" s="27" t="s">
        <v>1006</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1007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row>
    <row r="3703" spans="1:12">
      <c r="A3703" s="20" t="s">
        <v>1811</v>
      </c>
    </row>
    <row r="3704" spans="1:12">
      <c r="A3704" s="20" t="s">
        <v>1086</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967</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1033</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1138</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87</v>
      </c>
      <c r="B3708" s="27" t="s">
        <v>1043</v>
      </c>
      <c r="C3708" s="27" t="s">
        <v>965</v>
      </c>
      <c r="D3708" s="27" t="s">
        <v>966</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983</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984</v>
      </c>
      <c r="B3710" s="27" t="s">
        <v>970</v>
      </c>
      <c r="C3710" s="27" t="s">
        <v>974</v>
      </c>
      <c r="D3710" s="27" t="s">
        <v>966</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987</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1059</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1530</v>
      </c>
      <c r="B3713" s="27" t="s">
        <v>973</v>
      </c>
      <c r="C3713" s="27" t="s">
        <v>1061</v>
      </c>
      <c r="D3713" s="27" t="s">
        <v>966</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990</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984</v>
      </c>
      <c r="B3715" s="27" t="s">
        <v>980</v>
      </c>
      <c r="C3715" s="27" t="s">
        <v>974</v>
      </c>
      <c r="D3715" s="27" t="s">
        <v>966</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1812</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1150</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1670</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1813</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1814</v>
      </c>
      <c r="B3720" s="27" t="s">
        <v>1039</v>
      </c>
      <c r="C3720" s="27" t="s">
        <v>1006</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988</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1708</v>
      </c>
      <c r="B3722" s="27" t="s">
        <v>1013</v>
      </c>
      <c r="C3722" s="27" t="s">
        <v>1545</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983</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978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990</v>
      </c>
      <c r="B3725" s="27" t="s">
        <v>985</v>
      </c>
      <c r="C3725" s="27" t="s">
        <v>1014</v>
      </c>
      <c r="D3725" s="27" t="s">
        <v>966</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1096</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1137</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1233</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983</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1303</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1000</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1041</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1815</v>
      </c>
      <c r="B3733" s="27" t="s">
        <v>1013</v>
      </c>
      <c r="C3733" s="27" t="s">
        <v>1044</v>
      </c>
      <c r="D3733" s="27" t="s">
        <v>966</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1007</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row>
    <row r="3736" spans="1:12">
      <c r="A3736" s="20" t="s">
        <v>1816</v>
      </c>
    </row>
    <row r="3737" spans="1:12">
      <c r="A3737" s="20" t="s">
        <v>1154</v>
      </c>
      <c r="B3737" s="27" t="s">
        <v>970</v>
      </c>
      <c r="C3737" s="27" t="s">
        <v>974</v>
      </c>
      <c r="D3737" s="27" t="s">
        <v>966</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249</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1814</v>
      </c>
      <c r="B3739" s="27" t="s">
        <v>980</v>
      </c>
      <c r="C3739" s="27" t="s">
        <v>1006</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1083</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1817</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983</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978</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1041</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1814</v>
      </c>
      <c r="B3745" s="27" t="s">
        <v>980</v>
      </c>
      <c r="C3745" s="27" t="s">
        <v>1044</v>
      </c>
      <c r="D3745" s="27" t="s">
        <v>966</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1818</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1275</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1007</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row>
    <row r="3750" spans="1:12">
      <c r="A3750" s="20" t="s">
        <v>1819</v>
      </c>
    </row>
    <row r="3751" spans="1:12">
      <c r="A3751" s="20" t="s">
        <v>1237</v>
      </c>
      <c r="B3751" s="27" t="s">
        <v>970</v>
      </c>
      <c r="C3751" s="27" t="s">
        <v>974</v>
      </c>
      <c r="D3751" s="27" t="s">
        <v>966</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996</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1807</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1339</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106</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1820</v>
      </c>
      <c r="B3756" s="27" t="s">
        <v>973</v>
      </c>
      <c r="C3756" s="27" t="s">
        <v>1065</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997</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327</v>
      </c>
      <c r="B3758" s="27" t="s">
        <v>964</v>
      </c>
      <c r="C3758" s="27" t="s">
        <v>977</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1007</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row>
    <row r="3761" spans="1:12">
      <c r="A3761" s="20" t="s">
        <v>1821</v>
      </c>
    </row>
    <row r="3762" spans="1:12">
      <c r="A3762" s="20" t="s">
        <v>1036</v>
      </c>
      <c r="B3762" s="27" t="s">
        <v>964</v>
      </c>
      <c r="C3762" s="27" t="s">
        <v>1006</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967</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1119</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1034</v>
      </c>
      <c r="B3765" s="27" t="s">
        <v>980</v>
      </c>
      <c r="C3765" s="27" t="s">
        <v>974</v>
      </c>
      <c r="D3765" s="27" t="s">
        <v>966</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750</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988</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1435</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1159</v>
      </c>
      <c r="B3769" s="27" t="s">
        <v>1046</v>
      </c>
      <c r="C3769" s="27" t="s">
        <v>974</v>
      </c>
      <c r="D3769" s="27" t="s">
        <v>966</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1822</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1041</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1823</v>
      </c>
      <c r="B3772" s="27" t="s">
        <v>1043</v>
      </c>
      <c r="C3772" s="27" t="s">
        <v>1044</v>
      </c>
      <c r="D3772" s="27" t="s">
        <v>966</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983</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1824</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1007</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row>
    <row r="3777" spans="1:12">
      <c r="A3777" s="20" t="s">
        <v>1825</v>
      </c>
    </row>
    <row r="3778" spans="1:12">
      <c r="A3778" s="20" t="s">
        <v>1086</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967</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row>
    <row r="3781" spans="1:12">
      <c r="A3781" s="20" t="s">
        <v>1826</v>
      </c>
    </row>
    <row r="3782" spans="1:12">
      <c r="A3782" s="20" t="s">
        <v>1033</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1009</v>
      </c>
      <c r="B3783" s="27" t="s">
        <v>970</v>
      </c>
      <c r="C3783" s="27" t="s">
        <v>974</v>
      </c>
      <c r="D3783" s="27" t="s">
        <v>966</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982</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983</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1055</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95</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984</v>
      </c>
      <c r="B3788" s="27" t="s">
        <v>980</v>
      </c>
      <c r="C3788" s="27" t="s">
        <v>974</v>
      </c>
      <c r="D3788" s="27" t="s">
        <v>966</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331</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1105</v>
      </c>
      <c r="B3790" s="27" t="s">
        <v>1039</v>
      </c>
      <c r="C3790" s="27" t="s">
        <v>1006</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1505</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1814</v>
      </c>
      <c r="B3792" s="27" t="s">
        <v>1046</v>
      </c>
      <c r="C3792" s="27" t="s">
        <v>1006</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1024</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1084</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row>
    <row r="3796" spans="1:12">
      <c r="A3796" s="20" t="s">
        <v>1827</v>
      </c>
    </row>
    <row r="3797" spans="1:12">
      <c r="A3797" s="20" t="s">
        <v>1036</v>
      </c>
      <c r="B3797" s="27" t="s">
        <v>964</v>
      </c>
      <c r="C3797" s="27" t="s">
        <v>1006</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967</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1136</v>
      </c>
      <c r="B3799" s="27" t="s">
        <v>980</v>
      </c>
      <c r="C3799" s="27" t="s">
        <v>974</v>
      </c>
      <c r="D3799" s="27" t="s">
        <v>966</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1165</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213</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997</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285</v>
      </c>
      <c r="B3803" s="27" t="s">
        <v>1039</v>
      </c>
      <c r="C3803" s="27" t="s">
        <v>977</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1227</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1007</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row>
    <row r="3807" spans="1:12">
      <c r="A3807" s="20" t="s">
        <v>1828</v>
      </c>
    </row>
    <row r="3808" spans="1:12">
      <c r="A3808" s="20" t="s">
        <v>1086</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967</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1178</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983</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114</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1096</v>
      </c>
      <c r="B3813" s="27" t="s">
        <v>973</v>
      </c>
      <c r="C3813" s="27" t="s">
        <v>974</v>
      </c>
      <c r="D3813" s="27" t="s">
        <v>966</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417</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1041</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285</v>
      </c>
      <c r="B3816" s="27" t="s">
        <v>1039</v>
      </c>
      <c r="C3816" s="27" t="s">
        <v>1044</v>
      </c>
      <c r="D3816" s="27" t="s">
        <v>966</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1007</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row>
    <row r="3819" spans="1:12">
      <c r="A3819" s="20" t="s">
        <v>1829</v>
      </c>
    </row>
    <row r="3820" spans="1:12">
      <c r="A3820" s="20" t="s">
        <v>1009</v>
      </c>
      <c r="B3820" s="27" t="s">
        <v>970</v>
      </c>
      <c r="C3820" s="27" t="s">
        <v>974</v>
      </c>
      <c r="D3820" s="27" t="s">
        <v>966</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1150</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987</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1295</v>
      </c>
      <c r="B3823" s="27" t="s">
        <v>973</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1040</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1059</v>
      </c>
      <c r="B3825" s="27" t="s">
        <v>1013</v>
      </c>
      <c r="C3825" s="27" t="s">
        <v>1014</v>
      </c>
      <c r="D3825" s="27" t="s">
        <v>966</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1007</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row>
    <row r="3828" spans="1:12">
      <c r="A3828" s="20" t="s">
        <v>1830</v>
      </c>
    </row>
    <row r="3829" spans="1:12">
      <c r="A3829" s="20" t="s">
        <v>1015</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1831</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1017</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row>
    <row r="3833" spans="1:12">
      <c r="A3833" s="20" t="s">
        <v>1832</v>
      </c>
    </row>
    <row r="3834" spans="1:12">
      <c r="A3834" s="20" t="s">
        <v>969</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1059</v>
      </c>
      <c r="B3835" s="27" t="s">
        <v>970</v>
      </c>
      <c r="C3835" s="27" t="s">
        <v>1014</v>
      </c>
      <c r="D3835" s="27" t="s">
        <v>966</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1080</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1120</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1055</v>
      </c>
      <c r="B3838" s="27" t="s">
        <v>964</v>
      </c>
      <c r="C3838" s="27" t="s">
        <v>1079</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1034</v>
      </c>
      <c r="B3839" s="27" t="s">
        <v>980</v>
      </c>
      <c r="C3839" s="27" t="s">
        <v>974</v>
      </c>
      <c r="D3839" s="27" t="s">
        <v>966</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1833</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1834</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1814</v>
      </c>
      <c r="B3842" s="27" t="s">
        <v>1039</v>
      </c>
      <c r="C3842" s="27" t="s">
        <v>1006</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1361</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1586</v>
      </c>
      <c r="B3844" s="27" t="s">
        <v>1013</v>
      </c>
      <c r="C3844" s="27" t="s">
        <v>1006</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1238</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1835</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1765</v>
      </c>
      <c r="B3847" s="27" t="s">
        <v>1013</v>
      </c>
      <c r="C3847" s="27" t="s">
        <v>1006</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1007</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row>
    <row r="3850" spans="1:12">
      <c r="A3850" s="20" t="s">
        <v>1836</v>
      </c>
    </row>
    <row r="3851" spans="1:12">
      <c r="A3851" s="20" t="s">
        <v>1837</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983</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1082</v>
      </c>
      <c r="B3853" s="27" t="s">
        <v>970</v>
      </c>
      <c r="C3853" s="27" t="s">
        <v>974</v>
      </c>
      <c r="D3853" s="27" t="s">
        <v>966</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1838</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1133</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1134</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983</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1141</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1009</v>
      </c>
      <c r="B3859" s="27" t="s">
        <v>980</v>
      </c>
      <c r="C3859" s="27" t="s">
        <v>974</v>
      </c>
      <c r="D3859" s="27" t="s">
        <v>966</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1188</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1120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1147</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1040</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1090</v>
      </c>
      <c r="B3864" s="27" t="s">
        <v>1043</v>
      </c>
      <c r="C3864" s="27" t="s">
        <v>1051</v>
      </c>
      <c r="D3864" s="27" t="s">
        <v>966</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1839</v>
      </c>
      <c r="B3865" s="27" t="s">
        <v>1013</v>
      </c>
      <c r="C3865" s="27" t="s">
        <v>1053</v>
      </c>
      <c r="D3865" s="27" t="s">
        <v>966</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983</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1532</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1238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1041</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1840</v>
      </c>
      <c r="B3870" s="27" t="s">
        <v>1026</v>
      </c>
      <c r="C3870" s="27" t="s">
        <v>1044</v>
      </c>
      <c r="D3870" s="27" t="s">
        <v>966</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978</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1614</v>
      </c>
      <c r="B3872" s="27" t="s">
        <v>1023</v>
      </c>
      <c r="C3872" s="27" t="s">
        <v>1006</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983</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978</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1150</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1156</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988</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331</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997</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1089</v>
      </c>
      <c r="B3880" s="27" t="s">
        <v>1005</v>
      </c>
      <c r="C3880" s="27" t="s">
        <v>977</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1024</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1841</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1842</v>
      </c>
      <c r="B3883" s="27" t="s">
        <v>1098</v>
      </c>
      <c r="C3883" s="27" t="s">
        <v>1006</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983</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978</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1009</v>
      </c>
      <c r="B3886" s="27" t="s">
        <v>995</v>
      </c>
      <c r="C3886" s="27" t="s">
        <v>974</v>
      </c>
      <c r="D3886" s="27" t="s">
        <v>966</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1188</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1147</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1040</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983</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1055</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95</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1034</v>
      </c>
      <c r="B3893" s="27" t="s">
        <v>1629</v>
      </c>
      <c r="C3893" s="27" t="s">
        <v>974</v>
      </c>
      <c r="D3893" s="27" t="s">
        <v>966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1843</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1834</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1041</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1814</v>
      </c>
      <c r="B3897" s="27" t="s">
        <v>1568</v>
      </c>
      <c r="C3897" s="27" t="s">
        <v>1044</v>
      </c>
      <c r="D3897" s="27" t="s">
        <v>966</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1361</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1844</v>
      </c>
      <c r="B3899" s="27" t="s">
        <v>1570</v>
      </c>
      <c r="C3899" s="27" t="s">
        <v>1006</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1084</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row>
    <row r="3902" spans="1:12">
      <c r="A3902" s="20" t="s">
        <v>1845</v>
      </c>
    </row>
    <row r="3903" spans="1:12">
      <c r="A3903" s="20" t="s">
        <v>1104</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1009</v>
      </c>
      <c r="B3904" s="27" t="s">
        <v>970</v>
      </c>
      <c r="C3904" s="27" t="s">
        <v>974</v>
      </c>
      <c r="D3904" s="27" t="s">
        <v>966</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1315</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978</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1846</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983</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978</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1059</v>
      </c>
      <c r="B3910" s="27" t="s">
        <v>980</v>
      </c>
      <c r="C3910" s="27" t="s">
        <v>1014</v>
      </c>
      <c r="D3910" s="27" t="s">
        <v>966</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1080</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1108</v>
      </c>
      <c r="B3912" s="27" t="s">
        <v>964</v>
      </c>
      <c r="C3912" s="27" t="s">
        <v>1079</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1009</v>
      </c>
      <c r="B3913" s="27" t="s">
        <v>985</v>
      </c>
      <c r="C3913" s="27" t="s">
        <v>974</v>
      </c>
      <c r="D3913" s="27" t="s">
        <v>966</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1374</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1007</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row>
    <row r="3917" spans="1:12">
      <c r="A3917" s="20" t="s">
        <v>1847</v>
      </c>
    </row>
    <row r="3918" spans="1:12">
      <c r="A3918" s="20" t="s">
        <v>1104</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984</v>
      </c>
      <c r="B3919" s="27" t="s">
        <v>970</v>
      </c>
      <c r="C3919" s="27" t="s">
        <v>974</v>
      </c>
      <c r="D3919" s="27" t="s">
        <v>966</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996</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1116</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1120</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1532</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1198</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1059</v>
      </c>
      <c r="B3925" s="27" t="s">
        <v>964</v>
      </c>
      <c r="C3925" s="27" t="s">
        <v>1014</v>
      </c>
      <c r="D3925" s="27" t="s">
        <v>966</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983</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990</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1621</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1123</v>
      </c>
      <c r="B3929" s="27" t="s">
        <v>973</v>
      </c>
      <c r="C3929" s="27" t="s">
        <v>1061</v>
      </c>
      <c r="D3929" s="27" t="s">
        <v>966</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983</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1141</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1082</v>
      </c>
      <c r="B3932" s="27" t="s">
        <v>980</v>
      </c>
      <c r="C3932" s="27" t="s">
        <v>974</v>
      </c>
      <c r="D3932" s="27" t="s">
        <v>966</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1848</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1050</v>
      </c>
      <c r="B3934" s="27" t="s">
        <v>1043</v>
      </c>
      <c r="C3934" s="27" t="s">
        <v>1051</v>
      </c>
      <c r="D3934" s="27" t="s">
        <v>966</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1849</v>
      </c>
      <c r="B3935" s="27" t="s">
        <v>1039</v>
      </c>
      <c r="C3935" s="27" t="s">
        <v>1053</v>
      </c>
      <c r="D3935" s="27" t="s">
        <v>966</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1083</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1007</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row>
    <row r="3939" spans="1:12">
      <c r="A3939" s="20" t="s">
        <v>1850</v>
      </c>
    </row>
    <row r="3940" spans="1:12">
      <c r="A3940" s="20" t="s">
        <v>1036</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967</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1726</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972</v>
      </c>
      <c r="B3943" s="27" t="s">
        <v>1039</v>
      </c>
      <c r="C3943" s="27" t="s">
        <v>974</v>
      </c>
      <c r="D3943" s="27" t="s">
        <v>966</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1851</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1238</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1059</v>
      </c>
      <c r="B3946" s="27" t="s">
        <v>1013</v>
      </c>
      <c r="C3946" s="27" t="s">
        <v>1014</v>
      </c>
      <c r="D3946" s="27" t="s">
        <v>966</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1007</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row>
    <row r="3949" spans="1:12">
      <c r="A3949" s="20" t="s">
        <v>1852</v>
      </c>
    </row>
    <row r="3950" spans="1:12">
      <c r="A3950" s="20" t="s">
        <v>1853</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972</v>
      </c>
      <c r="B3951" s="27" t="s">
        <v>973</v>
      </c>
      <c r="C3951" s="27" t="s">
        <v>974</v>
      </c>
      <c r="D3951" s="27" t="s">
        <v>966</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997</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1054</v>
      </c>
      <c r="B3953" s="27" t="s">
        <v>973</v>
      </c>
      <c r="C3953" s="27" t="s">
        <v>977</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1000</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1041</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1052</v>
      </c>
      <c r="B3956" s="27" t="s">
        <v>1013</v>
      </c>
      <c r="C3956" s="27" t="s">
        <v>1053</v>
      </c>
      <c r="D3956" s="27" t="s">
        <v>966</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1000</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1050</v>
      </c>
      <c r="B3958" s="27" t="s">
        <v>1026</v>
      </c>
      <c r="C3958" s="27" t="s">
        <v>1051</v>
      </c>
      <c r="D3958" s="27" t="s">
        <v>966</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1854</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1855</v>
      </c>
      <c r="B3960" s="27" t="s">
        <v>1043</v>
      </c>
      <c r="C3960" s="27" t="s">
        <v>1053</v>
      </c>
      <c r="D3960" s="27" t="s">
        <v>966</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1007</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row>
    <row r="3963" spans="1:12">
      <c r="A3963" s="20" t="s">
        <v>1856</v>
      </c>
    </row>
    <row r="3964" spans="1:12">
      <c r="A3964" s="20" t="s">
        <v>1154</v>
      </c>
      <c r="B3964" s="27" t="s">
        <v>970</v>
      </c>
      <c r="C3964" s="27" t="s">
        <v>974</v>
      </c>
      <c r="D3964" s="27" t="s">
        <v>966</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213</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1059</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1530</v>
      </c>
      <c r="B3967" s="27" t="s">
        <v>973</v>
      </c>
      <c r="C3967" s="27" t="s">
        <v>1061</v>
      </c>
      <c r="D3967" s="27" t="s">
        <v>966</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1000</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1379</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87</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1857</v>
      </c>
      <c r="B3971" s="27" t="s">
        <v>1013</v>
      </c>
      <c r="C3971" s="27" t="s">
        <v>965</v>
      </c>
      <c r="D3971" s="27" t="s">
        <v>966</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1382</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1007</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row>
    <row r="3975" spans="1:12">
      <c r="A3975" s="20" t="s">
        <v>1858</v>
      </c>
    </row>
    <row r="3976" spans="1:12">
      <c r="A3976" s="20" t="s">
        <v>1154</v>
      </c>
      <c r="B3976" s="27" t="s">
        <v>970</v>
      </c>
      <c r="C3976" s="27" t="s">
        <v>974</v>
      </c>
      <c r="D3976" s="27" t="s">
        <v>966</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95</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992</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1859</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750</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988</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217</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1129</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1063</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1860</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983</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1861</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1862</v>
      </c>
      <c r="B3988" s="27" t="s">
        <v>1013</v>
      </c>
      <c r="C3988" s="27" t="s">
        <v>1065</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1000</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1863</v>
      </c>
      <c r="B3990" s="27" t="s">
        <v>1043</v>
      </c>
      <c r="C3990" s="27" t="s">
        <v>1006</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1007</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row>
    <row r="3993" spans="1:12">
      <c r="A3993" s="20" t="s">
        <v>1864</v>
      </c>
    </row>
    <row r="3994" spans="1:12">
      <c r="A3994" s="20" t="s">
        <v>1086</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967</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1178</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983</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1009</v>
      </c>
      <c r="B3998" s="27" t="s">
        <v>970</v>
      </c>
      <c r="C3998" s="27" t="s">
        <v>974</v>
      </c>
      <c r="D3998" s="27" t="s">
        <v>966</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59</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1467</v>
      </c>
      <c r="B4000" s="27" t="s">
        <v>973</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1000</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1041</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1214</v>
      </c>
      <c r="B4003" s="27" t="s">
        <v>1013</v>
      </c>
      <c r="C4003" s="27" t="s">
        <v>1044</v>
      </c>
      <c r="D4003" s="27" t="s">
        <v>966</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984</v>
      </c>
      <c r="B4004" s="27" t="s">
        <v>1056</v>
      </c>
      <c r="C4004" s="27" t="s">
        <v>974</v>
      </c>
      <c r="D4004" s="27" t="s">
        <v>966</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1150</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1865</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1040</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1110</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994</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990</v>
      </c>
      <c r="B4010" s="27" t="s">
        <v>964</v>
      </c>
      <c r="C4010" s="27" t="s">
        <v>1014</v>
      </c>
      <c r="D4010" s="27" t="s">
        <v>966</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983</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1081</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1234</v>
      </c>
      <c r="B4013" s="27" t="s">
        <v>980</v>
      </c>
      <c r="C4013" s="27" t="s">
        <v>974</v>
      </c>
      <c r="D4013" s="27" t="s">
        <v>966</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996</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1107</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12</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1009</v>
      </c>
      <c r="B4017" s="27" t="s">
        <v>980</v>
      </c>
      <c r="C4017" s="27" t="s">
        <v>974</v>
      </c>
      <c r="D4017" s="27" t="s">
        <v>966</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1866</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1448</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1041</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1867</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1224</v>
      </c>
      <c r="B4022" s="27" t="s">
        <v>1039</v>
      </c>
      <c r="C4022" s="27" t="s">
        <v>1044</v>
      </c>
      <c r="D4022" s="27" t="s">
        <v>966</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1000</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1868</v>
      </c>
      <c r="B4024" s="27" t="s">
        <v>1043</v>
      </c>
      <c r="C4024" s="27" t="s">
        <v>1006</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983</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1132</v>
      </c>
      <c r="B4026" s="27" t="s">
        <v>985</v>
      </c>
      <c r="C4026" s="27" t="s">
        <v>1079</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1492</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990</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1034</v>
      </c>
      <c r="B4029" s="27" t="s">
        <v>1056</v>
      </c>
      <c r="C4029" s="27" t="s">
        <v>974</v>
      </c>
      <c r="D4029" s="27" t="s">
        <v>966</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996</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1112</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1087</v>
      </c>
      <c r="B4032" s="27" t="s">
        <v>1045</v>
      </c>
      <c r="C4032" s="27" t="s">
        <v>1088</v>
      </c>
      <c r="D4032" s="27" t="s">
        <v>966</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990</v>
      </c>
      <c r="B4033" s="27" t="s">
        <v>991</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1347</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992</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1869</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1870</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1034</v>
      </c>
      <c r="B4038" s="27" t="s">
        <v>995</v>
      </c>
      <c r="C4038" s="27" t="s">
        <v>974</v>
      </c>
      <c r="D4038" s="27" t="s">
        <v>966</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1288</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1120</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1112</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1082</v>
      </c>
      <c r="B4042" s="27" t="s">
        <v>1327</v>
      </c>
      <c r="C4042" s="27" t="s">
        <v>974</v>
      </c>
      <c r="D4042" s="27" t="s">
        <v>966</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1007</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row>
    <row r="4045" spans="1:12">
      <c r="A4045" s="20" t="s">
        <v>1871</v>
      </c>
    </row>
    <row r="4046" spans="1:12">
      <c r="A4046" s="20" t="s">
        <v>1104</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1009</v>
      </c>
      <c r="B4047" s="27" t="s">
        <v>970</v>
      </c>
      <c r="C4047" s="27" t="s">
        <v>974</v>
      </c>
      <c r="D4047" s="27" t="s">
        <v>966</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59</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1041</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1024</v>
      </c>
      <c r="B4050" s="27" t="s">
        <v>973</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1034</v>
      </c>
      <c r="B4051" s="27" t="s">
        <v>985</v>
      </c>
      <c r="C4051" s="27" t="s">
        <v>974</v>
      </c>
      <c r="D4051" s="27" t="s">
        <v>966</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1230</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95</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1214</v>
      </c>
      <c r="B4054" s="27" t="s">
        <v>1046</v>
      </c>
      <c r="C4054" s="27" t="s">
        <v>1006</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994</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990</v>
      </c>
      <c r="B4056" s="27" t="s">
        <v>1026</v>
      </c>
      <c r="C4056" s="27" t="s">
        <v>1014</v>
      </c>
      <c r="D4056" s="27" t="s">
        <v>966</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983</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1041</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1872</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1873</v>
      </c>
      <c r="B4060" s="27" t="s">
        <v>964</v>
      </c>
      <c r="C4060" s="27" t="s">
        <v>1044</v>
      </c>
      <c r="D4060" s="27" t="s">
        <v>966</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1034</v>
      </c>
      <c r="B4061" s="27" t="s">
        <v>985</v>
      </c>
      <c r="C4061" s="27" t="s">
        <v>974</v>
      </c>
      <c r="D4061" s="27" t="s">
        <v>966</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213</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983</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978</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990</v>
      </c>
      <c r="B4065" s="27" t="s">
        <v>985</v>
      </c>
      <c r="C4065" s="27" t="s">
        <v>1014</v>
      </c>
      <c r="D4065" s="27" t="s">
        <v>966</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1096</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1040</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1112</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1214</v>
      </c>
      <c r="B4069" s="27" t="s">
        <v>1046</v>
      </c>
      <c r="C4069" s="27" t="s">
        <v>1006</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990</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1105</v>
      </c>
      <c r="B4071" s="27" t="s">
        <v>1029</v>
      </c>
      <c r="C4071" s="27" t="s">
        <v>1006</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1833</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1116</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59</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1110</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1524</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1007</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row>
    <row r="4079" spans="1:12">
      <c r="A4079" s="20" t="s">
        <v>1874</v>
      </c>
    </row>
    <row r="4080" spans="1:12">
      <c r="A4080" s="20" t="s">
        <v>1104</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1009</v>
      </c>
      <c r="B4081" s="27" t="s">
        <v>970</v>
      </c>
      <c r="C4081" s="27" t="s">
        <v>974</v>
      </c>
      <c r="D4081" s="27" t="s">
        <v>966</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986</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1137</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1875</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983</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1041</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1024</v>
      </c>
      <c r="B4087" s="27" t="s">
        <v>973</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1009</v>
      </c>
      <c r="B4088" s="27" t="s">
        <v>985</v>
      </c>
      <c r="C4088" s="27" t="s">
        <v>974</v>
      </c>
      <c r="D4088" s="27" t="s">
        <v>966</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174</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1040</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1490</v>
      </c>
      <c r="B4091" s="27" t="s">
        <v>1043</v>
      </c>
      <c r="C4091" s="27" t="s">
        <v>1006</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983</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1041</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1024</v>
      </c>
      <c r="B4094" s="27" t="s">
        <v>973</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1009</v>
      </c>
      <c r="B4095" s="27" t="s">
        <v>985</v>
      </c>
      <c r="C4095" s="27" t="s">
        <v>974</v>
      </c>
      <c r="D4095" s="27" t="s">
        <v>966</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153</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1009</v>
      </c>
      <c r="B4097" s="27" t="s">
        <v>1056</v>
      </c>
      <c r="C4097" s="27" t="s">
        <v>974</v>
      </c>
      <c r="D4097" s="27" t="s">
        <v>966</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95</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992</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541</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983</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978</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990</v>
      </c>
      <c r="B4103" s="27" t="s">
        <v>980</v>
      </c>
      <c r="C4103" s="27" t="s">
        <v>1014</v>
      </c>
      <c r="D4103" s="27" t="s">
        <v>966</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1096</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1019</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1059</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1876</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1877</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983</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1041</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1123</v>
      </c>
      <c r="B4111" s="27" t="s">
        <v>1013</v>
      </c>
      <c r="C4111" s="27" t="s">
        <v>1044</v>
      </c>
      <c r="D4111" s="27" t="s">
        <v>966</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990</v>
      </c>
      <c r="B4112" s="27" t="s">
        <v>1045</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1034</v>
      </c>
      <c r="B4113" s="27" t="s">
        <v>1056</v>
      </c>
      <c r="C4113" s="27" t="s">
        <v>974</v>
      </c>
      <c r="D4113" s="27" t="s">
        <v>966</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1230</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249</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988</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95</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1434</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983</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1041</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1024</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1034</v>
      </c>
      <c r="B4122" s="27" t="s">
        <v>1029</v>
      </c>
      <c r="C4122" s="27" t="s">
        <v>974</v>
      </c>
      <c r="D4122" s="27" t="s">
        <v>966</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174</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1040</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1490</v>
      </c>
      <c r="B4125" s="27" t="s">
        <v>1023</v>
      </c>
      <c r="C4125" s="27" t="s">
        <v>1006</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983</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1041</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1024</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1034</v>
      </c>
      <c r="B4129" s="27" t="s">
        <v>1029</v>
      </c>
      <c r="C4129" s="27" t="s">
        <v>974</v>
      </c>
      <c r="D4129" s="27" t="s">
        <v>966</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174</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1108</v>
      </c>
      <c r="B4131" s="27" t="s">
        <v>1098</v>
      </c>
      <c r="C4131" s="27" t="s">
        <v>1079</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1096</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1524</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1007</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row>
    <row r="4136" spans="1:12">
      <c r="A4136" s="20" t="s">
        <v>1878</v>
      </c>
    </row>
    <row r="4137" spans="1:12">
      <c r="A4137" s="20" t="s">
        <v>1154</v>
      </c>
      <c r="B4137" s="27" t="s">
        <v>970</v>
      </c>
      <c r="C4137" s="27" t="s">
        <v>974</v>
      </c>
      <c r="D4137" s="27" t="s">
        <v>966</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174</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990</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1041</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1506</v>
      </c>
      <c r="B4141" s="27" t="s">
        <v>980</v>
      </c>
      <c r="C4141" s="27" t="s">
        <v>1044</v>
      </c>
      <c r="D4141" s="27" t="s">
        <v>966</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1110</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1524</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1019</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1187</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1096</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1063</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1879</v>
      </c>
      <c r="B4148" s="27" t="s">
        <v>980</v>
      </c>
      <c r="C4148" s="27" t="s">
        <v>1065</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990</v>
      </c>
      <c r="B4149" s="27" t="s">
        <v>1056</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1145</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736</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1124</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1159</v>
      </c>
      <c r="B4153" s="27" t="s">
        <v>1026</v>
      </c>
      <c r="C4153" s="27" t="s">
        <v>974</v>
      </c>
      <c r="D4153" s="27" t="s">
        <v>966</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1007</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row>
    <row r="4156" spans="1:12">
      <c r="A4156" s="20" t="s">
        <v>1880</v>
      </c>
    </row>
    <row r="4157" spans="1:12">
      <c r="A4157" s="20" t="s">
        <v>1036</v>
      </c>
      <c r="B4157" s="27" t="s">
        <v>964</v>
      </c>
      <c r="C4157" s="27" t="s">
        <v>1006</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967</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1685</v>
      </c>
      <c r="B4159" s="27" t="s">
        <v>980</v>
      </c>
      <c r="C4159" s="27" t="s">
        <v>1079</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1096</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1068</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1040</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1034</v>
      </c>
      <c r="B4163" s="27" t="s">
        <v>1013</v>
      </c>
      <c r="C4163" s="27" t="s">
        <v>974</v>
      </c>
      <c r="D4163" s="27" t="s">
        <v>966</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1824</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983</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1881</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983</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1124</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972</v>
      </c>
      <c r="B4169" s="27" t="s">
        <v>1043</v>
      </c>
      <c r="C4169" s="27" t="s">
        <v>974</v>
      </c>
      <c r="D4169" s="27" t="s">
        <v>966</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983</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1080</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990</v>
      </c>
      <c r="B4172" s="27" t="s">
        <v>985</v>
      </c>
      <c r="C4172" s="27" t="s">
        <v>1014</v>
      </c>
      <c r="D4172" s="27" t="s">
        <v>966</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983</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984</v>
      </c>
      <c r="B4174" s="27" t="s">
        <v>985</v>
      </c>
      <c r="C4174" s="27" t="s">
        <v>974</v>
      </c>
      <c r="D4174" s="27" t="s">
        <v>966</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213</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1793</v>
      </c>
      <c r="B4176" s="27" t="s">
        <v>1046</v>
      </c>
      <c r="C4176" s="27" t="s">
        <v>1006</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1000</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1105</v>
      </c>
      <c r="B4178" s="27" t="s">
        <v>1026</v>
      </c>
      <c r="C4178" s="27" t="s">
        <v>1006</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1308</v>
      </c>
      <c r="B4179" s="27" t="s">
        <v>991</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1110</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1147</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1040</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1041</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1073</v>
      </c>
      <c r="B4184" s="27" t="s">
        <v>999</v>
      </c>
      <c r="C4184" s="27" t="s">
        <v>1044</v>
      </c>
      <c r="D4184" s="27" t="s">
        <v>966</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983</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978</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1234</v>
      </c>
      <c r="B4187" s="27" t="s">
        <v>1056</v>
      </c>
      <c r="C4187" s="27" t="s">
        <v>974</v>
      </c>
      <c r="D4187" s="27" t="s">
        <v>966</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1110</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1083</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978</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1189</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978</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1234</v>
      </c>
      <c r="B4193" s="27" t="s">
        <v>1056</v>
      </c>
      <c r="C4193" s="27" t="s">
        <v>974</v>
      </c>
      <c r="D4193" s="27" t="s">
        <v>966</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996</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1246</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1316</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983</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1141</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984</v>
      </c>
      <c r="B4199" s="27" t="s">
        <v>1056</v>
      </c>
      <c r="C4199" s="27" t="s">
        <v>974</v>
      </c>
      <c r="D4199" s="27" t="s">
        <v>966</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1619</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249</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1041</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1882</v>
      </c>
      <c r="B4203" s="27" t="s">
        <v>1045</v>
      </c>
      <c r="C4203" s="27" t="s">
        <v>1044</v>
      </c>
      <c r="D4203" s="27" t="s">
        <v>966</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1007</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row>
    <row r="4206" spans="1:12">
      <c r="A4206" s="20" t="s">
        <v>1883</v>
      </c>
    </row>
    <row r="4207" spans="1:12">
      <c r="A4207" s="20" t="s">
        <v>1009</v>
      </c>
      <c r="B4207" s="27" t="s">
        <v>970</v>
      </c>
      <c r="C4207" s="27" t="s">
        <v>974</v>
      </c>
      <c r="D4207" s="27" t="s">
        <v>966</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59</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1000</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1884</v>
      </c>
      <c r="B4210" s="27" t="s">
        <v>964</v>
      </c>
      <c r="C4210" s="27" t="s">
        <v>1088</v>
      </c>
      <c r="D4210" s="27" t="s">
        <v>966</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1034</v>
      </c>
      <c r="B4211" s="27" t="s">
        <v>985</v>
      </c>
      <c r="C4211" s="27" t="s">
        <v>974</v>
      </c>
      <c r="D4211" s="27" t="s">
        <v>966</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1885</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978</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1479</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1040</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983</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1886</v>
      </c>
      <c r="B4217" s="27" t="s">
        <v>1026</v>
      </c>
      <c r="C4217" s="27" t="s">
        <v>965</v>
      </c>
      <c r="D4217" s="27" t="s">
        <v>966</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1007</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row>
    <row r="4220" spans="1:12">
      <c r="A4220" s="20" t="s">
        <v>1887</v>
      </c>
    </row>
    <row r="4221" spans="1:12">
      <c r="A4221" s="20" t="s">
        <v>1250</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1888</v>
      </c>
      <c r="B4222" s="27" t="s">
        <v>970</v>
      </c>
      <c r="C4222" s="27" t="s">
        <v>1053</v>
      </c>
      <c r="D4222" s="27" t="s">
        <v>966</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1000</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990</v>
      </c>
      <c r="B4224" s="27" t="s">
        <v>1013</v>
      </c>
      <c r="C4224" s="27" t="s">
        <v>1014</v>
      </c>
      <c r="D4224" s="27" t="s">
        <v>966</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1124</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1034</v>
      </c>
      <c r="B4226" s="27" t="s">
        <v>1013</v>
      </c>
      <c r="C4226" s="27" t="s">
        <v>974</v>
      </c>
      <c r="D4226" s="27" t="s">
        <v>966</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1080</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1108</v>
      </c>
      <c r="B4228" s="27" t="s">
        <v>964</v>
      </c>
      <c r="C4228" s="27" t="s">
        <v>1079</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1084</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row>
    <row r="4231" spans="1:12">
      <c r="A4231" s="20" t="s">
        <v>1889</v>
      </c>
    </row>
    <row r="4232" spans="1:12">
      <c r="A4232" s="20" t="s">
        <v>1086</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967</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1033</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983</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1009</v>
      </c>
      <c r="B4236" s="27" t="s">
        <v>980</v>
      </c>
      <c r="C4236" s="27" t="s">
        <v>974</v>
      </c>
      <c r="D4236" s="27" t="s">
        <v>966</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59</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1890</v>
      </c>
      <c r="B4238" s="27" t="s">
        <v>985</v>
      </c>
      <c r="C4238" s="27" t="s">
        <v>1006</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1080</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1116</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1891</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1007</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row>
    <row r="4244" spans="1:12">
      <c r="A4244" s="20" t="s">
        <v>1892</v>
      </c>
    </row>
    <row r="4245" spans="1:12">
      <c r="A4245" s="20" t="s">
        <v>1229</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1034</v>
      </c>
      <c r="B4246" s="27" t="s">
        <v>980</v>
      </c>
      <c r="C4246" s="27" t="s">
        <v>974</v>
      </c>
      <c r="D4246" s="27" t="s">
        <v>966</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780</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1087</v>
      </c>
      <c r="B4248" s="27" t="s">
        <v>1039</v>
      </c>
      <c r="C4248" s="27" t="s">
        <v>1088</v>
      </c>
      <c r="D4248" s="27" t="s">
        <v>966</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983</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1886</v>
      </c>
      <c r="B4250" s="27" t="s">
        <v>970</v>
      </c>
      <c r="C4250" s="27" t="s">
        <v>965</v>
      </c>
      <c r="D4250" s="27" t="s">
        <v>966</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1893</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1894</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1543</v>
      </c>
      <c r="B4253" s="27" t="s">
        <v>973</v>
      </c>
      <c r="C4253" s="27" t="s">
        <v>1006</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990</v>
      </c>
      <c r="B4254" s="27" t="s">
        <v>1046</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984</v>
      </c>
      <c r="B4255" s="27" t="s">
        <v>985</v>
      </c>
      <c r="C4255" s="27" t="s">
        <v>974</v>
      </c>
      <c r="D4255" s="27" t="s">
        <v>966</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1448</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983</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1141</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979</v>
      </c>
      <c r="B4259" s="27" t="s">
        <v>980</v>
      </c>
      <c r="C4259" s="27" t="s">
        <v>974</v>
      </c>
      <c r="D4259" s="27" t="s">
        <v>966</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1895</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988</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331</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1082</v>
      </c>
      <c r="B4263" s="27" t="s">
        <v>1046</v>
      </c>
      <c r="C4263" s="27" t="s">
        <v>974</v>
      </c>
      <c r="D4263" s="27" t="s">
        <v>966</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1275</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988</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1105</v>
      </c>
      <c r="B4266" s="27" t="s">
        <v>1043</v>
      </c>
      <c r="C4266" s="27" t="s">
        <v>1006</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1007</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row>
    <row r="4269" spans="1:12">
      <c r="A4269" s="20" t="s">
        <v>1896</v>
      </c>
    </row>
    <row r="4270" spans="1:12">
      <c r="A4270" s="20" t="s">
        <v>1211</v>
      </c>
      <c r="B4270" s="27" t="s">
        <v>970</v>
      </c>
      <c r="C4270" s="27" t="s">
        <v>1014</v>
      </c>
      <c r="D4270" s="27" t="s">
        <v>966</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1522</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988</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274</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1142</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1012</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964</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1105</v>
      </c>
      <c r="B4277" s="27" t="s">
        <v>964</v>
      </c>
      <c r="C4277" s="27" t="s">
        <v>1006</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1007</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row>
    <row r="4280" spans="1:12">
      <c r="A4280" s="20" t="s">
        <v>1897</v>
      </c>
    </row>
    <row r="4281" spans="1:12">
      <c r="A4281" s="20" t="s">
        <v>1170</v>
      </c>
      <c r="B4281" s="27" t="s">
        <v>970</v>
      </c>
      <c r="C4281" s="27" t="s">
        <v>974</v>
      </c>
      <c r="D4281" s="27" t="s">
        <v>966</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1898</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997</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1093</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1064</v>
      </c>
      <c r="B4285" s="27" t="s">
        <v>973</v>
      </c>
      <c r="C4285" s="27" t="s">
        <v>977</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1007</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row>
    <row r="4288" spans="1:12">
      <c r="A4288" s="20" t="s">
        <v>1899</v>
      </c>
    </row>
    <row r="4289" spans="1:12">
      <c r="A4289" s="20" t="s">
        <v>1104</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1009</v>
      </c>
      <c r="B4290" s="27" t="s">
        <v>970</v>
      </c>
      <c r="C4290" s="27" t="s">
        <v>974</v>
      </c>
      <c r="D4290" s="27" t="s">
        <v>966</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59</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1286</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984</v>
      </c>
      <c r="B4293" s="27" t="s">
        <v>985</v>
      </c>
      <c r="C4293" s="27" t="s">
        <v>974</v>
      </c>
      <c r="D4293" s="27" t="s">
        <v>966</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1230</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1120</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1900</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1605</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1214</v>
      </c>
      <c r="B4298" s="27" t="s">
        <v>1046</v>
      </c>
      <c r="C4298" s="27" t="s">
        <v>1606</v>
      </c>
      <c r="D4298" s="27" t="s">
        <v>966</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983</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1081</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984</v>
      </c>
      <c r="B4301" s="27" t="s">
        <v>980</v>
      </c>
      <c r="C4301" s="27" t="s">
        <v>974</v>
      </c>
      <c r="D4301" s="27" t="s">
        <v>966</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213</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975</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1527</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978</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1890</v>
      </c>
      <c r="B4306" s="27" t="s">
        <v>1026</v>
      </c>
      <c r="C4306" s="27" t="s">
        <v>1006</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1901</v>
      </c>
      <c r="B4307" s="27" t="s">
        <v>1039</v>
      </c>
      <c r="C4307" s="27" t="s">
        <v>977</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983</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1902</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1041</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1903</v>
      </c>
      <c r="B4311" s="27" t="s">
        <v>985</v>
      </c>
      <c r="C4311" s="27" t="s">
        <v>1044</v>
      </c>
      <c r="D4311" s="27" t="s">
        <v>966</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988</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1107</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12</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997</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1180</v>
      </c>
      <c r="B4316" s="27" t="s">
        <v>1026</v>
      </c>
      <c r="C4316" s="27" t="s">
        <v>977</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990</v>
      </c>
      <c r="B4317" s="27" t="s">
        <v>991</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1230</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1107</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1904</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1214</v>
      </c>
      <c r="B4321" s="27" t="s">
        <v>1099</v>
      </c>
      <c r="C4321" s="27" t="s">
        <v>1006</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978</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331</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1159</v>
      </c>
      <c r="B4324" s="27" t="s">
        <v>1327</v>
      </c>
      <c r="C4324" s="27" t="s">
        <v>974</v>
      </c>
      <c r="D4324" s="27" t="s">
        <v>966</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988</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1105</v>
      </c>
      <c r="B4326" s="27" t="s">
        <v>1005</v>
      </c>
      <c r="C4326" s="27" t="s">
        <v>1006</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1129</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997</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1186</v>
      </c>
      <c r="B4329" s="27" t="s">
        <v>1005</v>
      </c>
      <c r="C4329" s="27" t="s">
        <v>977</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990</v>
      </c>
      <c r="B4330" s="27" t="s">
        <v>1630</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1096</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1748</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1124</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1041</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1095</v>
      </c>
      <c r="B4335" s="27" t="s">
        <v>1730</v>
      </c>
      <c r="C4335" s="27" t="s">
        <v>1044</v>
      </c>
      <c r="D4335" s="27" t="s">
        <v>966</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978</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988</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743</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1105</v>
      </c>
      <c r="B4339" s="27" t="s">
        <v>1905</v>
      </c>
      <c r="C4339" s="27" t="s">
        <v>1006</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569</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1007</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row>
    <row r="4343" spans="1:12">
      <c r="A4343" s="20" t="s">
        <v>1906</v>
      </c>
    </row>
    <row r="4344" spans="1:12">
      <c r="A4344" s="20" t="s">
        <v>1154</v>
      </c>
      <c r="B4344" s="27" t="s">
        <v>970</v>
      </c>
      <c r="C4344" s="27" t="s">
        <v>974</v>
      </c>
      <c r="D4344" s="27" t="s">
        <v>966</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541</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983</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1009</v>
      </c>
      <c r="B4347" s="27" t="s">
        <v>980</v>
      </c>
      <c r="C4347" s="27" t="s">
        <v>974</v>
      </c>
      <c r="D4347" s="27" t="s">
        <v>966</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1010</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1875</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1238</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1041</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1503</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1504</v>
      </c>
      <c r="B4353" s="27" t="s">
        <v>1013</v>
      </c>
      <c r="C4353" s="27" t="s">
        <v>1044</v>
      </c>
      <c r="D4353" s="27" t="s">
        <v>966</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1150</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1055</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1295</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1105</v>
      </c>
      <c r="B4357" s="27" t="s">
        <v>985</v>
      </c>
      <c r="C4357" s="27" t="s">
        <v>1006</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1288</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1040</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990</v>
      </c>
      <c r="B4360" s="27" t="s">
        <v>1039</v>
      </c>
      <c r="C4360" s="27" t="s">
        <v>1014</v>
      </c>
      <c r="D4360" s="27" t="s">
        <v>966</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983</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1019</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1082</v>
      </c>
      <c r="B4363" s="27" t="s">
        <v>980</v>
      </c>
      <c r="C4363" s="27" t="s">
        <v>974</v>
      </c>
      <c r="D4363" s="27" t="s">
        <v>966</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1907</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1159</v>
      </c>
      <c r="B4365" s="27" t="s">
        <v>1039</v>
      </c>
      <c r="C4365" s="27" t="s">
        <v>974</v>
      </c>
      <c r="D4365" s="27" t="s">
        <v>966</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569</v>
      </c>
      <c r="B4366" s="27" t="s">
        <v>1039</v>
      </c>
      <c r="C4366" s="27" t="s">
        <v>1006</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1124</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1041</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1512</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1908</v>
      </c>
      <c r="B4370" s="27" t="s">
        <v>1043</v>
      </c>
      <c r="C4370" s="27" t="s">
        <v>1606</v>
      </c>
      <c r="D4370" s="27" t="s">
        <v>966</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1000</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1041</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1095</v>
      </c>
      <c r="B4373" s="27" t="s">
        <v>1026</v>
      </c>
      <c r="C4373" s="27" t="s">
        <v>1044</v>
      </c>
      <c r="D4373" s="27" t="s">
        <v>966</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990</v>
      </c>
      <c r="B4374" s="27" t="s">
        <v>1029</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1155</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992</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213</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1042</v>
      </c>
      <c r="B4378" s="27" t="s">
        <v>1098</v>
      </c>
      <c r="C4378" s="27" t="s">
        <v>1006</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1336</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1331</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990</v>
      </c>
      <c r="B4381" s="27" t="s">
        <v>991</v>
      </c>
      <c r="C4381" s="27" t="s">
        <v>1014</v>
      </c>
      <c r="D4381" s="27" t="s">
        <v>966</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1096</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1651</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1202</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1007</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row>
    <row r="4387" spans="1:12">
      <c r="A4387" s="20" t="s">
        <v>1909</v>
      </c>
    </row>
    <row r="4388" spans="1:12">
      <c r="A4388" s="20" t="s">
        <v>1036</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967</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1910</v>
      </c>
      <c r="B4390" s="27" t="s">
        <v>980</v>
      </c>
      <c r="C4390" s="27" t="s">
        <v>1079</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1080</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997</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1911</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1123</v>
      </c>
      <c r="B4394" s="27" t="s">
        <v>964</v>
      </c>
      <c r="C4394" s="27" t="s">
        <v>977</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1040</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1912</v>
      </c>
      <c r="B4396" s="27" t="s">
        <v>1013</v>
      </c>
      <c r="C4396" s="27" t="s">
        <v>1006</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1007</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row>
    <row r="4399" spans="1:12">
      <c r="A4399" s="20" t="s">
        <v>1913</v>
      </c>
    </row>
    <row r="4400" spans="1:12">
      <c r="A4400" s="20" t="s">
        <v>1154</v>
      </c>
      <c r="B4400" s="27" t="s">
        <v>970</v>
      </c>
      <c r="C4400" s="27" t="s">
        <v>974</v>
      </c>
      <c r="D4400" s="27" t="s">
        <v>966</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1110</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1269</v>
      </c>
      <c r="B4402" s="27" t="s">
        <v>964</v>
      </c>
      <c r="C4402" s="27" t="s">
        <v>1053</v>
      </c>
      <c r="D4402" s="27" t="s">
        <v>966</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1000</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1914</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1105</v>
      </c>
      <c r="B4405" s="27" t="s">
        <v>964</v>
      </c>
      <c r="C4405" s="27" t="s">
        <v>1061</v>
      </c>
      <c r="D4405" s="27" t="s">
        <v>966</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1308</v>
      </c>
      <c r="B4406" s="27" t="s">
        <v>985</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1915</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990</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1912</v>
      </c>
      <c r="B4409" s="27" t="s">
        <v>1056</v>
      </c>
      <c r="C4409" s="27" t="s">
        <v>1006</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1110</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975</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1916</v>
      </c>
      <c r="B4412" s="27" t="s">
        <v>1043</v>
      </c>
      <c r="C4412" s="27" t="s">
        <v>977</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1000</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1488</v>
      </c>
      <c r="B4414" s="27" t="s">
        <v>1026</v>
      </c>
      <c r="C4414" s="27" t="s">
        <v>1006</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1286</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1234</v>
      </c>
      <c r="B4416" s="27" t="s">
        <v>1029</v>
      </c>
      <c r="C4416" s="27" t="s">
        <v>974</v>
      </c>
      <c r="D4416" s="27" t="s">
        <v>966</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1110</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145</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1486</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1007</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row>
    <row r="4422" spans="1:12">
      <c r="A4422" s="20" t="s">
        <v>1353</v>
      </c>
    </row>
    <row r="4423" spans="1:12">
      <c r="A4423" s="20" t="s">
        <v>1086</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967</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1178</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1007</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row>
    <row r="4428" spans="1:12">
      <c r="A4428" s="20" t="s">
        <v>1917</v>
      </c>
    </row>
    <row r="4429" spans="1:12">
      <c r="A4429" s="20" t="s">
        <v>1009</v>
      </c>
      <c r="B4429" s="27" t="s">
        <v>970</v>
      </c>
      <c r="C4429" s="27" t="s">
        <v>974</v>
      </c>
      <c r="D4429" s="27" t="s">
        <v>966</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1010</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1107</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1918</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1303</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1105</v>
      </c>
      <c r="B4434" s="27" t="s">
        <v>980</v>
      </c>
      <c r="C4434" s="27" t="s">
        <v>1006</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59</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1919</v>
      </c>
      <c r="B4436" s="27" t="s">
        <v>985</v>
      </c>
      <c r="C4436" s="27" t="s">
        <v>1006</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1110</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981</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1920</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1007</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row>
    <row r="4442" spans="1:12">
      <c r="A4442" s="20" t="s">
        <v>1921</v>
      </c>
    </row>
    <row r="4443" spans="1:12">
      <c r="A4443" s="20" t="s">
        <v>1237</v>
      </c>
      <c r="B4443" s="27" t="s">
        <v>970</v>
      </c>
      <c r="C4443" s="27" t="s">
        <v>974</v>
      </c>
      <c r="D4443" s="27" t="s">
        <v>966</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331</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997</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1922</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1923</v>
      </c>
      <c r="B4447" s="27" t="s">
        <v>973</v>
      </c>
      <c r="C4447" s="27" t="s">
        <v>977</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1007</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row>
    <row r="4450" spans="1:12">
      <c r="A4450" s="20" t="s">
        <v>1924</v>
      </c>
    </row>
    <row r="4451" spans="1:12">
      <c r="A4451" s="20" t="s">
        <v>1104</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1009</v>
      </c>
      <c r="B4452" s="27" t="s">
        <v>970</v>
      </c>
      <c r="C4452" s="27" t="s">
        <v>974</v>
      </c>
      <c r="D4452" s="27" t="s">
        <v>966</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59</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990</v>
      </c>
      <c r="B4454" s="27" t="s">
        <v>980</v>
      </c>
      <c r="C4454" s="27" t="s">
        <v>1014</v>
      </c>
      <c r="D4454" s="27" t="s">
        <v>966</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1096</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1925</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1926</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1007</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row>
    <row r="4460" spans="1:12">
      <c r="A4460" s="20" t="s">
        <v>1927</v>
      </c>
    </row>
    <row r="4461" spans="1:12">
      <c r="A4461" s="20" t="s">
        <v>1928</v>
      </c>
      <c r="B4461" s="27" t="s">
        <v>970</v>
      </c>
      <c r="C4461" s="27" t="s">
        <v>1006</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1110</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1112</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1041</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1261</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1929</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1123</v>
      </c>
      <c r="B4467" s="27" t="s">
        <v>973</v>
      </c>
      <c r="C4467" s="27" t="s">
        <v>1044</v>
      </c>
      <c r="D4467" s="27" t="s">
        <v>966</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990</v>
      </c>
      <c r="B4468" s="27" t="s">
        <v>1046</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1234</v>
      </c>
      <c r="B4469" s="27" t="s">
        <v>985</v>
      </c>
      <c r="C4469" s="27" t="s">
        <v>974</v>
      </c>
      <c r="D4469" s="27" t="s">
        <v>966</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1372</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205</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1139</v>
      </c>
      <c r="B4472" s="27" t="s">
        <v>1026</v>
      </c>
      <c r="C4472" s="27" t="s">
        <v>1065</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1066</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1291</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89</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1139</v>
      </c>
      <c r="B4476" s="27" t="s">
        <v>1013</v>
      </c>
      <c r="C4476" s="27" t="s">
        <v>1065</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1066</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1007</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row>
    <row r="4480" spans="1:12">
      <c r="A4480" s="20" t="s">
        <v>1930</v>
      </c>
    </row>
    <row r="4481" spans="1:12">
      <c r="A4481" s="20" t="s">
        <v>1211</v>
      </c>
      <c r="B4481" s="27" t="s">
        <v>970</v>
      </c>
      <c r="C4481" s="27" t="s">
        <v>1014</v>
      </c>
      <c r="D4481" s="27" t="s">
        <v>966</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1096</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1116</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1107</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1108</v>
      </c>
      <c r="B4485" s="27" t="s">
        <v>964</v>
      </c>
      <c r="C4485" s="27" t="s">
        <v>1079</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984</v>
      </c>
      <c r="B4486" s="27" t="s">
        <v>980</v>
      </c>
      <c r="C4486" s="27" t="s">
        <v>974</v>
      </c>
      <c r="D4486" s="27" t="s">
        <v>966</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822</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1007</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row>
    <row r="4490" spans="1:12">
      <c r="A4490" s="20" t="s">
        <v>1931</v>
      </c>
    </row>
    <row r="4491" spans="1:12">
      <c r="A4491" s="20" t="s">
        <v>1136</v>
      </c>
      <c r="B4491" s="27" t="s">
        <v>970</v>
      </c>
      <c r="C4491" s="27" t="s">
        <v>974</v>
      </c>
      <c r="D4491" s="27" t="s">
        <v>966</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822</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983</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1932</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1129</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1490</v>
      </c>
      <c r="B4496" s="27" t="s">
        <v>964</v>
      </c>
      <c r="C4496" s="27" t="s">
        <v>1006</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983</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984</v>
      </c>
      <c r="B4498" s="27" t="s">
        <v>980</v>
      </c>
      <c r="C4498" s="27" t="s">
        <v>974</v>
      </c>
      <c r="D4498" s="27" t="s">
        <v>966</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822</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1933</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1488</v>
      </c>
      <c r="B4501" s="27" t="s">
        <v>1039</v>
      </c>
      <c r="C4501" s="27" t="s">
        <v>1006</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983</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1116</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1929</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1488</v>
      </c>
      <c r="B4505" s="27" t="s">
        <v>1043</v>
      </c>
      <c r="C4505" s="27" t="s">
        <v>1006</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1007</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row>
    <row r="4508" spans="1:12">
      <c r="A4508" s="20" t="s">
        <v>1934</v>
      </c>
    </row>
    <row r="4509" spans="1:12">
      <c r="A4509" s="20" t="s">
        <v>1036</v>
      </c>
      <c r="B4509" s="27" t="s">
        <v>964</v>
      </c>
      <c r="C4509" s="27" t="s">
        <v>1006</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967</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1154</v>
      </c>
      <c r="B4511" s="27" t="s">
        <v>980</v>
      </c>
      <c r="C4511" s="27" t="s">
        <v>974</v>
      </c>
      <c r="D4511" s="27" t="s">
        <v>966</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1935</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982</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983</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1120</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983</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1936</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1009</v>
      </c>
      <c r="B4518" s="27" t="s">
        <v>985</v>
      </c>
      <c r="C4518" s="27" t="s">
        <v>974</v>
      </c>
      <c r="D4518" s="27" t="s">
        <v>966</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59</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1009</v>
      </c>
      <c r="B4520" s="27" t="s">
        <v>1056</v>
      </c>
      <c r="C4520" s="27" t="s">
        <v>974</v>
      </c>
      <c r="D4520" s="27" t="s">
        <v>966</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986</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987</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1059</v>
      </c>
      <c r="B4523" s="27" t="s">
        <v>1045</v>
      </c>
      <c r="C4523" s="27" t="s">
        <v>1014</v>
      </c>
      <c r="D4523" s="27" t="s">
        <v>966</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1040</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1336</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983</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990</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1034</v>
      </c>
      <c r="B4528" s="27" t="s">
        <v>1056</v>
      </c>
      <c r="C4528" s="27" t="s">
        <v>974</v>
      </c>
      <c r="D4528" s="27" t="s">
        <v>966</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1833</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1937</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983</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1938</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1028</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1681</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1050</v>
      </c>
      <c r="B4535" s="27" t="s">
        <v>1005</v>
      </c>
      <c r="C4535" s="27" t="s">
        <v>1051</v>
      </c>
      <c r="D4535" s="27" t="s">
        <v>966</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1939</v>
      </c>
      <c r="B4536" s="27" t="s">
        <v>1099</v>
      </c>
      <c r="C4536" s="27" t="s">
        <v>1053</v>
      </c>
      <c r="D4536" s="27" t="s">
        <v>966</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983</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1286</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1034</v>
      </c>
      <c r="B4539" s="27" t="s">
        <v>1029</v>
      </c>
      <c r="C4539" s="27" t="s">
        <v>974</v>
      </c>
      <c r="D4539" s="27" t="s">
        <v>966</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1288</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1940</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1082</v>
      </c>
      <c r="B4542" s="27" t="s">
        <v>1098</v>
      </c>
      <c r="C4542" s="27" t="s">
        <v>974</v>
      </c>
      <c r="D4542" s="27" t="s">
        <v>966</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988</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1063</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1780</v>
      </c>
      <c r="B4545" s="27" t="s">
        <v>1023</v>
      </c>
      <c r="C4545" s="27" t="s">
        <v>1065</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983</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1150</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1859</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1681</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1082</v>
      </c>
      <c r="B4550" s="27" t="s">
        <v>1099</v>
      </c>
      <c r="C4550" s="27" t="s">
        <v>974</v>
      </c>
      <c r="D4550" s="27" t="s">
        <v>966</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988</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1941</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1942</v>
      </c>
      <c r="B4553" s="27" t="s">
        <v>999</v>
      </c>
      <c r="C4553" s="27" t="s">
        <v>1006</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983</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1019</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1034</v>
      </c>
      <c r="B4556" s="27" t="s">
        <v>1029</v>
      </c>
      <c r="C4556" s="27" t="s">
        <v>974</v>
      </c>
      <c r="D4556" s="27" t="s">
        <v>966</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1522</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1734</v>
      </c>
      <c r="B4558" s="27" t="s">
        <v>1098</v>
      </c>
      <c r="C4558" s="27" t="s">
        <v>1006</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990</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979</v>
      </c>
      <c r="B4560" s="27" t="s">
        <v>991</v>
      </c>
      <c r="C4560" s="27" t="s">
        <v>974</v>
      </c>
      <c r="D4560" s="27" t="s">
        <v>966</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1347</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1488</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1041</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1073</v>
      </c>
      <c r="B4564" s="27" t="s">
        <v>1099</v>
      </c>
      <c r="C4564" s="27" t="s">
        <v>1044</v>
      </c>
      <c r="D4564" s="27" t="s">
        <v>966</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983</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978</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990</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1034</v>
      </c>
      <c r="B4568" s="27" t="s">
        <v>980</v>
      </c>
      <c r="C4568" s="27" t="s">
        <v>974</v>
      </c>
      <c r="D4568" s="27" t="s">
        <v>966</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1347</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1943</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1018</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1086</v>
      </c>
      <c r="B4572" s="27" t="s">
        <v>964</v>
      </c>
      <c r="C4572" s="27" t="s">
        <v>1006</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967</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1178</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983</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1286</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1034</v>
      </c>
      <c r="B4577" s="27" t="s">
        <v>1056</v>
      </c>
      <c r="C4577" s="27" t="s">
        <v>974</v>
      </c>
      <c r="D4577" s="27" t="s">
        <v>966</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750</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988</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217</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1944</v>
      </c>
      <c r="B4581" s="27" t="s">
        <v>1098</v>
      </c>
      <c r="C4581" s="27" t="s">
        <v>965</v>
      </c>
      <c r="D4581" s="27" t="s">
        <v>966</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983</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979</v>
      </c>
      <c r="B4583" s="27" t="s">
        <v>985</v>
      </c>
      <c r="C4583" s="27" t="s">
        <v>974</v>
      </c>
      <c r="D4583" s="27" t="s">
        <v>966</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1487</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988</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217</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988</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1944</v>
      </c>
      <c r="B4588" s="27" t="s">
        <v>1026</v>
      </c>
      <c r="C4588" s="27" t="s">
        <v>965</v>
      </c>
      <c r="D4588" s="27" t="s">
        <v>966</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983</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988</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1316</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1283</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1945</v>
      </c>
      <c r="B4593" s="27" t="s">
        <v>1045</v>
      </c>
      <c r="C4593" s="27" t="s">
        <v>1006</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983</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990</v>
      </c>
      <c r="B4595" s="27" t="s">
        <v>1056</v>
      </c>
      <c r="C4595" s="27" t="s">
        <v>1014</v>
      </c>
      <c r="D4595" s="27" t="s">
        <v>966</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1096</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997</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1946</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1947</v>
      </c>
      <c r="B4599" s="27" t="s">
        <v>1043</v>
      </c>
      <c r="C4599" s="27" t="s">
        <v>977</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983</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1141</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1082</v>
      </c>
      <c r="B4602" s="27" t="s">
        <v>1056</v>
      </c>
      <c r="C4602" s="27" t="s">
        <v>974</v>
      </c>
      <c r="D4602" s="27" t="s">
        <v>966</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1096</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997</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1180</v>
      </c>
      <c r="B4605" s="27" t="s">
        <v>1043</v>
      </c>
      <c r="C4605" s="27" t="s">
        <v>977</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983</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978</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1082</v>
      </c>
      <c r="B4608" s="27" t="s">
        <v>1056</v>
      </c>
      <c r="C4608" s="27" t="s">
        <v>974</v>
      </c>
      <c r="D4608" s="27" t="s">
        <v>966</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1096</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1948</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1007</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row>
    <row r="4613" spans="1:12">
      <c r="A4613" s="20" t="s">
        <v>1949</v>
      </c>
    </row>
    <row r="4614" spans="1:12">
      <c r="A4614" s="20" t="s">
        <v>969</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1009</v>
      </c>
      <c r="B4615" s="27" t="s">
        <v>970</v>
      </c>
      <c r="C4615" s="27" t="s">
        <v>974</v>
      </c>
      <c r="D4615" s="27" t="s">
        <v>966</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59</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984</v>
      </c>
      <c r="B4617" s="27" t="s">
        <v>980</v>
      </c>
      <c r="C4617" s="27" t="s">
        <v>974</v>
      </c>
      <c r="D4617" s="27" t="s">
        <v>966</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1950</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988</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95</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1114</v>
      </c>
      <c r="B4621" s="27" t="s">
        <v>1046</v>
      </c>
      <c r="C4621" s="27" t="s">
        <v>1006</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1000</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1706</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1214</v>
      </c>
      <c r="B4624" s="27" t="s">
        <v>1026</v>
      </c>
      <c r="C4624" s="27" t="s">
        <v>1006</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1007</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row>
    <row r="4627" spans="1:12">
      <c r="A4627" s="20" t="s">
        <v>1951</v>
      </c>
    </row>
    <row r="4628" spans="1:12">
      <c r="A4628" s="20" t="s">
        <v>1104</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1009</v>
      </c>
      <c r="B4629" s="27" t="s">
        <v>970</v>
      </c>
      <c r="C4629" s="27" t="s">
        <v>974</v>
      </c>
      <c r="D4629" s="27" t="s">
        <v>966</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59</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983</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1034</v>
      </c>
      <c r="B4632" s="27" t="s">
        <v>980</v>
      </c>
      <c r="C4632" s="27" t="s">
        <v>974</v>
      </c>
      <c r="D4632" s="27" t="s">
        <v>966</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1638</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983</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984</v>
      </c>
      <c r="B4635" s="27" t="s">
        <v>980</v>
      </c>
      <c r="C4635" s="27" t="s">
        <v>974</v>
      </c>
      <c r="D4635" s="27" t="s">
        <v>966</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213</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997</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1089</v>
      </c>
      <c r="B4638" s="27" t="s">
        <v>1039</v>
      </c>
      <c r="C4638" s="27" t="s">
        <v>977</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1000</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1952</v>
      </c>
      <c r="B4640" s="27" t="s">
        <v>1043</v>
      </c>
      <c r="C4640" s="27" t="s">
        <v>1006</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1138</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87</v>
      </c>
      <c r="B4642" s="27" t="s">
        <v>1026</v>
      </c>
      <c r="C4642" s="27" t="s">
        <v>965</v>
      </c>
      <c r="D4642" s="27" t="s">
        <v>966</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1308</v>
      </c>
      <c r="B4643" s="27" t="s">
        <v>1056</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213</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1953</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1954</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1955</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1007</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row>
    <row r="4650" spans="1:12">
      <c r="A4650" s="20" t="s">
        <v>1956</v>
      </c>
    </row>
    <row r="4651" spans="1:12">
      <c r="A4651" s="20" t="s">
        <v>1957</v>
      </c>
      <c r="B4651" s="27" t="s">
        <v>970</v>
      </c>
      <c r="C4651" s="27" t="s">
        <v>1006</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521</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997</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1089</v>
      </c>
      <c r="B4654" s="27" t="s">
        <v>973</v>
      </c>
      <c r="C4654" s="27" t="s">
        <v>977</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1000</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1939</v>
      </c>
      <c r="B4656" s="27" t="s">
        <v>1013</v>
      </c>
      <c r="C4656" s="27" t="s">
        <v>1006</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1129</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1490</v>
      </c>
      <c r="B4658" s="27" t="s">
        <v>964</v>
      </c>
      <c r="C4658" s="27" t="s">
        <v>1006</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1007</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row>
    <row r="4661" spans="1:12">
      <c r="A4661" s="20" t="s">
        <v>1958</v>
      </c>
    </row>
    <row r="4662" spans="1:12">
      <c r="A4662" s="20" t="s">
        <v>1452</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1089</v>
      </c>
      <c r="B4663" s="27" t="s">
        <v>970</v>
      </c>
      <c r="C4663" s="27" t="s">
        <v>977</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1000</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1105</v>
      </c>
      <c r="B4665" s="27" t="s">
        <v>1013</v>
      </c>
      <c r="C4665" s="27" t="s">
        <v>1006</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1129</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1041</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1959</v>
      </c>
      <c r="B4668" s="27" t="s">
        <v>1043</v>
      </c>
      <c r="C4668" s="27" t="s">
        <v>1044</v>
      </c>
      <c r="D4668" s="27" t="s">
        <v>966</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1110</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1954</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1955</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1007</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row>
    <row r="4674" spans="1:12">
      <c r="A4674" s="20" t="s">
        <v>1960</v>
      </c>
    </row>
    <row r="4675" spans="1:12">
      <c r="A4675" s="20" t="s">
        <v>1154</v>
      </c>
      <c r="B4675" s="27" t="s">
        <v>970</v>
      </c>
      <c r="C4675" s="27" t="s">
        <v>974</v>
      </c>
      <c r="D4675" s="27" t="s">
        <v>966</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996</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1532</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1019</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1034</v>
      </c>
      <c r="B4679" s="27" t="s">
        <v>980</v>
      </c>
      <c r="C4679" s="27" t="s">
        <v>974</v>
      </c>
      <c r="D4679" s="27" t="s">
        <v>966</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750</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988</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1488</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1041</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1095</v>
      </c>
      <c r="B4684" s="27" t="s">
        <v>1046</v>
      </c>
      <c r="C4684" s="27" t="s">
        <v>1044</v>
      </c>
      <c r="D4684" s="27" t="s">
        <v>966</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1007</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row>
    <row r="4687" spans="1:12">
      <c r="A4687" s="20" t="s">
        <v>1961</v>
      </c>
    </row>
    <row r="4688" spans="1:12">
      <c r="A4688" s="20" t="s">
        <v>1154</v>
      </c>
      <c r="B4688" s="27" t="s">
        <v>970</v>
      </c>
      <c r="C4688" s="27" t="s">
        <v>974</v>
      </c>
      <c r="D4688" s="27" t="s">
        <v>966</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750</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988</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521</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1082</v>
      </c>
      <c r="B4692" s="27" t="s">
        <v>1039</v>
      </c>
      <c r="C4692" s="27" t="s">
        <v>974</v>
      </c>
      <c r="D4692" s="27" t="s">
        <v>966</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1463</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1007</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row>
    <row r="4696" spans="1:12">
      <c r="A4696" s="20" t="s">
        <v>1962</v>
      </c>
    </row>
    <row r="4697" spans="1:12">
      <c r="A4697" s="20" t="s">
        <v>1963</v>
      </c>
      <c r="B4697" s="27" t="s">
        <v>964</v>
      </c>
      <c r="C4697" s="27" t="s">
        <v>1079</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1080</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992</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1041</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1180</v>
      </c>
      <c r="B4701" s="27" t="s">
        <v>970</v>
      </c>
      <c r="C4701" s="27" t="s">
        <v>1044</v>
      </c>
      <c r="D4701" s="27" t="s">
        <v>966</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990</v>
      </c>
      <c r="B4702" s="27" t="s">
        <v>1046</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1034</v>
      </c>
      <c r="B4703" s="27" t="s">
        <v>985</v>
      </c>
      <c r="C4703" s="27" t="s">
        <v>974</v>
      </c>
      <c r="D4703" s="27" t="s">
        <v>966</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736</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1124</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1946</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1116</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1150</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1000</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1050</v>
      </c>
      <c r="B4710" s="27" t="s">
        <v>1013</v>
      </c>
      <c r="C4710" s="27" t="s">
        <v>1051</v>
      </c>
      <c r="D4710" s="27" t="s">
        <v>966</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1064</v>
      </c>
      <c r="B4711" s="27" t="s">
        <v>964</v>
      </c>
      <c r="C4711" s="27" t="s">
        <v>1053</v>
      </c>
      <c r="D4711" s="27" t="s">
        <v>966</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1141</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1050</v>
      </c>
      <c r="B4713" s="27" t="s">
        <v>1013</v>
      </c>
      <c r="C4713" s="27" t="s">
        <v>1051</v>
      </c>
      <c r="D4713" s="27" t="s">
        <v>966</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1939</v>
      </c>
      <c r="B4714" s="27" t="s">
        <v>970</v>
      </c>
      <c r="C4714" s="27" t="s">
        <v>1053</v>
      </c>
      <c r="D4714" s="27" t="s">
        <v>966</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1936</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1486</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1084</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row>
    <row r="4719" spans="1:12">
      <c r="A4719" s="20" t="s">
        <v>1964</v>
      </c>
    </row>
    <row r="4720" spans="1:12">
      <c r="A4720" s="20" t="s">
        <v>1009</v>
      </c>
      <c r="B4720" s="27" t="s">
        <v>970</v>
      </c>
      <c r="C4720" s="27" t="s">
        <v>974</v>
      </c>
      <c r="D4720" s="27" t="s">
        <v>966</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396</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983</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1141</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984</v>
      </c>
      <c r="B4724" s="27" t="s">
        <v>980</v>
      </c>
      <c r="C4724" s="27" t="s">
        <v>974</v>
      </c>
      <c r="D4724" s="27" t="s">
        <v>966</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95</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992</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213</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997</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1224</v>
      </c>
      <c r="B4729" s="27" t="s">
        <v>1039</v>
      </c>
      <c r="C4729" s="27" t="s">
        <v>1053</v>
      </c>
      <c r="D4729" s="27" t="s">
        <v>966</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1000</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990</v>
      </c>
      <c r="B4731" s="27" t="s">
        <v>1043</v>
      </c>
      <c r="C4731" s="27" t="s">
        <v>1014</v>
      </c>
      <c r="D4731" s="27" t="s">
        <v>966</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1007</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row>
    <row r="4734" spans="1:12">
      <c r="A4734" s="20" t="s">
        <v>1965</v>
      </c>
    </row>
    <row r="4735" spans="1:12">
      <c r="A4735" s="20" t="s">
        <v>1211</v>
      </c>
      <c r="B4735" s="27" t="s">
        <v>970</v>
      </c>
      <c r="C4735" s="27" t="s">
        <v>1014</v>
      </c>
      <c r="D4735" s="27" t="s">
        <v>966</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1096</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1116</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1055</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984</v>
      </c>
      <c r="B4739" s="27" t="s">
        <v>970</v>
      </c>
      <c r="C4739" s="27" t="s">
        <v>974</v>
      </c>
      <c r="D4739" s="27" t="s">
        <v>966</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59</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1040</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1919</v>
      </c>
      <c r="B4742" s="27" t="s">
        <v>964</v>
      </c>
      <c r="C4742" s="27" t="s">
        <v>1006</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983</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978</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1009</v>
      </c>
      <c r="B4745" s="27" t="s">
        <v>980</v>
      </c>
      <c r="C4745" s="27" t="s">
        <v>974</v>
      </c>
      <c r="D4745" s="27" t="s">
        <v>966</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59</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1082</v>
      </c>
      <c r="B4747" s="27" t="s">
        <v>985</v>
      </c>
      <c r="C4747" s="27" t="s">
        <v>974</v>
      </c>
      <c r="D4747" s="27" t="s">
        <v>966</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1096</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1647</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983</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1019</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1919</v>
      </c>
      <c r="B4752" s="27" t="s">
        <v>985</v>
      </c>
      <c r="C4752" s="27" t="s">
        <v>1006</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1110</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1303</v>
      </c>
      <c r="B4754" s="27" t="s">
        <v>1013</v>
      </c>
      <c r="C4754" s="27" t="s">
        <v>1053</v>
      </c>
      <c r="D4754" s="27" t="s">
        <v>966</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1000</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1090</v>
      </c>
      <c r="B4756" s="27" t="s">
        <v>1026</v>
      </c>
      <c r="C4756" s="27" t="s">
        <v>1051</v>
      </c>
      <c r="D4756" s="27" t="s">
        <v>966</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1966</v>
      </c>
      <c r="B4757" s="27" t="s">
        <v>1043</v>
      </c>
      <c r="C4757" s="27" t="s">
        <v>1053</v>
      </c>
      <c r="D4757" s="27" t="s">
        <v>966</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1007</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row>
    <row r="4760" spans="1:12">
      <c r="A4760" s="20" t="s">
        <v>1967</v>
      </c>
    </row>
    <row r="4761" spans="1:12">
      <c r="A4761" s="20" t="s">
        <v>1237</v>
      </c>
      <c r="B4761" s="27" t="s">
        <v>970</v>
      </c>
      <c r="C4761" s="27" t="s">
        <v>974</v>
      </c>
      <c r="D4761" s="27" t="s">
        <v>966</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996</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1081</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1303</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1000</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1105</v>
      </c>
      <c r="B4766" s="27" t="s">
        <v>1013</v>
      </c>
      <c r="C4766" s="27" t="s">
        <v>1006</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1096</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1064</v>
      </c>
      <c r="B4768" s="27" t="s">
        <v>964</v>
      </c>
      <c r="C4768" s="27" t="s">
        <v>1053</v>
      </c>
      <c r="D4768" s="27" t="s">
        <v>966</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1080</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983</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1081</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997</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1089</v>
      </c>
      <c r="B4773" s="27" t="s">
        <v>985</v>
      </c>
      <c r="C4773" s="27" t="s">
        <v>977</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1000</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1041</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1939</v>
      </c>
      <c r="B4776" s="27" t="s">
        <v>1026</v>
      </c>
      <c r="C4776" s="27" t="s">
        <v>1044</v>
      </c>
      <c r="D4776" s="27" t="s">
        <v>966</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1080</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983</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978</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1179</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1009</v>
      </c>
      <c r="B4781" s="27" t="s">
        <v>1056</v>
      </c>
      <c r="C4781" s="27" t="s">
        <v>974</v>
      </c>
      <c r="D4781" s="27" t="s">
        <v>966</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59</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1009</v>
      </c>
      <c r="B4783" s="27" t="s">
        <v>1029</v>
      </c>
      <c r="C4783" s="27" t="s">
        <v>974</v>
      </c>
      <c r="D4783" s="27" t="s">
        <v>966</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1718</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994</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1124</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1126</v>
      </c>
      <c r="B4787" s="27" t="s">
        <v>991</v>
      </c>
      <c r="C4787" s="27" t="s">
        <v>974</v>
      </c>
      <c r="D4787" s="27" t="s">
        <v>966</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988</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134</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1275</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1024</v>
      </c>
      <c r="B4791" s="27" t="s">
        <v>1099</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1028</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984</v>
      </c>
      <c r="B4793" s="27" t="s">
        <v>1629</v>
      </c>
      <c r="C4793" s="27" t="s">
        <v>974</v>
      </c>
      <c r="D4793" s="27" t="s">
        <v>966</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1110</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1007</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row>
    <row r="4797" spans="1:12">
      <c r="A4797" s="20" t="s">
        <v>1968</v>
      </c>
    </row>
    <row r="4798" spans="1:12">
      <c r="A4798" s="20" t="s">
        <v>1036</v>
      </c>
      <c r="B4798" s="27" t="s">
        <v>964</v>
      </c>
      <c r="C4798" s="27" t="s">
        <v>1006</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967</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1144</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1009</v>
      </c>
      <c r="B4801" s="27" t="s">
        <v>980</v>
      </c>
      <c r="C4801" s="27" t="s">
        <v>974</v>
      </c>
      <c r="D4801" s="27" t="s">
        <v>966</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1851</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1969</v>
      </c>
      <c r="B4803" s="27" t="s">
        <v>1039</v>
      </c>
      <c r="C4803" s="27" t="s">
        <v>1006</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1238</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1793</v>
      </c>
      <c r="B4805" s="27" t="s">
        <v>1013</v>
      </c>
      <c r="C4805" s="27" t="s">
        <v>1006</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1000</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1105</v>
      </c>
      <c r="B4807" s="27" t="s">
        <v>1043</v>
      </c>
      <c r="C4807" s="27" t="s">
        <v>1006</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t="s">
        <v>983</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1009</v>
      </c>
      <c r="B4809" s="27" t="s">
        <v>980</v>
      </c>
      <c r="C4809" s="27" t="s">
        <v>974</v>
      </c>
      <c r="D4809" s="27" t="s">
        <v>966</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1106</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1638</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1059</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44</v>
      </c>
      <c r="B4813" s="27" t="s">
        <v>1039</v>
      </c>
      <c r="C4813" s="27" t="s">
        <v>1061</v>
      </c>
      <c r="D4813" s="27" t="s">
        <v>966</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967</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row>
    <row r="4816" spans="1:12">
      <c r="A4816" s="20" t="s">
        <v>1970</v>
      </c>
    </row>
    <row r="4817" spans="1:12">
      <c r="A4817" s="20" t="s">
        <v>1685</v>
      </c>
      <c r="B4817" s="27" t="s">
        <v>1013</v>
      </c>
      <c r="C4817" s="27" t="s">
        <v>1079</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1196</v>
      </c>
      <c r="B4818" s="27" t="s">
        <v>973</v>
      </c>
      <c r="C4818" s="27" t="s">
        <v>1627</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1000</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1855</v>
      </c>
      <c r="B4820" s="27" t="s">
        <v>1013</v>
      </c>
      <c r="C4820" s="27" t="s">
        <v>1006</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983</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1108</v>
      </c>
      <c r="B4822" s="27" t="s">
        <v>1013</v>
      </c>
      <c r="C4822" s="27" t="s">
        <v>1079</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1971</v>
      </c>
      <c r="B4823" s="27" t="s">
        <v>970</v>
      </c>
      <c r="C4823" s="27" t="s">
        <v>1627</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1000</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1855</v>
      </c>
      <c r="B4825" s="27" t="s">
        <v>1013</v>
      </c>
      <c r="C4825" s="27" t="s">
        <v>1006</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1080</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1082</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990</v>
      </c>
      <c r="B4828" s="27" t="s">
        <v>980</v>
      </c>
      <c r="C4828" s="27" t="s">
        <v>1014</v>
      </c>
      <c r="D4828" s="27" t="s">
        <v>966</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1022</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1972</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1034</v>
      </c>
      <c r="B4831" s="27" t="s">
        <v>1039</v>
      </c>
      <c r="C4831" s="27" t="s">
        <v>974</v>
      </c>
      <c r="D4831" s="27" t="s">
        <v>966</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1973</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1084</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row>
    <row r="4835" spans="1:12">
      <c r="A4835" s="20" t="s">
        <v>1974</v>
      </c>
    </row>
    <row r="4836" spans="1:12">
      <c r="A4836" s="20" t="s">
        <v>1957</v>
      </c>
      <c r="B4836" s="27" t="s">
        <v>970</v>
      </c>
      <c r="C4836" s="27" t="s">
        <v>1006</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994</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1975</v>
      </c>
      <c r="B4838" s="27" t="s">
        <v>1013</v>
      </c>
      <c r="C4838" s="27" t="s">
        <v>965</v>
      </c>
      <c r="D4838" s="27" t="s">
        <v>966</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1976</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213</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982</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1977</v>
      </c>
      <c r="B4842" s="27" t="s">
        <v>980</v>
      </c>
      <c r="C4842" s="27" t="s">
        <v>1006</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983</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978</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964</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1105</v>
      </c>
      <c r="B4846" s="27" t="s">
        <v>1043</v>
      </c>
      <c r="C4846" s="27" t="s">
        <v>1006</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1129</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1041</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1978</v>
      </c>
      <c r="B4849" s="27" t="s">
        <v>1026</v>
      </c>
      <c r="C4849" s="27" t="s">
        <v>1044</v>
      </c>
      <c r="D4849" s="27" t="s">
        <v>966</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213</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982</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990</v>
      </c>
      <c r="B4852" s="27" t="s">
        <v>1039</v>
      </c>
      <c r="C4852" s="27" t="s">
        <v>1014</v>
      </c>
      <c r="D4852" s="27" t="s">
        <v>966</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1007</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row>
    <row r="4855" spans="1:12">
      <c r="A4855" s="20" t="s">
        <v>1979</v>
      </c>
    </row>
    <row r="4856" spans="1:12">
      <c r="A4856" s="20" t="s">
        <v>1980</v>
      </c>
      <c r="B4856" s="27" t="s">
        <v>970</v>
      </c>
      <c r="C4856" s="27" t="s">
        <v>965</v>
      </c>
      <c r="D4856" s="27" t="s">
        <v>966</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1981</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978</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1982</v>
      </c>
      <c r="B4859" s="27" t="s">
        <v>1013</v>
      </c>
      <c r="C4859" s="27" t="s">
        <v>965</v>
      </c>
      <c r="D4859" s="27" t="s">
        <v>966</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1983</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213</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982</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1901</v>
      </c>
      <c r="B4863" s="27" t="s">
        <v>973</v>
      </c>
      <c r="C4863" s="27" t="s">
        <v>1006</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1007</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row>
    <row r="4866" spans="1:12">
      <c r="A4866" s="20" t="s">
        <v>1984</v>
      </c>
    </row>
    <row r="4867" spans="1:12">
      <c r="A4867" s="20" t="s">
        <v>1685</v>
      </c>
      <c r="B4867" s="27" t="s">
        <v>1013</v>
      </c>
      <c r="C4867" s="27" t="s">
        <v>1079</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1971</v>
      </c>
      <c r="B4868" s="27" t="s">
        <v>970</v>
      </c>
      <c r="C4868" s="27" t="s">
        <v>1627</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1000</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1855</v>
      </c>
      <c r="B4870" s="27" t="s">
        <v>1013</v>
      </c>
      <c r="C4870" s="27" t="s">
        <v>1006</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983</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1936</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1009</v>
      </c>
      <c r="B4873" s="27" t="s">
        <v>980</v>
      </c>
      <c r="C4873" s="27" t="s">
        <v>974</v>
      </c>
      <c r="D4873" s="27" t="s">
        <v>966</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1985</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1059</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1986</v>
      </c>
      <c r="B4876" s="27" t="s">
        <v>1039</v>
      </c>
      <c r="C4876" s="27" t="s">
        <v>1061</v>
      </c>
      <c r="D4876" s="27" t="s">
        <v>966</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983</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1022</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1987</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1034</v>
      </c>
      <c r="B4880" s="27" t="s">
        <v>973</v>
      </c>
      <c r="C4880" s="27" t="s">
        <v>974</v>
      </c>
      <c r="D4880" s="27" t="s">
        <v>966</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988</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59</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1040</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t="s">
        <v>1041</v>
      </c>
      <c r="E4884" s="21">
        <f>IF(D4884="?OLD","!!!","")</f>
        <v/>
      </c>
      <c r="F4884" s="22" t="str">
        <f>IF(OR(E4884="",E4884="!!!"),"",IF(NOT(ISNA(VLOOKUP(E4884,E$1:E4883,1,FALSE()))),"OLD",IF(AND(E4884&lt;&gt;"",E4884&lt;&gt;"!!!"),"NEW","")))</f>
        <v> </v>
      </c>
      <c r="G4884" s="23" t="str">
        <f>IF(OR(E4884="",E4884="!!!"),"",IF(OR(J4884=0,AND(J4884=1,K4884=1),AND(J4884=1,I4884="SBJ"),AND(J4884=1,I4884=0)),"?IN_FOCUS",IF(J4884&lt;=2,"?ACTIVATED",IF(J4884&lt;&gt;"","?FAMILIAR",IF(F4884="NEW",IF(ISNA(VLOOKUP(E4884,#REF!,1,FALSE())),"?TYPE_IDENTIFIABLE","?REFERENTIAL"),"_")))))</f>
        <v> </v>
      </c>
      <c r="H4884" s="24" t="str">
        <f>IF(J4884&lt;&gt;1,"",IF(I4884="SBJ","CB","?"))</f>
        <v> </v>
      </c>
      <c r="I4884" s="25" t="str">
        <f>IF(OR(E4884="",E4884="!!!",F4884="NEW"),"",INDEX(B4883:B$2,-1+SUMPRODUCT(MAX(ROW(E4883:E$2)*(E4884=E4883:E$2)))))</f>
        <v> </v>
      </c>
      <c r="J4884" s="25" t="str">
        <f>IF(OR(E4884="",E4884="!!!",F4884="NEW"),"",COUNTBLANK(OFFSET(A$1,,,SUMPRODUCT(MAX(ROW(E$2:E4884)*(E4884=E$2:E4884)))))-COUNTBLANK(OFFSET(A$1,,,SUMPRODUCT(MAX(ROW(E$1:E4883)*(E2=E$1:E4883))))))</f>
        <v> </v>
      </c>
      <c r="K4884" s="25" t="str">
        <f>IF(OR(E4884="",E4884="!!!",F4884="NEW"),"",INDEX(J$1:J4883,SUMPRODUCT(MAX(ROW(E$1:E4883)*(E4884=E$1:E4883)))))</f>
        <v> </v>
      </c>
      <c r="L4884" s="26"/>
    </row>
    <row r="4885" spans="1:12">
      <c r="A4885" s="20" t="s">
        <v>1073</v>
      </c>
      <c r="B4885" s="27" t="s">
        <v>1013</v>
      </c>
      <c r="C4885" s="27" t="s">
        <v>1044</v>
      </c>
      <c r="D4885" s="27" t="s">
        <v>966</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978</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1138</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1041</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1261</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1064</v>
      </c>
      <c r="B4890" s="27" t="s">
        <v>1013</v>
      </c>
      <c r="C4890" s="27" t="s">
        <v>1044</v>
      </c>
      <c r="D4890" s="27" t="s">
        <v>966</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1488</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1041</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1988</v>
      </c>
      <c r="B4893" s="27" t="s">
        <v>1039</v>
      </c>
      <c r="C4893" s="27" t="s">
        <v>1044</v>
      </c>
      <c r="D4893" s="27" t="s">
        <v>966</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1084</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row>
    <row r="4896" spans="1:12">
      <c r="A4896" s="20" t="s">
        <v>1989</v>
      </c>
    </row>
    <row r="4897" spans="1:12">
      <c r="A4897" s="20" t="s">
        <v>1086</v>
      </c>
      <c r="B4897" s="27" t="s">
        <v>964</v>
      </c>
      <c r="C4897" s="27" t="s">
        <v>1006</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967</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1154</v>
      </c>
      <c r="B4899" s="27" t="s">
        <v>980</v>
      </c>
      <c r="C4899" s="27" t="s">
        <v>974</v>
      </c>
      <c r="D4899" s="27" t="s">
        <v>966</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541</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983</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1009</v>
      </c>
      <c r="B4902" s="27" t="s">
        <v>980</v>
      </c>
      <c r="C4902" s="27" t="s">
        <v>974</v>
      </c>
      <c r="D4902" s="27" t="s">
        <v>966</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59</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1041</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1303</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1194</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1123</v>
      </c>
      <c r="B4907" s="27" t="s">
        <v>1039</v>
      </c>
      <c r="C4907" s="27" t="s">
        <v>1044</v>
      </c>
      <c r="D4907" s="27" t="s">
        <v>966</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12</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1009</v>
      </c>
      <c r="B4909" s="27" t="s">
        <v>980</v>
      </c>
      <c r="C4909" s="27" t="s">
        <v>974</v>
      </c>
      <c r="D4909" s="27" t="s">
        <v>966</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1350</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1138</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t="s">
        <v>1793</v>
      </c>
      <c r="B4912" s="27" t="s">
        <v>1013</v>
      </c>
      <c r="C4912" s="27" t="s">
        <v>1006</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t="s">
        <v>1000</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1919</v>
      </c>
      <c r="B4914" s="27" t="s">
        <v>1043</v>
      </c>
      <c r="C4914" s="27" t="s">
        <v>1006</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978</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1148</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1009</v>
      </c>
      <c r="B4917" s="27" t="s">
        <v>985</v>
      </c>
      <c r="C4917" s="27" t="s">
        <v>974</v>
      </c>
      <c r="D4917" s="27" t="s">
        <v>966</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1446</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1234</v>
      </c>
      <c r="B4919" s="27" t="s">
        <v>1056</v>
      </c>
      <c r="C4919" s="27" t="s">
        <v>974</v>
      </c>
      <c r="D4919" s="27" t="s">
        <v>966</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95</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992</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1990</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1415</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1064</v>
      </c>
      <c r="B4924" s="27" t="s">
        <v>1026</v>
      </c>
      <c r="C4924" s="27" t="s">
        <v>1006</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1007</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row>
    <row r="4927" spans="1:12">
      <c r="A4927" s="20" t="s">
        <v>1991</v>
      </c>
    </row>
    <row r="4928" spans="1:12">
      <c r="A4928" s="20" t="s">
        <v>1136</v>
      </c>
      <c r="B4928" s="27" t="s">
        <v>970</v>
      </c>
      <c r="C4928" s="27" t="s">
        <v>974</v>
      </c>
      <c r="D4928" s="27" t="s">
        <v>966</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986</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1522</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997</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1024</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1992</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1993</v>
      </c>
      <c r="B4934" s="27" t="s">
        <v>973</v>
      </c>
      <c r="C4934" s="27" t="s">
        <v>977</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1000</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1919</v>
      </c>
      <c r="B4936" s="27" t="s">
        <v>1013</v>
      </c>
      <c r="C4936" s="27" t="s">
        <v>1006</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1007</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row>
    <row r="4939" spans="1:12">
      <c r="A4939" s="20" t="s">
        <v>1994</v>
      </c>
    </row>
    <row r="4940" spans="1:12">
      <c r="A4940" s="20" t="s">
        <v>1104</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1009</v>
      </c>
      <c r="B4941" s="27" t="s">
        <v>970</v>
      </c>
      <c r="C4941" s="27" t="s">
        <v>974</v>
      </c>
      <c r="D4941" s="27" t="s">
        <v>966</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982</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983</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1108</v>
      </c>
      <c r="B4944" s="27" t="s">
        <v>1039</v>
      </c>
      <c r="C4944" s="27" t="s">
        <v>1079</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1372</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1234</v>
      </c>
      <c r="B4946" s="27" t="s">
        <v>985</v>
      </c>
      <c r="C4946" s="27" t="s">
        <v>974</v>
      </c>
      <c r="D4946" s="27" t="s">
        <v>966</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1995</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95</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1996</v>
      </c>
      <c r="B4949" s="27" t="s">
        <v>1046</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1084</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row>
    <row r="4952" spans="1:12">
      <c r="A4952" s="20" t="s">
        <v>1997</v>
      </c>
    </row>
    <row r="4953" spans="1:12">
      <c r="A4953" s="20" t="s">
        <v>1685</v>
      </c>
      <c r="B4953" s="27" t="s">
        <v>970</v>
      </c>
      <c r="C4953" s="27" t="s">
        <v>1079</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1372</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1914</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1919</v>
      </c>
      <c r="B4956" s="27" t="s">
        <v>973</v>
      </c>
      <c r="C4956" s="27" t="s">
        <v>1061</v>
      </c>
      <c r="D4956" s="27" t="s">
        <v>966</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1125</v>
      </c>
      <c r="B4957" s="27" t="s">
        <v>985</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95</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1996</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1084</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row>
    <row r="4962" spans="1:12">
      <c r="A4962" s="20" t="s">
        <v>1998</v>
      </c>
    </row>
    <row r="4963" spans="1:12">
      <c r="A4963" s="20" t="s">
        <v>1104</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1999</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t="s">
        <v>1082</v>
      </c>
      <c r="B4965" s="27" t="s">
        <v>970</v>
      </c>
      <c r="C4965" s="27" t="s">
        <v>974</v>
      </c>
      <c r="D4965" s="27" t="s">
        <v>966</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1096</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1150</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990</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1234</v>
      </c>
      <c r="B4969" s="27" t="s">
        <v>970</v>
      </c>
      <c r="C4969" s="27" t="s">
        <v>974</v>
      </c>
      <c r="D4969" s="27" t="s">
        <v>966</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2000</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1041</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1073</v>
      </c>
      <c r="B4972" s="27" t="s">
        <v>973</v>
      </c>
      <c r="C4972" s="27" t="s">
        <v>1044</v>
      </c>
      <c r="D4972" s="27" t="s">
        <v>966</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1007</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row>
    <row r="4975" spans="1:12">
      <c r="A4975" s="20" t="s">
        <v>2001</v>
      </c>
    </row>
    <row r="4976" spans="1:12">
      <c r="A4976" s="20" t="s">
        <v>1104</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1179</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1009</v>
      </c>
      <c r="B4978" s="27" t="s">
        <v>970</v>
      </c>
      <c r="C4978" s="27" t="s">
        <v>974</v>
      </c>
      <c r="D4978" s="27" t="s">
        <v>966</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59</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983</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1124</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972</v>
      </c>
      <c r="B4982" s="27" t="s">
        <v>964</v>
      </c>
      <c r="C4982" s="27" t="s">
        <v>974</v>
      </c>
      <c r="D4982" s="27" t="s">
        <v>966</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983</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1009</v>
      </c>
      <c r="B4984" s="27" t="s">
        <v>980</v>
      </c>
      <c r="C4984" s="27" t="s">
        <v>974</v>
      </c>
      <c r="D4984" s="27" t="s">
        <v>966</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1150</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2002</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988</v>
      </c>
      <c r="E4987" s="21">
        <f>IF(D4987="?OLD","!!!","")</f>
        <v/>
      </c>
      <c r="F4987" s="22" t="str">
        <f>IF(OR(E4987="",E4987="!!!"),"",IF(NOT(ISNA(VLOOKUP(E4987,E$1:E4986,1,FALSE()))),"OLD",IF(AND(E4987&lt;&gt;"",E4987&lt;&gt;"!!!"),"NEW","")))</f>
        <v> </v>
      </c>
      <c r="G4987" s="23" t="str">
        <f>IF(OR(E4987="",E4987="!!!"),"",IF(OR(J4987=0,AND(J4987=1,K4987=1),AND(J4987=1,I4987="SBJ"),AND(J4987=1,I4987=0)),"?IN_FOCUS",IF(J4987&lt;=2,"?ACTIVATED",IF(J4987&lt;&gt;"","?FAMILIAR",IF(F4987="NEW",IF(ISNA(VLOOKUP(E4987,#REF!,1,FALSE())),"?TYPE_IDENTIFIABLE","?REFERENTIAL"),"_")))))</f>
        <v> </v>
      </c>
      <c r="H4987" s="24" t="str">
        <f>IF(J4987&lt;&gt;1,"",IF(I4987="SBJ","CB","?"))</f>
        <v> </v>
      </c>
      <c r="I4987" s="25" t="str">
        <f>IF(OR(E4987="",E4987="!!!",F4987="NEW"),"",INDEX(B4986:B$2,-1+SUMPRODUCT(MAX(ROW(E4986:E$2)*(E4987=E4986:E$2)))))</f>
        <v> </v>
      </c>
      <c r="J4987" s="25" t="str">
        <f>IF(OR(E4987="",E4987="!!!",F4987="NEW"),"",COUNTBLANK(OFFSET(A$1,,,SUMPRODUCT(MAX(ROW(E$2:E4987)*(E4987=E$2:E4987)))))-COUNTBLANK(OFFSET(A$1,,,SUMPRODUCT(MAX(ROW(E$1:E4986)*(E2=E$1:E4986))))))</f>
        <v> </v>
      </c>
      <c r="K4987" s="25" t="str">
        <f>IF(OR(E4987="",E4987="!!!",F4987="NEW"),"",INDEX(J$1:J4986,SUMPRODUCT(MAX(ROW(E$1:E4986)*(E4987=E$1:E4986)))))</f>
        <v> </v>
      </c>
      <c r="L4987" s="26"/>
    </row>
    <row r="4988" spans="1:12">
      <c r="A4988" s="20" t="s">
        <v>1901</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1198</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990</v>
      </c>
      <c r="B4990" s="27" t="s">
        <v>1043</v>
      </c>
      <c r="C4990" s="27" t="s">
        <v>1014</v>
      </c>
      <c r="D4990" s="27" t="s">
        <v>966</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978</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22</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983</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1108</v>
      </c>
      <c r="B4994" s="27" t="s">
        <v>1056</v>
      </c>
      <c r="C4994" s="27" t="s">
        <v>1079</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1080</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990</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1073</v>
      </c>
      <c r="B4997" s="27" t="s">
        <v>1029</v>
      </c>
      <c r="C4997" s="27" t="s">
        <v>1061</v>
      </c>
      <c r="D4997" s="27" t="s">
        <v>966</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1107</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t="s">
        <v>1083</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t="s">
        <v>988</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274</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978</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1055</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95</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984</v>
      </c>
      <c r="B5005" s="27" t="s">
        <v>995</v>
      </c>
      <c r="C5005" s="27" t="s">
        <v>974</v>
      </c>
      <c r="D5005" s="27" t="s">
        <v>966</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2003</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1082</v>
      </c>
      <c r="B5007" s="27" t="s">
        <v>1327</v>
      </c>
      <c r="C5007" s="27" t="s">
        <v>974</v>
      </c>
      <c r="D5007" s="27" t="s">
        <v>966</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983</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978</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1055</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t="s">
        <v>95</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984</v>
      </c>
      <c r="B5012" s="27" t="s">
        <v>1629</v>
      </c>
      <c r="C5012" s="27" t="s">
        <v>974</v>
      </c>
      <c r="D5012" s="27" t="s">
        <v>966</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1780</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1090</v>
      </c>
      <c r="B5014" s="27" t="s">
        <v>1730</v>
      </c>
      <c r="C5014" s="27" t="s">
        <v>1051</v>
      </c>
      <c r="D5014" s="27" t="s">
        <v>966</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2004</v>
      </c>
      <c r="B5015" s="27" t="s">
        <v>1568</v>
      </c>
      <c r="C5015" s="27" t="s">
        <v>1053</v>
      </c>
      <c r="D5015" s="27" t="s">
        <v>966</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983</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988</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1107</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1901</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1198</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990</v>
      </c>
      <c r="B5021" s="27" t="s">
        <v>1730</v>
      </c>
      <c r="C5021" s="27" t="s">
        <v>1014</v>
      </c>
      <c r="D5021" s="27" t="s">
        <v>966</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978</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681</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990</v>
      </c>
      <c r="B5024" s="27" t="s">
        <v>1905</v>
      </c>
      <c r="C5024" s="27" t="s">
        <v>1014</v>
      </c>
      <c r="D5024" s="27" t="s">
        <v>966</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1138</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997</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1107</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1533</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2005</v>
      </c>
      <c r="B5029" s="27" t="s">
        <v>2006</v>
      </c>
      <c r="C5029" s="27" t="s">
        <v>977</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1084</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row>
    <row r="5032" spans="1:12">
      <c r="A5032" s="20" t="s">
        <v>2007</v>
      </c>
    </row>
    <row r="5033" spans="1:12">
      <c r="A5033" s="20" t="s">
        <v>1104</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1179</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990</v>
      </c>
      <c r="B5035" s="27" t="s">
        <v>980</v>
      </c>
      <c r="C5035" s="27" t="s">
        <v>1014</v>
      </c>
      <c r="D5035" s="27" t="s">
        <v>966</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1096</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1137</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1977</v>
      </c>
      <c r="B5038" s="27" t="s">
        <v>970</v>
      </c>
      <c r="C5038" s="27" t="s">
        <v>1006</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983</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1082</v>
      </c>
      <c r="B5040" s="27" t="s">
        <v>985</v>
      </c>
      <c r="C5040" s="27" t="s">
        <v>974</v>
      </c>
      <c r="D5040" s="27" t="s">
        <v>966</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1096</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1137</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1189</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1138</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1214</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1105</v>
      </c>
      <c r="B5046" s="27" t="s">
        <v>1043</v>
      </c>
      <c r="C5046" s="27" t="s">
        <v>1006</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1833</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1116</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59</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1040</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983</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1532</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1198</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1214</v>
      </c>
      <c r="B5054" s="27" t="s">
        <v>1013</v>
      </c>
      <c r="C5054" s="27" t="s">
        <v>1006</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990</v>
      </c>
      <c r="B5055" s="27" t="s">
        <v>1045</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1364</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1269</v>
      </c>
      <c r="B5057" s="27" t="s">
        <v>1056</v>
      </c>
      <c r="C5057" s="27" t="s">
        <v>1065</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2008</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1080</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1532</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1198</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983</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1019</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990</v>
      </c>
      <c r="B5064" s="27" t="s">
        <v>985</v>
      </c>
      <c r="C5064" s="27" t="s">
        <v>1014</v>
      </c>
      <c r="D5064" s="27" t="s">
        <v>966</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t="s">
        <v>1096</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1081</v>
      </c>
      <c r="B5066" s="27" t="s">
        <v>1013</v>
      </c>
      <c r="C5066" s="27" t="s">
        <v>1079</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1041</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1868</v>
      </c>
      <c r="B5068" s="27" t="s">
        <v>1056</v>
      </c>
      <c r="C5068" s="27" t="s">
        <v>1044</v>
      </c>
      <c r="D5068" s="27" t="s">
        <v>966</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1107</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1080</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983</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978</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274</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2009</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988</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95</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990</v>
      </c>
      <c r="B5077" s="27" t="s">
        <v>1045</v>
      </c>
      <c r="C5077" s="27" t="s">
        <v>1014</v>
      </c>
      <c r="D5077" s="27" t="s">
        <v>966</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983</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988</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787</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990</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2010</v>
      </c>
      <c r="B5082" s="27" t="s">
        <v>1098</v>
      </c>
      <c r="C5082" s="27" t="s">
        <v>1061</v>
      </c>
      <c r="D5082" s="27" t="s">
        <v>966</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1007</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row>
    <row r="5085" spans="1:12">
      <c r="A5085" s="20" t="s">
        <v>2011</v>
      </c>
    </row>
    <row r="5086" spans="1:12">
      <c r="A5086" s="20" t="s">
        <v>2012</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1138</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2013</v>
      </c>
      <c r="B5088" s="27" t="s">
        <v>964</v>
      </c>
      <c r="C5088" s="27" t="s">
        <v>965</v>
      </c>
      <c r="D5088" s="27" t="s">
        <v>966</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1007</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row>
    <row r="5091" spans="1:12">
      <c r="A5091" s="20" t="s">
        <v>2014</v>
      </c>
    </row>
    <row r="5092" spans="1:12">
      <c r="A5092" s="20" t="s">
        <v>1009</v>
      </c>
      <c r="B5092" s="27" t="s">
        <v>970</v>
      </c>
      <c r="C5092" s="27" t="s">
        <v>974</v>
      </c>
      <c r="D5092" s="27" t="s">
        <v>966</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1439</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2015</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1040</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1532</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1198</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2013</v>
      </c>
      <c r="B5098" s="27" t="s">
        <v>1043</v>
      </c>
      <c r="C5098" s="27" t="s">
        <v>965</v>
      </c>
      <c r="D5098" s="27" t="s">
        <v>966</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1121</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1082</v>
      </c>
      <c r="B5100" s="27" t="s">
        <v>1056</v>
      </c>
      <c r="C5100" s="27" t="s">
        <v>974</v>
      </c>
      <c r="D5100" s="27" t="s">
        <v>966</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1188</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2016</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1007</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row>
    <row r="5105" spans="1:12">
      <c r="A5105" s="20" t="s">
        <v>2017</v>
      </c>
    </row>
    <row r="5106" spans="1:12">
      <c r="A5106" s="20" t="s">
        <v>1170</v>
      </c>
      <c r="B5106" s="27" t="s">
        <v>970</v>
      </c>
      <c r="C5106" s="27" t="s">
        <v>974</v>
      </c>
      <c r="D5106" s="27" t="s">
        <v>966</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1188</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997</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1483</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2018</v>
      </c>
      <c r="B5110" s="27" t="s">
        <v>964</v>
      </c>
      <c r="C5110" s="27" t="s">
        <v>977</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984</v>
      </c>
      <c r="B5111" s="27" t="s">
        <v>980</v>
      </c>
      <c r="C5111" s="27" t="s">
        <v>974</v>
      </c>
      <c r="D5111" s="27" t="s">
        <v>966</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2019</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1007</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row>
    <row r="5115" spans="1:12">
      <c r="A5115" s="20" t="s">
        <v>2020</v>
      </c>
    </row>
    <row r="5116" spans="1:12">
      <c r="A5116" s="20" t="s">
        <v>1170</v>
      </c>
      <c r="B5116" s="27" t="s">
        <v>970</v>
      </c>
      <c r="C5116" s="27" t="s">
        <v>974</v>
      </c>
      <c r="D5116" s="27" t="s">
        <v>966</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1188</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992</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1107</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1108</v>
      </c>
      <c r="B5120" s="27" t="s">
        <v>964</v>
      </c>
      <c r="C5120" s="27" t="s">
        <v>1079</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984</v>
      </c>
      <c r="B5121" s="27" t="s">
        <v>980</v>
      </c>
      <c r="C5121" s="27" t="s">
        <v>974</v>
      </c>
      <c r="D5121" s="27" t="s">
        <v>966</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1288</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1107</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t="s">
        <v>1532</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1198</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1007</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row>
    <row r="5128" spans="1:12">
      <c r="A5128" s="20" t="s">
        <v>2021</v>
      </c>
    </row>
    <row r="5129" spans="1:12">
      <c r="A5129" s="20" t="s">
        <v>1104</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1009</v>
      </c>
      <c r="B5130" s="27" t="s">
        <v>970</v>
      </c>
      <c r="C5130" s="27" t="s">
        <v>974</v>
      </c>
      <c r="D5130" s="27" t="s">
        <v>966</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1439</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2015</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1040</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t="s">
        <v>2022</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1064</v>
      </c>
      <c r="B5135" s="27" t="s">
        <v>1046</v>
      </c>
      <c r="C5135" s="27" t="s">
        <v>1006</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t="s">
        <v>1198</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990</v>
      </c>
      <c r="B5137" s="27" t="s">
        <v>1043</v>
      </c>
      <c r="C5137" s="27" t="s">
        <v>1014</v>
      </c>
      <c r="D5137" s="27" t="s">
        <v>966</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1007</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row>
    <row r="5140" spans="1:12">
      <c r="A5140" s="20" t="s">
        <v>2023</v>
      </c>
    </row>
    <row r="5141" spans="1:12">
      <c r="A5141" s="20" t="s">
        <v>1211</v>
      </c>
      <c r="B5141" s="27" t="s">
        <v>970</v>
      </c>
      <c r="C5141" s="27" t="s">
        <v>1014</v>
      </c>
      <c r="D5141" s="27" t="s">
        <v>966</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1188</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2024</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1007</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row>
    <row r="5146" spans="1:12">
      <c r="A5146" s="20" t="s">
        <v>2025</v>
      </c>
    </row>
    <row r="5147" spans="1:12">
      <c r="A5147" s="20" t="s">
        <v>1211</v>
      </c>
      <c r="B5147" s="27" t="s">
        <v>970</v>
      </c>
      <c r="C5147" s="27" t="s">
        <v>1014</v>
      </c>
      <c r="D5147" s="27" t="s">
        <v>966</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1188</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1041</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1073</v>
      </c>
      <c r="B5150" s="27" t="s">
        <v>964</v>
      </c>
      <c r="C5150" s="27" t="s">
        <v>1044</v>
      </c>
      <c r="D5150" s="27" t="s">
        <v>966</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983</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1336</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1084</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row>
    <row r="5155" spans="1:12">
      <c r="A5155" s="20" t="s">
        <v>2026</v>
      </c>
    </row>
    <row r="5156" spans="1:12">
      <c r="A5156" s="20" t="s">
        <v>1211</v>
      </c>
      <c r="B5156" s="27" t="s">
        <v>970</v>
      </c>
      <c r="C5156" s="27" t="s">
        <v>1014</v>
      </c>
      <c r="D5156" s="27" t="s">
        <v>966</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1188</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997</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1202</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1123</v>
      </c>
      <c r="B5160" s="27" t="s">
        <v>964</v>
      </c>
      <c r="C5160" s="27" t="s">
        <v>977</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988</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274</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1532</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1198</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1007</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row>
    <row r="5167" spans="1:12">
      <c r="A5167" s="20" t="s">
        <v>2027</v>
      </c>
    </row>
    <row r="5168" spans="1:12">
      <c r="A5168" s="20" t="s">
        <v>1036</v>
      </c>
      <c r="B5168" s="27" t="s">
        <v>964</v>
      </c>
      <c r="C5168" s="27" t="s">
        <v>1006</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967</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1170</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1080</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1742</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988</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249</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1034</v>
      </c>
      <c r="B5175" s="27" t="s">
        <v>1046</v>
      </c>
      <c r="C5175" s="27" t="s">
        <v>974</v>
      </c>
      <c r="D5175" s="27" t="s">
        <v>966</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1227</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1007</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row>
    <row r="5179" spans="1:12">
      <c r="A5179" s="20" t="s">
        <v>2028</v>
      </c>
    </row>
    <row r="5180" spans="1:12">
      <c r="A5180" s="20" t="s">
        <v>1170</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1096</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1742</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988</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2029</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1361</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1034</v>
      </c>
      <c r="B5186" s="27" t="s">
        <v>1013</v>
      </c>
      <c r="C5186" s="27" t="s">
        <v>974</v>
      </c>
      <c r="D5186" s="27" t="s">
        <v>966</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983</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978</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997</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2030</v>
      </c>
      <c r="B5190" s="27" t="s">
        <v>964</v>
      </c>
      <c r="C5190" s="27" t="s">
        <v>977</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988</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2031</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1138</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1059</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2032</v>
      </c>
      <c r="B5195" s="27" t="s">
        <v>1043</v>
      </c>
      <c r="C5195" s="27" t="s">
        <v>1061</v>
      </c>
      <c r="D5195" s="27" t="s">
        <v>966</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1238</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1034</v>
      </c>
      <c r="B5197" s="27" t="s">
        <v>1043</v>
      </c>
      <c r="C5197" s="27" t="s">
        <v>974</v>
      </c>
      <c r="D5197" s="27" t="s">
        <v>966</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1007</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row>
    <row r="5200" spans="1:12">
      <c r="A5200" s="20" t="s">
        <v>2033</v>
      </c>
    </row>
    <row r="5201" spans="1:12">
      <c r="A5201" s="20" t="s">
        <v>2034</v>
      </c>
      <c r="B5201" s="27" t="s">
        <v>964</v>
      </c>
      <c r="C5201" s="27" t="s">
        <v>1006</v>
      </c>
      <c r="E5201" s="21">
        <f>IF(D5201="?OLD","!!!","")</f>
        <v/>
      </c>
      <c r="F5201" s="22" t="str">
        <f>IF(OR(E5201="",E5201="!!!"),"",IF(NOT(ISNA(VLOOKUP(E5201,E$1:E5200,1,FALSE()))),"OLD",IF(AND(E5201&lt;&gt;"",E5201&lt;&gt;"!!!"),"NEW","")))</f>
        <v> </v>
      </c>
      <c r="G5201" s="23" t="str">
        <f>IF(OR(E5201="",E5201="!!!"),"",IF(OR(J5201=0,AND(J5201=1,K5201=1),AND(J5201=1,I5201="SBJ"),AND(J5201=1,I5201=0)),"?IN_FOCUS",IF(J5201&lt;=2,"?ACTIVATED",IF(J5201&lt;&gt;"","?FAMILIAR",IF(F5201="NEW",IF(ISNA(VLOOKUP(E5201,#REF!,1,FALSE())),"?TYPE_IDENTIFIABLE","?REFERENTIAL"),"_")))))</f>
        <v> </v>
      </c>
      <c r="H5201" s="24" t="str">
        <f>IF(J5201&lt;&gt;1,"",IF(I5201="SBJ","CB","?"))</f>
        <v> </v>
      </c>
      <c r="I5201" s="25" t="str">
        <f>IF(OR(E5201="",E5201="!!!",F5201="NEW"),"",INDEX(B5200:B$2,-1+SUMPRODUCT(MAX(ROW(E5200:E$2)*(E5201=E5200:E$2)))))</f>
        <v> </v>
      </c>
      <c r="J5201" s="25" t="str">
        <f>IF(OR(E5201="",E5201="!!!",F5201="NEW"),"",COUNTBLANK(OFFSET(A$1,,,SUMPRODUCT(MAX(ROW(E$2:E5201)*(E5201=E$2:E5201)))))-COUNTBLANK(OFFSET(A$1,,,SUMPRODUCT(MAX(ROW(E$1:E5200)*(E2=E$1:E5200))))))</f>
        <v> </v>
      </c>
      <c r="K5201" s="25" t="str">
        <f>IF(OR(E5201="",E5201="!!!",F5201="NEW"),"",INDEX(J$1:J5200,SUMPRODUCT(MAX(ROW(E$1:E5200)*(E5201=E$1:E5200)))))</f>
        <v> </v>
      </c>
      <c r="L5201" s="26"/>
    </row>
    <row r="5202" spans="1:12">
      <c r="A5202" s="20" t="s">
        <v>983</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row>
    <row r="5204" spans="1:12">
      <c r="A5204" s="20" t="s">
        <v>2035</v>
      </c>
    </row>
    <row r="5205" spans="1:12">
      <c r="A5205" s="20" t="s">
        <v>26</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1007</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row>
    <row r="5208" spans="1:12">
      <c r="A5208" s="20" t="s">
        <v>2036</v>
      </c>
    </row>
    <row r="5209" spans="1:12">
      <c r="A5209" s="20" t="s">
        <v>1086</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967</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2037</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1034</v>
      </c>
      <c r="B5212" s="27" t="s">
        <v>973</v>
      </c>
      <c r="C5212" s="27" t="s">
        <v>974</v>
      </c>
      <c r="D5212" s="27" t="s">
        <v>966</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1007</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row>
    <row r="5215" spans="1:12">
      <c r="A5215" s="20" t="s">
        <v>2038</v>
      </c>
    </row>
    <row r="5216" spans="1:12">
      <c r="A5216" s="20" t="s">
        <v>1036</v>
      </c>
      <c r="B5216" s="27" t="s">
        <v>964</v>
      </c>
      <c r="C5216" s="27" t="s">
        <v>1006</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t="s">
        <v>967</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t="s">
        <v>26</v>
      </c>
      <c r="B5218" s="27" t="s">
        <v>964</v>
      </c>
      <c r="C5218" s="27" t="s">
        <v>965</v>
      </c>
      <c r="D5218" s="27" t="s">
        <v>966</v>
      </c>
      <c r="E5218" s="21">
        <f>IF(D5218="?OLD","!!!","")</f>
        <v/>
      </c>
      <c r="F5218" s="22" t="str">
        <f>IF(OR(E5218="",E5218="!!!"),"",IF(NOT(ISNA(VLOOKUP(E5218,E$1:E5217,1,FALSE()))),"OLD",IF(AND(E5218&lt;&gt;"",E5218&lt;&gt;"!!!"),"NEW","")))</f>
        <v> </v>
      </c>
      <c r="G5218" s="23" t="str">
        <f>IF(OR(E5218="",E5218="!!!"),"",IF(OR(J5218=0,AND(J5218=1,K5218=1),AND(J5218=1,I5218="SBJ"),AND(J5218=1,I5218=0)),"?IN_FOCUS",IF(J5218&lt;=2,"?ACTIVATED",IF(J5218&lt;&gt;"","?FAMILIAR",IF(F5218="NEW",IF(ISNA(VLOOKUP(E5218,#REF!,1,FALSE())),"?TYPE_IDENTIFIABLE","?REFERENTIAL"),"_")))))</f>
        <v> </v>
      </c>
      <c r="H5218" s="24" t="str">
        <f>IF(J5218&lt;&gt;1,"",IF(I5218="SBJ","CB","?"))</f>
        <v> </v>
      </c>
      <c r="I5218" s="25" t="str">
        <f>IF(OR(E5218="",E5218="!!!",F5218="NEW"),"",INDEX(B5217:B$2,-1+SUMPRODUCT(MAX(ROW(E5217:E$2)*(E5218=E5217:E$2)))))</f>
        <v> </v>
      </c>
      <c r="J5218" s="25" t="str">
        <f>IF(OR(E5218="",E5218="!!!",F5218="NEW"),"",COUNTBLANK(OFFSET(A$1,,,SUMPRODUCT(MAX(ROW(E$2:E5218)*(E5218=E$2:E5218)))))-COUNTBLANK(OFFSET(A$1,,,SUMPRODUCT(MAX(ROW(E$1:E5217)*(E2=E$1:E5217))))))</f>
        <v> </v>
      </c>
      <c r="K5218" s="25" t="str">
        <f>IF(OR(E5218="",E5218="!!!",F5218="NEW"),"",INDEX(J$1:J5217,SUMPRODUCT(MAX(ROW(E$1:E5217)*(E5218=E$1:E5217)))))</f>
        <v> </v>
      </c>
      <c r="L5218" s="26"/>
    </row>
    <row r="5219" spans="1:12">
      <c r="A5219" s="20" t="s">
        <v>1031</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1007</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2024-12-05T18:00:03Z</dcterms:created>
  <dcterms:modified xsi:type="dcterms:W3CDTF">2024-12-05T18:00:03Z</dcterms:modified>
</cp:coreProperties>
</file>