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<sst xmlns="http://schemas.openxmlformats.org/spreadsheetml/2006/main" count="2731" uniqueCount="702">
  <si>
    <t>ID</t>
  </si>
  <si>
    <t>PRED_ID</t>
  </si>
  <si>
    <t>MARKER_AUTO</t>
  </si>
  <si>
    <t>PREDICATE</t>
  </si>
  <si>
    <t>TEXT</t>
  </si>
  <si>
    <t>SENTENCE</t>
  </si>
  <si>
    <t>MARKER</t>
  </si>
  <si>
    <t>TARGET</t>
  </si>
  <si>
    <t>RELATION</t>
  </si>
  <si>
    <t>COMMENT</t>
  </si>
  <si>
    <t>1</t>
  </si>
  <si>
    <t>13</t>
  </si>
  <si>
    <t>if?</t>
  </si>
  <si>
    <t>be</t>
  </si>
  <si>
    <t>If I can leave you with one big idea today , it 's that the whole of the data in which we consume is greater that the sum of the parts , and instead of thinking about information overload , what I 'd like you to think about is how we can use information so that patterns pop and we can see trends that would otherwise be invisible .</t>
  </si>
  <si>
    <t>file://conllu/en/teddy-901.conllu#s1_0</t>
  </si>
  <si>
    <t>_</t>
  </si>
  <si>
    <t>2</t>
  </si>
  <si>
    <t>9</t>
  </si>
  <si>
    <t>so?</t>
  </si>
  <si>
    <t>be (be chart)</t>
  </si>
  <si>
    <t>So what we 're looking at right here is a typical mortality chart organized by age .</t>
  </si>
  <si>
    <t>file://conllu/en/teddy-901.conllu#s2_0</t>
  </si>
  <si>
    <t>3</t>
  </si>
  <si>
    <t>8</t>
  </si>
  <si>
    <t>be (be experiment)</t>
  </si>
  <si>
    <t>This tool that I 'm using here is a little experiment .</t>
  </si>
  <si>
    <t>file://conllu/en/teddy-901.conllu#s3_0</t>
  </si>
  <si>
    <t>4</t>
  </si>
  <si>
    <t>and?</t>
  </si>
  <si>
    <t>call</t>
  </si>
  <si>
    <t>It 's called Pivot , and with Pivot what I can do is I can choose to filter in one particular cause of deaths say , accidents .</t>
  </si>
  <si>
    <t>file://conllu/en/teddy-901.conllu#s4_0</t>
  </si>
  <si>
    <t>5</t>
  </si>
  <si>
    <t>7</t>
  </si>
  <si>
    <t>see</t>
  </si>
  <si>
    <t>And , right away , I see there 's a different pattern that emerges .</t>
  </si>
  <si>
    <t>file://conllu/en/teddy-901.conllu#s5_0</t>
  </si>
  <si>
    <t>6</t>
  </si>
  <si>
    <t>because?</t>
  </si>
  <si>
    <t>This is because , in the mid-area here , people are at their most active , and over here they 're at their most frail .</t>
  </si>
  <si>
    <t>file://conllu/en/teddy-901.conllu#s6_0</t>
  </si>
  <si>
    <t>then?</t>
  </si>
  <si>
    <t>step</t>
  </si>
  <si>
    <t>We can step back out again and then reorganize the data by cause of death , seeing that circulatory diseases and cancer are the usual suspects , but not for everyone .</t>
  </si>
  <si>
    <t>file://conllu/en/teddy-901.conllu#s7_0</t>
  </si>
  <si>
    <t>18</t>
  </si>
  <si>
    <t>see (see say)</t>
  </si>
  <si>
    <t>If we go ahead and we filter by age say 40 years or less we see that accidents are actually the greatest cause that people have to be worried about .</t>
  </si>
  <si>
    <t>file://conllu/en/teddy-901.conllu#s8_0</t>
  </si>
  <si>
    <t>for?</t>
  </si>
  <si>
    <t>be (be case)</t>
  </si>
  <si>
    <t>And if you drill into that , it 's especially the case for men .</t>
  </si>
  <si>
    <t>file://conllu/en/teddy-901.conllu#s9_0</t>
  </si>
  <si>
    <t>10</t>
  </si>
  <si>
    <t>get</t>
  </si>
  <si>
    <t>So you get the idea that viewing information , viewing data in this way , is a lot like swimming in a living information info -graphic .</t>
  </si>
  <si>
    <t>file://conllu/en/teddy-901.conllu#s10_0</t>
  </si>
  <si>
    <t>11</t>
  </si>
  <si>
    <t>as well?</t>
  </si>
  <si>
    <t>do</t>
  </si>
  <si>
    <t>And if we can do this for raw data , why not do it for content as well ?</t>
  </si>
  <si>
    <t>file://conllu/en/teddy-901.conllu#s11_0</t>
  </si>
  <si>
    <t>12</t>
  </si>
  <si>
    <t>be (be cover)</t>
  </si>
  <si>
    <t>So what we have right here is the cover of every single Sports Illustrated ever produced .</t>
  </si>
  <si>
    <t>file://conllu/en/teddy-901.conllu#s12_0</t>
  </si>
  <si>
    <t>be (be here)</t>
  </si>
  <si>
    <t>It 's all here ; it 's all on the web .</t>
  </si>
  <si>
    <t>file://conllu/en/teddy-901.conllu#s13_0</t>
  </si>
  <si>
    <t>14</t>
  </si>
  <si>
    <t>go</t>
  </si>
  <si>
    <t>You can go back to your rooms and try this after my talk .</t>
  </si>
  <si>
    <t>file://conllu/en/teddy-901.conllu#s14_0</t>
  </si>
  <si>
    <t>15</t>
  </si>
  <si>
    <t>drill</t>
  </si>
  <si>
    <t>With Pivot , you can drill into a decade .</t>
  </si>
  <si>
    <t>file://conllu/en/teddy-901.conllu#s15_0</t>
  </si>
  <si>
    <t>16</t>
  </si>
  <si>
    <t>You can drill into a particular year .</t>
  </si>
  <si>
    <t>file://conllu/en/teddy-901.conllu#s16_0</t>
  </si>
  <si>
    <t>17</t>
  </si>
  <si>
    <t>jump</t>
  </si>
  <si>
    <t>You can jump right into a specific issue .</t>
  </si>
  <si>
    <t>file://conllu/en/teddy-901.conllu#s17_0</t>
  </si>
  <si>
    <t>look</t>
  </si>
  <si>
    <t>So I 'm looking at this ; I see the athletes that have appeared in this issue , the sports .</t>
  </si>
  <si>
    <t>file://conllu/en/teddy-901.conllu#s18_0</t>
  </si>
  <si>
    <t>19</t>
  </si>
  <si>
    <t>be (be fan)</t>
  </si>
  <si>
    <t>I 'm a Lance Armstrong fan , so I 'll go ahead and I 'll click on that , which reveals , for me , all the issues in which Lance Armstrong 's been a part of .</t>
  </si>
  <si>
    <t>file://conllu/en/teddy-901.conllu#s19_0</t>
  </si>
  <si>
    <t>20</t>
  </si>
  <si>
    <t>Applause</t>
  </si>
  <si>
    <t>( Applause )</t>
  </si>
  <si>
    <t>file://conllu/en/teddy-901.conllu#s20_0</t>
  </si>
  <si>
    <t>21</t>
  </si>
  <si>
    <t>want (want think)</t>
  </si>
  <si>
    <t>Now , if I want to just kind of take a peek at these , I might think , &amp;quot; Well , what about taking a look at all of cycling ? &amp;quot;</t>
  </si>
  <si>
    <t>file://conllu/en/teddy-901.conllu#s21_0</t>
  </si>
  <si>
    <t>22</t>
  </si>
  <si>
    <t>So I can step back , and expand on that .</t>
  </si>
  <si>
    <t>file://conllu/en/teddy-901.conllu#s22_0</t>
  </si>
  <si>
    <t>23</t>
  </si>
  <si>
    <t>And I see Greg LeMond now .</t>
  </si>
  <si>
    <t>file://conllu/en/teddy-901.conllu#s23_0</t>
  </si>
  <si>
    <t>24</t>
  </si>
  <si>
    <t>And so you get the idea that when you navigate over information this way going narrower , broader , backing in , backing out you 're not searching , you 're not browsing .</t>
  </si>
  <si>
    <t>file://conllu/en/teddy-901.conllu#s24_0</t>
  </si>
  <si>
    <t>25</t>
  </si>
  <si>
    <t>You 're doing something that 's actually a little bit different .</t>
  </si>
  <si>
    <t>file://conllu/en/teddy-901.conllu#s25_0</t>
  </si>
  <si>
    <t>26</t>
  </si>
  <si>
    <t>be (be between)</t>
  </si>
  <si>
    <t>It 's in between , and we think it changes the way information can be used .</t>
  </si>
  <si>
    <t>file://conllu/en/teddy-901.conllu#s26_0</t>
  </si>
  <si>
    <t>27</t>
  </si>
  <si>
    <t>want</t>
  </si>
  <si>
    <t>So I want to extrapolate on this idea a bit with something that 's a little bit crazy .</t>
  </si>
  <si>
    <t>file://conllu/en/teddy-901.conllu#s27_0</t>
  </si>
  <si>
    <t>28</t>
  </si>
  <si>
    <t>be (be take)</t>
  </si>
  <si>
    <t>What we 're done here is we 've taken every single Wikipedia page and we reduced it down to a little summary .</t>
  </si>
  <si>
    <t>file://conllu/en/teddy-901.conllu#s28_0</t>
  </si>
  <si>
    <t>29</t>
  </si>
  <si>
    <t>consist</t>
  </si>
  <si>
    <t>So the summary consists of just a little synopsis and an icon to indicate the topical area that it comes from .</t>
  </si>
  <si>
    <t>file://conllu/en/teddy-901.conllu#s29_0</t>
  </si>
  <si>
    <t>30</t>
  </si>
  <si>
    <t>show</t>
  </si>
  <si>
    <t>I 'm only showing the top 500 most popular Wikipedia pages right here .</t>
  </si>
  <si>
    <t>file://conllu/en/teddy-901.conllu#s30_0</t>
  </si>
  <si>
    <t>31</t>
  </si>
  <si>
    <t>but?</t>
  </si>
  <si>
    <t>But even in this limited view , we can do a lot of things .</t>
  </si>
  <si>
    <t>file://conllu/en/teddy-901.conllu#s31_0</t>
  </si>
  <si>
    <t>32</t>
  </si>
  <si>
    <t>Right away , we get a sense of what are the topical domains that are most popular on Wikipedia .</t>
  </si>
  <si>
    <t>file://conllu/en/teddy-901.conllu#s32_0</t>
  </si>
  <si>
    <t>33</t>
  </si>
  <si>
    <t>I 'm going to go ahead and select government .</t>
  </si>
  <si>
    <t>file://conllu/en/teddy-901.conllu#s33_0</t>
  </si>
  <si>
    <t>34</t>
  </si>
  <si>
    <t>Now , having selected government , I can now see that the Wikipedia categories that most frequently correspond to that are Time magazine People of the Year .</t>
  </si>
  <si>
    <t>file://conllu/en/teddy-901.conllu#s34_0</t>
  </si>
  <si>
    <t>35</t>
  </si>
  <si>
    <t>be (be important)</t>
  </si>
  <si>
    <t>So this is really important because this is an insight that was not contained within any one Wikipedia page .</t>
  </si>
  <si>
    <t>file://conllu/en/teddy-901.conllu#s35_0</t>
  </si>
  <si>
    <t>36</t>
  </si>
  <si>
    <t>be (be possible)</t>
  </si>
  <si>
    <t>It 's only possible to see that insight when you step back and look at all of them .</t>
  </si>
  <si>
    <t>file://conllu/en/teddy-901.conllu#s36_0</t>
  </si>
  <si>
    <t>37</t>
  </si>
  <si>
    <t>Looking at one of these particular summaries , I can then drill into the concept of Time magazine Person of the Year , bringing up all of them .</t>
  </si>
  <si>
    <t>file://conllu/en/teddy-901.conllu#s37_0</t>
  </si>
  <si>
    <t>38</t>
  </si>
  <si>
    <t>So looking at these people , I can see that the majority come from government ; some have come from natural sciences ; some , fewer still , have come from business there 's my boss and one has come from music .</t>
  </si>
  <si>
    <t>file://conllu/en/teddy-901.conllu#s38_0</t>
  </si>
  <si>
    <t>39</t>
  </si>
  <si>
    <t>also?</t>
  </si>
  <si>
    <t>be (be winner)</t>
  </si>
  <si>
    <t>And interestingly enough , Bono is also a TED Prize winner .</t>
  </si>
  <si>
    <t>file://conllu/en/teddy-901.conllu#s39_0</t>
  </si>
  <si>
    <t>40</t>
  </si>
  <si>
    <t>so</t>
  </si>
  <si>
    <t>So we can go , jump , and take a look at all the TED Prize winners .</t>
  </si>
  <si>
    <t>file://conllu/en/teddy-901.conllu#s40_0</t>
  </si>
  <si>
    <t>41</t>
  </si>
  <si>
    <t>So you see , we 're navigating the web for the first time as if it 's actually a web , not from page to page , but at a higher level of abstraction .</t>
  </si>
  <si>
    <t>file://conllu/en/teddy-901.conllu#s41_0</t>
  </si>
  <si>
    <t>42</t>
  </si>
  <si>
    <t>show (show want)</t>
  </si>
  <si>
    <t>And so I want to show you one other thing that may catch you a little bit by surprise .</t>
  </si>
  <si>
    <t>file://conllu/en/teddy-901.conllu#s42_0</t>
  </si>
  <si>
    <t>43</t>
  </si>
  <si>
    <t>I 'm just showing the New York Times website here .</t>
  </si>
  <si>
    <t>file://conllu/en/teddy-901.conllu#s43_0</t>
  </si>
  <si>
    <t>44</t>
  </si>
  <si>
    <t>So Pivot , this application I do n't want to call it a browser ; it 's really not a browser , but you can view web pages with it and we bring that zoomable technology to every single web page like this .</t>
  </si>
  <si>
    <t>file://conllu/en/teddy-901.conllu#s44_0</t>
  </si>
  <si>
    <t>45</t>
  </si>
  <si>
    <t>So I can step back , pop right back into a specific section .</t>
  </si>
  <si>
    <t>file://conllu/en/teddy-901.conllu#s45_0</t>
  </si>
  <si>
    <t>46</t>
  </si>
  <si>
    <t>Now the reason why this is important is because , by virtue of just viewing web pages in this way , I can look at my entire browsing history in the exact same way .</t>
  </si>
  <si>
    <t>file://conllu/en/teddy-901.conllu#s46_0</t>
  </si>
  <si>
    <t>47</t>
  </si>
  <si>
    <t>So I can drill into what I 've done over specific time frames .</t>
  </si>
  <si>
    <t>file://conllu/en/teddy-901.conllu#s47_0</t>
  </si>
  <si>
    <t>48</t>
  </si>
  <si>
    <t>here</t>
  </si>
  <si>
    <t>Here , in fact , is the state of all the demo that I just gave .</t>
  </si>
  <si>
    <t>file://conllu/en/teddy-901.conllu#s48_0</t>
  </si>
  <si>
    <t>49</t>
  </si>
  <si>
    <t>replay</t>
  </si>
  <si>
    <t>And I can sort of replay some stuff that I was looking at earlier today .</t>
  </si>
  <si>
    <t>file://conllu/en/teddy-901.conllu#s49_0</t>
  </si>
  <si>
    <t>50</t>
  </si>
  <si>
    <t>slice</t>
  </si>
  <si>
    <t>And , if I want to step back and look at everything , I can slice and dice my history , perhaps by my search history here , I was doing some nepotistic searching , looking for Bing , over here for Live Labs Pivot .</t>
  </si>
  <si>
    <t>file://conllu/en/teddy-901.conllu#s50_0</t>
  </si>
  <si>
    <t>51</t>
  </si>
  <si>
    <t>And from these , I can drill into the web page and just launch them again .</t>
  </si>
  <si>
    <t>file://conllu/en/teddy-901.conllu#s51_0</t>
  </si>
  <si>
    <t>52</t>
  </si>
  <si>
    <t>be (be metaphor)</t>
  </si>
  <si>
    <t>It 's one metaphor repurposed multiple times , and in each case it makes the whole greater than the sum of the parts with the data .</t>
  </si>
  <si>
    <t>file://conllu/en/teddy-901.conllu#s52_0</t>
  </si>
  <si>
    <t>53</t>
  </si>
  <si>
    <t>think</t>
  </si>
  <si>
    <t>So right now , in this world , we think about data as being this curse .</t>
  </si>
  <si>
    <t>file://conllu/en/teddy-901.conllu#s53_0</t>
  </si>
  <si>
    <t>54</t>
  </si>
  <si>
    <t>talk</t>
  </si>
  <si>
    <t>We talk about the curse of information overload .</t>
  </si>
  <si>
    <t>file://conllu/en/teddy-901.conllu#s54_0</t>
  </si>
  <si>
    <t>55</t>
  </si>
  <si>
    <t>We talk about drowning in data .</t>
  </si>
  <si>
    <t>file://conllu/en/teddy-901.conllu#s55_0</t>
  </si>
  <si>
    <t>56</t>
  </si>
  <si>
    <t>so that?</t>
  </si>
  <si>
    <t>what</t>
  </si>
  <si>
    <t>What if we can actually turn that upside down and turn the web upside down , so that instead of navigating from one thing to the next , we get used to the habit of being able to go from many things to many things , and then being able to see the patterns that were otherwise hidden ?</t>
  </si>
  <si>
    <t>file://conllu/en/teddy-901.conllu#s56_0</t>
  </si>
  <si>
    <t>57</t>
  </si>
  <si>
    <t>extract</t>
  </si>
  <si>
    <t>If we can do that , then instead of being trapped in data , we might actually extract information .</t>
  </si>
  <si>
    <t>file://conllu/en/teddy-901.conllu#s57_0</t>
  </si>
  <si>
    <t>58</t>
  </si>
  <si>
    <t>instead?</t>
  </si>
  <si>
    <t>tease</t>
  </si>
  <si>
    <t>And , instead of dealing just with information , we can tease out knowledge .</t>
  </si>
  <si>
    <t>file://conllu/en/teddy-901.conllu#s58_0</t>
  </si>
  <si>
    <t>59</t>
  </si>
  <si>
    <t>'s</t>
  </si>
  <si>
    <t>And if we get the knowledge , then maybe even there 's wisdom to be found .</t>
  </si>
  <si>
    <t>file://conllu/en/teddy-901.conllu#s59_0</t>
  </si>
  <si>
    <t>60</t>
  </si>
  <si>
    <t>thank</t>
  </si>
  <si>
    <t>So with that , I thank you .</t>
  </si>
  <si>
    <t>file://conllu/en/teddy-901.conllu#s60_0</t>
  </si>
  <si>
    <t>WORD</t>
  </si>
  <si>
    <t>GR</t>
  </si>
  <si>
    <t>NP_TYPE</t>
  </si>
  <si>
    <t>REF_AUTO</t>
  </si>
  <si>
    <t>COREF</t>
  </si>
  <si>
    <t>REF</t>
  </si>
  <si>
    <t>IS</t>
  </si>
  <si>
    <t>CB</t>
  </si>
  <si>
    <t>GR_ANTE</t>
  </si>
  <si>
    <t>REF_DIST</t>
  </si>
  <si>
    <t>REF_DIST_ANTE</t>
  </si>
  <si>
    <t># text = If I can leave you with one big idea today, it's that the whole of the data in which we consume is greater that the sum of the parts, and instead of thinking about information overload, what I'd like you to think about is how we can use information so that patterns pop and we can see trends that would otherwise be invisible.</t>
  </si>
  <si>
    <t>If</t>
  </si>
  <si>
    <t>I</t>
  </si>
  <si>
    <t>SBJ_2</t>
  </si>
  <si>
    <t>pron.pper</t>
  </si>
  <si>
    <t>?OLD</t>
  </si>
  <si>
    <t>can</t>
  </si>
  <si>
    <t>leave</t>
  </si>
  <si>
    <t>you</t>
  </si>
  <si>
    <t>OBJ_2</t>
  </si>
  <si>
    <t>with</t>
  </si>
  <si>
    <t>one</t>
  </si>
  <si>
    <t>big</t>
  </si>
  <si>
    <t>idea</t>
  </si>
  <si>
    <t>other_2</t>
  </si>
  <si>
    <t>indef-np.quant</t>
  </si>
  <si>
    <t>today</t>
  </si>
  <si>
    <t>indef-np.bare</t>
  </si>
  <si>
    <t>,</t>
  </si>
  <si>
    <t>it</t>
  </si>
  <si>
    <t>that</t>
  </si>
  <si>
    <t>the</t>
  </si>
  <si>
    <t>whole</t>
  </si>
  <si>
    <t>SBJ</t>
  </si>
  <si>
    <t>def-np.the</t>
  </si>
  <si>
    <t>of</t>
  </si>
  <si>
    <t>data</t>
  </si>
  <si>
    <t>in</t>
  </si>
  <si>
    <t>which</t>
  </si>
  <si>
    <t>we</t>
  </si>
  <si>
    <t>other_5</t>
  </si>
  <si>
    <t>pron.ppos</t>
  </si>
  <si>
    <t>consume</t>
  </si>
  <si>
    <t>SBJ_4</t>
  </si>
  <si>
    <t>def-np.poss</t>
  </si>
  <si>
    <t>is</t>
  </si>
  <si>
    <t>greater</t>
  </si>
  <si>
    <t>sum</t>
  </si>
  <si>
    <t>other_4</t>
  </si>
  <si>
    <t>parts</t>
  </si>
  <si>
    <t>and</t>
  </si>
  <si>
    <t>instead</t>
  </si>
  <si>
    <t>thinking</t>
  </si>
  <si>
    <t>about</t>
  </si>
  <si>
    <t>information</t>
  </si>
  <si>
    <t>other_6</t>
  </si>
  <si>
    <t>overload</t>
  </si>
  <si>
    <t>pron.pint</t>
  </si>
  <si>
    <t>SBJ_7</t>
  </si>
  <si>
    <t>'d</t>
  </si>
  <si>
    <t>like</t>
  </si>
  <si>
    <t>OBJ_7</t>
  </si>
  <si>
    <t>to</t>
  </si>
  <si>
    <t>how</t>
  </si>
  <si>
    <t>SBJ_10</t>
  </si>
  <si>
    <t>use</t>
  </si>
  <si>
    <t>OBJ_10</t>
  </si>
  <si>
    <t>patterns</t>
  </si>
  <si>
    <t>pop</t>
  </si>
  <si>
    <t>other_11</t>
  </si>
  <si>
    <t>SBJ_11</t>
  </si>
  <si>
    <t>trends</t>
  </si>
  <si>
    <t>OBJ_11</t>
  </si>
  <si>
    <t>SBJ_13</t>
  </si>
  <si>
    <t>would</t>
  </si>
  <si>
    <t>otherwise</t>
  </si>
  <si>
    <t>invisible</t>
  </si>
  <si>
    <t>.</t>
  </si>
  <si>
    <t># text = So what we're looking at right here is a typical mortality chart organized by age.</t>
  </si>
  <si>
    <t>So</t>
  </si>
  <si>
    <t>SBJ_3</t>
  </si>
  <si>
    <t>'re</t>
  </si>
  <si>
    <t>looking</t>
  </si>
  <si>
    <t>at</t>
  </si>
  <si>
    <t>right</t>
  </si>
  <si>
    <t>other_3</t>
  </si>
  <si>
    <t>a</t>
  </si>
  <si>
    <t>typical</t>
  </si>
  <si>
    <t>mortality</t>
  </si>
  <si>
    <t>chart</t>
  </si>
  <si>
    <t>other</t>
  </si>
  <si>
    <t>indef-np.a</t>
  </si>
  <si>
    <t>organized</t>
  </si>
  <si>
    <t>by</t>
  </si>
  <si>
    <t>age</t>
  </si>
  <si>
    <t># text = This tool that I'm using here is a little experiment.</t>
  </si>
  <si>
    <t>This</t>
  </si>
  <si>
    <t>tool</t>
  </si>
  <si>
    <t>def-np.dem</t>
  </si>
  <si>
    <t>OBJ_3</t>
  </si>
  <si>
    <t>'m</t>
  </si>
  <si>
    <t>using</t>
  </si>
  <si>
    <t>little</t>
  </si>
  <si>
    <t>experiment</t>
  </si>
  <si>
    <t># text = It's called Pivot, and with Pivot what I can do is I can choose to filter in one particular cause of deaths -- say, accidents.</t>
  </si>
  <si>
    <t>It</t>
  </si>
  <si>
    <t>called</t>
  </si>
  <si>
    <t>Pivot</t>
  </si>
  <si>
    <t>ne</t>
  </si>
  <si>
    <t>choose</t>
  </si>
  <si>
    <t>filter</t>
  </si>
  <si>
    <t>particular</t>
  </si>
  <si>
    <t>cause</t>
  </si>
  <si>
    <t>deaths</t>
  </si>
  <si>
    <t>say</t>
  </si>
  <si>
    <t>accidents</t>
  </si>
  <si>
    <t># text = And, right away, I see there's a different pattern that emerges.</t>
  </si>
  <si>
    <t>And</t>
  </si>
  <si>
    <t>away</t>
  </si>
  <si>
    <t>there</t>
  </si>
  <si>
    <t>different</t>
  </si>
  <si>
    <t>pattern</t>
  </si>
  <si>
    <t>emerges</t>
  </si>
  <si>
    <t># text = This is because, in the mid-area here, people are at their most active, and over here they're at their most frail.</t>
  </si>
  <si>
    <t>pron.pds</t>
  </si>
  <si>
    <t>because</t>
  </si>
  <si>
    <t>mid-area</t>
  </si>
  <si>
    <t>people</t>
  </si>
  <si>
    <t>are</t>
  </si>
  <si>
    <t>their</t>
  </si>
  <si>
    <t>most</t>
  </si>
  <si>
    <t>active</t>
  </si>
  <si>
    <t>over</t>
  </si>
  <si>
    <t>pron.padv</t>
  </si>
  <si>
    <t>they</t>
  </si>
  <si>
    <t>frail</t>
  </si>
  <si>
    <t># text = We can step back out again and then reorganize the data by cause of death, seeing that circulatory diseases and cancer are the usual suspects, but not for everyone.</t>
  </si>
  <si>
    <t>We</t>
  </si>
  <si>
    <t>back</t>
  </si>
  <si>
    <t>out</t>
  </si>
  <si>
    <t>again</t>
  </si>
  <si>
    <t>then</t>
  </si>
  <si>
    <t>reorganize</t>
  </si>
  <si>
    <t>death</t>
  </si>
  <si>
    <t>seeing</t>
  </si>
  <si>
    <t>circulatory</t>
  </si>
  <si>
    <t>diseases</t>
  </si>
  <si>
    <t>cancer</t>
  </si>
  <si>
    <t>usual</t>
  </si>
  <si>
    <t>suspects</t>
  </si>
  <si>
    <t>but</t>
  </si>
  <si>
    <t>not</t>
  </si>
  <si>
    <t>for</t>
  </si>
  <si>
    <t>everyone</t>
  </si>
  <si>
    <t>pron.pind</t>
  </si>
  <si>
    <t># text = If we go ahead and we filter by age -- say 40 years or less -- we see that accidents are actually the greatest cause that people have to be worried about.</t>
  </si>
  <si>
    <t>ahead</t>
  </si>
  <si>
    <t>years</t>
  </si>
  <si>
    <t>OBJ</t>
  </si>
  <si>
    <t>or</t>
  </si>
  <si>
    <t>less</t>
  </si>
  <si>
    <t>actually</t>
  </si>
  <si>
    <t>greatest</t>
  </si>
  <si>
    <t>have</t>
  </si>
  <si>
    <t>worried</t>
  </si>
  <si>
    <t># text = And if you drill into that, it's especially the case for men.</t>
  </si>
  <si>
    <t>if</t>
  </si>
  <si>
    <t>into</t>
  </si>
  <si>
    <t>especially</t>
  </si>
  <si>
    <t>case</t>
  </si>
  <si>
    <t>men</t>
  </si>
  <si>
    <t># text = So you get the idea that viewing information, viewing data in this way, is a lot like swimming in a living information info-graphic.</t>
  </si>
  <si>
    <t>viewing</t>
  </si>
  <si>
    <t>this</t>
  </si>
  <si>
    <t>way</t>
  </si>
  <si>
    <t>lot</t>
  </si>
  <si>
    <t>swimming</t>
  </si>
  <si>
    <t>living</t>
  </si>
  <si>
    <t>info</t>
  </si>
  <si>
    <t>-graphic</t>
  </si>
  <si>
    <t># text = And if we can do this for raw data, why not do it for content as well?</t>
  </si>
  <si>
    <t>raw</t>
  </si>
  <si>
    <t>why</t>
  </si>
  <si>
    <t>content</t>
  </si>
  <si>
    <t>as</t>
  </si>
  <si>
    <t>well</t>
  </si>
  <si>
    <t>?</t>
  </si>
  <si>
    <t># text = So what we have right here is the cover of every single Sports Illustrated ever produced.</t>
  </si>
  <si>
    <t>cover</t>
  </si>
  <si>
    <t>every</t>
  </si>
  <si>
    <t>single</t>
  </si>
  <si>
    <t>Sports</t>
  </si>
  <si>
    <t>indef-np</t>
  </si>
  <si>
    <t>Illustrated</t>
  </si>
  <si>
    <t>ever</t>
  </si>
  <si>
    <t>produced</t>
  </si>
  <si>
    <t># text = It's all here; it's all on the web.</t>
  </si>
  <si>
    <t>all</t>
  </si>
  <si>
    <t>;</t>
  </si>
  <si>
    <t>on</t>
  </si>
  <si>
    <t>web</t>
  </si>
  <si>
    <t># text = You can go back to your rooms and try this after my talk.</t>
  </si>
  <si>
    <t>You</t>
  </si>
  <si>
    <t>your</t>
  </si>
  <si>
    <t>rooms</t>
  </si>
  <si>
    <t>try</t>
  </si>
  <si>
    <t>after</t>
  </si>
  <si>
    <t>my</t>
  </si>
  <si>
    <t># text = With Pivot, you can drill into a decade.</t>
  </si>
  <si>
    <t>With</t>
  </si>
  <si>
    <t>decade</t>
  </si>
  <si>
    <t># text = You can drill into a particular year.</t>
  </si>
  <si>
    <t>year</t>
  </si>
  <si>
    <t># text = You can jump right into a specific issue.</t>
  </si>
  <si>
    <t>specific</t>
  </si>
  <si>
    <t>issue</t>
  </si>
  <si>
    <t># text = So I'm looking at this; I see the athletes that have appeared in this issue, the sports.</t>
  </si>
  <si>
    <t>athletes</t>
  </si>
  <si>
    <t>appeared</t>
  </si>
  <si>
    <t>sports</t>
  </si>
  <si>
    <t># text = I'm a Lance Armstrong fan, so I'll go ahead and I'll click on that, which reveals, for me, all the issues in which Lance Armstrong's been a part of.</t>
  </si>
  <si>
    <t>Lance</t>
  </si>
  <si>
    <t>Armstrong</t>
  </si>
  <si>
    <t>fan</t>
  </si>
  <si>
    <t>'ll</t>
  </si>
  <si>
    <t>click</t>
  </si>
  <si>
    <t>reveals</t>
  </si>
  <si>
    <t>me</t>
  </si>
  <si>
    <t>issues</t>
  </si>
  <si>
    <t>SBJ_5</t>
  </si>
  <si>
    <t>been</t>
  </si>
  <si>
    <t>part</t>
  </si>
  <si>
    <t># text = (Applause)</t>
  </si>
  <si>
    <t>(</t>
  </si>
  <si>
    <t>)</t>
  </si>
  <si>
    <t>--</t>
  </si>
  <si>
    <t># text = Now, if I want to just kind of take a peek at these, I might think, \"Well, what about taking a look at all of cycling?\"</t>
  </si>
  <si>
    <t>Now</t>
  </si>
  <si>
    <t>just</t>
  </si>
  <si>
    <t>kind</t>
  </si>
  <si>
    <t>take</t>
  </si>
  <si>
    <t>peek</t>
  </si>
  <si>
    <t>these</t>
  </si>
  <si>
    <t>might</t>
  </si>
  <si>
    <t>&amp;quot;</t>
  </si>
  <si>
    <t>Well</t>
  </si>
  <si>
    <t>taking</t>
  </si>
  <si>
    <t>cycling</t>
  </si>
  <si>
    <t># text = So I can step back, and expand on that.</t>
  </si>
  <si>
    <t>expand</t>
  </si>
  <si>
    <t># text = And I see Greg LeMond now.</t>
  </si>
  <si>
    <t>Greg</t>
  </si>
  <si>
    <t>LeMond</t>
  </si>
  <si>
    <t>now</t>
  </si>
  <si>
    <t># text = And so you get the idea that when you navigate over information this way -- going narrower, broader, backing in, backing out -- you're not searching, you're not browsing.</t>
  </si>
  <si>
    <t>when</t>
  </si>
  <si>
    <t>navigate</t>
  </si>
  <si>
    <t>OBJ_4</t>
  </si>
  <si>
    <t>going</t>
  </si>
  <si>
    <t>narrower</t>
  </si>
  <si>
    <t>broader</t>
  </si>
  <si>
    <t>backing</t>
  </si>
  <si>
    <t>SBJ_9</t>
  </si>
  <si>
    <t>searching</t>
  </si>
  <si>
    <t>browsing</t>
  </si>
  <si>
    <t># text = You're doing something that's actually a little bit different.</t>
  </si>
  <si>
    <t>doing</t>
  </si>
  <si>
    <t>something</t>
  </si>
  <si>
    <t>pron</t>
  </si>
  <si>
    <t>bit</t>
  </si>
  <si>
    <t># text = It's in between, and we think it changes the way information can be used.</t>
  </si>
  <si>
    <t>between</t>
  </si>
  <si>
    <t>changes</t>
  </si>
  <si>
    <t>used</t>
  </si>
  <si>
    <t># text = So I want to extrapolate on this idea a bit with something that's a little bit crazy.</t>
  </si>
  <si>
    <t>extrapolate</t>
  </si>
  <si>
    <t>crazy</t>
  </si>
  <si>
    <t># text = What we're done here is we've taken every single Wikipedia page and we reduced it down to a little summary.</t>
  </si>
  <si>
    <t>What</t>
  </si>
  <si>
    <t>done</t>
  </si>
  <si>
    <t>'ve</t>
  </si>
  <si>
    <t>taken</t>
  </si>
  <si>
    <t>Wikipedia</t>
  </si>
  <si>
    <t>page</t>
  </si>
  <si>
    <t>reduced</t>
  </si>
  <si>
    <t>down</t>
  </si>
  <si>
    <t>summary</t>
  </si>
  <si>
    <t># text = So the summary consists of just a little synopsis and an icon to indicate the topical area that it comes from.</t>
  </si>
  <si>
    <t>consists</t>
  </si>
  <si>
    <t>synopsis</t>
  </si>
  <si>
    <t>an</t>
  </si>
  <si>
    <t>icon</t>
  </si>
  <si>
    <t>indicate</t>
  </si>
  <si>
    <t>topical</t>
  </si>
  <si>
    <t>area</t>
  </si>
  <si>
    <t>SBJ_6</t>
  </si>
  <si>
    <t>comes</t>
  </si>
  <si>
    <t>from</t>
  </si>
  <si>
    <t># text = I'm only showing the top 500 most popular Wikipedia pages right here.</t>
  </si>
  <si>
    <t>only</t>
  </si>
  <si>
    <t>showing</t>
  </si>
  <si>
    <t>top</t>
  </si>
  <si>
    <t>500</t>
  </si>
  <si>
    <t>popular</t>
  </si>
  <si>
    <t>pages</t>
  </si>
  <si>
    <t>def-np.quant</t>
  </si>
  <si>
    <t># text = But even in this limited view, we can do a lot of things.</t>
  </si>
  <si>
    <t>But</t>
  </si>
  <si>
    <t>even</t>
  </si>
  <si>
    <t>limited</t>
  </si>
  <si>
    <t>view</t>
  </si>
  <si>
    <t>things</t>
  </si>
  <si>
    <t># text = Right away, we get a sense of what are the topical domains that are most popular on Wikipedia.</t>
  </si>
  <si>
    <t>Right</t>
  </si>
  <si>
    <t>sense</t>
  </si>
  <si>
    <t>domains</t>
  </si>
  <si>
    <t># text = I'm going to go ahead and select government.</t>
  </si>
  <si>
    <t>select</t>
  </si>
  <si>
    <t>government</t>
  </si>
  <si>
    <t># text = Now, having selected government, I can now see that the Wikipedia categories that most frequently correspond to that are Time magazine People of the Year.</t>
  </si>
  <si>
    <t>having</t>
  </si>
  <si>
    <t>selected</t>
  </si>
  <si>
    <t>categories</t>
  </si>
  <si>
    <t>frequently</t>
  </si>
  <si>
    <t>correspond</t>
  </si>
  <si>
    <t>Time</t>
  </si>
  <si>
    <t>magazine</t>
  </si>
  <si>
    <t>People</t>
  </si>
  <si>
    <t>Year</t>
  </si>
  <si>
    <t># text = So this is really important because this is an insight that was not contained within any one Wikipedia page.</t>
  </si>
  <si>
    <t>really</t>
  </si>
  <si>
    <t>important</t>
  </si>
  <si>
    <t>insight</t>
  </si>
  <si>
    <t>was</t>
  </si>
  <si>
    <t>contained</t>
  </si>
  <si>
    <t>within</t>
  </si>
  <si>
    <t>any</t>
  </si>
  <si>
    <t># text = It's only possible to see that insight when you step back and look at all of them.</t>
  </si>
  <si>
    <t>possible</t>
  </si>
  <si>
    <t>them</t>
  </si>
  <si>
    <t># text = Looking at one of these particular summaries, I can then drill into the concept of Time magazine Person of the Year, bringing up all of them.</t>
  </si>
  <si>
    <t>Looking</t>
  </si>
  <si>
    <t>summaries</t>
  </si>
  <si>
    <t>concept</t>
  </si>
  <si>
    <t>Person</t>
  </si>
  <si>
    <t>bringing</t>
  </si>
  <si>
    <t>up</t>
  </si>
  <si>
    <t># text = So looking at these people, I can see that the majority come from government; some have come from natural sciences; some, fewer still, have come from business -- there's my boss -- and one has come from music.</t>
  </si>
  <si>
    <t>majority</t>
  </si>
  <si>
    <t>come</t>
  </si>
  <si>
    <t>some</t>
  </si>
  <si>
    <t>natural</t>
  </si>
  <si>
    <t>sciences</t>
  </si>
  <si>
    <t>fewer</t>
  </si>
  <si>
    <t>still</t>
  </si>
  <si>
    <t>business</t>
  </si>
  <si>
    <t>boss</t>
  </si>
  <si>
    <t>has</t>
  </si>
  <si>
    <t>music</t>
  </si>
  <si>
    <t># text = And interestingly enough, Bono is also a TED Prize winner.</t>
  </si>
  <si>
    <t>interestingly</t>
  </si>
  <si>
    <t>enough</t>
  </si>
  <si>
    <t>Bono</t>
  </si>
  <si>
    <t>also</t>
  </si>
  <si>
    <t>TED</t>
  </si>
  <si>
    <t>Prize</t>
  </si>
  <si>
    <t>winner</t>
  </si>
  <si>
    <t># text = So we can go, jump, and take a look at all the TED Prize winners.</t>
  </si>
  <si>
    <t>winners</t>
  </si>
  <si>
    <t># text = So you see, we're navigating the web for the first time as if it's actually a web, not from page-to-page, but at a higher level of abstraction.</t>
  </si>
  <si>
    <t>navigating</t>
  </si>
  <si>
    <t>first</t>
  </si>
  <si>
    <t>time</t>
  </si>
  <si>
    <t>higher</t>
  </si>
  <si>
    <t>level</t>
  </si>
  <si>
    <t>abstraction</t>
  </si>
  <si>
    <t># text = And so I want to show you one other thing that may catch you a little bit by surprise.</t>
  </si>
  <si>
    <t>thing</t>
  </si>
  <si>
    <t>may</t>
  </si>
  <si>
    <t>catch</t>
  </si>
  <si>
    <t>surprise</t>
  </si>
  <si>
    <t># text = I'm just showing the New York Times website here.</t>
  </si>
  <si>
    <t>New</t>
  </si>
  <si>
    <t>York</t>
  </si>
  <si>
    <t>Times</t>
  </si>
  <si>
    <t>website</t>
  </si>
  <si>
    <t># text = So Pivot, this application -- I don't want to call it a browser; it's really not a browser, but you can view web pages with it -- and we bring that zoomable technology to every single web page like this.</t>
  </si>
  <si>
    <t>application</t>
  </si>
  <si>
    <t>n't</t>
  </si>
  <si>
    <t>browser</t>
  </si>
  <si>
    <t>bring</t>
  </si>
  <si>
    <t>zoomable</t>
  </si>
  <si>
    <t>technology</t>
  </si>
  <si>
    <t># text = So I can step back, pop right back into a specific section.</t>
  </si>
  <si>
    <t>section</t>
  </si>
  <si>
    <t># text = Now the reason why this is important is because, by virtue of just viewing web pages in this way, I can look at my entire browsing history in the exact same way.</t>
  </si>
  <si>
    <t>reason</t>
  </si>
  <si>
    <t>virtue</t>
  </si>
  <si>
    <t>entire</t>
  </si>
  <si>
    <t>history</t>
  </si>
  <si>
    <t>exact</t>
  </si>
  <si>
    <t>same</t>
  </si>
  <si>
    <t># text = So I can drill into what I've done over specific time frames.</t>
  </si>
  <si>
    <t>frames</t>
  </si>
  <si>
    <t># text = Here, in fact, is the state of all the demo that I just gave.</t>
  </si>
  <si>
    <t>Here</t>
  </si>
  <si>
    <t>fact</t>
  </si>
  <si>
    <t>state</t>
  </si>
  <si>
    <t>demo</t>
  </si>
  <si>
    <t>gave</t>
  </si>
  <si>
    <t># text = And I can sort of replay some stuff that I was looking at earlier today.</t>
  </si>
  <si>
    <t>sort</t>
  </si>
  <si>
    <t>stuff</t>
  </si>
  <si>
    <t>earlier</t>
  </si>
  <si>
    <t># text = And, if I want to step back and look at everything, I can slice and dice my history, perhaps by my search history -- here, I was doing some nepotistic searching, looking for Bing, over here for Live Labs Pivot.</t>
  </si>
  <si>
    <t>everything</t>
  </si>
  <si>
    <t>dice</t>
  </si>
  <si>
    <t>perhaps</t>
  </si>
  <si>
    <t>search</t>
  </si>
  <si>
    <t>nepotistic</t>
  </si>
  <si>
    <t>Bing</t>
  </si>
  <si>
    <t>Live</t>
  </si>
  <si>
    <t>Labs</t>
  </si>
  <si>
    <t># text = And from these, I can drill into the web page and just launch them again.</t>
  </si>
  <si>
    <t>launch</t>
  </si>
  <si>
    <t># text = It's one metaphor repurposed multiple times, and in each case it makes the whole greater than the sum of the parts with the data.</t>
  </si>
  <si>
    <t>metaphor</t>
  </si>
  <si>
    <t>repurposed</t>
  </si>
  <si>
    <t>multiple</t>
  </si>
  <si>
    <t>times</t>
  </si>
  <si>
    <t>each</t>
  </si>
  <si>
    <t>makes</t>
  </si>
  <si>
    <t>than</t>
  </si>
  <si>
    <t># text = So right now, in this world, we think about data as being this curse.</t>
  </si>
  <si>
    <t>world</t>
  </si>
  <si>
    <t>being</t>
  </si>
  <si>
    <t>curse</t>
  </si>
  <si>
    <t># text = We talk about the curse of information overload.</t>
  </si>
  <si>
    <t># text = We talk about drowning in data.</t>
  </si>
  <si>
    <t>drowning</t>
  </si>
  <si>
    <t># text = What if we can actually turn that upside down and turn the web upside down, so that instead of navigating from one thing to the next, we get used to the habit of being able to go from many things to many things, and then being able to see the patterns that were otherwise hidden?</t>
  </si>
  <si>
    <t>turn</t>
  </si>
  <si>
    <t>upside</t>
  </si>
  <si>
    <t>next</t>
  </si>
  <si>
    <t>habit</t>
  </si>
  <si>
    <t>able</t>
  </si>
  <si>
    <t>many</t>
  </si>
  <si>
    <t>were</t>
  </si>
  <si>
    <t>hidden</t>
  </si>
  <si>
    <t># text = If we can do that, then instead of being trapped in data, we might actually extract information.</t>
  </si>
  <si>
    <t>trapped</t>
  </si>
  <si>
    <t># text = And, instead of dealing just with information, we can tease out knowledge.</t>
  </si>
  <si>
    <t>dealing</t>
  </si>
  <si>
    <t>knowledge</t>
  </si>
  <si>
    <t># text = And if we get the knowledge, then maybe even there's wisdom to be found.</t>
  </si>
  <si>
    <t>maybe</t>
  </si>
  <si>
    <t>wisdom</t>
  </si>
  <si>
    <t>found</t>
  </si>
  <si>
    <t># text = So with that, I thank you.</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</si>
</sst>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61"/>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16</v>
      </c>
      <c r="I2" s="11" t="s">
        <v>16</v>
      </c>
      <c r="J2" s="12"/>
    </row>
    <row r="3" spans="1:10" ht="60" customHeight="1">
      <c r="A3" s="6" t="s">
        <v>17</v>
      </c>
      <c r="B3" s="6" t="s">
        <v>18</v>
      </c>
      <c r="C3" s="6" t="s">
        <v>19</v>
      </c>
      <c r="D3" s="7" t="s">
        <v>20</v>
      </c>
      <c r="E3" s="8" t="s">
        <v>21</v>
      </c>
      <c r="F3" s="6" t="s">
        <v>22</v>
      </c>
      <c r="G3" s="9">
        <f>IF(A3=1,"_",IF(C3="_","???",C3))</f>
        <v/>
      </c>
      <c r="H3" s="10" t="s">
        <v>16</v>
      </c>
      <c r="I3" s="11" t="s">
        <v>16</v>
      </c>
      <c r="J3" s="12"/>
    </row>
    <row r="4" spans="1:10" ht="60" customHeight="1">
      <c r="A4" s="6" t="s">
        <v>23</v>
      </c>
      <c r="B4" s="6" t="s">
        <v>24</v>
      </c>
      <c r="C4" s="6" t="s">
        <v>16</v>
      </c>
      <c r="D4" s="7" t="s">
        <v>25</v>
      </c>
      <c r="E4" s="8" t="s">
        <v>26</v>
      </c>
      <c r="F4" s="6" t="s">
        <v>27</v>
      </c>
      <c r="G4" s="9">
        <f>IF(A4=1,"_",IF(C4="_","???",C4))</f>
        <v/>
      </c>
      <c r="H4" s="10" t="s">
        <v>16</v>
      </c>
      <c r="I4" s="11" t="s">
        <v>16</v>
      </c>
      <c r="J4" s="12"/>
    </row>
    <row r="5" spans="1:10" ht="60" customHeight="1">
      <c r="A5" s="6" t="s">
        <v>28</v>
      </c>
      <c r="B5" s="6" t="s">
        <v>23</v>
      </c>
      <c r="C5" s="6" t="s">
        <v>29</v>
      </c>
      <c r="D5" s="7" t="s">
        <v>30</v>
      </c>
      <c r="E5" s="8" t="s">
        <v>31</v>
      </c>
      <c r="F5" s="6" t="s">
        <v>32</v>
      </c>
      <c r="G5" s="9">
        <f>IF(A5=1,"_",IF(C5="_","???",C5))</f>
        <v/>
      </c>
      <c r="H5" s="10" t="s">
        <v>16</v>
      </c>
      <c r="I5" s="11" t="s">
        <v>16</v>
      </c>
      <c r="J5" s="12"/>
    </row>
    <row r="6" spans="1:10" ht="60" customHeight="1">
      <c r="A6" s="6" t="s">
        <v>33</v>
      </c>
      <c r="B6" s="6" t="s">
        <v>34</v>
      </c>
      <c r="C6" s="6" t="s">
        <v>29</v>
      </c>
      <c r="D6" s="7" t="s">
        <v>35</v>
      </c>
      <c r="E6" s="8" t="s">
        <v>36</v>
      </c>
      <c r="F6" s="6" t="s">
        <v>37</v>
      </c>
      <c r="G6" s="9">
        <f>IF(A6=1,"_",IF(C6="_","???",C6))</f>
        <v/>
      </c>
      <c r="H6" s="10" t="s">
        <v>16</v>
      </c>
      <c r="I6" s="11" t="s">
        <v>16</v>
      </c>
      <c r="J6" s="12"/>
    </row>
    <row r="7" spans="1:10" ht="60" customHeight="1">
      <c r="A7" s="6" t="s">
        <v>38</v>
      </c>
      <c r="B7" s="6" t="s">
        <v>17</v>
      </c>
      <c r="C7" s="6" t="s">
        <v>39</v>
      </c>
      <c r="D7" s="7" t="s">
        <v>13</v>
      </c>
      <c r="E7" s="8" t="s">
        <v>40</v>
      </c>
      <c r="F7" s="6" t="s">
        <v>41</v>
      </c>
      <c r="G7" s="9">
        <f>IF(A7=1,"_",IF(C7="_","???",C7))</f>
        <v/>
      </c>
      <c r="H7" s="10" t="s">
        <v>16</v>
      </c>
      <c r="I7" s="11" t="s">
        <v>16</v>
      </c>
      <c r="J7" s="12"/>
    </row>
    <row r="8" spans="1:10" ht="60" customHeight="1">
      <c r="A8" s="6" t="s">
        <v>34</v>
      </c>
      <c r="B8" s="6" t="s">
        <v>23</v>
      </c>
      <c r="C8" s="6" t="s">
        <v>42</v>
      </c>
      <c r="D8" s="7" t="s">
        <v>43</v>
      </c>
      <c r="E8" s="8" t="s">
        <v>44</v>
      </c>
      <c r="F8" s="6" t="s">
        <v>45</v>
      </c>
      <c r="G8" s="9">
        <f>IF(A8=1,"_",IF(C8="_","???",C8))</f>
        <v/>
      </c>
      <c r="H8" s="10" t="s">
        <v>16</v>
      </c>
      <c r="I8" s="11" t="s">
        <v>16</v>
      </c>
      <c r="J8" s="12"/>
    </row>
    <row r="9" spans="1:10" ht="60" customHeight="1">
      <c r="A9" s="6" t="s">
        <v>24</v>
      </c>
      <c r="B9" s="6" t="s">
        <v>46</v>
      </c>
      <c r="C9" s="6" t="s">
        <v>12</v>
      </c>
      <c r="D9" s="7" t="s">
        <v>47</v>
      </c>
      <c r="E9" s="8" t="s">
        <v>48</v>
      </c>
      <c r="F9" s="6" t="s">
        <v>49</v>
      </c>
      <c r="G9" s="9">
        <f>IF(A9=1,"_",IF(C9="_","???",C9))</f>
        <v/>
      </c>
      <c r="H9" s="10" t="s">
        <v>16</v>
      </c>
      <c r="I9" s="11" t="s">
        <v>16</v>
      </c>
      <c r="J9" s="12"/>
    </row>
    <row r="10" spans="1:10" ht="60" customHeight="1">
      <c r="A10" s="6" t="s">
        <v>18</v>
      </c>
      <c r="B10" s="6" t="s">
        <v>18</v>
      </c>
      <c r="C10" s="6" t="s">
        <v>50</v>
      </c>
      <c r="D10" s="7" t="s">
        <v>51</v>
      </c>
      <c r="E10" s="8" t="s">
        <v>52</v>
      </c>
      <c r="F10" s="6" t="s">
        <v>53</v>
      </c>
      <c r="G10" s="9">
        <f>IF(A10=1,"_",IF(C10="_","???",C10))</f>
        <v/>
      </c>
      <c r="H10" s="10" t="s">
        <v>16</v>
      </c>
      <c r="I10" s="11" t="s">
        <v>16</v>
      </c>
      <c r="J10" s="12"/>
    </row>
    <row r="11" spans="1:10" ht="60" customHeight="1">
      <c r="A11" s="6" t="s">
        <v>54</v>
      </c>
      <c r="B11" s="6" t="s">
        <v>23</v>
      </c>
      <c r="C11" s="6" t="s">
        <v>19</v>
      </c>
      <c r="D11" s="7" t="s">
        <v>55</v>
      </c>
      <c r="E11" s="8" t="s">
        <v>56</v>
      </c>
      <c r="F11" s="6" t="s">
        <v>57</v>
      </c>
      <c r="G11" s="9">
        <f>IF(A11=1,"_",IF(C11="_","???",C11))</f>
        <v/>
      </c>
      <c r="H11" s="10" t="s">
        <v>16</v>
      </c>
      <c r="I11" s="11" t="s">
        <v>16</v>
      </c>
      <c r="J11" s="12"/>
    </row>
    <row r="12" spans="1:10" ht="60" customHeight="1">
      <c r="A12" s="6" t="s">
        <v>58</v>
      </c>
      <c r="B12" s="6" t="s">
        <v>11</v>
      </c>
      <c r="C12" s="6" t="s">
        <v>59</v>
      </c>
      <c r="D12" s="7" t="s">
        <v>60</v>
      </c>
      <c r="E12" s="8" t="s">
        <v>61</v>
      </c>
      <c r="F12" s="6" t="s">
        <v>62</v>
      </c>
      <c r="G12" s="9">
        <f>IF(A12=1,"_",IF(C12="_","???",C12))</f>
        <v/>
      </c>
      <c r="H12" s="10" t="s">
        <v>16</v>
      </c>
      <c r="I12" s="11" t="s">
        <v>16</v>
      </c>
      <c r="J12" s="12"/>
    </row>
    <row r="13" spans="1:10" ht="60" customHeight="1">
      <c r="A13" s="6" t="s">
        <v>63</v>
      </c>
      <c r="B13" s="6" t="s">
        <v>34</v>
      </c>
      <c r="C13" s="6" t="s">
        <v>19</v>
      </c>
      <c r="D13" s="7" t="s">
        <v>64</v>
      </c>
      <c r="E13" s="8" t="s">
        <v>65</v>
      </c>
      <c r="F13" s="6" t="s">
        <v>66</v>
      </c>
      <c r="G13" s="9">
        <f>IF(A13=1,"_",IF(C13="_","???",C13))</f>
        <v/>
      </c>
      <c r="H13" s="10" t="s">
        <v>16</v>
      </c>
      <c r="I13" s="11" t="s">
        <v>16</v>
      </c>
      <c r="J13" s="12"/>
    </row>
    <row r="14" spans="1:10" ht="60" customHeight="1">
      <c r="A14" s="6" t="s">
        <v>11</v>
      </c>
      <c r="B14" s="6" t="s">
        <v>17</v>
      </c>
      <c r="C14" s="6" t="s">
        <v>16</v>
      </c>
      <c r="D14" s="7" t="s">
        <v>67</v>
      </c>
      <c r="E14" s="8" t="s">
        <v>68</v>
      </c>
      <c r="F14" s="6" t="s">
        <v>69</v>
      </c>
      <c r="G14" s="9">
        <f>IF(A14=1,"_",IF(C14="_","???",C14))</f>
        <v/>
      </c>
      <c r="H14" s="10" t="s">
        <v>16</v>
      </c>
      <c r="I14" s="11" t="s">
        <v>16</v>
      </c>
      <c r="J14" s="12"/>
    </row>
    <row r="15" spans="1:10" ht="60" customHeight="1">
      <c r="A15" s="6" t="s">
        <v>70</v>
      </c>
      <c r="B15" s="6" t="s">
        <v>23</v>
      </c>
      <c r="C15" s="6" t="s">
        <v>29</v>
      </c>
      <c r="D15" s="7" t="s">
        <v>71</v>
      </c>
      <c r="E15" s="8" t="s">
        <v>72</v>
      </c>
      <c r="F15" s="6" t="s">
        <v>73</v>
      </c>
      <c r="G15" s="9">
        <f>IF(A15=1,"_",IF(C15="_","???",C15))</f>
        <v/>
      </c>
      <c r="H15" s="10" t="s">
        <v>16</v>
      </c>
      <c r="I15" s="11" t="s">
        <v>16</v>
      </c>
      <c r="J15" s="12"/>
    </row>
    <row r="16" spans="1:10" ht="60" customHeight="1">
      <c r="A16" s="6" t="s">
        <v>74</v>
      </c>
      <c r="B16" s="6" t="s">
        <v>38</v>
      </c>
      <c r="C16" s="6" t="s">
        <v>16</v>
      </c>
      <c r="D16" s="7" t="s">
        <v>75</v>
      </c>
      <c r="E16" s="8" t="s">
        <v>76</v>
      </c>
      <c r="F16" s="6" t="s">
        <v>77</v>
      </c>
      <c r="G16" s="9">
        <f>IF(A16=1,"_",IF(C16="_","???",C16))</f>
        <v/>
      </c>
      <c r="H16" s="10" t="s">
        <v>16</v>
      </c>
      <c r="I16" s="11" t="s">
        <v>16</v>
      </c>
      <c r="J16" s="12"/>
    </row>
    <row r="17" spans="1:10" ht="60" customHeight="1">
      <c r="A17" s="6" t="s">
        <v>78</v>
      </c>
      <c r="B17" s="6" t="s">
        <v>23</v>
      </c>
      <c r="C17" s="6" t="s">
        <v>16</v>
      </c>
      <c r="D17" s="7" t="s">
        <v>75</v>
      </c>
      <c r="E17" s="8" t="s">
        <v>79</v>
      </c>
      <c r="F17" s="6" t="s">
        <v>80</v>
      </c>
      <c r="G17" s="9">
        <f>IF(A17=1,"_",IF(C17="_","???",C17))</f>
        <v/>
      </c>
      <c r="H17" s="10" t="s">
        <v>16</v>
      </c>
      <c r="I17" s="11" t="s">
        <v>16</v>
      </c>
      <c r="J17" s="12"/>
    </row>
    <row r="18" spans="1:10" ht="60" customHeight="1">
      <c r="A18" s="6" t="s">
        <v>81</v>
      </c>
      <c r="B18" s="6" t="s">
        <v>23</v>
      </c>
      <c r="C18" s="6" t="s">
        <v>16</v>
      </c>
      <c r="D18" s="7" t="s">
        <v>82</v>
      </c>
      <c r="E18" s="8" t="s">
        <v>83</v>
      </c>
      <c r="F18" s="6" t="s">
        <v>84</v>
      </c>
      <c r="G18" s="9">
        <f>IF(A18=1,"_",IF(C18="_","???",C18))</f>
        <v/>
      </c>
      <c r="H18" s="10" t="s">
        <v>16</v>
      </c>
      <c r="I18" s="11" t="s">
        <v>16</v>
      </c>
      <c r="J18" s="12"/>
    </row>
    <row r="19" spans="1:10" ht="60" customHeight="1">
      <c r="A19" s="6" t="s">
        <v>46</v>
      </c>
      <c r="B19" s="6" t="s">
        <v>28</v>
      </c>
      <c r="C19" s="6" t="s">
        <v>19</v>
      </c>
      <c r="D19" s="7" t="s">
        <v>85</v>
      </c>
      <c r="E19" s="8" t="s">
        <v>86</v>
      </c>
      <c r="F19" s="6" t="s">
        <v>87</v>
      </c>
      <c r="G19" s="9">
        <f>IF(A19=1,"_",IF(C19="_","???",C19))</f>
        <v/>
      </c>
      <c r="H19" s="10" t="s">
        <v>16</v>
      </c>
      <c r="I19" s="11" t="s">
        <v>16</v>
      </c>
      <c r="J19" s="12"/>
    </row>
    <row r="20" spans="1:10" ht="60" customHeight="1">
      <c r="A20" s="6" t="s">
        <v>88</v>
      </c>
      <c r="B20" s="6" t="s">
        <v>17</v>
      </c>
      <c r="C20" s="6" t="s">
        <v>19</v>
      </c>
      <c r="D20" s="7" t="s">
        <v>89</v>
      </c>
      <c r="E20" s="8" t="s">
        <v>90</v>
      </c>
      <c r="F20" s="6" t="s">
        <v>91</v>
      </c>
      <c r="G20" s="9">
        <f>IF(A20=1,"_",IF(C20="_","???",C20))</f>
        <v/>
      </c>
      <c r="H20" s="10" t="s">
        <v>16</v>
      </c>
      <c r="I20" s="11" t="s">
        <v>16</v>
      </c>
      <c r="J20" s="12"/>
    </row>
    <row r="21" spans="1:10" ht="60" customHeight="1">
      <c r="A21" s="6" t="s">
        <v>92</v>
      </c>
      <c r="B21" s="6" t="s">
        <v>17</v>
      </c>
      <c r="C21" s="6" t="s">
        <v>16</v>
      </c>
      <c r="D21" s="7" t="s">
        <v>93</v>
      </c>
      <c r="E21" s="8" t="s">
        <v>94</v>
      </c>
      <c r="F21" s="6" t="s">
        <v>95</v>
      </c>
      <c r="G21" s="9">
        <f>IF(A21=1,"_",IF(C21="_","???",C21))</f>
        <v/>
      </c>
      <c r="H21" s="10" t="s">
        <v>16</v>
      </c>
      <c r="I21" s="11" t="s">
        <v>16</v>
      </c>
      <c r="J21" s="12"/>
    </row>
    <row r="22" spans="1:10" ht="60" customHeight="1">
      <c r="A22" s="6" t="s">
        <v>96</v>
      </c>
      <c r="B22" s="6" t="s">
        <v>33</v>
      </c>
      <c r="C22" s="6" t="s">
        <v>12</v>
      </c>
      <c r="D22" s="7" t="s">
        <v>97</v>
      </c>
      <c r="E22" s="8" t="s">
        <v>98</v>
      </c>
      <c r="F22" s="6" t="s">
        <v>99</v>
      </c>
      <c r="G22" s="9">
        <f>IF(A22=1,"_",IF(C22="_","???",C22))</f>
        <v/>
      </c>
      <c r="H22" s="10" t="s">
        <v>16</v>
      </c>
      <c r="I22" s="11" t="s">
        <v>16</v>
      </c>
      <c r="J22" s="12"/>
    </row>
    <row r="23" spans="1:10" ht="60" customHeight="1">
      <c r="A23" s="6" t="s">
        <v>100</v>
      </c>
      <c r="B23" s="6" t="s">
        <v>28</v>
      </c>
      <c r="C23" s="6" t="s">
        <v>29</v>
      </c>
      <c r="D23" s="7" t="s">
        <v>43</v>
      </c>
      <c r="E23" s="8" t="s">
        <v>101</v>
      </c>
      <c r="F23" s="6" t="s">
        <v>102</v>
      </c>
      <c r="G23" s="9">
        <f>IF(A23=1,"_",IF(C23="_","???",C23))</f>
        <v/>
      </c>
      <c r="H23" s="10" t="s">
        <v>16</v>
      </c>
      <c r="I23" s="11" t="s">
        <v>16</v>
      </c>
      <c r="J23" s="12"/>
    </row>
    <row r="24" spans="1:10" ht="60" customHeight="1">
      <c r="A24" s="6" t="s">
        <v>103</v>
      </c>
      <c r="B24" s="6" t="s">
        <v>23</v>
      </c>
      <c r="C24" s="6" t="s">
        <v>29</v>
      </c>
      <c r="D24" s="7" t="s">
        <v>35</v>
      </c>
      <c r="E24" s="8" t="s">
        <v>104</v>
      </c>
      <c r="F24" s="6" t="s">
        <v>105</v>
      </c>
      <c r="G24" s="9">
        <f>IF(A24=1,"_",IF(C24="_","???",C24))</f>
        <v/>
      </c>
      <c r="H24" s="10" t="s">
        <v>16</v>
      </c>
      <c r="I24" s="11" t="s">
        <v>16</v>
      </c>
      <c r="J24" s="12"/>
    </row>
    <row r="25" spans="1:10" ht="60" customHeight="1">
      <c r="A25" s="6" t="s">
        <v>106</v>
      </c>
      <c r="B25" s="6" t="s">
        <v>28</v>
      </c>
      <c r="C25" s="6" t="s">
        <v>29</v>
      </c>
      <c r="D25" s="7" t="s">
        <v>55</v>
      </c>
      <c r="E25" s="8" t="s">
        <v>107</v>
      </c>
      <c r="F25" s="6" t="s">
        <v>108</v>
      </c>
      <c r="G25" s="9">
        <f>IF(A25=1,"_",IF(C25="_","???",C25))</f>
        <v/>
      </c>
      <c r="H25" s="10" t="s">
        <v>16</v>
      </c>
      <c r="I25" s="11" t="s">
        <v>16</v>
      </c>
      <c r="J25" s="12"/>
    </row>
    <row r="26" spans="1:10" ht="60" customHeight="1">
      <c r="A26" s="6" t="s">
        <v>109</v>
      </c>
      <c r="B26" s="6" t="s">
        <v>23</v>
      </c>
      <c r="C26" s="6" t="s">
        <v>16</v>
      </c>
      <c r="D26" s="7" t="s">
        <v>60</v>
      </c>
      <c r="E26" s="8" t="s">
        <v>110</v>
      </c>
      <c r="F26" s="6" t="s">
        <v>111</v>
      </c>
      <c r="G26" s="9">
        <f>IF(A26=1,"_",IF(C26="_","???",C26))</f>
        <v/>
      </c>
      <c r="H26" s="10" t="s">
        <v>16</v>
      </c>
      <c r="I26" s="11" t="s">
        <v>16</v>
      </c>
      <c r="J26" s="12"/>
    </row>
    <row r="27" spans="1:10" ht="60" customHeight="1">
      <c r="A27" s="6" t="s">
        <v>112</v>
      </c>
      <c r="B27" s="6" t="s">
        <v>17</v>
      </c>
      <c r="C27" s="6" t="s">
        <v>29</v>
      </c>
      <c r="D27" s="7" t="s">
        <v>113</v>
      </c>
      <c r="E27" s="8" t="s">
        <v>114</v>
      </c>
      <c r="F27" s="6" t="s">
        <v>115</v>
      </c>
      <c r="G27" s="9">
        <f>IF(A27=1,"_",IF(C27="_","???",C27))</f>
        <v/>
      </c>
      <c r="H27" s="10" t="s">
        <v>16</v>
      </c>
      <c r="I27" s="11" t="s">
        <v>16</v>
      </c>
      <c r="J27" s="12"/>
    </row>
    <row r="28" spans="1:10" ht="60" customHeight="1">
      <c r="A28" s="6" t="s">
        <v>116</v>
      </c>
      <c r="B28" s="6" t="s">
        <v>23</v>
      </c>
      <c r="C28" s="6" t="s">
        <v>19</v>
      </c>
      <c r="D28" s="7" t="s">
        <v>117</v>
      </c>
      <c r="E28" s="8" t="s">
        <v>118</v>
      </c>
      <c r="F28" s="6" t="s">
        <v>119</v>
      </c>
      <c r="G28" s="9">
        <f>IF(A28=1,"_",IF(C28="_","???",C28))</f>
        <v/>
      </c>
      <c r="H28" s="10" t="s">
        <v>16</v>
      </c>
      <c r="I28" s="11" t="s">
        <v>16</v>
      </c>
      <c r="J28" s="12"/>
    </row>
    <row r="29" spans="1:10" ht="60" customHeight="1">
      <c r="A29" s="6" t="s">
        <v>120</v>
      </c>
      <c r="B29" s="6" t="s">
        <v>38</v>
      </c>
      <c r="C29" s="6" t="s">
        <v>29</v>
      </c>
      <c r="D29" s="7" t="s">
        <v>121</v>
      </c>
      <c r="E29" s="8" t="s">
        <v>122</v>
      </c>
      <c r="F29" s="6" t="s">
        <v>123</v>
      </c>
      <c r="G29" s="9">
        <f>IF(A29=1,"_",IF(C29="_","???",C29))</f>
        <v/>
      </c>
      <c r="H29" s="10" t="s">
        <v>16</v>
      </c>
      <c r="I29" s="11" t="s">
        <v>16</v>
      </c>
      <c r="J29" s="12"/>
    </row>
    <row r="30" spans="1:10" ht="60" customHeight="1">
      <c r="A30" s="6" t="s">
        <v>124</v>
      </c>
      <c r="B30" s="6" t="s">
        <v>28</v>
      </c>
      <c r="C30" s="6" t="s">
        <v>19</v>
      </c>
      <c r="D30" s="7" t="s">
        <v>125</v>
      </c>
      <c r="E30" s="8" t="s">
        <v>126</v>
      </c>
      <c r="F30" s="6" t="s">
        <v>127</v>
      </c>
      <c r="G30" s="9">
        <f>IF(A30=1,"_",IF(C30="_","???",C30))</f>
        <v/>
      </c>
      <c r="H30" s="10" t="s">
        <v>16</v>
      </c>
      <c r="I30" s="11" t="s">
        <v>16</v>
      </c>
      <c r="J30" s="12"/>
    </row>
    <row r="31" spans="1:10" ht="60" customHeight="1">
      <c r="A31" s="6" t="s">
        <v>128</v>
      </c>
      <c r="B31" s="6" t="s">
        <v>28</v>
      </c>
      <c r="C31" s="6" t="s">
        <v>16</v>
      </c>
      <c r="D31" s="7" t="s">
        <v>129</v>
      </c>
      <c r="E31" s="8" t="s">
        <v>130</v>
      </c>
      <c r="F31" s="6" t="s">
        <v>131</v>
      </c>
      <c r="G31" s="9">
        <f>IF(A31=1,"_",IF(C31="_","???",C31))</f>
        <v/>
      </c>
      <c r="H31" s="10" t="s">
        <v>16</v>
      </c>
      <c r="I31" s="11" t="s">
        <v>16</v>
      </c>
      <c r="J31" s="12"/>
    </row>
    <row r="32" spans="1:10" ht="60" customHeight="1">
      <c r="A32" s="6" t="s">
        <v>132</v>
      </c>
      <c r="B32" s="6" t="s">
        <v>54</v>
      </c>
      <c r="C32" s="6" t="s">
        <v>133</v>
      </c>
      <c r="D32" s="7" t="s">
        <v>60</v>
      </c>
      <c r="E32" s="8" t="s">
        <v>134</v>
      </c>
      <c r="F32" s="6" t="s">
        <v>135</v>
      </c>
      <c r="G32" s="9">
        <f>IF(A32=1,"_",IF(C32="_","???",C32))</f>
        <v/>
      </c>
      <c r="H32" s="10" t="s">
        <v>16</v>
      </c>
      <c r="I32" s="11" t="s">
        <v>16</v>
      </c>
      <c r="J32" s="12"/>
    </row>
    <row r="33" spans="1:10" ht="60" customHeight="1">
      <c r="A33" s="6" t="s">
        <v>136</v>
      </c>
      <c r="B33" s="6" t="s">
        <v>33</v>
      </c>
      <c r="C33" s="6" t="s">
        <v>16</v>
      </c>
      <c r="D33" s="7" t="s">
        <v>55</v>
      </c>
      <c r="E33" s="8" t="s">
        <v>137</v>
      </c>
      <c r="F33" s="6" t="s">
        <v>138</v>
      </c>
      <c r="G33" s="9">
        <f>IF(A33=1,"_",IF(C33="_","???",C33))</f>
        <v/>
      </c>
      <c r="H33" s="10" t="s">
        <v>16</v>
      </c>
      <c r="I33" s="11" t="s">
        <v>16</v>
      </c>
      <c r="J33" s="12"/>
    </row>
    <row r="34" spans="1:10" ht="60" customHeight="1">
      <c r="A34" s="6" t="s">
        <v>139</v>
      </c>
      <c r="B34" s="6" t="s">
        <v>23</v>
      </c>
      <c r="C34" s="6" t="s">
        <v>29</v>
      </c>
      <c r="D34" s="7" t="s">
        <v>71</v>
      </c>
      <c r="E34" s="8" t="s">
        <v>140</v>
      </c>
      <c r="F34" s="6" t="s">
        <v>141</v>
      </c>
      <c r="G34" s="9">
        <f>IF(A34=1,"_",IF(C34="_","???",C34))</f>
        <v/>
      </c>
      <c r="H34" s="10" t="s">
        <v>16</v>
      </c>
      <c r="I34" s="11" t="s">
        <v>16</v>
      </c>
      <c r="J34" s="12"/>
    </row>
    <row r="35" spans="1:10" ht="60" customHeight="1">
      <c r="A35" s="6" t="s">
        <v>142</v>
      </c>
      <c r="B35" s="6" t="s">
        <v>54</v>
      </c>
      <c r="C35" s="6" t="s">
        <v>16</v>
      </c>
      <c r="D35" s="7" t="s">
        <v>35</v>
      </c>
      <c r="E35" s="8" t="s">
        <v>143</v>
      </c>
      <c r="F35" s="6" t="s">
        <v>144</v>
      </c>
      <c r="G35" s="9">
        <f>IF(A35=1,"_",IF(C35="_","???",C35))</f>
        <v/>
      </c>
      <c r="H35" s="10" t="s">
        <v>16</v>
      </c>
      <c r="I35" s="11" t="s">
        <v>16</v>
      </c>
      <c r="J35" s="12"/>
    </row>
    <row r="36" spans="1:10" ht="60" customHeight="1">
      <c r="A36" s="6" t="s">
        <v>145</v>
      </c>
      <c r="B36" s="6" t="s">
        <v>23</v>
      </c>
      <c r="C36" s="6" t="s">
        <v>39</v>
      </c>
      <c r="D36" s="7" t="s">
        <v>146</v>
      </c>
      <c r="E36" s="8" t="s">
        <v>147</v>
      </c>
      <c r="F36" s="6" t="s">
        <v>148</v>
      </c>
      <c r="G36" s="9">
        <f>IF(A36=1,"_",IF(C36="_","???",C36))</f>
        <v/>
      </c>
      <c r="H36" s="10" t="s">
        <v>16</v>
      </c>
      <c r="I36" s="11" t="s">
        <v>16</v>
      </c>
      <c r="J36" s="12"/>
    </row>
    <row r="37" spans="1:10" ht="60" customHeight="1">
      <c r="A37" s="6" t="s">
        <v>149</v>
      </c>
      <c r="B37" s="6" t="s">
        <v>17</v>
      </c>
      <c r="C37" s="6" t="s">
        <v>16</v>
      </c>
      <c r="D37" s="7" t="s">
        <v>150</v>
      </c>
      <c r="E37" s="8" t="s">
        <v>151</v>
      </c>
      <c r="F37" s="6" t="s">
        <v>152</v>
      </c>
      <c r="G37" s="9">
        <f>IF(A37=1,"_",IF(C37="_","???",C37))</f>
        <v/>
      </c>
      <c r="H37" s="10" t="s">
        <v>16</v>
      </c>
      <c r="I37" s="11" t="s">
        <v>16</v>
      </c>
      <c r="J37" s="12"/>
    </row>
    <row r="38" spans="1:10" ht="60" customHeight="1">
      <c r="A38" s="6" t="s">
        <v>153</v>
      </c>
      <c r="B38" s="6" t="s">
        <v>63</v>
      </c>
      <c r="C38" s="6" t="s">
        <v>42</v>
      </c>
      <c r="D38" s="7" t="s">
        <v>75</v>
      </c>
      <c r="E38" s="8" t="s">
        <v>154</v>
      </c>
      <c r="F38" s="6" t="s">
        <v>155</v>
      </c>
      <c r="G38" s="9">
        <f>IF(A38=1,"_",IF(C38="_","???",C38))</f>
        <v/>
      </c>
      <c r="H38" s="10" t="s">
        <v>16</v>
      </c>
      <c r="I38" s="11" t="s">
        <v>16</v>
      </c>
      <c r="J38" s="12"/>
    </row>
    <row r="39" spans="1:10" ht="60" customHeight="1">
      <c r="A39" s="6" t="s">
        <v>156</v>
      </c>
      <c r="B39" s="6" t="s">
        <v>18</v>
      </c>
      <c r="C39" s="6" t="s">
        <v>29</v>
      </c>
      <c r="D39" s="7" t="s">
        <v>35</v>
      </c>
      <c r="E39" s="8" t="s">
        <v>157</v>
      </c>
      <c r="F39" s="6" t="s">
        <v>158</v>
      </c>
      <c r="G39" s="9">
        <f>IF(A39=1,"_",IF(C39="_","???",C39))</f>
        <v/>
      </c>
      <c r="H39" s="10" t="s">
        <v>16</v>
      </c>
      <c r="I39" s="11" t="s">
        <v>16</v>
      </c>
      <c r="J39" s="12"/>
    </row>
    <row r="40" spans="1:10" ht="60" customHeight="1">
      <c r="A40" s="6" t="s">
        <v>159</v>
      </c>
      <c r="B40" s="6" t="s">
        <v>38</v>
      </c>
      <c r="C40" s="6" t="s">
        <v>160</v>
      </c>
      <c r="D40" s="7" t="s">
        <v>161</v>
      </c>
      <c r="E40" s="8" t="s">
        <v>162</v>
      </c>
      <c r="F40" s="6" t="s">
        <v>163</v>
      </c>
      <c r="G40" s="9">
        <f>IF(A40=1,"_",IF(C40="_","???",C40))</f>
        <v/>
      </c>
      <c r="H40" s="10" t="s">
        <v>16</v>
      </c>
      <c r="I40" s="11" t="s">
        <v>16</v>
      </c>
      <c r="J40" s="12"/>
    </row>
    <row r="41" spans="1:10" ht="60" customHeight="1">
      <c r="A41" s="6" t="s">
        <v>164</v>
      </c>
      <c r="B41" s="6" t="s">
        <v>10</v>
      </c>
      <c r="C41" s="6" t="s">
        <v>19</v>
      </c>
      <c r="D41" s="7" t="s">
        <v>165</v>
      </c>
      <c r="E41" s="8" t="s">
        <v>166</v>
      </c>
      <c r="F41" s="6" t="s">
        <v>167</v>
      </c>
      <c r="G41" s="9">
        <f>IF(A41=1,"_",IF(C41="_","???",C41))</f>
        <v/>
      </c>
      <c r="H41" s="10" t="s">
        <v>16</v>
      </c>
      <c r="I41" s="11" t="s">
        <v>16</v>
      </c>
      <c r="J41" s="12"/>
    </row>
    <row r="42" spans="1:10" ht="60" customHeight="1">
      <c r="A42" s="6" t="s">
        <v>168</v>
      </c>
      <c r="B42" s="6" t="s">
        <v>23</v>
      </c>
      <c r="C42" s="6" t="s">
        <v>19</v>
      </c>
      <c r="D42" s="7" t="s">
        <v>35</v>
      </c>
      <c r="E42" s="8" t="s">
        <v>169</v>
      </c>
      <c r="F42" s="6" t="s">
        <v>170</v>
      </c>
      <c r="G42" s="9">
        <f>IF(A42=1,"_",IF(C42="_","???",C42))</f>
        <v/>
      </c>
      <c r="H42" s="10" t="s">
        <v>16</v>
      </c>
      <c r="I42" s="11" t="s">
        <v>16</v>
      </c>
      <c r="J42" s="12"/>
    </row>
    <row r="43" spans="1:10" ht="60" customHeight="1">
      <c r="A43" s="6" t="s">
        <v>171</v>
      </c>
      <c r="B43" s="6" t="s">
        <v>38</v>
      </c>
      <c r="C43" s="6" t="s">
        <v>29</v>
      </c>
      <c r="D43" s="7" t="s">
        <v>172</v>
      </c>
      <c r="E43" s="8" t="s">
        <v>173</v>
      </c>
      <c r="F43" s="6" t="s">
        <v>174</v>
      </c>
      <c r="G43" s="9">
        <f>IF(A43=1,"_",IF(C43="_","???",C43))</f>
        <v/>
      </c>
      <c r="H43" s="10" t="s">
        <v>16</v>
      </c>
      <c r="I43" s="11" t="s">
        <v>16</v>
      </c>
      <c r="J43" s="12"/>
    </row>
    <row r="44" spans="1:10" ht="60" customHeight="1">
      <c r="A44" s="6" t="s">
        <v>175</v>
      </c>
      <c r="B44" s="6" t="s">
        <v>28</v>
      </c>
      <c r="C44" s="6" t="s">
        <v>16</v>
      </c>
      <c r="D44" s="7" t="s">
        <v>129</v>
      </c>
      <c r="E44" s="8" t="s">
        <v>176</v>
      </c>
      <c r="F44" s="6" t="s">
        <v>177</v>
      </c>
      <c r="G44" s="9">
        <f>IF(A44=1,"_",IF(C44="_","???",C44))</f>
        <v/>
      </c>
      <c r="H44" s="10" t="s">
        <v>16</v>
      </c>
      <c r="I44" s="11" t="s">
        <v>16</v>
      </c>
      <c r="J44" s="12"/>
    </row>
    <row r="45" spans="1:10" ht="60" customHeight="1">
      <c r="A45" s="6" t="s">
        <v>178</v>
      </c>
      <c r="B45" s="6" t="s">
        <v>54</v>
      </c>
      <c r="C45" s="6" t="s">
        <v>29</v>
      </c>
      <c r="D45" s="7" t="s">
        <v>117</v>
      </c>
      <c r="E45" s="8" t="s">
        <v>179</v>
      </c>
      <c r="F45" s="6" t="s">
        <v>180</v>
      </c>
      <c r="G45" s="9">
        <f>IF(A45=1,"_",IF(C45="_","???",C45))</f>
        <v/>
      </c>
      <c r="H45" s="10" t="s">
        <v>16</v>
      </c>
      <c r="I45" s="11" t="s">
        <v>16</v>
      </c>
      <c r="J45" s="12"/>
    </row>
    <row r="46" spans="1:10" ht="60" customHeight="1">
      <c r="A46" s="6" t="s">
        <v>181</v>
      </c>
      <c r="B46" s="6" t="s">
        <v>28</v>
      </c>
      <c r="C46" s="6" t="s">
        <v>19</v>
      </c>
      <c r="D46" s="7" t="s">
        <v>43</v>
      </c>
      <c r="E46" s="8" t="s">
        <v>182</v>
      </c>
      <c r="F46" s="6" t="s">
        <v>183</v>
      </c>
      <c r="G46" s="9">
        <f>IF(A46=1,"_",IF(C46="_","???",C46))</f>
        <v/>
      </c>
      <c r="H46" s="10" t="s">
        <v>16</v>
      </c>
      <c r="I46" s="11" t="s">
        <v>16</v>
      </c>
      <c r="J46" s="12"/>
    </row>
    <row r="47" spans="1:10" ht="60" customHeight="1">
      <c r="A47" s="6" t="s">
        <v>184</v>
      </c>
      <c r="B47" s="6" t="s">
        <v>24</v>
      </c>
      <c r="C47" s="6" t="s">
        <v>39</v>
      </c>
      <c r="D47" s="7" t="s">
        <v>13</v>
      </c>
      <c r="E47" s="8" t="s">
        <v>185</v>
      </c>
      <c r="F47" s="6" t="s">
        <v>186</v>
      </c>
      <c r="G47" s="9">
        <f>IF(A47=1,"_",IF(C47="_","???",C47))</f>
        <v/>
      </c>
      <c r="H47" s="10" t="s">
        <v>16</v>
      </c>
      <c r="I47" s="11" t="s">
        <v>16</v>
      </c>
      <c r="J47" s="12"/>
    </row>
    <row r="48" spans="1:10" ht="60" customHeight="1">
      <c r="A48" s="6" t="s">
        <v>187</v>
      </c>
      <c r="B48" s="6" t="s">
        <v>28</v>
      </c>
      <c r="C48" s="6" t="s">
        <v>19</v>
      </c>
      <c r="D48" s="7" t="s">
        <v>75</v>
      </c>
      <c r="E48" s="8" t="s">
        <v>188</v>
      </c>
      <c r="F48" s="6" t="s">
        <v>189</v>
      </c>
      <c r="G48" s="9">
        <f>IF(A48=1,"_",IF(C48="_","???",C48))</f>
        <v/>
      </c>
      <c r="H48" s="10" t="s">
        <v>16</v>
      </c>
      <c r="I48" s="11" t="s">
        <v>16</v>
      </c>
      <c r="J48" s="12"/>
    </row>
    <row r="49" spans="1:10" ht="60" customHeight="1">
      <c r="A49" s="6" t="s">
        <v>190</v>
      </c>
      <c r="B49" s="6" t="s">
        <v>10</v>
      </c>
      <c r="C49" s="6" t="s">
        <v>16</v>
      </c>
      <c r="D49" s="7" t="s">
        <v>191</v>
      </c>
      <c r="E49" s="8" t="s">
        <v>192</v>
      </c>
      <c r="F49" s="6" t="s">
        <v>193</v>
      </c>
      <c r="G49" s="9">
        <f>IF(A49=1,"_",IF(C49="_","???",C49))</f>
        <v/>
      </c>
      <c r="H49" s="10" t="s">
        <v>16</v>
      </c>
      <c r="I49" s="11" t="s">
        <v>16</v>
      </c>
      <c r="J49" s="12"/>
    </row>
    <row r="50" spans="1:10" ht="60" customHeight="1">
      <c r="A50" s="6" t="s">
        <v>194</v>
      </c>
      <c r="B50" s="6" t="s">
        <v>38</v>
      </c>
      <c r="C50" s="6" t="s">
        <v>29</v>
      </c>
      <c r="D50" s="7" t="s">
        <v>195</v>
      </c>
      <c r="E50" s="8" t="s">
        <v>196</v>
      </c>
      <c r="F50" s="6" t="s">
        <v>197</v>
      </c>
      <c r="G50" s="9">
        <f>IF(A50=1,"_",IF(C50="_","???",C50))</f>
        <v/>
      </c>
      <c r="H50" s="10" t="s">
        <v>16</v>
      </c>
      <c r="I50" s="11" t="s">
        <v>16</v>
      </c>
      <c r="J50" s="12"/>
    </row>
    <row r="51" spans="1:10" ht="60" customHeight="1">
      <c r="A51" s="6" t="s">
        <v>198</v>
      </c>
      <c r="B51" s="6" t="s">
        <v>78</v>
      </c>
      <c r="C51" s="6" t="s">
        <v>50</v>
      </c>
      <c r="D51" s="7" t="s">
        <v>199</v>
      </c>
      <c r="E51" s="8" t="s">
        <v>200</v>
      </c>
      <c r="F51" s="6" t="s">
        <v>201</v>
      </c>
      <c r="G51" s="9">
        <f>IF(A51=1,"_",IF(C51="_","???",C51))</f>
        <v/>
      </c>
      <c r="H51" s="10" t="s">
        <v>16</v>
      </c>
      <c r="I51" s="11" t="s">
        <v>16</v>
      </c>
      <c r="J51" s="12"/>
    </row>
    <row r="52" spans="1:10" ht="60" customHeight="1">
      <c r="A52" s="6" t="s">
        <v>202</v>
      </c>
      <c r="B52" s="6" t="s">
        <v>34</v>
      </c>
      <c r="C52" s="6" t="s">
        <v>29</v>
      </c>
      <c r="D52" s="7" t="s">
        <v>75</v>
      </c>
      <c r="E52" s="8" t="s">
        <v>203</v>
      </c>
      <c r="F52" s="6" t="s">
        <v>204</v>
      </c>
      <c r="G52" s="9">
        <f>IF(A52=1,"_",IF(C52="_","???",C52))</f>
        <v/>
      </c>
      <c r="H52" s="10" t="s">
        <v>16</v>
      </c>
      <c r="I52" s="11" t="s">
        <v>16</v>
      </c>
      <c r="J52" s="12"/>
    </row>
    <row r="53" spans="1:10" ht="60" customHeight="1">
      <c r="A53" s="6" t="s">
        <v>205</v>
      </c>
      <c r="B53" s="6" t="s">
        <v>17</v>
      </c>
      <c r="C53" s="6" t="s">
        <v>29</v>
      </c>
      <c r="D53" s="7" t="s">
        <v>206</v>
      </c>
      <c r="E53" s="8" t="s">
        <v>207</v>
      </c>
      <c r="F53" s="6" t="s">
        <v>208</v>
      </c>
      <c r="G53" s="9">
        <f>IF(A53=1,"_",IF(C53="_","???",C53))</f>
        <v/>
      </c>
      <c r="H53" s="10" t="s">
        <v>16</v>
      </c>
      <c r="I53" s="11" t="s">
        <v>16</v>
      </c>
      <c r="J53" s="12"/>
    </row>
    <row r="54" spans="1:10" ht="60" customHeight="1">
      <c r="A54" s="6" t="s">
        <v>209</v>
      </c>
      <c r="B54" s="6" t="s">
        <v>54</v>
      </c>
      <c r="C54" s="6" t="s">
        <v>19</v>
      </c>
      <c r="D54" s="7" t="s">
        <v>210</v>
      </c>
      <c r="E54" s="8" t="s">
        <v>211</v>
      </c>
      <c r="F54" s="6" t="s">
        <v>212</v>
      </c>
      <c r="G54" s="9">
        <f>IF(A54=1,"_",IF(C54="_","???",C54))</f>
        <v/>
      </c>
      <c r="H54" s="10" t="s">
        <v>16</v>
      </c>
      <c r="I54" s="11" t="s">
        <v>16</v>
      </c>
      <c r="J54" s="12"/>
    </row>
    <row r="55" spans="1:10" ht="60" customHeight="1">
      <c r="A55" s="6" t="s">
        <v>213</v>
      </c>
      <c r="B55" s="6" t="s">
        <v>17</v>
      </c>
      <c r="C55" s="6" t="s">
        <v>16</v>
      </c>
      <c r="D55" s="7" t="s">
        <v>214</v>
      </c>
      <c r="E55" s="8" t="s">
        <v>215</v>
      </c>
      <c r="F55" s="6" t="s">
        <v>216</v>
      </c>
      <c r="G55" s="9">
        <f>IF(A55=1,"_",IF(C55="_","???",C55))</f>
        <v/>
      </c>
      <c r="H55" s="10" t="s">
        <v>16</v>
      </c>
      <c r="I55" s="11" t="s">
        <v>16</v>
      </c>
      <c r="J55" s="12"/>
    </row>
    <row r="56" spans="1:10" ht="60" customHeight="1">
      <c r="A56" s="6" t="s">
        <v>217</v>
      </c>
      <c r="B56" s="6" t="s">
        <v>17</v>
      </c>
      <c r="C56" s="6" t="s">
        <v>16</v>
      </c>
      <c r="D56" s="7" t="s">
        <v>214</v>
      </c>
      <c r="E56" s="8" t="s">
        <v>218</v>
      </c>
      <c r="F56" s="6" t="s">
        <v>219</v>
      </c>
      <c r="G56" s="9">
        <f>IF(A56=1,"_",IF(C56="_","???",C56))</f>
        <v/>
      </c>
      <c r="H56" s="10" t="s">
        <v>16</v>
      </c>
      <c r="I56" s="11" t="s">
        <v>16</v>
      </c>
      <c r="J56" s="12"/>
    </row>
    <row r="57" spans="1:10" ht="60" customHeight="1">
      <c r="A57" s="6" t="s">
        <v>220</v>
      </c>
      <c r="B57" s="6" t="s">
        <v>10</v>
      </c>
      <c r="C57" s="6" t="s">
        <v>221</v>
      </c>
      <c r="D57" s="7" t="s">
        <v>222</v>
      </c>
      <c r="E57" s="8" t="s">
        <v>223</v>
      </c>
      <c r="F57" s="6" t="s">
        <v>224</v>
      </c>
      <c r="G57" s="9">
        <f>IF(A57=1,"_",IF(C57="_","???",C57))</f>
        <v/>
      </c>
      <c r="H57" s="10" t="s">
        <v>16</v>
      </c>
      <c r="I57" s="11" t="s">
        <v>16</v>
      </c>
      <c r="J57" s="12"/>
    </row>
    <row r="58" spans="1:10" ht="60" customHeight="1">
      <c r="A58" s="6" t="s">
        <v>225</v>
      </c>
      <c r="B58" s="6" t="s">
        <v>46</v>
      </c>
      <c r="C58" s="6" t="s">
        <v>12</v>
      </c>
      <c r="D58" s="7" t="s">
        <v>226</v>
      </c>
      <c r="E58" s="8" t="s">
        <v>227</v>
      </c>
      <c r="F58" s="6" t="s">
        <v>228</v>
      </c>
      <c r="G58" s="9">
        <f>IF(A58=1,"_",IF(C58="_","???",C58))</f>
        <v/>
      </c>
      <c r="H58" s="10" t="s">
        <v>16</v>
      </c>
      <c r="I58" s="11" t="s">
        <v>16</v>
      </c>
      <c r="J58" s="12"/>
    </row>
    <row r="59" spans="1:10" ht="60" customHeight="1">
      <c r="A59" s="6" t="s">
        <v>229</v>
      </c>
      <c r="B59" s="6" t="s">
        <v>63</v>
      </c>
      <c r="C59" s="6" t="s">
        <v>230</v>
      </c>
      <c r="D59" s="7" t="s">
        <v>231</v>
      </c>
      <c r="E59" s="8" t="s">
        <v>232</v>
      </c>
      <c r="F59" s="6" t="s">
        <v>233</v>
      </c>
      <c r="G59" s="9">
        <f>IF(A59=1,"_",IF(C59="_","???",C59))</f>
        <v/>
      </c>
      <c r="H59" s="10" t="s">
        <v>16</v>
      </c>
      <c r="I59" s="11" t="s">
        <v>16</v>
      </c>
      <c r="J59" s="12"/>
    </row>
    <row r="60" spans="1:10" ht="60" customHeight="1">
      <c r="A60" s="6" t="s">
        <v>234</v>
      </c>
      <c r="B60" s="6" t="s">
        <v>63</v>
      </c>
      <c r="C60" s="6" t="s">
        <v>42</v>
      </c>
      <c r="D60" s="7" t="s">
        <v>235</v>
      </c>
      <c r="E60" s="8" t="s">
        <v>236</v>
      </c>
      <c r="F60" s="6" t="s">
        <v>237</v>
      </c>
      <c r="G60" s="9">
        <f>IF(A60=1,"_",IF(C60="_","???",C60))</f>
        <v/>
      </c>
      <c r="H60" s="10" t="s">
        <v>16</v>
      </c>
      <c r="I60" s="11" t="s">
        <v>16</v>
      </c>
      <c r="J60" s="12"/>
    </row>
    <row r="61" spans="1:10" ht="60" customHeight="1">
      <c r="A61" s="6" t="s">
        <v>238</v>
      </c>
      <c r="B61" s="6" t="s">
        <v>38</v>
      </c>
      <c r="C61" s="6" t="s">
        <v>221</v>
      </c>
      <c r="D61" s="7" t="s">
        <v>239</v>
      </c>
      <c r="E61" s="8" t="s">
        <v>240</v>
      </c>
      <c r="F61" s="6" t="s">
        <v>241</v>
      </c>
      <c r="G61" s="9">
        <f>IF(A61=1,"_",IF(C61="_","???",C61))</f>
        <v/>
      </c>
      <c r="H61" s="10" t="s">
        <v>16</v>
      </c>
      <c r="I61" s="11" t="s">
        <v>16</v>
      </c>
      <c r="J61"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1411"/>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242</v>
      </c>
      <c r="B1" s="13" t="s">
        <v>243</v>
      </c>
      <c r="C1" s="13" t="s">
        <v>244</v>
      </c>
      <c r="D1" s="13" t="s">
        <v>245</v>
      </c>
      <c r="E1" s="14" t="s">
        <v>246</v>
      </c>
      <c r="F1" s="15" t="s">
        <v>247</v>
      </c>
      <c r="G1" s="16" t="s">
        <v>248</v>
      </c>
      <c r="H1" s="17" t="s">
        <v>249</v>
      </c>
      <c r="I1" s="18" t="s">
        <v>250</v>
      </c>
      <c r="J1" s="18" t="s">
        <v>251</v>
      </c>
      <c r="K1" s="18" t="s">
        <v>252</v>
      </c>
      <c r="L1" s="19" t="s">
        <v>9</v>
      </c>
    </row>
    <row r="2" spans="1:12">
      <c r="A2" s="20" t="s">
        <v>253</v>
      </c>
    </row>
    <row r="3" spans="1:12">
      <c r="A3" s="20" t="s">
        <v>254</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255</v>
      </c>
      <c r="B4" s="27" t="s">
        <v>256</v>
      </c>
      <c r="C4" s="27" t="s">
        <v>257</v>
      </c>
      <c r="D4" s="27" t="s">
        <v>258</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259</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260</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261</v>
      </c>
      <c r="B7" s="27" t="s">
        <v>262</v>
      </c>
      <c r="C7" s="27" t="s">
        <v>257</v>
      </c>
      <c r="D7" s="27" t="s">
        <v>258</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263</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264</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265</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266</v>
      </c>
      <c r="B11" s="27" t="s">
        <v>267</v>
      </c>
      <c r="C11" s="27" t="s">
        <v>268</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269</v>
      </c>
      <c r="B12" s="27" t="s">
        <v>267</v>
      </c>
      <c r="C12" s="27" t="s">
        <v>270</v>
      </c>
      <c r="E12" s="21">
        <f>IF(D12="?OLD","!!!","")</f>
        <v/>
      </c>
      <c r="F12" s="22" t="str">
        <f>IF(OR(E12="",E12="!!!"),"",IF(NOT(ISNA(VLOOKUP(E12,E$1:E11,1,FALSE()))),"OLD",IF(AND(E12&lt;&gt;"",E12&lt;&gt;"!!!"),"NEW","")))</f>
        <v> </v>
      </c>
      <c r="G12" s="23" t="str">
        <f>IF(OR(E12="",E12="!!!"),"",IF(OR(J12=0,AND(J12=1,K12=1),AND(J12=1,I12="SBJ"),AND(J12=1,I12=0)),"?IN_FOCUS",IF(J12&lt;=2,"?ACTIVATED",IF(J12&lt;&gt;"","?FAMILIAR",IF(F12="NEW",IF(ISNA(VLOOKUP(E12,#REF!,1,FALSE())),"?TYPE_IDENTIFIABLE","?REFERENTIAL"),"_")))))</f>
        <v> </v>
      </c>
      <c r="H12" s="24" t="str">
        <f>IF(J12&lt;&gt;1,"",IF(I12="SBJ","CB","?"))</f>
        <v> </v>
      </c>
      <c r="I12" s="25" t="str">
        <f>IF(OR(E12="",E12="!!!",F12="NEW"),"",INDEX(B11:B$2,-1+SUMPRODUCT(MAX(ROW(E11:E$2)*(E12=E11:E$2)))))</f>
        <v> </v>
      </c>
      <c r="J12" s="25" t="str">
        <f>IF(OR(E12="",E12="!!!",F12="NEW"),"",COUNTBLANK(OFFSET(A$1,,,SUMPRODUCT(MAX(ROW(E$2:E12)*(E12=E$2:E12)))))-COUNTBLANK(OFFSET(A$1,,,SUMPRODUCT(MAX(ROW(E$1:E11)*(E2=E$1:E11))))))</f>
        <v> </v>
      </c>
      <c r="K12" s="25" t="str">
        <f>IF(OR(E12="",E12="!!!",F12="NEW"),"",INDEX(J$1:J11,SUMPRODUCT(MAX(ROW(E$1:E11)*(E12=E$1:E11)))))</f>
        <v> </v>
      </c>
      <c r="L12" s="26"/>
    </row>
    <row r="13" spans="1:12">
      <c r="A13" s="20" t="s">
        <v>271</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t="s">
        <v>272</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t="s">
        <v>235</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273</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274</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275</v>
      </c>
      <c r="B18" s="27" t="s">
        <v>276</v>
      </c>
      <c r="C18" s="27" t="s">
        <v>277</v>
      </c>
      <c r="D18" s="27" t="s">
        <v>258</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278</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274</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t="s">
        <v>279</v>
      </c>
      <c r="B21" s="27" t="s">
        <v>267</v>
      </c>
      <c r="C21" s="27" t="s">
        <v>277</v>
      </c>
      <c r="D21" s="27" t="s">
        <v>258</v>
      </c>
      <c r="E21" s="21">
        <f>IF(D21="?OLD","!!!","")</f>
        <v/>
      </c>
      <c r="F21" s="22" t="str">
        <f>IF(OR(E21="",E21="!!!"),"",IF(NOT(ISNA(VLOOKUP(E21,E$1:E20,1,FALSE()))),"OLD",IF(AND(E21&lt;&gt;"",E21&lt;&gt;"!!!"),"NEW","")))</f>
        <v> </v>
      </c>
      <c r="G21" s="23" t="str">
        <f>IF(OR(E21="",E21="!!!"),"",IF(OR(J21=0,AND(J21=1,K21=1),AND(J21=1,I21="SBJ"),AND(J21=1,I21=0)),"?IN_FOCUS",IF(J21&lt;=2,"?ACTIVATED",IF(J21&lt;&gt;"","?FAMILIAR",IF(F21="NEW",IF(ISNA(VLOOKUP(E21,#REF!,1,FALSE())),"?TYPE_IDENTIFIABLE","?REFERENTIAL"),"_")))))</f>
        <v> </v>
      </c>
      <c r="H21" s="24" t="str">
        <f>IF(J21&lt;&gt;1,"",IF(I21="SBJ","CB","?"))</f>
        <v> </v>
      </c>
      <c r="I21" s="25" t="str">
        <f>IF(OR(E21="",E21="!!!",F21="NEW"),"",INDEX(B20:B$2,-1+SUMPRODUCT(MAX(ROW(E20:E$2)*(E21=E20:E$2)))))</f>
        <v> </v>
      </c>
      <c r="J21" s="25" t="str">
        <f>IF(OR(E21="",E21="!!!",F21="NEW"),"",COUNTBLANK(OFFSET(A$1,,,SUMPRODUCT(MAX(ROW(E$2:E21)*(E21=E$2:E21)))))-COUNTBLANK(OFFSET(A$1,,,SUMPRODUCT(MAX(ROW(E$1:E20)*(E2=E$1:E20))))))</f>
        <v> </v>
      </c>
      <c r="K21" s="25" t="str">
        <f>IF(OR(E21="",E21="!!!",F21="NEW"),"",INDEX(J$1:J20,SUMPRODUCT(MAX(ROW(E$1:E20)*(E21=E$1:E20)))))</f>
        <v> </v>
      </c>
      <c r="L21" s="26"/>
    </row>
    <row r="22" spans="1:12">
      <c r="A22" s="20" t="s">
        <v>280</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281</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t="s">
        <v>282</v>
      </c>
      <c r="B24" s="27" t="s">
        <v>283</v>
      </c>
      <c r="C24" s="27" t="s">
        <v>284</v>
      </c>
      <c r="D24" s="27" t="s">
        <v>258</v>
      </c>
      <c r="E24" s="21">
        <f>IF(D24="?OLD","!!!","")</f>
        <v/>
      </c>
      <c r="F24" s="22" t="str">
        <f>IF(OR(E24="",E24="!!!"),"",IF(NOT(ISNA(VLOOKUP(E24,E$1:E23,1,FALSE()))),"OLD",IF(AND(E24&lt;&gt;"",E24&lt;&gt;"!!!"),"NEW","")))</f>
        <v> </v>
      </c>
      <c r="G24" s="23" t="str">
        <f>IF(OR(E24="",E24="!!!"),"",IF(OR(J24=0,AND(J24=1,K24=1),AND(J24=1,I24="SBJ"),AND(J24=1,I24=0)),"?IN_FOCUS",IF(J24&lt;=2,"?ACTIVATED",IF(J24&lt;&gt;"","?FAMILIAR",IF(F24="NEW",IF(ISNA(VLOOKUP(E24,#REF!,1,FALSE())),"?TYPE_IDENTIFIABLE","?REFERENTIAL"),"_")))))</f>
        <v> </v>
      </c>
      <c r="H24" s="24" t="str">
        <f>IF(J24&lt;&gt;1,"",IF(I24="SBJ","CB","?"))</f>
        <v> </v>
      </c>
      <c r="I24" s="25" t="str">
        <f>IF(OR(E24="",E24="!!!",F24="NEW"),"",INDEX(B23:B$2,-1+SUMPRODUCT(MAX(ROW(E23:E$2)*(E24=E23:E$2)))))</f>
        <v> </v>
      </c>
      <c r="J24" s="25" t="str">
        <f>IF(OR(E24="",E24="!!!",F24="NEW"),"",COUNTBLANK(OFFSET(A$1,,,SUMPRODUCT(MAX(ROW(E$2:E24)*(E24=E$2:E24)))))-COUNTBLANK(OFFSET(A$1,,,SUMPRODUCT(MAX(ROW(E$1:E23)*(E2=E$1:E23))))))</f>
        <v> </v>
      </c>
      <c r="K24" s="25" t="str">
        <f>IF(OR(E24="",E24="!!!",F24="NEW"),"",INDEX(J$1:J23,SUMPRODUCT(MAX(ROW(E$1:E23)*(E24=E$1:E23)))))</f>
        <v> </v>
      </c>
      <c r="L24" s="26"/>
    </row>
    <row r="25" spans="1:12">
      <c r="A25" s="20" t="s">
        <v>285</v>
      </c>
      <c r="B25" s="27" t="s">
        <v>286</v>
      </c>
      <c r="C25" s="27" t="s">
        <v>287</v>
      </c>
      <c r="D25" s="27" t="s">
        <v>258</v>
      </c>
      <c r="E25" s="21">
        <f>IF(D25="?OLD","!!!","")</f>
        <v/>
      </c>
      <c r="F25" s="22" t="str">
        <f>IF(OR(E25="",E25="!!!"),"",IF(NOT(ISNA(VLOOKUP(E25,E$1:E24,1,FALSE()))),"OLD",IF(AND(E25&lt;&gt;"",E25&lt;&gt;"!!!"),"NEW","")))</f>
        <v> </v>
      </c>
      <c r="G25" s="23" t="str">
        <f>IF(OR(E25="",E25="!!!"),"",IF(OR(J25=0,AND(J25=1,K25=1),AND(J25=1,I25="SBJ"),AND(J25=1,I25=0)),"?IN_FOCUS",IF(J25&lt;=2,"?ACTIVATED",IF(J25&lt;&gt;"","?FAMILIAR",IF(F25="NEW",IF(ISNA(VLOOKUP(E25,#REF!,1,FALSE())),"?TYPE_IDENTIFIABLE","?REFERENTIAL"),"_")))))</f>
        <v> </v>
      </c>
      <c r="H25" s="24" t="str">
        <f>IF(J25&lt;&gt;1,"",IF(I25="SBJ","CB","?"))</f>
        <v> </v>
      </c>
      <c r="I25" s="25" t="str">
        <f>IF(OR(E25="",E25="!!!",F25="NEW"),"",INDEX(B24:B$2,-1+SUMPRODUCT(MAX(ROW(E24:E$2)*(E25=E24:E$2)))))</f>
        <v> </v>
      </c>
      <c r="J25" s="25" t="str">
        <f>IF(OR(E25="",E25="!!!",F25="NEW"),"",COUNTBLANK(OFFSET(A$1,,,SUMPRODUCT(MAX(ROW(E$2:E25)*(E25=E$2:E25)))))-COUNTBLANK(OFFSET(A$1,,,SUMPRODUCT(MAX(ROW(E$1:E24)*(E2=E$1:E24))))))</f>
        <v> </v>
      </c>
      <c r="K25" s="25" t="str">
        <f>IF(OR(E25="",E25="!!!",F25="NEW"),"",INDEX(J$1:J24,SUMPRODUCT(MAX(ROW(E$1:E24)*(E25=E$1:E24)))))</f>
        <v> </v>
      </c>
      <c r="L25" s="26"/>
    </row>
    <row r="26" spans="1:12">
      <c r="A26" s="20" t="s">
        <v>288</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t="s">
        <v>289</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t="s">
        <v>273</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t="s">
        <v>274</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t="s">
        <v>290</v>
      </c>
      <c r="B30" s="27" t="s">
        <v>291</v>
      </c>
      <c r="C30" s="27" t="s">
        <v>277</v>
      </c>
      <c r="D30" s="27" t="s">
        <v>258</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278</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274</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292</v>
      </c>
      <c r="B33" s="27" t="s">
        <v>283</v>
      </c>
      <c r="C33" s="27" t="s">
        <v>277</v>
      </c>
      <c r="D33" s="27" t="s">
        <v>258</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t="s">
        <v>271</v>
      </c>
      <c r="E34" s="21">
        <f>IF(D34="?OLD","!!!","")</f>
        <v/>
      </c>
      <c r="F34" s="22" t="str">
        <f>IF(OR(E34="",E34="!!!"),"",IF(NOT(ISNA(VLOOKUP(E34,E$1:E33,1,FALSE()))),"OLD",IF(AND(E34&lt;&gt;"",E34&lt;&gt;"!!!"),"NEW","")))</f>
        <v> </v>
      </c>
      <c r="G34" s="23" t="str">
        <f>IF(OR(E34="",E34="!!!"),"",IF(OR(J34=0,AND(J34=1,K34=1),AND(J34=1,I34="SBJ"),AND(J34=1,I34=0)),"?IN_FOCUS",IF(J34&lt;=2,"?ACTIVATED",IF(J34&lt;&gt;"","?FAMILIAR",IF(F34="NEW",IF(ISNA(VLOOKUP(E34,#REF!,1,FALSE())),"?TYPE_IDENTIFIABLE","?REFERENTIAL"),"_")))))</f>
        <v> </v>
      </c>
      <c r="H34" s="24" t="str">
        <f>IF(J34&lt;&gt;1,"",IF(I34="SBJ","CB","?"))</f>
        <v> </v>
      </c>
      <c r="I34" s="25" t="str">
        <f>IF(OR(E34="",E34="!!!",F34="NEW"),"",INDEX(B33:B$2,-1+SUMPRODUCT(MAX(ROW(E33:E$2)*(E34=E33:E$2)))))</f>
        <v> </v>
      </c>
      <c r="J34" s="25" t="str">
        <f>IF(OR(E34="",E34="!!!",F34="NEW"),"",COUNTBLANK(OFFSET(A$1,,,SUMPRODUCT(MAX(ROW(E$2:E34)*(E34=E$2:E34)))))-COUNTBLANK(OFFSET(A$1,,,SUMPRODUCT(MAX(ROW(E$1:E33)*(E2=E$1:E33))))))</f>
        <v> </v>
      </c>
      <c r="K34" s="25" t="str">
        <f>IF(OR(E34="",E34="!!!",F34="NEW"),"",INDEX(J$1:J33,SUMPRODUCT(MAX(ROW(E$1:E33)*(E34=E$1:E33)))))</f>
        <v> </v>
      </c>
      <c r="L34" s="26"/>
    </row>
    <row r="35" spans="1:12">
      <c r="A35" s="20" t="s">
        <v>293</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t="s">
        <v>294</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278</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t="s">
        <v>295</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t="s">
        <v>296</v>
      </c>
      <c r="E39" s="21">
        <f>IF(D39="?OLD","!!!","")</f>
        <v/>
      </c>
      <c r="F39" s="22" t="str">
        <f>IF(OR(E39="",E39="!!!"),"",IF(NOT(ISNA(VLOOKUP(E39,E$1:E38,1,FALSE()))),"OLD",IF(AND(E39&lt;&gt;"",E39&lt;&gt;"!!!"),"NEW","")))</f>
        <v> </v>
      </c>
      <c r="G39" s="23" t="str">
        <f>IF(OR(E39="",E39="!!!"),"",IF(OR(J39=0,AND(J39=1,K39=1),AND(J39=1,I39="SBJ"),AND(J39=1,I39=0)),"?IN_FOCUS",IF(J39&lt;=2,"?ACTIVATED",IF(J39&lt;&gt;"","?FAMILIAR",IF(F39="NEW",IF(ISNA(VLOOKUP(E39,#REF!,1,FALSE())),"?TYPE_IDENTIFIABLE","?REFERENTIAL"),"_")))))</f>
        <v> </v>
      </c>
      <c r="H39" s="24" t="str">
        <f>IF(J39&lt;&gt;1,"",IF(I39="SBJ","CB","?"))</f>
        <v> </v>
      </c>
      <c r="I39" s="25" t="str">
        <f>IF(OR(E39="",E39="!!!",F39="NEW"),"",INDEX(B38:B$2,-1+SUMPRODUCT(MAX(ROW(E38:E$2)*(E39=E38:E$2)))))</f>
        <v> </v>
      </c>
      <c r="J39" s="25" t="str">
        <f>IF(OR(E39="",E39="!!!",F39="NEW"),"",COUNTBLANK(OFFSET(A$1,,,SUMPRODUCT(MAX(ROW(E$2:E39)*(E39=E$2:E39)))))-COUNTBLANK(OFFSET(A$1,,,SUMPRODUCT(MAX(ROW(E$1:E38)*(E2=E$1:E38))))))</f>
        <v> </v>
      </c>
      <c r="K39" s="25" t="str">
        <f>IF(OR(E39="",E39="!!!",F39="NEW"),"",INDEX(J$1:J38,SUMPRODUCT(MAX(ROW(E$1:E38)*(E39=E$1:E38)))))</f>
        <v> </v>
      </c>
      <c r="L39" s="26"/>
    </row>
    <row r="40" spans="1:12">
      <c r="A40" s="20" t="s">
        <v>297</v>
      </c>
      <c r="B40" s="27" t="s">
        <v>298</v>
      </c>
      <c r="C40" s="27" t="s">
        <v>270</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299</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271</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222</v>
      </c>
      <c r="B43" s="27" t="s">
        <v>283</v>
      </c>
      <c r="C43" s="27" t="s">
        <v>300</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t="s">
        <v>255</v>
      </c>
      <c r="B44" s="27" t="s">
        <v>301</v>
      </c>
      <c r="C44" s="27" t="s">
        <v>257</v>
      </c>
      <c r="D44" s="27" t="s">
        <v>258</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t="s">
        <v>302</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t="s">
        <v>303</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t="s">
        <v>261</v>
      </c>
      <c r="B47" s="27" t="s">
        <v>304</v>
      </c>
      <c r="C47" s="27" t="s">
        <v>257</v>
      </c>
      <c r="D47" s="27" t="s">
        <v>258</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305</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210</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296</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288</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306</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282</v>
      </c>
      <c r="B53" s="27" t="s">
        <v>307</v>
      </c>
      <c r="C53" s="27" t="s">
        <v>257</v>
      </c>
      <c r="D53" s="27" t="s">
        <v>258</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259</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t="s">
        <v>308</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t="s">
        <v>297</v>
      </c>
      <c r="B56" s="27" t="s">
        <v>309</v>
      </c>
      <c r="C56" s="27" t="s">
        <v>270</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t="s">
        <v>165</v>
      </c>
      <c r="E57" s="21">
        <f>IF(D57="?OLD","!!!","")</f>
        <v/>
      </c>
      <c r="F57" s="22" t="str">
        <f>IF(OR(E57="",E57="!!!"),"",IF(NOT(ISNA(VLOOKUP(E57,E$1:E56,1,FALSE()))),"OLD",IF(AND(E57&lt;&gt;"",E57&lt;&gt;"!!!"),"NEW","")))</f>
        <v> </v>
      </c>
      <c r="G57" s="23" t="str">
        <f>IF(OR(E57="",E57="!!!"),"",IF(OR(J57=0,AND(J57=1,K57=1),AND(J57=1,I57="SBJ"),AND(J57=1,I57=0)),"?IN_FOCUS",IF(J57&lt;=2,"?ACTIVATED",IF(J57&lt;&gt;"","?FAMILIAR",IF(F57="NEW",IF(ISNA(VLOOKUP(E57,#REF!,1,FALSE())),"?TYPE_IDENTIFIABLE","?REFERENTIAL"),"_")))))</f>
        <v> </v>
      </c>
      <c r="H57" s="24" t="str">
        <f>IF(J57&lt;&gt;1,"",IF(I57="SBJ","CB","?"))</f>
        <v> </v>
      </c>
      <c r="I57" s="25" t="str">
        <f>IF(OR(E57="",E57="!!!",F57="NEW"),"",INDEX(B56:B$2,-1+SUMPRODUCT(MAX(ROW(E56:E$2)*(E57=E56:E$2)))))</f>
        <v> </v>
      </c>
      <c r="J57" s="25" t="str">
        <f>IF(OR(E57="",E57="!!!",F57="NEW"),"",COUNTBLANK(OFFSET(A$1,,,SUMPRODUCT(MAX(ROW(E$2:E57)*(E57=E$2:E57)))))-COUNTBLANK(OFFSET(A$1,,,SUMPRODUCT(MAX(ROW(E$1:E56)*(E2=E$1:E56))))))</f>
        <v> </v>
      </c>
      <c r="K57" s="25" t="str">
        <f>IF(OR(E57="",E57="!!!",F57="NEW"),"",INDEX(J$1:J56,SUMPRODUCT(MAX(ROW(E$1:E56)*(E57=E$1:E56)))))</f>
        <v> </v>
      </c>
      <c r="L57" s="26"/>
    </row>
    <row r="58" spans="1:12">
      <c r="A58" s="20" t="s">
        <v>273</v>
      </c>
      <c r="E58" s="21">
        <f>IF(D58="?OLD","!!!","")</f>
        <v/>
      </c>
      <c r="F58" s="22" t="str">
        <f>IF(OR(E58="",E58="!!!"),"",IF(NOT(ISNA(VLOOKUP(E58,E$1:E57,1,FALSE()))),"OLD",IF(AND(E58&lt;&gt;"",E58&lt;&gt;"!!!"),"NEW","")))</f>
        <v> </v>
      </c>
      <c r="G58" s="23" t="str">
        <f>IF(OR(E58="",E58="!!!"),"",IF(OR(J58=0,AND(J58=1,K58=1),AND(J58=1,I58="SBJ"),AND(J58=1,I58=0)),"?IN_FOCUS",IF(J58&lt;=2,"?ACTIVATED",IF(J58&lt;&gt;"","?FAMILIAR",IF(F58="NEW",IF(ISNA(VLOOKUP(E58,#REF!,1,FALSE())),"?TYPE_IDENTIFIABLE","?REFERENTIAL"),"_")))))</f>
        <v> </v>
      </c>
      <c r="H58" s="24" t="str">
        <f>IF(J58&lt;&gt;1,"",IF(I58="SBJ","CB","?"))</f>
        <v> </v>
      </c>
      <c r="I58" s="25" t="str">
        <f>IF(OR(E58="",E58="!!!",F58="NEW"),"",INDEX(B57:B$2,-1+SUMPRODUCT(MAX(ROW(E57:E$2)*(E58=E57:E$2)))))</f>
        <v> </v>
      </c>
      <c r="J58" s="25" t="str">
        <f>IF(OR(E58="",E58="!!!",F58="NEW"),"",COUNTBLANK(OFFSET(A$1,,,SUMPRODUCT(MAX(ROW(E$2:E58)*(E58=E$2:E58)))))-COUNTBLANK(OFFSET(A$1,,,SUMPRODUCT(MAX(ROW(E$1:E57)*(E2=E$1:E57))))))</f>
        <v> </v>
      </c>
      <c r="K58" s="25" t="str">
        <f>IF(OR(E58="",E58="!!!",F58="NEW"),"",INDEX(J$1:J57,SUMPRODUCT(MAX(ROW(E$1:E57)*(E58=E$1:E57)))))</f>
        <v> </v>
      </c>
      <c r="L58" s="26"/>
    </row>
    <row r="59" spans="1:12">
      <c r="A59" s="20" t="s">
        <v>310</v>
      </c>
      <c r="E59" s="21">
        <f>IF(D59="?OLD","!!!","")</f>
        <v/>
      </c>
      <c r="F59" s="22" t="str">
        <f>IF(OR(E59="",E59="!!!"),"",IF(NOT(ISNA(VLOOKUP(E59,E$1:E58,1,FALSE()))),"OLD",IF(AND(E59&lt;&gt;"",E59&lt;&gt;"!!!"),"NEW","")))</f>
        <v> </v>
      </c>
      <c r="G59" s="23" t="str">
        <f>IF(OR(E59="",E59="!!!"),"",IF(OR(J59=0,AND(J59=1,K59=1),AND(J59=1,I59="SBJ"),AND(J59=1,I59=0)),"?IN_FOCUS",IF(J59&lt;=2,"?ACTIVATED",IF(J59&lt;&gt;"","?FAMILIAR",IF(F59="NEW",IF(ISNA(VLOOKUP(E59,#REF!,1,FALSE())),"?TYPE_IDENTIFIABLE","?REFERENTIAL"),"_")))))</f>
        <v> </v>
      </c>
      <c r="H59" s="24" t="str">
        <f>IF(J59&lt;&gt;1,"",IF(I59="SBJ","CB","?"))</f>
        <v> </v>
      </c>
      <c r="I59" s="25" t="str">
        <f>IF(OR(E59="",E59="!!!",F59="NEW"),"",INDEX(B58:B$2,-1+SUMPRODUCT(MAX(ROW(E58:E$2)*(E59=E58:E$2)))))</f>
        <v> </v>
      </c>
      <c r="J59" s="25" t="str">
        <f>IF(OR(E59="",E59="!!!",F59="NEW"),"",COUNTBLANK(OFFSET(A$1,,,SUMPRODUCT(MAX(ROW(E$2:E59)*(E59=E$2:E59)))))-COUNTBLANK(OFFSET(A$1,,,SUMPRODUCT(MAX(ROW(E$1:E58)*(E2=E$1:E58))))))</f>
        <v> </v>
      </c>
      <c r="K59" s="25" t="str">
        <f>IF(OR(E59="",E59="!!!",F59="NEW"),"",INDEX(J$1:J58,SUMPRODUCT(MAX(ROW(E$1:E58)*(E59=E$1:E58)))))</f>
        <v> </v>
      </c>
      <c r="L59" s="26"/>
    </row>
    <row r="60" spans="1:12">
      <c r="A60" s="20" t="s">
        <v>311</v>
      </c>
      <c r="B60" s="27" t="s">
        <v>312</v>
      </c>
      <c r="C60" s="27" t="s">
        <v>270</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t="s">
        <v>293</v>
      </c>
      <c r="E61" s="21">
        <f>IF(D61="?OLD","!!!","")</f>
        <v/>
      </c>
      <c r="F61" s="22" t="str">
        <f>IF(OR(E61="",E61="!!!"),"",IF(NOT(ISNA(VLOOKUP(E61,E$1:E60,1,FALSE()))),"OLD",IF(AND(E61&lt;&gt;"",E61&lt;&gt;"!!!"),"NEW","")))</f>
        <v> </v>
      </c>
      <c r="G61" s="23" t="str">
        <f>IF(OR(E61="",E61="!!!"),"",IF(OR(J61=0,AND(J61=1,K61=1),AND(J61=1,I61="SBJ"),AND(J61=1,I61=0)),"?IN_FOCUS",IF(J61&lt;=2,"?ACTIVATED",IF(J61&lt;&gt;"","?FAMILIAR",IF(F61="NEW",IF(ISNA(VLOOKUP(E61,#REF!,1,FALSE())),"?TYPE_IDENTIFIABLE","?REFERENTIAL"),"_")))))</f>
        <v> </v>
      </c>
      <c r="H61" s="24" t="str">
        <f>IF(J61&lt;&gt;1,"",IF(I61="SBJ","CB","?"))</f>
        <v> </v>
      </c>
      <c r="I61" s="25" t="str">
        <f>IF(OR(E61="",E61="!!!",F61="NEW"),"",INDEX(B60:B$2,-1+SUMPRODUCT(MAX(ROW(E60:E$2)*(E61=E60:E$2)))))</f>
        <v> </v>
      </c>
      <c r="J61" s="25" t="str">
        <f>IF(OR(E61="",E61="!!!",F61="NEW"),"",COUNTBLANK(OFFSET(A$1,,,SUMPRODUCT(MAX(ROW(E$2:E61)*(E61=E$2:E61)))))-COUNTBLANK(OFFSET(A$1,,,SUMPRODUCT(MAX(ROW(E$1:E60)*(E2=E$1:E60))))))</f>
        <v> </v>
      </c>
      <c r="K61" s="25" t="str">
        <f>IF(OR(E61="",E61="!!!",F61="NEW"),"",INDEX(J$1:J60,SUMPRODUCT(MAX(ROW(E$1:E60)*(E61=E$1:E60)))))</f>
        <v> </v>
      </c>
      <c r="L61" s="26"/>
    </row>
    <row r="62" spans="1:12">
      <c r="A62" s="20" t="s">
        <v>282</v>
      </c>
      <c r="B62" s="27" t="s">
        <v>313</v>
      </c>
      <c r="C62" s="27" t="s">
        <v>257</v>
      </c>
      <c r="D62" s="27" t="s">
        <v>258</v>
      </c>
      <c r="E62" s="21">
        <f>IF(D62="?OLD","!!!","")</f>
        <v/>
      </c>
      <c r="F62" s="22" t="str">
        <f>IF(OR(E62="",E62="!!!"),"",IF(NOT(ISNA(VLOOKUP(E62,E$1:E61,1,FALSE()))),"OLD",IF(AND(E62&lt;&gt;"",E62&lt;&gt;"!!!"),"NEW","")))</f>
        <v> </v>
      </c>
      <c r="G62" s="23" t="str">
        <f>IF(OR(E62="",E62="!!!"),"",IF(OR(J62=0,AND(J62=1,K62=1),AND(J62=1,I62="SBJ"),AND(J62=1,I62=0)),"?IN_FOCUS",IF(J62&lt;=2,"?ACTIVATED",IF(J62&lt;&gt;"","?FAMILIAR",IF(F62="NEW",IF(ISNA(VLOOKUP(E62,#REF!,1,FALSE())),"?TYPE_IDENTIFIABLE","?REFERENTIAL"),"_")))))</f>
        <v> </v>
      </c>
      <c r="H62" s="24" t="str">
        <f>IF(J62&lt;&gt;1,"",IF(I62="SBJ","CB","?"))</f>
        <v> </v>
      </c>
      <c r="I62" s="25" t="str">
        <f>IF(OR(E62="",E62="!!!",F62="NEW"),"",INDEX(B61:B$2,-1+SUMPRODUCT(MAX(ROW(E61:E$2)*(E62=E61:E$2)))))</f>
        <v> </v>
      </c>
      <c r="J62" s="25" t="str">
        <f>IF(OR(E62="",E62="!!!",F62="NEW"),"",COUNTBLANK(OFFSET(A$1,,,SUMPRODUCT(MAX(ROW(E$2:E62)*(E62=E$2:E62)))))-COUNTBLANK(OFFSET(A$1,,,SUMPRODUCT(MAX(ROW(E$1:E61)*(E2=E$1:E61))))))</f>
        <v> </v>
      </c>
      <c r="K62" s="25" t="str">
        <f>IF(OR(E62="",E62="!!!",F62="NEW"),"",INDEX(J$1:J61,SUMPRODUCT(MAX(ROW(E$1:E61)*(E62=E$1:E61)))))</f>
        <v> </v>
      </c>
      <c r="L62" s="26"/>
    </row>
    <row r="63" spans="1:12">
      <c r="A63" s="20" t="s">
        <v>259</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t="s">
        <v>35</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314</v>
      </c>
      <c r="B65" s="27" t="s">
        <v>315</v>
      </c>
      <c r="C65" s="27" t="s">
        <v>270</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273</v>
      </c>
      <c r="B66" s="27" t="s">
        <v>316</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317</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t="s">
        <v>318</v>
      </c>
      <c r="E68" s="21">
        <f>IF(D68="?OLD","!!!","")</f>
        <v/>
      </c>
      <c r="F68" s="22" t="str">
        <f>IF(OR(E68="",E68="!!!"),"",IF(NOT(ISNA(VLOOKUP(E68,E$1:E67,1,FALSE()))),"OLD",IF(AND(E68&lt;&gt;"",E68&lt;&gt;"!!!"),"NEW","")))</f>
        <v> </v>
      </c>
      <c r="G68" s="23" t="str">
        <f>IF(OR(E68="",E68="!!!"),"",IF(OR(J68=0,AND(J68=1,K68=1),AND(J68=1,I68="SBJ"),AND(J68=1,I68=0)),"?IN_FOCUS",IF(J68&lt;=2,"?ACTIVATED",IF(J68&lt;&gt;"","?FAMILIAR",IF(F68="NEW",IF(ISNA(VLOOKUP(E68,#REF!,1,FALSE())),"?TYPE_IDENTIFIABLE","?REFERENTIAL"),"_")))))</f>
        <v> </v>
      </c>
      <c r="H68" s="24" t="str">
        <f>IF(J68&lt;&gt;1,"",IF(I68="SBJ","CB","?"))</f>
        <v> </v>
      </c>
      <c r="I68" s="25" t="str">
        <f>IF(OR(E68="",E68="!!!",F68="NEW"),"",INDEX(B67:B$2,-1+SUMPRODUCT(MAX(ROW(E67:E$2)*(E68=E67:E$2)))))</f>
        <v> </v>
      </c>
      <c r="J68" s="25" t="str">
        <f>IF(OR(E68="",E68="!!!",F68="NEW"),"",COUNTBLANK(OFFSET(A$1,,,SUMPRODUCT(MAX(ROW(E$2:E68)*(E68=E$2:E68)))))-COUNTBLANK(OFFSET(A$1,,,SUMPRODUCT(MAX(ROW(E$1:E67)*(E2=E$1:E67))))))</f>
        <v> </v>
      </c>
      <c r="K68" s="25" t="str">
        <f>IF(OR(E68="",E68="!!!",F68="NEW"),"",INDEX(J$1:J67,SUMPRODUCT(MAX(ROW(E$1:E67)*(E68=E$1:E67)))))</f>
        <v> </v>
      </c>
      <c r="L68" s="26"/>
    </row>
    <row r="69" spans="1:12">
      <c r="A69" s="20" t="s">
        <v>13</v>
      </c>
      <c r="E69" s="21">
        <f>IF(D69="?OLD","!!!","")</f>
        <v/>
      </c>
      <c r="F69" s="22" t="str">
        <f>IF(OR(E69="",E69="!!!"),"",IF(NOT(ISNA(VLOOKUP(E69,E$1:E68,1,FALSE()))),"OLD",IF(AND(E69&lt;&gt;"",E69&lt;&gt;"!!!"),"NEW","")))</f>
        <v> </v>
      </c>
      <c r="G69" s="23" t="str">
        <f>IF(OR(E69="",E69="!!!"),"",IF(OR(J69=0,AND(J69=1,K69=1),AND(J69=1,I69="SBJ"),AND(J69=1,I69=0)),"?IN_FOCUS",IF(J69&lt;=2,"?ACTIVATED",IF(J69&lt;&gt;"","?FAMILIAR",IF(F69="NEW",IF(ISNA(VLOOKUP(E69,#REF!,1,FALSE())),"?TYPE_IDENTIFIABLE","?REFERENTIAL"),"_")))))</f>
        <v> </v>
      </c>
      <c r="H69" s="24" t="str">
        <f>IF(J69&lt;&gt;1,"",IF(I69="SBJ","CB","?"))</f>
        <v> </v>
      </c>
      <c r="I69" s="25" t="str">
        <f>IF(OR(E69="",E69="!!!",F69="NEW"),"",INDEX(B68:B$2,-1+SUMPRODUCT(MAX(ROW(E68:E$2)*(E69=E68:E$2)))))</f>
        <v> </v>
      </c>
      <c r="J69" s="25" t="str">
        <f>IF(OR(E69="",E69="!!!",F69="NEW"),"",COUNTBLANK(OFFSET(A$1,,,SUMPRODUCT(MAX(ROW(E$2:E69)*(E69=E$2:E69)))))-COUNTBLANK(OFFSET(A$1,,,SUMPRODUCT(MAX(ROW(E$1:E68)*(E2=E$1:E68))))))</f>
        <v> </v>
      </c>
      <c r="K69" s="25" t="str">
        <f>IF(OR(E69="",E69="!!!",F69="NEW"),"",INDEX(J$1:J68,SUMPRODUCT(MAX(ROW(E$1:E68)*(E69=E$1:E68)))))</f>
        <v> </v>
      </c>
      <c r="L69" s="26"/>
    </row>
    <row r="70" spans="1:12">
      <c r="A70" s="20" t="s">
        <v>319</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320</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row>
    <row r="73" spans="1:12">
      <c r="A73" s="20" t="s">
        <v>321</v>
      </c>
    </row>
    <row r="74" spans="1:12">
      <c r="A74" s="20" t="s">
        <v>322</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222</v>
      </c>
      <c r="B75" s="27" t="s">
        <v>276</v>
      </c>
      <c r="C75" s="27" t="s">
        <v>300</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282</v>
      </c>
      <c r="B76" s="27" t="s">
        <v>323</v>
      </c>
      <c r="C76" s="27" t="s">
        <v>257</v>
      </c>
      <c r="D76" s="27" t="s">
        <v>258</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t="s">
        <v>324</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325</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326</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327</v>
      </c>
      <c r="B80" s="27" t="s">
        <v>328</v>
      </c>
      <c r="C80" s="27" t="s">
        <v>270</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191</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t="s">
        <v>288</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t="s">
        <v>329</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330</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t="s">
        <v>331</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332</v>
      </c>
      <c r="B86" s="27" t="s">
        <v>333</v>
      </c>
      <c r="C86" s="27" t="s">
        <v>334</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335</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t="s">
        <v>336</v>
      </c>
      <c r="E88" s="21">
        <f>IF(D88="?OLD","!!!","")</f>
        <v/>
      </c>
      <c r="F88" s="22" t="str">
        <f>IF(OR(E88="",E88="!!!"),"",IF(NOT(ISNA(VLOOKUP(E88,E$1:E87,1,FALSE()))),"OLD",IF(AND(E88&lt;&gt;"",E88&lt;&gt;"!!!"),"NEW","")))</f>
        <v> </v>
      </c>
      <c r="G88" s="23" t="str">
        <f>IF(OR(E88="",E88="!!!"),"",IF(OR(J88=0,AND(J88=1,K88=1),AND(J88=1,I88="SBJ"),AND(J88=1,I88=0)),"?IN_FOCUS",IF(J88&lt;=2,"?ACTIVATED",IF(J88&lt;&gt;"","?FAMILIAR",IF(F88="NEW",IF(ISNA(VLOOKUP(E88,#REF!,1,FALSE())),"?TYPE_IDENTIFIABLE","?REFERENTIAL"),"_")))))</f>
        <v> </v>
      </c>
      <c r="H88" s="24" t="str">
        <f>IF(J88&lt;&gt;1,"",IF(I88="SBJ","CB","?"))</f>
        <v> </v>
      </c>
      <c r="I88" s="25" t="str">
        <f>IF(OR(E88="",E88="!!!",F88="NEW"),"",INDEX(B87:B$2,-1+SUMPRODUCT(MAX(ROW(E87:E$2)*(E88=E87:E$2)))))</f>
        <v> </v>
      </c>
      <c r="J88" s="25" t="str">
        <f>IF(OR(E88="",E88="!!!",F88="NEW"),"",COUNTBLANK(OFFSET(A$1,,,SUMPRODUCT(MAX(ROW(E$2:E88)*(E88=E$2:E88)))))-COUNTBLANK(OFFSET(A$1,,,SUMPRODUCT(MAX(ROW(E$1:E87)*(E2=E$1:E87))))))</f>
        <v> </v>
      </c>
      <c r="K88" s="25" t="str">
        <f>IF(OR(E88="",E88="!!!",F88="NEW"),"",INDEX(J$1:J87,SUMPRODUCT(MAX(ROW(E$1:E87)*(E88=E$1:E87)))))</f>
        <v> </v>
      </c>
      <c r="L88" s="26"/>
    </row>
    <row r="89" spans="1:12">
      <c r="A89" s="20" t="s">
        <v>337</v>
      </c>
      <c r="B89" s="27" t="s">
        <v>267</v>
      </c>
      <c r="C89" s="27" t="s">
        <v>270</v>
      </c>
      <c r="E89" s="21">
        <f>IF(D89="?OLD","!!!","")</f>
        <v/>
      </c>
      <c r="F89" s="22" t="str">
        <f>IF(OR(E89="",E89="!!!"),"",IF(NOT(ISNA(VLOOKUP(E89,E$1:E88,1,FALSE()))),"OLD",IF(AND(E89&lt;&gt;"",E89&lt;&gt;"!!!"),"NEW","")))</f>
        <v> </v>
      </c>
      <c r="G89" s="23" t="str">
        <f>IF(OR(E89="",E89="!!!"),"",IF(OR(J89=0,AND(J89=1,K89=1),AND(J89=1,I89="SBJ"),AND(J89=1,I89=0)),"?IN_FOCUS",IF(J89&lt;=2,"?ACTIVATED",IF(J89&lt;&gt;"","?FAMILIAR",IF(F89="NEW",IF(ISNA(VLOOKUP(E89,#REF!,1,FALSE())),"?TYPE_IDENTIFIABLE","?REFERENTIAL"),"_")))))</f>
        <v> </v>
      </c>
      <c r="H89" s="24" t="str">
        <f>IF(J89&lt;&gt;1,"",IF(I89="SBJ","CB","?"))</f>
        <v> </v>
      </c>
      <c r="I89" s="25" t="str">
        <f>IF(OR(E89="",E89="!!!",F89="NEW"),"",INDEX(B88:B$2,-1+SUMPRODUCT(MAX(ROW(E88:E$2)*(E89=E88:E$2)))))</f>
        <v> </v>
      </c>
      <c r="J89" s="25" t="str">
        <f>IF(OR(E89="",E89="!!!",F89="NEW"),"",COUNTBLANK(OFFSET(A$1,,,SUMPRODUCT(MAX(ROW(E$2:E89)*(E89=E$2:E89)))))-COUNTBLANK(OFFSET(A$1,,,SUMPRODUCT(MAX(ROW(E$1:E88)*(E2=E$1:E88))))))</f>
        <v> </v>
      </c>
      <c r="K89" s="25" t="str">
        <f>IF(OR(E89="",E89="!!!",F89="NEW"),"",INDEX(J$1:J88,SUMPRODUCT(MAX(ROW(E$1:E88)*(E89=E$1:E88)))))</f>
        <v> </v>
      </c>
      <c r="L89" s="26"/>
    </row>
    <row r="90" spans="1:12">
      <c r="A90" s="20" t="s">
        <v>320</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row>
    <row r="92" spans="1:12">
      <c r="A92" s="20" t="s">
        <v>338</v>
      </c>
    </row>
    <row r="93" spans="1:12">
      <c r="A93" s="20" t="s">
        <v>339</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t="s">
        <v>340</v>
      </c>
      <c r="B94" s="27" t="s">
        <v>276</v>
      </c>
      <c r="C94" s="27" t="s">
        <v>341</v>
      </c>
      <c r="D94" s="27" t="s">
        <v>258</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t="s">
        <v>273</v>
      </c>
      <c r="B95" s="27" t="s">
        <v>342</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t="s">
        <v>255</v>
      </c>
      <c r="B96" s="27" t="s">
        <v>323</v>
      </c>
      <c r="C96" s="27" t="s">
        <v>257</v>
      </c>
      <c r="D96" s="27" t="s">
        <v>258</v>
      </c>
      <c r="E96" s="21">
        <f>IF(D96="?OLD","!!!","")</f>
        <v/>
      </c>
      <c r="F96" s="22" t="str">
        <f>IF(OR(E96="",E96="!!!"),"",IF(NOT(ISNA(VLOOKUP(E96,E$1:E95,1,FALSE()))),"OLD",IF(AND(E96&lt;&gt;"",E96&lt;&gt;"!!!"),"NEW","")))</f>
        <v> </v>
      </c>
      <c r="G96" s="23" t="str">
        <f>IF(OR(E96="",E96="!!!"),"",IF(OR(J96=0,AND(J96=1,K96=1),AND(J96=1,I96="SBJ"),AND(J96=1,I96=0)),"?IN_FOCUS",IF(J96&lt;=2,"?ACTIVATED",IF(J96&lt;&gt;"","?FAMILIAR",IF(F96="NEW",IF(ISNA(VLOOKUP(E96,#REF!,1,FALSE())),"?TYPE_IDENTIFIABLE","?REFERENTIAL"),"_")))))</f>
        <v> </v>
      </c>
      <c r="H96" s="24" t="str">
        <f>IF(J96&lt;&gt;1,"",IF(I96="SBJ","CB","?"))</f>
        <v> </v>
      </c>
      <c r="I96" s="25" t="str">
        <f>IF(OR(E96="",E96="!!!",F96="NEW"),"",INDEX(B95:B$2,-1+SUMPRODUCT(MAX(ROW(E95:E$2)*(E96=E95:E$2)))))</f>
        <v> </v>
      </c>
      <c r="J96" s="25" t="str">
        <f>IF(OR(E96="",E96="!!!",F96="NEW"),"",COUNTBLANK(OFFSET(A$1,,,SUMPRODUCT(MAX(ROW(E$2:E96)*(E96=E$2:E96)))))-COUNTBLANK(OFFSET(A$1,,,SUMPRODUCT(MAX(ROW(E$1:E95)*(E2=E$1:E95))))))</f>
        <v> </v>
      </c>
      <c r="K96" s="25" t="str">
        <f>IF(OR(E96="",E96="!!!",F96="NEW"),"",INDEX(J$1:J95,SUMPRODUCT(MAX(ROW(E$1:E95)*(E96=E$1:E95)))))</f>
        <v> </v>
      </c>
      <c r="L96" s="26"/>
    </row>
    <row r="97" spans="1:12">
      <c r="A97" s="20" t="s">
        <v>343</v>
      </c>
      <c r="E97" s="21">
        <f>IF(D97="?OLD","!!!","")</f>
        <v/>
      </c>
      <c r="F97" s="22" t="str">
        <f>IF(OR(E97="",E97="!!!"),"",IF(NOT(ISNA(VLOOKUP(E97,E$1:E96,1,FALSE()))),"OLD",IF(AND(E97&lt;&gt;"",E97&lt;&gt;"!!!"),"NEW","")))</f>
        <v> </v>
      </c>
      <c r="G97" s="23" t="str">
        <f>IF(OR(E97="",E97="!!!"),"",IF(OR(J97=0,AND(J97=1,K97=1),AND(J97=1,I97="SBJ"),AND(J97=1,I97=0)),"?IN_FOCUS",IF(J97&lt;=2,"?ACTIVATED",IF(J97&lt;&gt;"","?FAMILIAR",IF(F97="NEW",IF(ISNA(VLOOKUP(E97,#REF!,1,FALSE())),"?TYPE_IDENTIFIABLE","?REFERENTIAL"),"_")))))</f>
        <v> </v>
      </c>
      <c r="H97" s="24" t="str">
        <f>IF(J97&lt;&gt;1,"",IF(I97="SBJ","CB","?"))</f>
        <v> </v>
      </c>
      <c r="I97" s="25" t="str">
        <f>IF(OR(E97="",E97="!!!",F97="NEW"),"",INDEX(B96:B$2,-1+SUMPRODUCT(MAX(ROW(E96:E$2)*(E97=E96:E$2)))))</f>
        <v> </v>
      </c>
      <c r="J97" s="25" t="str">
        <f>IF(OR(E97="",E97="!!!",F97="NEW"),"",COUNTBLANK(OFFSET(A$1,,,SUMPRODUCT(MAX(ROW(E$2:E97)*(E97=E$2:E97)))))-COUNTBLANK(OFFSET(A$1,,,SUMPRODUCT(MAX(ROW(E$1:E96)*(E2=E$1:E96))))))</f>
        <v> </v>
      </c>
      <c r="K97" s="25" t="str">
        <f>IF(OR(E97="",E97="!!!",F97="NEW"),"",INDEX(J$1:J96,SUMPRODUCT(MAX(ROW(E$1:E96)*(E97=E$1:E96)))))</f>
        <v> </v>
      </c>
      <c r="L97" s="26"/>
    </row>
    <row r="98" spans="1:12">
      <c r="A98" s="20" t="s">
        <v>344</v>
      </c>
      <c r="E98" s="21">
        <f>IF(D98="?OLD","!!!","")</f>
        <v/>
      </c>
      <c r="F98" s="22" t="str">
        <f>IF(OR(E98="",E98="!!!"),"",IF(NOT(ISNA(VLOOKUP(E98,E$1:E97,1,FALSE()))),"OLD",IF(AND(E98&lt;&gt;"",E98&lt;&gt;"!!!"),"NEW","")))</f>
        <v> </v>
      </c>
      <c r="G98" s="23" t="str">
        <f>IF(OR(E98="",E98="!!!"),"",IF(OR(J98=0,AND(J98=1,K98=1),AND(J98=1,I98="SBJ"),AND(J98=1,I98=0)),"?IN_FOCUS",IF(J98&lt;=2,"?ACTIVATED",IF(J98&lt;&gt;"","?FAMILIAR",IF(F98="NEW",IF(ISNA(VLOOKUP(E98,#REF!,1,FALSE())),"?TYPE_IDENTIFIABLE","?REFERENTIAL"),"_")))))</f>
        <v> </v>
      </c>
      <c r="H98" s="24" t="str">
        <f>IF(J98&lt;&gt;1,"",IF(I98="SBJ","CB","?"))</f>
        <v> </v>
      </c>
      <c r="I98" s="25" t="str">
        <f>IF(OR(E98="",E98="!!!",F98="NEW"),"",INDEX(B97:B$2,-1+SUMPRODUCT(MAX(ROW(E97:E$2)*(E98=E97:E$2)))))</f>
        <v> </v>
      </c>
      <c r="J98" s="25" t="str">
        <f>IF(OR(E98="",E98="!!!",F98="NEW"),"",COUNTBLANK(OFFSET(A$1,,,SUMPRODUCT(MAX(ROW(E$2:E98)*(E98=E$2:E98)))))-COUNTBLANK(OFFSET(A$1,,,SUMPRODUCT(MAX(ROW(E$1:E97)*(E2=E$1:E97))))))</f>
        <v> </v>
      </c>
      <c r="K98" s="25" t="str">
        <f>IF(OR(E98="",E98="!!!",F98="NEW"),"",INDEX(J$1:J97,SUMPRODUCT(MAX(ROW(E$1:E97)*(E98=E$1:E97)))))</f>
        <v> </v>
      </c>
      <c r="L98" s="26"/>
    </row>
    <row r="99" spans="1:12">
      <c r="A99" s="20" t="s">
        <v>191</v>
      </c>
      <c r="E99" s="21">
        <f>IF(D99="?OLD","!!!","")</f>
        <v/>
      </c>
      <c r="F99" s="22" t="str">
        <f>IF(OR(E99="",E99="!!!"),"",IF(NOT(ISNA(VLOOKUP(E99,E$1:E98,1,FALSE()))),"OLD",IF(AND(E99&lt;&gt;"",E99&lt;&gt;"!!!"),"NEW","")))</f>
        <v> </v>
      </c>
      <c r="G99" s="23" t="str">
        <f>IF(OR(E99="",E99="!!!"),"",IF(OR(J99=0,AND(J99=1,K99=1),AND(J99=1,I99="SBJ"),AND(J99=1,I99=0)),"?IN_FOCUS",IF(J99&lt;=2,"?ACTIVATED",IF(J99&lt;&gt;"","?FAMILIAR",IF(F99="NEW",IF(ISNA(VLOOKUP(E99,#REF!,1,FALSE())),"?TYPE_IDENTIFIABLE","?REFERENTIAL"),"_")))))</f>
        <v> </v>
      </c>
      <c r="H99" s="24" t="str">
        <f>IF(J99&lt;&gt;1,"",IF(I99="SBJ","CB","?"))</f>
        <v> </v>
      </c>
      <c r="I99" s="25" t="str">
        <f>IF(OR(E99="",E99="!!!",F99="NEW"),"",INDEX(B98:B$2,-1+SUMPRODUCT(MAX(ROW(E98:E$2)*(E99=E98:E$2)))))</f>
        <v> </v>
      </c>
      <c r="J99" s="25" t="str">
        <f>IF(OR(E99="",E99="!!!",F99="NEW"),"",COUNTBLANK(OFFSET(A$1,,,SUMPRODUCT(MAX(ROW(E$2:E99)*(E99=E$2:E99)))))-COUNTBLANK(OFFSET(A$1,,,SUMPRODUCT(MAX(ROW(E$1:E98)*(E2=E$1:E98))))))</f>
        <v> </v>
      </c>
      <c r="K99" s="25" t="str">
        <f>IF(OR(E99="",E99="!!!",F99="NEW"),"",INDEX(J$1:J98,SUMPRODUCT(MAX(ROW(E$1:E98)*(E99=E$1:E98)))))</f>
        <v> </v>
      </c>
      <c r="L99" s="26"/>
    </row>
    <row r="100" spans="1:12">
      <c r="A100" s="20" t="s">
        <v>288</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t="s">
        <v>329</v>
      </c>
      <c r="E101" s="21">
        <f>IF(D101="?OLD","!!!","")</f>
        <v/>
      </c>
      <c r="F101" s="22" t="str">
        <f>IF(OR(E101="",E101="!!!"),"",IF(NOT(ISNA(VLOOKUP(E101,E$1:E100,1,FALSE()))),"OLD",IF(AND(E101&lt;&gt;"",E101&lt;&gt;"!!!"),"NEW","")))</f>
        <v> </v>
      </c>
      <c r="G101" s="23" t="str">
        <f>IF(OR(E101="",E101="!!!"),"",IF(OR(J101=0,AND(J101=1,K101=1),AND(J101=1,I101="SBJ"),AND(J101=1,I101=0)),"?IN_FOCUS",IF(J101&lt;=2,"?ACTIVATED",IF(J101&lt;&gt;"","?FAMILIAR",IF(F101="NEW",IF(ISNA(VLOOKUP(E101,#REF!,1,FALSE())),"?TYPE_IDENTIFIABLE","?REFERENTIAL"),"_")))))</f>
        <v> </v>
      </c>
      <c r="H101" s="24" t="str">
        <f>IF(J101&lt;&gt;1,"",IF(I101="SBJ","CB","?"))</f>
        <v> </v>
      </c>
      <c r="I101" s="25" t="str">
        <f>IF(OR(E101="",E101="!!!",F101="NEW"),"",INDEX(B100:B$2,-1+SUMPRODUCT(MAX(ROW(E100:E$2)*(E101=E100:E$2)))))</f>
        <v> </v>
      </c>
      <c r="J101" s="25" t="str">
        <f>IF(OR(E101="",E101="!!!",F101="NEW"),"",COUNTBLANK(OFFSET(A$1,,,SUMPRODUCT(MAX(ROW(E$2:E101)*(E101=E$2:E101)))))-COUNTBLANK(OFFSET(A$1,,,SUMPRODUCT(MAX(ROW(E$1:E100)*(E2=E$1:E100))))))</f>
        <v> </v>
      </c>
      <c r="K101" s="25" t="str">
        <f>IF(OR(E101="",E101="!!!",F101="NEW"),"",INDEX(J$1:J100,SUMPRODUCT(MAX(ROW(E$1:E100)*(E101=E$1:E100)))))</f>
        <v> </v>
      </c>
      <c r="L101" s="26"/>
    </row>
    <row r="102" spans="1:12">
      <c r="A102" s="20" t="s">
        <v>345</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t="s">
        <v>346</v>
      </c>
      <c r="B103" s="27" t="s">
        <v>333</v>
      </c>
      <c r="C103" s="27" t="s">
        <v>334</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t="s">
        <v>320</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row>
    <row r="106" spans="1:12">
      <c r="A106" s="20" t="s">
        <v>347</v>
      </c>
    </row>
    <row r="107" spans="1:12">
      <c r="A107" s="20" t="s">
        <v>348</v>
      </c>
      <c r="B107" s="27" t="s">
        <v>276</v>
      </c>
      <c r="C107" s="27" t="s">
        <v>257</v>
      </c>
      <c r="D107" s="27" t="s">
        <v>258</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235</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349</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350</v>
      </c>
      <c r="B110" s="27" t="s">
        <v>333</v>
      </c>
      <c r="C110" s="27" t="s">
        <v>351</v>
      </c>
      <c r="D110" s="27" t="s">
        <v>258</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271</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t="s">
        <v>293</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t="s">
        <v>263</v>
      </c>
      <c r="E113" s="21">
        <f>IF(D113="?OLD","!!!","")</f>
        <v/>
      </c>
      <c r="F113" s="22" t="str">
        <f>IF(OR(E113="",E113="!!!"),"",IF(NOT(ISNA(VLOOKUP(E113,E$1:E112,1,FALSE()))),"OLD",IF(AND(E113&lt;&gt;"",E113&lt;&gt;"!!!"),"NEW","")))</f>
        <v> </v>
      </c>
      <c r="G113" s="23" t="str">
        <f>IF(OR(E113="",E113="!!!"),"",IF(OR(J113=0,AND(J113=1,K113=1),AND(J113=1,I113="SBJ"),AND(J113=1,I113=0)),"?IN_FOCUS",IF(J113&lt;=2,"?ACTIVATED",IF(J113&lt;&gt;"","?FAMILIAR",IF(F113="NEW",IF(ISNA(VLOOKUP(E113,#REF!,1,FALSE())),"?TYPE_IDENTIFIABLE","?REFERENTIAL"),"_")))))</f>
        <v> </v>
      </c>
      <c r="H113" s="24" t="str">
        <f>IF(J113&lt;&gt;1,"",IF(I113="SBJ","CB","?"))</f>
        <v> </v>
      </c>
      <c r="I113" s="25" t="str">
        <f>IF(OR(E113="",E113="!!!",F113="NEW"),"",INDEX(B112:B$2,-1+SUMPRODUCT(MAX(ROW(E112:E$2)*(E113=E112:E$2)))))</f>
        <v> </v>
      </c>
      <c r="J113" s="25" t="str">
        <f>IF(OR(E113="",E113="!!!",F113="NEW"),"",COUNTBLANK(OFFSET(A$1,,,SUMPRODUCT(MAX(ROW(E$2:E113)*(E113=E$2:E113)))))-COUNTBLANK(OFFSET(A$1,,,SUMPRODUCT(MAX(ROW(E$1:E112)*(E2=E$1:E112))))))</f>
        <v> </v>
      </c>
      <c r="K113" s="25" t="str">
        <f>IF(OR(E113="",E113="!!!",F113="NEW"),"",INDEX(J$1:J112,SUMPRODUCT(MAX(ROW(E$1:E112)*(E113=E$1:E112)))))</f>
        <v> </v>
      </c>
      <c r="L113" s="26"/>
    </row>
    <row r="114" spans="1:12">
      <c r="A114" s="20" t="s">
        <v>350</v>
      </c>
      <c r="B114" s="27" t="s">
        <v>267</v>
      </c>
      <c r="C114" s="27" t="s">
        <v>270</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t="s">
        <v>222</v>
      </c>
      <c r="B115" s="27" t="s">
        <v>256</v>
      </c>
      <c r="C115" s="27" t="s">
        <v>300</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t="s">
        <v>255</v>
      </c>
      <c r="B116" s="27" t="s">
        <v>286</v>
      </c>
      <c r="C116" s="27" t="s">
        <v>257</v>
      </c>
      <c r="D116" s="27" t="s">
        <v>258</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t="s">
        <v>259</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60</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288</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255</v>
      </c>
      <c r="B120" s="27" t="s">
        <v>323</v>
      </c>
      <c r="C120" s="27" t="s">
        <v>257</v>
      </c>
      <c r="D120" s="27" t="s">
        <v>258</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259</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352</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t="s">
        <v>305</v>
      </c>
      <c r="E123" s="21">
        <f>IF(D123="?OLD","!!!","")</f>
        <v/>
      </c>
      <c r="F123" s="22" t="str">
        <f>IF(OR(E123="",E123="!!!"),"",IF(NOT(ISNA(VLOOKUP(E123,E$1:E122,1,FALSE()))),"OLD",IF(AND(E123&lt;&gt;"",E123&lt;&gt;"!!!"),"NEW","")))</f>
        <v> </v>
      </c>
      <c r="G123" s="23" t="str">
        <f>IF(OR(E123="",E123="!!!"),"",IF(OR(J123=0,AND(J123=1,K123=1),AND(J123=1,I123="SBJ"),AND(J123=1,I123=0)),"?IN_FOCUS",IF(J123&lt;=2,"?ACTIVATED",IF(J123&lt;&gt;"","?FAMILIAR",IF(F123="NEW",IF(ISNA(VLOOKUP(E123,#REF!,1,FALSE())),"?TYPE_IDENTIFIABLE","?REFERENTIAL"),"_")))))</f>
        <v> </v>
      </c>
      <c r="H123" s="24" t="str">
        <f>IF(J123&lt;&gt;1,"",IF(I123="SBJ","CB","?"))</f>
        <v> </v>
      </c>
      <c r="I123" s="25" t="str">
        <f>IF(OR(E123="",E123="!!!",F123="NEW"),"",INDEX(B122:B$2,-1+SUMPRODUCT(MAX(ROW(E122:E$2)*(E123=E122:E$2)))))</f>
        <v> </v>
      </c>
      <c r="J123" s="25" t="str">
        <f>IF(OR(E123="",E123="!!!",F123="NEW"),"",COUNTBLANK(OFFSET(A$1,,,SUMPRODUCT(MAX(ROW(E$2:E123)*(E123=E$2:E123)))))-COUNTBLANK(OFFSET(A$1,,,SUMPRODUCT(MAX(ROW(E$1:E122)*(E2=E$1:E122))))))</f>
        <v> </v>
      </c>
      <c r="K123" s="25" t="str">
        <f>IF(OR(E123="",E123="!!!",F123="NEW"),"",INDEX(J$1:J122,SUMPRODUCT(MAX(ROW(E$1:E122)*(E123=E$1:E122)))))</f>
        <v> </v>
      </c>
      <c r="L123" s="26"/>
    </row>
    <row r="124" spans="1:12">
      <c r="A124" s="20" t="s">
        <v>353</v>
      </c>
      <c r="E124" s="21">
        <f>IF(D124="?OLD","!!!","")</f>
        <v/>
      </c>
      <c r="F124" s="22" t="str">
        <f>IF(OR(E124="",E124="!!!"),"",IF(NOT(ISNA(VLOOKUP(E124,E$1:E123,1,FALSE()))),"OLD",IF(AND(E124&lt;&gt;"",E124&lt;&gt;"!!!"),"NEW","")))</f>
        <v> </v>
      </c>
      <c r="G124" s="23" t="str">
        <f>IF(OR(E124="",E124="!!!"),"",IF(OR(J124=0,AND(J124=1,K124=1),AND(J124=1,I124="SBJ"),AND(J124=1,I124=0)),"?IN_FOCUS",IF(J124&lt;=2,"?ACTIVATED",IF(J124&lt;&gt;"","?FAMILIAR",IF(F124="NEW",IF(ISNA(VLOOKUP(E124,#REF!,1,FALSE())),"?TYPE_IDENTIFIABLE","?REFERENTIAL"),"_")))))</f>
        <v> </v>
      </c>
      <c r="H124" s="24" t="str">
        <f>IF(J124&lt;&gt;1,"",IF(I124="SBJ","CB","?"))</f>
        <v> </v>
      </c>
      <c r="I124" s="25" t="str">
        <f>IF(OR(E124="",E124="!!!",F124="NEW"),"",INDEX(B123:B$2,-1+SUMPRODUCT(MAX(ROW(E123:E$2)*(E124=E123:E$2)))))</f>
        <v> </v>
      </c>
      <c r="J124" s="25" t="str">
        <f>IF(OR(E124="",E124="!!!",F124="NEW"),"",COUNTBLANK(OFFSET(A$1,,,SUMPRODUCT(MAX(ROW(E$2:E124)*(E124=E$2:E124)))))-COUNTBLANK(OFFSET(A$1,,,SUMPRODUCT(MAX(ROW(E$1:E123)*(E2=E$1:E123))))))</f>
        <v> </v>
      </c>
      <c r="K124" s="25" t="str">
        <f>IF(OR(E124="",E124="!!!",F124="NEW"),"",INDEX(J$1:J123,SUMPRODUCT(MAX(ROW(E$1:E123)*(E124=E$1:E123)))))</f>
        <v> </v>
      </c>
      <c r="L124" s="26"/>
    </row>
    <row r="125" spans="1:12">
      <c r="A125" s="20" t="s">
        <v>280</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t="s">
        <v>264</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t="s">
        <v>354</v>
      </c>
      <c r="E127" s="21">
        <f>IF(D127="?OLD","!!!","")</f>
        <v/>
      </c>
      <c r="F127" s="22" t="str">
        <f>IF(OR(E127="",E127="!!!"),"",IF(NOT(ISNA(VLOOKUP(E127,E$1:E126,1,FALSE()))),"OLD",IF(AND(E127&lt;&gt;"",E127&lt;&gt;"!!!"),"NEW","")))</f>
        <v> </v>
      </c>
      <c r="G127" s="23" t="str">
        <f>IF(OR(E127="",E127="!!!"),"",IF(OR(J127=0,AND(J127=1,K127=1),AND(J127=1,I127="SBJ"),AND(J127=1,I127=0)),"?IN_FOCUS",IF(J127&lt;=2,"?ACTIVATED",IF(J127&lt;&gt;"","?FAMILIAR",IF(F127="NEW",IF(ISNA(VLOOKUP(E127,#REF!,1,FALSE())),"?TYPE_IDENTIFIABLE","?REFERENTIAL"),"_")))))</f>
        <v> </v>
      </c>
      <c r="H127" s="24" t="str">
        <f>IF(J127&lt;&gt;1,"",IF(I127="SBJ","CB","?"))</f>
        <v> </v>
      </c>
      <c r="I127" s="25" t="str">
        <f>IF(OR(E127="",E127="!!!",F127="NEW"),"",INDEX(B126:B$2,-1+SUMPRODUCT(MAX(ROW(E126:E$2)*(E127=E126:E$2)))))</f>
        <v> </v>
      </c>
      <c r="J127" s="25" t="str">
        <f>IF(OR(E127="",E127="!!!",F127="NEW"),"",COUNTBLANK(OFFSET(A$1,,,SUMPRODUCT(MAX(ROW(E$2:E127)*(E127=E$2:E127)))))-COUNTBLANK(OFFSET(A$1,,,SUMPRODUCT(MAX(ROW(E$1:E126)*(E2=E$1:E126))))))</f>
        <v> </v>
      </c>
      <c r="K127" s="25" t="str">
        <f>IF(OR(E127="",E127="!!!",F127="NEW"),"",INDEX(J$1:J126,SUMPRODUCT(MAX(ROW(E$1:E126)*(E127=E$1:E126)))))</f>
        <v> </v>
      </c>
      <c r="L127" s="26"/>
    </row>
    <row r="128" spans="1:12">
      <c r="A128" s="20" t="s">
        <v>355</v>
      </c>
      <c r="B128" s="27" t="s">
        <v>291</v>
      </c>
      <c r="C128" s="27" t="s">
        <v>268</v>
      </c>
      <c r="E128" s="21">
        <f>IF(D128="?OLD","!!!","")</f>
        <v/>
      </c>
      <c r="F128" s="22" t="str">
        <f>IF(OR(E128="",E128="!!!"),"",IF(NOT(ISNA(VLOOKUP(E128,E$1:E127,1,FALSE()))),"OLD",IF(AND(E128&lt;&gt;"",E128&lt;&gt;"!!!"),"NEW","")))</f>
        <v> </v>
      </c>
      <c r="G128" s="23" t="str">
        <f>IF(OR(E128="",E128="!!!"),"",IF(OR(J128=0,AND(J128=1,K128=1),AND(J128=1,I128="SBJ"),AND(J128=1,I128=0)),"?IN_FOCUS",IF(J128&lt;=2,"?ACTIVATED",IF(J128&lt;&gt;"","?FAMILIAR",IF(F128="NEW",IF(ISNA(VLOOKUP(E128,#REF!,1,FALSE())),"?TYPE_IDENTIFIABLE","?REFERENTIAL"),"_")))))</f>
        <v> </v>
      </c>
      <c r="H128" s="24" t="str">
        <f>IF(J128&lt;&gt;1,"",IF(I128="SBJ","CB","?"))</f>
        <v> </v>
      </c>
      <c r="I128" s="25" t="str">
        <f>IF(OR(E128="",E128="!!!",F128="NEW"),"",INDEX(B127:B$2,-1+SUMPRODUCT(MAX(ROW(E127:E$2)*(E128=E127:E$2)))))</f>
        <v> </v>
      </c>
      <c r="J128" s="25" t="str">
        <f>IF(OR(E128="",E128="!!!",F128="NEW"),"",COUNTBLANK(OFFSET(A$1,,,SUMPRODUCT(MAX(ROW(E$2:E128)*(E128=E$2:E128)))))-COUNTBLANK(OFFSET(A$1,,,SUMPRODUCT(MAX(ROW(E$1:E127)*(E2=E$1:E127))))))</f>
        <v> </v>
      </c>
      <c r="K128" s="25" t="str">
        <f>IF(OR(E128="",E128="!!!",F128="NEW"),"",INDEX(J$1:J127,SUMPRODUCT(MAX(ROW(E$1:E127)*(E128=E$1:E127)))))</f>
        <v> </v>
      </c>
      <c r="L128" s="26"/>
    </row>
    <row r="129" spans="1:12">
      <c r="A129" s="20" t="s">
        <v>278</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356</v>
      </c>
      <c r="B130" s="27" t="s">
        <v>283</v>
      </c>
      <c r="C130" s="27" t="s">
        <v>270</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16</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t="s">
        <v>357</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t="s">
        <v>271</v>
      </c>
      <c r="E133" s="21">
        <f>IF(D133="?OLD","!!!","")</f>
        <v/>
      </c>
      <c r="F133" s="22" t="str">
        <f>IF(OR(E133="",E133="!!!"),"",IF(NOT(ISNA(VLOOKUP(E133,E$1:E132,1,FALSE()))),"OLD",IF(AND(E133&lt;&gt;"",E133&lt;&gt;"!!!"),"NEW","")))</f>
        <v> </v>
      </c>
      <c r="G133" s="23" t="str">
        <f>IF(OR(E133="",E133="!!!"),"",IF(OR(J133=0,AND(J133=1,K133=1),AND(J133=1,I133="SBJ"),AND(J133=1,I133=0)),"?IN_FOCUS",IF(J133&lt;=2,"?ACTIVATED",IF(J133&lt;&gt;"","?FAMILIAR",IF(F133="NEW",IF(ISNA(VLOOKUP(E133,#REF!,1,FALSE())),"?TYPE_IDENTIFIABLE","?REFERENTIAL"),"_")))))</f>
        <v> </v>
      </c>
      <c r="H133" s="24" t="str">
        <f>IF(J133&lt;&gt;1,"",IF(I133="SBJ","CB","?"))</f>
        <v> </v>
      </c>
      <c r="I133" s="25" t="str">
        <f>IF(OR(E133="",E133="!!!",F133="NEW"),"",INDEX(B132:B$2,-1+SUMPRODUCT(MAX(ROW(E132:E$2)*(E133=E132:E$2)))))</f>
        <v> </v>
      </c>
      <c r="J133" s="25" t="str">
        <f>IF(OR(E133="",E133="!!!",F133="NEW"),"",COUNTBLANK(OFFSET(A$1,,,SUMPRODUCT(MAX(ROW(E$2:E133)*(E133=E$2:E133)))))-COUNTBLANK(OFFSET(A$1,,,SUMPRODUCT(MAX(ROW(E$1:E132)*(E2=E$1:E132))))))</f>
        <v> </v>
      </c>
      <c r="K133" s="25" t="str">
        <f>IF(OR(E133="",E133="!!!",F133="NEW"),"",INDEX(J$1:J132,SUMPRODUCT(MAX(ROW(E$1:E132)*(E133=E$1:E132)))))</f>
        <v> </v>
      </c>
      <c r="L133" s="26"/>
    </row>
    <row r="134" spans="1:12">
      <c r="A134" s="20" t="s">
        <v>358</v>
      </c>
      <c r="B134" s="27" t="s">
        <v>333</v>
      </c>
      <c r="C134" s="27" t="s">
        <v>270</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320</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row>
    <row r="137" spans="1:12">
      <c r="A137" s="20" t="s">
        <v>359</v>
      </c>
    </row>
    <row r="138" spans="1:12">
      <c r="A138" s="20" t="s">
        <v>360</v>
      </c>
      <c r="E138" s="21">
        <f>IF(D138="?OLD","!!!","")</f>
        <v/>
      </c>
      <c r="F138" s="22" t="str">
        <f>IF(OR(E138="",E138="!!!"),"",IF(NOT(ISNA(VLOOKUP(E138,E$1:E137,1,FALSE()))),"OLD",IF(AND(E138&lt;&gt;"",E138&lt;&gt;"!!!"),"NEW","")))</f>
        <v> </v>
      </c>
      <c r="G138" s="23" t="str">
        <f>IF(OR(E138="",E138="!!!"),"",IF(OR(J138=0,AND(J138=1,K138=1),AND(J138=1,I138="SBJ"),AND(J138=1,I138=0)),"?IN_FOCUS",IF(J138&lt;=2,"?ACTIVATED",IF(J138&lt;&gt;"","?FAMILIAR",IF(F138="NEW",IF(ISNA(VLOOKUP(E138,#REF!,1,FALSE())),"?TYPE_IDENTIFIABLE","?REFERENTIAL"),"_")))))</f>
        <v> </v>
      </c>
      <c r="H138" s="24" t="str">
        <f>IF(J138&lt;&gt;1,"",IF(I138="SBJ","CB","?"))</f>
        <v> </v>
      </c>
      <c r="I138" s="25" t="str">
        <f>IF(OR(E138="",E138="!!!",F138="NEW"),"",INDEX(B137:B$2,-1+SUMPRODUCT(MAX(ROW(E137:E$2)*(E138=E137:E$2)))))</f>
        <v> </v>
      </c>
      <c r="J138" s="25" t="str">
        <f>IF(OR(E138="",E138="!!!",F138="NEW"),"",COUNTBLANK(OFFSET(A$1,,,SUMPRODUCT(MAX(ROW(E$2:E138)*(E138=E$2:E138)))))-COUNTBLANK(OFFSET(A$1,,,SUMPRODUCT(MAX(ROW(E$1:E137)*(E2=E$1:E137))))))</f>
        <v> </v>
      </c>
      <c r="K138" s="25" t="str">
        <f>IF(OR(E138="",E138="!!!",F138="NEW"),"",INDEX(J$1:J137,SUMPRODUCT(MAX(ROW(E$1:E137)*(E138=E$1:E137)))))</f>
        <v> </v>
      </c>
      <c r="L138" s="26"/>
    </row>
    <row r="139" spans="1:12">
      <c r="A139" s="20" t="s">
        <v>271</v>
      </c>
      <c r="E139" s="21">
        <f>IF(D139="?OLD","!!!","")</f>
        <v/>
      </c>
      <c r="F139" s="22" t="str">
        <f>IF(OR(E139="",E139="!!!"),"",IF(NOT(ISNA(VLOOKUP(E139,E$1:E138,1,FALSE()))),"OLD",IF(AND(E139&lt;&gt;"",E139&lt;&gt;"!!!"),"NEW","")))</f>
        <v> </v>
      </c>
      <c r="G139" s="23" t="str">
        <f>IF(OR(E139="",E139="!!!"),"",IF(OR(J139=0,AND(J139=1,K139=1),AND(J139=1,I139="SBJ"),AND(J139=1,I139=0)),"?IN_FOCUS",IF(J139&lt;=2,"?ACTIVATED",IF(J139&lt;&gt;"","?FAMILIAR",IF(F139="NEW",IF(ISNA(VLOOKUP(E139,#REF!,1,FALSE())),"?TYPE_IDENTIFIABLE","?REFERENTIAL"),"_")))))</f>
        <v> </v>
      </c>
      <c r="H139" s="24" t="str">
        <f>IF(J139&lt;&gt;1,"",IF(I139="SBJ","CB","?"))</f>
        <v> </v>
      </c>
      <c r="I139" s="25" t="str">
        <f>IF(OR(E139="",E139="!!!",F139="NEW"),"",INDEX(B138:B$2,-1+SUMPRODUCT(MAX(ROW(E138:E$2)*(E139=E138:E$2)))))</f>
        <v> </v>
      </c>
      <c r="J139" s="25" t="str">
        <f>IF(OR(E139="",E139="!!!",F139="NEW"),"",COUNTBLANK(OFFSET(A$1,,,SUMPRODUCT(MAX(ROW(E$2:E139)*(E139=E$2:E139)))))-COUNTBLANK(OFFSET(A$1,,,SUMPRODUCT(MAX(ROW(E$1:E138)*(E2=E$1:E138))))))</f>
        <v> </v>
      </c>
      <c r="K139" s="25" t="str">
        <f>IF(OR(E139="",E139="!!!",F139="NEW"),"",INDEX(J$1:J138,SUMPRODUCT(MAX(ROW(E$1:E138)*(E139=E$1:E138)))))</f>
        <v> </v>
      </c>
      <c r="L139" s="26"/>
    </row>
    <row r="140" spans="1:12">
      <c r="A140" s="20" t="s">
        <v>327</v>
      </c>
      <c r="E140" s="21">
        <f>IF(D140="?OLD","!!!","")</f>
        <v/>
      </c>
      <c r="F140" s="22" t="str">
        <f>IF(OR(E140="",E140="!!!"),"",IF(NOT(ISNA(VLOOKUP(E140,E$1:E139,1,FALSE()))),"OLD",IF(AND(E140&lt;&gt;"",E140&lt;&gt;"!!!"),"NEW","")))</f>
        <v> </v>
      </c>
      <c r="G140" s="23" t="str">
        <f>IF(OR(E140="",E140="!!!"),"",IF(OR(J140=0,AND(J140=1,K140=1),AND(J140=1,I140="SBJ"),AND(J140=1,I140=0)),"?IN_FOCUS",IF(J140&lt;=2,"?ACTIVATED",IF(J140&lt;&gt;"","?FAMILIAR",IF(F140="NEW",IF(ISNA(VLOOKUP(E140,#REF!,1,FALSE())),"?TYPE_IDENTIFIABLE","?REFERENTIAL"),"_")))))</f>
        <v> </v>
      </c>
      <c r="H140" s="24" t="str">
        <f>IF(J140&lt;&gt;1,"",IF(I140="SBJ","CB","?"))</f>
        <v> </v>
      </c>
      <c r="I140" s="25" t="str">
        <f>IF(OR(E140="",E140="!!!",F140="NEW"),"",INDEX(B139:B$2,-1+SUMPRODUCT(MAX(ROW(E139:E$2)*(E140=E139:E$2)))))</f>
        <v> </v>
      </c>
      <c r="J140" s="25" t="str">
        <f>IF(OR(E140="",E140="!!!",F140="NEW"),"",COUNTBLANK(OFFSET(A$1,,,SUMPRODUCT(MAX(ROW(E$2:E140)*(E140=E$2:E140)))))-COUNTBLANK(OFFSET(A$1,,,SUMPRODUCT(MAX(ROW(E$1:E139)*(E2=E$1:E139))))))</f>
        <v> </v>
      </c>
      <c r="K140" s="25" t="str">
        <f>IF(OR(E140="",E140="!!!",F140="NEW"),"",INDEX(J$1:J139,SUMPRODUCT(MAX(ROW(E$1:E139)*(E140=E$1:E139)))))</f>
        <v> </v>
      </c>
      <c r="L140" s="26"/>
    </row>
    <row r="141" spans="1:12">
      <c r="A141" s="20" t="s">
        <v>361</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271</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t="s">
        <v>255</v>
      </c>
      <c r="B143" s="27" t="s">
        <v>276</v>
      </c>
      <c r="C143" s="27" t="s">
        <v>257</v>
      </c>
      <c r="D143" s="27" t="s">
        <v>258</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t="s">
        <v>35</v>
      </c>
      <c r="E144" s="21">
        <f>IF(D144="?OLD","!!!","")</f>
        <v/>
      </c>
      <c r="F144" s="22" t="str">
        <f>IF(OR(E144="",E144="!!!"),"",IF(NOT(ISNA(VLOOKUP(E144,E$1:E143,1,FALSE()))),"OLD",IF(AND(E144&lt;&gt;"",E144&lt;&gt;"!!!"),"NEW","")))</f>
        <v> </v>
      </c>
      <c r="G144" s="23" t="str">
        <f>IF(OR(E144="",E144="!!!"),"",IF(OR(J144=0,AND(J144=1,K144=1),AND(J144=1,I144="SBJ"),AND(J144=1,I144=0)),"?IN_FOCUS",IF(J144&lt;=2,"?ACTIVATED",IF(J144&lt;&gt;"","?FAMILIAR",IF(F144="NEW",IF(ISNA(VLOOKUP(E144,#REF!,1,FALSE())),"?TYPE_IDENTIFIABLE","?REFERENTIAL"),"_")))))</f>
        <v> </v>
      </c>
      <c r="H144" s="24" t="str">
        <f>IF(J144&lt;&gt;1,"",IF(I144="SBJ","CB","?"))</f>
        <v> </v>
      </c>
      <c r="I144" s="25" t="str">
        <f>IF(OR(E144="",E144="!!!",F144="NEW"),"",INDEX(B143:B$2,-1+SUMPRODUCT(MAX(ROW(E143:E$2)*(E144=E143:E$2)))))</f>
        <v> </v>
      </c>
      <c r="J144" s="25" t="str">
        <f>IF(OR(E144="",E144="!!!",F144="NEW"),"",COUNTBLANK(OFFSET(A$1,,,SUMPRODUCT(MAX(ROW(E$2:E144)*(E144=E$2:E144)))))-COUNTBLANK(OFFSET(A$1,,,SUMPRODUCT(MAX(ROW(E$1:E143)*(E2=E$1:E143))))))</f>
        <v> </v>
      </c>
      <c r="K144" s="25" t="str">
        <f>IF(OR(E144="",E144="!!!",F144="NEW"),"",INDEX(J$1:J143,SUMPRODUCT(MAX(ROW(E$1:E143)*(E144=E$1:E143)))))</f>
        <v> </v>
      </c>
      <c r="L144" s="26"/>
    </row>
    <row r="145" spans="1:12">
      <c r="A145" s="20" t="s">
        <v>362</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t="s">
        <v>235</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329</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363</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364</v>
      </c>
      <c r="B149" s="27" t="s">
        <v>256</v>
      </c>
      <c r="C149" s="27" t="s">
        <v>334</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t="s">
        <v>273</v>
      </c>
      <c r="B150" s="27" t="s">
        <v>286</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t="s">
        <v>365</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320</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row>
    <row r="154" spans="1:12">
      <c r="A154" s="20" t="s">
        <v>366</v>
      </c>
    </row>
    <row r="155" spans="1:12">
      <c r="A155" s="20" t="s">
        <v>339</v>
      </c>
      <c r="B155" s="27" t="s">
        <v>276</v>
      </c>
      <c r="C155" s="27" t="s">
        <v>367</v>
      </c>
      <c r="D155" s="27" t="s">
        <v>258</v>
      </c>
      <c r="E155" s="21">
        <f>IF(D155="?OLD","!!!","")</f>
        <v/>
      </c>
      <c r="F155" s="22" t="str">
        <f>IF(OR(E155="",E155="!!!"),"",IF(NOT(ISNA(VLOOKUP(E155,E$1:E154,1,FALSE()))),"OLD",IF(AND(E155&lt;&gt;"",E155&lt;&gt;"!!!"),"NEW","")))</f>
        <v> </v>
      </c>
      <c r="G155" s="23" t="str">
        <f>IF(OR(E155="",E155="!!!"),"",IF(OR(J155=0,AND(J155=1,K155=1),AND(J155=1,I155="SBJ"),AND(J155=1,I155=0)),"?IN_FOCUS",IF(J155&lt;=2,"?ACTIVATED",IF(J155&lt;&gt;"","?FAMILIAR",IF(F155="NEW",IF(ISNA(VLOOKUP(E155,#REF!,1,FALSE())),"?TYPE_IDENTIFIABLE","?REFERENTIAL"),"_")))))</f>
        <v> </v>
      </c>
      <c r="H155" s="24" t="str">
        <f>IF(J155&lt;&gt;1,"",IF(I155="SBJ","CB","?"))</f>
        <v> </v>
      </c>
      <c r="I155" s="25" t="str">
        <f>IF(OR(E155="",E155="!!!",F155="NEW"),"",INDEX(B154:B$2,-1+SUMPRODUCT(MAX(ROW(E154:E$2)*(E155=E154:E$2)))))</f>
        <v> </v>
      </c>
      <c r="J155" s="25" t="str">
        <f>IF(OR(E155="",E155="!!!",F155="NEW"),"",COUNTBLANK(OFFSET(A$1,,,SUMPRODUCT(MAX(ROW(E$2:E155)*(E155=E$2:E155)))))-COUNTBLANK(OFFSET(A$1,,,SUMPRODUCT(MAX(ROW(E$1:E154)*(E2=E$1:E154))))))</f>
        <v> </v>
      </c>
      <c r="K155" s="25" t="str">
        <f>IF(OR(E155="",E155="!!!",F155="NEW"),"",INDEX(J$1:J154,SUMPRODUCT(MAX(ROW(E$1:E154)*(E155=E$1:E154)))))</f>
        <v> </v>
      </c>
      <c r="L155" s="26"/>
    </row>
    <row r="156" spans="1:12">
      <c r="A156" s="20" t="s">
        <v>288</v>
      </c>
      <c r="E156" s="21">
        <f>IF(D156="?OLD","!!!","")</f>
        <v/>
      </c>
      <c r="F156" s="22" t="str">
        <f>IF(OR(E156="",E156="!!!"),"",IF(NOT(ISNA(VLOOKUP(E156,E$1:E155,1,FALSE()))),"OLD",IF(AND(E156&lt;&gt;"",E156&lt;&gt;"!!!"),"NEW","")))</f>
        <v> </v>
      </c>
      <c r="G156" s="23" t="str">
        <f>IF(OR(E156="",E156="!!!"),"",IF(OR(J156=0,AND(J156=1,K156=1),AND(J156=1,I156="SBJ"),AND(J156=1,I156=0)),"?IN_FOCUS",IF(J156&lt;=2,"?ACTIVATED",IF(J156&lt;&gt;"","?FAMILIAR",IF(F156="NEW",IF(ISNA(VLOOKUP(E156,#REF!,1,FALSE())),"?TYPE_IDENTIFIABLE","?REFERENTIAL"),"_")))))</f>
        <v> </v>
      </c>
      <c r="H156" s="24" t="str">
        <f>IF(J156&lt;&gt;1,"",IF(I156="SBJ","CB","?"))</f>
        <v> </v>
      </c>
      <c r="I156" s="25" t="str">
        <f>IF(OR(E156="",E156="!!!",F156="NEW"),"",INDEX(B155:B$2,-1+SUMPRODUCT(MAX(ROW(E155:E$2)*(E156=E155:E$2)))))</f>
        <v> </v>
      </c>
      <c r="J156" s="25" t="str">
        <f>IF(OR(E156="",E156="!!!",F156="NEW"),"",COUNTBLANK(OFFSET(A$1,,,SUMPRODUCT(MAX(ROW(E$2:E156)*(E156=E$2:E156)))))-COUNTBLANK(OFFSET(A$1,,,SUMPRODUCT(MAX(ROW(E$1:E155)*(E2=E$1:E155))))))</f>
        <v> </v>
      </c>
      <c r="K156" s="25" t="str">
        <f>IF(OR(E156="",E156="!!!",F156="NEW"),"",INDEX(J$1:J155,SUMPRODUCT(MAX(ROW(E$1:E155)*(E156=E$1:E155)))))</f>
        <v> </v>
      </c>
      <c r="L156" s="26"/>
    </row>
    <row r="157" spans="1:12">
      <c r="A157" s="20" t="s">
        <v>368</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t="s">
        <v>271</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t="s">
        <v>280</v>
      </c>
      <c r="E159" s="21">
        <f>IF(D159="?OLD","!!!","")</f>
        <v/>
      </c>
      <c r="F159" s="22" t="str">
        <f>IF(OR(E159="",E159="!!!"),"",IF(NOT(ISNA(VLOOKUP(E159,E$1:E158,1,FALSE()))),"OLD",IF(AND(E159&lt;&gt;"",E159&lt;&gt;"!!!"),"NEW","")))</f>
        <v> </v>
      </c>
      <c r="G159" s="23" t="str">
        <f>IF(OR(E159="",E159="!!!"),"",IF(OR(J159=0,AND(J159=1,K159=1),AND(J159=1,I159="SBJ"),AND(J159=1,I159=0)),"?IN_FOCUS",IF(J159&lt;=2,"?ACTIVATED",IF(J159&lt;&gt;"","?FAMILIAR",IF(F159="NEW",IF(ISNA(VLOOKUP(E159,#REF!,1,FALSE())),"?TYPE_IDENTIFIABLE","?REFERENTIAL"),"_")))))</f>
        <v> </v>
      </c>
      <c r="H159" s="24" t="str">
        <f>IF(J159&lt;&gt;1,"",IF(I159="SBJ","CB","?"))</f>
        <v> </v>
      </c>
      <c r="I159" s="25" t="str">
        <f>IF(OR(E159="",E159="!!!",F159="NEW"),"",INDEX(B158:B$2,-1+SUMPRODUCT(MAX(ROW(E158:E$2)*(E159=E158:E$2)))))</f>
        <v> </v>
      </c>
      <c r="J159" s="25" t="str">
        <f>IF(OR(E159="",E159="!!!",F159="NEW"),"",COUNTBLANK(OFFSET(A$1,,,SUMPRODUCT(MAX(ROW(E$2:E159)*(E159=E$2:E159)))))-COUNTBLANK(OFFSET(A$1,,,SUMPRODUCT(MAX(ROW(E$1:E158)*(E2=E$1:E158))))))</f>
        <v> </v>
      </c>
      <c r="K159" s="25" t="str">
        <f>IF(OR(E159="",E159="!!!",F159="NEW"),"",INDEX(J$1:J158,SUMPRODUCT(MAX(ROW(E$1:E158)*(E159=E$1:E158)))))</f>
        <v> </v>
      </c>
      <c r="L159" s="26"/>
    </row>
    <row r="160" spans="1:12">
      <c r="A160" s="20" t="s">
        <v>274</v>
      </c>
      <c r="E160" s="21">
        <f>IF(D160="?OLD","!!!","")</f>
        <v/>
      </c>
      <c r="F160" s="22" t="str">
        <f>IF(OR(E160="",E160="!!!"),"",IF(NOT(ISNA(VLOOKUP(E160,E$1:E159,1,FALSE()))),"OLD",IF(AND(E160&lt;&gt;"",E160&lt;&gt;"!!!"),"NEW","")))</f>
        <v> </v>
      </c>
      <c r="G160" s="23" t="str">
        <f>IF(OR(E160="",E160="!!!"),"",IF(OR(J160=0,AND(J160=1,K160=1),AND(J160=1,I160="SBJ"),AND(J160=1,I160=0)),"?IN_FOCUS",IF(J160&lt;=2,"?ACTIVATED",IF(J160&lt;&gt;"","?FAMILIAR",IF(F160="NEW",IF(ISNA(VLOOKUP(E160,#REF!,1,FALSE())),"?TYPE_IDENTIFIABLE","?REFERENTIAL"),"_")))))</f>
        <v> </v>
      </c>
      <c r="H160" s="24" t="str">
        <f>IF(J160&lt;&gt;1,"",IF(I160="SBJ","CB","?"))</f>
        <v> </v>
      </c>
      <c r="I160" s="25" t="str">
        <f>IF(OR(E160="",E160="!!!",F160="NEW"),"",INDEX(B159:B$2,-1+SUMPRODUCT(MAX(ROW(E159:E$2)*(E160=E159:E$2)))))</f>
        <v> </v>
      </c>
      <c r="J160" s="25" t="str">
        <f>IF(OR(E160="",E160="!!!",F160="NEW"),"",COUNTBLANK(OFFSET(A$1,,,SUMPRODUCT(MAX(ROW(E$2:E160)*(E160=E$2:E160)))))-COUNTBLANK(OFFSET(A$1,,,SUMPRODUCT(MAX(ROW(E$1:E159)*(E2=E$1:E159))))))</f>
        <v> </v>
      </c>
      <c r="K160" s="25" t="str">
        <f>IF(OR(E160="",E160="!!!",F160="NEW"),"",INDEX(J$1:J159,SUMPRODUCT(MAX(ROW(E$1:E159)*(E160=E$1:E159)))))</f>
        <v> </v>
      </c>
      <c r="L160" s="26"/>
    </row>
    <row r="161" spans="1:12">
      <c r="A161" s="20" t="s">
        <v>369</v>
      </c>
      <c r="B161" s="27" t="s">
        <v>267</v>
      </c>
      <c r="C161" s="27" t="s">
        <v>277</v>
      </c>
      <c r="D161" s="27" t="s">
        <v>258</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191</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271</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370</v>
      </c>
      <c r="B164" s="27" t="s">
        <v>256</v>
      </c>
      <c r="C164" s="27" t="s">
        <v>270</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371</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326</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t="s">
        <v>372</v>
      </c>
      <c r="B167" s="27" t="s">
        <v>267</v>
      </c>
      <c r="C167" s="27" t="s">
        <v>284</v>
      </c>
      <c r="D167" s="27" t="s">
        <v>258</v>
      </c>
      <c r="E167" s="21">
        <f>IF(D167="?OLD","!!!","")</f>
        <v/>
      </c>
      <c r="F167" s="22" t="str">
        <f>IF(OR(E167="",E167="!!!"),"",IF(NOT(ISNA(VLOOKUP(E167,E$1:E166,1,FALSE()))),"OLD",IF(AND(E167&lt;&gt;"",E167&lt;&gt;"!!!"),"NEW","")))</f>
        <v> </v>
      </c>
      <c r="G167" s="23" t="str">
        <f>IF(OR(E167="",E167="!!!"),"",IF(OR(J167=0,AND(J167=1,K167=1),AND(J167=1,I167="SBJ"),AND(J167=1,I167=0)),"?IN_FOCUS",IF(J167&lt;=2,"?ACTIVATED",IF(J167&lt;&gt;"","?FAMILIAR",IF(F167="NEW",IF(ISNA(VLOOKUP(E167,#REF!,1,FALSE())),"?TYPE_IDENTIFIABLE","?REFERENTIAL"),"_")))))</f>
        <v> </v>
      </c>
      <c r="H167" s="24" t="str">
        <f>IF(J167&lt;&gt;1,"",IF(I167="SBJ","CB","?"))</f>
        <v> </v>
      </c>
      <c r="I167" s="25" t="str">
        <f>IF(OR(E167="",E167="!!!",F167="NEW"),"",INDEX(B166:B$2,-1+SUMPRODUCT(MAX(ROW(E166:E$2)*(E167=E166:E$2)))))</f>
        <v> </v>
      </c>
      <c r="J167" s="25" t="str">
        <f>IF(OR(E167="",E167="!!!",F167="NEW"),"",COUNTBLANK(OFFSET(A$1,,,SUMPRODUCT(MAX(ROW(E$2:E167)*(E167=E$2:E167)))))-COUNTBLANK(OFFSET(A$1,,,SUMPRODUCT(MAX(ROW(E$1:E166)*(E2=E$1:E166))))))</f>
        <v> </v>
      </c>
      <c r="K167" s="25" t="str">
        <f>IF(OR(E167="",E167="!!!",F167="NEW"),"",INDEX(J$1:J166,SUMPRODUCT(MAX(ROW(E$1:E166)*(E167=E$1:E166)))))</f>
        <v> </v>
      </c>
      <c r="L167" s="26"/>
    </row>
    <row r="168" spans="1:12">
      <c r="A168" s="20" t="s">
        <v>373</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t="s">
        <v>374</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271</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293</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375</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t="s">
        <v>191</v>
      </c>
      <c r="B173" s="27" t="s">
        <v>328</v>
      </c>
      <c r="C173" s="27" t="s">
        <v>376</v>
      </c>
      <c r="D173" s="27" t="s">
        <v>258</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t="s">
        <v>377</v>
      </c>
      <c r="B174" s="27" t="s">
        <v>323</v>
      </c>
      <c r="C174" s="27" t="s">
        <v>257</v>
      </c>
      <c r="D174" s="27" t="s">
        <v>258</v>
      </c>
      <c r="E174" s="21">
        <f>IF(D174="?OLD","!!!","")</f>
        <v/>
      </c>
      <c r="F174" s="22" t="str">
        <f>IF(OR(E174="",E174="!!!"),"",IF(NOT(ISNA(VLOOKUP(E174,E$1:E173,1,FALSE()))),"OLD",IF(AND(E174&lt;&gt;"",E174&lt;&gt;"!!!"),"NEW","")))</f>
        <v> </v>
      </c>
      <c r="G174" s="23" t="str">
        <f>IF(OR(E174="",E174="!!!"),"",IF(OR(J174=0,AND(J174=1,K174=1),AND(J174=1,I174="SBJ"),AND(J174=1,I174=0)),"?IN_FOCUS",IF(J174&lt;=2,"?ACTIVATED",IF(J174&lt;&gt;"","?FAMILIAR",IF(F174="NEW",IF(ISNA(VLOOKUP(E174,#REF!,1,FALSE())),"?TYPE_IDENTIFIABLE","?REFERENTIAL"),"_")))))</f>
        <v> </v>
      </c>
      <c r="H174" s="24" t="str">
        <f>IF(J174&lt;&gt;1,"",IF(I174="SBJ","CB","?"))</f>
        <v> </v>
      </c>
      <c r="I174" s="25" t="str">
        <f>IF(OR(E174="",E174="!!!",F174="NEW"),"",INDEX(B173:B$2,-1+SUMPRODUCT(MAX(ROW(E173:E$2)*(E174=E173:E$2)))))</f>
        <v> </v>
      </c>
      <c r="J174" s="25" t="str">
        <f>IF(OR(E174="",E174="!!!",F174="NEW"),"",COUNTBLANK(OFFSET(A$1,,,SUMPRODUCT(MAX(ROW(E$2:E174)*(E174=E$2:E174)))))-COUNTBLANK(OFFSET(A$1,,,SUMPRODUCT(MAX(ROW(E$1:E173)*(E2=E$1:E173))))))</f>
        <v> </v>
      </c>
      <c r="K174" s="25" t="str">
        <f>IF(OR(E174="",E174="!!!",F174="NEW"),"",INDEX(J$1:J173,SUMPRODUCT(MAX(ROW(E$1:E173)*(E174=E$1:E173)))))</f>
        <v> </v>
      </c>
      <c r="L174" s="26"/>
    </row>
    <row r="175" spans="1:12">
      <c r="A175" s="20" t="s">
        <v>324</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t="s">
        <v>326</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t="s">
        <v>372</v>
      </c>
      <c r="B177" s="27" t="s">
        <v>328</v>
      </c>
      <c r="C177" s="27" t="s">
        <v>284</v>
      </c>
      <c r="D177" s="27" t="s">
        <v>258</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t="s">
        <v>373</v>
      </c>
      <c r="E178" s="21">
        <f>IF(D178="?OLD","!!!","")</f>
        <v/>
      </c>
      <c r="F178" s="22" t="str">
        <f>IF(OR(E178="",E178="!!!"),"",IF(NOT(ISNA(VLOOKUP(E178,E$1:E177,1,FALSE()))),"OLD",IF(AND(E178&lt;&gt;"",E178&lt;&gt;"!!!"),"NEW","")))</f>
        <v> </v>
      </c>
      <c r="G178" s="23" t="str">
        <f>IF(OR(E178="",E178="!!!"),"",IF(OR(J178=0,AND(J178=1,K178=1),AND(J178=1,I178="SBJ"),AND(J178=1,I178=0)),"?IN_FOCUS",IF(J178&lt;=2,"?ACTIVATED",IF(J178&lt;&gt;"","?FAMILIAR",IF(F178="NEW",IF(ISNA(VLOOKUP(E178,#REF!,1,FALSE())),"?TYPE_IDENTIFIABLE","?REFERENTIAL"),"_")))))</f>
        <v> </v>
      </c>
      <c r="H178" s="24" t="str">
        <f>IF(J178&lt;&gt;1,"",IF(I178="SBJ","CB","?"))</f>
        <v> </v>
      </c>
      <c r="I178" s="25" t="str">
        <f>IF(OR(E178="",E178="!!!",F178="NEW"),"",INDEX(B177:B$2,-1+SUMPRODUCT(MAX(ROW(E177:E$2)*(E178=E177:E$2)))))</f>
        <v> </v>
      </c>
      <c r="J178" s="25" t="str">
        <f>IF(OR(E178="",E178="!!!",F178="NEW"),"",COUNTBLANK(OFFSET(A$1,,,SUMPRODUCT(MAX(ROW(E$2:E178)*(E178=E$2:E178)))))-COUNTBLANK(OFFSET(A$1,,,SUMPRODUCT(MAX(ROW(E$1:E177)*(E2=E$1:E177))))))</f>
        <v> </v>
      </c>
      <c r="K178" s="25" t="str">
        <f>IF(OR(E178="",E178="!!!",F178="NEW"),"",INDEX(J$1:J177,SUMPRODUCT(MAX(ROW(E$1:E177)*(E178=E$1:E177)))))</f>
        <v> </v>
      </c>
      <c r="L178" s="26"/>
    </row>
    <row r="179" spans="1:12">
      <c r="A179" s="20" t="s">
        <v>378</v>
      </c>
      <c r="B179" s="27" t="s">
        <v>267</v>
      </c>
      <c r="C179" s="27" t="s">
        <v>287</v>
      </c>
      <c r="D179" s="27" t="s">
        <v>258</v>
      </c>
      <c r="E179" s="21">
        <f>IF(D179="?OLD","!!!","")</f>
        <v/>
      </c>
      <c r="F179" s="22" t="str">
        <f>IF(OR(E179="",E179="!!!"),"",IF(NOT(ISNA(VLOOKUP(E179,E$1:E178,1,FALSE()))),"OLD",IF(AND(E179&lt;&gt;"",E179&lt;&gt;"!!!"),"NEW","")))</f>
        <v> </v>
      </c>
      <c r="G179" s="23" t="str">
        <f>IF(OR(E179="",E179="!!!"),"",IF(OR(J179=0,AND(J179=1,K179=1),AND(J179=1,I179="SBJ"),AND(J179=1,I179=0)),"?IN_FOCUS",IF(J179&lt;=2,"?ACTIVATED",IF(J179&lt;&gt;"","?FAMILIAR",IF(F179="NEW",IF(ISNA(VLOOKUP(E179,#REF!,1,FALSE())),"?TYPE_IDENTIFIABLE","?REFERENTIAL"),"_")))))</f>
        <v> </v>
      </c>
      <c r="H179" s="24" t="str">
        <f>IF(J179&lt;&gt;1,"",IF(I179="SBJ","CB","?"))</f>
        <v> </v>
      </c>
      <c r="I179" s="25" t="str">
        <f>IF(OR(E179="",E179="!!!",F179="NEW"),"",INDEX(B178:B$2,-1+SUMPRODUCT(MAX(ROW(E178:E$2)*(E179=E178:E$2)))))</f>
        <v> </v>
      </c>
      <c r="J179" s="25" t="str">
        <f>IF(OR(E179="",E179="!!!",F179="NEW"),"",COUNTBLANK(OFFSET(A$1,,,SUMPRODUCT(MAX(ROW(E$2:E179)*(E179=E$2:E179)))))-COUNTBLANK(OFFSET(A$1,,,SUMPRODUCT(MAX(ROW(E$1:E178)*(E2=E$1:E178))))))</f>
        <v> </v>
      </c>
      <c r="K179" s="25" t="str">
        <f>IF(OR(E179="",E179="!!!",F179="NEW"),"",INDEX(J$1:J178,SUMPRODUCT(MAX(ROW(E$1:E178)*(E179=E$1:E178)))))</f>
        <v> </v>
      </c>
      <c r="L179" s="26"/>
    </row>
    <row r="180" spans="1:12">
      <c r="A180" s="20" t="s">
        <v>320</v>
      </c>
      <c r="E180" s="21">
        <f>IF(D180="?OLD","!!!","")</f>
        <v/>
      </c>
      <c r="F180" s="22" t="str">
        <f>IF(OR(E180="",E180="!!!"),"",IF(NOT(ISNA(VLOOKUP(E180,E$1:E179,1,FALSE()))),"OLD",IF(AND(E180&lt;&gt;"",E180&lt;&gt;"!!!"),"NEW","")))</f>
        <v> </v>
      </c>
      <c r="G180" s="23" t="str">
        <f>IF(OR(E180="",E180="!!!"),"",IF(OR(J180=0,AND(J180=1,K180=1),AND(J180=1,I180="SBJ"),AND(J180=1,I180=0)),"?IN_FOCUS",IF(J180&lt;=2,"?ACTIVATED",IF(J180&lt;&gt;"","?FAMILIAR",IF(F180="NEW",IF(ISNA(VLOOKUP(E180,#REF!,1,FALSE())),"?TYPE_IDENTIFIABLE","?REFERENTIAL"),"_")))))</f>
        <v> </v>
      </c>
      <c r="H180" s="24" t="str">
        <f>IF(J180&lt;&gt;1,"",IF(I180="SBJ","CB","?"))</f>
        <v> </v>
      </c>
      <c r="I180" s="25" t="str">
        <f>IF(OR(E180="",E180="!!!",F180="NEW"),"",INDEX(B179:B$2,-1+SUMPRODUCT(MAX(ROW(E179:E$2)*(E180=E179:E$2)))))</f>
        <v> </v>
      </c>
      <c r="J180" s="25" t="str">
        <f>IF(OR(E180="",E180="!!!",F180="NEW"),"",COUNTBLANK(OFFSET(A$1,,,SUMPRODUCT(MAX(ROW(E$2:E180)*(E180=E$2:E180)))))-COUNTBLANK(OFFSET(A$1,,,SUMPRODUCT(MAX(ROW(E$1:E179)*(E2=E$1:E179))))))</f>
        <v> </v>
      </c>
      <c r="K180" s="25" t="str">
        <f>IF(OR(E180="",E180="!!!",F180="NEW"),"",INDEX(J$1:J179,SUMPRODUCT(MAX(ROW(E$1:E179)*(E180=E$1:E179)))))</f>
        <v> </v>
      </c>
      <c r="L180" s="26"/>
    </row>
    <row r="181" spans="1:12">
      <c r="A181" s="20"/>
    </row>
    <row r="182" spans="1:12">
      <c r="A182" s="20" t="s">
        <v>379</v>
      </c>
    </row>
    <row r="183" spans="1:12">
      <c r="A183" s="20" t="s">
        <v>380</v>
      </c>
      <c r="B183" s="27" t="s">
        <v>276</v>
      </c>
      <c r="C183" s="27" t="s">
        <v>257</v>
      </c>
      <c r="D183" s="27" t="s">
        <v>258</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t="s">
        <v>259</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43</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381</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382</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t="s">
        <v>383</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t="s">
        <v>293</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t="s">
        <v>384</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385</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274</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t="s">
        <v>279</v>
      </c>
      <c r="B193" s="27" t="s">
        <v>262</v>
      </c>
      <c r="C193" s="27" t="s">
        <v>277</v>
      </c>
      <c r="D193" s="27" t="s">
        <v>258</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t="s">
        <v>336</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t="s">
        <v>355</v>
      </c>
      <c r="B195" s="27" t="s">
        <v>267</v>
      </c>
      <c r="C195" s="27" t="s">
        <v>270</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278</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t="s">
        <v>386</v>
      </c>
      <c r="B197" s="27" t="s">
        <v>328</v>
      </c>
      <c r="C197" s="27" t="s">
        <v>270</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t="s">
        <v>271</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t="s">
        <v>387</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t="s">
        <v>273</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388</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t="s">
        <v>389</v>
      </c>
      <c r="B202" s="27" t="s">
        <v>323</v>
      </c>
      <c r="C202" s="27" t="s">
        <v>270</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t="s">
        <v>293</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t="s">
        <v>390</v>
      </c>
      <c r="B204" s="27" t="s">
        <v>291</v>
      </c>
      <c r="C204" s="27" t="s">
        <v>270</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t="s">
        <v>371</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t="s">
        <v>274</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391</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t="s">
        <v>392</v>
      </c>
      <c r="B208" s="27" t="s">
        <v>267</v>
      </c>
      <c r="C208" s="27" t="s">
        <v>277</v>
      </c>
      <c r="D208" s="27" t="s">
        <v>258</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t="s">
        <v>271</v>
      </c>
      <c r="E209" s="21">
        <f>IF(D209="?OLD","!!!","")</f>
        <v/>
      </c>
      <c r="F209" s="22" t="str">
        <f>IF(OR(E209="",E209="!!!"),"",IF(NOT(ISNA(VLOOKUP(E209,E$1:E208,1,FALSE()))),"OLD",IF(AND(E209&lt;&gt;"",E209&lt;&gt;"!!!"),"NEW","")))</f>
        <v> </v>
      </c>
      <c r="G209" s="23" t="str">
        <f>IF(OR(E209="",E209="!!!"),"",IF(OR(J209=0,AND(J209=1,K209=1),AND(J209=1,I209="SBJ"),AND(J209=1,I209=0)),"?IN_FOCUS",IF(J209&lt;=2,"?ACTIVATED",IF(J209&lt;&gt;"","?FAMILIAR",IF(F209="NEW",IF(ISNA(VLOOKUP(E209,#REF!,1,FALSE())),"?TYPE_IDENTIFIABLE","?REFERENTIAL"),"_")))))</f>
        <v> </v>
      </c>
      <c r="H209" s="24" t="str">
        <f>IF(J209&lt;&gt;1,"",IF(I209="SBJ","CB","?"))</f>
        <v> </v>
      </c>
      <c r="I209" s="25" t="str">
        <f>IF(OR(E209="",E209="!!!",F209="NEW"),"",INDEX(B208:B$2,-1+SUMPRODUCT(MAX(ROW(E208:E$2)*(E209=E208:E$2)))))</f>
        <v> </v>
      </c>
      <c r="J209" s="25" t="str">
        <f>IF(OR(E209="",E209="!!!",F209="NEW"),"",COUNTBLANK(OFFSET(A$1,,,SUMPRODUCT(MAX(ROW(E$2:E209)*(E209=E$2:E209)))))-COUNTBLANK(OFFSET(A$1,,,SUMPRODUCT(MAX(ROW(E$1:E208)*(E2=E$1:E208))))))</f>
        <v> </v>
      </c>
      <c r="K209" s="25" t="str">
        <f>IF(OR(E209="",E209="!!!",F209="NEW"),"",INDEX(J$1:J208,SUMPRODUCT(MAX(ROW(E$1:E208)*(E209=E$1:E208)))))</f>
        <v> </v>
      </c>
      <c r="L209" s="26"/>
    </row>
    <row r="210" spans="1:12">
      <c r="A210" s="20" t="s">
        <v>393</v>
      </c>
      <c r="E210" s="21">
        <f>IF(D210="?OLD","!!!","")</f>
        <v/>
      </c>
      <c r="F210" s="22" t="str">
        <f>IF(OR(E210="",E210="!!!"),"",IF(NOT(ISNA(VLOOKUP(E210,E$1:E209,1,FALSE()))),"OLD",IF(AND(E210&lt;&gt;"",E210&lt;&gt;"!!!"),"NEW","")))</f>
        <v> </v>
      </c>
      <c r="G210" s="23" t="str">
        <f>IF(OR(E210="",E210="!!!"),"",IF(OR(J210=0,AND(J210=1,K210=1),AND(J210=1,I210="SBJ"),AND(J210=1,I210=0)),"?IN_FOCUS",IF(J210&lt;=2,"?ACTIVATED",IF(J210&lt;&gt;"","?FAMILIAR",IF(F210="NEW",IF(ISNA(VLOOKUP(E210,#REF!,1,FALSE())),"?TYPE_IDENTIFIABLE","?REFERENTIAL"),"_")))))</f>
        <v> </v>
      </c>
      <c r="H210" s="24" t="str">
        <f>IF(J210&lt;&gt;1,"",IF(I210="SBJ","CB","?"))</f>
        <v> </v>
      </c>
      <c r="I210" s="25" t="str">
        <f>IF(OR(E210="",E210="!!!",F210="NEW"),"",INDEX(B209:B$2,-1+SUMPRODUCT(MAX(ROW(E209:E$2)*(E210=E209:E$2)))))</f>
        <v> </v>
      </c>
      <c r="J210" s="25" t="str">
        <f>IF(OR(E210="",E210="!!!",F210="NEW"),"",COUNTBLANK(OFFSET(A$1,,,SUMPRODUCT(MAX(ROW(E$2:E210)*(E210=E$2:E210)))))-COUNTBLANK(OFFSET(A$1,,,SUMPRODUCT(MAX(ROW(E$1:E209)*(E2=E$1:E209))))))</f>
        <v> </v>
      </c>
      <c r="K210" s="25" t="str">
        <f>IF(OR(E210="",E210="!!!",F210="NEW"),"",INDEX(J$1:J209,SUMPRODUCT(MAX(ROW(E$1:E209)*(E210=E$1:E209)))))</f>
        <v> </v>
      </c>
      <c r="L210" s="26"/>
    </row>
    <row r="211" spans="1:12">
      <c r="A211" s="20" t="s">
        <v>394</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t="s">
        <v>395</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t="s">
        <v>396</v>
      </c>
      <c r="B213" s="27" t="s">
        <v>328</v>
      </c>
      <c r="C213" s="27" t="s">
        <v>397</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t="s">
        <v>320</v>
      </c>
      <c r="E214" s="21">
        <f>IF(D214="?OLD","!!!","")</f>
        <v/>
      </c>
      <c r="F214" s="22" t="str">
        <f>IF(OR(E214="",E214="!!!"),"",IF(NOT(ISNA(VLOOKUP(E214,E$1:E213,1,FALSE()))),"OLD",IF(AND(E214&lt;&gt;"",E214&lt;&gt;"!!!"),"NEW","")))</f>
        <v> </v>
      </c>
      <c r="G214" s="23" t="str">
        <f>IF(OR(E214="",E214="!!!"),"",IF(OR(J214=0,AND(J214=1,K214=1),AND(J214=1,I214="SBJ"),AND(J214=1,I214=0)),"?IN_FOCUS",IF(J214&lt;=2,"?ACTIVATED",IF(J214&lt;&gt;"","?FAMILIAR",IF(F214="NEW",IF(ISNA(VLOOKUP(E214,#REF!,1,FALSE())),"?TYPE_IDENTIFIABLE","?REFERENTIAL"),"_")))))</f>
        <v> </v>
      </c>
      <c r="H214" s="24" t="str">
        <f>IF(J214&lt;&gt;1,"",IF(I214="SBJ","CB","?"))</f>
        <v> </v>
      </c>
      <c r="I214" s="25" t="str">
        <f>IF(OR(E214="",E214="!!!",F214="NEW"),"",INDEX(B213:B$2,-1+SUMPRODUCT(MAX(ROW(E213:E$2)*(E214=E213:E$2)))))</f>
        <v> </v>
      </c>
      <c r="J214" s="25" t="str">
        <f>IF(OR(E214="",E214="!!!",F214="NEW"),"",COUNTBLANK(OFFSET(A$1,,,SUMPRODUCT(MAX(ROW(E$2:E214)*(E214=E$2:E214)))))-COUNTBLANK(OFFSET(A$1,,,SUMPRODUCT(MAX(ROW(E$1:E213)*(E2=E$1:E213))))))</f>
        <v> </v>
      </c>
      <c r="K214" s="25" t="str">
        <f>IF(OR(E214="",E214="!!!",F214="NEW"),"",INDEX(J$1:J213,SUMPRODUCT(MAX(ROW(E$1:E213)*(E214=E$1:E213)))))</f>
        <v> </v>
      </c>
      <c r="L214" s="26"/>
    </row>
    <row r="215" spans="1:12">
      <c r="A215" s="20"/>
    </row>
    <row r="216" spans="1:12">
      <c r="A216" s="20" t="s">
        <v>398</v>
      </c>
    </row>
    <row r="217" spans="1:12">
      <c r="A217" s="20" t="s">
        <v>254</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282</v>
      </c>
      <c r="B218" s="27" t="s">
        <v>256</v>
      </c>
      <c r="C218" s="27" t="s">
        <v>257</v>
      </c>
      <c r="D218" s="27" t="s">
        <v>258</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t="s">
        <v>71</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t="s">
        <v>399</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293</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282</v>
      </c>
      <c r="B222" s="27" t="s">
        <v>328</v>
      </c>
      <c r="C222" s="27" t="s">
        <v>284</v>
      </c>
      <c r="D222" s="27" t="s">
        <v>258</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353</v>
      </c>
      <c r="B223" s="27" t="s">
        <v>267</v>
      </c>
      <c r="C223" s="27" t="s">
        <v>287</v>
      </c>
      <c r="D223" s="27" t="s">
        <v>258</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336</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337</v>
      </c>
      <c r="B225" s="27" t="s">
        <v>328</v>
      </c>
      <c r="C225" s="27" t="s">
        <v>270</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t="s">
        <v>16</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t="s">
        <v>357</v>
      </c>
      <c r="E227" s="21">
        <f>IF(D227="?OLD","!!!","")</f>
        <v/>
      </c>
      <c r="F227" s="22" t="str">
        <f>IF(OR(E227="",E227="!!!"),"",IF(NOT(ISNA(VLOOKUP(E227,E$1:E226,1,FALSE()))),"OLD",IF(AND(E227&lt;&gt;"",E227&lt;&gt;"!!!"),"NEW","")))</f>
        <v> </v>
      </c>
      <c r="G227" s="23" t="str">
        <f>IF(OR(E227="",E227="!!!"),"",IF(OR(J227=0,AND(J227=1,K227=1),AND(J227=1,I227="SBJ"),AND(J227=1,I227=0)),"?IN_FOCUS",IF(J227&lt;=2,"?ACTIVATED",IF(J227&lt;&gt;"","?FAMILIAR",IF(F227="NEW",IF(ISNA(VLOOKUP(E227,#REF!,1,FALSE())),"?TYPE_IDENTIFIABLE","?REFERENTIAL"),"_")))))</f>
        <v> </v>
      </c>
      <c r="H227" s="24" t="str">
        <f>IF(J227&lt;&gt;1,"",IF(I227="SBJ","CB","?"))</f>
        <v> </v>
      </c>
      <c r="I227" s="25" t="str">
        <f>IF(OR(E227="",E227="!!!",F227="NEW"),"",INDEX(B226:B$2,-1+SUMPRODUCT(MAX(ROW(E226:E$2)*(E227=E226:E$2)))))</f>
        <v> </v>
      </c>
      <c r="J227" s="25" t="str">
        <f>IF(OR(E227="",E227="!!!",F227="NEW"),"",COUNTBLANK(OFFSET(A$1,,,SUMPRODUCT(MAX(ROW(E$2:E227)*(E227=E$2:E227)))))-COUNTBLANK(OFFSET(A$1,,,SUMPRODUCT(MAX(ROW(E$1:E226)*(E2=E$1:E226))))))</f>
        <v> </v>
      </c>
      <c r="K227" s="25" t="str">
        <f>IF(OR(E227="",E227="!!!",F227="NEW"),"",INDEX(J$1:J226,SUMPRODUCT(MAX(ROW(E$1:E226)*(E227=E$1:E226)))))</f>
        <v> </v>
      </c>
      <c r="L227" s="26"/>
    </row>
    <row r="228" spans="1:12">
      <c r="A228" s="20" t="s">
        <v>164</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t="s">
        <v>400</v>
      </c>
      <c r="B229" s="27" t="s">
        <v>401</v>
      </c>
      <c r="C229" s="27" t="s">
        <v>268</v>
      </c>
      <c r="E229" s="21">
        <f>IF(D229="?OLD","!!!","")</f>
        <v/>
      </c>
      <c r="F229" s="22" t="str">
        <f>IF(OR(E229="",E229="!!!"),"",IF(NOT(ISNA(VLOOKUP(E229,E$1:E228,1,FALSE()))),"OLD",IF(AND(E229&lt;&gt;"",E229&lt;&gt;"!!!"),"NEW","")))</f>
        <v> </v>
      </c>
      <c r="G229" s="23" t="str">
        <f>IF(OR(E229="",E229="!!!"),"",IF(OR(J229=0,AND(J229=1,K229=1),AND(J229=1,I229="SBJ"),AND(J229=1,I229=0)),"?IN_FOCUS",IF(J229&lt;=2,"?ACTIVATED",IF(J229&lt;&gt;"","?FAMILIAR",IF(F229="NEW",IF(ISNA(VLOOKUP(E229,#REF!,1,FALSE())),"?TYPE_IDENTIFIABLE","?REFERENTIAL"),"_")))))</f>
        <v> </v>
      </c>
      <c r="H229" s="24" t="str">
        <f>IF(J229&lt;&gt;1,"",IF(I229="SBJ","CB","?"))</f>
        <v> </v>
      </c>
      <c r="I229" s="25" t="str">
        <f>IF(OR(E229="",E229="!!!",F229="NEW"),"",INDEX(B228:B$2,-1+SUMPRODUCT(MAX(ROW(E228:E$2)*(E229=E228:E$2)))))</f>
        <v> </v>
      </c>
      <c r="J229" s="25" t="str">
        <f>IF(OR(E229="",E229="!!!",F229="NEW"),"",COUNTBLANK(OFFSET(A$1,,,SUMPRODUCT(MAX(ROW(E$2:E229)*(E229=E$2:E229)))))-COUNTBLANK(OFFSET(A$1,,,SUMPRODUCT(MAX(ROW(E$1:E228)*(E2=E$1:E228))))))</f>
        <v> </v>
      </c>
      <c r="K229" s="25" t="str">
        <f>IF(OR(E229="",E229="!!!",F229="NEW"),"",INDEX(J$1:J228,SUMPRODUCT(MAX(ROW(E$1:E228)*(E229=E$1:E228)))))</f>
        <v> </v>
      </c>
      <c r="L229" s="26"/>
    </row>
    <row r="230" spans="1:12">
      <c r="A230" s="20" t="s">
        <v>402</v>
      </c>
      <c r="E230" s="21">
        <f>IF(D230="?OLD","!!!","")</f>
        <v/>
      </c>
      <c r="F230" s="22" t="str">
        <f>IF(OR(E230="",E230="!!!"),"",IF(NOT(ISNA(VLOOKUP(E230,E$1:E229,1,FALSE()))),"OLD",IF(AND(E230&lt;&gt;"",E230&lt;&gt;"!!!"),"NEW","")))</f>
        <v> </v>
      </c>
      <c r="G230" s="23" t="str">
        <f>IF(OR(E230="",E230="!!!"),"",IF(OR(J230=0,AND(J230=1,K230=1),AND(J230=1,I230="SBJ"),AND(J230=1,I230=0)),"?IN_FOCUS",IF(J230&lt;=2,"?ACTIVATED",IF(J230&lt;&gt;"","?FAMILIAR",IF(F230="NEW",IF(ISNA(VLOOKUP(E230,#REF!,1,FALSE())),"?TYPE_IDENTIFIABLE","?REFERENTIAL"),"_")))))</f>
        <v> </v>
      </c>
      <c r="H230" s="24" t="str">
        <f>IF(J230&lt;&gt;1,"",IF(I230="SBJ","CB","?"))</f>
        <v> </v>
      </c>
      <c r="I230" s="25" t="str">
        <f>IF(OR(E230="",E230="!!!",F230="NEW"),"",INDEX(B229:B$2,-1+SUMPRODUCT(MAX(ROW(E229:E$2)*(E230=E229:E$2)))))</f>
        <v> </v>
      </c>
      <c r="J230" s="25" t="str">
        <f>IF(OR(E230="",E230="!!!",F230="NEW"),"",COUNTBLANK(OFFSET(A$1,,,SUMPRODUCT(MAX(ROW(E$2:E230)*(E230=E$2:E230)))))-COUNTBLANK(OFFSET(A$1,,,SUMPRODUCT(MAX(ROW(E$1:E229)*(E2=E$1:E229))))))</f>
        <v> </v>
      </c>
      <c r="K230" s="25" t="str">
        <f>IF(OR(E230="",E230="!!!",F230="NEW"),"",INDEX(J$1:J229,SUMPRODUCT(MAX(ROW(E$1:E229)*(E230=E$1:E229)))))</f>
        <v> </v>
      </c>
      <c r="L230" s="26"/>
    </row>
    <row r="231" spans="1:12">
      <c r="A231" s="20" t="s">
        <v>403</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t="s">
        <v>16</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t="s">
        <v>282</v>
      </c>
      <c r="B233" s="27" t="s">
        <v>256</v>
      </c>
      <c r="C233" s="27" t="s">
        <v>257</v>
      </c>
      <c r="D233" s="27" t="s">
        <v>258</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t="s">
        <v>35</v>
      </c>
      <c r="E234" s="21">
        <f>IF(D234="?OLD","!!!","")</f>
        <v/>
      </c>
      <c r="F234" s="22" t="str">
        <f>IF(OR(E234="",E234="!!!"),"",IF(NOT(ISNA(VLOOKUP(E234,E$1:E233,1,FALSE()))),"OLD",IF(AND(E234&lt;&gt;"",E234&lt;&gt;"!!!"),"NEW","")))</f>
        <v> </v>
      </c>
      <c r="G234" s="23" t="str">
        <f>IF(OR(E234="",E234="!!!"),"",IF(OR(J234=0,AND(J234=1,K234=1),AND(J234=1,I234="SBJ"),AND(J234=1,I234=0)),"?IN_FOCUS",IF(J234&lt;=2,"?ACTIVATED",IF(J234&lt;&gt;"","?FAMILIAR",IF(F234="NEW",IF(ISNA(VLOOKUP(E234,#REF!,1,FALSE())),"?TYPE_IDENTIFIABLE","?REFERENTIAL"),"_")))))</f>
        <v> </v>
      </c>
      <c r="H234" s="24" t="str">
        <f>IF(J234&lt;&gt;1,"",IF(I234="SBJ","CB","?"))</f>
        <v> </v>
      </c>
      <c r="I234" s="25" t="str">
        <f>IF(OR(E234="",E234="!!!",F234="NEW"),"",INDEX(B233:B$2,-1+SUMPRODUCT(MAX(ROW(E233:E$2)*(E234=E233:E$2)))))</f>
        <v> </v>
      </c>
      <c r="J234" s="25" t="str">
        <f>IF(OR(E234="",E234="!!!",F234="NEW"),"",COUNTBLANK(OFFSET(A$1,,,SUMPRODUCT(MAX(ROW(E$2:E234)*(E234=E$2:E234)))))-COUNTBLANK(OFFSET(A$1,,,SUMPRODUCT(MAX(ROW(E$1:E233)*(E2=E$1:E233))))))</f>
        <v> </v>
      </c>
      <c r="K234" s="25" t="str">
        <f>IF(OR(E234="",E234="!!!",F234="NEW"),"",INDEX(J$1:J233,SUMPRODUCT(MAX(ROW(E$1:E233)*(E234=E$1:E233)))))</f>
        <v> </v>
      </c>
      <c r="L234" s="26"/>
    </row>
    <row r="235" spans="1:12">
      <c r="A235" s="20" t="s">
        <v>273</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t="s">
        <v>358</v>
      </c>
      <c r="B236" s="27" t="s">
        <v>323</v>
      </c>
      <c r="C236" s="27" t="s">
        <v>270</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t="s">
        <v>371</v>
      </c>
      <c r="E237" s="21">
        <f>IF(D237="?OLD","!!!","")</f>
        <v/>
      </c>
      <c r="F237" s="22" t="str">
        <f>IF(OR(E237="",E237="!!!"),"",IF(NOT(ISNA(VLOOKUP(E237,E$1:E236,1,FALSE()))),"OLD",IF(AND(E237&lt;&gt;"",E237&lt;&gt;"!!!"),"NEW","")))</f>
        <v> </v>
      </c>
      <c r="G237" s="23" t="str">
        <f>IF(OR(E237="",E237="!!!"),"",IF(OR(J237=0,AND(J237=1,K237=1),AND(J237=1,I237="SBJ"),AND(J237=1,I237=0)),"?IN_FOCUS",IF(J237&lt;=2,"?ACTIVATED",IF(J237&lt;&gt;"","?FAMILIAR",IF(F237="NEW",IF(ISNA(VLOOKUP(E237,#REF!,1,FALSE())),"?TYPE_IDENTIFIABLE","?REFERENTIAL"),"_")))))</f>
        <v> </v>
      </c>
      <c r="H237" s="24" t="str">
        <f>IF(J237&lt;&gt;1,"",IF(I237="SBJ","CB","?"))</f>
        <v> </v>
      </c>
      <c r="I237" s="25" t="str">
        <f>IF(OR(E237="",E237="!!!",F237="NEW"),"",INDEX(B236:B$2,-1+SUMPRODUCT(MAX(ROW(E236:E$2)*(E237=E236:E$2)))))</f>
        <v> </v>
      </c>
      <c r="J237" s="25" t="str">
        <f>IF(OR(E237="",E237="!!!",F237="NEW"),"",COUNTBLANK(OFFSET(A$1,,,SUMPRODUCT(MAX(ROW(E$2:E237)*(E237=E$2:E237)))))-COUNTBLANK(OFFSET(A$1,,,SUMPRODUCT(MAX(ROW(E$1:E236)*(E2=E$1:E236))))))</f>
        <v> </v>
      </c>
      <c r="K237" s="25" t="str">
        <f>IF(OR(E237="",E237="!!!",F237="NEW"),"",INDEX(J$1:J236,SUMPRODUCT(MAX(ROW(E$1:E236)*(E237=E$1:E236)))))</f>
        <v> </v>
      </c>
      <c r="L237" s="26"/>
    </row>
    <row r="238" spans="1:12">
      <c r="A238" s="20" t="s">
        <v>404</v>
      </c>
      <c r="E238" s="21">
        <f>IF(D238="?OLD","!!!","")</f>
        <v/>
      </c>
      <c r="F238" s="22" t="str">
        <f>IF(OR(E238="",E238="!!!"),"",IF(NOT(ISNA(VLOOKUP(E238,E$1:E237,1,FALSE()))),"OLD",IF(AND(E238&lt;&gt;"",E238&lt;&gt;"!!!"),"NEW","")))</f>
        <v> </v>
      </c>
      <c r="G238" s="23" t="str">
        <f>IF(OR(E238="",E238="!!!"),"",IF(OR(J238=0,AND(J238=1,K238=1),AND(J238=1,I238="SBJ"),AND(J238=1,I238=0)),"?IN_FOCUS",IF(J238&lt;=2,"?ACTIVATED",IF(J238&lt;&gt;"","?FAMILIAR",IF(F238="NEW",IF(ISNA(VLOOKUP(E238,#REF!,1,FALSE())),"?TYPE_IDENTIFIABLE","?REFERENTIAL"),"_")))))</f>
        <v> </v>
      </c>
      <c r="H238" s="24" t="str">
        <f>IF(J238&lt;&gt;1,"",IF(I238="SBJ","CB","?"))</f>
        <v> </v>
      </c>
      <c r="I238" s="25" t="str">
        <f>IF(OR(E238="",E238="!!!",F238="NEW"),"",INDEX(B237:B$2,-1+SUMPRODUCT(MAX(ROW(E237:E$2)*(E238=E237:E$2)))))</f>
        <v> </v>
      </c>
      <c r="J238" s="25" t="str">
        <f>IF(OR(E238="",E238="!!!",F238="NEW"),"",COUNTBLANK(OFFSET(A$1,,,SUMPRODUCT(MAX(ROW(E$2:E238)*(E238=E$2:E238)))))-COUNTBLANK(OFFSET(A$1,,,SUMPRODUCT(MAX(ROW(E$1:E237)*(E2=E$1:E237))))))</f>
        <v> </v>
      </c>
      <c r="K238" s="25" t="str">
        <f>IF(OR(E238="",E238="!!!",F238="NEW"),"",INDEX(J$1:J237,SUMPRODUCT(MAX(ROW(E$1:E237)*(E238=E$1:E237)))))</f>
        <v> </v>
      </c>
      <c r="L238" s="26"/>
    </row>
    <row r="239" spans="1:12">
      <c r="A239" s="20" t="s">
        <v>274</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t="s">
        <v>405</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t="s">
        <v>355</v>
      </c>
      <c r="B241" s="27" t="s">
        <v>267</v>
      </c>
      <c r="C241" s="27" t="s">
        <v>277</v>
      </c>
      <c r="D241" s="27" t="s">
        <v>258</v>
      </c>
      <c r="E241" s="21">
        <f>IF(D241="?OLD","!!!","")</f>
        <v/>
      </c>
      <c r="F241" s="22" t="str">
        <f>IF(OR(E241="",E241="!!!"),"",IF(NOT(ISNA(VLOOKUP(E241,E$1:E240,1,FALSE()))),"OLD",IF(AND(E241&lt;&gt;"",E241&lt;&gt;"!!!"),"NEW","")))</f>
        <v> </v>
      </c>
      <c r="G241" s="23" t="str">
        <f>IF(OR(E241="",E241="!!!"),"",IF(OR(J241=0,AND(J241=1,K241=1),AND(J241=1,I241="SBJ"),AND(J241=1,I241=0)),"?IN_FOCUS",IF(J241&lt;=2,"?ACTIVATED",IF(J241&lt;&gt;"","?FAMILIAR",IF(F241="NEW",IF(ISNA(VLOOKUP(E241,#REF!,1,FALSE())),"?TYPE_IDENTIFIABLE","?REFERENTIAL"),"_")))))</f>
        <v> </v>
      </c>
      <c r="H241" s="24" t="str">
        <f>IF(J241&lt;&gt;1,"",IF(I241="SBJ","CB","?"))</f>
        <v> </v>
      </c>
      <c r="I241" s="25" t="str">
        <f>IF(OR(E241="",E241="!!!",F241="NEW"),"",INDEX(B240:B$2,-1+SUMPRODUCT(MAX(ROW(E240:E$2)*(E241=E240:E$2)))))</f>
        <v> </v>
      </c>
      <c r="J241" s="25" t="str">
        <f>IF(OR(E241="",E241="!!!",F241="NEW"),"",COUNTBLANK(OFFSET(A$1,,,SUMPRODUCT(MAX(ROW(E$2:E241)*(E241=E$2:E241)))))-COUNTBLANK(OFFSET(A$1,,,SUMPRODUCT(MAX(ROW(E$1:E240)*(E2=E$1:E240))))))</f>
        <v> </v>
      </c>
      <c r="K241" s="25" t="str">
        <f>IF(OR(E241="",E241="!!!",F241="NEW"),"",INDEX(J$1:J240,SUMPRODUCT(MAX(ROW(E$1:E240)*(E241=E$1:E240)))))</f>
        <v> </v>
      </c>
      <c r="L241" s="26"/>
    </row>
    <row r="242" spans="1:12">
      <c r="A242" s="20" t="s">
        <v>273</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370</v>
      </c>
      <c r="B243" s="27" t="s">
        <v>286</v>
      </c>
      <c r="C243" s="27" t="s">
        <v>270</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406</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t="s">
        <v>305</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t="s">
        <v>13</v>
      </c>
      <c r="E246" s="21">
        <f>IF(D246="?OLD","!!!","")</f>
        <v/>
      </c>
      <c r="F246" s="22" t="str">
        <f>IF(OR(E246="",E246="!!!"),"",IF(NOT(ISNA(VLOOKUP(E246,E$1:E245,1,FALSE()))),"OLD",IF(AND(E246&lt;&gt;"",E246&lt;&gt;"!!!"),"NEW","")))</f>
        <v> </v>
      </c>
      <c r="G246" s="23" t="str">
        <f>IF(OR(E246="",E246="!!!"),"",IF(OR(J246=0,AND(J246=1,K246=1),AND(J246=1,I246="SBJ"),AND(J246=1,I246=0)),"?IN_FOCUS",IF(J246&lt;=2,"?ACTIVATED",IF(J246&lt;&gt;"","?FAMILIAR",IF(F246="NEW",IF(ISNA(VLOOKUP(E246,#REF!,1,FALSE())),"?TYPE_IDENTIFIABLE","?REFERENTIAL"),"_")))))</f>
        <v> </v>
      </c>
      <c r="H246" s="24" t="str">
        <f>IF(J246&lt;&gt;1,"",IF(I246="SBJ","CB","?"))</f>
        <v> </v>
      </c>
      <c r="I246" s="25" t="str">
        <f>IF(OR(E246="",E246="!!!",F246="NEW"),"",INDEX(B245:B$2,-1+SUMPRODUCT(MAX(ROW(E245:E$2)*(E246=E245:E$2)))))</f>
        <v> </v>
      </c>
      <c r="J246" s="25" t="str">
        <f>IF(OR(E246="",E246="!!!",F246="NEW"),"",COUNTBLANK(OFFSET(A$1,,,SUMPRODUCT(MAX(ROW(E$2:E246)*(E246=E$2:E246)))))-COUNTBLANK(OFFSET(A$1,,,SUMPRODUCT(MAX(ROW(E$1:E245)*(E2=E$1:E245))))))</f>
        <v> </v>
      </c>
      <c r="K246" s="25" t="str">
        <f>IF(OR(E246="",E246="!!!",F246="NEW"),"",INDEX(J$1:J245,SUMPRODUCT(MAX(ROW(E$1:E245)*(E246=E$1:E245)))))</f>
        <v> </v>
      </c>
      <c r="L246" s="26"/>
    </row>
    <row r="247" spans="1:12">
      <c r="A247" s="20" t="s">
        <v>407</v>
      </c>
      <c r="E247" s="21">
        <f>IF(D247="?OLD","!!!","")</f>
        <v/>
      </c>
      <c r="F247" s="22" t="str">
        <f>IF(OR(E247="",E247="!!!"),"",IF(NOT(ISNA(VLOOKUP(E247,E$1:E246,1,FALSE()))),"OLD",IF(AND(E247&lt;&gt;"",E247&lt;&gt;"!!!"),"NEW","")))</f>
        <v> </v>
      </c>
      <c r="G247" s="23" t="str">
        <f>IF(OR(E247="",E247="!!!"),"",IF(OR(J247=0,AND(J247=1,K247=1),AND(J247=1,I247="SBJ"),AND(J247=1,I247=0)),"?IN_FOCUS",IF(J247&lt;=2,"?ACTIVATED",IF(J247&lt;&gt;"","?FAMILIAR",IF(F247="NEW",IF(ISNA(VLOOKUP(E247,#REF!,1,FALSE())),"?TYPE_IDENTIFIABLE","?REFERENTIAL"),"_")))))</f>
        <v> </v>
      </c>
      <c r="H247" s="24" t="str">
        <f>IF(J247&lt;&gt;1,"",IF(I247="SBJ","CB","?"))</f>
        <v> </v>
      </c>
      <c r="I247" s="25" t="str">
        <f>IF(OR(E247="",E247="!!!",F247="NEW"),"",INDEX(B246:B$2,-1+SUMPRODUCT(MAX(ROW(E246:E$2)*(E247=E246:E$2)))))</f>
        <v> </v>
      </c>
      <c r="J247" s="25" t="str">
        <f>IF(OR(E247="",E247="!!!",F247="NEW"),"",COUNTBLANK(OFFSET(A$1,,,SUMPRODUCT(MAX(ROW(E$2:E247)*(E247=E$2:E247)))))-COUNTBLANK(OFFSET(A$1,,,SUMPRODUCT(MAX(ROW(E$1:E246)*(E2=E$1:E246))))))</f>
        <v> </v>
      </c>
      <c r="K247" s="25" t="str">
        <f>IF(OR(E247="",E247="!!!",F247="NEW"),"",INDEX(J$1:J246,SUMPRODUCT(MAX(ROW(E$1:E246)*(E247=E$1:E246)))))</f>
        <v> </v>
      </c>
      <c r="L247" s="26"/>
    </row>
    <row r="248" spans="1:12">
      <c r="A248" s="20" t="s">
        <v>296</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t="s">
        <v>320</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row>
    <row r="251" spans="1:12">
      <c r="A251" s="20" t="s">
        <v>408</v>
      </c>
    </row>
    <row r="252" spans="1:12">
      <c r="A252" s="20" t="s">
        <v>360</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t="s">
        <v>409</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261</v>
      </c>
      <c r="B254" s="27" t="s">
        <v>256</v>
      </c>
      <c r="C254" s="27" t="s">
        <v>257</v>
      </c>
      <c r="D254" s="27" t="s">
        <v>258</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75</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t="s">
        <v>410</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273</v>
      </c>
      <c r="B257" s="27" t="s">
        <v>267</v>
      </c>
      <c r="C257" s="27" t="s">
        <v>367</v>
      </c>
      <c r="D257" s="27" t="s">
        <v>258</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271</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t="s">
        <v>272</v>
      </c>
      <c r="B259" s="27" t="s">
        <v>276</v>
      </c>
      <c r="C259" s="27" t="s">
        <v>257</v>
      </c>
      <c r="D259" s="27" t="s">
        <v>258</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t="s">
        <v>235</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t="s">
        <v>411</v>
      </c>
      <c r="E261" s="21">
        <f>IF(D261="?OLD","!!!","")</f>
        <v/>
      </c>
      <c r="F261" s="22" t="str">
        <f>IF(OR(E261="",E261="!!!"),"",IF(NOT(ISNA(VLOOKUP(E261,E$1:E260,1,FALSE()))),"OLD",IF(AND(E261&lt;&gt;"",E261&lt;&gt;"!!!"),"NEW","")))</f>
        <v> </v>
      </c>
      <c r="G261" s="23" t="str">
        <f>IF(OR(E261="",E261="!!!"),"",IF(OR(J261=0,AND(J261=1,K261=1),AND(J261=1,I261="SBJ"),AND(J261=1,I261=0)),"?IN_FOCUS",IF(J261&lt;=2,"?ACTIVATED",IF(J261&lt;&gt;"","?FAMILIAR",IF(F261="NEW",IF(ISNA(VLOOKUP(E261,#REF!,1,FALSE())),"?TYPE_IDENTIFIABLE","?REFERENTIAL"),"_")))))</f>
        <v> </v>
      </c>
      <c r="H261" s="24" t="str">
        <f>IF(J261&lt;&gt;1,"",IF(I261="SBJ","CB","?"))</f>
        <v> </v>
      </c>
      <c r="I261" s="25" t="str">
        <f>IF(OR(E261="",E261="!!!",F261="NEW"),"",INDEX(B260:B$2,-1+SUMPRODUCT(MAX(ROW(E260:E$2)*(E261=E260:E$2)))))</f>
        <v> </v>
      </c>
      <c r="J261" s="25" t="str">
        <f>IF(OR(E261="",E261="!!!",F261="NEW"),"",COUNTBLANK(OFFSET(A$1,,,SUMPRODUCT(MAX(ROW(E$2:E261)*(E261=E$2:E261)))))-COUNTBLANK(OFFSET(A$1,,,SUMPRODUCT(MAX(ROW(E$1:E260)*(E2=E$1:E260))))))</f>
        <v> </v>
      </c>
      <c r="K261" s="25" t="str">
        <f>IF(OR(E261="",E261="!!!",F261="NEW"),"",INDEX(J$1:J260,SUMPRODUCT(MAX(ROW(E$1:E260)*(E261=E$1:E260)))))</f>
        <v> </v>
      </c>
      <c r="L261" s="26"/>
    </row>
    <row r="262" spans="1:12">
      <c r="A262" s="20" t="s">
        <v>274</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t="s">
        <v>412</v>
      </c>
      <c r="B263" s="27" t="s">
        <v>333</v>
      </c>
      <c r="C263" s="27" t="s">
        <v>277</v>
      </c>
      <c r="D263" s="27" t="s">
        <v>258</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t="s">
        <v>395</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t="s">
        <v>413</v>
      </c>
      <c r="B265" s="27" t="s">
        <v>333</v>
      </c>
      <c r="C265" s="27" t="s">
        <v>270</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t="s">
        <v>320</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row>
    <row r="268" spans="1:12">
      <c r="A268" s="20" t="s">
        <v>414</v>
      </c>
    </row>
    <row r="269" spans="1:12">
      <c r="A269" s="20" t="s">
        <v>322</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t="s">
        <v>261</v>
      </c>
      <c r="B270" s="27" t="s">
        <v>276</v>
      </c>
      <c r="C270" s="27" t="s">
        <v>257</v>
      </c>
      <c r="D270" s="27" t="s">
        <v>258</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55</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t="s">
        <v>274</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266</v>
      </c>
      <c r="B273" s="27" t="s">
        <v>401</v>
      </c>
      <c r="C273" s="27" t="s">
        <v>277</v>
      </c>
      <c r="D273" s="27" t="s">
        <v>258</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273</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415</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297</v>
      </c>
      <c r="B276" s="27" t="s">
        <v>256</v>
      </c>
      <c r="C276" s="27" t="s">
        <v>270</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t="s">
        <v>271</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t="s">
        <v>415</v>
      </c>
      <c r="E278" s="21">
        <f>IF(D278="?OLD","!!!","")</f>
        <v/>
      </c>
      <c r="F278" s="22" t="str">
        <f>IF(OR(E278="",E278="!!!"),"",IF(NOT(ISNA(VLOOKUP(E278,E$1:E277,1,FALSE()))),"OLD",IF(AND(E278&lt;&gt;"",E278&lt;&gt;"!!!"),"NEW","")))</f>
        <v> </v>
      </c>
      <c r="G278" s="23" t="str">
        <f>IF(OR(E278="",E278="!!!"),"",IF(OR(J278=0,AND(J278=1,K278=1),AND(J278=1,I278="SBJ"),AND(J278=1,I278=0)),"?IN_FOCUS",IF(J278&lt;=2,"?ACTIVATED",IF(J278&lt;&gt;"","?FAMILIAR",IF(F278="NEW",IF(ISNA(VLOOKUP(E278,#REF!,1,FALSE())),"?TYPE_IDENTIFIABLE","?REFERENTIAL"),"_")))))</f>
        <v> </v>
      </c>
      <c r="H278" s="24" t="str">
        <f>IF(J278&lt;&gt;1,"",IF(I278="SBJ","CB","?"))</f>
        <v> </v>
      </c>
      <c r="I278" s="25" t="str">
        <f>IF(OR(E278="",E278="!!!",F278="NEW"),"",INDEX(B277:B$2,-1+SUMPRODUCT(MAX(ROW(E277:E$2)*(E278=E277:E$2)))))</f>
        <v> </v>
      </c>
      <c r="J278" s="25" t="str">
        <f>IF(OR(E278="",E278="!!!",F278="NEW"),"",COUNTBLANK(OFFSET(A$1,,,SUMPRODUCT(MAX(ROW(E$2:E278)*(E278=E$2:E278)))))-COUNTBLANK(OFFSET(A$1,,,SUMPRODUCT(MAX(ROW(E$1:E277)*(E2=E$1:E277))))))</f>
        <v> </v>
      </c>
      <c r="K278" s="25" t="str">
        <f>IF(OR(E278="",E278="!!!",F278="NEW"),"",INDEX(J$1:J277,SUMPRODUCT(MAX(ROW(E$1:E277)*(E278=E$1:E277)))))</f>
        <v> </v>
      </c>
      <c r="L278" s="26"/>
    </row>
    <row r="279" spans="1:12">
      <c r="A279" s="20" t="s">
        <v>279</v>
      </c>
      <c r="B279" s="27" t="s">
        <v>328</v>
      </c>
      <c r="C279" s="27" t="s">
        <v>270</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280</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t="s">
        <v>416</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417</v>
      </c>
      <c r="B282" s="27" t="s">
        <v>328</v>
      </c>
      <c r="C282" s="27" t="s">
        <v>341</v>
      </c>
      <c r="D282" s="27" t="s">
        <v>258</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271</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288</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329</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418</v>
      </c>
      <c r="B286" s="27" t="s">
        <v>333</v>
      </c>
      <c r="C286" s="27" t="s">
        <v>334</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303</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419</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280</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329</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420</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t="s">
        <v>297</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t="s">
        <v>421</v>
      </c>
      <c r="B293" s="27" t="s">
        <v>328</v>
      </c>
      <c r="C293" s="27" t="s">
        <v>334</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t="s">
        <v>422</v>
      </c>
      <c r="E294" s="21">
        <f>IF(D294="?OLD","!!!","")</f>
        <v/>
      </c>
      <c r="F294" s="22" t="str">
        <f>IF(OR(E294="",E294="!!!"),"",IF(NOT(ISNA(VLOOKUP(E294,E$1:E293,1,FALSE()))),"OLD",IF(AND(E294&lt;&gt;"",E294&lt;&gt;"!!!"),"NEW","")))</f>
        <v> </v>
      </c>
      <c r="G294" s="23" t="str">
        <f>IF(OR(E294="",E294="!!!"),"",IF(OR(J294=0,AND(J294=1,K294=1),AND(J294=1,I294="SBJ"),AND(J294=1,I294=0)),"?IN_FOCUS",IF(J294&lt;=2,"?ACTIVATED",IF(J294&lt;&gt;"","?FAMILIAR",IF(F294="NEW",IF(ISNA(VLOOKUP(E294,#REF!,1,FALSE())),"?TYPE_IDENTIFIABLE","?REFERENTIAL"),"_")))))</f>
        <v> </v>
      </c>
      <c r="H294" s="24" t="str">
        <f>IF(J294&lt;&gt;1,"",IF(I294="SBJ","CB","?"))</f>
        <v> </v>
      </c>
      <c r="I294" s="25" t="str">
        <f>IF(OR(E294="",E294="!!!",F294="NEW"),"",INDEX(B293:B$2,-1+SUMPRODUCT(MAX(ROW(E293:E$2)*(E294=E293:E$2)))))</f>
        <v> </v>
      </c>
      <c r="J294" s="25" t="str">
        <f>IF(OR(E294="",E294="!!!",F294="NEW"),"",COUNTBLANK(OFFSET(A$1,,,SUMPRODUCT(MAX(ROW(E$2:E294)*(E294=E$2:E294)))))-COUNTBLANK(OFFSET(A$1,,,SUMPRODUCT(MAX(ROW(E$1:E293)*(E2=E$1:E293))))))</f>
        <v> </v>
      </c>
      <c r="K294" s="25" t="str">
        <f>IF(OR(E294="",E294="!!!",F294="NEW"),"",INDEX(J$1:J293,SUMPRODUCT(MAX(ROW(E$1:E293)*(E294=E$1:E293)))))</f>
        <v> </v>
      </c>
      <c r="L294" s="26"/>
    </row>
    <row r="295" spans="1:12">
      <c r="A295" s="20" t="s">
        <v>320</v>
      </c>
      <c r="E295" s="21">
        <f>IF(D295="?OLD","!!!","")</f>
        <v/>
      </c>
      <c r="F295" s="22" t="str">
        <f>IF(OR(E295="",E295="!!!"),"",IF(NOT(ISNA(VLOOKUP(E295,E$1:E294,1,FALSE()))),"OLD",IF(AND(E295&lt;&gt;"",E295&lt;&gt;"!!!"),"NEW","")))</f>
        <v> </v>
      </c>
      <c r="G295" s="23" t="str">
        <f>IF(OR(E295="",E295="!!!"),"",IF(OR(J295=0,AND(J295=1,K295=1),AND(J295=1,I295="SBJ"),AND(J295=1,I295=0)),"?IN_FOCUS",IF(J295&lt;=2,"?ACTIVATED",IF(J295&lt;&gt;"","?FAMILIAR",IF(F295="NEW",IF(ISNA(VLOOKUP(E295,#REF!,1,FALSE())),"?TYPE_IDENTIFIABLE","?REFERENTIAL"),"_")))))</f>
        <v> </v>
      </c>
      <c r="H295" s="24" t="str">
        <f>IF(J295&lt;&gt;1,"",IF(I295="SBJ","CB","?"))</f>
        <v> </v>
      </c>
      <c r="I295" s="25" t="str">
        <f>IF(OR(E295="",E295="!!!",F295="NEW"),"",INDEX(B294:B$2,-1+SUMPRODUCT(MAX(ROW(E294:E$2)*(E295=E294:E$2)))))</f>
        <v> </v>
      </c>
      <c r="J295" s="25" t="str">
        <f>IF(OR(E295="",E295="!!!",F295="NEW"),"",COUNTBLANK(OFFSET(A$1,,,SUMPRODUCT(MAX(ROW(E$2:E295)*(E295=E$2:E295)))))-COUNTBLANK(OFFSET(A$1,,,SUMPRODUCT(MAX(ROW(E$1:E294)*(E2=E$1:E294))))))</f>
        <v> </v>
      </c>
      <c r="K295" s="25" t="str">
        <f>IF(OR(E295="",E295="!!!",F295="NEW"),"",INDEX(J$1:J294,SUMPRODUCT(MAX(ROW(E$1:E294)*(E295=E$1:E294)))))</f>
        <v> </v>
      </c>
      <c r="L295" s="26"/>
    </row>
    <row r="296" spans="1:12">
      <c r="A296" s="20"/>
    </row>
    <row r="297" spans="1:12">
      <c r="A297" s="20" t="s">
        <v>423</v>
      </c>
    </row>
    <row r="298" spans="1:12">
      <c r="A298" s="20" t="s">
        <v>360</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t="s">
        <v>409</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282</v>
      </c>
      <c r="B300" s="27" t="s">
        <v>256</v>
      </c>
      <c r="C300" s="27" t="s">
        <v>257</v>
      </c>
      <c r="D300" s="27" t="s">
        <v>258</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259</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t="s">
        <v>60</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t="s">
        <v>416</v>
      </c>
      <c r="B303" s="27" t="s">
        <v>262</v>
      </c>
      <c r="C303" s="27" t="s">
        <v>367</v>
      </c>
      <c r="D303" s="27" t="s">
        <v>258</v>
      </c>
      <c r="E303" s="21">
        <f>IF(D303="?OLD","!!!","")</f>
        <v/>
      </c>
      <c r="F303" s="22" t="str">
        <f>IF(OR(E303="",E303="!!!"),"",IF(NOT(ISNA(VLOOKUP(E303,E$1:E302,1,FALSE()))),"OLD",IF(AND(E303&lt;&gt;"",E303&lt;&gt;"!!!"),"NEW","")))</f>
        <v> </v>
      </c>
      <c r="G303" s="23" t="str">
        <f>IF(OR(E303="",E303="!!!"),"",IF(OR(J303=0,AND(J303=1,K303=1),AND(J303=1,I303="SBJ"),AND(J303=1,I303=0)),"?IN_FOCUS",IF(J303&lt;=2,"?ACTIVATED",IF(J303&lt;&gt;"","?FAMILIAR",IF(F303="NEW",IF(ISNA(VLOOKUP(E303,#REF!,1,FALSE())),"?TYPE_IDENTIFIABLE","?REFERENTIAL"),"_")))))</f>
        <v> </v>
      </c>
      <c r="H303" s="24" t="str">
        <f>IF(J303&lt;&gt;1,"",IF(I303="SBJ","CB","?"))</f>
        <v> </v>
      </c>
      <c r="I303" s="25" t="str">
        <f>IF(OR(E303="",E303="!!!",F303="NEW"),"",INDEX(B302:B$2,-1+SUMPRODUCT(MAX(ROW(E302:E$2)*(E303=E302:E$2)))))</f>
        <v> </v>
      </c>
      <c r="J303" s="25" t="str">
        <f>IF(OR(E303="",E303="!!!",F303="NEW"),"",COUNTBLANK(OFFSET(A$1,,,SUMPRODUCT(MAX(ROW(E$2:E303)*(E303=E$2:E303)))))-COUNTBLANK(OFFSET(A$1,,,SUMPRODUCT(MAX(ROW(E$1:E302)*(E2=E$1:E302))))))</f>
        <v> </v>
      </c>
      <c r="K303" s="25" t="str">
        <f>IF(OR(E303="",E303="!!!",F303="NEW"),"",INDEX(J$1:J302,SUMPRODUCT(MAX(ROW(E$1:E302)*(E303=E$1:E302)))))</f>
        <v> </v>
      </c>
      <c r="L303" s="26"/>
    </row>
    <row r="304" spans="1:12">
      <c r="A304" s="20" t="s">
        <v>395</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424</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t="s">
        <v>279</v>
      </c>
      <c r="B306" s="27" t="s">
        <v>267</v>
      </c>
      <c r="C306" s="27" t="s">
        <v>270</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271</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t="s">
        <v>425</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394</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t="s">
        <v>60</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272</v>
      </c>
      <c r="B311" s="27" t="s">
        <v>401</v>
      </c>
      <c r="C311" s="27" t="s">
        <v>257</v>
      </c>
      <c r="D311" s="27" t="s">
        <v>258</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t="s">
        <v>395</v>
      </c>
      <c r="E312" s="21">
        <f>IF(D312="?OLD","!!!","")</f>
        <v/>
      </c>
      <c r="F312" s="22" t="str">
        <f>IF(OR(E312="",E312="!!!"),"",IF(NOT(ISNA(VLOOKUP(E312,E$1:E311,1,FALSE()))),"OLD",IF(AND(E312&lt;&gt;"",E312&lt;&gt;"!!!"),"NEW","")))</f>
        <v> </v>
      </c>
      <c r="G312" s="23" t="str">
        <f>IF(OR(E312="",E312="!!!"),"",IF(OR(J312=0,AND(J312=1,K312=1),AND(J312=1,I312="SBJ"),AND(J312=1,I312=0)),"?IN_FOCUS",IF(J312&lt;=2,"?ACTIVATED",IF(J312&lt;&gt;"","?FAMILIAR",IF(F312="NEW",IF(ISNA(VLOOKUP(E312,#REF!,1,FALSE())),"?TYPE_IDENTIFIABLE","?REFERENTIAL"),"_")))))</f>
        <v> </v>
      </c>
      <c r="H312" s="24" t="str">
        <f>IF(J312&lt;&gt;1,"",IF(I312="SBJ","CB","?"))</f>
        <v> </v>
      </c>
      <c r="I312" s="25" t="str">
        <f>IF(OR(E312="",E312="!!!",F312="NEW"),"",INDEX(B311:B$2,-1+SUMPRODUCT(MAX(ROW(E311:E$2)*(E312=E311:E$2)))))</f>
        <v> </v>
      </c>
      <c r="J312" s="25" t="str">
        <f>IF(OR(E312="",E312="!!!",F312="NEW"),"",COUNTBLANK(OFFSET(A$1,,,SUMPRODUCT(MAX(ROW(E$2:E312)*(E312=E$2:E312)))))-COUNTBLANK(OFFSET(A$1,,,SUMPRODUCT(MAX(ROW(E$1:E311)*(E2=E$1:E311))))))</f>
        <v> </v>
      </c>
      <c r="K312" s="25" t="str">
        <f>IF(OR(E312="",E312="!!!",F312="NEW"),"",INDEX(J$1:J311,SUMPRODUCT(MAX(ROW(E$1:E311)*(E312=E$1:E311)))))</f>
        <v> </v>
      </c>
      <c r="L312" s="26"/>
    </row>
    <row r="313" spans="1:12">
      <c r="A313" s="20" t="s">
        <v>426</v>
      </c>
      <c r="B313" s="27" t="s">
        <v>333</v>
      </c>
      <c r="C313" s="27" t="s">
        <v>270</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t="s">
        <v>427</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428</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429</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row>
    <row r="318" spans="1:12">
      <c r="A318" s="20" t="s">
        <v>430</v>
      </c>
    </row>
    <row r="319" spans="1:12">
      <c r="A319" s="20" t="s">
        <v>322</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t="s">
        <v>222</v>
      </c>
      <c r="B320" s="27" t="s">
        <v>276</v>
      </c>
      <c r="C320" s="27" t="s">
        <v>300</v>
      </c>
      <c r="E320" s="21">
        <f>IF(D320="?OLD","!!!","")</f>
        <v/>
      </c>
      <c r="F320" s="22" t="str">
        <f>IF(OR(E320="",E320="!!!"),"",IF(NOT(ISNA(VLOOKUP(E320,E$1:E319,1,FALSE()))),"OLD",IF(AND(E320&lt;&gt;"",E320&lt;&gt;"!!!"),"NEW","")))</f>
        <v> </v>
      </c>
      <c r="G320" s="23" t="str">
        <f>IF(OR(E320="",E320="!!!"),"",IF(OR(J320=0,AND(J320=1,K320=1),AND(J320=1,I320="SBJ"),AND(J320=1,I320=0)),"?IN_FOCUS",IF(J320&lt;=2,"?ACTIVATED",IF(J320&lt;&gt;"","?FAMILIAR",IF(F320="NEW",IF(ISNA(VLOOKUP(E320,#REF!,1,FALSE())),"?TYPE_IDENTIFIABLE","?REFERENTIAL"),"_")))))</f>
        <v> </v>
      </c>
      <c r="H320" s="24" t="str">
        <f>IF(J320&lt;&gt;1,"",IF(I320="SBJ","CB","?"))</f>
        <v> </v>
      </c>
      <c r="I320" s="25" t="str">
        <f>IF(OR(E320="",E320="!!!",F320="NEW"),"",INDEX(B319:B$2,-1+SUMPRODUCT(MAX(ROW(E319:E$2)*(E320=E319:E$2)))))</f>
        <v> </v>
      </c>
      <c r="J320" s="25" t="str">
        <f>IF(OR(E320="",E320="!!!",F320="NEW"),"",COUNTBLANK(OFFSET(A$1,,,SUMPRODUCT(MAX(ROW(E$2:E320)*(E320=E$2:E320)))))-COUNTBLANK(OFFSET(A$1,,,SUMPRODUCT(MAX(ROW(E$1:E319)*(E2=E$1:E319))))))</f>
        <v> </v>
      </c>
      <c r="K320" s="25" t="str">
        <f>IF(OR(E320="",E320="!!!",F320="NEW"),"",INDEX(J$1:J319,SUMPRODUCT(MAX(ROW(E$1:E319)*(E320=E$1:E319)))))</f>
        <v> </v>
      </c>
      <c r="L320" s="26"/>
    </row>
    <row r="321" spans="1:12">
      <c r="A321" s="20" t="s">
        <v>282</v>
      </c>
      <c r="B321" s="27" t="s">
        <v>323</v>
      </c>
      <c r="C321" s="27" t="s">
        <v>257</v>
      </c>
      <c r="D321" s="27" t="s">
        <v>258</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t="s">
        <v>406</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327</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191</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288</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274</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t="s">
        <v>431</v>
      </c>
      <c r="B327" s="27" t="s">
        <v>333</v>
      </c>
      <c r="C327" s="27" t="s">
        <v>277</v>
      </c>
      <c r="D327" s="27" t="s">
        <v>258</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t="s">
        <v>278</v>
      </c>
      <c r="E328" s="21">
        <f>IF(D328="?OLD","!!!","")</f>
        <v/>
      </c>
      <c r="F328" s="22" t="str">
        <f>IF(OR(E328="",E328="!!!"),"",IF(NOT(ISNA(VLOOKUP(E328,E$1:E327,1,FALSE()))),"OLD",IF(AND(E328&lt;&gt;"",E328&lt;&gt;"!!!"),"NEW","")))</f>
        <v> </v>
      </c>
      <c r="G328" s="23" t="str">
        <f>IF(OR(E328="",E328="!!!"),"",IF(OR(J328=0,AND(J328=1,K328=1),AND(J328=1,I328="SBJ"),AND(J328=1,I328=0)),"?IN_FOCUS",IF(J328&lt;=2,"?ACTIVATED",IF(J328&lt;&gt;"","?FAMILIAR",IF(F328="NEW",IF(ISNA(VLOOKUP(E328,#REF!,1,FALSE())),"?TYPE_IDENTIFIABLE","?REFERENTIAL"),"_")))))</f>
        <v> </v>
      </c>
      <c r="H328" s="24" t="str">
        <f>IF(J328&lt;&gt;1,"",IF(I328="SBJ","CB","?"))</f>
        <v> </v>
      </c>
      <c r="I328" s="25" t="str">
        <f>IF(OR(E328="",E328="!!!",F328="NEW"),"",INDEX(B327:B$2,-1+SUMPRODUCT(MAX(ROW(E327:E$2)*(E328=E327:E$2)))))</f>
        <v> </v>
      </c>
      <c r="J328" s="25" t="str">
        <f>IF(OR(E328="",E328="!!!",F328="NEW"),"",COUNTBLANK(OFFSET(A$1,,,SUMPRODUCT(MAX(ROW(E$2:E328)*(E328=E$2:E328)))))-COUNTBLANK(OFFSET(A$1,,,SUMPRODUCT(MAX(ROW(E$1:E327)*(E2=E$1:E327))))))</f>
        <v> </v>
      </c>
      <c r="K328" s="25" t="str">
        <f>IF(OR(E328="",E328="!!!",F328="NEW"),"",INDEX(J$1:J327,SUMPRODUCT(MAX(ROW(E$1:E327)*(E328=E$1:E327)))))</f>
        <v> </v>
      </c>
      <c r="L328" s="26"/>
    </row>
    <row r="329" spans="1:12">
      <c r="A329" s="20" t="s">
        <v>432</v>
      </c>
      <c r="E329" s="21">
        <f>IF(D329="?OLD","!!!","")</f>
        <v/>
      </c>
      <c r="F329" s="22" t="str">
        <f>IF(OR(E329="",E329="!!!"),"",IF(NOT(ISNA(VLOOKUP(E329,E$1:E328,1,FALSE()))),"OLD",IF(AND(E329&lt;&gt;"",E329&lt;&gt;"!!!"),"NEW","")))</f>
        <v> </v>
      </c>
      <c r="G329" s="23" t="str">
        <f>IF(OR(E329="",E329="!!!"),"",IF(OR(J329=0,AND(J329=1,K329=1),AND(J329=1,I329="SBJ"),AND(J329=1,I329=0)),"?IN_FOCUS",IF(J329&lt;=2,"?ACTIVATED",IF(J329&lt;&gt;"","?FAMILIAR",IF(F329="NEW",IF(ISNA(VLOOKUP(E329,#REF!,1,FALSE())),"?TYPE_IDENTIFIABLE","?REFERENTIAL"),"_")))))</f>
        <v> </v>
      </c>
      <c r="H329" s="24" t="str">
        <f>IF(J329&lt;&gt;1,"",IF(I329="SBJ","CB","?"))</f>
        <v> </v>
      </c>
      <c r="I329" s="25" t="str">
        <f>IF(OR(E329="",E329="!!!",F329="NEW"),"",INDEX(B328:B$2,-1+SUMPRODUCT(MAX(ROW(E328:E$2)*(E329=E328:E$2)))))</f>
        <v> </v>
      </c>
      <c r="J329" s="25" t="str">
        <f>IF(OR(E329="",E329="!!!",F329="NEW"),"",COUNTBLANK(OFFSET(A$1,,,SUMPRODUCT(MAX(ROW(E$2:E329)*(E329=E$2:E329)))))-COUNTBLANK(OFFSET(A$1,,,SUMPRODUCT(MAX(ROW(E$1:E328)*(E2=E$1:E328))))))</f>
        <v> </v>
      </c>
      <c r="K329" s="25" t="str">
        <f>IF(OR(E329="",E329="!!!",F329="NEW"),"",INDEX(J$1:J328,SUMPRODUCT(MAX(ROW(E$1:E328)*(E329=E$1:E328)))))</f>
        <v> </v>
      </c>
      <c r="L329" s="26"/>
    </row>
    <row r="330" spans="1:12">
      <c r="A330" s="20" t="s">
        <v>433</v>
      </c>
      <c r="E330" s="21">
        <f>IF(D330="?OLD","!!!","")</f>
        <v/>
      </c>
      <c r="F330" s="22" t="str">
        <f>IF(OR(E330="",E330="!!!"),"",IF(NOT(ISNA(VLOOKUP(E330,E$1:E329,1,FALSE()))),"OLD",IF(AND(E330&lt;&gt;"",E330&lt;&gt;"!!!"),"NEW","")))</f>
        <v> </v>
      </c>
      <c r="G330" s="23" t="str">
        <f>IF(OR(E330="",E330="!!!"),"",IF(OR(J330=0,AND(J330=1,K330=1),AND(J330=1,I330="SBJ"),AND(J330=1,I330=0)),"?IN_FOCUS",IF(J330&lt;=2,"?ACTIVATED",IF(J330&lt;&gt;"","?FAMILIAR",IF(F330="NEW",IF(ISNA(VLOOKUP(E330,#REF!,1,FALSE())),"?TYPE_IDENTIFIABLE","?REFERENTIAL"),"_")))))</f>
        <v> </v>
      </c>
      <c r="H330" s="24" t="str">
        <f>IF(J330&lt;&gt;1,"",IF(I330="SBJ","CB","?"))</f>
        <v> </v>
      </c>
      <c r="I330" s="25" t="str">
        <f>IF(OR(E330="",E330="!!!",F330="NEW"),"",INDEX(B329:B$2,-1+SUMPRODUCT(MAX(ROW(E329:E$2)*(E330=E329:E$2)))))</f>
        <v> </v>
      </c>
      <c r="J330" s="25" t="str">
        <f>IF(OR(E330="",E330="!!!",F330="NEW"),"",COUNTBLANK(OFFSET(A$1,,,SUMPRODUCT(MAX(ROW(E$2:E330)*(E330=E$2:E330)))))-COUNTBLANK(OFFSET(A$1,,,SUMPRODUCT(MAX(ROW(E$1:E329)*(E2=E$1:E329))))))</f>
        <v> </v>
      </c>
      <c r="K330" s="25" t="str">
        <f>IF(OR(E330="",E330="!!!",F330="NEW"),"",INDEX(J$1:J329,SUMPRODUCT(MAX(ROW(E$1:E329)*(E330=E$1:E329)))))</f>
        <v> </v>
      </c>
      <c r="L330" s="26"/>
    </row>
    <row r="331" spans="1:12">
      <c r="A331" s="20" t="s">
        <v>434</v>
      </c>
      <c r="B331" s="27" t="s">
        <v>333</v>
      </c>
      <c r="C331" s="27" t="s">
        <v>435</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t="s">
        <v>436</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t="s">
        <v>437</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t="s">
        <v>438</v>
      </c>
      <c r="E334" s="21">
        <f>IF(D334="?OLD","!!!","")</f>
        <v/>
      </c>
      <c r="F334" s="22" t="str">
        <f>IF(OR(E334="",E334="!!!"),"",IF(NOT(ISNA(VLOOKUP(E334,E$1:E333,1,FALSE()))),"OLD",IF(AND(E334&lt;&gt;"",E334&lt;&gt;"!!!"),"NEW","")))</f>
        <v> </v>
      </c>
      <c r="G334" s="23" t="str">
        <f>IF(OR(E334="",E334="!!!"),"",IF(OR(J334=0,AND(J334=1,K334=1),AND(J334=1,I334="SBJ"),AND(J334=1,I334=0)),"?IN_FOCUS",IF(J334&lt;=2,"?ACTIVATED",IF(J334&lt;&gt;"","?FAMILIAR",IF(F334="NEW",IF(ISNA(VLOOKUP(E334,#REF!,1,FALSE())),"?TYPE_IDENTIFIABLE","?REFERENTIAL"),"_")))))</f>
        <v> </v>
      </c>
      <c r="H334" s="24" t="str">
        <f>IF(J334&lt;&gt;1,"",IF(I334="SBJ","CB","?"))</f>
        <v> </v>
      </c>
      <c r="I334" s="25" t="str">
        <f>IF(OR(E334="",E334="!!!",F334="NEW"),"",INDEX(B333:B$2,-1+SUMPRODUCT(MAX(ROW(E333:E$2)*(E334=E333:E$2)))))</f>
        <v> </v>
      </c>
      <c r="J334" s="25" t="str">
        <f>IF(OR(E334="",E334="!!!",F334="NEW"),"",COUNTBLANK(OFFSET(A$1,,,SUMPRODUCT(MAX(ROW(E$2:E334)*(E334=E$2:E334)))))-COUNTBLANK(OFFSET(A$1,,,SUMPRODUCT(MAX(ROW(E$1:E333)*(E2=E$1:E333))))))</f>
        <v> </v>
      </c>
      <c r="K334" s="25" t="str">
        <f>IF(OR(E334="",E334="!!!",F334="NEW"),"",INDEX(J$1:J333,SUMPRODUCT(MAX(ROW(E$1:E333)*(E334=E$1:E333)))))</f>
        <v> </v>
      </c>
      <c r="L334" s="26"/>
    </row>
    <row r="335" spans="1:12">
      <c r="A335" s="20" t="s">
        <v>320</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row>
    <row r="337" spans="1:12">
      <c r="A337" s="20" t="s">
        <v>439</v>
      </c>
    </row>
    <row r="338" spans="1:12">
      <c r="A338" s="20" t="s">
        <v>348</v>
      </c>
      <c r="B338" s="27" t="s">
        <v>276</v>
      </c>
      <c r="C338" s="27" t="s">
        <v>257</v>
      </c>
      <c r="D338" s="27" t="s">
        <v>258</v>
      </c>
      <c r="E338" s="21">
        <f>IF(D338="?OLD","!!!","")</f>
        <v/>
      </c>
      <c r="F338" s="22" t="str">
        <f>IF(OR(E338="",E338="!!!"),"",IF(NOT(ISNA(VLOOKUP(E338,E$1:E337,1,FALSE()))),"OLD",IF(AND(E338&lt;&gt;"",E338&lt;&gt;"!!!"),"NEW","")))</f>
        <v> </v>
      </c>
      <c r="G338" s="23" t="str">
        <f>IF(OR(E338="",E338="!!!"),"",IF(OR(J338=0,AND(J338=1,K338=1),AND(J338=1,I338="SBJ"),AND(J338=1,I338=0)),"?IN_FOCUS",IF(J338&lt;=2,"?ACTIVATED",IF(J338&lt;&gt;"","?FAMILIAR",IF(F338="NEW",IF(ISNA(VLOOKUP(E338,#REF!,1,FALSE())),"?TYPE_IDENTIFIABLE","?REFERENTIAL"),"_")))))</f>
        <v> </v>
      </c>
      <c r="H338" s="24" t="str">
        <f>IF(J338&lt;&gt;1,"",IF(I338="SBJ","CB","?"))</f>
        <v> </v>
      </c>
      <c r="I338" s="25" t="str">
        <f>IF(OR(E338="",E338="!!!",F338="NEW"),"",INDEX(B337:B$2,-1+SUMPRODUCT(MAX(ROW(E337:E$2)*(E338=E337:E$2)))))</f>
        <v> </v>
      </c>
      <c r="J338" s="25" t="str">
        <f>IF(OR(E338="",E338="!!!",F338="NEW"),"",COUNTBLANK(OFFSET(A$1,,,SUMPRODUCT(MAX(ROW(E$2:E338)*(E338=E$2:E338)))))-COUNTBLANK(OFFSET(A$1,,,SUMPRODUCT(MAX(ROW(E$1:E337)*(E2=E$1:E337))))))</f>
        <v> </v>
      </c>
      <c r="K338" s="25" t="str">
        <f>IF(OR(E338="",E338="!!!",F338="NEW"),"",INDEX(J$1:J337,SUMPRODUCT(MAX(ROW(E$1:E337)*(E338=E$1:E337)))))</f>
        <v> </v>
      </c>
      <c r="L338" s="26"/>
    </row>
    <row r="339" spans="1:12">
      <c r="A339" s="20" t="s">
        <v>235</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440</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191</v>
      </c>
      <c r="B341" s="27" t="s">
        <v>333</v>
      </c>
      <c r="C341" s="27" t="s">
        <v>376</v>
      </c>
      <c r="D341" s="27" t="s">
        <v>258</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t="s">
        <v>441</v>
      </c>
      <c r="E342" s="21">
        <f>IF(D342="?OLD","!!!","")</f>
        <v/>
      </c>
      <c r="F342" s="22" t="str">
        <f>IF(OR(E342="",E342="!!!"),"",IF(NOT(ISNA(VLOOKUP(E342,E$1:E341,1,FALSE()))),"OLD",IF(AND(E342&lt;&gt;"",E342&lt;&gt;"!!!"),"NEW","")))</f>
        <v> </v>
      </c>
      <c r="G342" s="23" t="str">
        <f>IF(OR(E342="",E342="!!!"),"",IF(OR(J342=0,AND(J342=1,K342=1),AND(J342=1,I342="SBJ"),AND(J342=1,I342=0)),"?IN_FOCUS",IF(J342&lt;=2,"?ACTIVATED",IF(J342&lt;&gt;"","?FAMILIAR",IF(F342="NEW",IF(ISNA(VLOOKUP(E342,#REF!,1,FALSE())),"?TYPE_IDENTIFIABLE","?REFERENTIAL"),"_")))))</f>
        <v> </v>
      </c>
      <c r="H342" s="24" t="str">
        <f>IF(J342&lt;&gt;1,"",IF(I342="SBJ","CB","?"))</f>
        <v> </v>
      </c>
      <c r="I342" s="25" t="str">
        <f>IF(OR(E342="",E342="!!!",F342="NEW"),"",INDEX(B341:B$2,-1+SUMPRODUCT(MAX(ROW(E341:E$2)*(E342=E341:E$2)))))</f>
        <v> </v>
      </c>
      <c r="J342" s="25" t="str">
        <f>IF(OR(E342="",E342="!!!",F342="NEW"),"",COUNTBLANK(OFFSET(A$1,,,SUMPRODUCT(MAX(ROW(E$2:E342)*(E342=E$2:E342)))))-COUNTBLANK(OFFSET(A$1,,,SUMPRODUCT(MAX(ROW(E$1:E341)*(E2=E$1:E341))))))</f>
        <v> </v>
      </c>
      <c r="K342" s="25" t="str">
        <f>IF(OR(E342="",E342="!!!",F342="NEW"),"",INDEX(J$1:J341,SUMPRODUCT(MAX(ROW(E$1:E341)*(E342=E$1:E341)))))</f>
        <v> </v>
      </c>
      <c r="L342" s="26"/>
    </row>
    <row r="343" spans="1:12">
      <c r="A343" s="20" t="s">
        <v>272</v>
      </c>
      <c r="B343" s="27" t="s">
        <v>256</v>
      </c>
      <c r="C343" s="27" t="s">
        <v>257</v>
      </c>
      <c r="D343" s="27" t="s">
        <v>258</v>
      </c>
      <c r="E343" s="21">
        <f>IF(D343="?OLD","!!!","")</f>
        <v/>
      </c>
      <c r="F343" s="22" t="str">
        <f>IF(OR(E343="",E343="!!!"),"",IF(NOT(ISNA(VLOOKUP(E343,E$1:E342,1,FALSE()))),"OLD",IF(AND(E343&lt;&gt;"",E343&lt;&gt;"!!!"),"NEW","")))</f>
        <v> </v>
      </c>
      <c r="G343" s="23" t="str">
        <f>IF(OR(E343="",E343="!!!"),"",IF(OR(J343=0,AND(J343=1,K343=1),AND(J343=1,I343="SBJ"),AND(J343=1,I343=0)),"?IN_FOCUS",IF(J343&lt;=2,"?ACTIVATED",IF(J343&lt;&gt;"","?FAMILIAR",IF(F343="NEW",IF(ISNA(VLOOKUP(E343,#REF!,1,FALSE())),"?TYPE_IDENTIFIABLE","?REFERENTIAL"),"_")))))</f>
        <v> </v>
      </c>
      <c r="H343" s="24" t="str">
        <f>IF(J343&lt;&gt;1,"",IF(I343="SBJ","CB","?"))</f>
        <v> </v>
      </c>
      <c r="I343" s="25" t="str">
        <f>IF(OR(E343="",E343="!!!",F343="NEW"),"",INDEX(B342:B$2,-1+SUMPRODUCT(MAX(ROW(E342:E$2)*(E343=E342:E$2)))))</f>
        <v> </v>
      </c>
      <c r="J343" s="25" t="str">
        <f>IF(OR(E343="",E343="!!!",F343="NEW"),"",COUNTBLANK(OFFSET(A$1,,,SUMPRODUCT(MAX(ROW(E$2:E343)*(E343=E$2:E343)))))-COUNTBLANK(OFFSET(A$1,,,SUMPRODUCT(MAX(ROW(E$1:E342)*(E2=E$1:E342))))))</f>
        <v> </v>
      </c>
      <c r="K343" s="25" t="str">
        <f>IF(OR(E343="",E343="!!!",F343="NEW"),"",INDEX(J$1:J342,SUMPRODUCT(MAX(ROW(E$1:E342)*(E343=E$1:E342)))))</f>
        <v> </v>
      </c>
      <c r="L343" s="26"/>
    </row>
    <row r="344" spans="1:12">
      <c r="A344" s="20" t="s">
        <v>235</v>
      </c>
      <c r="E344" s="21">
        <f>IF(D344="?OLD","!!!","")</f>
        <v/>
      </c>
      <c r="F344" s="22" t="str">
        <f>IF(OR(E344="",E344="!!!"),"",IF(NOT(ISNA(VLOOKUP(E344,E$1:E343,1,FALSE()))),"OLD",IF(AND(E344&lt;&gt;"",E344&lt;&gt;"!!!"),"NEW","")))</f>
        <v> </v>
      </c>
      <c r="G344" s="23" t="str">
        <f>IF(OR(E344="",E344="!!!"),"",IF(OR(J344=0,AND(J344=1,K344=1),AND(J344=1,I344="SBJ"),AND(J344=1,I344=0)),"?IN_FOCUS",IF(J344&lt;=2,"?ACTIVATED",IF(J344&lt;&gt;"","?FAMILIAR",IF(F344="NEW",IF(ISNA(VLOOKUP(E344,#REF!,1,FALSE())),"?TYPE_IDENTIFIABLE","?REFERENTIAL"),"_")))))</f>
        <v> </v>
      </c>
      <c r="H344" s="24" t="str">
        <f>IF(J344&lt;&gt;1,"",IF(I344="SBJ","CB","?"))</f>
        <v> </v>
      </c>
      <c r="I344" s="25" t="str">
        <f>IF(OR(E344="",E344="!!!",F344="NEW"),"",INDEX(B343:B$2,-1+SUMPRODUCT(MAX(ROW(E343:E$2)*(E344=E343:E$2)))))</f>
        <v> </v>
      </c>
      <c r="J344" s="25" t="str">
        <f>IF(OR(E344="",E344="!!!",F344="NEW"),"",COUNTBLANK(OFFSET(A$1,,,SUMPRODUCT(MAX(ROW(E$2:E344)*(E344=E$2:E344)))))-COUNTBLANK(OFFSET(A$1,,,SUMPRODUCT(MAX(ROW(E$1:E343)*(E2=E$1:E343))))))</f>
        <v> </v>
      </c>
      <c r="K344" s="25" t="str">
        <f>IF(OR(E344="",E344="!!!",F344="NEW"),"",INDEX(J$1:J343,SUMPRODUCT(MAX(ROW(E$1:E343)*(E344=E$1:E343)))))</f>
        <v> </v>
      </c>
      <c r="L344" s="26"/>
    </row>
    <row r="345" spans="1:12">
      <c r="A345" s="20" t="s">
        <v>440</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t="s">
        <v>442</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274</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t="s">
        <v>443</v>
      </c>
      <c r="B348" s="27" t="s">
        <v>333</v>
      </c>
      <c r="C348" s="27" t="s">
        <v>277</v>
      </c>
      <c r="D348" s="27" t="s">
        <v>258</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320</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row>
    <row r="351" spans="1:12">
      <c r="A351" s="20" t="s">
        <v>444</v>
      </c>
    </row>
    <row r="352" spans="1:12">
      <c r="A352" s="20" t="s">
        <v>445</v>
      </c>
      <c r="B352" s="27" t="s">
        <v>276</v>
      </c>
      <c r="C352" s="27" t="s">
        <v>257</v>
      </c>
      <c r="D352" s="27" t="s">
        <v>258</v>
      </c>
      <c r="E352" s="21">
        <f>IF(D352="?OLD","!!!","")</f>
        <v/>
      </c>
      <c r="F352" s="22" t="str">
        <f>IF(OR(E352="",E352="!!!"),"",IF(NOT(ISNA(VLOOKUP(E352,E$1:E351,1,FALSE()))),"OLD",IF(AND(E352&lt;&gt;"",E352&lt;&gt;"!!!"),"NEW","")))</f>
        <v> </v>
      </c>
      <c r="G352" s="23" t="str">
        <f>IF(OR(E352="",E352="!!!"),"",IF(OR(J352=0,AND(J352=1,K352=1),AND(J352=1,I352="SBJ"),AND(J352=1,I352=0)),"?IN_FOCUS",IF(J352&lt;=2,"?ACTIVATED",IF(J352&lt;&gt;"","?FAMILIAR",IF(F352="NEW",IF(ISNA(VLOOKUP(E352,#REF!,1,FALSE())),"?TYPE_IDENTIFIABLE","?REFERENTIAL"),"_")))))</f>
        <v> </v>
      </c>
      <c r="H352" s="24" t="str">
        <f>IF(J352&lt;&gt;1,"",IF(I352="SBJ","CB","?"))</f>
        <v> </v>
      </c>
      <c r="I352" s="25" t="str">
        <f>IF(OR(E352="",E352="!!!",F352="NEW"),"",INDEX(B351:B$2,-1+SUMPRODUCT(MAX(ROW(E351:E$2)*(E352=E351:E$2)))))</f>
        <v> </v>
      </c>
      <c r="J352" s="25" t="str">
        <f>IF(OR(E352="",E352="!!!",F352="NEW"),"",COUNTBLANK(OFFSET(A$1,,,SUMPRODUCT(MAX(ROW(E$2:E352)*(E352=E$2:E352)))))-COUNTBLANK(OFFSET(A$1,,,SUMPRODUCT(MAX(ROW(E$1:E351)*(E2=E$1:E351))))))</f>
        <v> </v>
      </c>
      <c r="K352" s="25" t="str">
        <f>IF(OR(E352="",E352="!!!",F352="NEW"),"",INDEX(J$1:J351,SUMPRODUCT(MAX(ROW(E$1:E351)*(E352=E$1:E351)))))</f>
        <v> </v>
      </c>
      <c r="L352" s="26"/>
    </row>
    <row r="353" spans="1:12">
      <c r="A353" s="20" t="s">
        <v>259</v>
      </c>
      <c r="E353" s="21">
        <f>IF(D353="?OLD","!!!","")</f>
        <v/>
      </c>
      <c r="F353" s="22" t="str">
        <f>IF(OR(E353="",E353="!!!"),"",IF(NOT(ISNA(VLOOKUP(E353,E$1:E352,1,FALSE()))),"OLD",IF(AND(E353&lt;&gt;"",E353&lt;&gt;"!!!"),"NEW","")))</f>
        <v> </v>
      </c>
      <c r="G353" s="23" t="str">
        <f>IF(OR(E353="",E353="!!!"),"",IF(OR(J353=0,AND(J353=1,K353=1),AND(J353=1,I353="SBJ"),AND(J353=1,I353=0)),"?IN_FOCUS",IF(J353&lt;=2,"?ACTIVATED",IF(J353&lt;&gt;"","?FAMILIAR",IF(F353="NEW",IF(ISNA(VLOOKUP(E353,#REF!,1,FALSE())),"?TYPE_IDENTIFIABLE","?REFERENTIAL"),"_")))))</f>
        <v> </v>
      </c>
      <c r="H353" s="24" t="str">
        <f>IF(J353&lt;&gt;1,"",IF(I353="SBJ","CB","?"))</f>
        <v> </v>
      </c>
      <c r="I353" s="25" t="str">
        <f>IF(OR(E353="",E353="!!!",F353="NEW"),"",INDEX(B352:B$2,-1+SUMPRODUCT(MAX(ROW(E352:E$2)*(E353=E352:E$2)))))</f>
        <v> </v>
      </c>
      <c r="J353" s="25" t="str">
        <f>IF(OR(E353="",E353="!!!",F353="NEW"),"",COUNTBLANK(OFFSET(A$1,,,SUMPRODUCT(MAX(ROW(E$2:E353)*(E353=E$2:E353)))))-COUNTBLANK(OFFSET(A$1,,,SUMPRODUCT(MAX(ROW(E$1:E352)*(E2=E$1:E352))))))</f>
        <v> </v>
      </c>
      <c r="K353" s="25" t="str">
        <f>IF(OR(E353="",E353="!!!",F353="NEW"),"",INDEX(J$1:J352,SUMPRODUCT(MAX(ROW(E$1:E352)*(E353=E$1:E352)))))</f>
        <v> </v>
      </c>
      <c r="L353" s="26"/>
    </row>
    <row r="354" spans="1:12">
      <c r="A354" s="20" t="s">
        <v>71</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381</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305</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446</v>
      </c>
      <c r="B357" s="27" t="s">
        <v>328</v>
      </c>
      <c r="C357" s="27" t="s">
        <v>284</v>
      </c>
      <c r="D357" s="27" t="s">
        <v>258</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447</v>
      </c>
      <c r="B358" s="27" t="s">
        <v>267</v>
      </c>
      <c r="C358" s="27" t="s">
        <v>287</v>
      </c>
      <c r="D358" s="27" t="s">
        <v>258</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t="s">
        <v>293</v>
      </c>
      <c r="E359" s="21">
        <f>IF(D359="?OLD","!!!","")</f>
        <v/>
      </c>
      <c r="F359" s="22" t="str">
        <f>IF(OR(E359="",E359="!!!"),"",IF(NOT(ISNA(VLOOKUP(E359,E$1:E358,1,FALSE()))),"OLD",IF(AND(E359&lt;&gt;"",E359&lt;&gt;"!!!"),"NEW","")))</f>
        <v> </v>
      </c>
      <c r="G359" s="23" t="str">
        <f>IF(OR(E359="",E359="!!!"),"",IF(OR(J359=0,AND(J359=1,K359=1),AND(J359=1,I359="SBJ"),AND(J359=1,I359=0)),"?IN_FOCUS",IF(J359&lt;=2,"?ACTIVATED",IF(J359&lt;&gt;"","?FAMILIAR",IF(F359="NEW",IF(ISNA(VLOOKUP(E359,#REF!,1,FALSE())),"?TYPE_IDENTIFIABLE","?REFERENTIAL"),"_")))))</f>
        <v> </v>
      </c>
      <c r="H359" s="24" t="str">
        <f>IF(J359&lt;&gt;1,"",IF(I359="SBJ","CB","?"))</f>
        <v> </v>
      </c>
      <c r="I359" s="25" t="str">
        <f>IF(OR(E359="",E359="!!!",F359="NEW"),"",INDEX(B358:B$2,-1+SUMPRODUCT(MAX(ROW(E358:E$2)*(E359=E358:E$2)))))</f>
        <v> </v>
      </c>
      <c r="J359" s="25" t="str">
        <f>IF(OR(E359="",E359="!!!",F359="NEW"),"",COUNTBLANK(OFFSET(A$1,,,SUMPRODUCT(MAX(ROW(E$2:E359)*(E359=E$2:E359)))))-COUNTBLANK(OFFSET(A$1,,,SUMPRODUCT(MAX(ROW(E$1:E358)*(E2=E$1:E358))))))</f>
        <v> </v>
      </c>
      <c r="K359" s="25" t="str">
        <f>IF(OR(E359="",E359="!!!",F359="NEW"),"",INDEX(J$1:J358,SUMPRODUCT(MAX(ROW(E$1:E358)*(E359=E$1:E358)))))</f>
        <v> </v>
      </c>
      <c r="L359" s="26"/>
    </row>
    <row r="360" spans="1:12">
      <c r="A360" s="20" t="s">
        <v>448</v>
      </c>
      <c r="E360" s="21">
        <f>IF(D360="?OLD","!!!","")</f>
        <v/>
      </c>
      <c r="F360" s="22" t="str">
        <f>IF(OR(E360="",E360="!!!"),"",IF(NOT(ISNA(VLOOKUP(E360,E$1:E359,1,FALSE()))),"OLD",IF(AND(E360&lt;&gt;"",E360&lt;&gt;"!!!"),"NEW","")))</f>
        <v> </v>
      </c>
      <c r="G360" s="23" t="str">
        <f>IF(OR(E360="",E360="!!!"),"",IF(OR(J360=0,AND(J360=1,K360=1),AND(J360=1,I360="SBJ"),AND(J360=1,I360=0)),"?IN_FOCUS",IF(J360&lt;=2,"?ACTIVATED",IF(J360&lt;&gt;"","?FAMILIAR",IF(F360="NEW",IF(ISNA(VLOOKUP(E360,#REF!,1,FALSE())),"?TYPE_IDENTIFIABLE","?REFERENTIAL"),"_")))))</f>
        <v> </v>
      </c>
      <c r="H360" s="24" t="str">
        <f>IF(J360&lt;&gt;1,"",IF(I360="SBJ","CB","?"))</f>
        <v> </v>
      </c>
      <c r="I360" s="25" t="str">
        <f>IF(OR(E360="",E360="!!!",F360="NEW"),"",INDEX(B359:B$2,-1+SUMPRODUCT(MAX(ROW(E359:E$2)*(E360=E359:E$2)))))</f>
        <v> </v>
      </c>
      <c r="J360" s="25" t="str">
        <f>IF(OR(E360="",E360="!!!",F360="NEW"),"",COUNTBLANK(OFFSET(A$1,,,SUMPRODUCT(MAX(ROW(E$2:E360)*(E360=E$2:E360)))))-COUNTBLANK(OFFSET(A$1,,,SUMPRODUCT(MAX(ROW(E$1:E359)*(E2=E$1:E359))))))</f>
        <v> </v>
      </c>
      <c r="K360" s="25" t="str">
        <f>IF(OR(E360="",E360="!!!",F360="NEW"),"",INDEX(J$1:J359,SUMPRODUCT(MAX(ROW(E$1:E359)*(E360=E$1:E359)))))</f>
        <v> </v>
      </c>
      <c r="L360" s="26"/>
    </row>
    <row r="361" spans="1:12">
      <c r="A361" s="20" t="s">
        <v>416</v>
      </c>
      <c r="B361" s="27" t="s">
        <v>262</v>
      </c>
      <c r="C361" s="27" t="s">
        <v>367</v>
      </c>
      <c r="D361" s="27" t="s">
        <v>258</v>
      </c>
      <c r="E361" s="21">
        <f>IF(D361="?OLD","!!!","")</f>
        <v/>
      </c>
      <c r="F361" s="22" t="str">
        <f>IF(OR(E361="",E361="!!!"),"",IF(NOT(ISNA(VLOOKUP(E361,E$1:E360,1,FALSE()))),"OLD",IF(AND(E361&lt;&gt;"",E361&lt;&gt;"!!!"),"NEW","")))</f>
        <v> </v>
      </c>
      <c r="G361" s="23" t="str">
        <f>IF(OR(E361="",E361="!!!"),"",IF(OR(J361=0,AND(J361=1,K361=1),AND(J361=1,I361="SBJ"),AND(J361=1,I361=0)),"?IN_FOCUS",IF(J361&lt;=2,"?ACTIVATED",IF(J361&lt;&gt;"","?FAMILIAR",IF(F361="NEW",IF(ISNA(VLOOKUP(E361,#REF!,1,FALSE())),"?TYPE_IDENTIFIABLE","?REFERENTIAL"),"_")))))</f>
        <v> </v>
      </c>
      <c r="H361" s="24" t="str">
        <f>IF(J361&lt;&gt;1,"",IF(I361="SBJ","CB","?"))</f>
        <v> </v>
      </c>
      <c r="I361" s="25" t="str">
        <f>IF(OR(E361="",E361="!!!",F361="NEW"),"",INDEX(B360:B$2,-1+SUMPRODUCT(MAX(ROW(E360:E$2)*(E361=E360:E$2)))))</f>
        <v> </v>
      </c>
      <c r="J361" s="25" t="str">
        <f>IF(OR(E361="",E361="!!!",F361="NEW"),"",COUNTBLANK(OFFSET(A$1,,,SUMPRODUCT(MAX(ROW(E$2:E361)*(E361=E$2:E361)))))-COUNTBLANK(OFFSET(A$1,,,SUMPRODUCT(MAX(ROW(E$1:E360)*(E2=E$1:E360))))))</f>
        <v> </v>
      </c>
      <c r="K361" s="25" t="str">
        <f>IF(OR(E361="",E361="!!!",F361="NEW"),"",INDEX(J$1:J360,SUMPRODUCT(MAX(ROW(E$1:E360)*(E361=E$1:E360)))))</f>
        <v> </v>
      </c>
      <c r="L361" s="26"/>
    </row>
    <row r="362" spans="1:12">
      <c r="A362" s="20" t="s">
        <v>449</v>
      </c>
      <c r="E362" s="21">
        <f>IF(D362="?OLD","!!!","")</f>
        <v/>
      </c>
      <c r="F362" s="22" t="str">
        <f>IF(OR(E362="",E362="!!!"),"",IF(NOT(ISNA(VLOOKUP(E362,E$1:E361,1,FALSE()))),"OLD",IF(AND(E362&lt;&gt;"",E362&lt;&gt;"!!!"),"NEW","")))</f>
        <v> </v>
      </c>
      <c r="G362" s="23" t="str">
        <f>IF(OR(E362="",E362="!!!"),"",IF(OR(J362=0,AND(J362=1,K362=1),AND(J362=1,I362="SBJ"),AND(J362=1,I362=0)),"?IN_FOCUS",IF(J362&lt;=2,"?ACTIVATED",IF(J362&lt;&gt;"","?FAMILIAR",IF(F362="NEW",IF(ISNA(VLOOKUP(E362,#REF!,1,FALSE())),"?TYPE_IDENTIFIABLE","?REFERENTIAL"),"_")))))</f>
        <v> </v>
      </c>
      <c r="H362" s="24" t="str">
        <f>IF(J362&lt;&gt;1,"",IF(I362="SBJ","CB","?"))</f>
        <v> </v>
      </c>
      <c r="I362" s="25" t="str">
        <f>IF(OR(E362="",E362="!!!",F362="NEW"),"",INDEX(B361:B$2,-1+SUMPRODUCT(MAX(ROW(E361:E$2)*(E362=E361:E$2)))))</f>
        <v> </v>
      </c>
      <c r="J362" s="25" t="str">
        <f>IF(OR(E362="",E362="!!!",F362="NEW"),"",COUNTBLANK(OFFSET(A$1,,,SUMPRODUCT(MAX(ROW(E$2:E362)*(E362=E$2:E362)))))-COUNTBLANK(OFFSET(A$1,,,SUMPRODUCT(MAX(ROW(E$1:E361)*(E2=E$1:E361))))))</f>
        <v> </v>
      </c>
      <c r="K362" s="25" t="str">
        <f>IF(OR(E362="",E362="!!!",F362="NEW"),"",INDEX(J$1:J361,SUMPRODUCT(MAX(ROW(E$1:E361)*(E362=E$1:E361)))))</f>
        <v> </v>
      </c>
      <c r="L362" s="26"/>
    </row>
    <row r="363" spans="1:12">
      <c r="A363" s="20" t="s">
        <v>450</v>
      </c>
      <c r="B363" s="27" t="s">
        <v>328</v>
      </c>
      <c r="C363" s="27" t="s">
        <v>284</v>
      </c>
      <c r="D363" s="27" t="s">
        <v>258</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t="s">
        <v>214</v>
      </c>
      <c r="B364" s="27" t="s">
        <v>267</v>
      </c>
      <c r="C364" s="27" t="s">
        <v>287</v>
      </c>
      <c r="D364" s="27" t="s">
        <v>258</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320</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row>
    <row r="367" spans="1:12">
      <c r="A367" s="20" t="s">
        <v>451</v>
      </c>
    </row>
    <row r="368" spans="1:12">
      <c r="A368" s="20" t="s">
        <v>452</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t="s">
        <v>350</v>
      </c>
      <c r="B369" s="27" t="s">
        <v>333</v>
      </c>
      <c r="C369" s="27" t="s">
        <v>351</v>
      </c>
      <c r="D369" s="27" t="s">
        <v>258</v>
      </c>
      <c r="E369" s="21">
        <f>IF(D369="?OLD","!!!","")</f>
        <v/>
      </c>
      <c r="F369" s="22" t="str">
        <f>IF(OR(E369="",E369="!!!"),"",IF(NOT(ISNA(VLOOKUP(E369,E$1:E368,1,FALSE()))),"OLD",IF(AND(E369&lt;&gt;"",E369&lt;&gt;"!!!"),"NEW","")))</f>
        <v> </v>
      </c>
      <c r="G369" s="23" t="str">
        <f>IF(OR(E369="",E369="!!!"),"",IF(OR(J369=0,AND(J369=1,K369=1),AND(J369=1,I369="SBJ"),AND(J369=1,I369=0)),"?IN_FOCUS",IF(J369&lt;=2,"?ACTIVATED",IF(J369&lt;&gt;"","?FAMILIAR",IF(F369="NEW",IF(ISNA(VLOOKUP(E369,#REF!,1,FALSE())),"?TYPE_IDENTIFIABLE","?REFERENTIAL"),"_")))))</f>
        <v> </v>
      </c>
      <c r="H369" s="24" t="str">
        <f>IF(J369&lt;&gt;1,"",IF(I369="SBJ","CB","?"))</f>
        <v> </v>
      </c>
      <c r="I369" s="25" t="str">
        <f>IF(OR(E369="",E369="!!!",F369="NEW"),"",INDEX(B368:B$2,-1+SUMPRODUCT(MAX(ROW(E368:E$2)*(E369=E368:E$2)))))</f>
        <v> </v>
      </c>
      <c r="J369" s="25" t="str">
        <f>IF(OR(E369="",E369="!!!",F369="NEW"),"",COUNTBLANK(OFFSET(A$1,,,SUMPRODUCT(MAX(ROW(E$2:E369)*(E369=E$2:E369)))))-COUNTBLANK(OFFSET(A$1,,,SUMPRODUCT(MAX(ROW(E$1:E368)*(E2=E$1:E368))))))</f>
        <v> </v>
      </c>
      <c r="K369" s="25" t="str">
        <f>IF(OR(E369="",E369="!!!",F369="NEW"),"",INDEX(J$1:J368,SUMPRODUCT(MAX(ROW(E$1:E368)*(E369=E$1:E368)))))</f>
        <v> </v>
      </c>
      <c r="L369" s="26"/>
    </row>
    <row r="370" spans="1:12">
      <c r="A370" s="20" t="s">
        <v>271</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t="s">
        <v>261</v>
      </c>
      <c r="B371" s="27" t="s">
        <v>276</v>
      </c>
      <c r="C371" s="27" t="s">
        <v>257</v>
      </c>
      <c r="D371" s="27" t="s">
        <v>258</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t="s">
        <v>259</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t="s">
        <v>75</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410</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329</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453</v>
      </c>
      <c r="B376" s="27" t="s">
        <v>333</v>
      </c>
      <c r="C376" s="27" t="s">
        <v>334</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320</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row>
    <row r="379" spans="1:12">
      <c r="A379" s="20" t="s">
        <v>454</v>
      </c>
    </row>
    <row r="380" spans="1:12">
      <c r="A380" s="20" t="s">
        <v>445</v>
      </c>
      <c r="B380" s="27" t="s">
        <v>276</v>
      </c>
      <c r="C380" s="27" t="s">
        <v>257</v>
      </c>
      <c r="D380" s="27" t="s">
        <v>258</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t="s">
        <v>259</v>
      </c>
      <c r="E381" s="21">
        <f>IF(D381="?OLD","!!!","")</f>
        <v/>
      </c>
      <c r="F381" s="22" t="str">
        <f>IF(OR(E381="",E381="!!!"),"",IF(NOT(ISNA(VLOOKUP(E381,E$1:E380,1,FALSE()))),"OLD",IF(AND(E381&lt;&gt;"",E381&lt;&gt;"!!!"),"NEW","")))</f>
        <v> </v>
      </c>
      <c r="G381" s="23" t="str">
        <f>IF(OR(E381="",E381="!!!"),"",IF(OR(J381=0,AND(J381=1,K381=1),AND(J381=1,I381="SBJ"),AND(J381=1,I381=0)),"?IN_FOCUS",IF(J381&lt;=2,"?ACTIVATED",IF(J381&lt;&gt;"","?FAMILIAR",IF(F381="NEW",IF(ISNA(VLOOKUP(E381,#REF!,1,FALSE())),"?TYPE_IDENTIFIABLE","?REFERENTIAL"),"_")))))</f>
        <v> </v>
      </c>
      <c r="H381" s="24" t="str">
        <f>IF(J381&lt;&gt;1,"",IF(I381="SBJ","CB","?"))</f>
        <v> </v>
      </c>
      <c r="I381" s="25" t="str">
        <f>IF(OR(E381="",E381="!!!",F381="NEW"),"",INDEX(B380:B$2,-1+SUMPRODUCT(MAX(ROW(E380:E$2)*(E381=E380:E$2)))))</f>
        <v> </v>
      </c>
      <c r="J381" s="25" t="str">
        <f>IF(OR(E381="",E381="!!!",F381="NEW"),"",COUNTBLANK(OFFSET(A$1,,,SUMPRODUCT(MAX(ROW(E$2:E381)*(E381=E$2:E381)))))-COUNTBLANK(OFFSET(A$1,,,SUMPRODUCT(MAX(ROW(E$1:E380)*(E2=E$1:E380))))))</f>
        <v> </v>
      </c>
      <c r="K381" s="25" t="str">
        <f>IF(OR(E381="",E381="!!!",F381="NEW"),"",INDEX(J$1:J380,SUMPRODUCT(MAX(ROW(E$1:E380)*(E381=E$1:E380)))))</f>
        <v> </v>
      </c>
      <c r="L381" s="26"/>
    </row>
    <row r="382" spans="1:12">
      <c r="A382" s="20" t="s">
        <v>75</v>
      </c>
      <c r="E382" s="21">
        <f>IF(D382="?OLD","!!!","")</f>
        <v/>
      </c>
      <c r="F382" s="22" t="str">
        <f>IF(OR(E382="",E382="!!!"),"",IF(NOT(ISNA(VLOOKUP(E382,E$1:E381,1,FALSE()))),"OLD",IF(AND(E382&lt;&gt;"",E382&lt;&gt;"!!!"),"NEW","")))</f>
        <v> </v>
      </c>
      <c r="G382" s="23" t="str">
        <f>IF(OR(E382="",E382="!!!"),"",IF(OR(J382=0,AND(J382=1,K382=1),AND(J382=1,I382="SBJ"),AND(J382=1,I382=0)),"?IN_FOCUS",IF(J382&lt;=2,"?ACTIVATED",IF(J382&lt;&gt;"","?FAMILIAR",IF(F382="NEW",IF(ISNA(VLOOKUP(E382,#REF!,1,FALSE())),"?TYPE_IDENTIFIABLE","?REFERENTIAL"),"_")))))</f>
        <v> </v>
      </c>
      <c r="H382" s="24" t="str">
        <f>IF(J382&lt;&gt;1,"",IF(I382="SBJ","CB","?"))</f>
        <v> </v>
      </c>
      <c r="I382" s="25" t="str">
        <f>IF(OR(E382="",E382="!!!",F382="NEW"),"",INDEX(B381:B$2,-1+SUMPRODUCT(MAX(ROW(E381:E$2)*(E382=E381:E$2)))))</f>
        <v> </v>
      </c>
      <c r="J382" s="25" t="str">
        <f>IF(OR(E382="",E382="!!!",F382="NEW"),"",COUNTBLANK(OFFSET(A$1,,,SUMPRODUCT(MAX(ROW(E$2:E382)*(E382=E$2:E382)))))-COUNTBLANK(OFFSET(A$1,,,SUMPRODUCT(MAX(ROW(E$1:E381)*(E2=E$1:E381))))))</f>
        <v> </v>
      </c>
      <c r="K382" s="25" t="str">
        <f>IF(OR(E382="",E382="!!!",F382="NEW"),"",INDEX(J$1:J381,SUMPRODUCT(MAX(ROW(E$1:E381)*(E382=E$1:E381)))))</f>
        <v> </v>
      </c>
      <c r="L382" s="26"/>
    </row>
    <row r="383" spans="1:12">
      <c r="A383" s="20" t="s">
        <v>410</v>
      </c>
      <c r="E383" s="21">
        <f>IF(D383="?OLD","!!!","")</f>
        <v/>
      </c>
      <c r="F383" s="22" t="str">
        <f>IF(OR(E383="",E383="!!!"),"",IF(NOT(ISNA(VLOOKUP(E383,E$1:E382,1,FALSE()))),"OLD",IF(AND(E383&lt;&gt;"",E383&lt;&gt;"!!!"),"NEW","")))</f>
        <v> </v>
      </c>
      <c r="G383" s="23" t="str">
        <f>IF(OR(E383="",E383="!!!"),"",IF(OR(J383=0,AND(J383=1,K383=1),AND(J383=1,I383="SBJ"),AND(J383=1,I383=0)),"?IN_FOCUS",IF(J383&lt;=2,"?ACTIVATED",IF(J383&lt;&gt;"","?FAMILIAR",IF(F383="NEW",IF(ISNA(VLOOKUP(E383,#REF!,1,FALSE())),"?TYPE_IDENTIFIABLE","?REFERENTIAL"),"_")))))</f>
        <v> </v>
      </c>
      <c r="H383" s="24" t="str">
        <f>IF(J383&lt;&gt;1,"",IF(I383="SBJ","CB","?"))</f>
        <v> </v>
      </c>
      <c r="I383" s="25" t="str">
        <f>IF(OR(E383="",E383="!!!",F383="NEW"),"",INDEX(B382:B$2,-1+SUMPRODUCT(MAX(ROW(E382:E$2)*(E383=E382:E$2)))))</f>
        <v> </v>
      </c>
      <c r="J383" s="25" t="str">
        <f>IF(OR(E383="",E383="!!!",F383="NEW"),"",COUNTBLANK(OFFSET(A$1,,,SUMPRODUCT(MAX(ROW(E$2:E383)*(E383=E$2:E383)))))-COUNTBLANK(OFFSET(A$1,,,SUMPRODUCT(MAX(ROW(E$1:E382)*(E2=E$1:E382))))))</f>
        <v> </v>
      </c>
      <c r="K383" s="25" t="str">
        <f>IF(OR(E383="",E383="!!!",F383="NEW"),"",INDEX(J$1:J382,SUMPRODUCT(MAX(ROW(E$1:E382)*(E383=E$1:E382)))))</f>
        <v> </v>
      </c>
      <c r="L383" s="26"/>
    </row>
    <row r="384" spans="1:12">
      <c r="A384" s="20" t="s">
        <v>329</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t="s">
        <v>354</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t="s">
        <v>455</v>
      </c>
      <c r="B386" s="27" t="s">
        <v>333</v>
      </c>
      <c r="C386" s="27" t="s">
        <v>334</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t="s">
        <v>320</v>
      </c>
      <c r="E387" s="21">
        <f>IF(D387="?OLD","!!!","")</f>
        <v/>
      </c>
      <c r="F387" s="22" t="str">
        <f>IF(OR(E387="",E387="!!!"),"",IF(NOT(ISNA(VLOOKUP(E387,E$1:E386,1,FALSE()))),"OLD",IF(AND(E387&lt;&gt;"",E387&lt;&gt;"!!!"),"NEW","")))</f>
        <v> </v>
      </c>
      <c r="G387" s="23" t="str">
        <f>IF(OR(E387="",E387="!!!"),"",IF(OR(J387=0,AND(J387=1,K387=1),AND(J387=1,I387="SBJ"),AND(J387=1,I387=0)),"?IN_FOCUS",IF(J387&lt;=2,"?ACTIVATED",IF(J387&lt;&gt;"","?FAMILIAR",IF(F387="NEW",IF(ISNA(VLOOKUP(E387,#REF!,1,FALSE())),"?TYPE_IDENTIFIABLE","?REFERENTIAL"),"_")))))</f>
        <v> </v>
      </c>
      <c r="H387" s="24" t="str">
        <f>IF(J387&lt;&gt;1,"",IF(I387="SBJ","CB","?"))</f>
        <v> </v>
      </c>
      <c r="I387" s="25" t="str">
        <f>IF(OR(E387="",E387="!!!",F387="NEW"),"",INDEX(B386:B$2,-1+SUMPRODUCT(MAX(ROW(E386:E$2)*(E387=E386:E$2)))))</f>
        <v> </v>
      </c>
      <c r="J387" s="25" t="str">
        <f>IF(OR(E387="",E387="!!!",F387="NEW"),"",COUNTBLANK(OFFSET(A$1,,,SUMPRODUCT(MAX(ROW(E$2:E387)*(E387=E$2:E387)))))-COUNTBLANK(OFFSET(A$1,,,SUMPRODUCT(MAX(ROW(E$1:E386)*(E2=E$1:E386))))))</f>
        <v> </v>
      </c>
      <c r="K387" s="25" t="str">
        <f>IF(OR(E387="",E387="!!!",F387="NEW"),"",INDEX(J$1:J386,SUMPRODUCT(MAX(ROW(E$1:E386)*(E387=E$1:E386)))))</f>
        <v> </v>
      </c>
      <c r="L387" s="26"/>
    </row>
    <row r="388" spans="1:12">
      <c r="A388" s="20"/>
    </row>
    <row r="389" spans="1:12">
      <c r="A389" s="20" t="s">
        <v>456</v>
      </c>
    </row>
    <row r="390" spans="1:12">
      <c r="A390" s="20" t="s">
        <v>445</v>
      </c>
      <c r="B390" s="27" t="s">
        <v>276</v>
      </c>
      <c r="C390" s="27" t="s">
        <v>257</v>
      </c>
      <c r="D390" s="27" t="s">
        <v>258</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259</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t="s">
        <v>82</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t="s">
        <v>327</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t="s">
        <v>410</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t="s">
        <v>329</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t="s">
        <v>457</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t="s">
        <v>458</v>
      </c>
      <c r="B397" s="27" t="s">
        <v>333</v>
      </c>
      <c r="C397" s="27" t="s">
        <v>334</v>
      </c>
      <c r="E397" s="21">
        <f>IF(D397="?OLD","!!!","")</f>
        <v/>
      </c>
      <c r="F397" s="22" t="str">
        <f>IF(OR(E397="",E397="!!!"),"",IF(NOT(ISNA(VLOOKUP(E397,E$1:E396,1,FALSE()))),"OLD",IF(AND(E397&lt;&gt;"",E397&lt;&gt;"!!!"),"NEW","")))</f>
        <v> </v>
      </c>
      <c r="G397" s="23" t="str">
        <f>IF(OR(E397="",E397="!!!"),"",IF(OR(J397=0,AND(J397=1,K397=1),AND(J397=1,I397="SBJ"),AND(J397=1,I397=0)),"?IN_FOCUS",IF(J397&lt;=2,"?ACTIVATED",IF(J397&lt;&gt;"","?FAMILIAR",IF(F397="NEW",IF(ISNA(VLOOKUP(E397,#REF!,1,FALSE())),"?TYPE_IDENTIFIABLE","?REFERENTIAL"),"_")))))</f>
        <v> </v>
      </c>
      <c r="H397" s="24" t="str">
        <f>IF(J397&lt;&gt;1,"",IF(I397="SBJ","CB","?"))</f>
        <v> </v>
      </c>
      <c r="I397" s="25" t="str">
        <f>IF(OR(E397="",E397="!!!",F397="NEW"),"",INDEX(B396:B$2,-1+SUMPRODUCT(MAX(ROW(E396:E$2)*(E397=E396:E$2)))))</f>
        <v> </v>
      </c>
      <c r="J397" s="25" t="str">
        <f>IF(OR(E397="",E397="!!!",F397="NEW"),"",COUNTBLANK(OFFSET(A$1,,,SUMPRODUCT(MAX(ROW(E$2:E397)*(E397=E$2:E397)))))-COUNTBLANK(OFFSET(A$1,,,SUMPRODUCT(MAX(ROW(E$1:E396)*(E2=E$1:E396))))))</f>
        <v> </v>
      </c>
      <c r="K397" s="25" t="str">
        <f>IF(OR(E397="",E397="!!!",F397="NEW"),"",INDEX(J$1:J396,SUMPRODUCT(MAX(ROW(E$1:E396)*(E397=E$1:E396)))))</f>
        <v> </v>
      </c>
      <c r="L397" s="26"/>
    </row>
    <row r="398" spans="1:12">
      <c r="A398" s="20" t="s">
        <v>320</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row>
    <row r="400" spans="1:12">
      <c r="A400" s="20" t="s">
        <v>459</v>
      </c>
    </row>
    <row r="401" spans="1:12">
      <c r="A401" s="20" t="s">
        <v>322</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255</v>
      </c>
      <c r="B402" s="27" t="s">
        <v>276</v>
      </c>
      <c r="C402" s="27" t="s">
        <v>257</v>
      </c>
      <c r="D402" s="27" t="s">
        <v>258</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343</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325</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326</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t="s">
        <v>416</v>
      </c>
      <c r="B406" s="27" t="s">
        <v>333</v>
      </c>
      <c r="C406" s="27" t="s">
        <v>367</v>
      </c>
      <c r="D406" s="27" t="s">
        <v>258</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441</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t="s">
        <v>255</v>
      </c>
      <c r="B408" s="27" t="s">
        <v>256</v>
      </c>
      <c r="C408" s="27" t="s">
        <v>257</v>
      </c>
      <c r="D408" s="27" t="s">
        <v>258</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t="s">
        <v>35</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t="s">
        <v>274</v>
      </c>
      <c r="E410" s="21">
        <f>IF(D410="?OLD","!!!","")</f>
        <v/>
      </c>
      <c r="F410" s="22" t="str">
        <f>IF(OR(E410="",E410="!!!"),"",IF(NOT(ISNA(VLOOKUP(E410,E$1:E409,1,FALSE()))),"OLD",IF(AND(E410&lt;&gt;"",E410&lt;&gt;"!!!"),"NEW","")))</f>
        <v> </v>
      </c>
      <c r="G410" s="23" t="str">
        <f>IF(OR(E410="",E410="!!!"),"",IF(OR(J410=0,AND(J410=1,K410=1),AND(J410=1,I410="SBJ"),AND(J410=1,I410=0)),"?IN_FOCUS",IF(J410&lt;=2,"?ACTIVATED",IF(J410&lt;&gt;"","?FAMILIAR",IF(F410="NEW",IF(ISNA(VLOOKUP(E410,#REF!,1,FALSE())),"?TYPE_IDENTIFIABLE","?REFERENTIAL"),"_")))))</f>
        <v> </v>
      </c>
      <c r="H410" s="24" t="str">
        <f>IF(J410&lt;&gt;1,"",IF(I410="SBJ","CB","?"))</f>
        <v> </v>
      </c>
      <c r="I410" s="25" t="str">
        <f>IF(OR(E410="",E410="!!!",F410="NEW"),"",INDEX(B409:B$2,-1+SUMPRODUCT(MAX(ROW(E409:E$2)*(E410=E409:E$2)))))</f>
        <v> </v>
      </c>
      <c r="J410" s="25" t="str">
        <f>IF(OR(E410="",E410="!!!",F410="NEW"),"",COUNTBLANK(OFFSET(A$1,,,SUMPRODUCT(MAX(ROW(E$2:E410)*(E410=E$2:E410)))))-COUNTBLANK(OFFSET(A$1,,,SUMPRODUCT(MAX(ROW(E$1:E409)*(E2=E$1:E409))))))</f>
        <v> </v>
      </c>
      <c r="K410" s="25" t="str">
        <f>IF(OR(E410="",E410="!!!",F410="NEW"),"",INDEX(J$1:J409,SUMPRODUCT(MAX(ROW(E$1:E409)*(E410=E$1:E409)))))</f>
        <v> </v>
      </c>
      <c r="L410" s="26"/>
    </row>
    <row r="411" spans="1:12">
      <c r="A411" s="20" t="s">
        <v>460</v>
      </c>
      <c r="B411" s="27" t="s">
        <v>262</v>
      </c>
      <c r="C411" s="27" t="s">
        <v>277</v>
      </c>
      <c r="D411" s="27" t="s">
        <v>258</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t="s">
        <v>273</v>
      </c>
      <c r="B412" s="27" t="s">
        <v>286</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t="s">
        <v>406</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t="s">
        <v>461</v>
      </c>
      <c r="E414" s="21">
        <f>IF(D414="?OLD","!!!","")</f>
        <v/>
      </c>
      <c r="F414" s="22" t="str">
        <f>IF(OR(E414="",E414="!!!"),"",IF(NOT(ISNA(VLOOKUP(E414,E$1:E413,1,FALSE()))),"OLD",IF(AND(E414&lt;&gt;"",E414&lt;&gt;"!!!"),"NEW","")))</f>
        <v> </v>
      </c>
      <c r="G414" s="23" t="str">
        <f>IF(OR(E414="",E414="!!!"),"",IF(OR(J414=0,AND(J414=1,K414=1),AND(J414=1,I414="SBJ"),AND(J414=1,I414=0)),"?IN_FOCUS",IF(J414&lt;=2,"?ACTIVATED",IF(J414&lt;&gt;"","?FAMILIAR",IF(F414="NEW",IF(ISNA(VLOOKUP(E414,#REF!,1,FALSE())),"?TYPE_IDENTIFIABLE","?REFERENTIAL"),"_")))))</f>
        <v> </v>
      </c>
      <c r="H414" s="24" t="str">
        <f>IF(J414&lt;&gt;1,"",IF(I414="SBJ","CB","?"))</f>
        <v> </v>
      </c>
      <c r="I414" s="25" t="str">
        <f>IF(OR(E414="",E414="!!!",F414="NEW"),"",INDEX(B413:B$2,-1+SUMPRODUCT(MAX(ROW(E413:E$2)*(E414=E413:E$2)))))</f>
        <v> </v>
      </c>
      <c r="J414" s="25" t="str">
        <f>IF(OR(E414="",E414="!!!",F414="NEW"),"",COUNTBLANK(OFFSET(A$1,,,SUMPRODUCT(MAX(ROW(E$2:E414)*(E414=E$2:E414)))))-COUNTBLANK(OFFSET(A$1,,,SUMPRODUCT(MAX(ROW(E$1:E413)*(E2=E$1:E413))))))</f>
        <v> </v>
      </c>
      <c r="K414" s="25" t="str">
        <f>IF(OR(E414="",E414="!!!",F414="NEW"),"",INDEX(J$1:J413,SUMPRODUCT(MAX(ROW(E$1:E413)*(E414=E$1:E413)))))</f>
        <v> </v>
      </c>
      <c r="L414" s="26"/>
    </row>
    <row r="415" spans="1:12">
      <c r="A415" s="20" t="s">
        <v>280</v>
      </c>
      <c r="E415" s="21">
        <f>IF(D415="?OLD","!!!","")</f>
        <v/>
      </c>
      <c r="F415" s="22" t="str">
        <f>IF(OR(E415="",E415="!!!"),"",IF(NOT(ISNA(VLOOKUP(E415,E$1:E414,1,FALSE()))),"OLD",IF(AND(E415&lt;&gt;"",E415&lt;&gt;"!!!"),"NEW","")))</f>
        <v> </v>
      </c>
      <c r="G415" s="23" t="str">
        <f>IF(OR(E415="",E415="!!!"),"",IF(OR(J415=0,AND(J415=1,K415=1),AND(J415=1,I415="SBJ"),AND(J415=1,I415=0)),"?IN_FOCUS",IF(J415&lt;=2,"?ACTIVATED",IF(J415&lt;&gt;"","?FAMILIAR",IF(F415="NEW",IF(ISNA(VLOOKUP(E415,#REF!,1,FALSE())),"?TYPE_IDENTIFIABLE","?REFERENTIAL"),"_")))))</f>
        <v> </v>
      </c>
      <c r="H415" s="24" t="str">
        <f>IF(J415&lt;&gt;1,"",IF(I415="SBJ","CB","?"))</f>
        <v> </v>
      </c>
      <c r="I415" s="25" t="str">
        <f>IF(OR(E415="",E415="!!!",F415="NEW"),"",INDEX(B414:B$2,-1+SUMPRODUCT(MAX(ROW(E414:E$2)*(E415=E414:E$2)))))</f>
        <v> </v>
      </c>
      <c r="J415" s="25" t="str">
        <f>IF(OR(E415="",E415="!!!",F415="NEW"),"",COUNTBLANK(OFFSET(A$1,,,SUMPRODUCT(MAX(ROW(E$2:E415)*(E415=E$2:E415)))))-COUNTBLANK(OFFSET(A$1,,,SUMPRODUCT(MAX(ROW(E$1:E414)*(E2=E$1:E414))))))</f>
        <v> </v>
      </c>
      <c r="K415" s="25" t="str">
        <f>IF(OR(E415="",E415="!!!",F415="NEW"),"",INDEX(J$1:J414,SUMPRODUCT(MAX(ROW(E$1:E414)*(E415=E$1:E414)))))</f>
        <v> </v>
      </c>
      <c r="L415" s="26"/>
    </row>
    <row r="416" spans="1:12">
      <c r="A416" s="20" t="s">
        <v>416</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t="s">
        <v>458</v>
      </c>
      <c r="B417" s="27" t="s">
        <v>291</v>
      </c>
      <c r="C417" s="27" t="s">
        <v>341</v>
      </c>
      <c r="D417" s="27" t="s">
        <v>258</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t="s">
        <v>271</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274</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462</v>
      </c>
      <c r="B420" s="27" t="s">
        <v>401</v>
      </c>
      <c r="C420" s="27" t="s">
        <v>277</v>
      </c>
      <c r="D420" s="27" t="s">
        <v>258</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t="s">
        <v>320</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row>
    <row r="423" spans="1:12">
      <c r="A423" s="20" t="s">
        <v>463</v>
      </c>
    </row>
    <row r="424" spans="1:12">
      <c r="A424" s="20" t="s">
        <v>255</v>
      </c>
      <c r="B424" s="27" t="s">
        <v>276</v>
      </c>
      <c r="C424" s="27" t="s">
        <v>257</v>
      </c>
      <c r="D424" s="27" t="s">
        <v>258</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343</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329</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464</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465</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466</v>
      </c>
      <c r="B429" s="27" t="s">
        <v>333</v>
      </c>
      <c r="C429" s="27" t="s">
        <v>334</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271</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t="s">
        <v>165</v>
      </c>
      <c r="E431" s="21">
        <f>IF(D431="?OLD","!!!","")</f>
        <v/>
      </c>
      <c r="F431" s="22" t="str">
        <f>IF(OR(E431="",E431="!!!"),"",IF(NOT(ISNA(VLOOKUP(E431,E$1:E430,1,FALSE()))),"OLD",IF(AND(E431&lt;&gt;"",E431&lt;&gt;"!!!"),"NEW","")))</f>
        <v> </v>
      </c>
      <c r="G431" s="23" t="str">
        <f>IF(OR(E431="",E431="!!!"),"",IF(OR(J431=0,AND(J431=1,K431=1),AND(J431=1,I431="SBJ"),AND(J431=1,I431=0)),"?IN_FOCUS",IF(J431&lt;=2,"?ACTIVATED",IF(J431&lt;&gt;"","?FAMILIAR",IF(F431="NEW",IF(ISNA(VLOOKUP(E431,#REF!,1,FALSE())),"?TYPE_IDENTIFIABLE","?REFERENTIAL"),"_")))))</f>
        <v> </v>
      </c>
      <c r="H431" s="24" t="str">
        <f>IF(J431&lt;&gt;1,"",IF(I431="SBJ","CB","?"))</f>
        <v> </v>
      </c>
      <c r="I431" s="25" t="str">
        <f>IF(OR(E431="",E431="!!!",F431="NEW"),"",INDEX(B430:B$2,-1+SUMPRODUCT(MAX(ROW(E430:E$2)*(E431=E430:E$2)))))</f>
        <v> </v>
      </c>
      <c r="J431" s="25" t="str">
        <f>IF(OR(E431="",E431="!!!",F431="NEW"),"",COUNTBLANK(OFFSET(A$1,,,SUMPRODUCT(MAX(ROW(E$2:E431)*(E431=E$2:E431)))))-COUNTBLANK(OFFSET(A$1,,,SUMPRODUCT(MAX(ROW(E$1:E430)*(E2=E$1:E430))))))</f>
        <v> </v>
      </c>
      <c r="K431" s="25" t="str">
        <f>IF(OR(E431="",E431="!!!",F431="NEW"),"",INDEX(J$1:J430,SUMPRODUCT(MAX(ROW(E$1:E430)*(E431=E$1:E430)))))</f>
        <v> </v>
      </c>
      <c r="L431" s="26"/>
    </row>
    <row r="432" spans="1:12">
      <c r="A432" s="20" t="s">
        <v>255</v>
      </c>
      <c r="B432" s="27" t="s">
        <v>256</v>
      </c>
      <c r="C432" s="27" t="s">
        <v>257</v>
      </c>
      <c r="D432" s="27" t="s">
        <v>258</v>
      </c>
      <c r="E432" s="21">
        <f>IF(D432="?OLD","!!!","")</f>
        <v/>
      </c>
      <c r="F432" s="22" t="str">
        <f>IF(OR(E432="",E432="!!!"),"",IF(NOT(ISNA(VLOOKUP(E432,E$1:E431,1,FALSE()))),"OLD",IF(AND(E432&lt;&gt;"",E432&lt;&gt;"!!!"),"NEW","")))</f>
        <v> </v>
      </c>
      <c r="G432" s="23" t="str">
        <f>IF(OR(E432="",E432="!!!"),"",IF(OR(J432=0,AND(J432=1,K432=1),AND(J432=1,I432="SBJ"),AND(J432=1,I432=0)),"?IN_FOCUS",IF(J432&lt;=2,"?ACTIVATED",IF(J432&lt;&gt;"","?FAMILIAR",IF(F432="NEW",IF(ISNA(VLOOKUP(E432,#REF!,1,FALSE())),"?TYPE_IDENTIFIABLE","?REFERENTIAL"),"_")))))</f>
        <v> </v>
      </c>
      <c r="H432" s="24" t="str">
        <f>IF(J432&lt;&gt;1,"",IF(I432="SBJ","CB","?"))</f>
        <v> </v>
      </c>
      <c r="I432" s="25" t="str">
        <f>IF(OR(E432="",E432="!!!",F432="NEW"),"",INDEX(B431:B$2,-1+SUMPRODUCT(MAX(ROW(E431:E$2)*(E432=E431:E$2)))))</f>
        <v> </v>
      </c>
      <c r="J432" s="25" t="str">
        <f>IF(OR(E432="",E432="!!!",F432="NEW"),"",COUNTBLANK(OFFSET(A$1,,,SUMPRODUCT(MAX(ROW(E$2:E432)*(E432=E$2:E432)))))-COUNTBLANK(OFFSET(A$1,,,SUMPRODUCT(MAX(ROW(E$1:E431)*(E2=E$1:E431))))))</f>
        <v> </v>
      </c>
      <c r="K432" s="25" t="str">
        <f>IF(OR(E432="",E432="!!!",F432="NEW"),"",INDEX(J$1:J431,SUMPRODUCT(MAX(ROW(E$1:E431)*(E432=E$1:E431)))))</f>
        <v> </v>
      </c>
      <c r="L432" s="26"/>
    </row>
    <row r="433" spans="1:12">
      <c r="A433" s="20" t="s">
        <v>467</v>
      </c>
      <c r="E433" s="21">
        <f>IF(D433="?OLD","!!!","")</f>
        <v/>
      </c>
      <c r="F433" s="22" t="str">
        <f>IF(OR(E433="",E433="!!!"),"",IF(NOT(ISNA(VLOOKUP(E433,E$1:E432,1,FALSE()))),"OLD",IF(AND(E433&lt;&gt;"",E433&lt;&gt;"!!!"),"NEW","")))</f>
        <v> </v>
      </c>
      <c r="G433" s="23" t="str">
        <f>IF(OR(E433="",E433="!!!"),"",IF(OR(J433=0,AND(J433=1,K433=1),AND(J433=1,I433="SBJ"),AND(J433=1,I433=0)),"?IN_FOCUS",IF(J433&lt;=2,"?ACTIVATED",IF(J433&lt;&gt;"","?FAMILIAR",IF(F433="NEW",IF(ISNA(VLOOKUP(E433,#REF!,1,FALSE())),"?TYPE_IDENTIFIABLE","?REFERENTIAL"),"_")))))</f>
        <v> </v>
      </c>
      <c r="H433" s="24" t="str">
        <f>IF(J433&lt;&gt;1,"",IF(I433="SBJ","CB","?"))</f>
        <v> </v>
      </c>
      <c r="I433" s="25" t="str">
        <f>IF(OR(E433="",E433="!!!",F433="NEW"),"",INDEX(B432:B$2,-1+SUMPRODUCT(MAX(ROW(E432:E$2)*(E433=E432:E$2)))))</f>
        <v> </v>
      </c>
      <c r="J433" s="25" t="str">
        <f>IF(OR(E433="",E433="!!!",F433="NEW"),"",COUNTBLANK(OFFSET(A$1,,,SUMPRODUCT(MAX(ROW(E$2:E433)*(E433=E$2:E433)))))-COUNTBLANK(OFFSET(A$1,,,SUMPRODUCT(MAX(ROW(E$1:E432)*(E2=E$1:E432))))))</f>
        <v> </v>
      </c>
      <c r="K433" s="25" t="str">
        <f>IF(OR(E433="",E433="!!!",F433="NEW"),"",INDEX(J$1:J432,SUMPRODUCT(MAX(ROW(E$1:E432)*(E433=E$1:E432)))))</f>
        <v> </v>
      </c>
      <c r="L433" s="26"/>
    </row>
    <row r="434" spans="1:12">
      <c r="A434" s="20" t="s">
        <v>71</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399</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t="s">
        <v>293</v>
      </c>
      <c r="E436" s="21">
        <f>IF(D436="?OLD","!!!","")</f>
        <v/>
      </c>
      <c r="F436" s="22" t="str">
        <f>IF(OR(E436="",E436="!!!"),"",IF(NOT(ISNA(VLOOKUP(E436,E$1:E435,1,FALSE()))),"OLD",IF(AND(E436&lt;&gt;"",E436&lt;&gt;"!!!"),"NEW","")))</f>
        <v> </v>
      </c>
      <c r="G436" s="23" t="str">
        <f>IF(OR(E436="",E436="!!!"),"",IF(OR(J436=0,AND(J436=1,K436=1),AND(J436=1,I436="SBJ"),AND(J436=1,I436=0)),"?IN_FOCUS",IF(J436&lt;=2,"?ACTIVATED",IF(J436&lt;&gt;"","?FAMILIAR",IF(F436="NEW",IF(ISNA(VLOOKUP(E436,#REF!,1,FALSE())),"?TYPE_IDENTIFIABLE","?REFERENTIAL"),"_")))))</f>
        <v> </v>
      </c>
      <c r="H436" s="24" t="str">
        <f>IF(J436&lt;&gt;1,"",IF(I436="SBJ","CB","?"))</f>
        <v> </v>
      </c>
      <c r="I436" s="25" t="str">
        <f>IF(OR(E436="",E436="!!!",F436="NEW"),"",INDEX(B435:B$2,-1+SUMPRODUCT(MAX(ROW(E435:E$2)*(E436=E435:E$2)))))</f>
        <v> </v>
      </c>
      <c r="J436" s="25" t="str">
        <f>IF(OR(E436="",E436="!!!",F436="NEW"),"",COUNTBLANK(OFFSET(A$1,,,SUMPRODUCT(MAX(ROW(E$2:E436)*(E436=E$2:E436)))))-COUNTBLANK(OFFSET(A$1,,,SUMPRODUCT(MAX(ROW(E$1:E435)*(E2=E$1:E435))))))</f>
        <v> </v>
      </c>
      <c r="K436" s="25" t="str">
        <f>IF(OR(E436="",E436="!!!",F436="NEW"),"",INDEX(J$1:J435,SUMPRODUCT(MAX(ROW(E$1:E435)*(E436=E$1:E435)))))</f>
        <v> </v>
      </c>
      <c r="L436" s="26"/>
    </row>
    <row r="437" spans="1:12">
      <c r="A437" s="20" t="s">
        <v>255</v>
      </c>
      <c r="B437" s="27" t="s">
        <v>323</v>
      </c>
      <c r="C437" s="27" t="s">
        <v>257</v>
      </c>
      <c r="D437" s="27" t="s">
        <v>258</v>
      </c>
      <c r="E437" s="21">
        <f>IF(D437="?OLD","!!!","")</f>
        <v/>
      </c>
      <c r="F437" s="22" t="str">
        <f>IF(OR(E437="",E437="!!!"),"",IF(NOT(ISNA(VLOOKUP(E437,E$1:E436,1,FALSE()))),"OLD",IF(AND(E437&lt;&gt;"",E437&lt;&gt;"!!!"),"NEW","")))</f>
        <v> </v>
      </c>
      <c r="G437" s="23" t="str">
        <f>IF(OR(E437="",E437="!!!"),"",IF(OR(J437=0,AND(J437=1,K437=1),AND(J437=1,I437="SBJ"),AND(J437=1,I437=0)),"?IN_FOCUS",IF(J437&lt;=2,"?ACTIVATED",IF(J437&lt;&gt;"","?FAMILIAR",IF(F437="NEW",IF(ISNA(VLOOKUP(E437,#REF!,1,FALSE())),"?TYPE_IDENTIFIABLE","?REFERENTIAL"),"_")))))</f>
        <v> </v>
      </c>
      <c r="H437" s="24" t="str">
        <f>IF(J437&lt;&gt;1,"",IF(I437="SBJ","CB","?"))</f>
        <v> </v>
      </c>
      <c r="I437" s="25" t="str">
        <f>IF(OR(E437="",E437="!!!",F437="NEW"),"",INDEX(B436:B$2,-1+SUMPRODUCT(MAX(ROW(E436:E$2)*(E437=E436:E$2)))))</f>
        <v> </v>
      </c>
      <c r="J437" s="25" t="str">
        <f>IF(OR(E437="",E437="!!!",F437="NEW"),"",COUNTBLANK(OFFSET(A$1,,,SUMPRODUCT(MAX(ROW(E$2:E437)*(E437=E$2:E437)))))-COUNTBLANK(OFFSET(A$1,,,SUMPRODUCT(MAX(ROW(E$1:E436)*(E2=E$1:E436))))))</f>
        <v> </v>
      </c>
      <c r="K437" s="25" t="str">
        <f>IF(OR(E437="",E437="!!!",F437="NEW"),"",INDEX(J$1:J436,SUMPRODUCT(MAX(ROW(E$1:E436)*(E437=E$1:E436)))))</f>
        <v> </v>
      </c>
      <c r="L437" s="26"/>
    </row>
    <row r="438" spans="1:12">
      <c r="A438" s="20" t="s">
        <v>467</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t="s">
        <v>468</v>
      </c>
      <c r="E439" s="21">
        <f>IF(D439="?OLD","!!!","")</f>
        <v/>
      </c>
      <c r="F439" s="22" t="str">
        <f>IF(OR(E439="",E439="!!!"),"",IF(NOT(ISNA(VLOOKUP(E439,E$1:E438,1,FALSE()))),"OLD",IF(AND(E439&lt;&gt;"",E439&lt;&gt;"!!!"),"NEW","")))</f>
        <v> </v>
      </c>
      <c r="G439" s="23" t="str">
        <f>IF(OR(E439="",E439="!!!"),"",IF(OR(J439=0,AND(J439=1,K439=1),AND(J439=1,I439="SBJ"),AND(J439=1,I439=0)),"?IN_FOCUS",IF(J439&lt;=2,"?ACTIVATED",IF(J439&lt;&gt;"","?FAMILIAR",IF(F439="NEW",IF(ISNA(VLOOKUP(E439,#REF!,1,FALSE())),"?TYPE_IDENTIFIABLE","?REFERENTIAL"),"_")))))</f>
        <v> </v>
      </c>
      <c r="H439" s="24" t="str">
        <f>IF(J439&lt;&gt;1,"",IF(I439="SBJ","CB","?"))</f>
        <v> </v>
      </c>
      <c r="I439" s="25" t="str">
        <f>IF(OR(E439="",E439="!!!",F439="NEW"),"",INDEX(B438:B$2,-1+SUMPRODUCT(MAX(ROW(E438:E$2)*(E439=E438:E$2)))))</f>
        <v> </v>
      </c>
      <c r="J439" s="25" t="str">
        <f>IF(OR(E439="",E439="!!!",F439="NEW"),"",COUNTBLANK(OFFSET(A$1,,,SUMPRODUCT(MAX(ROW(E$2:E439)*(E439=E$2:E439)))))-COUNTBLANK(OFFSET(A$1,,,SUMPRODUCT(MAX(ROW(E$1:E438)*(E2=E$1:E438))))))</f>
        <v> </v>
      </c>
      <c r="K439" s="25" t="str">
        <f>IF(OR(E439="",E439="!!!",F439="NEW"),"",INDEX(J$1:J438,SUMPRODUCT(MAX(ROW(E$1:E438)*(E439=E$1:E438)))))</f>
        <v> </v>
      </c>
      <c r="L439" s="26"/>
    </row>
    <row r="440" spans="1:12">
      <c r="A440" s="20" t="s">
        <v>442</v>
      </c>
      <c r="E440" s="21">
        <f>IF(D440="?OLD","!!!","")</f>
        <v/>
      </c>
      <c r="F440" s="22" t="str">
        <f>IF(OR(E440="",E440="!!!"),"",IF(NOT(ISNA(VLOOKUP(E440,E$1:E439,1,FALSE()))),"OLD",IF(AND(E440&lt;&gt;"",E440&lt;&gt;"!!!"),"NEW","")))</f>
        <v> </v>
      </c>
      <c r="G440" s="23" t="str">
        <f>IF(OR(E440="",E440="!!!"),"",IF(OR(J440=0,AND(J440=1,K440=1),AND(J440=1,I440="SBJ"),AND(J440=1,I440=0)),"?IN_FOCUS",IF(J440&lt;=2,"?ACTIVATED",IF(J440&lt;&gt;"","?FAMILIAR",IF(F440="NEW",IF(ISNA(VLOOKUP(E440,#REF!,1,FALSE())),"?TYPE_IDENTIFIABLE","?REFERENTIAL"),"_")))))</f>
        <v> </v>
      </c>
      <c r="H440" s="24" t="str">
        <f>IF(J440&lt;&gt;1,"",IF(I440="SBJ","CB","?"))</f>
        <v> </v>
      </c>
      <c r="I440" s="25" t="str">
        <f>IF(OR(E440="",E440="!!!",F440="NEW"),"",INDEX(B439:B$2,-1+SUMPRODUCT(MAX(ROW(E439:E$2)*(E440=E439:E$2)))))</f>
        <v> </v>
      </c>
      <c r="J440" s="25" t="str">
        <f>IF(OR(E440="",E440="!!!",F440="NEW"),"",COUNTBLANK(OFFSET(A$1,,,SUMPRODUCT(MAX(ROW(E$2:E440)*(E440=E$2:E440)))))-COUNTBLANK(OFFSET(A$1,,,SUMPRODUCT(MAX(ROW(E$1:E439)*(E2=E$1:E439))))))</f>
        <v> </v>
      </c>
      <c r="K440" s="25" t="str">
        <f>IF(OR(E440="",E440="!!!",F440="NEW"),"",INDEX(J$1:J439,SUMPRODUCT(MAX(ROW(E$1:E439)*(E440=E$1:E439)))))</f>
        <v> </v>
      </c>
      <c r="L440" s="26"/>
    </row>
    <row r="441" spans="1:12">
      <c r="A441" s="20" t="s">
        <v>273</v>
      </c>
      <c r="B441" s="27" t="s">
        <v>328</v>
      </c>
      <c r="C441" s="27" t="s">
        <v>367</v>
      </c>
      <c r="D441" s="27" t="s">
        <v>258</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t="s">
        <v>271</v>
      </c>
      <c r="E442" s="21">
        <f>IF(D442="?OLD","!!!","")</f>
        <v/>
      </c>
      <c r="F442" s="22" t="str">
        <f>IF(OR(E442="",E442="!!!"),"",IF(NOT(ISNA(VLOOKUP(E442,E$1:E441,1,FALSE()))),"OLD",IF(AND(E442&lt;&gt;"",E442&lt;&gt;"!!!"),"NEW","")))</f>
        <v> </v>
      </c>
      <c r="G442" s="23" t="str">
        <f>IF(OR(E442="",E442="!!!"),"",IF(OR(J442=0,AND(J442=1,K442=1),AND(J442=1,I442="SBJ"),AND(J442=1,I442=0)),"?IN_FOCUS",IF(J442&lt;=2,"?ACTIVATED",IF(J442&lt;&gt;"","?FAMILIAR",IF(F442="NEW",IF(ISNA(VLOOKUP(E442,#REF!,1,FALSE())),"?TYPE_IDENTIFIABLE","?REFERENTIAL"),"_")))))</f>
        <v> </v>
      </c>
      <c r="H442" s="24" t="str">
        <f>IF(J442&lt;&gt;1,"",IF(I442="SBJ","CB","?"))</f>
        <v> </v>
      </c>
      <c r="I442" s="25" t="str">
        <f>IF(OR(E442="",E442="!!!",F442="NEW"),"",INDEX(B441:B$2,-1+SUMPRODUCT(MAX(ROW(E441:E$2)*(E442=E441:E$2)))))</f>
        <v> </v>
      </c>
      <c r="J442" s="25" t="str">
        <f>IF(OR(E442="",E442="!!!",F442="NEW"),"",COUNTBLANK(OFFSET(A$1,,,SUMPRODUCT(MAX(ROW(E$2:E442)*(E442=E$2:E442)))))-COUNTBLANK(OFFSET(A$1,,,SUMPRODUCT(MAX(ROW(E$1:E441)*(E2=E$1:E441))))))</f>
        <v> </v>
      </c>
      <c r="K442" s="25" t="str">
        <f>IF(OR(E442="",E442="!!!",F442="NEW"),"",INDEX(J$1:J441,SUMPRODUCT(MAX(ROW(E$1:E441)*(E442=E$1:E441)))))</f>
        <v> </v>
      </c>
      <c r="L442" s="26"/>
    </row>
    <row r="443" spans="1:12">
      <c r="A443" s="20" t="s">
        <v>281</v>
      </c>
      <c r="B443" s="27" t="s">
        <v>283</v>
      </c>
      <c r="C443" s="27" t="s">
        <v>300</v>
      </c>
      <c r="E443" s="21">
        <f>IF(D443="?OLD","!!!","")</f>
        <v/>
      </c>
      <c r="F443" s="22" t="str">
        <f>IF(OR(E443="",E443="!!!"),"",IF(NOT(ISNA(VLOOKUP(E443,E$1:E442,1,FALSE()))),"OLD",IF(AND(E443&lt;&gt;"",E443&lt;&gt;"!!!"),"NEW","")))</f>
        <v> </v>
      </c>
      <c r="G443" s="23" t="str">
        <f>IF(OR(E443="",E443="!!!"),"",IF(OR(J443=0,AND(J443=1,K443=1),AND(J443=1,I443="SBJ"),AND(J443=1,I443=0)),"?IN_FOCUS",IF(J443&lt;=2,"?ACTIVATED",IF(J443&lt;&gt;"","?FAMILIAR",IF(F443="NEW",IF(ISNA(VLOOKUP(E443,#REF!,1,FALSE())),"?TYPE_IDENTIFIABLE","?REFERENTIAL"),"_")))))</f>
        <v> </v>
      </c>
      <c r="H443" s="24" t="str">
        <f>IF(J443&lt;&gt;1,"",IF(I443="SBJ","CB","?"))</f>
        <v> </v>
      </c>
      <c r="I443" s="25" t="str">
        <f>IF(OR(E443="",E443="!!!",F443="NEW"),"",INDEX(B442:B$2,-1+SUMPRODUCT(MAX(ROW(E442:E$2)*(E443=E442:E$2)))))</f>
        <v> </v>
      </c>
      <c r="J443" s="25" t="str">
        <f>IF(OR(E443="",E443="!!!",F443="NEW"),"",COUNTBLANK(OFFSET(A$1,,,SUMPRODUCT(MAX(ROW(E$2:E443)*(E443=E$2:E443)))))-COUNTBLANK(OFFSET(A$1,,,SUMPRODUCT(MAX(ROW(E$1:E442)*(E2=E$1:E442))))))</f>
        <v> </v>
      </c>
      <c r="K443" s="25" t="str">
        <f>IF(OR(E443="",E443="!!!",F443="NEW"),"",INDEX(J$1:J442,SUMPRODUCT(MAX(ROW(E$1:E442)*(E443=E$1:E442)))))</f>
        <v> </v>
      </c>
      <c r="L443" s="26"/>
    </row>
    <row r="444" spans="1:12">
      <c r="A444" s="20" t="s">
        <v>469</v>
      </c>
      <c r="B444" s="27" t="s">
        <v>286</v>
      </c>
      <c r="C444" s="27" t="s">
        <v>435</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t="s">
        <v>271</v>
      </c>
      <c r="E445" s="21">
        <f>IF(D445="?OLD","!!!","")</f>
        <v/>
      </c>
      <c r="F445" s="22" t="str">
        <f>IF(OR(E445="",E445="!!!"),"",IF(NOT(ISNA(VLOOKUP(E445,E$1:E444,1,FALSE()))),"OLD",IF(AND(E445&lt;&gt;"",E445&lt;&gt;"!!!"),"NEW","")))</f>
        <v> </v>
      </c>
      <c r="G445" s="23" t="str">
        <f>IF(OR(E445="",E445="!!!"),"",IF(OR(J445=0,AND(J445=1,K445=1),AND(J445=1,I445="SBJ"),AND(J445=1,I445=0)),"?IN_FOCUS",IF(J445&lt;=2,"?ACTIVATED",IF(J445&lt;&gt;"","?FAMILIAR",IF(F445="NEW",IF(ISNA(VLOOKUP(E445,#REF!,1,FALSE())),"?TYPE_IDENTIFIABLE","?REFERENTIAL"),"_")))))</f>
        <v> </v>
      </c>
      <c r="H445" s="24" t="str">
        <f>IF(J445&lt;&gt;1,"",IF(I445="SBJ","CB","?"))</f>
        <v> </v>
      </c>
      <c r="I445" s="25" t="str">
        <f>IF(OR(E445="",E445="!!!",F445="NEW"),"",INDEX(B444:B$2,-1+SUMPRODUCT(MAX(ROW(E444:E$2)*(E445=E444:E$2)))))</f>
        <v> </v>
      </c>
      <c r="J445" s="25" t="str">
        <f>IF(OR(E445="",E445="!!!",F445="NEW"),"",COUNTBLANK(OFFSET(A$1,,,SUMPRODUCT(MAX(ROW(E$2:E445)*(E445=E$2:E445)))))-COUNTBLANK(OFFSET(A$1,,,SUMPRODUCT(MAX(ROW(E$1:E444)*(E2=E$1:E444))))))</f>
        <v> </v>
      </c>
      <c r="K445" s="25" t="str">
        <f>IF(OR(E445="",E445="!!!",F445="NEW"),"",INDEX(J$1:J444,SUMPRODUCT(MAX(ROW(E$1:E444)*(E445=E$1:E444)))))</f>
        <v> </v>
      </c>
      <c r="L445" s="26"/>
    </row>
    <row r="446" spans="1:12">
      <c r="A446" s="20" t="s">
        <v>395</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t="s">
        <v>470</v>
      </c>
      <c r="B447" s="27" t="s">
        <v>291</v>
      </c>
      <c r="C447" s="27" t="s">
        <v>257</v>
      </c>
      <c r="D447" s="27" t="s">
        <v>258</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t="s">
        <v>271</v>
      </c>
      <c r="E448" s="21">
        <f>IF(D448="?OLD","!!!","")</f>
        <v/>
      </c>
      <c r="F448" s="22" t="str">
        <f>IF(OR(E448="",E448="!!!"),"",IF(NOT(ISNA(VLOOKUP(E448,E$1:E447,1,FALSE()))),"OLD",IF(AND(E448&lt;&gt;"",E448&lt;&gt;"!!!"),"NEW","")))</f>
        <v> </v>
      </c>
      <c r="G448" s="23" t="str">
        <f>IF(OR(E448="",E448="!!!"),"",IF(OR(J448=0,AND(J448=1,K448=1),AND(J448=1,I448="SBJ"),AND(J448=1,I448=0)),"?IN_FOCUS",IF(J448&lt;=2,"?ACTIVATED",IF(J448&lt;&gt;"","?FAMILIAR",IF(F448="NEW",IF(ISNA(VLOOKUP(E448,#REF!,1,FALSE())),"?TYPE_IDENTIFIABLE","?REFERENTIAL"),"_")))))</f>
        <v> </v>
      </c>
      <c r="H448" s="24" t="str">
        <f>IF(J448&lt;&gt;1,"",IF(I448="SBJ","CB","?"))</f>
        <v> </v>
      </c>
      <c r="I448" s="25" t="str">
        <f>IF(OR(E448="",E448="!!!",F448="NEW"),"",INDEX(B447:B$2,-1+SUMPRODUCT(MAX(ROW(E447:E$2)*(E448=E447:E$2)))))</f>
        <v> </v>
      </c>
      <c r="J448" s="25" t="str">
        <f>IF(OR(E448="",E448="!!!",F448="NEW"),"",COUNTBLANK(OFFSET(A$1,,,SUMPRODUCT(MAX(ROW(E$2:E448)*(E448=E$2:E448)))))-COUNTBLANK(OFFSET(A$1,,,SUMPRODUCT(MAX(ROW(E$1:E447)*(E2=E$1:E447))))))</f>
        <v> </v>
      </c>
      <c r="K448" s="25" t="str">
        <f>IF(OR(E448="",E448="!!!",F448="NEW"),"",INDEX(J$1:J447,SUMPRODUCT(MAX(ROW(E$1:E447)*(E448=E$1:E447)))))</f>
        <v> </v>
      </c>
      <c r="L448" s="26"/>
    </row>
    <row r="449" spans="1:12">
      <c r="A449" s="20" t="s">
        <v>440</v>
      </c>
      <c r="E449" s="21">
        <f>IF(D449="?OLD","!!!","")</f>
        <v/>
      </c>
      <c r="F449" s="22" t="str">
        <f>IF(OR(E449="",E449="!!!"),"",IF(NOT(ISNA(VLOOKUP(E449,E$1:E448,1,FALSE()))),"OLD",IF(AND(E449&lt;&gt;"",E449&lt;&gt;"!!!"),"NEW","")))</f>
        <v> </v>
      </c>
      <c r="G449" s="23" t="str">
        <f>IF(OR(E449="",E449="!!!"),"",IF(OR(J449=0,AND(J449=1,K449=1),AND(J449=1,I449="SBJ"),AND(J449=1,I449=0)),"?IN_FOCUS",IF(J449&lt;=2,"?ACTIVATED",IF(J449&lt;&gt;"","?FAMILIAR",IF(F449="NEW",IF(ISNA(VLOOKUP(E449,#REF!,1,FALSE())),"?TYPE_IDENTIFIABLE","?REFERENTIAL"),"_")))))</f>
        <v> </v>
      </c>
      <c r="H449" s="24" t="str">
        <f>IF(J449&lt;&gt;1,"",IF(I449="SBJ","CB","?"))</f>
        <v> </v>
      </c>
      <c r="I449" s="25" t="str">
        <f>IF(OR(E449="",E449="!!!",F449="NEW"),"",INDEX(B448:B$2,-1+SUMPRODUCT(MAX(ROW(E448:E$2)*(E449=E448:E$2)))))</f>
        <v> </v>
      </c>
      <c r="J449" s="25" t="str">
        <f>IF(OR(E449="",E449="!!!",F449="NEW"),"",COUNTBLANK(OFFSET(A$1,,,SUMPRODUCT(MAX(ROW(E$2:E449)*(E449=E$2:E449)))))-COUNTBLANK(OFFSET(A$1,,,SUMPRODUCT(MAX(ROW(E$1:E448)*(E2=E$1:E448))))))</f>
        <v> </v>
      </c>
      <c r="K449" s="25" t="str">
        <f>IF(OR(E449="",E449="!!!",F449="NEW"),"",INDEX(J$1:J448,SUMPRODUCT(MAX(ROW(E$1:E448)*(E449=E$1:E448)))))</f>
        <v> </v>
      </c>
      <c r="L449" s="26"/>
    </row>
    <row r="450" spans="1:12">
      <c r="A450" s="20" t="s">
        <v>274</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471</v>
      </c>
      <c r="B451" s="27" t="s">
        <v>328</v>
      </c>
      <c r="C451" s="27" t="s">
        <v>277</v>
      </c>
      <c r="D451" s="27" t="s">
        <v>258</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280</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t="s">
        <v>281</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t="s">
        <v>464</v>
      </c>
      <c r="B454" s="27" t="s">
        <v>472</v>
      </c>
      <c r="C454" s="27" t="s">
        <v>351</v>
      </c>
      <c r="D454" s="27" t="s">
        <v>258</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t="s">
        <v>465</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t="s">
        <v>235</v>
      </c>
      <c r="E456" s="21">
        <f>IF(D456="?OLD","!!!","")</f>
        <v/>
      </c>
      <c r="F456" s="22" t="str">
        <f>IF(OR(E456="",E456="!!!"),"",IF(NOT(ISNA(VLOOKUP(E456,E$1:E455,1,FALSE()))),"OLD",IF(AND(E456&lt;&gt;"",E456&lt;&gt;"!!!"),"NEW","")))</f>
        <v> </v>
      </c>
      <c r="G456" s="23" t="str">
        <f>IF(OR(E456="",E456="!!!"),"",IF(OR(J456=0,AND(J456=1,K456=1),AND(J456=1,I456="SBJ"),AND(J456=1,I456=0)),"?IN_FOCUS",IF(J456&lt;=2,"?ACTIVATED",IF(J456&lt;&gt;"","?FAMILIAR",IF(F456="NEW",IF(ISNA(VLOOKUP(E456,#REF!,1,FALSE())),"?TYPE_IDENTIFIABLE","?REFERENTIAL"),"_")))))</f>
        <v> </v>
      </c>
      <c r="H456" s="24" t="str">
        <f>IF(J456&lt;&gt;1,"",IF(I456="SBJ","CB","?"))</f>
        <v> </v>
      </c>
      <c r="I456" s="25" t="str">
        <f>IF(OR(E456="",E456="!!!",F456="NEW"),"",INDEX(B455:B$2,-1+SUMPRODUCT(MAX(ROW(E455:E$2)*(E456=E455:E$2)))))</f>
        <v> </v>
      </c>
      <c r="J456" s="25" t="str">
        <f>IF(OR(E456="",E456="!!!",F456="NEW"),"",COUNTBLANK(OFFSET(A$1,,,SUMPRODUCT(MAX(ROW(E$2:E456)*(E456=E$2:E456)))))-COUNTBLANK(OFFSET(A$1,,,SUMPRODUCT(MAX(ROW(E$1:E455)*(E2=E$1:E455))))))</f>
        <v> </v>
      </c>
      <c r="K456" s="25" t="str">
        <f>IF(OR(E456="",E456="!!!",F456="NEW"),"",INDEX(J$1:J455,SUMPRODUCT(MAX(ROW(E$1:E455)*(E456=E$1:E455)))))</f>
        <v> </v>
      </c>
      <c r="L456" s="26"/>
    </row>
    <row r="457" spans="1:12">
      <c r="A457" s="20" t="s">
        <v>473</v>
      </c>
      <c r="E457" s="21">
        <f>IF(D457="?OLD","!!!","")</f>
        <v/>
      </c>
      <c r="F457" s="22" t="str">
        <f>IF(OR(E457="",E457="!!!"),"",IF(NOT(ISNA(VLOOKUP(E457,E$1:E456,1,FALSE()))),"OLD",IF(AND(E457&lt;&gt;"",E457&lt;&gt;"!!!"),"NEW","")))</f>
        <v> </v>
      </c>
      <c r="G457" s="23" t="str">
        <f>IF(OR(E457="",E457="!!!"),"",IF(OR(J457=0,AND(J457=1,K457=1),AND(J457=1,I457="SBJ"),AND(J457=1,I457=0)),"?IN_FOCUS",IF(J457&lt;=2,"?ACTIVATED",IF(J457&lt;&gt;"","?FAMILIAR",IF(F457="NEW",IF(ISNA(VLOOKUP(E457,#REF!,1,FALSE())),"?TYPE_IDENTIFIABLE","?REFERENTIAL"),"_")))))</f>
        <v> </v>
      </c>
      <c r="H457" s="24" t="str">
        <f>IF(J457&lt;&gt;1,"",IF(I457="SBJ","CB","?"))</f>
        <v> </v>
      </c>
      <c r="I457" s="25" t="str">
        <f>IF(OR(E457="",E457="!!!",F457="NEW"),"",INDEX(B456:B$2,-1+SUMPRODUCT(MAX(ROW(E456:E$2)*(E457=E456:E$2)))))</f>
        <v> </v>
      </c>
      <c r="J457" s="25" t="str">
        <f>IF(OR(E457="",E457="!!!",F457="NEW"),"",COUNTBLANK(OFFSET(A$1,,,SUMPRODUCT(MAX(ROW(E$2:E457)*(E457=E$2:E457)))))-COUNTBLANK(OFFSET(A$1,,,SUMPRODUCT(MAX(ROW(E$1:E456)*(E2=E$1:E456))))))</f>
        <v> </v>
      </c>
      <c r="K457" s="25" t="str">
        <f>IF(OR(E457="",E457="!!!",F457="NEW"),"",INDEX(J$1:J456,SUMPRODUCT(MAX(ROW(E$1:E456)*(E457=E$1:E456)))))</f>
        <v> </v>
      </c>
      <c r="L457" s="26"/>
    </row>
    <row r="458" spans="1:12">
      <c r="A458" s="20" t="s">
        <v>329</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t="s">
        <v>474</v>
      </c>
      <c r="B459" s="27" t="s">
        <v>291</v>
      </c>
      <c r="C459" s="27" t="s">
        <v>334</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278</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320</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row>
    <row r="463" spans="1:12">
      <c r="A463" s="20" t="s">
        <v>475</v>
      </c>
    </row>
    <row r="464" spans="1:12">
      <c r="A464" s="20" t="s">
        <v>476</v>
      </c>
      <c r="E464" s="21">
        <f>IF(D464="?OLD","!!!","")</f>
        <v/>
      </c>
      <c r="F464" s="22" t="str">
        <f>IF(OR(E464="",E464="!!!"),"",IF(NOT(ISNA(VLOOKUP(E464,E$1:E463,1,FALSE()))),"OLD",IF(AND(E464&lt;&gt;"",E464&lt;&gt;"!!!"),"NEW","")))</f>
        <v> </v>
      </c>
      <c r="G464" s="23" t="str">
        <f>IF(OR(E464="",E464="!!!"),"",IF(OR(J464=0,AND(J464=1,K464=1),AND(J464=1,I464="SBJ"),AND(J464=1,I464=0)),"?IN_FOCUS",IF(J464&lt;=2,"?ACTIVATED",IF(J464&lt;&gt;"","?FAMILIAR",IF(F464="NEW",IF(ISNA(VLOOKUP(E464,#REF!,1,FALSE())),"?TYPE_IDENTIFIABLE","?REFERENTIAL"),"_")))))</f>
        <v> </v>
      </c>
      <c r="H464" s="24" t="str">
        <f>IF(J464&lt;&gt;1,"",IF(I464="SBJ","CB","?"))</f>
        <v> </v>
      </c>
      <c r="I464" s="25" t="str">
        <f>IF(OR(E464="",E464="!!!",F464="NEW"),"",INDEX(B463:B$2,-1+SUMPRODUCT(MAX(ROW(E463:E$2)*(E464=E463:E$2)))))</f>
        <v> </v>
      </c>
      <c r="J464" s="25" t="str">
        <f>IF(OR(E464="",E464="!!!",F464="NEW"),"",COUNTBLANK(OFFSET(A$1,,,SUMPRODUCT(MAX(ROW(E$2:E464)*(E464=E$2:E464)))))-COUNTBLANK(OFFSET(A$1,,,SUMPRODUCT(MAX(ROW(E$1:E463)*(E2=E$1:E463))))))</f>
        <v> </v>
      </c>
      <c r="K464" s="25" t="str">
        <f>IF(OR(E464="",E464="!!!",F464="NEW"),"",INDEX(J$1:J463,SUMPRODUCT(MAX(ROW(E$1:E463)*(E464=E$1:E463)))))</f>
        <v> </v>
      </c>
      <c r="L464" s="26"/>
    </row>
    <row r="465" spans="1:12">
      <c r="A465" s="20" t="s">
        <v>93</v>
      </c>
      <c r="B465" s="27" t="s">
        <v>333</v>
      </c>
      <c r="C465" s="27" t="s">
        <v>351</v>
      </c>
      <c r="D465" s="27" t="s">
        <v>258</v>
      </c>
      <c r="E465" s="21">
        <f>IF(D465="?OLD","!!!","")</f>
        <v/>
      </c>
      <c r="F465" s="22" t="str">
        <f>IF(OR(E465="",E465="!!!"),"",IF(NOT(ISNA(VLOOKUP(E465,E$1:E464,1,FALSE()))),"OLD",IF(AND(E465&lt;&gt;"",E465&lt;&gt;"!!!"),"NEW","")))</f>
        <v> </v>
      </c>
      <c r="G465" s="23" t="str">
        <f>IF(OR(E465="",E465="!!!"),"",IF(OR(J465=0,AND(J465=1,K465=1),AND(J465=1,I465="SBJ"),AND(J465=1,I465=0)),"?IN_FOCUS",IF(J465&lt;=2,"?ACTIVATED",IF(J465&lt;&gt;"","?FAMILIAR",IF(F465="NEW",IF(ISNA(VLOOKUP(E465,#REF!,1,FALSE())),"?TYPE_IDENTIFIABLE","?REFERENTIAL"),"_")))))</f>
        <v> </v>
      </c>
      <c r="H465" s="24" t="str">
        <f>IF(J465&lt;&gt;1,"",IF(I465="SBJ","CB","?"))</f>
        <v> </v>
      </c>
      <c r="I465" s="25" t="str">
        <f>IF(OR(E465="",E465="!!!",F465="NEW"),"",INDEX(B464:B$2,-1+SUMPRODUCT(MAX(ROW(E464:E$2)*(E465=E464:E$2)))))</f>
        <v> </v>
      </c>
      <c r="J465" s="25" t="str">
        <f>IF(OR(E465="",E465="!!!",F465="NEW"),"",COUNTBLANK(OFFSET(A$1,,,SUMPRODUCT(MAX(ROW(E$2:E465)*(E465=E$2:E465)))))-COUNTBLANK(OFFSET(A$1,,,SUMPRODUCT(MAX(ROW(E$1:E464)*(E2=E$1:E464))))))</f>
        <v> </v>
      </c>
      <c r="K465" s="25" t="str">
        <f>IF(OR(E465="",E465="!!!",F465="NEW"),"",INDEX(J$1:J464,SUMPRODUCT(MAX(ROW(E$1:E464)*(E465=E$1:E464)))))</f>
        <v> </v>
      </c>
      <c r="L465" s="26"/>
    </row>
    <row r="466" spans="1:12">
      <c r="A466" s="20" t="s">
        <v>477</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row>
    <row r="468" spans="1:12">
      <c r="A468" s="20" t="s">
        <v>478</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t="s">
        <v>479</v>
      </c>
    </row>
    <row r="470" spans="1:12">
      <c r="A470" s="20" t="s">
        <v>480</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t="s">
        <v>271</v>
      </c>
      <c r="E471" s="21">
        <f>IF(D471="?OLD","!!!","")</f>
        <v/>
      </c>
      <c r="F471" s="22" t="str">
        <f>IF(OR(E471="",E471="!!!"),"",IF(NOT(ISNA(VLOOKUP(E471,E$1:E470,1,FALSE()))),"OLD",IF(AND(E471&lt;&gt;"",E471&lt;&gt;"!!!"),"NEW","")))</f>
        <v> </v>
      </c>
      <c r="G471" s="23" t="str">
        <f>IF(OR(E471="",E471="!!!"),"",IF(OR(J471=0,AND(J471=1,K471=1),AND(J471=1,I471="SBJ"),AND(J471=1,I471=0)),"?IN_FOCUS",IF(J471&lt;=2,"?ACTIVATED",IF(J471&lt;&gt;"","?FAMILIAR",IF(F471="NEW",IF(ISNA(VLOOKUP(E471,#REF!,1,FALSE())),"?TYPE_IDENTIFIABLE","?REFERENTIAL"),"_")))))</f>
        <v> </v>
      </c>
      <c r="H471" s="24" t="str">
        <f>IF(J471&lt;&gt;1,"",IF(I471="SBJ","CB","?"))</f>
        <v> </v>
      </c>
      <c r="I471" s="25" t="str">
        <f>IF(OR(E471="",E471="!!!",F471="NEW"),"",INDEX(B470:B$2,-1+SUMPRODUCT(MAX(ROW(E470:E$2)*(E471=E470:E$2)))))</f>
        <v> </v>
      </c>
      <c r="J471" s="25" t="str">
        <f>IF(OR(E471="",E471="!!!",F471="NEW"),"",COUNTBLANK(OFFSET(A$1,,,SUMPRODUCT(MAX(ROW(E$2:E471)*(E471=E$2:E471)))))-COUNTBLANK(OFFSET(A$1,,,SUMPRODUCT(MAX(ROW(E$1:E470)*(E2=E$1:E470))))))</f>
        <v> </v>
      </c>
      <c r="K471" s="25" t="str">
        <f>IF(OR(E471="",E471="!!!",F471="NEW"),"",INDEX(J$1:J470,SUMPRODUCT(MAX(ROW(E$1:E470)*(E471=E$1:E470)))))</f>
        <v> </v>
      </c>
      <c r="L471" s="26"/>
    </row>
    <row r="472" spans="1:12">
      <c r="A472" s="20" t="s">
        <v>409</v>
      </c>
      <c r="E472" s="21">
        <f>IF(D472="?OLD","!!!","")</f>
        <v/>
      </c>
      <c r="F472" s="22" t="str">
        <f>IF(OR(E472="",E472="!!!"),"",IF(NOT(ISNA(VLOOKUP(E472,E$1:E471,1,FALSE()))),"OLD",IF(AND(E472&lt;&gt;"",E472&lt;&gt;"!!!"),"NEW","")))</f>
        <v> </v>
      </c>
      <c r="G472" s="23" t="str">
        <f>IF(OR(E472="",E472="!!!"),"",IF(OR(J472=0,AND(J472=1,K472=1),AND(J472=1,I472="SBJ"),AND(J472=1,I472=0)),"?IN_FOCUS",IF(J472&lt;=2,"?ACTIVATED",IF(J472&lt;&gt;"","?FAMILIAR",IF(F472="NEW",IF(ISNA(VLOOKUP(E472,#REF!,1,FALSE())),"?TYPE_IDENTIFIABLE","?REFERENTIAL"),"_")))))</f>
        <v> </v>
      </c>
      <c r="H472" s="24" t="str">
        <f>IF(J472&lt;&gt;1,"",IF(I472="SBJ","CB","?"))</f>
        <v> </v>
      </c>
      <c r="I472" s="25" t="str">
        <f>IF(OR(E472="",E472="!!!",F472="NEW"),"",INDEX(B471:B$2,-1+SUMPRODUCT(MAX(ROW(E471:E$2)*(E472=E471:E$2)))))</f>
        <v> </v>
      </c>
      <c r="J472" s="25" t="str">
        <f>IF(OR(E472="",E472="!!!",F472="NEW"),"",COUNTBLANK(OFFSET(A$1,,,SUMPRODUCT(MAX(ROW(E$2:E472)*(E472=E$2:E472)))))-COUNTBLANK(OFFSET(A$1,,,SUMPRODUCT(MAX(ROW(E$1:E471)*(E2=E$1:E471))))))</f>
        <v> </v>
      </c>
      <c r="K472" s="25" t="str">
        <f>IF(OR(E472="",E472="!!!",F472="NEW"),"",INDEX(J$1:J471,SUMPRODUCT(MAX(ROW(E$1:E471)*(E472=E$1:E471)))))</f>
        <v> </v>
      </c>
      <c r="L472" s="26"/>
    </row>
    <row r="473" spans="1:12">
      <c r="A473" s="20" t="s">
        <v>255</v>
      </c>
      <c r="B473" s="27" t="s">
        <v>256</v>
      </c>
      <c r="C473" s="27" t="s">
        <v>257</v>
      </c>
      <c r="D473" s="27" t="s">
        <v>258</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t="s">
        <v>117</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t="s">
        <v>305</v>
      </c>
      <c r="E475" s="21">
        <f>IF(D475="?OLD","!!!","")</f>
        <v/>
      </c>
      <c r="F475" s="22" t="str">
        <f>IF(OR(E475="",E475="!!!"),"",IF(NOT(ISNA(VLOOKUP(E475,E$1:E474,1,FALSE()))),"OLD",IF(AND(E475&lt;&gt;"",E475&lt;&gt;"!!!"),"NEW","")))</f>
        <v> </v>
      </c>
      <c r="G475" s="23" t="str">
        <f>IF(OR(E475="",E475="!!!"),"",IF(OR(J475=0,AND(J475=1,K475=1),AND(J475=1,I475="SBJ"),AND(J475=1,I475=0)),"?IN_FOCUS",IF(J475&lt;=2,"?ACTIVATED",IF(J475&lt;&gt;"","?FAMILIAR",IF(F475="NEW",IF(ISNA(VLOOKUP(E475,#REF!,1,FALSE())),"?TYPE_IDENTIFIABLE","?REFERENTIAL"),"_")))))</f>
        <v> </v>
      </c>
      <c r="H475" s="24" t="str">
        <f>IF(J475&lt;&gt;1,"",IF(I475="SBJ","CB","?"))</f>
        <v> </v>
      </c>
      <c r="I475" s="25" t="str">
        <f>IF(OR(E475="",E475="!!!",F475="NEW"),"",INDEX(B474:B$2,-1+SUMPRODUCT(MAX(ROW(E474:E$2)*(E475=E474:E$2)))))</f>
        <v> </v>
      </c>
      <c r="J475" s="25" t="str">
        <f>IF(OR(E475="",E475="!!!",F475="NEW"),"",COUNTBLANK(OFFSET(A$1,,,SUMPRODUCT(MAX(ROW(E$2:E475)*(E475=E$2:E475)))))-COUNTBLANK(OFFSET(A$1,,,SUMPRODUCT(MAX(ROW(E$1:E474)*(E2=E$1:E474))))))</f>
        <v> </v>
      </c>
      <c r="K475" s="25" t="str">
        <f>IF(OR(E475="",E475="!!!",F475="NEW"),"",INDEX(J$1:J474,SUMPRODUCT(MAX(ROW(E$1:E474)*(E475=E$1:E474)))))</f>
        <v> </v>
      </c>
      <c r="L475" s="26"/>
    </row>
    <row r="476" spans="1:12">
      <c r="A476" s="20" t="s">
        <v>481</v>
      </c>
      <c r="E476" s="21">
        <f>IF(D476="?OLD","!!!","")</f>
        <v/>
      </c>
      <c r="F476" s="22" t="str">
        <f>IF(OR(E476="",E476="!!!"),"",IF(NOT(ISNA(VLOOKUP(E476,E$1:E475,1,FALSE()))),"OLD",IF(AND(E476&lt;&gt;"",E476&lt;&gt;"!!!"),"NEW","")))</f>
        <v> </v>
      </c>
      <c r="G476" s="23" t="str">
        <f>IF(OR(E476="",E476="!!!"),"",IF(OR(J476=0,AND(J476=1,K476=1),AND(J476=1,I476="SBJ"),AND(J476=1,I476=0)),"?IN_FOCUS",IF(J476&lt;=2,"?ACTIVATED",IF(J476&lt;&gt;"","?FAMILIAR",IF(F476="NEW",IF(ISNA(VLOOKUP(E476,#REF!,1,FALSE())),"?TYPE_IDENTIFIABLE","?REFERENTIAL"),"_")))))</f>
        <v> </v>
      </c>
      <c r="H476" s="24" t="str">
        <f>IF(J476&lt;&gt;1,"",IF(I476="SBJ","CB","?"))</f>
        <v> </v>
      </c>
      <c r="I476" s="25" t="str">
        <f>IF(OR(E476="",E476="!!!",F476="NEW"),"",INDEX(B475:B$2,-1+SUMPRODUCT(MAX(ROW(E475:E$2)*(E476=E475:E$2)))))</f>
        <v> </v>
      </c>
      <c r="J476" s="25" t="str">
        <f>IF(OR(E476="",E476="!!!",F476="NEW"),"",COUNTBLANK(OFFSET(A$1,,,SUMPRODUCT(MAX(ROW(E$2:E476)*(E476=E$2:E476)))))-COUNTBLANK(OFFSET(A$1,,,SUMPRODUCT(MAX(ROW(E$1:E475)*(E2=E$1:E475))))))</f>
        <v> </v>
      </c>
      <c r="K476" s="25" t="str">
        <f>IF(OR(E476="",E476="!!!",F476="NEW"),"",INDEX(J$1:J475,SUMPRODUCT(MAX(ROW(E$1:E475)*(E476=E$1:E475)))))</f>
        <v> </v>
      </c>
      <c r="L476" s="26"/>
    </row>
    <row r="477" spans="1:12">
      <c r="A477" s="20" t="s">
        <v>482</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t="s">
        <v>278</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t="s">
        <v>483</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329</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484</v>
      </c>
      <c r="B481" s="27" t="s">
        <v>342</v>
      </c>
      <c r="C481" s="27" t="s">
        <v>334</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t="s">
        <v>326</v>
      </c>
      <c r="E482" s="21">
        <f>IF(D482="?OLD","!!!","")</f>
        <v/>
      </c>
      <c r="F482" s="22" t="str">
        <f>IF(OR(E482="",E482="!!!"),"",IF(NOT(ISNA(VLOOKUP(E482,E$1:E481,1,FALSE()))),"OLD",IF(AND(E482&lt;&gt;"",E482&lt;&gt;"!!!"),"NEW","")))</f>
        <v> </v>
      </c>
      <c r="G482" s="23" t="str">
        <f>IF(OR(E482="",E482="!!!"),"",IF(OR(J482=0,AND(J482=1,K482=1),AND(J482=1,I482="SBJ"),AND(J482=1,I482=0)),"?IN_FOCUS",IF(J482&lt;=2,"?ACTIVATED",IF(J482&lt;&gt;"","?FAMILIAR",IF(F482="NEW",IF(ISNA(VLOOKUP(E482,#REF!,1,FALSE())),"?TYPE_IDENTIFIABLE","?REFERENTIAL"),"_")))))</f>
        <v> </v>
      </c>
      <c r="H482" s="24" t="str">
        <f>IF(J482&lt;&gt;1,"",IF(I482="SBJ","CB","?"))</f>
        <v> </v>
      </c>
      <c r="I482" s="25" t="str">
        <f>IF(OR(E482="",E482="!!!",F482="NEW"),"",INDEX(B481:B$2,-1+SUMPRODUCT(MAX(ROW(E481:E$2)*(E482=E481:E$2)))))</f>
        <v> </v>
      </c>
      <c r="J482" s="25" t="str">
        <f>IF(OR(E482="",E482="!!!",F482="NEW"),"",COUNTBLANK(OFFSET(A$1,,,SUMPRODUCT(MAX(ROW(E$2:E482)*(E482=E$2:E482)))))-COUNTBLANK(OFFSET(A$1,,,SUMPRODUCT(MAX(ROW(E$1:E481)*(E2=E$1:E481))))))</f>
        <v> </v>
      </c>
      <c r="K482" s="25" t="str">
        <f>IF(OR(E482="",E482="!!!",F482="NEW"),"",INDEX(J$1:J481,SUMPRODUCT(MAX(ROW(E$1:E481)*(E482=E$1:E481)))))</f>
        <v> </v>
      </c>
      <c r="L482" s="26"/>
    </row>
    <row r="483" spans="1:12">
      <c r="A483" s="20" t="s">
        <v>485</v>
      </c>
      <c r="B483" s="27" t="s">
        <v>328</v>
      </c>
      <c r="C483" s="27" t="s">
        <v>367</v>
      </c>
      <c r="D483" s="27" t="s">
        <v>258</v>
      </c>
      <c r="E483" s="21">
        <f>IF(D483="?OLD","!!!","")</f>
        <v/>
      </c>
      <c r="F483" s="22" t="str">
        <f>IF(OR(E483="",E483="!!!"),"",IF(NOT(ISNA(VLOOKUP(E483,E$1:E482,1,FALSE()))),"OLD",IF(AND(E483&lt;&gt;"",E483&lt;&gt;"!!!"),"NEW","")))</f>
        <v> </v>
      </c>
      <c r="G483" s="23" t="str">
        <f>IF(OR(E483="",E483="!!!"),"",IF(OR(J483=0,AND(J483=1,K483=1),AND(J483=1,I483="SBJ"),AND(J483=1,I483=0)),"?IN_FOCUS",IF(J483&lt;=2,"?ACTIVATED",IF(J483&lt;&gt;"","?FAMILIAR",IF(F483="NEW",IF(ISNA(VLOOKUP(E483,#REF!,1,FALSE())),"?TYPE_IDENTIFIABLE","?REFERENTIAL"),"_")))))</f>
        <v> </v>
      </c>
      <c r="H483" s="24" t="str">
        <f>IF(J483&lt;&gt;1,"",IF(I483="SBJ","CB","?"))</f>
        <v> </v>
      </c>
      <c r="I483" s="25" t="str">
        <f>IF(OR(E483="",E483="!!!",F483="NEW"),"",INDEX(B482:B$2,-1+SUMPRODUCT(MAX(ROW(E482:E$2)*(E483=E482:E$2)))))</f>
        <v> </v>
      </c>
      <c r="J483" s="25" t="str">
        <f>IF(OR(E483="",E483="!!!",F483="NEW"),"",COUNTBLANK(OFFSET(A$1,,,SUMPRODUCT(MAX(ROW(E$2:E483)*(E483=E$2:E483)))))-COUNTBLANK(OFFSET(A$1,,,SUMPRODUCT(MAX(ROW(E$1:E482)*(E2=E$1:E482))))))</f>
        <v> </v>
      </c>
      <c r="K483" s="25" t="str">
        <f>IF(OR(E483="",E483="!!!",F483="NEW"),"",INDEX(J$1:J482,SUMPRODUCT(MAX(ROW(E$1:E482)*(E483=E$1:E482)))))</f>
        <v> </v>
      </c>
      <c r="L483" s="26"/>
    </row>
    <row r="484" spans="1:12">
      <c r="A484" s="20" t="s">
        <v>271</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t="s">
        <v>255</v>
      </c>
      <c r="B485" s="27" t="s">
        <v>276</v>
      </c>
      <c r="C485" s="27" t="s">
        <v>257</v>
      </c>
      <c r="D485" s="27" t="s">
        <v>258</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t="s">
        <v>486</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t="s">
        <v>210</v>
      </c>
      <c r="E487" s="21">
        <f>IF(D487="?OLD","!!!","")</f>
        <v/>
      </c>
      <c r="F487" s="22" t="str">
        <f>IF(OR(E487="",E487="!!!"),"",IF(NOT(ISNA(VLOOKUP(E487,E$1:E486,1,FALSE()))),"OLD",IF(AND(E487&lt;&gt;"",E487&lt;&gt;"!!!"),"NEW","")))</f>
        <v> </v>
      </c>
      <c r="G487" s="23" t="str">
        <f>IF(OR(E487="",E487="!!!"),"",IF(OR(J487=0,AND(J487=1,K487=1),AND(J487=1,I487="SBJ"),AND(J487=1,I487=0)),"?IN_FOCUS",IF(J487&lt;=2,"?ACTIVATED",IF(J487&lt;&gt;"","?FAMILIAR",IF(F487="NEW",IF(ISNA(VLOOKUP(E487,#REF!,1,FALSE())),"?TYPE_IDENTIFIABLE","?REFERENTIAL"),"_")))))</f>
        <v> </v>
      </c>
      <c r="H487" s="24" t="str">
        <f>IF(J487&lt;&gt;1,"",IF(I487="SBJ","CB","?"))</f>
        <v> </v>
      </c>
      <c r="I487" s="25" t="str">
        <f>IF(OR(E487="",E487="!!!",F487="NEW"),"",INDEX(B486:B$2,-1+SUMPRODUCT(MAX(ROW(E486:E$2)*(E487=E486:E$2)))))</f>
        <v> </v>
      </c>
      <c r="J487" s="25" t="str">
        <f>IF(OR(E487="",E487="!!!",F487="NEW"),"",COUNTBLANK(OFFSET(A$1,,,SUMPRODUCT(MAX(ROW(E$2:E487)*(E487=E$2:E487)))))-COUNTBLANK(OFFSET(A$1,,,SUMPRODUCT(MAX(ROW(E$1:E486)*(E2=E$1:E486))))))</f>
        <v> </v>
      </c>
      <c r="K487" s="25" t="str">
        <f>IF(OR(E487="",E487="!!!",F487="NEW"),"",INDEX(J$1:J486,SUMPRODUCT(MAX(ROW(E$1:E486)*(E487=E$1:E486)))))</f>
        <v> </v>
      </c>
      <c r="L487" s="26"/>
    </row>
    <row r="488" spans="1:12">
      <c r="A488" s="20" t="s">
        <v>271</v>
      </c>
      <c r="E488" s="21">
        <f>IF(D488="?OLD","!!!","")</f>
        <v/>
      </c>
      <c r="F488" s="22" t="str">
        <f>IF(OR(E488="",E488="!!!"),"",IF(NOT(ISNA(VLOOKUP(E488,E$1:E487,1,FALSE()))),"OLD",IF(AND(E488&lt;&gt;"",E488&lt;&gt;"!!!"),"NEW","")))</f>
        <v> </v>
      </c>
      <c r="G488" s="23" t="str">
        <f>IF(OR(E488="",E488="!!!"),"",IF(OR(J488=0,AND(J488=1,K488=1),AND(J488=1,I488="SBJ"),AND(J488=1,I488=0)),"?IN_FOCUS",IF(J488&lt;=2,"?ACTIVATED",IF(J488&lt;&gt;"","?FAMILIAR",IF(F488="NEW",IF(ISNA(VLOOKUP(E488,#REF!,1,FALSE())),"?TYPE_IDENTIFIABLE","?REFERENTIAL"),"_")))))</f>
        <v> </v>
      </c>
      <c r="H488" s="24" t="str">
        <f>IF(J488&lt;&gt;1,"",IF(I488="SBJ","CB","?"))</f>
        <v> </v>
      </c>
      <c r="I488" s="25" t="str">
        <f>IF(OR(E488="",E488="!!!",F488="NEW"),"",INDEX(B487:B$2,-1+SUMPRODUCT(MAX(ROW(E487:E$2)*(E488=E487:E$2)))))</f>
        <v> </v>
      </c>
      <c r="J488" s="25" t="str">
        <f>IF(OR(E488="",E488="!!!",F488="NEW"),"",COUNTBLANK(OFFSET(A$1,,,SUMPRODUCT(MAX(ROW(E$2:E488)*(E488=E$2:E488)))))-COUNTBLANK(OFFSET(A$1,,,SUMPRODUCT(MAX(ROW(E$1:E487)*(E2=E$1:E487))))))</f>
        <v> </v>
      </c>
      <c r="K488" s="25" t="str">
        <f>IF(OR(E488="",E488="!!!",F488="NEW"),"",INDEX(J$1:J487,SUMPRODUCT(MAX(ROW(E$1:E487)*(E488=E$1:E487)))))</f>
        <v> </v>
      </c>
      <c r="L488" s="26"/>
    </row>
    <row r="489" spans="1:12">
      <c r="A489" s="20" t="s">
        <v>487</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t="s">
        <v>488</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271</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t="s">
        <v>222</v>
      </c>
      <c r="B492" s="27" t="s">
        <v>333</v>
      </c>
      <c r="C492" s="27" t="s">
        <v>300</v>
      </c>
      <c r="E492" s="21">
        <f>IF(D492="?OLD","!!!","")</f>
        <v/>
      </c>
      <c r="F492" s="22" t="str">
        <f>IF(OR(E492="",E492="!!!"),"",IF(NOT(ISNA(VLOOKUP(E492,E$1:E491,1,FALSE()))),"OLD",IF(AND(E492&lt;&gt;"",E492&lt;&gt;"!!!"),"NEW","")))</f>
        <v> </v>
      </c>
      <c r="G492" s="23" t="str">
        <f>IF(OR(E492="",E492="!!!"),"",IF(OR(J492=0,AND(J492=1,K492=1),AND(J492=1,I492="SBJ"),AND(J492=1,I492=0)),"?IN_FOCUS",IF(J492&lt;=2,"?ACTIVATED",IF(J492&lt;&gt;"","?FAMILIAR",IF(F492="NEW",IF(ISNA(VLOOKUP(E492,#REF!,1,FALSE())),"?TYPE_IDENTIFIABLE","?REFERENTIAL"),"_")))))</f>
        <v> </v>
      </c>
      <c r="H492" s="24" t="str">
        <f>IF(J492&lt;&gt;1,"",IF(I492="SBJ","CB","?"))</f>
        <v> </v>
      </c>
      <c r="I492" s="25" t="str">
        <f>IF(OR(E492="",E492="!!!",F492="NEW"),"",INDEX(B491:B$2,-1+SUMPRODUCT(MAX(ROW(E491:E$2)*(E492=E491:E$2)))))</f>
        <v> </v>
      </c>
      <c r="J492" s="25" t="str">
        <f>IF(OR(E492="",E492="!!!",F492="NEW"),"",COUNTBLANK(OFFSET(A$1,,,SUMPRODUCT(MAX(ROW(E$2:E492)*(E492=E$2:E492)))))-COUNTBLANK(OFFSET(A$1,,,SUMPRODUCT(MAX(ROW(E$1:E491)*(E2=E$1:E491))))))</f>
        <v> </v>
      </c>
      <c r="K492" s="25" t="str">
        <f>IF(OR(E492="",E492="!!!",F492="NEW"),"",INDEX(J$1:J491,SUMPRODUCT(MAX(ROW(E$1:E491)*(E492=E$1:E491)))))</f>
        <v> </v>
      </c>
      <c r="L492" s="26"/>
    </row>
    <row r="493" spans="1:12">
      <c r="A493" s="20" t="s">
        <v>296</v>
      </c>
      <c r="E493" s="21">
        <f>IF(D493="?OLD","!!!","")</f>
        <v/>
      </c>
      <c r="F493" s="22" t="str">
        <f>IF(OR(E493="",E493="!!!"),"",IF(NOT(ISNA(VLOOKUP(E493,E$1:E492,1,FALSE()))),"OLD",IF(AND(E493&lt;&gt;"",E493&lt;&gt;"!!!"),"NEW","")))</f>
        <v> </v>
      </c>
      <c r="G493" s="23" t="str">
        <f>IF(OR(E493="",E493="!!!"),"",IF(OR(J493=0,AND(J493=1,K493=1),AND(J493=1,I493="SBJ"),AND(J493=1,I493=0)),"?IN_FOCUS",IF(J493&lt;=2,"?ACTIVATED",IF(J493&lt;&gt;"","?FAMILIAR",IF(F493="NEW",IF(ISNA(VLOOKUP(E493,#REF!,1,FALSE())),"?TYPE_IDENTIFIABLE","?REFERENTIAL"),"_")))))</f>
        <v> </v>
      </c>
      <c r="H493" s="24" t="str">
        <f>IF(J493&lt;&gt;1,"",IF(I493="SBJ","CB","?"))</f>
        <v> </v>
      </c>
      <c r="I493" s="25" t="str">
        <f>IF(OR(E493="",E493="!!!",F493="NEW"),"",INDEX(B492:B$2,-1+SUMPRODUCT(MAX(ROW(E492:E$2)*(E493=E492:E$2)))))</f>
        <v> </v>
      </c>
      <c r="J493" s="25" t="str">
        <f>IF(OR(E493="",E493="!!!",F493="NEW"),"",COUNTBLANK(OFFSET(A$1,,,SUMPRODUCT(MAX(ROW(E$2:E493)*(E493=E$2:E493)))))-COUNTBLANK(OFFSET(A$1,,,SUMPRODUCT(MAX(ROW(E$1:E492)*(E2=E$1:E492))))))</f>
        <v> </v>
      </c>
      <c r="K493" s="25" t="str">
        <f>IF(OR(E493="",E493="!!!",F493="NEW"),"",INDEX(J$1:J492,SUMPRODUCT(MAX(ROW(E$1:E492)*(E493=E$1:E492)))))</f>
        <v> </v>
      </c>
      <c r="L493" s="26"/>
    </row>
    <row r="494" spans="1:12">
      <c r="A494" s="20" t="s">
        <v>489</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t="s">
        <v>329</v>
      </c>
      <c r="E495" s="21">
        <f>IF(D495="?OLD","!!!","")</f>
        <v/>
      </c>
      <c r="F495" s="22" t="str">
        <f>IF(OR(E495="",E495="!!!"),"",IF(NOT(ISNA(VLOOKUP(E495,E$1:E494,1,FALSE()))),"OLD",IF(AND(E495&lt;&gt;"",E495&lt;&gt;"!!!"),"NEW","")))</f>
        <v> </v>
      </c>
      <c r="G495" s="23" t="str">
        <f>IF(OR(E495="",E495="!!!"),"",IF(OR(J495=0,AND(J495=1,K495=1),AND(J495=1,I495="SBJ"),AND(J495=1,I495=0)),"?IN_FOCUS",IF(J495&lt;=2,"?ACTIVATED",IF(J495&lt;&gt;"","?FAMILIAR",IF(F495="NEW",IF(ISNA(VLOOKUP(E495,#REF!,1,FALSE())),"?TYPE_IDENTIFIABLE","?REFERENTIAL"),"_")))))</f>
        <v> </v>
      </c>
      <c r="H495" s="24" t="str">
        <f>IF(J495&lt;&gt;1,"",IF(I495="SBJ","CB","?"))</f>
        <v> </v>
      </c>
      <c r="I495" s="25" t="str">
        <f>IF(OR(E495="",E495="!!!",F495="NEW"),"",INDEX(B494:B$2,-1+SUMPRODUCT(MAX(ROW(E494:E$2)*(E495=E494:E$2)))))</f>
        <v> </v>
      </c>
      <c r="J495" s="25" t="str">
        <f>IF(OR(E495="",E495="!!!",F495="NEW"),"",COUNTBLANK(OFFSET(A$1,,,SUMPRODUCT(MAX(ROW(E$2:E495)*(E495=E$2:E495)))))-COUNTBLANK(OFFSET(A$1,,,SUMPRODUCT(MAX(ROW(E$1:E494)*(E2=E$1:E494))))))</f>
        <v> </v>
      </c>
      <c r="K495" s="25" t="str">
        <f>IF(OR(E495="",E495="!!!",F495="NEW"),"",INDEX(J$1:J494,SUMPRODUCT(MAX(ROW(E$1:E494)*(E495=E$1:E494)))))</f>
        <v> </v>
      </c>
      <c r="L495" s="26"/>
    </row>
    <row r="496" spans="1:12">
      <c r="A496" s="20" t="s">
        <v>85</v>
      </c>
      <c r="B496" s="27" t="s">
        <v>342</v>
      </c>
      <c r="C496" s="27" t="s">
        <v>334</v>
      </c>
      <c r="E496" s="21">
        <f>IF(D496="?OLD","!!!","")</f>
        <v/>
      </c>
      <c r="F496" s="22" t="str">
        <f>IF(OR(E496="",E496="!!!"),"",IF(NOT(ISNA(VLOOKUP(E496,E$1:E495,1,FALSE()))),"OLD",IF(AND(E496&lt;&gt;"",E496&lt;&gt;"!!!"),"NEW","")))</f>
        <v> </v>
      </c>
      <c r="G496" s="23" t="str">
        <f>IF(OR(E496="",E496="!!!"),"",IF(OR(J496=0,AND(J496=1,K496=1),AND(J496=1,I496="SBJ"),AND(J496=1,I496=0)),"?IN_FOCUS",IF(J496&lt;=2,"?ACTIVATED",IF(J496&lt;&gt;"","?FAMILIAR",IF(F496="NEW",IF(ISNA(VLOOKUP(E496,#REF!,1,FALSE())),"?TYPE_IDENTIFIABLE","?REFERENTIAL"),"_")))))</f>
        <v> </v>
      </c>
      <c r="H496" s="24" t="str">
        <f>IF(J496&lt;&gt;1,"",IF(I496="SBJ","CB","?"))</f>
        <v> </v>
      </c>
      <c r="I496" s="25" t="str">
        <f>IF(OR(E496="",E496="!!!",F496="NEW"),"",INDEX(B495:B$2,-1+SUMPRODUCT(MAX(ROW(E495:E$2)*(E496=E495:E$2)))))</f>
        <v> </v>
      </c>
      <c r="J496" s="25" t="str">
        <f>IF(OR(E496="",E496="!!!",F496="NEW"),"",COUNTBLANK(OFFSET(A$1,,,SUMPRODUCT(MAX(ROW(E$2:E496)*(E496=E$2:E496)))))-COUNTBLANK(OFFSET(A$1,,,SUMPRODUCT(MAX(ROW(E$1:E495)*(E2=E$1:E495))))))</f>
        <v> </v>
      </c>
      <c r="K496" s="25" t="str">
        <f>IF(OR(E496="",E496="!!!",F496="NEW"),"",INDEX(J$1:J495,SUMPRODUCT(MAX(ROW(E$1:E495)*(E496=E$1:E495)))))</f>
        <v> </v>
      </c>
      <c r="L496" s="26"/>
    </row>
    <row r="497" spans="1:12">
      <c r="A497" s="20" t="s">
        <v>326</v>
      </c>
      <c r="E497" s="21">
        <f>IF(D497="?OLD","!!!","")</f>
        <v/>
      </c>
      <c r="F497" s="22" t="str">
        <f>IF(OR(E497="",E497="!!!"),"",IF(NOT(ISNA(VLOOKUP(E497,E$1:E496,1,FALSE()))),"OLD",IF(AND(E497&lt;&gt;"",E497&lt;&gt;"!!!"),"NEW","")))</f>
        <v> </v>
      </c>
      <c r="G497" s="23" t="str">
        <f>IF(OR(E497="",E497="!!!"),"",IF(OR(J497=0,AND(J497=1,K497=1),AND(J497=1,I497="SBJ"),AND(J497=1,I497=0)),"?IN_FOCUS",IF(J497&lt;=2,"?ACTIVATED",IF(J497&lt;&gt;"","?FAMILIAR",IF(F497="NEW",IF(ISNA(VLOOKUP(E497,#REF!,1,FALSE())),"?TYPE_IDENTIFIABLE","?REFERENTIAL"),"_")))))</f>
        <v> </v>
      </c>
      <c r="H497" s="24" t="str">
        <f>IF(J497&lt;&gt;1,"",IF(I497="SBJ","CB","?"))</f>
        <v> </v>
      </c>
      <c r="I497" s="25" t="str">
        <f>IF(OR(E497="",E497="!!!",F497="NEW"),"",INDEX(B496:B$2,-1+SUMPRODUCT(MAX(ROW(E496:E$2)*(E497=E496:E$2)))))</f>
        <v> </v>
      </c>
      <c r="J497" s="25" t="str">
        <f>IF(OR(E497="",E497="!!!",F497="NEW"),"",COUNTBLANK(OFFSET(A$1,,,SUMPRODUCT(MAX(ROW(E$2:E497)*(E497=E$2:E497)))))-COUNTBLANK(OFFSET(A$1,,,SUMPRODUCT(MAX(ROW(E$1:E496)*(E2=E$1:E496))))))</f>
        <v> </v>
      </c>
      <c r="K497" s="25" t="str">
        <f>IF(OR(E497="",E497="!!!",F497="NEW"),"",INDEX(J$1:J496,SUMPRODUCT(MAX(ROW(E$1:E496)*(E497=E$1:E496)))))</f>
        <v> </v>
      </c>
      <c r="L497" s="26"/>
    </row>
    <row r="498" spans="1:12">
      <c r="A498" s="20" t="s">
        <v>440</v>
      </c>
      <c r="E498" s="21">
        <f>IF(D498="?OLD","!!!","")</f>
        <v/>
      </c>
      <c r="F498" s="22" t="str">
        <f>IF(OR(E498="",E498="!!!"),"",IF(NOT(ISNA(VLOOKUP(E498,E$1:E497,1,FALSE()))),"OLD",IF(AND(E498&lt;&gt;"",E498&lt;&gt;"!!!"),"NEW","")))</f>
        <v> </v>
      </c>
      <c r="G498" s="23" t="str">
        <f>IF(OR(E498="",E498="!!!"),"",IF(OR(J498=0,AND(J498=1,K498=1),AND(J498=1,I498="SBJ"),AND(J498=1,I498=0)),"?IN_FOCUS",IF(J498&lt;=2,"?ACTIVATED",IF(J498&lt;&gt;"","?FAMILIAR",IF(F498="NEW",IF(ISNA(VLOOKUP(E498,#REF!,1,FALSE())),"?TYPE_IDENTIFIABLE","?REFERENTIAL"),"_")))))</f>
        <v> </v>
      </c>
      <c r="H498" s="24" t="str">
        <f>IF(J498&lt;&gt;1,"",IF(I498="SBJ","CB","?"))</f>
        <v> </v>
      </c>
      <c r="I498" s="25" t="str">
        <f>IF(OR(E498="",E498="!!!",F498="NEW"),"",INDEX(B497:B$2,-1+SUMPRODUCT(MAX(ROW(E497:E$2)*(E498=E497:E$2)))))</f>
        <v> </v>
      </c>
      <c r="J498" s="25" t="str">
        <f>IF(OR(E498="",E498="!!!",F498="NEW"),"",COUNTBLANK(OFFSET(A$1,,,SUMPRODUCT(MAX(ROW(E$2:E498)*(E498=E$2:E498)))))-COUNTBLANK(OFFSET(A$1,,,SUMPRODUCT(MAX(ROW(E$1:E497)*(E2=E$1:E497))))))</f>
        <v> </v>
      </c>
      <c r="K498" s="25" t="str">
        <f>IF(OR(E498="",E498="!!!",F498="NEW"),"",INDEX(J$1:J497,SUMPRODUCT(MAX(ROW(E$1:E497)*(E498=E$1:E497)))))</f>
        <v> </v>
      </c>
      <c r="L498" s="26"/>
    </row>
    <row r="499" spans="1:12">
      <c r="A499" s="20" t="s">
        <v>278</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t="s">
        <v>490</v>
      </c>
      <c r="B500" s="27" t="s">
        <v>291</v>
      </c>
      <c r="C500" s="27" t="s">
        <v>270</v>
      </c>
      <c r="E500" s="21">
        <f>IF(D500="?OLD","!!!","")</f>
        <v/>
      </c>
      <c r="F500" s="22" t="str">
        <f>IF(OR(E500="",E500="!!!"),"",IF(NOT(ISNA(VLOOKUP(E500,E$1:E499,1,FALSE()))),"OLD",IF(AND(E500&lt;&gt;"",E500&lt;&gt;"!!!"),"NEW","")))</f>
        <v> </v>
      </c>
      <c r="G500" s="23" t="str">
        <f>IF(OR(E500="",E500="!!!"),"",IF(OR(J500=0,AND(J500=1,K500=1),AND(J500=1,I500="SBJ"),AND(J500=1,I500=0)),"?IN_FOCUS",IF(J500&lt;=2,"?ACTIVATED",IF(J500&lt;&gt;"","?FAMILIAR",IF(F500="NEW",IF(ISNA(VLOOKUP(E500,#REF!,1,FALSE())),"?TYPE_IDENTIFIABLE","?REFERENTIAL"),"_")))))</f>
        <v> </v>
      </c>
      <c r="H500" s="24" t="str">
        <f>IF(J500&lt;&gt;1,"",IF(I500="SBJ","CB","?"))</f>
        <v> </v>
      </c>
      <c r="I500" s="25" t="str">
        <f>IF(OR(E500="",E500="!!!",F500="NEW"),"",INDEX(B499:B$2,-1+SUMPRODUCT(MAX(ROW(E499:E$2)*(E500=E499:E$2)))))</f>
        <v> </v>
      </c>
      <c r="J500" s="25" t="str">
        <f>IF(OR(E500="",E500="!!!",F500="NEW"),"",COUNTBLANK(OFFSET(A$1,,,SUMPRODUCT(MAX(ROW(E$2:E500)*(E500=E$2:E500)))))-COUNTBLANK(OFFSET(A$1,,,SUMPRODUCT(MAX(ROW(E$1:E499)*(E2=E$1:E499))))))</f>
        <v> </v>
      </c>
      <c r="K500" s="25" t="str">
        <f>IF(OR(E500="",E500="!!!",F500="NEW"),"",INDEX(J$1:J499,SUMPRODUCT(MAX(ROW(E$1:E499)*(E500=E$1:E499)))))</f>
        <v> </v>
      </c>
      <c r="L500" s="26"/>
    </row>
    <row r="501" spans="1:12">
      <c r="A501" s="20" t="s">
        <v>429</v>
      </c>
      <c r="E501" s="21">
        <f>IF(D501="?OLD","!!!","")</f>
        <v/>
      </c>
      <c r="F501" s="22" t="str">
        <f>IF(OR(E501="",E501="!!!"),"",IF(NOT(ISNA(VLOOKUP(E501,E$1:E500,1,FALSE()))),"OLD",IF(AND(E501&lt;&gt;"",E501&lt;&gt;"!!!"),"NEW","")))</f>
        <v> </v>
      </c>
      <c r="G501" s="23" t="str">
        <f>IF(OR(E501="",E501="!!!"),"",IF(OR(J501=0,AND(J501=1,K501=1),AND(J501=1,I501="SBJ"),AND(J501=1,I501=0)),"?IN_FOCUS",IF(J501&lt;=2,"?ACTIVATED",IF(J501&lt;&gt;"","?FAMILIAR",IF(F501="NEW",IF(ISNA(VLOOKUP(E501,#REF!,1,FALSE())),"?TYPE_IDENTIFIABLE","?REFERENTIAL"),"_")))))</f>
        <v> </v>
      </c>
      <c r="H501" s="24" t="str">
        <f>IF(J501&lt;&gt;1,"",IF(I501="SBJ","CB","?"))</f>
        <v> </v>
      </c>
      <c r="I501" s="25" t="str">
        <f>IF(OR(E501="",E501="!!!",F501="NEW"),"",INDEX(B500:B$2,-1+SUMPRODUCT(MAX(ROW(E500:E$2)*(E501=E500:E$2)))))</f>
        <v> </v>
      </c>
      <c r="J501" s="25" t="str">
        <f>IF(OR(E501="",E501="!!!",F501="NEW"),"",COUNTBLANK(OFFSET(A$1,,,SUMPRODUCT(MAX(ROW(E$2:E501)*(E501=E$2:E501)))))-COUNTBLANK(OFFSET(A$1,,,SUMPRODUCT(MAX(ROW(E$1:E500)*(E2=E$1:E500))))))</f>
        <v> </v>
      </c>
      <c r="K501" s="25" t="str">
        <f>IF(OR(E501="",E501="!!!",F501="NEW"),"",INDEX(J$1:J500,SUMPRODUCT(MAX(ROW(E$1:E500)*(E501=E$1:E500)))))</f>
        <v> </v>
      </c>
      <c r="L501" s="26"/>
    </row>
    <row r="502" spans="1:12">
      <c r="A502" s="20" t="s">
        <v>487</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row>
    <row r="504" spans="1:12">
      <c r="A504" s="20" t="s">
        <v>491</v>
      </c>
    </row>
    <row r="505" spans="1:12">
      <c r="A505" s="20" t="s">
        <v>322</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t="s">
        <v>255</v>
      </c>
      <c r="B506" s="27" t="s">
        <v>276</v>
      </c>
      <c r="C506" s="27" t="s">
        <v>257</v>
      </c>
      <c r="D506" s="27" t="s">
        <v>258</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259</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t="s">
        <v>43</v>
      </c>
      <c r="E508" s="21">
        <f>IF(D508="?OLD","!!!","")</f>
        <v/>
      </c>
      <c r="F508" s="22" t="str">
        <f>IF(OR(E508="",E508="!!!"),"",IF(NOT(ISNA(VLOOKUP(E508,E$1:E507,1,FALSE()))),"OLD",IF(AND(E508&lt;&gt;"",E508&lt;&gt;"!!!"),"NEW","")))</f>
        <v> </v>
      </c>
      <c r="G508" s="23" t="str">
        <f>IF(OR(E508="",E508="!!!"),"",IF(OR(J508=0,AND(J508=1,K508=1),AND(J508=1,I508="SBJ"),AND(J508=1,I508=0)),"?IN_FOCUS",IF(J508&lt;=2,"?ACTIVATED",IF(J508&lt;&gt;"","?FAMILIAR",IF(F508="NEW",IF(ISNA(VLOOKUP(E508,#REF!,1,FALSE())),"?TYPE_IDENTIFIABLE","?REFERENTIAL"),"_")))))</f>
        <v> </v>
      </c>
      <c r="H508" s="24" t="str">
        <f>IF(J508&lt;&gt;1,"",IF(I508="SBJ","CB","?"))</f>
        <v> </v>
      </c>
      <c r="I508" s="25" t="str">
        <f>IF(OR(E508="",E508="!!!",F508="NEW"),"",INDEX(B507:B$2,-1+SUMPRODUCT(MAX(ROW(E507:E$2)*(E508=E507:E$2)))))</f>
        <v> </v>
      </c>
      <c r="J508" s="25" t="str">
        <f>IF(OR(E508="",E508="!!!",F508="NEW"),"",COUNTBLANK(OFFSET(A$1,,,SUMPRODUCT(MAX(ROW(E$2:E508)*(E508=E$2:E508)))))-COUNTBLANK(OFFSET(A$1,,,SUMPRODUCT(MAX(ROW(E$1:E507)*(E2=E$1:E507))))))</f>
        <v> </v>
      </c>
      <c r="K508" s="25" t="str">
        <f>IF(OR(E508="",E508="!!!",F508="NEW"),"",INDEX(J$1:J507,SUMPRODUCT(MAX(ROW(E$1:E507)*(E508=E$1:E507)))))</f>
        <v> </v>
      </c>
      <c r="L508" s="26"/>
    </row>
    <row r="509" spans="1:12">
      <c r="A509" s="20" t="s">
        <v>381</v>
      </c>
      <c r="E509" s="21">
        <f>IF(D509="?OLD","!!!","")</f>
        <v/>
      </c>
      <c r="F509" s="22" t="str">
        <f>IF(OR(E509="",E509="!!!"),"",IF(NOT(ISNA(VLOOKUP(E509,E$1:E508,1,FALSE()))),"OLD",IF(AND(E509&lt;&gt;"",E509&lt;&gt;"!!!"),"NEW","")))</f>
        <v> </v>
      </c>
      <c r="G509" s="23" t="str">
        <f>IF(OR(E509="",E509="!!!"),"",IF(OR(J509=0,AND(J509=1,K509=1),AND(J509=1,I509="SBJ"),AND(J509=1,I509=0)),"?IN_FOCUS",IF(J509&lt;=2,"?ACTIVATED",IF(J509&lt;&gt;"","?FAMILIAR",IF(F509="NEW",IF(ISNA(VLOOKUP(E509,#REF!,1,FALSE())),"?TYPE_IDENTIFIABLE","?REFERENTIAL"),"_")))))</f>
        <v> </v>
      </c>
      <c r="H509" s="24" t="str">
        <f>IF(J509&lt;&gt;1,"",IF(I509="SBJ","CB","?"))</f>
        <v> </v>
      </c>
      <c r="I509" s="25" t="str">
        <f>IF(OR(E509="",E509="!!!",F509="NEW"),"",INDEX(B508:B$2,-1+SUMPRODUCT(MAX(ROW(E508:E$2)*(E509=E508:E$2)))))</f>
        <v> </v>
      </c>
      <c r="J509" s="25" t="str">
        <f>IF(OR(E509="",E509="!!!",F509="NEW"),"",COUNTBLANK(OFFSET(A$1,,,SUMPRODUCT(MAX(ROW(E$2:E509)*(E509=E$2:E509)))))-COUNTBLANK(OFFSET(A$1,,,SUMPRODUCT(MAX(ROW(E$1:E508)*(E2=E$1:E508))))))</f>
        <v> </v>
      </c>
      <c r="K509" s="25" t="str">
        <f>IF(OR(E509="",E509="!!!",F509="NEW"),"",INDEX(J$1:J508,SUMPRODUCT(MAX(ROW(E$1:E508)*(E509=E$1:E508)))))</f>
        <v> </v>
      </c>
      <c r="L509" s="26"/>
    </row>
    <row r="510" spans="1:12">
      <c r="A510" s="20" t="s">
        <v>271</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293</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492</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t="s">
        <v>442</v>
      </c>
      <c r="E513" s="21">
        <f>IF(D513="?OLD","!!!","")</f>
        <v/>
      </c>
      <c r="F513" s="22" t="str">
        <f>IF(OR(E513="",E513="!!!"),"",IF(NOT(ISNA(VLOOKUP(E513,E$1:E512,1,FALSE()))),"OLD",IF(AND(E513&lt;&gt;"",E513&lt;&gt;"!!!"),"NEW","")))</f>
        <v> </v>
      </c>
      <c r="G513" s="23" t="str">
        <f>IF(OR(E513="",E513="!!!"),"",IF(OR(J513=0,AND(J513=1,K513=1),AND(J513=1,I513="SBJ"),AND(J513=1,I513=0)),"?IN_FOCUS",IF(J513&lt;=2,"?ACTIVATED",IF(J513&lt;&gt;"","?FAMILIAR",IF(F513="NEW",IF(ISNA(VLOOKUP(E513,#REF!,1,FALSE())),"?TYPE_IDENTIFIABLE","?REFERENTIAL"),"_")))))</f>
        <v> </v>
      </c>
      <c r="H513" s="24" t="str">
        <f>IF(J513&lt;&gt;1,"",IF(I513="SBJ","CB","?"))</f>
        <v> </v>
      </c>
      <c r="I513" s="25" t="str">
        <f>IF(OR(E513="",E513="!!!",F513="NEW"),"",INDEX(B512:B$2,-1+SUMPRODUCT(MAX(ROW(E512:E$2)*(E513=E512:E$2)))))</f>
        <v> </v>
      </c>
      <c r="J513" s="25" t="str">
        <f>IF(OR(E513="",E513="!!!",F513="NEW"),"",COUNTBLANK(OFFSET(A$1,,,SUMPRODUCT(MAX(ROW(E$2:E513)*(E513=E$2:E513)))))-COUNTBLANK(OFFSET(A$1,,,SUMPRODUCT(MAX(ROW(E$1:E512)*(E2=E$1:E512))))))</f>
        <v> </v>
      </c>
      <c r="K513" s="25" t="str">
        <f>IF(OR(E513="",E513="!!!",F513="NEW"),"",INDEX(J$1:J512,SUMPRODUCT(MAX(ROW(E$1:E512)*(E513=E$1:E512)))))</f>
        <v> </v>
      </c>
      <c r="L513" s="26"/>
    </row>
    <row r="514" spans="1:12">
      <c r="A514" s="20" t="s">
        <v>273</v>
      </c>
      <c r="B514" s="27" t="s">
        <v>267</v>
      </c>
      <c r="C514" s="27" t="s">
        <v>367</v>
      </c>
      <c r="D514" s="27" t="s">
        <v>258</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t="s">
        <v>320</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row>
    <row r="517" spans="1:12">
      <c r="A517" s="20" t="s">
        <v>493</v>
      </c>
    </row>
    <row r="518" spans="1:12">
      <c r="A518" s="20" t="s">
        <v>360</v>
      </c>
      <c r="E518" s="21">
        <f>IF(D518="?OLD","!!!","")</f>
        <v/>
      </c>
      <c r="F518" s="22" t="str">
        <f>IF(OR(E518="",E518="!!!"),"",IF(NOT(ISNA(VLOOKUP(E518,E$1:E517,1,FALSE()))),"OLD",IF(AND(E518&lt;&gt;"",E518&lt;&gt;"!!!"),"NEW","")))</f>
        <v> </v>
      </c>
      <c r="G518" s="23" t="str">
        <f>IF(OR(E518="",E518="!!!"),"",IF(OR(J518=0,AND(J518=1,K518=1),AND(J518=1,I518="SBJ"),AND(J518=1,I518=0)),"?IN_FOCUS",IF(J518&lt;=2,"?ACTIVATED",IF(J518&lt;&gt;"","?FAMILIAR",IF(F518="NEW",IF(ISNA(VLOOKUP(E518,#REF!,1,FALSE())),"?TYPE_IDENTIFIABLE","?REFERENTIAL"),"_")))))</f>
        <v> </v>
      </c>
      <c r="H518" s="24" t="str">
        <f>IF(J518&lt;&gt;1,"",IF(I518="SBJ","CB","?"))</f>
        <v> </v>
      </c>
      <c r="I518" s="25" t="str">
        <f>IF(OR(E518="",E518="!!!",F518="NEW"),"",INDEX(B517:B$2,-1+SUMPRODUCT(MAX(ROW(E517:E$2)*(E518=E517:E$2)))))</f>
        <v> </v>
      </c>
      <c r="J518" s="25" t="str">
        <f>IF(OR(E518="",E518="!!!",F518="NEW"),"",COUNTBLANK(OFFSET(A$1,,,SUMPRODUCT(MAX(ROW(E$2:E518)*(E518=E$2:E518)))))-COUNTBLANK(OFFSET(A$1,,,SUMPRODUCT(MAX(ROW(E$1:E517)*(E2=E$1:E517))))))</f>
        <v> </v>
      </c>
      <c r="K518" s="25" t="str">
        <f>IF(OR(E518="",E518="!!!",F518="NEW"),"",INDEX(J$1:J517,SUMPRODUCT(MAX(ROW(E$1:E517)*(E518=E$1:E517)))))</f>
        <v> </v>
      </c>
      <c r="L518" s="26"/>
    </row>
    <row r="519" spans="1:12">
      <c r="A519" s="20" t="s">
        <v>255</v>
      </c>
      <c r="B519" s="27" t="s">
        <v>276</v>
      </c>
      <c r="C519" s="27" t="s">
        <v>257</v>
      </c>
      <c r="D519" s="27" t="s">
        <v>258</v>
      </c>
      <c r="E519" s="21">
        <f>IF(D519="?OLD","!!!","")</f>
        <v/>
      </c>
      <c r="F519" s="22" t="str">
        <f>IF(OR(E519="",E519="!!!"),"",IF(NOT(ISNA(VLOOKUP(E519,E$1:E518,1,FALSE()))),"OLD",IF(AND(E519&lt;&gt;"",E519&lt;&gt;"!!!"),"NEW","")))</f>
        <v> </v>
      </c>
      <c r="G519" s="23" t="str">
        <f>IF(OR(E519="",E519="!!!"),"",IF(OR(J519=0,AND(J519=1,K519=1),AND(J519=1,I519="SBJ"),AND(J519=1,I519=0)),"?IN_FOCUS",IF(J519&lt;=2,"?ACTIVATED",IF(J519&lt;&gt;"","?FAMILIAR",IF(F519="NEW",IF(ISNA(VLOOKUP(E519,#REF!,1,FALSE())),"?TYPE_IDENTIFIABLE","?REFERENTIAL"),"_")))))</f>
        <v> </v>
      </c>
      <c r="H519" s="24" t="str">
        <f>IF(J519&lt;&gt;1,"",IF(I519="SBJ","CB","?"))</f>
        <v> </v>
      </c>
      <c r="I519" s="25" t="str">
        <f>IF(OR(E519="",E519="!!!",F519="NEW"),"",INDEX(B518:B$2,-1+SUMPRODUCT(MAX(ROW(E518:E$2)*(E519=E518:E$2)))))</f>
        <v> </v>
      </c>
      <c r="J519" s="25" t="str">
        <f>IF(OR(E519="",E519="!!!",F519="NEW"),"",COUNTBLANK(OFFSET(A$1,,,SUMPRODUCT(MAX(ROW(E$2:E519)*(E519=E$2:E519)))))-COUNTBLANK(OFFSET(A$1,,,SUMPRODUCT(MAX(ROW(E$1:E518)*(E2=E$1:E518))))))</f>
        <v> </v>
      </c>
      <c r="K519" s="25" t="str">
        <f>IF(OR(E519="",E519="!!!",F519="NEW"),"",INDEX(J$1:J518,SUMPRODUCT(MAX(ROW(E$1:E518)*(E519=E$1:E518)))))</f>
        <v> </v>
      </c>
      <c r="L519" s="26"/>
    </row>
    <row r="520" spans="1:12">
      <c r="A520" s="20" t="s">
        <v>35</v>
      </c>
      <c r="E520" s="21">
        <f>IF(D520="?OLD","!!!","")</f>
        <v/>
      </c>
      <c r="F520" s="22" t="str">
        <f>IF(OR(E520="",E520="!!!"),"",IF(NOT(ISNA(VLOOKUP(E520,E$1:E519,1,FALSE()))),"OLD",IF(AND(E520&lt;&gt;"",E520&lt;&gt;"!!!"),"NEW","")))</f>
        <v> </v>
      </c>
      <c r="G520" s="23" t="str">
        <f>IF(OR(E520="",E520="!!!"),"",IF(OR(J520=0,AND(J520=1,K520=1),AND(J520=1,I520="SBJ"),AND(J520=1,I520=0)),"?IN_FOCUS",IF(J520&lt;=2,"?ACTIVATED",IF(J520&lt;&gt;"","?FAMILIAR",IF(F520="NEW",IF(ISNA(VLOOKUP(E520,#REF!,1,FALSE())),"?TYPE_IDENTIFIABLE","?REFERENTIAL"),"_")))))</f>
        <v> </v>
      </c>
      <c r="H520" s="24" t="str">
        <f>IF(J520&lt;&gt;1,"",IF(I520="SBJ","CB","?"))</f>
        <v> </v>
      </c>
      <c r="I520" s="25" t="str">
        <f>IF(OR(E520="",E520="!!!",F520="NEW"),"",INDEX(B519:B$2,-1+SUMPRODUCT(MAX(ROW(E519:E$2)*(E520=E519:E$2)))))</f>
        <v> </v>
      </c>
      <c r="J520" s="25" t="str">
        <f>IF(OR(E520="",E520="!!!",F520="NEW"),"",COUNTBLANK(OFFSET(A$1,,,SUMPRODUCT(MAX(ROW(E$2:E520)*(E520=E$2:E520)))))-COUNTBLANK(OFFSET(A$1,,,SUMPRODUCT(MAX(ROW(E$1:E519)*(E2=E$1:E519))))))</f>
        <v> </v>
      </c>
      <c r="K520" s="25" t="str">
        <f>IF(OR(E520="",E520="!!!",F520="NEW"),"",INDEX(J$1:J519,SUMPRODUCT(MAX(ROW(E$1:E519)*(E520=E$1:E519)))))</f>
        <v> </v>
      </c>
      <c r="L520" s="26"/>
    </row>
    <row r="521" spans="1:12">
      <c r="A521" s="20" t="s">
        <v>494</v>
      </c>
      <c r="E521" s="21">
        <f>IF(D521="?OLD","!!!","")</f>
        <v/>
      </c>
      <c r="F521" s="22" t="str">
        <f>IF(OR(E521="",E521="!!!"),"",IF(NOT(ISNA(VLOOKUP(E521,E$1:E520,1,FALSE()))),"OLD",IF(AND(E521&lt;&gt;"",E521&lt;&gt;"!!!"),"NEW","")))</f>
        <v> </v>
      </c>
      <c r="G521" s="23" t="str">
        <f>IF(OR(E521="",E521="!!!"),"",IF(OR(J521=0,AND(J521=1,K521=1),AND(J521=1,I521="SBJ"),AND(J521=1,I521=0)),"?IN_FOCUS",IF(J521&lt;=2,"?ACTIVATED",IF(J521&lt;&gt;"","?FAMILIAR",IF(F521="NEW",IF(ISNA(VLOOKUP(E521,#REF!,1,FALSE())),"?TYPE_IDENTIFIABLE","?REFERENTIAL"),"_")))))</f>
        <v> </v>
      </c>
      <c r="H521" s="24" t="str">
        <f>IF(J521&lt;&gt;1,"",IF(I521="SBJ","CB","?"))</f>
        <v> </v>
      </c>
      <c r="I521" s="25" t="str">
        <f>IF(OR(E521="",E521="!!!",F521="NEW"),"",INDEX(B520:B$2,-1+SUMPRODUCT(MAX(ROW(E520:E$2)*(E521=E520:E$2)))))</f>
        <v> </v>
      </c>
      <c r="J521" s="25" t="str">
        <f>IF(OR(E521="",E521="!!!",F521="NEW"),"",COUNTBLANK(OFFSET(A$1,,,SUMPRODUCT(MAX(ROW(E$2:E521)*(E521=E$2:E521)))))-COUNTBLANK(OFFSET(A$1,,,SUMPRODUCT(MAX(ROW(E$1:E520)*(E2=E$1:E520))))))</f>
        <v> </v>
      </c>
      <c r="K521" s="25" t="str">
        <f>IF(OR(E521="",E521="!!!",F521="NEW"),"",INDEX(J$1:J520,SUMPRODUCT(MAX(ROW(E$1:E520)*(E521=E$1:E520)))))</f>
        <v> </v>
      </c>
      <c r="L521" s="26"/>
    </row>
    <row r="522" spans="1:12">
      <c r="A522" s="20" t="s">
        <v>495</v>
      </c>
      <c r="B522" s="27" t="s">
        <v>401</v>
      </c>
      <c r="C522" s="27" t="s">
        <v>351</v>
      </c>
      <c r="D522" s="27" t="s">
        <v>258</v>
      </c>
      <c r="E522" s="21">
        <f>IF(D522="?OLD","!!!","")</f>
        <v/>
      </c>
      <c r="F522" s="22" t="str">
        <f>IF(OR(E522="",E522="!!!"),"",IF(NOT(ISNA(VLOOKUP(E522,E$1:E521,1,FALSE()))),"OLD",IF(AND(E522&lt;&gt;"",E522&lt;&gt;"!!!"),"NEW","")))</f>
        <v> </v>
      </c>
      <c r="G522" s="23" t="str">
        <f>IF(OR(E522="",E522="!!!"),"",IF(OR(J522=0,AND(J522=1,K522=1),AND(J522=1,I522="SBJ"),AND(J522=1,I522=0)),"?IN_FOCUS",IF(J522&lt;=2,"?ACTIVATED",IF(J522&lt;&gt;"","?FAMILIAR",IF(F522="NEW",IF(ISNA(VLOOKUP(E522,#REF!,1,FALSE())),"?TYPE_IDENTIFIABLE","?REFERENTIAL"),"_")))))</f>
        <v> </v>
      </c>
      <c r="H522" s="24" t="str">
        <f>IF(J522&lt;&gt;1,"",IF(I522="SBJ","CB","?"))</f>
        <v> </v>
      </c>
      <c r="I522" s="25" t="str">
        <f>IF(OR(E522="",E522="!!!",F522="NEW"),"",INDEX(B521:B$2,-1+SUMPRODUCT(MAX(ROW(E521:E$2)*(E522=E521:E$2)))))</f>
        <v> </v>
      </c>
      <c r="J522" s="25" t="str">
        <f>IF(OR(E522="",E522="!!!",F522="NEW"),"",COUNTBLANK(OFFSET(A$1,,,SUMPRODUCT(MAX(ROW(E$2:E522)*(E522=E$2:E522)))))-COUNTBLANK(OFFSET(A$1,,,SUMPRODUCT(MAX(ROW(E$1:E521)*(E2=E$1:E521))))))</f>
        <v> </v>
      </c>
      <c r="K522" s="25" t="str">
        <f>IF(OR(E522="",E522="!!!",F522="NEW"),"",INDEX(J$1:J521,SUMPRODUCT(MAX(ROW(E$1:E521)*(E522=E$1:E521)))))</f>
        <v> </v>
      </c>
      <c r="L522" s="26"/>
    </row>
    <row r="523" spans="1:12">
      <c r="A523" s="20" t="s">
        <v>496</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t="s">
        <v>320</v>
      </c>
      <c r="E524" s="21">
        <f>IF(D524="?OLD","!!!","")</f>
        <v/>
      </c>
      <c r="F524" s="22" t="str">
        <f>IF(OR(E524="",E524="!!!"),"",IF(NOT(ISNA(VLOOKUP(E524,E$1:E523,1,FALSE()))),"OLD",IF(AND(E524&lt;&gt;"",E524&lt;&gt;"!!!"),"NEW","")))</f>
        <v> </v>
      </c>
      <c r="G524" s="23" t="str">
        <f>IF(OR(E524="",E524="!!!"),"",IF(OR(J524=0,AND(J524=1,K524=1),AND(J524=1,I524="SBJ"),AND(J524=1,I524=0)),"?IN_FOCUS",IF(J524&lt;=2,"?ACTIVATED",IF(J524&lt;&gt;"","?FAMILIAR",IF(F524="NEW",IF(ISNA(VLOOKUP(E524,#REF!,1,FALSE())),"?TYPE_IDENTIFIABLE","?REFERENTIAL"),"_")))))</f>
        <v> </v>
      </c>
      <c r="H524" s="24" t="str">
        <f>IF(J524&lt;&gt;1,"",IF(I524="SBJ","CB","?"))</f>
        <v> </v>
      </c>
      <c r="I524" s="25" t="str">
        <f>IF(OR(E524="",E524="!!!",F524="NEW"),"",INDEX(B523:B$2,-1+SUMPRODUCT(MAX(ROW(E523:E$2)*(E524=E523:E$2)))))</f>
        <v> </v>
      </c>
      <c r="J524" s="25" t="str">
        <f>IF(OR(E524="",E524="!!!",F524="NEW"),"",COUNTBLANK(OFFSET(A$1,,,SUMPRODUCT(MAX(ROW(E$2:E524)*(E524=E$2:E524)))))-COUNTBLANK(OFFSET(A$1,,,SUMPRODUCT(MAX(ROW(E$1:E523)*(E2=E$1:E523))))))</f>
        <v> </v>
      </c>
      <c r="K524" s="25" t="str">
        <f>IF(OR(E524="",E524="!!!",F524="NEW"),"",INDEX(J$1:J523,SUMPRODUCT(MAX(ROW(E$1:E523)*(E524=E$1:E523)))))</f>
        <v> </v>
      </c>
      <c r="L524" s="26"/>
    </row>
    <row r="525" spans="1:12">
      <c r="A525" s="20"/>
    </row>
    <row r="526" spans="1:12">
      <c r="A526" s="20" t="s">
        <v>497</v>
      </c>
    </row>
    <row r="527" spans="1:12">
      <c r="A527" s="20" t="s">
        <v>360</v>
      </c>
      <c r="E527" s="21">
        <f>IF(D527="?OLD","!!!","")</f>
        <v/>
      </c>
      <c r="F527" s="22" t="str">
        <f>IF(OR(E527="",E527="!!!"),"",IF(NOT(ISNA(VLOOKUP(E527,E$1:E526,1,FALSE()))),"OLD",IF(AND(E527&lt;&gt;"",E527&lt;&gt;"!!!"),"NEW","")))</f>
        <v> </v>
      </c>
      <c r="G527" s="23" t="str">
        <f>IF(OR(E527="",E527="!!!"),"",IF(OR(J527=0,AND(J527=1,K527=1),AND(J527=1,I527="SBJ"),AND(J527=1,I527=0)),"?IN_FOCUS",IF(J527&lt;=2,"?ACTIVATED",IF(J527&lt;&gt;"","?FAMILIAR",IF(F527="NEW",IF(ISNA(VLOOKUP(E527,#REF!,1,FALSE())),"?TYPE_IDENTIFIABLE","?REFERENTIAL"),"_")))))</f>
        <v> </v>
      </c>
      <c r="H527" s="24" t="str">
        <f>IF(J527&lt;&gt;1,"",IF(I527="SBJ","CB","?"))</f>
        <v> </v>
      </c>
      <c r="I527" s="25" t="str">
        <f>IF(OR(E527="",E527="!!!",F527="NEW"),"",INDEX(B526:B$2,-1+SUMPRODUCT(MAX(ROW(E526:E$2)*(E527=E526:E$2)))))</f>
        <v> </v>
      </c>
      <c r="J527" s="25" t="str">
        <f>IF(OR(E527="",E527="!!!",F527="NEW"),"",COUNTBLANK(OFFSET(A$1,,,SUMPRODUCT(MAX(ROW(E$2:E527)*(E527=E$2:E527)))))-COUNTBLANK(OFFSET(A$1,,,SUMPRODUCT(MAX(ROW(E$1:E526)*(E2=E$1:E526))))))</f>
        <v> </v>
      </c>
      <c r="K527" s="25" t="str">
        <f>IF(OR(E527="",E527="!!!",F527="NEW"),"",INDEX(J$1:J526,SUMPRODUCT(MAX(ROW(E$1:E526)*(E527=E$1:E526)))))</f>
        <v> </v>
      </c>
      <c r="L527" s="26"/>
    </row>
    <row r="528" spans="1:12">
      <c r="A528" s="20" t="s">
        <v>165</v>
      </c>
      <c r="E528" s="21">
        <f>IF(D528="?OLD","!!!","")</f>
        <v/>
      </c>
      <c r="F528" s="22" t="str">
        <f>IF(OR(E528="",E528="!!!"),"",IF(NOT(ISNA(VLOOKUP(E528,E$1:E527,1,FALSE()))),"OLD",IF(AND(E528&lt;&gt;"",E528&lt;&gt;"!!!"),"NEW","")))</f>
        <v> </v>
      </c>
      <c r="G528" s="23" t="str">
        <f>IF(OR(E528="",E528="!!!"),"",IF(OR(J528=0,AND(J528=1,K528=1),AND(J528=1,I528="SBJ"),AND(J528=1,I528=0)),"?IN_FOCUS",IF(J528&lt;=2,"?ACTIVATED",IF(J528&lt;&gt;"","?FAMILIAR",IF(F528="NEW",IF(ISNA(VLOOKUP(E528,#REF!,1,FALSE())),"?TYPE_IDENTIFIABLE","?REFERENTIAL"),"_")))))</f>
        <v> </v>
      </c>
      <c r="H528" s="24" t="str">
        <f>IF(J528&lt;&gt;1,"",IF(I528="SBJ","CB","?"))</f>
        <v> </v>
      </c>
      <c r="I528" s="25" t="str">
        <f>IF(OR(E528="",E528="!!!",F528="NEW"),"",INDEX(B527:B$2,-1+SUMPRODUCT(MAX(ROW(E527:E$2)*(E528=E527:E$2)))))</f>
        <v> </v>
      </c>
      <c r="J528" s="25" t="str">
        <f>IF(OR(E528="",E528="!!!",F528="NEW"),"",COUNTBLANK(OFFSET(A$1,,,SUMPRODUCT(MAX(ROW(E$2:E528)*(E528=E$2:E528)))))-COUNTBLANK(OFFSET(A$1,,,SUMPRODUCT(MAX(ROW(E$1:E527)*(E2=E$1:E527))))))</f>
        <v> </v>
      </c>
      <c r="K528" s="25" t="str">
        <f>IF(OR(E528="",E528="!!!",F528="NEW"),"",INDEX(J$1:J527,SUMPRODUCT(MAX(ROW(E$1:E527)*(E528=E$1:E527)))))</f>
        <v> </v>
      </c>
      <c r="L528" s="26"/>
    </row>
    <row r="529" spans="1:12">
      <c r="A529" s="20" t="s">
        <v>261</v>
      </c>
      <c r="B529" s="27" t="s">
        <v>276</v>
      </c>
      <c r="C529" s="27" t="s">
        <v>257</v>
      </c>
      <c r="D529" s="27" t="s">
        <v>258</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55</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t="s">
        <v>274</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t="s">
        <v>266</v>
      </c>
      <c r="B532" s="27" t="s">
        <v>401</v>
      </c>
      <c r="C532" s="27" t="s">
        <v>277</v>
      </c>
      <c r="D532" s="27" t="s">
        <v>258</v>
      </c>
      <c r="E532" s="21">
        <f>IF(D532="?OLD","!!!","")</f>
        <v/>
      </c>
      <c r="F532" s="22" t="str">
        <f>IF(OR(E532="",E532="!!!"),"",IF(NOT(ISNA(VLOOKUP(E532,E$1:E531,1,FALSE()))),"OLD",IF(AND(E532&lt;&gt;"",E532&lt;&gt;"!!!"),"NEW","")))</f>
        <v> </v>
      </c>
      <c r="G532" s="23" t="str">
        <f>IF(OR(E532="",E532="!!!"),"",IF(OR(J532=0,AND(J532=1,K532=1),AND(J532=1,I532="SBJ"),AND(J532=1,I532=0)),"?IN_FOCUS",IF(J532&lt;=2,"?ACTIVATED",IF(J532&lt;&gt;"","?FAMILIAR",IF(F532="NEW",IF(ISNA(VLOOKUP(E532,#REF!,1,FALSE())),"?TYPE_IDENTIFIABLE","?REFERENTIAL"),"_")))))</f>
        <v> </v>
      </c>
      <c r="H532" s="24" t="str">
        <f>IF(J532&lt;&gt;1,"",IF(I532="SBJ","CB","?"))</f>
        <v> </v>
      </c>
      <c r="I532" s="25" t="str">
        <f>IF(OR(E532="",E532="!!!",F532="NEW"),"",INDEX(B531:B$2,-1+SUMPRODUCT(MAX(ROW(E531:E$2)*(E532=E531:E$2)))))</f>
        <v> </v>
      </c>
      <c r="J532" s="25" t="str">
        <f>IF(OR(E532="",E532="!!!",F532="NEW"),"",COUNTBLANK(OFFSET(A$1,,,SUMPRODUCT(MAX(ROW(E$2:E532)*(E532=E$2:E532)))))-COUNTBLANK(OFFSET(A$1,,,SUMPRODUCT(MAX(ROW(E$1:E531)*(E2=E$1:E531))))))</f>
        <v> </v>
      </c>
      <c r="K532" s="25" t="str">
        <f>IF(OR(E532="",E532="!!!",F532="NEW"),"",INDEX(J$1:J531,SUMPRODUCT(MAX(ROW(E$1:E531)*(E532=E$1:E531)))))</f>
        <v> </v>
      </c>
      <c r="L532" s="26"/>
    </row>
    <row r="533" spans="1:12">
      <c r="A533" s="20" t="s">
        <v>273</v>
      </c>
      <c r="E533" s="21">
        <f>IF(D533="?OLD","!!!","")</f>
        <v/>
      </c>
      <c r="F533" s="22" t="str">
        <f>IF(OR(E533="",E533="!!!"),"",IF(NOT(ISNA(VLOOKUP(E533,E$1:E532,1,FALSE()))),"OLD",IF(AND(E533&lt;&gt;"",E533&lt;&gt;"!!!"),"NEW","")))</f>
        <v> </v>
      </c>
      <c r="G533" s="23" t="str">
        <f>IF(OR(E533="",E533="!!!"),"",IF(OR(J533=0,AND(J533=1,K533=1),AND(J533=1,I533="SBJ"),AND(J533=1,I533=0)),"?IN_FOCUS",IF(J533&lt;=2,"?ACTIVATED",IF(J533&lt;&gt;"","?FAMILIAR",IF(F533="NEW",IF(ISNA(VLOOKUP(E533,#REF!,1,FALSE())),"?TYPE_IDENTIFIABLE","?REFERENTIAL"),"_")))))</f>
        <v> </v>
      </c>
      <c r="H533" s="24" t="str">
        <f>IF(J533&lt;&gt;1,"",IF(I533="SBJ","CB","?"))</f>
        <v> </v>
      </c>
      <c r="I533" s="25" t="str">
        <f>IF(OR(E533="",E533="!!!",F533="NEW"),"",INDEX(B532:B$2,-1+SUMPRODUCT(MAX(ROW(E532:E$2)*(E533=E532:E$2)))))</f>
        <v> </v>
      </c>
      <c r="J533" s="25" t="str">
        <f>IF(OR(E533="",E533="!!!",F533="NEW"),"",COUNTBLANK(OFFSET(A$1,,,SUMPRODUCT(MAX(ROW(E$2:E533)*(E533=E$2:E533)))))-COUNTBLANK(OFFSET(A$1,,,SUMPRODUCT(MAX(ROW(E$1:E532)*(E2=E$1:E532))))))</f>
        <v> </v>
      </c>
      <c r="K533" s="25" t="str">
        <f>IF(OR(E533="",E533="!!!",F533="NEW"),"",INDEX(J$1:J532,SUMPRODUCT(MAX(ROW(E$1:E532)*(E533=E$1:E532)))))</f>
        <v> </v>
      </c>
      <c r="L533" s="26"/>
    </row>
    <row r="534" spans="1:12">
      <c r="A534" s="20" t="s">
        <v>498</v>
      </c>
      <c r="E534" s="21">
        <f>IF(D534="?OLD","!!!","")</f>
        <v/>
      </c>
      <c r="F534" s="22" t="str">
        <f>IF(OR(E534="",E534="!!!"),"",IF(NOT(ISNA(VLOOKUP(E534,E$1:E533,1,FALSE()))),"OLD",IF(AND(E534&lt;&gt;"",E534&lt;&gt;"!!!"),"NEW","")))</f>
        <v> </v>
      </c>
      <c r="G534" s="23" t="str">
        <f>IF(OR(E534="",E534="!!!"),"",IF(OR(J534=0,AND(J534=1,K534=1),AND(J534=1,I534="SBJ"),AND(J534=1,I534=0)),"?IN_FOCUS",IF(J534&lt;=2,"?ACTIVATED",IF(J534&lt;&gt;"","?FAMILIAR",IF(F534="NEW",IF(ISNA(VLOOKUP(E534,#REF!,1,FALSE())),"?TYPE_IDENTIFIABLE","?REFERENTIAL"),"_")))))</f>
        <v> </v>
      </c>
      <c r="H534" s="24" t="str">
        <f>IF(J534&lt;&gt;1,"",IF(I534="SBJ","CB","?"))</f>
        <v> </v>
      </c>
      <c r="I534" s="25" t="str">
        <f>IF(OR(E534="",E534="!!!",F534="NEW"),"",INDEX(B533:B$2,-1+SUMPRODUCT(MAX(ROW(E533:E$2)*(E534=E533:E$2)))))</f>
        <v> </v>
      </c>
      <c r="J534" s="25" t="str">
        <f>IF(OR(E534="",E534="!!!",F534="NEW"),"",COUNTBLANK(OFFSET(A$1,,,SUMPRODUCT(MAX(ROW(E$2:E534)*(E534=E$2:E534)))))-COUNTBLANK(OFFSET(A$1,,,SUMPRODUCT(MAX(ROW(E$1:E533)*(E2=E$1:E533))))))</f>
        <v> </v>
      </c>
      <c r="K534" s="25" t="str">
        <f>IF(OR(E534="",E534="!!!",F534="NEW"),"",INDEX(J$1:J533,SUMPRODUCT(MAX(ROW(E$1:E533)*(E534=E$1:E533)))))</f>
        <v> </v>
      </c>
      <c r="L534" s="26"/>
    </row>
    <row r="535" spans="1:12">
      <c r="A535" s="20" t="s">
        <v>261</v>
      </c>
      <c r="B535" s="27" t="s">
        <v>286</v>
      </c>
      <c r="C535" s="27" t="s">
        <v>257</v>
      </c>
      <c r="D535" s="27" t="s">
        <v>258</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499</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t="s">
        <v>375</v>
      </c>
      <c r="E537" s="21">
        <f>IF(D537="?OLD","!!!","")</f>
        <v/>
      </c>
      <c r="F537" s="22" t="str">
        <f>IF(OR(E537="",E537="!!!"),"",IF(NOT(ISNA(VLOOKUP(E537,E$1:E536,1,FALSE()))),"OLD",IF(AND(E537&lt;&gt;"",E537&lt;&gt;"!!!"),"NEW","")))</f>
        <v> </v>
      </c>
      <c r="G537" s="23" t="str">
        <f>IF(OR(E537="",E537="!!!"),"",IF(OR(J537=0,AND(J537=1,K537=1),AND(J537=1,I537="SBJ"),AND(J537=1,I537=0)),"?IN_FOCUS",IF(J537&lt;=2,"?ACTIVATED",IF(J537&lt;&gt;"","?FAMILIAR",IF(F537="NEW",IF(ISNA(VLOOKUP(E537,#REF!,1,FALSE())),"?TYPE_IDENTIFIABLE","?REFERENTIAL"),"_")))))</f>
        <v> </v>
      </c>
      <c r="H537" s="24" t="str">
        <f>IF(J537&lt;&gt;1,"",IF(I537="SBJ","CB","?"))</f>
        <v> </v>
      </c>
      <c r="I537" s="25" t="str">
        <f>IF(OR(E537="",E537="!!!",F537="NEW"),"",INDEX(B536:B$2,-1+SUMPRODUCT(MAX(ROW(E536:E$2)*(E537=E536:E$2)))))</f>
        <v> </v>
      </c>
      <c r="J537" s="25" t="str">
        <f>IF(OR(E537="",E537="!!!",F537="NEW"),"",COUNTBLANK(OFFSET(A$1,,,SUMPRODUCT(MAX(ROW(E$2:E537)*(E537=E$2:E537)))))-COUNTBLANK(OFFSET(A$1,,,SUMPRODUCT(MAX(ROW(E$1:E536)*(E2=E$1:E536))))))</f>
        <v> </v>
      </c>
      <c r="K537" s="25" t="str">
        <f>IF(OR(E537="",E537="!!!",F537="NEW"),"",INDEX(J$1:J536,SUMPRODUCT(MAX(ROW(E$1:E536)*(E537=E$1:E536)))))</f>
        <v> </v>
      </c>
      <c r="L537" s="26"/>
    </row>
    <row r="538" spans="1:12">
      <c r="A538" s="20" t="s">
        <v>297</v>
      </c>
      <c r="B538" s="27" t="s">
        <v>500</v>
      </c>
      <c r="C538" s="27" t="s">
        <v>270</v>
      </c>
      <c r="E538" s="21">
        <f>IF(D538="?OLD","!!!","")</f>
        <v/>
      </c>
      <c r="F538" s="22" t="str">
        <f>IF(OR(E538="",E538="!!!"),"",IF(NOT(ISNA(VLOOKUP(E538,E$1:E537,1,FALSE()))),"OLD",IF(AND(E538&lt;&gt;"",E538&lt;&gt;"!!!"),"NEW","")))</f>
        <v> </v>
      </c>
      <c r="G538" s="23" t="str">
        <f>IF(OR(E538="",E538="!!!"),"",IF(OR(J538=0,AND(J538=1,K538=1),AND(J538=1,I538="SBJ"),AND(J538=1,I538=0)),"?IN_FOCUS",IF(J538&lt;=2,"?ACTIVATED",IF(J538&lt;&gt;"","?FAMILIAR",IF(F538="NEW",IF(ISNA(VLOOKUP(E538,#REF!,1,FALSE())),"?TYPE_IDENTIFIABLE","?REFERENTIAL"),"_")))))</f>
        <v> </v>
      </c>
      <c r="H538" s="24" t="str">
        <f>IF(J538&lt;&gt;1,"",IF(I538="SBJ","CB","?"))</f>
        <v> </v>
      </c>
      <c r="I538" s="25" t="str">
        <f>IF(OR(E538="",E538="!!!",F538="NEW"),"",INDEX(B537:B$2,-1+SUMPRODUCT(MAX(ROW(E537:E$2)*(E538=E537:E$2)))))</f>
        <v> </v>
      </c>
      <c r="J538" s="25" t="str">
        <f>IF(OR(E538="",E538="!!!",F538="NEW"),"",COUNTBLANK(OFFSET(A$1,,,SUMPRODUCT(MAX(ROW(E$2:E538)*(E538=E$2:E538)))))-COUNTBLANK(OFFSET(A$1,,,SUMPRODUCT(MAX(ROW(E$1:E537)*(E2=E$1:E537))))))</f>
        <v> </v>
      </c>
      <c r="K538" s="25" t="str">
        <f>IF(OR(E538="",E538="!!!",F538="NEW"),"",INDEX(J$1:J537,SUMPRODUCT(MAX(ROW(E$1:E537)*(E538=E$1:E537)))))</f>
        <v> </v>
      </c>
      <c r="L538" s="26"/>
    </row>
    <row r="539" spans="1:12">
      <c r="A539" s="20" t="s">
        <v>416</v>
      </c>
      <c r="E539" s="21">
        <f>IF(D539="?OLD","!!!","")</f>
        <v/>
      </c>
      <c r="F539" s="22" t="str">
        <f>IF(OR(E539="",E539="!!!"),"",IF(NOT(ISNA(VLOOKUP(E539,E$1:E538,1,FALSE()))),"OLD",IF(AND(E539&lt;&gt;"",E539&lt;&gt;"!!!"),"NEW","")))</f>
        <v> </v>
      </c>
      <c r="G539" s="23" t="str">
        <f>IF(OR(E539="",E539="!!!"),"",IF(OR(J539=0,AND(J539=1,K539=1),AND(J539=1,I539="SBJ"),AND(J539=1,I539=0)),"?IN_FOCUS",IF(J539&lt;=2,"?ACTIVATED",IF(J539&lt;&gt;"","?FAMILIAR",IF(F539="NEW",IF(ISNA(VLOOKUP(E539,#REF!,1,FALSE())),"?TYPE_IDENTIFIABLE","?REFERENTIAL"),"_")))))</f>
        <v> </v>
      </c>
      <c r="H539" s="24" t="str">
        <f>IF(J539&lt;&gt;1,"",IF(I539="SBJ","CB","?"))</f>
        <v> </v>
      </c>
      <c r="I539" s="25" t="str">
        <f>IF(OR(E539="",E539="!!!",F539="NEW"),"",INDEX(B538:B$2,-1+SUMPRODUCT(MAX(ROW(E538:E$2)*(E539=E538:E$2)))))</f>
        <v> </v>
      </c>
      <c r="J539" s="25" t="str">
        <f>IF(OR(E539="",E539="!!!",F539="NEW"),"",COUNTBLANK(OFFSET(A$1,,,SUMPRODUCT(MAX(ROW(E$2:E539)*(E539=E$2:E539)))))-COUNTBLANK(OFFSET(A$1,,,SUMPRODUCT(MAX(ROW(E$1:E538)*(E2=E$1:E538))))))</f>
        <v> </v>
      </c>
      <c r="K539" s="25" t="str">
        <f>IF(OR(E539="",E539="!!!",F539="NEW"),"",INDEX(J$1:J538,SUMPRODUCT(MAX(ROW(E$1:E538)*(E539=E$1:E538)))))</f>
        <v> </v>
      </c>
      <c r="L539" s="26"/>
    </row>
    <row r="540" spans="1:12">
      <c r="A540" s="20" t="s">
        <v>417</v>
      </c>
      <c r="B540" s="27" t="s">
        <v>291</v>
      </c>
      <c r="C540" s="27" t="s">
        <v>341</v>
      </c>
      <c r="D540" s="27" t="s">
        <v>258</v>
      </c>
      <c r="E540" s="21">
        <f>IF(D540="?OLD","!!!","")</f>
        <v/>
      </c>
      <c r="F540" s="22" t="str">
        <f>IF(OR(E540="",E540="!!!"),"",IF(NOT(ISNA(VLOOKUP(E540,E$1:E539,1,FALSE()))),"OLD",IF(AND(E540&lt;&gt;"",E540&lt;&gt;"!!!"),"NEW","")))</f>
        <v> </v>
      </c>
      <c r="G540" s="23" t="str">
        <f>IF(OR(E540="",E540="!!!"),"",IF(OR(J540=0,AND(J540=1,K540=1),AND(J540=1,I540="SBJ"),AND(J540=1,I540=0)),"?IN_FOCUS",IF(J540&lt;=2,"?ACTIVATED",IF(J540&lt;&gt;"","?FAMILIAR",IF(F540="NEW",IF(ISNA(VLOOKUP(E540,#REF!,1,FALSE())),"?TYPE_IDENTIFIABLE","?REFERENTIAL"),"_")))))</f>
        <v> </v>
      </c>
      <c r="H540" s="24" t="str">
        <f>IF(J540&lt;&gt;1,"",IF(I540="SBJ","CB","?"))</f>
        <v> </v>
      </c>
      <c r="I540" s="25" t="str">
        <f>IF(OR(E540="",E540="!!!",F540="NEW"),"",INDEX(B539:B$2,-1+SUMPRODUCT(MAX(ROW(E539:E$2)*(E540=E539:E$2)))))</f>
        <v> </v>
      </c>
      <c r="J540" s="25" t="str">
        <f>IF(OR(E540="",E540="!!!",F540="NEW"),"",COUNTBLANK(OFFSET(A$1,,,SUMPRODUCT(MAX(ROW(E$2:E540)*(E540=E$2:E540)))))-COUNTBLANK(OFFSET(A$1,,,SUMPRODUCT(MAX(ROW(E$1:E539)*(E2=E$1:E539))))))</f>
        <v> </v>
      </c>
      <c r="K540" s="25" t="str">
        <f>IF(OR(E540="",E540="!!!",F540="NEW"),"",INDEX(J$1:J539,SUMPRODUCT(MAX(ROW(E$1:E539)*(E540=E$1:E539)))))</f>
        <v> </v>
      </c>
      <c r="L540" s="26"/>
    </row>
    <row r="541" spans="1:12">
      <c r="A541" s="20" t="s">
        <v>16</v>
      </c>
      <c r="E541" s="21">
        <f>IF(D541="?OLD","!!!","")</f>
        <v/>
      </c>
      <c r="F541" s="22" t="str">
        <f>IF(OR(E541="",E541="!!!"),"",IF(NOT(ISNA(VLOOKUP(E541,E$1:E540,1,FALSE()))),"OLD",IF(AND(E541&lt;&gt;"",E541&lt;&gt;"!!!"),"NEW","")))</f>
        <v> </v>
      </c>
      <c r="G541" s="23" t="str">
        <f>IF(OR(E541="",E541="!!!"),"",IF(OR(J541=0,AND(J541=1,K541=1),AND(J541=1,I541="SBJ"),AND(J541=1,I541=0)),"?IN_FOCUS",IF(J541&lt;=2,"?ACTIVATED",IF(J541&lt;&gt;"","?FAMILIAR",IF(F541="NEW",IF(ISNA(VLOOKUP(E541,#REF!,1,FALSE())),"?TYPE_IDENTIFIABLE","?REFERENTIAL"),"_")))))</f>
        <v> </v>
      </c>
      <c r="H541" s="24" t="str">
        <f>IF(J541&lt;&gt;1,"",IF(I541="SBJ","CB","?"))</f>
        <v> </v>
      </c>
      <c r="I541" s="25" t="str">
        <f>IF(OR(E541="",E541="!!!",F541="NEW"),"",INDEX(B540:B$2,-1+SUMPRODUCT(MAX(ROW(E540:E$2)*(E541=E540:E$2)))))</f>
        <v> </v>
      </c>
      <c r="J541" s="25" t="str">
        <f>IF(OR(E541="",E541="!!!",F541="NEW"),"",COUNTBLANK(OFFSET(A$1,,,SUMPRODUCT(MAX(ROW(E$2:E541)*(E541=E$2:E541)))))-COUNTBLANK(OFFSET(A$1,,,SUMPRODUCT(MAX(ROW(E$1:E540)*(E2=E$1:E540))))))</f>
        <v> </v>
      </c>
      <c r="K541" s="25" t="str">
        <f>IF(OR(E541="",E541="!!!",F541="NEW"),"",INDEX(J$1:J540,SUMPRODUCT(MAX(ROW(E$1:E540)*(E541=E$1:E540)))))</f>
        <v> </v>
      </c>
      <c r="L541" s="26"/>
    </row>
    <row r="542" spans="1:12">
      <c r="A542" s="20" t="s">
        <v>501</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t="s">
        <v>502</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t="s">
        <v>271</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t="s">
        <v>503</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271</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t="s">
        <v>504</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t="s">
        <v>280</v>
      </c>
      <c r="E548" s="21">
        <f>IF(D548="?OLD","!!!","")</f>
        <v/>
      </c>
      <c r="F548" s="22" t="str">
        <f>IF(OR(E548="",E548="!!!"),"",IF(NOT(ISNA(VLOOKUP(E548,E$1:E547,1,FALSE()))),"OLD",IF(AND(E548&lt;&gt;"",E548&lt;&gt;"!!!"),"NEW","")))</f>
        <v> </v>
      </c>
      <c r="G548" s="23" t="str">
        <f>IF(OR(E548="",E548="!!!"),"",IF(OR(J548=0,AND(J548=1,K548=1),AND(J548=1,I548="SBJ"),AND(J548=1,I548=0)),"?IN_FOCUS",IF(J548&lt;=2,"?ACTIVATED",IF(J548&lt;&gt;"","?FAMILIAR",IF(F548="NEW",IF(ISNA(VLOOKUP(E548,#REF!,1,FALSE())),"?TYPE_IDENTIFIABLE","?REFERENTIAL"),"_")))))</f>
        <v> </v>
      </c>
      <c r="H548" s="24" t="str">
        <f>IF(J548&lt;&gt;1,"",IF(I548="SBJ","CB","?"))</f>
        <v> </v>
      </c>
      <c r="I548" s="25" t="str">
        <f>IF(OR(E548="",E548="!!!",F548="NEW"),"",INDEX(B547:B$2,-1+SUMPRODUCT(MAX(ROW(E547:E$2)*(E548=E547:E$2)))))</f>
        <v> </v>
      </c>
      <c r="J548" s="25" t="str">
        <f>IF(OR(E548="",E548="!!!",F548="NEW"),"",COUNTBLANK(OFFSET(A$1,,,SUMPRODUCT(MAX(ROW(E$2:E548)*(E548=E$2:E548)))))-COUNTBLANK(OFFSET(A$1,,,SUMPRODUCT(MAX(ROW(E$1:E547)*(E2=E$1:E547))))))</f>
        <v> </v>
      </c>
      <c r="K548" s="25" t="str">
        <f>IF(OR(E548="",E548="!!!",F548="NEW"),"",INDEX(J$1:J547,SUMPRODUCT(MAX(ROW(E$1:E547)*(E548=E$1:E547)))))</f>
        <v> </v>
      </c>
      <c r="L548" s="26"/>
    </row>
    <row r="549" spans="1:12">
      <c r="A549" s="20" t="s">
        <v>271</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t="s">
        <v>504</v>
      </c>
      <c r="E550" s="21">
        <f>IF(D550="?OLD","!!!","")</f>
        <v/>
      </c>
      <c r="F550" s="22" t="str">
        <f>IF(OR(E550="",E550="!!!"),"",IF(NOT(ISNA(VLOOKUP(E550,E$1:E549,1,FALSE()))),"OLD",IF(AND(E550&lt;&gt;"",E550&lt;&gt;"!!!"),"NEW","")))</f>
        <v> </v>
      </c>
      <c r="G550" s="23" t="str">
        <f>IF(OR(E550="",E550="!!!"),"",IF(OR(J550=0,AND(J550=1,K550=1),AND(J550=1,I550="SBJ"),AND(J550=1,I550=0)),"?IN_FOCUS",IF(J550&lt;=2,"?ACTIVATED",IF(J550&lt;&gt;"","?FAMILIAR",IF(F550="NEW",IF(ISNA(VLOOKUP(E550,#REF!,1,FALSE())),"?TYPE_IDENTIFIABLE","?REFERENTIAL"),"_")))))</f>
        <v> </v>
      </c>
      <c r="H550" s="24" t="str">
        <f>IF(J550&lt;&gt;1,"",IF(I550="SBJ","CB","?"))</f>
        <v> </v>
      </c>
      <c r="I550" s="25" t="str">
        <f>IF(OR(E550="",E550="!!!",F550="NEW"),"",INDEX(B549:B$2,-1+SUMPRODUCT(MAX(ROW(E549:E$2)*(E550=E549:E$2)))))</f>
        <v> </v>
      </c>
      <c r="J550" s="25" t="str">
        <f>IF(OR(E550="",E550="!!!",F550="NEW"),"",COUNTBLANK(OFFSET(A$1,,,SUMPRODUCT(MAX(ROW(E$2:E550)*(E550=E$2:E550)))))-COUNTBLANK(OFFSET(A$1,,,SUMPRODUCT(MAX(ROW(E$1:E549)*(E2=E$1:E549))))))</f>
        <v> </v>
      </c>
      <c r="K550" s="25" t="str">
        <f>IF(OR(E550="",E550="!!!",F550="NEW"),"",INDEX(J$1:J549,SUMPRODUCT(MAX(ROW(E$1:E549)*(E550=E$1:E549)))))</f>
        <v> </v>
      </c>
      <c r="L550" s="26"/>
    </row>
    <row r="551" spans="1:12">
      <c r="A551" s="20" t="s">
        <v>382</v>
      </c>
      <c r="E551" s="21">
        <f>IF(D551="?OLD","!!!","")</f>
        <v/>
      </c>
      <c r="F551" s="22" t="str">
        <f>IF(OR(E551="",E551="!!!"),"",IF(NOT(ISNA(VLOOKUP(E551,E$1:E550,1,FALSE()))),"OLD",IF(AND(E551&lt;&gt;"",E551&lt;&gt;"!!!"),"NEW","")))</f>
        <v> </v>
      </c>
      <c r="G551" s="23" t="str">
        <f>IF(OR(E551="",E551="!!!"),"",IF(OR(J551=0,AND(J551=1,K551=1),AND(J551=1,I551="SBJ"),AND(J551=1,I551=0)),"?IN_FOCUS",IF(J551&lt;=2,"?ACTIVATED",IF(J551&lt;&gt;"","?FAMILIAR",IF(F551="NEW",IF(ISNA(VLOOKUP(E551,#REF!,1,FALSE())),"?TYPE_IDENTIFIABLE","?REFERENTIAL"),"_")))))</f>
        <v> </v>
      </c>
      <c r="H551" s="24" t="str">
        <f>IF(J551&lt;&gt;1,"",IF(I551="SBJ","CB","?"))</f>
        <v> </v>
      </c>
      <c r="I551" s="25" t="str">
        <f>IF(OR(E551="",E551="!!!",F551="NEW"),"",INDEX(B550:B$2,-1+SUMPRODUCT(MAX(ROW(E550:E$2)*(E551=E550:E$2)))))</f>
        <v> </v>
      </c>
      <c r="J551" s="25" t="str">
        <f>IF(OR(E551="",E551="!!!",F551="NEW"),"",COUNTBLANK(OFFSET(A$1,,,SUMPRODUCT(MAX(ROW(E$2:E551)*(E551=E$2:E551)))))-COUNTBLANK(OFFSET(A$1,,,SUMPRODUCT(MAX(ROW(E$1:E550)*(E2=E$1:E550))))))</f>
        <v> </v>
      </c>
      <c r="K551" s="25" t="str">
        <f>IF(OR(E551="",E551="!!!",F551="NEW"),"",INDEX(J$1:J550,SUMPRODUCT(MAX(ROW(E$1:E550)*(E551=E$1:E550)))))</f>
        <v> </v>
      </c>
      <c r="L551" s="26"/>
    </row>
    <row r="552" spans="1:12">
      <c r="A552" s="20" t="s">
        <v>16</v>
      </c>
      <c r="E552" s="21">
        <f>IF(D552="?OLD","!!!","")</f>
        <v/>
      </c>
      <c r="F552" s="22" t="str">
        <f>IF(OR(E552="",E552="!!!"),"",IF(NOT(ISNA(VLOOKUP(E552,E$1:E551,1,FALSE()))),"OLD",IF(AND(E552&lt;&gt;"",E552&lt;&gt;"!!!"),"NEW","")))</f>
        <v> </v>
      </c>
      <c r="G552" s="23" t="str">
        <f>IF(OR(E552="",E552="!!!"),"",IF(OR(J552=0,AND(J552=1,K552=1),AND(J552=1,I552="SBJ"),AND(J552=1,I552=0)),"?IN_FOCUS",IF(J552&lt;=2,"?ACTIVATED",IF(J552&lt;&gt;"","?FAMILIAR",IF(F552="NEW",IF(ISNA(VLOOKUP(E552,#REF!,1,FALSE())),"?TYPE_IDENTIFIABLE","?REFERENTIAL"),"_")))))</f>
        <v> </v>
      </c>
      <c r="H552" s="24" t="str">
        <f>IF(J552&lt;&gt;1,"",IF(I552="SBJ","CB","?"))</f>
        <v> </v>
      </c>
      <c r="I552" s="25" t="str">
        <f>IF(OR(E552="",E552="!!!",F552="NEW"),"",INDEX(B551:B$2,-1+SUMPRODUCT(MAX(ROW(E551:E$2)*(E552=E551:E$2)))))</f>
        <v> </v>
      </c>
      <c r="J552" s="25" t="str">
        <f>IF(OR(E552="",E552="!!!",F552="NEW"),"",COUNTBLANK(OFFSET(A$1,,,SUMPRODUCT(MAX(ROW(E$2:E552)*(E552=E$2:E552)))))-COUNTBLANK(OFFSET(A$1,,,SUMPRODUCT(MAX(ROW(E$1:E551)*(E2=E$1:E551))))))</f>
        <v> </v>
      </c>
      <c r="K552" s="25" t="str">
        <f>IF(OR(E552="",E552="!!!",F552="NEW"),"",INDEX(J$1:J551,SUMPRODUCT(MAX(ROW(E$1:E551)*(E552=E$1:E551)))))</f>
        <v> </v>
      </c>
      <c r="L552" s="26"/>
    </row>
    <row r="553" spans="1:12">
      <c r="A553" s="20" t="s">
        <v>261</v>
      </c>
      <c r="B553" s="27" t="s">
        <v>505</v>
      </c>
      <c r="C553" s="27" t="s">
        <v>257</v>
      </c>
      <c r="D553" s="27" t="s">
        <v>258</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t="s">
        <v>324</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394</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t="s">
        <v>506</v>
      </c>
      <c r="E556" s="21">
        <f>IF(D556="?OLD","!!!","")</f>
        <v/>
      </c>
      <c r="F556" s="22" t="str">
        <f>IF(OR(E556="",E556="!!!"),"",IF(NOT(ISNA(VLOOKUP(E556,E$1:E555,1,FALSE()))),"OLD",IF(AND(E556&lt;&gt;"",E556&lt;&gt;"!!!"),"NEW","")))</f>
        <v> </v>
      </c>
      <c r="G556" s="23" t="str">
        <f>IF(OR(E556="",E556="!!!"),"",IF(OR(J556=0,AND(J556=1,K556=1),AND(J556=1,I556="SBJ"),AND(J556=1,I556=0)),"?IN_FOCUS",IF(J556&lt;=2,"?ACTIVATED",IF(J556&lt;&gt;"","?FAMILIAR",IF(F556="NEW",IF(ISNA(VLOOKUP(E556,#REF!,1,FALSE())),"?TYPE_IDENTIFIABLE","?REFERENTIAL"),"_")))))</f>
        <v> </v>
      </c>
      <c r="H556" s="24" t="str">
        <f>IF(J556&lt;&gt;1,"",IF(I556="SBJ","CB","?"))</f>
        <v> </v>
      </c>
      <c r="I556" s="25" t="str">
        <f>IF(OR(E556="",E556="!!!",F556="NEW"),"",INDEX(B555:B$2,-1+SUMPRODUCT(MAX(ROW(E555:E$2)*(E556=E555:E$2)))))</f>
        <v> </v>
      </c>
      <c r="J556" s="25" t="str">
        <f>IF(OR(E556="",E556="!!!",F556="NEW"),"",COUNTBLANK(OFFSET(A$1,,,SUMPRODUCT(MAX(ROW(E$2:E556)*(E556=E$2:E556)))))-COUNTBLANK(OFFSET(A$1,,,SUMPRODUCT(MAX(ROW(E$1:E555)*(E2=E$1:E555))))))</f>
        <v> </v>
      </c>
      <c r="K556" s="25" t="str">
        <f>IF(OR(E556="",E556="!!!",F556="NEW"),"",INDEX(J$1:J555,SUMPRODUCT(MAX(ROW(E$1:E555)*(E556=E$1:E555)))))</f>
        <v> </v>
      </c>
      <c r="L556" s="26"/>
    </row>
    <row r="557" spans="1:12">
      <c r="A557" s="20" t="s">
        <v>271</v>
      </c>
      <c r="E557" s="21">
        <f>IF(D557="?OLD","!!!","")</f>
        <v/>
      </c>
      <c r="F557" s="22" t="str">
        <f>IF(OR(E557="",E557="!!!"),"",IF(NOT(ISNA(VLOOKUP(E557,E$1:E556,1,FALSE()))),"OLD",IF(AND(E557&lt;&gt;"",E557&lt;&gt;"!!!"),"NEW","")))</f>
        <v> </v>
      </c>
      <c r="G557" s="23" t="str">
        <f>IF(OR(E557="",E557="!!!"),"",IF(OR(J557=0,AND(J557=1,K557=1),AND(J557=1,I557="SBJ"),AND(J557=1,I557=0)),"?IN_FOCUS",IF(J557&lt;=2,"?ACTIVATED",IF(J557&lt;&gt;"","?FAMILIAR",IF(F557="NEW",IF(ISNA(VLOOKUP(E557,#REF!,1,FALSE())),"?TYPE_IDENTIFIABLE","?REFERENTIAL"),"_")))))</f>
        <v> </v>
      </c>
      <c r="H557" s="24" t="str">
        <f>IF(J557&lt;&gt;1,"",IF(I557="SBJ","CB","?"))</f>
        <v> </v>
      </c>
      <c r="I557" s="25" t="str">
        <f>IF(OR(E557="",E557="!!!",F557="NEW"),"",INDEX(B556:B$2,-1+SUMPRODUCT(MAX(ROW(E556:E$2)*(E557=E556:E$2)))))</f>
        <v> </v>
      </c>
      <c r="J557" s="25" t="str">
        <f>IF(OR(E557="",E557="!!!",F557="NEW"),"",COUNTBLANK(OFFSET(A$1,,,SUMPRODUCT(MAX(ROW(E$2:E557)*(E557=E$2:E557)))))-COUNTBLANK(OFFSET(A$1,,,SUMPRODUCT(MAX(ROW(E$1:E556)*(E2=E$1:E556))))))</f>
        <v> </v>
      </c>
      <c r="K557" s="25" t="str">
        <f>IF(OR(E557="",E557="!!!",F557="NEW"),"",INDEX(J$1:J556,SUMPRODUCT(MAX(ROW(E$1:E556)*(E557=E$1:E556)))))</f>
        <v> </v>
      </c>
      <c r="L557" s="26"/>
    </row>
    <row r="558" spans="1:12">
      <c r="A558" s="20" t="s">
        <v>261</v>
      </c>
      <c r="B558" s="27" t="s">
        <v>307</v>
      </c>
      <c r="C558" s="27" t="s">
        <v>257</v>
      </c>
      <c r="D558" s="27" t="s">
        <v>258</v>
      </c>
      <c r="E558" s="21">
        <f>IF(D558="?OLD","!!!","")</f>
        <v/>
      </c>
      <c r="F558" s="22" t="str">
        <f>IF(OR(E558="",E558="!!!"),"",IF(NOT(ISNA(VLOOKUP(E558,E$1:E557,1,FALSE()))),"OLD",IF(AND(E558&lt;&gt;"",E558&lt;&gt;"!!!"),"NEW","")))</f>
        <v> </v>
      </c>
      <c r="G558" s="23" t="str">
        <f>IF(OR(E558="",E558="!!!"),"",IF(OR(J558=0,AND(J558=1,K558=1),AND(J558=1,I558="SBJ"),AND(J558=1,I558=0)),"?IN_FOCUS",IF(J558&lt;=2,"?ACTIVATED",IF(J558&lt;&gt;"","?FAMILIAR",IF(F558="NEW",IF(ISNA(VLOOKUP(E558,#REF!,1,FALSE())),"?TYPE_IDENTIFIABLE","?REFERENTIAL"),"_")))))</f>
        <v> </v>
      </c>
      <c r="H558" s="24" t="str">
        <f>IF(J558&lt;&gt;1,"",IF(I558="SBJ","CB","?"))</f>
        <v> </v>
      </c>
      <c r="I558" s="25" t="str">
        <f>IF(OR(E558="",E558="!!!",F558="NEW"),"",INDEX(B557:B$2,-1+SUMPRODUCT(MAX(ROW(E557:E$2)*(E558=E557:E$2)))))</f>
        <v> </v>
      </c>
      <c r="J558" s="25" t="str">
        <f>IF(OR(E558="",E558="!!!",F558="NEW"),"",COUNTBLANK(OFFSET(A$1,,,SUMPRODUCT(MAX(ROW(E$2:E558)*(E558=E$2:E558)))))-COUNTBLANK(OFFSET(A$1,,,SUMPRODUCT(MAX(ROW(E$1:E557)*(E2=E$1:E557))))))</f>
        <v> </v>
      </c>
      <c r="K558" s="25" t="str">
        <f>IF(OR(E558="",E558="!!!",F558="NEW"),"",INDEX(J$1:J557,SUMPRODUCT(MAX(ROW(E$1:E557)*(E558=E$1:E557)))))</f>
        <v> </v>
      </c>
      <c r="L558" s="26"/>
    </row>
    <row r="559" spans="1:12">
      <c r="A559" s="20" t="s">
        <v>324</v>
      </c>
      <c r="E559" s="21">
        <f>IF(D559="?OLD","!!!","")</f>
        <v/>
      </c>
      <c r="F559" s="22" t="str">
        <f>IF(OR(E559="",E559="!!!"),"",IF(NOT(ISNA(VLOOKUP(E559,E$1:E558,1,FALSE()))),"OLD",IF(AND(E559&lt;&gt;"",E559&lt;&gt;"!!!"),"NEW","")))</f>
        <v> </v>
      </c>
      <c r="G559" s="23" t="str">
        <f>IF(OR(E559="",E559="!!!"),"",IF(OR(J559=0,AND(J559=1,K559=1),AND(J559=1,I559="SBJ"),AND(J559=1,I559=0)),"?IN_FOCUS",IF(J559&lt;=2,"?ACTIVATED",IF(J559&lt;&gt;"","?FAMILIAR",IF(F559="NEW",IF(ISNA(VLOOKUP(E559,#REF!,1,FALSE())),"?TYPE_IDENTIFIABLE","?REFERENTIAL"),"_")))))</f>
        <v> </v>
      </c>
      <c r="H559" s="24" t="str">
        <f>IF(J559&lt;&gt;1,"",IF(I559="SBJ","CB","?"))</f>
        <v> </v>
      </c>
      <c r="I559" s="25" t="str">
        <f>IF(OR(E559="",E559="!!!",F559="NEW"),"",INDEX(B558:B$2,-1+SUMPRODUCT(MAX(ROW(E558:E$2)*(E559=E558:E$2)))))</f>
        <v> </v>
      </c>
      <c r="J559" s="25" t="str">
        <f>IF(OR(E559="",E559="!!!",F559="NEW"),"",COUNTBLANK(OFFSET(A$1,,,SUMPRODUCT(MAX(ROW(E$2:E559)*(E559=E$2:E559)))))-COUNTBLANK(OFFSET(A$1,,,SUMPRODUCT(MAX(ROW(E$1:E558)*(E2=E$1:E558))))))</f>
        <v> </v>
      </c>
      <c r="K559" s="25" t="str">
        <f>IF(OR(E559="",E559="!!!",F559="NEW"),"",INDEX(J$1:J558,SUMPRODUCT(MAX(ROW(E$1:E558)*(E559=E$1:E558)))))</f>
        <v> </v>
      </c>
      <c r="L559" s="26"/>
    </row>
    <row r="560" spans="1:12">
      <c r="A560" s="20" t="s">
        <v>394</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t="s">
        <v>507</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320</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row>
    <row r="564" spans="1:12">
      <c r="A564" s="20" t="s">
        <v>508</v>
      </c>
    </row>
    <row r="565" spans="1:12">
      <c r="A565" s="20" t="s">
        <v>445</v>
      </c>
      <c r="B565" s="27" t="s">
        <v>276</v>
      </c>
      <c r="C565" s="27" t="s">
        <v>257</v>
      </c>
      <c r="D565" s="27" t="s">
        <v>258</v>
      </c>
      <c r="E565" s="21">
        <f>IF(D565="?OLD","!!!","")</f>
        <v/>
      </c>
      <c r="F565" s="22" t="str">
        <f>IF(OR(E565="",E565="!!!"),"",IF(NOT(ISNA(VLOOKUP(E565,E$1:E564,1,FALSE()))),"OLD",IF(AND(E565&lt;&gt;"",E565&lt;&gt;"!!!"),"NEW","")))</f>
        <v> </v>
      </c>
      <c r="G565" s="23" t="str">
        <f>IF(OR(E565="",E565="!!!"),"",IF(OR(J565=0,AND(J565=1,K565=1),AND(J565=1,I565="SBJ"),AND(J565=1,I565=0)),"?IN_FOCUS",IF(J565&lt;=2,"?ACTIVATED",IF(J565&lt;&gt;"","?FAMILIAR",IF(F565="NEW",IF(ISNA(VLOOKUP(E565,#REF!,1,FALSE())),"?TYPE_IDENTIFIABLE","?REFERENTIAL"),"_")))))</f>
        <v> </v>
      </c>
      <c r="H565" s="24" t="str">
        <f>IF(J565&lt;&gt;1,"",IF(I565="SBJ","CB","?"))</f>
        <v> </v>
      </c>
      <c r="I565" s="25" t="str">
        <f>IF(OR(E565="",E565="!!!",F565="NEW"),"",INDEX(B564:B$2,-1+SUMPRODUCT(MAX(ROW(E564:E$2)*(E565=E564:E$2)))))</f>
        <v> </v>
      </c>
      <c r="J565" s="25" t="str">
        <f>IF(OR(E565="",E565="!!!",F565="NEW"),"",COUNTBLANK(OFFSET(A$1,,,SUMPRODUCT(MAX(ROW(E$2:E565)*(E565=E$2:E565)))))-COUNTBLANK(OFFSET(A$1,,,SUMPRODUCT(MAX(ROW(E$1:E564)*(E2=E$1:E564))))))</f>
        <v> </v>
      </c>
      <c r="K565" s="25" t="str">
        <f>IF(OR(E565="",E565="!!!",F565="NEW"),"",INDEX(J$1:J564,SUMPRODUCT(MAX(ROW(E$1:E564)*(E565=E$1:E564)))))</f>
        <v> </v>
      </c>
      <c r="L565" s="26"/>
    </row>
    <row r="566" spans="1:12">
      <c r="A566" s="20" t="s">
        <v>324</v>
      </c>
      <c r="E566" s="21">
        <f>IF(D566="?OLD","!!!","")</f>
        <v/>
      </c>
      <c r="F566" s="22" t="str">
        <f>IF(OR(E566="",E566="!!!"),"",IF(NOT(ISNA(VLOOKUP(E566,E$1:E565,1,FALSE()))),"OLD",IF(AND(E566&lt;&gt;"",E566&lt;&gt;"!!!"),"NEW","")))</f>
        <v> </v>
      </c>
      <c r="G566" s="23" t="str">
        <f>IF(OR(E566="",E566="!!!"),"",IF(OR(J566=0,AND(J566=1,K566=1),AND(J566=1,I566="SBJ"),AND(J566=1,I566=0)),"?IN_FOCUS",IF(J566&lt;=2,"?ACTIVATED",IF(J566&lt;&gt;"","?FAMILIAR",IF(F566="NEW",IF(ISNA(VLOOKUP(E566,#REF!,1,FALSE())),"?TYPE_IDENTIFIABLE","?REFERENTIAL"),"_")))))</f>
        <v> </v>
      </c>
      <c r="H566" s="24" t="str">
        <f>IF(J566&lt;&gt;1,"",IF(I566="SBJ","CB","?"))</f>
        <v> </v>
      </c>
      <c r="I566" s="25" t="str">
        <f>IF(OR(E566="",E566="!!!",F566="NEW"),"",INDEX(B565:B$2,-1+SUMPRODUCT(MAX(ROW(E565:E$2)*(E566=E565:E$2)))))</f>
        <v> </v>
      </c>
      <c r="J566" s="25" t="str">
        <f>IF(OR(E566="",E566="!!!",F566="NEW"),"",COUNTBLANK(OFFSET(A$1,,,SUMPRODUCT(MAX(ROW(E$2:E566)*(E566=E$2:E566)))))-COUNTBLANK(OFFSET(A$1,,,SUMPRODUCT(MAX(ROW(E$1:E565)*(E2=E$1:E565))))))</f>
        <v> </v>
      </c>
      <c r="K566" s="25" t="str">
        <f>IF(OR(E566="",E566="!!!",F566="NEW"),"",INDEX(J$1:J565,SUMPRODUCT(MAX(ROW(E$1:E565)*(E566=E$1:E565)))))</f>
        <v> </v>
      </c>
      <c r="L566" s="26"/>
    </row>
    <row r="567" spans="1:12">
      <c r="A567" s="20" t="s">
        <v>509</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t="s">
        <v>510</v>
      </c>
      <c r="B568" s="27" t="s">
        <v>401</v>
      </c>
      <c r="C568" s="27" t="s">
        <v>511</v>
      </c>
      <c r="D568" s="27" t="s">
        <v>258</v>
      </c>
      <c r="E568" s="21">
        <f>IF(D568="?OLD","!!!","")</f>
        <v/>
      </c>
      <c r="F568" s="22" t="str">
        <f>IF(OR(E568="",E568="!!!"),"",IF(NOT(ISNA(VLOOKUP(E568,E$1:E567,1,FALSE()))),"OLD",IF(AND(E568&lt;&gt;"",E568&lt;&gt;"!!!"),"NEW","")))</f>
        <v> </v>
      </c>
      <c r="G568" s="23" t="str">
        <f>IF(OR(E568="",E568="!!!"),"",IF(OR(J568=0,AND(J568=1,K568=1),AND(J568=1,I568="SBJ"),AND(J568=1,I568=0)),"?IN_FOCUS",IF(J568&lt;=2,"?ACTIVATED",IF(J568&lt;&gt;"","?FAMILIAR",IF(F568="NEW",IF(ISNA(VLOOKUP(E568,#REF!,1,FALSE())),"?TYPE_IDENTIFIABLE","?REFERENTIAL"),"_")))))</f>
        <v> </v>
      </c>
      <c r="H568" s="24" t="str">
        <f>IF(J568&lt;&gt;1,"",IF(I568="SBJ","CB","?"))</f>
        <v> </v>
      </c>
      <c r="I568" s="25" t="str">
        <f>IF(OR(E568="",E568="!!!",F568="NEW"),"",INDEX(B567:B$2,-1+SUMPRODUCT(MAX(ROW(E567:E$2)*(E568=E567:E$2)))))</f>
        <v> </v>
      </c>
      <c r="J568" s="25" t="str">
        <f>IF(OR(E568="",E568="!!!",F568="NEW"),"",COUNTBLANK(OFFSET(A$1,,,SUMPRODUCT(MAX(ROW(E$2:E568)*(E568=E$2:E568)))))-COUNTBLANK(OFFSET(A$1,,,SUMPRODUCT(MAX(ROW(E$1:E567)*(E2=E$1:E567))))))</f>
        <v> </v>
      </c>
      <c r="K568" s="25" t="str">
        <f>IF(OR(E568="",E568="!!!",F568="NEW"),"",INDEX(J$1:J567,SUMPRODUCT(MAX(ROW(E$1:E567)*(E568=E$1:E567)))))</f>
        <v> </v>
      </c>
      <c r="L568" s="26"/>
    </row>
    <row r="569" spans="1:12">
      <c r="A569" s="20" t="s">
        <v>273</v>
      </c>
      <c r="B569" s="27" t="s">
        <v>323</v>
      </c>
      <c r="C569" s="27" t="s">
        <v>367</v>
      </c>
      <c r="D569" s="27" t="s">
        <v>258</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t="s">
        <v>235</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t="s">
        <v>404</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329</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t="s">
        <v>345</v>
      </c>
      <c r="E573" s="21">
        <f>IF(D573="?OLD","!!!","")</f>
        <v/>
      </c>
      <c r="F573" s="22" t="str">
        <f>IF(OR(E573="",E573="!!!"),"",IF(NOT(ISNA(VLOOKUP(E573,E$1:E572,1,FALSE()))),"OLD",IF(AND(E573&lt;&gt;"",E573&lt;&gt;"!!!"),"NEW","")))</f>
        <v> </v>
      </c>
      <c r="G573" s="23" t="str">
        <f>IF(OR(E573="",E573="!!!"),"",IF(OR(J573=0,AND(J573=1,K573=1),AND(J573=1,I573="SBJ"),AND(J573=1,I573=0)),"?IN_FOCUS",IF(J573&lt;=2,"?ACTIVATED",IF(J573&lt;&gt;"","?FAMILIAR",IF(F573="NEW",IF(ISNA(VLOOKUP(E573,#REF!,1,FALSE())),"?TYPE_IDENTIFIABLE","?REFERENTIAL"),"_")))))</f>
        <v> </v>
      </c>
      <c r="H573" s="24" t="str">
        <f>IF(J573&lt;&gt;1,"",IF(I573="SBJ","CB","?"))</f>
        <v> </v>
      </c>
      <c r="I573" s="25" t="str">
        <f>IF(OR(E573="",E573="!!!",F573="NEW"),"",INDEX(B572:B$2,-1+SUMPRODUCT(MAX(ROW(E572:E$2)*(E573=E572:E$2)))))</f>
        <v> </v>
      </c>
      <c r="J573" s="25" t="str">
        <f>IF(OR(E573="",E573="!!!",F573="NEW"),"",COUNTBLANK(OFFSET(A$1,,,SUMPRODUCT(MAX(ROW(E$2:E573)*(E573=E$2:E573)))))-COUNTBLANK(OFFSET(A$1,,,SUMPRODUCT(MAX(ROW(E$1:E572)*(E2=E$1:E572))))))</f>
        <v> </v>
      </c>
      <c r="K573" s="25" t="str">
        <f>IF(OR(E573="",E573="!!!",F573="NEW"),"",INDEX(J$1:J572,SUMPRODUCT(MAX(ROW(E$1:E572)*(E573=E$1:E572)))))</f>
        <v> </v>
      </c>
      <c r="L573" s="26"/>
    </row>
    <row r="574" spans="1:12">
      <c r="A574" s="20" t="s">
        <v>512</v>
      </c>
      <c r="B574" s="27" t="s">
        <v>328</v>
      </c>
      <c r="C574" s="27" t="s">
        <v>334</v>
      </c>
      <c r="E574" s="21">
        <f>IF(D574="?OLD","!!!","")</f>
        <v/>
      </c>
      <c r="F574" s="22" t="str">
        <f>IF(OR(E574="",E574="!!!"),"",IF(NOT(ISNA(VLOOKUP(E574,E$1:E573,1,FALSE()))),"OLD",IF(AND(E574&lt;&gt;"",E574&lt;&gt;"!!!"),"NEW","")))</f>
        <v> </v>
      </c>
      <c r="G574" s="23" t="str">
        <f>IF(OR(E574="",E574="!!!"),"",IF(OR(J574=0,AND(J574=1,K574=1),AND(J574=1,I574="SBJ"),AND(J574=1,I574=0)),"?IN_FOCUS",IF(J574&lt;=2,"?ACTIVATED",IF(J574&lt;&gt;"","?FAMILIAR",IF(F574="NEW",IF(ISNA(VLOOKUP(E574,#REF!,1,FALSE())),"?TYPE_IDENTIFIABLE","?REFERENTIAL"),"_")))))</f>
        <v> </v>
      </c>
      <c r="H574" s="24" t="str">
        <f>IF(J574&lt;&gt;1,"",IF(I574="SBJ","CB","?"))</f>
        <v> </v>
      </c>
      <c r="I574" s="25" t="str">
        <f>IF(OR(E574="",E574="!!!",F574="NEW"),"",INDEX(B573:B$2,-1+SUMPRODUCT(MAX(ROW(E573:E$2)*(E574=E573:E$2)))))</f>
        <v> </v>
      </c>
      <c r="J574" s="25" t="str">
        <f>IF(OR(E574="",E574="!!!",F574="NEW"),"",COUNTBLANK(OFFSET(A$1,,,SUMPRODUCT(MAX(ROW(E$2:E574)*(E574=E$2:E574)))))-COUNTBLANK(OFFSET(A$1,,,SUMPRODUCT(MAX(ROW(E$1:E573)*(E2=E$1:E573))))))</f>
        <v> </v>
      </c>
      <c r="K574" s="25" t="str">
        <f>IF(OR(E574="",E574="!!!",F574="NEW"),"",INDEX(J$1:J573,SUMPRODUCT(MAX(ROW(E$1:E573)*(E574=E$1:E573)))))</f>
        <v> </v>
      </c>
      <c r="L574" s="26"/>
    </row>
    <row r="575" spans="1:12">
      <c r="A575" s="20" t="s">
        <v>363</v>
      </c>
      <c r="E575" s="21">
        <f>IF(D575="?OLD","!!!","")</f>
        <v/>
      </c>
      <c r="F575" s="22" t="str">
        <f>IF(OR(E575="",E575="!!!"),"",IF(NOT(ISNA(VLOOKUP(E575,E$1:E574,1,FALSE()))),"OLD",IF(AND(E575&lt;&gt;"",E575&lt;&gt;"!!!"),"NEW","")))</f>
        <v> </v>
      </c>
      <c r="G575" s="23" t="str">
        <f>IF(OR(E575="",E575="!!!"),"",IF(OR(J575=0,AND(J575=1,K575=1),AND(J575=1,I575="SBJ"),AND(J575=1,I575=0)),"?IN_FOCUS",IF(J575&lt;=2,"?ACTIVATED",IF(J575&lt;&gt;"","?FAMILIAR",IF(F575="NEW",IF(ISNA(VLOOKUP(E575,#REF!,1,FALSE())),"?TYPE_IDENTIFIABLE","?REFERENTIAL"),"_")))))</f>
        <v> </v>
      </c>
      <c r="H575" s="24" t="str">
        <f>IF(J575&lt;&gt;1,"",IF(I575="SBJ","CB","?"))</f>
        <v> </v>
      </c>
      <c r="I575" s="25" t="str">
        <f>IF(OR(E575="",E575="!!!",F575="NEW"),"",INDEX(B574:B$2,-1+SUMPRODUCT(MAX(ROW(E574:E$2)*(E575=E574:E$2)))))</f>
        <v> </v>
      </c>
      <c r="J575" s="25" t="str">
        <f>IF(OR(E575="",E575="!!!",F575="NEW"),"",COUNTBLANK(OFFSET(A$1,,,SUMPRODUCT(MAX(ROW(E$2:E575)*(E575=E$2:E575)))))-COUNTBLANK(OFFSET(A$1,,,SUMPRODUCT(MAX(ROW(E$1:E574)*(E2=E$1:E574))))))</f>
        <v> </v>
      </c>
      <c r="K575" s="25" t="str">
        <f>IF(OR(E575="",E575="!!!",F575="NEW"),"",INDEX(J$1:J574,SUMPRODUCT(MAX(ROW(E$1:E574)*(E575=E$1:E574)))))</f>
        <v> </v>
      </c>
      <c r="L575" s="26"/>
    </row>
    <row r="576" spans="1:12">
      <c r="A576" s="20" t="s">
        <v>320</v>
      </c>
      <c r="E576" s="21">
        <f>IF(D576="?OLD","!!!","")</f>
        <v/>
      </c>
      <c r="F576" s="22" t="str">
        <f>IF(OR(E576="",E576="!!!"),"",IF(NOT(ISNA(VLOOKUP(E576,E$1:E575,1,FALSE()))),"OLD",IF(AND(E576&lt;&gt;"",E576&lt;&gt;"!!!"),"NEW","")))</f>
        <v> </v>
      </c>
      <c r="G576" s="23" t="str">
        <f>IF(OR(E576="",E576="!!!"),"",IF(OR(J576=0,AND(J576=1,K576=1),AND(J576=1,I576="SBJ"),AND(J576=1,I576=0)),"?IN_FOCUS",IF(J576&lt;=2,"?ACTIVATED",IF(J576&lt;&gt;"","?FAMILIAR",IF(F576="NEW",IF(ISNA(VLOOKUP(E576,#REF!,1,FALSE())),"?TYPE_IDENTIFIABLE","?REFERENTIAL"),"_")))))</f>
        <v> </v>
      </c>
      <c r="H576" s="24" t="str">
        <f>IF(J576&lt;&gt;1,"",IF(I576="SBJ","CB","?"))</f>
        <v> </v>
      </c>
      <c r="I576" s="25" t="str">
        <f>IF(OR(E576="",E576="!!!",F576="NEW"),"",INDEX(B575:B$2,-1+SUMPRODUCT(MAX(ROW(E575:E$2)*(E576=E575:E$2)))))</f>
        <v> </v>
      </c>
      <c r="J576" s="25" t="str">
        <f>IF(OR(E576="",E576="!!!",F576="NEW"),"",COUNTBLANK(OFFSET(A$1,,,SUMPRODUCT(MAX(ROW(E$2:E576)*(E576=E$2:E576)))))-COUNTBLANK(OFFSET(A$1,,,SUMPRODUCT(MAX(ROW(E$1:E575)*(E2=E$1:E575))))))</f>
        <v> </v>
      </c>
      <c r="K576" s="25" t="str">
        <f>IF(OR(E576="",E576="!!!",F576="NEW"),"",INDEX(J$1:J575,SUMPRODUCT(MAX(ROW(E$1:E575)*(E576=E$1:E575)))))</f>
        <v> </v>
      </c>
      <c r="L576" s="26"/>
    </row>
    <row r="577" spans="1:12">
      <c r="A577" s="20"/>
    </row>
    <row r="578" spans="1:12">
      <c r="A578" s="20" t="s">
        <v>513</v>
      </c>
    </row>
    <row r="579" spans="1:12">
      <c r="A579" s="20" t="s">
        <v>348</v>
      </c>
      <c r="B579" s="27" t="s">
        <v>276</v>
      </c>
      <c r="C579" s="27" t="s">
        <v>257</v>
      </c>
      <c r="D579" s="27" t="s">
        <v>258</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235</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280</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514</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t="s">
        <v>271</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t="s">
        <v>293</v>
      </c>
      <c r="E584" s="21">
        <f>IF(D584="?OLD","!!!","")</f>
        <v/>
      </c>
      <c r="F584" s="22" t="str">
        <f>IF(OR(E584="",E584="!!!"),"",IF(NOT(ISNA(VLOOKUP(E584,E$1:E583,1,FALSE()))),"OLD",IF(AND(E584&lt;&gt;"",E584&lt;&gt;"!!!"),"NEW","")))</f>
        <v> </v>
      </c>
      <c r="G584" s="23" t="str">
        <f>IF(OR(E584="",E584="!!!"),"",IF(OR(J584=0,AND(J584=1,K584=1),AND(J584=1,I584="SBJ"),AND(J584=1,I584=0)),"?IN_FOCUS",IF(J584&lt;=2,"?ACTIVATED",IF(J584&lt;&gt;"","?FAMILIAR",IF(F584="NEW",IF(ISNA(VLOOKUP(E584,#REF!,1,FALSE())),"?TYPE_IDENTIFIABLE","?REFERENTIAL"),"_")))))</f>
        <v> </v>
      </c>
      <c r="H584" s="24" t="str">
        <f>IF(J584&lt;&gt;1,"",IF(I584="SBJ","CB","?"))</f>
        <v> </v>
      </c>
      <c r="I584" s="25" t="str">
        <f>IF(OR(E584="",E584="!!!",F584="NEW"),"",INDEX(B583:B$2,-1+SUMPRODUCT(MAX(ROW(E583:E$2)*(E584=E583:E$2)))))</f>
        <v> </v>
      </c>
      <c r="J584" s="25" t="str">
        <f>IF(OR(E584="",E584="!!!",F584="NEW"),"",COUNTBLANK(OFFSET(A$1,,,SUMPRODUCT(MAX(ROW(E$2:E584)*(E584=E$2:E584)))))-COUNTBLANK(OFFSET(A$1,,,SUMPRODUCT(MAX(ROW(E$1:E583)*(E2=E$1:E583))))))</f>
        <v> </v>
      </c>
      <c r="K584" s="25" t="str">
        <f>IF(OR(E584="",E584="!!!",F584="NEW"),"",INDEX(J$1:J583,SUMPRODUCT(MAX(ROW(E$1:E583)*(E584=E$1:E583)))))</f>
        <v> </v>
      </c>
      <c r="L584" s="26"/>
    </row>
    <row r="585" spans="1:12">
      <c r="A585" s="20" t="s">
        <v>282</v>
      </c>
      <c r="B585" s="27" t="s">
        <v>256</v>
      </c>
      <c r="C585" s="27" t="s">
        <v>257</v>
      </c>
      <c r="D585" s="27" t="s">
        <v>258</v>
      </c>
      <c r="E585" s="21">
        <f>IF(D585="?OLD","!!!","")</f>
        <v/>
      </c>
      <c r="F585" s="22" t="str">
        <f>IF(OR(E585="",E585="!!!"),"",IF(NOT(ISNA(VLOOKUP(E585,E$1:E584,1,FALSE()))),"OLD",IF(AND(E585&lt;&gt;"",E585&lt;&gt;"!!!"),"NEW","")))</f>
        <v> </v>
      </c>
      <c r="G585" s="23" t="str">
        <f>IF(OR(E585="",E585="!!!"),"",IF(OR(J585=0,AND(J585=1,K585=1),AND(J585=1,I585="SBJ"),AND(J585=1,I585=0)),"?IN_FOCUS",IF(J585&lt;=2,"?ACTIVATED",IF(J585&lt;&gt;"","?FAMILIAR",IF(F585="NEW",IF(ISNA(VLOOKUP(E585,#REF!,1,FALSE())),"?TYPE_IDENTIFIABLE","?REFERENTIAL"),"_")))))</f>
        <v> </v>
      </c>
      <c r="H585" s="24" t="str">
        <f>IF(J585&lt;&gt;1,"",IF(I585="SBJ","CB","?"))</f>
        <v> </v>
      </c>
      <c r="I585" s="25" t="str">
        <f>IF(OR(E585="",E585="!!!",F585="NEW"),"",INDEX(B584:B$2,-1+SUMPRODUCT(MAX(ROW(E584:E$2)*(E585=E584:E$2)))))</f>
        <v> </v>
      </c>
      <c r="J585" s="25" t="str">
        <f>IF(OR(E585="",E585="!!!",F585="NEW"),"",COUNTBLANK(OFFSET(A$1,,,SUMPRODUCT(MAX(ROW(E$2:E585)*(E585=E$2:E585)))))-COUNTBLANK(OFFSET(A$1,,,SUMPRODUCT(MAX(ROW(E$1:E584)*(E2=E$1:E584))))))</f>
        <v> </v>
      </c>
      <c r="K585" s="25" t="str">
        <f>IF(OR(E585="",E585="!!!",F585="NEW"),"",INDEX(J$1:J584,SUMPRODUCT(MAX(ROW(E$1:E584)*(E585=E$1:E584)))))</f>
        <v> </v>
      </c>
      <c r="L585" s="26"/>
    </row>
    <row r="586" spans="1:12">
      <c r="A586" s="20" t="s">
        <v>210</v>
      </c>
      <c r="E586" s="21">
        <f>IF(D586="?OLD","!!!","")</f>
        <v/>
      </c>
      <c r="F586" s="22" t="str">
        <f>IF(OR(E586="",E586="!!!"),"",IF(NOT(ISNA(VLOOKUP(E586,E$1:E585,1,FALSE()))),"OLD",IF(AND(E586&lt;&gt;"",E586&lt;&gt;"!!!"),"NEW","")))</f>
        <v> </v>
      </c>
      <c r="G586" s="23" t="str">
        <f>IF(OR(E586="",E586="!!!"),"",IF(OR(J586=0,AND(J586=1,K586=1),AND(J586=1,I586="SBJ"),AND(J586=1,I586=0)),"?IN_FOCUS",IF(J586&lt;=2,"?ACTIVATED",IF(J586&lt;&gt;"","?FAMILIAR",IF(F586="NEW",IF(ISNA(VLOOKUP(E586,#REF!,1,FALSE())),"?TYPE_IDENTIFIABLE","?REFERENTIAL"),"_")))))</f>
        <v> </v>
      </c>
      <c r="H586" s="24" t="str">
        <f>IF(J586&lt;&gt;1,"",IF(I586="SBJ","CB","?"))</f>
        <v> </v>
      </c>
      <c r="I586" s="25" t="str">
        <f>IF(OR(E586="",E586="!!!",F586="NEW"),"",INDEX(B585:B$2,-1+SUMPRODUCT(MAX(ROW(E585:E$2)*(E586=E585:E$2)))))</f>
        <v> </v>
      </c>
      <c r="J586" s="25" t="str">
        <f>IF(OR(E586="",E586="!!!",F586="NEW"),"",COUNTBLANK(OFFSET(A$1,,,SUMPRODUCT(MAX(ROW(E$2:E586)*(E586=E$2:E586)))))-COUNTBLANK(OFFSET(A$1,,,SUMPRODUCT(MAX(ROW(E$1:E585)*(E2=E$1:E585))))))</f>
        <v> </v>
      </c>
      <c r="K586" s="25" t="str">
        <f>IF(OR(E586="",E586="!!!",F586="NEW"),"",INDEX(J$1:J585,SUMPRODUCT(MAX(ROW(E$1:E585)*(E586=E$1:E585)))))</f>
        <v> </v>
      </c>
      <c r="L586" s="26"/>
    </row>
    <row r="587" spans="1:12">
      <c r="A587" s="20" t="s">
        <v>272</v>
      </c>
      <c r="B587" s="27" t="s">
        <v>323</v>
      </c>
      <c r="C587" s="27" t="s">
        <v>257</v>
      </c>
      <c r="D587" s="27" t="s">
        <v>258</v>
      </c>
      <c r="E587" s="21">
        <f>IF(D587="?OLD","!!!","")</f>
        <v/>
      </c>
      <c r="F587" s="22" t="str">
        <f>IF(OR(E587="",E587="!!!"),"",IF(NOT(ISNA(VLOOKUP(E587,E$1:E586,1,FALSE()))),"OLD",IF(AND(E587&lt;&gt;"",E587&lt;&gt;"!!!"),"NEW","")))</f>
        <v> </v>
      </c>
      <c r="G587" s="23" t="str">
        <f>IF(OR(E587="",E587="!!!"),"",IF(OR(J587=0,AND(J587=1,K587=1),AND(J587=1,I587="SBJ"),AND(J587=1,I587=0)),"?IN_FOCUS",IF(J587&lt;=2,"?ACTIVATED",IF(J587&lt;&gt;"","?FAMILIAR",IF(F587="NEW",IF(ISNA(VLOOKUP(E587,#REF!,1,FALSE())),"?TYPE_IDENTIFIABLE","?REFERENTIAL"),"_")))))</f>
        <v> </v>
      </c>
      <c r="H587" s="24" t="str">
        <f>IF(J587&lt;&gt;1,"",IF(I587="SBJ","CB","?"))</f>
        <v> </v>
      </c>
      <c r="I587" s="25" t="str">
        <f>IF(OR(E587="",E587="!!!",F587="NEW"),"",INDEX(B586:B$2,-1+SUMPRODUCT(MAX(ROW(E586:E$2)*(E587=E586:E$2)))))</f>
        <v> </v>
      </c>
      <c r="J587" s="25" t="str">
        <f>IF(OR(E587="",E587="!!!",F587="NEW"),"",COUNTBLANK(OFFSET(A$1,,,SUMPRODUCT(MAX(ROW(E$2:E587)*(E587=E$2:E587)))))-COUNTBLANK(OFFSET(A$1,,,SUMPRODUCT(MAX(ROW(E$1:E586)*(E2=E$1:E586))))))</f>
        <v> </v>
      </c>
      <c r="K587" s="25" t="str">
        <f>IF(OR(E587="",E587="!!!",F587="NEW"),"",INDEX(J$1:J586,SUMPRODUCT(MAX(ROW(E$1:E586)*(E587=E$1:E586)))))</f>
        <v> </v>
      </c>
      <c r="L587" s="26"/>
    </row>
    <row r="588" spans="1:12">
      <c r="A588" s="20" t="s">
        <v>515</v>
      </c>
      <c r="E588" s="21">
        <f>IF(D588="?OLD","!!!","")</f>
        <v/>
      </c>
      <c r="F588" s="22" t="str">
        <f>IF(OR(E588="",E588="!!!"),"",IF(NOT(ISNA(VLOOKUP(E588,E$1:E587,1,FALSE()))),"OLD",IF(AND(E588&lt;&gt;"",E588&lt;&gt;"!!!"),"NEW","")))</f>
        <v> </v>
      </c>
      <c r="G588" s="23" t="str">
        <f>IF(OR(E588="",E588="!!!"),"",IF(OR(J588=0,AND(J588=1,K588=1),AND(J588=1,I588="SBJ"),AND(J588=1,I588=0)),"?IN_FOCUS",IF(J588&lt;=2,"?ACTIVATED",IF(J588&lt;&gt;"","?FAMILIAR",IF(F588="NEW",IF(ISNA(VLOOKUP(E588,#REF!,1,FALSE())),"?TYPE_IDENTIFIABLE","?REFERENTIAL"),"_")))))</f>
        <v> </v>
      </c>
      <c r="H588" s="24" t="str">
        <f>IF(J588&lt;&gt;1,"",IF(I588="SBJ","CB","?"))</f>
        <v> </v>
      </c>
      <c r="I588" s="25" t="str">
        <f>IF(OR(E588="",E588="!!!",F588="NEW"),"",INDEX(B587:B$2,-1+SUMPRODUCT(MAX(ROW(E587:E$2)*(E588=E587:E$2)))))</f>
        <v> </v>
      </c>
      <c r="J588" s="25" t="str">
        <f>IF(OR(E588="",E588="!!!",F588="NEW"),"",COUNTBLANK(OFFSET(A$1,,,SUMPRODUCT(MAX(ROW(E$2:E588)*(E588=E$2:E588)))))-COUNTBLANK(OFFSET(A$1,,,SUMPRODUCT(MAX(ROW(E$1:E587)*(E2=E$1:E587))))))</f>
        <v> </v>
      </c>
      <c r="K588" s="25" t="str">
        <f>IF(OR(E588="",E588="!!!",F588="NEW"),"",INDEX(J$1:J587,SUMPRODUCT(MAX(ROW(E$1:E587)*(E588=E$1:E587)))))</f>
        <v> </v>
      </c>
      <c r="L588" s="26"/>
    </row>
    <row r="589" spans="1:12">
      <c r="A589" s="20" t="s">
        <v>274</v>
      </c>
      <c r="E589" s="21">
        <f>IF(D589="?OLD","!!!","")</f>
        <v/>
      </c>
      <c r="F589" s="22" t="str">
        <f>IF(OR(E589="",E589="!!!"),"",IF(NOT(ISNA(VLOOKUP(E589,E$1:E588,1,FALSE()))),"OLD",IF(AND(E589&lt;&gt;"",E589&lt;&gt;"!!!"),"NEW","")))</f>
        <v> </v>
      </c>
      <c r="G589" s="23" t="str">
        <f>IF(OR(E589="",E589="!!!"),"",IF(OR(J589=0,AND(J589=1,K589=1),AND(J589=1,I589="SBJ"),AND(J589=1,I589=0)),"?IN_FOCUS",IF(J589&lt;=2,"?ACTIVATED",IF(J589&lt;&gt;"","?FAMILIAR",IF(F589="NEW",IF(ISNA(VLOOKUP(E589,#REF!,1,FALSE())),"?TYPE_IDENTIFIABLE","?REFERENTIAL"),"_")))))</f>
        <v> </v>
      </c>
      <c r="H589" s="24" t="str">
        <f>IF(J589&lt;&gt;1,"",IF(I589="SBJ","CB","?"))</f>
        <v> </v>
      </c>
      <c r="I589" s="25" t="str">
        <f>IF(OR(E589="",E589="!!!",F589="NEW"),"",INDEX(B588:B$2,-1+SUMPRODUCT(MAX(ROW(E588:E$2)*(E589=E588:E$2)))))</f>
        <v> </v>
      </c>
      <c r="J589" s="25" t="str">
        <f>IF(OR(E589="",E589="!!!",F589="NEW"),"",COUNTBLANK(OFFSET(A$1,,,SUMPRODUCT(MAX(ROW(E$2:E589)*(E589=E$2:E589)))))-COUNTBLANK(OFFSET(A$1,,,SUMPRODUCT(MAX(ROW(E$1:E588)*(E2=E$1:E588))))))</f>
        <v> </v>
      </c>
      <c r="K589" s="25" t="str">
        <f>IF(OR(E589="",E589="!!!",F589="NEW"),"",INDEX(J$1:J588,SUMPRODUCT(MAX(ROW(E$1:E588)*(E589=E$1:E588)))))</f>
        <v> </v>
      </c>
      <c r="L589" s="26"/>
    </row>
    <row r="590" spans="1:12">
      <c r="A590" s="20" t="s">
        <v>417</v>
      </c>
      <c r="E590" s="21">
        <f>IF(D590="?OLD","!!!","")</f>
        <v/>
      </c>
      <c r="F590" s="22" t="str">
        <f>IF(OR(E590="",E590="!!!"),"",IF(NOT(ISNA(VLOOKUP(E590,E$1:E589,1,FALSE()))),"OLD",IF(AND(E590&lt;&gt;"",E590&lt;&gt;"!!!"),"NEW","")))</f>
        <v> </v>
      </c>
      <c r="G590" s="23" t="str">
        <f>IF(OR(E590="",E590="!!!"),"",IF(OR(J590=0,AND(J590=1,K590=1),AND(J590=1,I590="SBJ"),AND(J590=1,I590=0)),"?IN_FOCUS",IF(J590&lt;=2,"?ACTIVATED",IF(J590&lt;&gt;"","?FAMILIAR",IF(F590="NEW",IF(ISNA(VLOOKUP(E590,#REF!,1,FALSE())),"?TYPE_IDENTIFIABLE","?REFERENTIAL"),"_")))))</f>
        <v> </v>
      </c>
      <c r="H590" s="24" t="str">
        <f>IF(J590&lt;&gt;1,"",IF(I590="SBJ","CB","?"))</f>
        <v> </v>
      </c>
      <c r="I590" s="25" t="str">
        <f>IF(OR(E590="",E590="!!!",F590="NEW"),"",INDEX(B589:B$2,-1+SUMPRODUCT(MAX(ROW(E589:E$2)*(E590=E589:E$2)))))</f>
        <v> </v>
      </c>
      <c r="J590" s="25" t="str">
        <f>IF(OR(E590="",E590="!!!",F590="NEW"),"",COUNTBLANK(OFFSET(A$1,,,SUMPRODUCT(MAX(ROW(E$2:E590)*(E590=E$2:E590)))))-COUNTBLANK(OFFSET(A$1,,,SUMPRODUCT(MAX(ROW(E$1:E589)*(E2=E$1:E589))))))</f>
        <v> </v>
      </c>
      <c r="K590" s="25" t="str">
        <f>IF(OR(E590="",E590="!!!",F590="NEW"),"",INDEX(J$1:J589,SUMPRODUCT(MAX(ROW(E$1:E589)*(E590=E$1:E589)))))</f>
        <v> </v>
      </c>
      <c r="L590" s="26"/>
    </row>
    <row r="591" spans="1:12">
      <c r="A591" s="20" t="s">
        <v>297</v>
      </c>
      <c r="B591" s="27" t="s">
        <v>342</v>
      </c>
      <c r="C591" s="27" t="s">
        <v>277</v>
      </c>
      <c r="D591" s="27" t="s">
        <v>258</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t="s">
        <v>259</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13</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t="s">
        <v>516</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320</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row>
    <row r="597" spans="1:12">
      <c r="A597" s="20" t="s">
        <v>517</v>
      </c>
    </row>
    <row r="598" spans="1:12">
      <c r="A598" s="20" t="s">
        <v>322</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255</v>
      </c>
      <c r="B599" s="27" t="s">
        <v>276</v>
      </c>
      <c r="C599" s="27" t="s">
        <v>257</v>
      </c>
      <c r="D599" s="27" t="s">
        <v>258</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t="s">
        <v>117</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t="s">
        <v>305</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t="s">
        <v>518</v>
      </c>
      <c r="E602" s="21">
        <f>IF(D602="?OLD","!!!","")</f>
        <v/>
      </c>
      <c r="F602" s="22" t="str">
        <f>IF(OR(E602="",E602="!!!"),"",IF(NOT(ISNA(VLOOKUP(E602,E$1:E601,1,FALSE()))),"OLD",IF(AND(E602&lt;&gt;"",E602&lt;&gt;"!!!"),"NEW","")))</f>
        <v> </v>
      </c>
      <c r="G602" s="23" t="str">
        <f>IF(OR(E602="",E602="!!!"),"",IF(OR(J602=0,AND(J602=1,K602=1),AND(J602=1,I602="SBJ"),AND(J602=1,I602=0)),"?IN_FOCUS",IF(J602&lt;=2,"?ACTIVATED",IF(J602&lt;&gt;"","?FAMILIAR",IF(F602="NEW",IF(ISNA(VLOOKUP(E602,#REF!,1,FALSE())),"?TYPE_IDENTIFIABLE","?REFERENTIAL"),"_")))))</f>
        <v> </v>
      </c>
      <c r="H602" s="24" t="str">
        <f>IF(J602&lt;&gt;1,"",IF(I602="SBJ","CB","?"))</f>
        <v> </v>
      </c>
      <c r="I602" s="25" t="str">
        <f>IF(OR(E602="",E602="!!!",F602="NEW"),"",INDEX(B601:B$2,-1+SUMPRODUCT(MAX(ROW(E601:E$2)*(E602=E601:E$2)))))</f>
        <v> </v>
      </c>
      <c r="J602" s="25" t="str">
        <f>IF(OR(E602="",E602="!!!",F602="NEW"),"",COUNTBLANK(OFFSET(A$1,,,SUMPRODUCT(MAX(ROW(E$2:E602)*(E602=E$2:E602)))))-COUNTBLANK(OFFSET(A$1,,,SUMPRODUCT(MAX(ROW(E$1:E601)*(E2=E$1:E601))))))</f>
        <v> </v>
      </c>
      <c r="K602" s="25" t="str">
        <f>IF(OR(E602="",E602="!!!",F602="NEW"),"",INDEX(J$1:J601,SUMPRODUCT(MAX(ROW(E$1:E601)*(E602=E$1:E601)))))</f>
        <v> </v>
      </c>
      <c r="L602" s="26"/>
    </row>
    <row r="603" spans="1:12">
      <c r="A603" s="20" t="s">
        <v>442</v>
      </c>
      <c r="E603" s="21">
        <f>IF(D603="?OLD","!!!","")</f>
        <v/>
      </c>
      <c r="F603" s="22" t="str">
        <f>IF(OR(E603="",E603="!!!"),"",IF(NOT(ISNA(VLOOKUP(E603,E$1:E602,1,FALSE()))),"OLD",IF(AND(E603&lt;&gt;"",E603&lt;&gt;"!!!"),"NEW","")))</f>
        <v> </v>
      </c>
      <c r="G603" s="23" t="str">
        <f>IF(OR(E603="",E603="!!!"),"",IF(OR(J603=0,AND(J603=1,K603=1),AND(J603=1,I603="SBJ"),AND(J603=1,I603=0)),"?IN_FOCUS",IF(J603&lt;=2,"?ACTIVATED",IF(J603&lt;&gt;"","?FAMILIAR",IF(F603="NEW",IF(ISNA(VLOOKUP(E603,#REF!,1,FALSE())),"?TYPE_IDENTIFIABLE","?REFERENTIAL"),"_")))))</f>
        <v> </v>
      </c>
      <c r="H603" s="24" t="str">
        <f>IF(J603&lt;&gt;1,"",IF(I603="SBJ","CB","?"))</f>
        <v> </v>
      </c>
      <c r="I603" s="25" t="str">
        <f>IF(OR(E603="",E603="!!!",F603="NEW"),"",INDEX(B602:B$2,-1+SUMPRODUCT(MAX(ROW(E602:E$2)*(E603=E602:E$2)))))</f>
        <v> </v>
      </c>
      <c r="J603" s="25" t="str">
        <f>IF(OR(E603="",E603="!!!",F603="NEW"),"",COUNTBLANK(OFFSET(A$1,,,SUMPRODUCT(MAX(ROW(E$2:E603)*(E603=E$2:E603)))))-COUNTBLANK(OFFSET(A$1,,,SUMPRODUCT(MAX(ROW(E$1:E602)*(E2=E$1:E602))))))</f>
        <v> </v>
      </c>
      <c r="K603" s="25" t="str">
        <f>IF(OR(E603="",E603="!!!",F603="NEW"),"",INDEX(J$1:J602,SUMPRODUCT(MAX(ROW(E$1:E602)*(E603=E$1:E602)))))</f>
        <v> </v>
      </c>
      <c r="L603" s="26"/>
    </row>
    <row r="604" spans="1:12">
      <c r="A604" s="20" t="s">
        <v>416</v>
      </c>
      <c r="E604" s="21">
        <f>IF(D604="?OLD","!!!","")</f>
        <v/>
      </c>
      <c r="F604" s="22" t="str">
        <f>IF(OR(E604="",E604="!!!"),"",IF(NOT(ISNA(VLOOKUP(E604,E$1:E603,1,FALSE()))),"OLD",IF(AND(E604&lt;&gt;"",E604&lt;&gt;"!!!"),"NEW","")))</f>
        <v> </v>
      </c>
      <c r="G604" s="23" t="str">
        <f>IF(OR(E604="",E604="!!!"),"",IF(OR(J604=0,AND(J604=1,K604=1),AND(J604=1,I604="SBJ"),AND(J604=1,I604=0)),"?IN_FOCUS",IF(J604&lt;=2,"?ACTIVATED",IF(J604&lt;&gt;"","?FAMILIAR",IF(F604="NEW",IF(ISNA(VLOOKUP(E604,#REF!,1,FALSE())),"?TYPE_IDENTIFIABLE","?REFERENTIAL"),"_")))))</f>
        <v> </v>
      </c>
      <c r="H604" s="24" t="str">
        <f>IF(J604&lt;&gt;1,"",IF(I604="SBJ","CB","?"))</f>
        <v> </v>
      </c>
      <c r="I604" s="25" t="str">
        <f>IF(OR(E604="",E604="!!!",F604="NEW"),"",INDEX(B603:B$2,-1+SUMPRODUCT(MAX(ROW(E603:E$2)*(E604=E603:E$2)))))</f>
        <v> </v>
      </c>
      <c r="J604" s="25" t="str">
        <f>IF(OR(E604="",E604="!!!",F604="NEW"),"",COUNTBLANK(OFFSET(A$1,,,SUMPRODUCT(MAX(ROW(E$2:E604)*(E604=E$2:E604)))))-COUNTBLANK(OFFSET(A$1,,,SUMPRODUCT(MAX(ROW(E$1:E603)*(E2=E$1:E603))))))</f>
        <v> </v>
      </c>
      <c r="K604" s="25" t="str">
        <f>IF(OR(E604="",E604="!!!",F604="NEW"),"",INDEX(J$1:J603,SUMPRODUCT(MAX(ROW(E$1:E603)*(E604=E$1:E603)))))</f>
        <v> </v>
      </c>
      <c r="L604" s="26"/>
    </row>
    <row r="605" spans="1:12">
      <c r="A605" s="20" t="s">
        <v>266</v>
      </c>
      <c r="B605" s="27" t="s">
        <v>267</v>
      </c>
      <c r="C605" s="27" t="s">
        <v>341</v>
      </c>
      <c r="D605" s="27" t="s">
        <v>258</v>
      </c>
      <c r="E605" s="21">
        <f>IF(D605="?OLD","!!!","")</f>
        <v/>
      </c>
      <c r="F605" s="22" t="str">
        <f>IF(OR(E605="",E605="!!!"),"",IF(NOT(ISNA(VLOOKUP(E605,E$1:E604,1,FALSE()))),"OLD",IF(AND(E605&lt;&gt;"",E605&lt;&gt;"!!!"),"NEW","")))</f>
        <v> </v>
      </c>
      <c r="G605" s="23" t="str">
        <f>IF(OR(E605="",E605="!!!"),"",IF(OR(J605=0,AND(J605=1,K605=1),AND(J605=1,I605="SBJ"),AND(J605=1,I605=0)),"?IN_FOCUS",IF(J605&lt;=2,"?ACTIVATED",IF(J605&lt;&gt;"","?FAMILIAR",IF(F605="NEW",IF(ISNA(VLOOKUP(E605,#REF!,1,FALSE())),"?TYPE_IDENTIFIABLE","?REFERENTIAL"),"_")))))</f>
        <v> </v>
      </c>
      <c r="H605" s="24" t="str">
        <f>IF(J605&lt;&gt;1,"",IF(I605="SBJ","CB","?"))</f>
        <v> </v>
      </c>
      <c r="I605" s="25" t="str">
        <f>IF(OR(E605="",E605="!!!",F605="NEW"),"",INDEX(B604:B$2,-1+SUMPRODUCT(MAX(ROW(E604:E$2)*(E605=E604:E$2)))))</f>
        <v> </v>
      </c>
      <c r="J605" s="25" t="str">
        <f>IF(OR(E605="",E605="!!!",F605="NEW"),"",COUNTBLANK(OFFSET(A$1,,,SUMPRODUCT(MAX(ROW(E$2:E605)*(E605=E$2:E605)))))-COUNTBLANK(OFFSET(A$1,,,SUMPRODUCT(MAX(ROW(E$1:E604)*(E2=E$1:E604))))))</f>
        <v> </v>
      </c>
      <c r="K605" s="25" t="str">
        <f>IF(OR(E605="",E605="!!!",F605="NEW"),"",INDEX(J$1:J604,SUMPRODUCT(MAX(ROW(E$1:E604)*(E605=E$1:E604)))))</f>
        <v> </v>
      </c>
      <c r="L605" s="26"/>
    </row>
    <row r="606" spans="1:12">
      <c r="A606" s="20" t="s">
        <v>329</v>
      </c>
      <c r="E606" s="21">
        <f>IF(D606="?OLD","!!!","")</f>
        <v/>
      </c>
      <c r="F606" s="22" t="str">
        <f>IF(OR(E606="",E606="!!!"),"",IF(NOT(ISNA(VLOOKUP(E606,E$1:E605,1,FALSE()))),"OLD",IF(AND(E606&lt;&gt;"",E606&lt;&gt;"!!!"),"NEW","")))</f>
        <v> </v>
      </c>
      <c r="G606" s="23" t="str">
        <f>IF(OR(E606="",E606="!!!"),"",IF(OR(J606=0,AND(J606=1,K606=1),AND(J606=1,I606="SBJ"),AND(J606=1,I606=0)),"?IN_FOCUS",IF(J606&lt;=2,"?ACTIVATED",IF(J606&lt;&gt;"","?FAMILIAR",IF(F606="NEW",IF(ISNA(VLOOKUP(E606,#REF!,1,FALSE())),"?TYPE_IDENTIFIABLE","?REFERENTIAL"),"_")))))</f>
        <v> </v>
      </c>
      <c r="H606" s="24" t="str">
        <f>IF(J606&lt;&gt;1,"",IF(I606="SBJ","CB","?"))</f>
        <v> </v>
      </c>
      <c r="I606" s="25" t="str">
        <f>IF(OR(E606="",E606="!!!",F606="NEW"),"",INDEX(B605:B$2,-1+SUMPRODUCT(MAX(ROW(E605:E$2)*(E606=E605:E$2)))))</f>
        <v> </v>
      </c>
      <c r="J606" s="25" t="str">
        <f>IF(OR(E606="",E606="!!!",F606="NEW"),"",COUNTBLANK(OFFSET(A$1,,,SUMPRODUCT(MAX(ROW(E$2:E606)*(E606=E$2:E606)))))-COUNTBLANK(OFFSET(A$1,,,SUMPRODUCT(MAX(ROW(E$1:E605)*(E2=E$1:E605))))))</f>
        <v> </v>
      </c>
      <c r="K606" s="25" t="str">
        <f>IF(OR(E606="",E606="!!!",F606="NEW"),"",INDEX(J$1:J605,SUMPRODUCT(MAX(ROW(E$1:E605)*(E606=E$1:E605)))))</f>
        <v> </v>
      </c>
      <c r="L606" s="26"/>
    </row>
    <row r="607" spans="1:12">
      <c r="A607" s="20" t="s">
        <v>512</v>
      </c>
      <c r="B607" s="27" t="s">
        <v>328</v>
      </c>
      <c r="C607" s="27" t="s">
        <v>334</v>
      </c>
      <c r="E607" s="21">
        <f>IF(D607="?OLD","!!!","")</f>
        <v/>
      </c>
      <c r="F607" s="22" t="str">
        <f>IF(OR(E607="",E607="!!!"),"",IF(NOT(ISNA(VLOOKUP(E607,E$1:E606,1,FALSE()))),"OLD",IF(AND(E607&lt;&gt;"",E607&lt;&gt;"!!!"),"NEW","")))</f>
        <v> </v>
      </c>
      <c r="G607" s="23" t="str">
        <f>IF(OR(E607="",E607="!!!"),"",IF(OR(J607=0,AND(J607=1,K607=1),AND(J607=1,I607="SBJ"),AND(J607=1,I607=0)),"?IN_FOCUS",IF(J607&lt;=2,"?ACTIVATED",IF(J607&lt;&gt;"","?FAMILIAR",IF(F607="NEW",IF(ISNA(VLOOKUP(E607,#REF!,1,FALSE())),"?TYPE_IDENTIFIABLE","?REFERENTIAL"),"_")))))</f>
        <v> </v>
      </c>
      <c r="H607" s="24" t="str">
        <f>IF(J607&lt;&gt;1,"",IF(I607="SBJ","CB","?"))</f>
        <v> </v>
      </c>
      <c r="I607" s="25" t="str">
        <f>IF(OR(E607="",E607="!!!",F607="NEW"),"",INDEX(B606:B$2,-1+SUMPRODUCT(MAX(ROW(E606:E$2)*(E607=E606:E$2)))))</f>
        <v> </v>
      </c>
      <c r="J607" s="25" t="str">
        <f>IF(OR(E607="",E607="!!!",F607="NEW"),"",COUNTBLANK(OFFSET(A$1,,,SUMPRODUCT(MAX(ROW(E$2:E607)*(E607=E$2:E607)))))-COUNTBLANK(OFFSET(A$1,,,SUMPRODUCT(MAX(ROW(E$1:E606)*(E2=E$1:E606))))))</f>
        <v> </v>
      </c>
      <c r="K607" s="25" t="str">
        <f>IF(OR(E607="",E607="!!!",F607="NEW"),"",INDEX(J$1:J606,SUMPRODUCT(MAX(ROW(E$1:E606)*(E607=E$1:E606)))))</f>
        <v> </v>
      </c>
      <c r="L607" s="26"/>
    </row>
    <row r="608" spans="1:12">
      <c r="A608" s="20" t="s">
        <v>263</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510</v>
      </c>
      <c r="B609" s="27" t="s">
        <v>267</v>
      </c>
      <c r="C609" s="27" t="s">
        <v>511</v>
      </c>
      <c r="D609" s="27" t="s">
        <v>258</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t="s">
        <v>273</v>
      </c>
      <c r="B610" s="27" t="s">
        <v>472</v>
      </c>
      <c r="C610" s="27" t="s">
        <v>367</v>
      </c>
      <c r="D610" s="27" t="s">
        <v>258</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235</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t="s">
        <v>329</v>
      </c>
      <c r="E612" s="21">
        <f>IF(D612="?OLD","!!!","")</f>
        <v/>
      </c>
      <c r="F612" s="22" t="str">
        <f>IF(OR(E612="",E612="!!!"),"",IF(NOT(ISNA(VLOOKUP(E612,E$1:E611,1,FALSE()))),"OLD",IF(AND(E612&lt;&gt;"",E612&lt;&gt;"!!!"),"NEW","")))</f>
        <v> </v>
      </c>
      <c r="G612" s="23" t="str">
        <f>IF(OR(E612="",E612="!!!"),"",IF(OR(J612=0,AND(J612=1,K612=1),AND(J612=1,I612="SBJ"),AND(J612=1,I612=0)),"?IN_FOCUS",IF(J612&lt;=2,"?ACTIVATED",IF(J612&lt;&gt;"","?FAMILIAR",IF(F612="NEW",IF(ISNA(VLOOKUP(E612,#REF!,1,FALSE())),"?TYPE_IDENTIFIABLE","?REFERENTIAL"),"_")))))</f>
        <v> </v>
      </c>
      <c r="H612" s="24" t="str">
        <f>IF(J612&lt;&gt;1,"",IF(I612="SBJ","CB","?"))</f>
        <v> </v>
      </c>
      <c r="I612" s="25" t="str">
        <f>IF(OR(E612="",E612="!!!",F612="NEW"),"",INDEX(B611:B$2,-1+SUMPRODUCT(MAX(ROW(E611:E$2)*(E612=E611:E$2)))))</f>
        <v> </v>
      </c>
      <c r="J612" s="25" t="str">
        <f>IF(OR(E612="",E612="!!!",F612="NEW"),"",COUNTBLANK(OFFSET(A$1,,,SUMPRODUCT(MAX(ROW(E$2:E612)*(E612=E$2:E612)))))-COUNTBLANK(OFFSET(A$1,,,SUMPRODUCT(MAX(ROW(E$1:E611)*(E2=E$1:E611))))))</f>
        <v> </v>
      </c>
      <c r="K612" s="25" t="str">
        <f>IF(OR(E612="",E612="!!!",F612="NEW"),"",INDEX(J$1:J611,SUMPRODUCT(MAX(ROW(E$1:E611)*(E612=E$1:E611)))))</f>
        <v> </v>
      </c>
      <c r="L612" s="26"/>
    </row>
    <row r="613" spans="1:12">
      <c r="A613" s="20" t="s">
        <v>345</v>
      </c>
      <c r="E613" s="21">
        <f>IF(D613="?OLD","!!!","")</f>
        <v/>
      </c>
      <c r="F613" s="22" t="str">
        <f>IF(OR(E613="",E613="!!!"),"",IF(NOT(ISNA(VLOOKUP(E613,E$1:E612,1,FALSE()))),"OLD",IF(AND(E613&lt;&gt;"",E613&lt;&gt;"!!!"),"NEW","")))</f>
        <v> </v>
      </c>
      <c r="G613" s="23" t="str">
        <f>IF(OR(E613="",E613="!!!"),"",IF(OR(J613=0,AND(J613=1,K613=1),AND(J613=1,I613="SBJ"),AND(J613=1,I613=0)),"?IN_FOCUS",IF(J613&lt;=2,"?ACTIVATED",IF(J613&lt;&gt;"","?FAMILIAR",IF(F613="NEW",IF(ISNA(VLOOKUP(E613,#REF!,1,FALSE())),"?TYPE_IDENTIFIABLE","?REFERENTIAL"),"_")))))</f>
        <v> </v>
      </c>
      <c r="H613" s="24" t="str">
        <f>IF(J613&lt;&gt;1,"",IF(I613="SBJ","CB","?"))</f>
        <v> </v>
      </c>
      <c r="I613" s="25" t="str">
        <f>IF(OR(E613="",E613="!!!",F613="NEW"),"",INDEX(B612:B$2,-1+SUMPRODUCT(MAX(ROW(E612:E$2)*(E613=E612:E$2)))))</f>
        <v> </v>
      </c>
      <c r="J613" s="25" t="str">
        <f>IF(OR(E613="",E613="!!!",F613="NEW"),"",COUNTBLANK(OFFSET(A$1,,,SUMPRODUCT(MAX(ROW(E$2:E613)*(E613=E$2:E613)))))-COUNTBLANK(OFFSET(A$1,,,SUMPRODUCT(MAX(ROW(E$1:E612)*(E2=E$1:E612))))))</f>
        <v> </v>
      </c>
      <c r="K613" s="25" t="str">
        <f>IF(OR(E613="",E613="!!!",F613="NEW"),"",INDEX(J$1:J612,SUMPRODUCT(MAX(ROW(E$1:E612)*(E613=E$1:E612)))))</f>
        <v> </v>
      </c>
      <c r="L613" s="26"/>
    </row>
    <row r="614" spans="1:12">
      <c r="A614" s="20" t="s">
        <v>512</v>
      </c>
      <c r="B614" s="27" t="s">
        <v>291</v>
      </c>
      <c r="C614" s="27" t="s">
        <v>334</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519</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320</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row>
    <row r="618" spans="1:12">
      <c r="A618" s="20" t="s">
        <v>520</v>
      </c>
    </row>
    <row r="619" spans="1:12">
      <c r="A619" s="20" t="s">
        <v>521</v>
      </c>
      <c r="B619" s="27" t="s">
        <v>401</v>
      </c>
      <c r="C619" s="27" t="s">
        <v>300</v>
      </c>
      <c r="E619" s="21">
        <f>IF(D619="?OLD","!!!","")</f>
        <v/>
      </c>
      <c r="F619" s="22" t="str">
        <f>IF(OR(E619="",E619="!!!"),"",IF(NOT(ISNA(VLOOKUP(E619,E$1:E618,1,FALSE()))),"OLD",IF(AND(E619&lt;&gt;"",E619&lt;&gt;"!!!"),"NEW","")))</f>
        <v> </v>
      </c>
      <c r="G619" s="23" t="str">
        <f>IF(OR(E619="",E619="!!!"),"",IF(OR(J619=0,AND(J619=1,K619=1),AND(J619=1,I619="SBJ"),AND(J619=1,I619=0)),"?IN_FOCUS",IF(J619&lt;=2,"?ACTIVATED",IF(J619&lt;&gt;"","?FAMILIAR",IF(F619="NEW",IF(ISNA(VLOOKUP(E619,#REF!,1,FALSE())),"?TYPE_IDENTIFIABLE","?REFERENTIAL"),"_")))))</f>
        <v> </v>
      </c>
      <c r="H619" s="24" t="str">
        <f>IF(J619&lt;&gt;1,"",IF(I619="SBJ","CB","?"))</f>
        <v> </v>
      </c>
      <c r="I619" s="25" t="str">
        <f>IF(OR(E619="",E619="!!!",F619="NEW"),"",INDEX(B618:B$2,-1+SUMPRODUCT(MAX(ROW(E618:E$2)*(E619=E618:E$2)))))</f>
        <v> </v>
      </c>
      <c r="J619" s="25" t="str">
        <f>IF(OR(E619="",E619="!!!",F619="NEW"),"",COUNTBLANK(OFFSET(A$1,,,SUMPRODUCT(MAX(ROW(E$2:E619)*(E619=E$2:E619)))))-COUNTBLANK(OFFSET(A$1,,,SUMPRODUCT(MAX(ROW(E$1:E618)*(E2=E$1:E618))))))</f>
        <v> </v>
      </c>
      <c r="K619" s="25" t="str">
        <f>IF(OR(E619="",E619="!!!",F619="NEW"),"",INDEX(J$1:J618,SUMPRODUCT(MAX(ROW(E$1:E618)*(E619=E$1:E618)))))</f>
        <v> </v>
      </c>
      <c r="L619" s="26"/>
    </row>
    <row r="620" spans="1:12">
      <c r="A620" s="20" t="s">
        <v>282</v>
      </c>
      <c r="B620" s="27" t="s">
        <v>323</v>
      </c>
      <c r="C620" s="27" t="s">
        <v>257</v>
      </c>
      <c r="D620" s="27" t="s">
        <v>258</v>
      </c>
      <c r="E620" s="21">
        <f>IF(D620="?OLD","!!!","")</f>
        <v/>
      </c>
      <c r="F620" s="22" t="str">
        <f>IF(OR(E620="",E620="!!!"),"",IF(NOT(ISNA(VLOOKUP(E620,E$1:E619,1,FALSE()))),"OLD",IF(AND(E620&lt;&gt;"",E620&lt;&gt;"!!!"),"NEW","")))</f>
        <v> </v>
      </c>
      <c r="G620" s="23" t="str">
        <f>IF(OR(E620="",E620="!!!"),"",IF(OR(J620=0,AND(J620=1,K620=1),AND(J620=1,I620="SBJ"),AND(J620=1,I620=0)),"?IN_FOCUS",IF(J620&lt;=2,"?ACTIVATED",IF(J620&lt;&gt;"","?FAMILIAR",IF(F620="NEW",IF(ISNA(VLOOKUP(E620,#REF!,1,FALSE())),"?TYPE_IDENTIFIABLE","?REFERENTIAL"),"_")))))</f>
        <v> </v>
      </c>
      <c r="H620" s="24" t="str">
        <f>IF(J620&lt;&gt;1,"",IF(I620="SBJ","CB","?"))</f>
        <v> </v>
      </c>
      <c r="I620" s="25" t="str">
        <f>IF(OR(E620="",E620="!!!",F620="NEW"),"",INDEX(B619:B$2,-1+SUMPRODUCT(MAX(ROW(E619:E$2)*(E620=E619:E$2)))))</f>
        <v> </v>
      </c>
      <c r="J620" s="25" t="str">
        <f>IF(OR(E620="",E620="!!!",F620="NEW"),"",COUNTBLANK(OFFSET(A$1,,,SUMPRODUCT(MAX(ROW(E$2:E620)*(E620=E$2:E620)))))-COUNTBLANK(OFFSET(A$1,,,SUMPRODUCT(MAX(ROW(E$1:E619)*(E2=E$1:E619))))))</f>
        <v> </v>
      </c>
      <c r="K620" s="25" t="str">
        <f>IF(OR(E620="",E620="!!!",F620="NEW"),"",INDEX(J$1:J619,SUMPRODUCT(MAX(ROW(E$1:E619)*(E620=E$1:E619)))))</f>
        <v> </v>
      </c>
      <c r="L620" s="26"/>
    </row>
    <row r="621" spans="1:12">
      <c r="A621" s="20" t="s">
        <v>324</v>
      </c>
      <c r="E621" s="21">
        <f>IF(D621="?OLD","!!!","")</f>
        <v/>
      </c>
      <c r="F621" s="22" t="str">
        <f>IF(OR(E621="",E621="!!!"),"",IF(NOT(ISNA(VLOOKUP(E621,E$1:E620,1,FALSE()))),"OLD",IF(AND(E621&lt;&gt;"",E621&lt;&gt;"!!!"),"NEW","")))</f>
        <v> </v>
      </c>
      <c r="G621" s="23" t="str">
        <f>IF(OR(E621="",E621="!!!"),"",IF(OR(J621=0,AND(J621=1,K621=1),AND(J621=1,I621="SBJ"),AND(J621=1,I621=0)),"?IN_FOCUS",IF(J621&lt;=2,"?ACTIVATED",IF(J621&lt;&gt;"","?FAMILIAR",IF(F621="NEW",IF(ISNA(VLOOKUP(E621,#REF!,1,FALSE())),"?TYPE_IDENTIFIABLE","?REFERENTIAL"),"_")))))</f>
        <v> </v>
      </c>
      <c r="H621" s="24" t="str">
        <f>IF(J621&lt;&gt;1,"",IF(I621="SBJ","CB","?"))</f>
        <v> </v>
      </c>
      <c r="I621" s="25" t="str">
        <f>IF(OR(E621="",E621="!!!",F621="NEW"),"",INDEX(B620:B$2,-1+SUMPRODUCT(MAX(ROW(E620:E$2)*(E621=E620:E$2)))))</f>
        <v> </v>
      </c>
      <c r="J621" s="25" t="str">
        <f>IF(OR(E621="",E621="!!!",F621="NEW"),"",COUNTBLANK(OFFSET(A$1,,,SUMPRODUCT(MAX(ROW(E$2:E621)*(E621=E$2:E621)))))-COUNTBLANK(OFFSET(A$1,,,SUMPRODUCT(MAX(ROW(E$1:E620)*(E2=E$1:E620))))))</f>
        <v> </v>
      </c>
      <c r="K621" s="25" t="str">
        <f>IF(OR(E621="",E621="!!!",F621="NEW"),"",INDEX(J$1:J620,SUMPRODUCT(MAX(ROW(E$1:E620)*(E621=E$1:E620)))))</f>
        <v> </v>
      </c>
      <c r="L621" s="26"/>
    </row>
    <row r="622" spans="1:12">
      <c r="A622" s="20" t="s">
        <v>522</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t="s">
        <v>191</v>
      </c>
      <c r="E623" s="21">
        <f>IF(D623="?OLD","!!!","")</f>
        <v/>
      </c>
      <c r="F623" s="22" t="str">
        <f>IF(OR(E623="",E623="!!!"),"",IF(NOT(ISNA(VLOOKUP(E623,E$1:E622,1,FALSE()))),"OLD",IF(AND(E623&lt;&gt;"",E623&lt;&gt;"!!!"),"NEW","")))</f>
        <v> </v>
      </c>
      <c r="G623" s="23" t="str">
        <f>IF(OR(E623="",E623="!!!"),"",IF(OR(J623=0,AND(J623=1,K623=1),AND(J623=1,I623="SBJ"),AND(J623=1,I623=0)),"?IN_FOCUS",IF(J623&lt;=2,"?ACTIVATED",IF(J623&lt;&gt;"","?FAMILIAR",IF(F623="NEW",IF(ISNA(VLOOKUP(E623,#REF!,1,FALSE())),"?TYPE_IDENTIFIABLE","?REFERENTIAL"),"_")))))</f>
        <v> </v>
      </c>
      <c r="H623" s="24" t="str">
        <f>IF(J623&lt;&gt;1,"",IF(I623="SBJ","CB","?"))</f>
        <v> </v>
      </c>
      <c r="I623" s="25" t="str">
        <f>IF(OR(E623="",E623="!!!",F623="NEW"),"",INDEX(B622:B$2,-1+SUMPRODUCT(MAX(ROW(E622:E$2)*(E623=E622:E$2)))))</f>
        <v> </v>
      </c>
      <c r="J623" s="25" t="str">
        <f>IF(OR(E623="",E623="!!!",F623="NEW"),"",COUNTBLANK(OFFSET(A$1,,,SUMPRODUCT(MAX(ROW(E$2:E623)*(E623=E$2:E623)))))-COUNTBLANK(OFFSET(A$1,,,SUMPRODUCT(MAX(ROW(E$1:E622)*(E2=E$1:E622))))))</f>
        <v> </v>
      </c>
      <c r="K623" s="25" t="str">
        <f>IF(OR(E623="",E623="!!!",F623="NEW"),"",INDEX(J$1:J622,SUMPRODUCT(MAX(ROW(E$1:E622)*(E623=E$1:E622)))))</f>
        <v> </v>
      </c>
      <c r="L623" s="26"/>
    </row>
    <row r="624" spans="1:12">
      <c r="A624" s="20" t="s">
        <v>288</v>
      </c>
      <c r="E624" s="21">
        <f>IF(D624="?OLD","!!!","")</f>
        <v/>
      </c>
      <c r="F624" s="22" t="str">
        <f>IF(OR(E624="",E624="!!!"),"",IF(NOT(ISNA(VLOOKUP(E624,E$1:E623,1,FALSE()))),"OLD",IF(AND(E624&lt;&gt;"",E624&lt;&gt;"!!!"),"NEW","")))</f>
        <v> </v>
      </c>
      <c r="G624" s="23" t="str">
        <f>IF(OR(E624="",E624="!!!"),"",IF(OR(J624=0,AND(J624=1,K624=1),AND(J624=1,I624="SBJ"),AND(J624=1,I624=0)),"?IN_FOCUS",IF(J624&lt;=2,"?ACTIVATED",IF(J624&lt;&gt;"","?FAMILIAR",IF(F624="NEW",IF(ISNA(VLOOKUP(E624,#REF!,1,FALSE())),"?TYPE_IDENTIFIABLE","?REFERENTIAL"),"_")))))</f>
        <v> </v>
      </c>
      <c r="H624" s="24" t="str">
        <f>IF(J624&lt;&gt;1,"",IF(I624="SBJ","CB","?"))</f>
        <v> </v>
      </c>
      <c r="I624" s="25" t="str">
        <f>IF(OR(E624="",E624="!!!",F624="NEW"),"",INDEX(B623:B$2,-1+SUMPRODUCT(MAX(ROW(E623:E$2)*(E624=E623:E$2)))))</f>
        <v> </v>
      </c>
      <c r="J624" s="25" t="str">
        <f>IF(OR(E624="",E624="!!!",F624="NEW"),"",COUNTBLANK(OFFSET(A$1,,,SUMPRODUCT(MAX(ROW(E$2:E624)*(E624=E$2:E624)))))-COUNTBLANK(OFFSET(A$1,,,SUMPRODUCT(MAX(ROW(E$1:E623)*(E2=E$1:E623))))))</f>
        <v> </v>
      </c>
      <c r="K624" s="25" t="str">
        <f>IF(OR(E624="",E624="!!!",F624="NEW"),"",INDEX(J$1:J623,SUMPRODUCT(MAX(ROW(E$1:E623)*(E624=E$1:E623)))))</f>
        <v> </v>
      </c>
      <c r="L624" s="26"/>
    </row>
    <row r="625" spans="1:12">
      <c r="A625" s="20" t="s">
        <v>282</v>
      </c>
      <c r="B625" s="27" t="s">
        <v>276</v>
      </c>
      <c r="C625" s="27" t="s">
        <v>257</v>
      </c>
      <c r="D625" s="27" t="s">
        <v>258</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523</v>
      </c>
      <c r="E626" s="21">
        <f>IF(D626="?OLD","!!!","")</f>
        <v/>
      </c>
      <c r="F626" s="22" t="str">
        <f>IF(OR(E626="",E626="!!!"),"",IF(NOT(ISNA(VLOOKUP(E626,E$1:E625,1,FALSE()))),"OLD",IF(AND(E626&lt;&gt;"",E626&lt;&gt;"!!!"),"NEW","")))</f>
        <v> </v>
      </c>
      <c r="G626" s="23" t="str">
        <f>IF(OR(E626="",E626="!!!"),"",IF(OR(J626=0,AND(J626=1,K626=1),AND(J626=1,I626="SBJ"),AND(J626=1,I626=0)),"?IN_FOCUS",IF(J626&lt;=2,"?ACTIVATED",IF(J626&lt;&gt;"","?FAMILIAR",IF(F626="NEW",IF(ISNA(VLOOKUP(E626,#REF!,1,FALSE())),"?TYPE_IDENTIFIABLE","?REFERENTIAL"),"_")))))</f>
        <v> </v>
      </c>
      <c r="H626" s="24" t="str">
        <f>IF(J626&lt;&gt;1,"",IF(I626="SBJ","CB","?"))</f>
        <v> </v>
      </c>
      <c r="I626" s="25" t="str">
        <f>IF(OR(E626="",E626="!!!",F626="NEW"),"",INDEX(B625:B$2,-1+SUMPRODUCT(MAX(ROW(E625:E$2)*(E626=E625:E$2)))))</f>
        <v> </v>
      </c>
      <c r="J626" s="25" t="str">
        <f>IF(OR(E626="",E626="!!!",F626="NEW"),"",COUNTBLANK(OFFSET(A$1,,,SUMPRODUCT(MAX(ROW(E$2:E626)*(E626=E$2:E626)))))-COUNTBLANK(OFFSET(A$1,,,SUMPRODUCT(MAX(ROW(E$1:E625)*(E2=E$1:E625))))))</f>
        <v> </v>
      </c>
      <c r="K626" s="25" t="str">
        <f>IF(OR(E626="",E626="!!!",F626="NEW"),"",INDEX(J$1:J625,SUMPRODUCT(MAX(ROW(E$1:E625)*(E626=E$1:E625)))))</f>
        <v> </v>
      </c>
      <c r="L626" s="26"/>
    </row>
    <row r="627" spans="1:12">
      <c r="A627" s="20" t="s">
        <v>524</v>
      </c>
      <c r="E627" s="21">
        <f>IF(D627="?OLD","!!!","")</f>
        <v/>
      </c>
      <c r="F627" s="22" t="str">
        <f>IF(OR(E627="",E627="!!!"),"",IF(NOT(ISNA(VLOOKUP(E627,E$1:E626,1,FALSE()))),"OLD",IF(AND(E627&lt;&gt;"",E627&lt;&gt;"!!!"),"NEW","")))</f>
        <v> </v>
      </c>
      <c r="G627" s="23" t="str">
        <f>IF(OR(E627="",E627="!!!"),"",IF(OR(J627=0,AND(J627=1,K627=1),AND(J627=1,I627="SBJ"),AND(J627=1,I627=0)),"?IN_FOCUS",IF(J627&lt;=2,"?ACTIVATED",IF(J627&lt;&gt;"","?FAMILIAR",IF(F627="NEW",IF(ISNA(VLOOKUP(E627,#REF!,1,FALSE())),"?TYPE_IDENTIFIABLE","?REFERENTIAL"),"_")))))</f>
        <v> </v>
      </c>
      <c r="H627" s="24" t="str">
        <f>IF(J627&lt;&gt;1,"",IF(I627="SBJ","CB","?"))</f>
        <v> </v>
      </c>
      <c r="I627" s="25" t="str">
        <f>IF(OR(E627="",E627="!!!",F627="NEW"),"",INDEX(B626:B$2,-1+SUMPRODUCT(MAX(ROW(E626:E$2)*(E627=E626:E$2)))))</f>
        <v> </v>
      </c>
      <c r="J627" s="25" t="str">
        <f>IF(OR(E627="",E627="!!!",F627="NEW"),"",COUNTBLANK(OFFSET(A$1,,,SUMPRODUCT(MAX(ROW(E$2:E627)*(E627=E$2:E627)))))-COUNTBLANK(OFFSET(A$1,,,SUMPRODUCT(MAX(ROW(E$1:E626)*(E2=E$1:E626))))))</f>
        <v> </v>
      </c>
      <c r="K627" s="25" t="str">
        <f>IF(OR(E627="",E627="!!!",F627="NEW"),"",INDEX(J$1:J626,SUMPRODUCT(MAX(ROW(E$1:E626)*(E627=E$1:E626)))))</f>
        <v> </v>
      </c>
      <c r="L627" s="26"/>
    </row>
    <row r="628" spans="1:12">
      <c r="A628" s="20" t="s">
        <v>432</v>
      </c>
      <c r="E628" s="21">
        <f>IF(D628="?OLD","!!!","")</f>
        <v/>
      </c>
      <c r="F628" s="22" t="str">
        <f>IF(OR(E628="",E628="!!!"),"",IF(NOT(ISNA(VLOOKUP(E628,E$1:E627,1,FALSE()))),"OLD",IF(AND(E628&lt;&gt;"",E628&lt;&gt;"!!!"),"NEW","")))</f>
        <v> </v>
      </c>
      <c r="G628" s="23" t="str">
        <f>IF(OR(E628="",E628="!!!"),"",IF(OR(J628=0,AND(J628=1,K628=1),AND(J628=1,I628="SBJ"),AND(J628=1,I628=0)),"?IN_FOCUS",IF(J628&lt;=2,"?ACTIVATED",IF(J628&lt;&gt;"","?FAMILIAR",IF(F628="NEW",IF(ISNA(VLOOKUP(E628,#REF!,1,FALSE())),"?TYPE_IDENTIFIABLE","?REFERENTIAL"),"_")))))</f>
        <v> </v>
      </c>
      <c r="H628" s="24" t="str">
        <f>IF(J628&lt;&gt;1,"",IF(I628="SBJ","CB","?"))</f>
        <v> </v>
      </c>
      <c r="I628" s="25" t="str">
        <f>IF(OR(E628="",E628="!!!",F628="NEW"),"",INDEX(B627:B$2,-1+SUMPRODUCT(MAX(ROW(E627:E$2)*(E628=E627:E$2)))))</f>
        <v> </v>
      </c>
      <c r="J628" s="25" t="str">
        <f>IF(OR(E628="",E628="!!!",F628="NEW"),"",COUNTBLANK(OFFSET(A$1,,,SUMPRODUCT(MAX(ROW(E$2:E628)*(E628=E$2:E628)))))-COUNTBLANK(OFFSET(A$1,,,SUMPRODUCT(MAX(ROW(E$1:E627)*(E2=E$1:E627))))))</f>
        <v> </v>
      </c>
      <c r="K628" s="25" t="str">
        <f>IF(OR(E628="",E628="!!!",F628="NEW"),"",INDEX(J$1:J627,SUMPRODUCT(MAX(ROW(E$1:E627)*(E628=E$1:E627)))))</f>
        <v> </v>
      </c>
      <c r="L628" s="26"/>
    </row>
    <row r="629" spans="1:12">
      <c r="A629" s="20" t="s">
        <v>433</v>
      </c>
      <c r="E629" s="21">
        <f>IF(D629="?OLD","!!!","")</f>
        <v/>
      </c>
      <c r="F629" s="22" t="str">
        <f>IF(OR(E629="",E629="!!!"),"",IF(NOT(ISNA(VLOOKUP(E629,E$1:E628,1,FALSE()))),"OLD",IF(AND(E629&lt;&gt;"",E629&lt;&gt;"!!!"),"NEW","")))</f>
        <v> </v>
      </c>
      <c r="G629" s="23" t="str">
        <f>IF(OR(E629="",E629="!!!"),"",IF(OR(J629=0,AND(J629=1,K629=1),AND(J629=1,I629="SBJ"),AND(J629=1,I629=0)),"?IN_FOCUS",IF(J629&lt;=2,"?ACTIVATED",IF(J629&lt;&gt;"","?FAMILIAR",IF(F629="NEW",IF(ISNA(VLOOKUP(E629,#REF!,1,FALSE())),"?TYPE_IDENTIFIABLE","?REFERENTIAL"),"_")))))</f>
        <v> </v>
      </c>
      <c r="H629" s="24" t="str">
        <f>IF(J629&lt;&gt;1,"",IF(I629="SBJ","CB","?"))</f>
        <v> </v>
      </c>
      <c r="I629" s="25" t="str">
        <f>IF(OR(E629="",E629="!!!",F629="NEW"),"",INDEX(B628:B$2,-1+SUMPRODUCT(MAX(ROW(E628:E$2)*(E629=E628:E$2)))))</f>
        <v> </v>
      </c>
      <c r="J629" s="25" t="str">
        <f>IF(OR(E629="",E629="!!!",F629="NEW"),"",COUNTBLANK(OFFSET(A$1,,,SUMPRODUCT(MAX(ROW(E$2:E629)*(E629=E$2:E629)))))-COUNTBLANK(OFFSET(A$1,,,SUMPRODUCT(MAX(ROW(E$1:E628)*(E2=E$1:E628))))))</f>
        <v> </v>
      </c>
      <c r="K629" s="25" t="str">
        <f>IF(OR(E629="",E629="!!!",F629="NEW"),"",INDEX(J$1:J628,SUMPRODUCT(MAX(ROW(E$1:E628)*(E629=E$1:E628)))))</f>
        <v> </v>
      </c>
      <c r="L629" s="26"/>
    </row>
    <row r="630" spans="1:12">
      <c r="A630" s="20" t="s">
        <v>525</v>
      </c>
      <c r="E630" s="21">
        <f>IF(D630="?OLD","!!!","")</f>
        <v/>
      </c>
      <c r="F630" s="22" t="str">
        <f>IF(OR(E630="",E630="!!!"),"",IF(NOT(ISNA(VLOOKUP(E630,E$1:E629,1,FALSE()))),"OLD",IF(AND(E630&lt;&gt;"",E630&lt;&gt;"!!!"),"NEW","")))</f>
        <v> </v>
      </c>
      <c r="G630" s="23" t="str">
        <f>IF(OR(E630="",E630="!!!"),"",IF(OR(J630=0,AND(J630=1,K630=1),AND(J630=1,I630="SBJ"),AND(J630=1,I630=0)),"?IN_FOCUS",IF(J630&lt;=2,"?ACTIVATED",IF(J630&lt;&gt;"","?FAMILIAR",IF(F630="NEW",IF(ISNA(VLOOKUP(E630,#REF!,1,FALSE())),"?TYPE_IDENTIFIABLE","?REFERENTIAL"),"_")))))</f>
        <v> </v>
      </c>
      <c r="H630" s="24" t="str">
        <f>IF(J630&lt;&gt;1,"",IF(I630="SBJ","CB","?"))</f>
        <v> </v>
      </c>
      <c r="I630" s="25" t="str">
        <f>IF(OR(E630="",E630="!!!",F630="NEW"),"",INDEX(B629:B$2,-1+SUMPRODUCT(MAX(ROW(E629:E$2)*(E630=E629:E$2)))))</f>
        <v> </v>
      </c>
      <c r="J630" s="25" t="str">
        <f>IF(OR(E630="",E630="!!!",F630="NEW"),"",COUNTBLANK(OFFSET(A$1,,,SUMPRODUCT(MAX(ROW(E$2:E630)*(E630=E$2:E630)))))-COUNTBLANK(OFFSET(A$1,,,SUMPRODUCT(MAX(ROW(E$1:E629)*(E2=E$1:E629))))))</f>
        <v> </v>
      </c>
      <c r="K630" s="25" t="str">
        <f>IF(OR(E630="",E630="!!!",F630="NEW"),"",INDEX(J$1:J629,SUMPRODUCT(MAX(ROW(E$1:E629)*(E630=E$1:E629)))))</f>
        <v> </v>
      </c>
      <c r="L630" s="26"/>
    </row>
    <row r="631" spans="1:12">
      <c r="A631" s="20" t="s">
        <v>526</v>
      </c>
      <c r="B631" s="27" t="s">
        <v>401</v>
      </c>
      <c r="C631" s="27" t="s">
        <v>435</v>
      </c>
      <c r="E631" s="21">
        <f>IF(D631="?OLD","!!!","")</f>
        <v/>
      </c>
      <c r="F631" s="22" t="str">
        <f>IF(OR(E631="",E631="!!!"),"",IF(NOT(ISNA(VLOOKUP(E631,E$1:E630,1,FALSE()))),"OLD",IF(AND(E631&lt;&gt;"",E631&lt;&gt;"!!!"),"NEW","")))</f>
        <v> </v>
      </c>
      <c r="G631" s="23" t="str">
        <f>IF(OR(E631="",E631="!!!"),"",IF(OR(J631=0,AND(J631=1,K631=1),AND(J631=1,I631="SBJ"),AND(J631=1,I631=0)),"?IN_FOCUS",IF(J631&lt;=2,"?ACTIVATED",IF(J631&lt;&gt;"","?FAMILIAR",IF(F631="NEW",IF(ISNA(VLOOKUP(E631,#REF!,1,FALSE())),"?TYPE_IDENTIFIABLE","?REFERENTIAL"),"_")))))</f>
        <v> </v>
      </c>
      <c r="H631" s="24" t="str">
        <f>IF(J631&lt;&gt;1,"",IF(I631="SBJ","CB","?"))</f>
        <v> </v>
      </c>
      <c r="I631" s="25" t="str">
        <f>IF(OR(E631="",E631="!!!",F631="NEW"),"",INDEX(B630:B$2,-1+SUMPRODUCT(MAX(ROW(E630:E$2)*(E631=E630:E$2)))))</f>
        <v> </v>
      </c>
      <c r="J631" s="25" t="str">
        <f>IF(OR(E631="",E631="!!!",F631="NEW"),"",COUNTBLANK(OFFSET(A$1,,,SUMPRODUCT(MAX(ROW(E$2:E631)*(E631=E$2:E631)))))-COUNTBLANK(OFFSET(A$1,,,SUMPRODUCT(MAX(ROW(E$1:E630)*(E2=E$1:E630))))))</f>
        <v> </v>
      </c>
      <c r="K631" s="25" t="str">
        <f>IF(OR(E631="",E631="!!!",F631="NEW"),"",INDEX(J$1:J630,SUMPRODUCT(MAX(ROW(E$1:E630)*(E631=E$1:E630)))))</f>
        <v> </v>
      </c>
      <c r="L631" s="26"/>
    </row>
    <row r="632" spans="1:12">
      <c r="A632" s="20" t="s">
        <v>293</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t="s">
        <v>282</v>
      </c>
      <c r="B633" s="27" t="s">
        <v>256</v>
      </c>
      <c r="C633" s="27" t="s">
        <v>257</v>
      </c>
      <c r="D633" s="27" t="s">
        <v>258</v>
      </c>
      <c r="E633" s="21">
        <f>IF(D633="?OLD","!!!","")</f>
        <v/>
      </c>
      <c r="F633" s="22" t="str">
        <f>IF(OR(E633="",E633="!!!"),"",IF(NOT(ISNA(VLOOKUP(E633,E$1:E632,1,FALSE()))),"OLD",IF(AND(E633&lt;&gt;"",E633&lt;&gt;"!!!"),"NEW","")))</f>
        <v> </v>
      </c>
      <c r="G633" s="23" t="str">
        <f>IF(OR(E633="",E633="!!!"),"",IF(OR(J633=0,AND(J633=1,K633=1),AND(J633=1,I633="SBJ"),AND(J633=1,I633=0)),"?IN_FOCUS",IF(J633&lt;=2,"?ACTIVATED",IF(J633&lt;&gt;"","?FAMILIAR",IF(F633="NEW",IF(ISNA(VLOOKUP(E633,#REF!,1,FALSE())),"?TYPE_IDENTIFIABLE","?REFERENTIAL"),"_")))))</f>
        <v> </v>
      </c>
      <c r="H633" s="24" t="str">
        <f>IF(J633&lt;&gt;1,"",IF(I633="SBJ","CB","?"))</f>
        <v> </v>
      </c>
      <c r="I633" s="25" t="str">
        <f>IF(OR(E633="",E633="!!!",F633="NEW"),"",INDEX(B632:B$2,-1+SUMPRODUCT(MAX(ROW(E632:E$2)*(E633=E632:E$2)))))</f>
        <v> </v>
      </c>
      <c r="J633" s="25" t="str">
        <f>IF(OR(E633="",E633="!!!",F633="NEW"),"",COUNTBLANK(OFFSET(A$1,,,SUMPRODUCT(MAX(ROW(E$2:E633)*(E633=E$2:E633)))))-COUNTBLANK(OFFSET(A$1,,,SUMPRODUCT(MAX(ROW(E$1:E632)*(E2=E$1:E632))))))</f>
        <v> </v>
      </c>
      <c r="K633" s="25" t="str">
        <f>IF(OR(E633="",E633="!!!",F633="NEW"),"",INDEX(J$1:J632,SUMPRODUCT(MAX(ROW(E$1:E632)*(E633=E$1:E632)))))</f>
        <v> </v>
      </c>
      <c r="L633" s="26"/>
    </row>
    <row r="634" spans="1:12">
      <c r="A634" s="20" t="s">
        <v>527</v>
      </c>
      <c r="E634" s="21">
        <f>IF(D634="?OLD","!!!","")</f>
        <v/>
      </c>
      <c r="F634" s="22" t="str">
        <f>IF(OR(E634="",E634="!!!"),"",IF(NOT(ISNA(VLOOKUP(E634,E$1:E633,1,FALSE()))),"OLD",IF(AND(E634&lt;&gt;"",E634&lt;&gt;"!!!"),"NEW","")))</f>
        <v> </v>
      </c>
      <c r="G634" s="23" t="str">
        <f>IF(OR(E634="",E634="!!!"),"",IF(OR(J634=0,AND(J634=1,K634=1),AND(J634=1,I634="SBJ"),AND(J634=1,I634=0)),"?IN_FOCUS",IF(J634&lt;=2,"?ACTIVATED",IF(J634&lt;&gt;"","?FAMILIAR",IF(F634="NEW",IF(ISNA(VLOOKUP(E634,#REF!,1,FALSE())),"?TYPE_IDENTIFIABLE","?REFERENTIAL"),"_")))))</f>
        <v> </v>
      </c>
      <c r="H634" s="24" t="str">
        <f>IF(J634&lt;&gt;1,"",IF(I634="SBJ","CB","?"))</f>
        <v> </v>
      </c>
      <c r="I634" s="25" t="str">
        <f>IF(OR(E634="",E634="!!!",F634="NEW"),"",INDEX(B633:B$2,-1+SUMPRODUCT(MAX(ROW(E633:E$2)*(E634=E633:E$2)))))</f>
        <v> </v>
      </c>
      <c r="J634" s="25" t="str">
        <f>IF(OR(E634="",E634="!!!",F634="NEW"),"",COUNTBLANK(OFFSET(A$1,,,SUMPRODUCT(MAX(ROW(E$2:E634)*(E634=E$2:E634)))))-COUNTBLANK(OFFSET(A$1,,,SUMPRODUCT(MAX(ROW(E$1:E633)*(E2=E$1:E633))))))</f>
        <v> </v>
      </c>
      <c r="K634" s="25" t="str">
        <f>IF(OR(E634="",E634="!!!",F634="NEW"),"",INDEX(J$1:J633,SUMPRODUCT(MAX(ROW(E$1:E633)*(E634=E$1:E633)))))</f>
        <v> </v>
      </c>
      <c r="L634" s="26"/>
    </row>
    <row r="635" spans="1:12">
      <c r="A635" s="20" t="s">
        <v>272</v>
      </c>
      <c r="B635" s="27" t="s">
        <v>262</v>
      </c>
      <c r="C635" s="27" t="s">
        <v>257</v>
      </c>
      <c r="D635" s="27" t="s">
        <v>258</v>
      </c>
      <c r="E635" s="21">
        <f>IF(D635="?OLD","!!!","")</f>
        <v/>
      </c>
      <c r="F635" s="22" t="str">
        <f>IF(OR(E635="",E635="!!!"),"",IF(NOT(ISNA(VLOOKUP(E635,E$1:E634,1,FALSE()))),"OLD",IF(AND(E635&lt;&gt;"",E635&lt;&gt;"!!!"),"NEW","")))</f>
        <v> </v>
      </c>
      <c r="G635" s="23" t="str">
        <f>IF(OR(E635="",E635="!!!"),"",IF(OR(J635=0,AND(J635=1,K635=1),AND(J635=1,I635="SBJ"),AND(J635=1,I635=0)),"?IN_FOCUS",IF(J635&lt;=2,"?ACTIVATED",IF(J635&lt;&gt;"","?FAMILIAR",IF(F635="NEW",IF(ISNA(VLOOKUP(E635,#REF!,1,FALSE())),"?TYPE_IDENTIFIABLE","?REFERENTIAL"),"_")))))</f>
        <v> </v>
      </c>
      <c r="H635" s="24" t="str">
        <f>IF(J635&lt;&gt;1,"",IF(I635="SBJ","CB","?"))</f>
        <v> </v>
      </c>
      <c r="I635" s="25" t="str">
        <f>IF(OR(E635="",E635="!!!",F635="NEW"),"",INDEX(B634:B$2,-1+SUMPRODUCT(MAX(ROW(E634:E$2)*(E635=E634:E$2)))))</f>
        <v> </v>
      </c>
      <c r="J635" s="25" t="str">
        <f>IF(OR(E635="",E635="!!!",F635="NEW"),"",COUNTBLANK(OFFSET(A$1,,,SUMPRODUCT(MAX(ROW(E$2:E635)*(E635=E$2:E635)))))-COUNTBLANK(OFFSET(A$1,,,SUMPRODUCT(MAX(ROW(E$1:E634)*(E2=E$1:E634))))))</f>
        <v> </v>
      </c>
      <c r="K635" s="25" t="str">
        <f>IF(OR(E635="",E635="!!!",F635="NEW"),"",INDEX(J$1:J634,SUMPRODUCT(MAX(ROW(E$1:E634)*(E635=E$1:E634)))))</f>
        <v> </v>
      </c>
      <c r="L635" s="26"/>
    </row>
    <row r="636" spans="1:12">
      <c r="A636" s="20" t="s">
        <v>528</v>
      </c>
      <c r="E636" s="21">
        <f>IF(D636="?OLD","!!!","")</f>
        <v/>
      </c>
      <c r="F636" s="22" t="str">
        <f>IF(OR(E636="",E636="!!!"),"",IF(NOT(ISNA(VLOOKUP(E636,E$1:E635,1,FALSE()))),"OLD",IF(AND(E636&lt;&gt;"",E636&lt;&gt;"!!!"),"NEW","")))</f>
        <v> </v>
      </c>
      <c r="G636" s="23" t="str">
        <f>IF(OR(E636="",E636="!!!"),"",IF(OR(J636=0,AND(J636=1,K636=1),AND(J636=1,I636="SBJ"),AND(J636=1,I636=0)),"?IN_FOCUS",IF(J636&lt;=2,"?ACTIVATED",IF(J636&lt;&gt;"","?FAMILIAR",IF(F636="NEW",IF(ISNA(VLOOKUP(E636,#REF!,1,FALSE())),"?TYPE_IDENTIFIABLE","?REFERENTIAL"),"_")))))</f>
        <v> </v>
      </c>
      <c r="H636" s="24" t="str">
        <f>IF(J636&lt;&gt;1,"",IF(I636="SBJ","CB","?"))</f>
        <v> </v>
      </c>
      <c r="I636" s="25" t="str">
        <f>IF(OR(E636="",E636="!!!",F636="NEW"),"",INDEX(B635:B$2,-1+SUMPRODUCT(MAX(ROW(E635:E$2)*(E636=E635:E$2)))))</f>
        <v> </v>
      </c>
      <c r="J636" s="25" t="str">
        <f>IF(OR(E636="",E636="!!!",F636="NEW"),"",COUNTBLANK(OFFSET(A$1,,,SUMPRODUCT(MAX(ROW(E$2:E636)*(E636=E$2:E636)))))-COUNTBLANK(OFFSET(A$1,,,SUMPRODUCT(MAX(ROW(E$1:E635)*(E2=E$1:E635))))))</f>
        <v> </v>
      </c>
      <c r="K636" s="25" t="str">
        <f>IF(OR(E636="",E636="!!!",F636="NEW"),"",INDEX(J$1:J635,SUMPRODUCT(MAX(ROW(E$1:E635)*(E636=E$1:E635)))))</f>
        <v> </v>
      </c>
      <c r="L636" s="26"/>
    </row>
    <row r="637" spans="1:12">
      <c r="A637" s="20" t="s">
        <v>305</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t="s">
        <v>329</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t="s">
        <v>345</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t="s">
        <v>529</v>
      </c>
      <c r="B640" s="27" t="s">
        <v>267</v>
      </c>
      <c r="C640" s="27" t="s">
        <v>334</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t="s">
        <v>320</v>
      </c>
      <c r="E641" s="21">
        <f>IF(D641="?OLD","!!!","")</f>
        <v/>
      </c>
      <c r="F641" s="22" t="str">
        <f>IF(OR(E641="",E641="!!!"),"",IF(NOT(ISNA(VLOOKUP(E641,E$1:E640,1,FALSE()))),"OLD",IF(AND(E641&lt;&gt;"",E641&lt;&gt;"!!!"),"NEW","")))</f>
        <v> </v>
      </c>
      <c r="G641" s="23" t="str">
        <f>IF(OR(E641="",E641="!!!"),"",IF(OR(J641=0,AND(J641=1,K641=1),AND(J641=1,I641="SBJ"),AND(J641=1,I641=0)),"?IN_FOCUS",IF(J641&lt;=2,"?ACTIVATED",IF(J641&lt;&gt;"","?FAMILIAR",IF(F641="NEW",IF(ISNA(VLOOKUP(E641,#REF!,1,FALSE())),"?TYPE_IDENTIFIABLE","?REFERENTIAL"),"_")))))</f>
        <v> </v>
      </c>
      <c r="H641" s="24" t="str">
        <f>IF(J641&lt;&gt;1,"",IF(I641="SBJ","CB","?"))</f>
        <v> </v>
      </c>
      <c r="I641" s="25" t="str">
        <f>IF(OR(E641="",E641="!!!",F641="NEW"),"",INDEX(B640:B$2,-1+SUMPRODUCT(MAX(ROW(E640:E$2)*(E641=E640:E$2)))))</f>
        <v> </v>
      </c>
      <c r="J641" s="25" t="str">
        <f>IF(OR(E641="",E641="!!!",F641="NEW"),"",COUNTBLANK(OFFSET(A$1,,,SUMPRODUCT(MAX(ROW(E$2:E641)*(E641=E$2:E641)))))-COUNTBLANK(OFFSET(A$1,,,SUMPRODUCT(MAX(ROW(E$1:E640)*(E2=E$1:E640))))))</f>
        <v> </v>
      </c>
      <c r="K641" s="25" t="str">
        <f>IF(OR(E641="",E641="!!!",F641="NEW"),"",INDEX(J$1:J640,SUMPRODUCT(MAX(ROW(E$1:E640)*(E641=E$1:E640)))))</f>
        <v> </v>
      </c>
      <c r="L641" s="26"/>
    </row>
    <row r="642" spans="1:12">
      <c r="A642" s="20"/>
    </row>
    <row r="643" spans="1:12">
      <c r="A643" s="20" t="s">
        <v>530</v>
      </c>
    </row>
    <row r="644" spans="1:12">
      <c r="A644" s="20" t="s">
        <v>322</v>
      </c>
      <c r="E644" s="21">
        <f>IF(D644="?OLD","!!!","")</f>
        <v/>
      </c>
      <c r="F644" s="22" t="str">
        <f>IF(OR(E644="",E644="!!!"),"",IF(NOT(ISNA(VLOOKUP(E644,E$1:E643,1,FALSE()))),"OLD",IF(AND(E644&lt;&gt;"",E644&lt;&gt;"!!!"),"NEW","")))</f>
        <v> </v>
      </c>
      <c r="G644" s="23" t="str">
        <f>IF(OR(E644="",E644="!!!"),"",IF(OR(J644=0,AND(J644=1,K644=1),AND(J644=1,I644="SBJ"),AND(J644=1,I644=0)),"?IN_FOCUS",IF(J644&lt;=2,"?ACTIVATED",IF(J644&lt;&gt;"","?FAMILIAR",IF(F644="NEW",IF(ISNA(VLOOKUP(E644,#REF!,1,FALSE())),"?TYPE_IDENTIFIABLE","?REFERENTIAL"),"_")))))</f>
        <v> </v>
      </c>
      <c r="H644" s="24" t="str">
        <f>IF(J644&lt;&gt;1,"",IF(I644="SBJ","CB","?"))</f>
        <v> </v>
      </c>
      <c r="I644" s="25" t="str">
        <f>IF(OR(E644="",E644="!!!",F644="NEW"),"",INDEX(B643:B$2,-1+SUMPRODUCT(MAX(ROW(E643:E$2)*(E644=E643:E$2)))))</f>
        <v> </v>
      </c>
      <c r="J644" s="25" t="str">
        <f>IF(OR(E644="",E644="!!!",F644="NEW"),"",COUNTBLANK(OFFSET(A$1,,,SUMPRODUCT(MAX(ROW(E$2:E644)*(E644=E$2:E644)))))-COUNTBLANK(OFFSET(A$1,,,SUMPRODUCT(MAX(ROW(E$1:E643)*(E2=E$1:E643))))))</f>
        <v> </v>
      </c>
      <c r="K644" s="25" t="str">
        <f>IF(OR(E644="",E644="!!!",F644="NEW"),"",INDEX(J$1:J643,SUMPRODUCT(MAX(ROW(E$1:E643)*(E644=E$1:E643)))))</f>
        <v> </v>
      </c>
      <c r="L644" s="26"/>
    </row>
    <row r="645" spans="1:12">
      <c r="A645" s="20" t="s">
        <v>274</v>
      </c>
      <c r="E645" s="21">
        <f>IF(D645="?OLD","!!!","")</f>
        <v/>
      </c>
      <c r="F645" s="22" t="str">
        <f>IF(OR(E645="",E645="!!!"),"",IF(NOT(ISNA(VLOOKUP(E645,E$1:E644,1,FALSE()))),"OLD",IF(AND(E645&lt;&gt;"",E645&lt;&gt;"!!!"),"NEW","")))</f>
        <v> </v>
      </c>
      <c r="G645" s="23" t="str">
        <f>IF(OR(E645="",E645="!!!"),"",IF(OR(J645=0,AND(J645=1,K645=1),AND(J645=1,I645="SBJ"),AND(J645=1,I645=0)),"?IN_FOCUS",IF(J645&lt;=2,"?ACTIVATED",IF(J645&lt;&gt;"","?FAMILIAR",IF(F645="NEW",IF(ISNA(VLOOKUP(E645,#REF!,1,FALSE())),"?TYPE_IDENTIFIABLE","?REFERENTIAL"),"_")))))</f>
        <v> </v>
      </c>
      <c r="H645" s="24" t="str">
        <f>IF(J645&lt;&gt;1,"",IF(I645="SBJ","CB","?"))</f>
        <v> </v>
      </c>
      <c r="I645" s="25" t="str">
        <f>IF(OR(E645="",E645="!!!",F645="NEW"),"",INDEX(B644:B$2,-1+SUMPRODUCT(MAX(ROW(E644:E$2)*(E645=E644:E$2)))))</f>
        <v> </v>
      </c>
      <c r="J645" s="25" t="str">
        <f>IF(OR(E645="",E645="!!!",F645="NEW"),"",COUNTBLANK(OFFSET(A$1,,,SUMPRODUCT(MAX(ROW(E$2:E645)*(E645=E$2:E645)))))-COUNTBLANK(OFFSET(A$1,,,SUMPRODUCT(MAX(ROW(E$1:E644)*(E2=E$1:E644))))))</f>
        <v> </v>
      </c>
      <c r="K645" s="25" t="str">
        <f>IF(OR(E645="",E645="!!!",F645="NEW"),"",INDEX(J$1:J644,SUMPRODUCT(MAX(ROW(E$1:E644)*(E645=E$1:E644)))))</f>
        <v> </v>
      </c>
      <c r="L645" s="26"/>
    </row>
    <row r="646" spans="1:12">
      <c r="A646" s="20" t="s">
        <v>529</v>
      </c>
      <c r="B646" s="27" t="s">
        <v>276</v>
      </c>
      <c r="C646" s="27" t="s">
        <v>277</v>
      </c>
      <c r="D646" s="27" t="s">
        <v>258</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531</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278</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t="s">
        <v>481</v>
      </c>
      <c r="E649" s="21">
        <f>IF(D649="?OLD","!!!","")</f>
        <v/>
      </c>
      <c r="F649" s="22" t="str">
        <f>IF(OR(E649="",E649="!!!"),"",IF(NOT(ISNA(VLOOKUP(E649,E$1:E648,1,FALSE()))),"OLD",IF(AND(E649&lt;&gt;"",E649&lt;&gt;"!!!"),"NEW","")))</f>
        <v> </v>
      </c>
      <c r="G649" s="23" t="str">
        <f>IF(OR(E649="",E649="!!!"),"",IF(OR(J649=0,AND(J649=1,K649=1),AND(J649=1,I649="SBJ"),AND(J649=1,I649=0)),"?IN_FOCUS",IF(J649&lt;=2,"?ACTIVATED",IF(J649&lt;&gt;"","?FAMILIAR",IF(F649="NEW",IF(ISNA(VLOOKUP(E649,#REF!,1,FALSE())),"?TYPE_IDENTIFIABLE","?REFERENTIAL"),"_")))))</f>
        <v> </v>
      </c>
      <c r="H649" s="24" t="str">
        <f>IF(J649&lt;&gt;1,"",IF(I649="SBJ","CB","?"))</f>
        <v> </v>
      </c>
      <c r="I649" s="25" t="str">
        <f>IF(OR(E649="",E649="!!!",F649="NEW"),"",INDEX(B648:B$2,-1+SUMPRODUCT(MAX(ROW(E648:E$2)*(E649=E648:E$2)))))</f>
        <v> </v>
      </c>
      <c r="J649" s="25" t="str">
        <f>IF(OR(E649="",E649="!!!",F649="NEW"),"",COUNTBLANK(OFFSET(A$1,,,SUMPRODUCT(MAX(ROW(E$2:E649)*(E649=E$2:E649)))))-COUNTBLANK(OFFSET(A$1,,,SUMPRODUCT(MAX(ROW(E$1:E648)*(E2=E$1:E648))))))</f>
        <v> </v>
      </c>
      <c r="K649" s="25" t="str">
        <f>IF(OR(E649="",E649="!!!",F649="NEW"),"",INDEX(J$1:J648,SUMPRODUCT(MAX(ROW(E$1:E648)*(E649=E$1:E648)))))</f>
        <v> </v>
      </c>
      <c r="L649" s="26"/>
    </row>
    <row r="650" spans="1:12">
      <c r="A650" s="20" t="s">
        <v>329</v>
      </c>
      <c r="E650" s="21">
        <f>IF(D650="?OLD","!!!","")</f>
        <v/>
      </c>
      <c r="F650" s="22" t="str">
        <f>IF(OR(E650="",E650="!!!"),"",IF(NOT(ISNA(VLOOKUP(E650,E$1:E649,1,FALSE()))),"OLD",IF(AND(E650&lt;&gt;"",E650&lt;&gt;"!!!"),"NEW","")))</f>
        <v> </v>
      </c>
      <c r="G650" s="23" t="str">
        <f>IF(OR(E650="",E650="!!!"),"",IF(OR(J650=0,AND(J650=1,K650=1),AND(J650=1,I650="SBJ"),AND(J650=1,I650=0)),"?IN_FOCUS",IF(J650&lt;=2,"?ACTIVATED",IF(J650&lt;&gt;"","?FAMILIAR",IF(F650="NEW",IF(ISNA(VLOOKUP(E650,#REF!,1,FALSE())),"?TYPE_IDENTIFIABLE","?REFERENTIAL"),"_")))))</f>
        <v> </v>
      </c>
      <c r="H650" s="24" t="str">
        <f>IF(J650&lt;&gt;1,"",IF(I650="SBJ","CB","?"))</f>
        <v> </v>
      </c>
      <c r="I650" s="25" t="str">
        <f>IF(OR(E650="",E650="!!!",F650="NEW"),"",INDEX(B649:B$2,-1+SUMPRODUCT(MAX(ROW(E649:E$2)*(E650=E649:E$2)))))</f>
        <v> </v>
      </c>
      <c r="J650" s="25" t="str">
        <f>IF(OR(E650="",E650="!!!",F650="NEW"),"",COUNTBLANK(OFFSET(A$1,,,SUMPRODUCT(MAX(ROW(E$2:E650)*(E650=E$2:E650)))))-COUNTBLANK(OFFSET(A$1,,,SUMPRODUCT(MAX(ROW(E$1:E649)*(E2=E$1:E649))))))</f>
        <v> </v>
      </c>
      <c r="K650" s="25" t="str">
        <f>IF(OR(E650="",E650="!!!",F650="NEW"),"",INDEX(J$1:J649,SUMPRODUCT(MAX(ROW(E$1:E649)*(E650=E$1:E649)))))</f>
        <v> </v>
      </c>
      <c r="L650" s="26"/>
    </row>
    <row r="651" spans="1:12">
      <c r="A651" s="20" t="s">
        <v>345</v>
      </c>
      <c r="E651" s="21">
        <f>IF(D651="?OLD","!!!","")</f>
        <v/>
      </c>
      <c r="F651" s="22" t="str">
        <f>IF(OR(E651="",E651="!!!"),"",IF(NOT(ISNA(VLOOKUP(E651,E$1:E650,1,FALSE()))),"OLD",IF(AND(E651&lt;&gt;"",E651&lt;&gt;"!!!"),"NEW","")))</f>
        <v> </v>
      </c>
      <c r="G651" s="23" t="str">
        <f>IF(OR(E651="",E651="!!!"),"",IF(OR(J651=0,AND(J651=1,K651=1),AND(J651=1,I651="SBJ"),AND(J651=1,I651=0)),"?IN_FOCUS",IF(J651&lt;=2,"?ACTIVATED",IF(J651&lt;&gt;"","?FAMILIAR",IF(F651="NEW",IF(ISNA(VLOOKUP(E651,#REF!,1,FALSE())),"?TYPE_IDENTIFIABLE","?REFERENTIAL"),"_")))))</f>
        <v> </v>
      </c>
      <c r="H651" s="24" t="str">
        <f>IF(J651&lt;&gt;1,"",IF(I651="SBJ","CB","?"))</f>
        <v> </v>
      </c>
      <c r="I651" s="25" t="str">
        <f>IF(OR(E651="",E651="!!!",F651="NEW"),"",INDEX(B650:B$2,-1+SUMPRODUCT(MAX(ROW(E650:E$2)*(E651=E650:E$2)))))</f>
        <v> </v>
      </c>
      <c r="J651" s="25" t="str">
        <f>IF(OR(E651="",E651="!!!",F651="NEW"),"",COUNTBLANK(OFFSET(A$1,,,SUMPRODUCT(MAX(ROW(E$2:E651)*(E651=E$2:E651)))))-COUNTBLANK(OFFSET(A$1,,,SUMPRODUCT(MAX(ROW(E$1:E650)*(E2=E$1:E650))))))</f>
        <v> </v>
      </c>
      <c r="K651" s="25" t="str">
        <f>IF(OR(E651="",E651="!!!",F651="NEW"),"",INDEX(J$1:J650,SUMPRODUCT(MAX(ROW(E$1:E650)*(E651=E$1:E650)))))</f>
        <v> </v>
      </c>
      <c r="L651" s="26"/>
    </row>
    <row r="652" spans="1:12">
      <c r="A652" s="20" t="s">
        <v>532</v>
      </c>
      <c r="B652" s="27" t="s">
        <v>333</v>
      </c>
      <c r="C652" s="27" t="s">
        <v>334</v>
      </c>
      <c r="E652" s="21">
        <f>IF(D652="?OLD","!!!","")</f>
        <v/>
      </c>
      <c r="F652" s="22" t="str">
        <f>IF(OR(E652="",E652="!!!"),"",IF(NOT(ISNA(VLOOKUP(E652,E$1:E651,1,FALSE()))),"OLD",IF(AND(E652&lt;&gt;"",E652&lt;&gt;"!!!"),"NEW","")))</f>
        <v> </v>
      </c>
      <c r="G652" s="23" t="str">
        <f>IF(OR(E652="",E652="!!!"),"",IF(OR(J652=0,AND(J652=1,K652=1),AND(J652=1,I652="SBJ"),AND(J652=1,I652=0)),"?IN_FOCUS",IF(J652&lt;=2,"?ACTIVATED",IF(J652&lt;&gt;"","?FAMILIAR",IF(F652="NEW",IF(ISNA(VLOOKUP(E652,#REF!,1,FALSE())),"?TYPE_IDENTIFIABLE","?REFERENTIAL"),"_")))))</f>
        <v> </v>
      </c>
      <c r="H652" s="24" t="str">
        <f>IF(J652&lt;&gt;1,"",IF(I652="SBJ","CB","?"))</f>
        <v> </v>
      </c>
      <c r="I652" s="25" t="str">
        <f>IF(OR(E652="",E652="!!!",F652="NEW"),"",INDEX(B651:B$2,-1+SUMPRODUCT(MAX(ROW(E651:E$2)*(E652=E651:E$2)))))</f>
        <v> </v>
      </c>
      <c r="J652" s="25" t="str">
        <f>IF(OR(E652="",E652="!!!",F652="NEW"),"",COUNTBLANK(OFFSET(A$1,,,SUMPRODUCT(MAX(ROW(E$2:E652)*(E652=E$2:E652)))))-COUNTBLANK(OFFSET(A$1,,,SUMPRODUCT(MAX(ROW(E$1:E651)*(E2=E$1:E651))))))</f>
        <v> </v>
      </c>
      <c r="K652" s="25" t="str">
        <f>IF(OR(E652="",E652="!!!",F652="NEW"),"",INDEX(J$1:J651,SUMPRODUCT(MAX(ROW(E$1:E651)*(E652=E$1:E651)))))</f>
        <v> </v>
      </c>
      <c r="L652" s="26"/>
    </row>
    <row r="653" spans="1:12">
      <c r="A653" s="20" t="s">
        <v>293</v>
      </c>
      <c r="E653" s="21">
        <f>IF(D653="?OLD","!!!","")</f>
        <v/>
      </c>
      <c r="F653" s="22" t="str">
        <f>IF(OR(E653="",E653="!!!"),"",IF(NOT(ISNA(VLOOKUP(E653,E$1:E652,1,FALSE()))),"OLD",IF(AND(E653&lt;&gt;"",E653&lt;&gt;"!!!"),"NEW","")))</f>
        <v> </v>
      </c>
      <c r="G653" s="23" t="str">
        <f>IF(OR(E653="",E653="!!!"),"",IF(OR(J653=0,AND(J653=1,K653=1),AND(J653=1,I653="SBJ"),AND(J653=1,I653=0)),"?IN_FOCUS",IF(J653&lt;=2,"?ACTIVATED",IF(J653&lt;&gt;"","?FAMILIAR",IF(F653="NEW",IF(ISNA(VLOOKUP(E653,#REF!,1,FALSE())),"?TYPE_IDENTIFIABLE","?REFERENTIAL"),"_")))))</f>
        <v> </v>
      </c>
      <c r="H653" s="24" t="str">
        <f>IF(J653&lt;&gt;1,"",IF(I653="SBJ","CB","?"))</f>
        <v> </v>
      </c>
      <c r="I653" s="25" t="str">
        <f>IF(OR(E653="",E653="!!!",F653="NEW"),"",INDEX(B652:B$2,-1+SUMPRODUCT(MAX(ROW(E652:E$2)*(E653=E652:E$2)))))</f>
        <v> </v>
      </c>
      <c r="J653" s="25" t="str">
        <f>IF(OR(E653="",E653="!!!",F653="NEW"),"",COUNTBLANK(OFFSET(A$1,,,SUMPRODUCT(MAX(ROW(E$2:E653)*(E653=E$2:E653)))))-COUNTBLANK(OFFSET(A$1,,,SUMPRODUCT(MAX(ROW(E$1:E652)*(E2=E$1:E652))))))</f>
        <v> </v>
      </c>
      <c r="K653" s="25" t="str">
        <f>IF(OR(E653="",E653="!!!",F653="NEW"),"",INDEX(J$1:J652,SUMPRODUCT(MAX(ROW(E$1:E652)*(E653=E$1:E652)))))</f>
        <v> </v>
      </c>
      <c r="L653" s="26"/>
    </row>
    <row r="654" spans="1:12">
      <c r="A654" s="20" t="s">
        <v>533</v>
      </c>
      <c r="E654" s="21">
        <f>IF(D654="?OLD","!!!","")</f>
        <v/>
      </c>
      <c r="F654" s="22" t="str">
        <f>IF(OR(E654="",E654="!!!"),"",IF(NOT(ISNA(VLOOKUP(E654,E$1:E653,1,FALSE()))),"OLD",IF(AND(E654&lt;&gt;"",E654&lt;&gt;"!!!"),"NEW","")))</f>
        <v> </v>
      </c>
      <c r="G654" s="23" t="str">
        <f>IF(OR(E654="",E654="!!!"),"",IF(OR(J654=0,AND(J654=1,K654=1),AND(J654=1,I654="SBJ"),AND(J654=1,I654=0)),"?IN_FOCUS",IF(J654&lt;=2,"?ACTIVATED",IF(J654&lt;&gt;"","?FAMILIAR",IF(F654="NEW",IF(ISNA(VLOOKUP(E654,#REF!,1,FALSE())),"?TYPE_IDENTIFIABLE","?REFERENTIAL"),"_")))))</f>
        <v> </v>
      </c>
      <c r="H654" s="24" t="str">
        <f>IF(J654&lt;&gt;1,"",IF(I654="SBJ","CB","?"))</f>
        <v> </v>
      </c>
      <c r="I654" s="25" t="str">
        <f>IF(OR(E654="",E654="!!!",F654="NEW"),"",INDEX(B653:B$2,-1+SUMPRODUCT(MAX(ROW(E653:E$2)*(E654=E653:E$2)))))</f>
        <v> </v>
      </c>
      <c r="J654" s="25" t="str">
        <f>IF(OR(E654="",E654="!!!",F654="NEW"),"",COUNTBLANK(OFFSET(A$1,,,SUMPRODUCT(MAX(ROW(E$2:E654)*(E654=E$2:E654)))))-COUNTBLANK(OFFSET(A$1,,,SUMPRODUCT(MAX(ROW(E$1:E653)*(E2=E$1:E653))))))</f>
        <v> </v>
      </c>
      <c r="K654" s="25" t="str">
        <f>IF(OR(E654="",E654="!!!",F654="NEW"),"",INDEX(J$1:J653,SUMPRODUCT(MAX(ROW(E$1:E653)*(E654=E$1:E653)))))</f>
        <v> </v>
      </c>
      <c r="L654" s="26"/>
    </row>
    <row r="655" spans="1:12">
      <c r="A655" s="20" t="s">
        <v>534</v>
      </c>
      <c r="B655" s="27" t="s">
        <v>267</v>
      </c>
      <c r="C655" s="27" t="s">
        <v>334</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t="s">
        <v>305</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t="s">
        <v>535</v>
      </c>
      <c r="E657" s="21">
        <f>IF(D657="?OLD","!!!","")</f>
        <v/>
      </c>
      <c r="F657" s="22" t="str">
        <f>IF(OR(E657="",E657="!!!"),"",IF(NOT(ISNA(VLOOKUP(E657,E$1:E656,1,FALSE()))),"OLD",IF(AND(E657&lt;&gt;"",E657&lt;&gt;"!!!"),"NEW","")))</f>
        <v> </v>
      </c>
      <c r="G657" s="23" t="str">
        <f>IF(OR(E657="",E657="!!!"),"",IF(OR(J657=0,AND(J657=1,K657=1),AND(J657=1,I657="SBJ"),AND(J657=1,I657=0)),"?IN_FOCUS",IF(J657&lt;=2,"?ACTIVATED",IF(J657&lt;&gt;"","?FAMILIAR",IF(F657="NEW",IF(ISNA(VLOOKUP(E657,#REF!,1,FALSE())),"?TYPE_IDENTIFIABLE","?REFERENTIAL"),"_")))))</f>
        <v> </v>
      </c>
      <c r="H657" s="24" t="str">
        <f>IF(J657&lt;&gt;1,"",IF(I657="SBJ","CB","?"))</f>
        <v> </v>
      </c>
      <c r="I657" s="25" t="str">
        <f>IF(OR(E657="",E657="!!!",F657="NEW"),"",INDEX(B656:B$2,-1+SUMPRODUCT(MAX(ROW(E656:E$2)*(E657=E656:E$2)))))</f>
        <v> </v>
      </c>
      <c r="J657" s="25" t="str">
        <f>IF(OR(E657="",E657="!!!",F657="NEW"),"",COUNTBLANK(OFFSET(A$1,,,SUMPRODUCT(MAX(ROW(E$2:E657)*(E657=E$2:E657)))))-COUNTBLANK(OFFSET(A$1,,,SUMPRODUCT(MAX(ROW(E$1:E656)*(E2=E$1:E656))))))</f>
        <v> </v>
      </c>
      <c r="K657" s="25" t="str">
        <f>IF(OR(E657="",E657="!!!",F657="NEW"),"",INDEX(J$1:J656,SUMPRODUCT(MAX(ROW(E$1:E656)*(E657=E$1:E656)))))</f>
        <v> </v>
      </c>
      <c r="L657" s="26"/>
    </row>
    <row r="658" spans="1:12">
      <c r="A658" s="20" t="s">
        <v>274</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t="s">
        <v>536</v>
      </c>
      <c r="E659" s="21">
        <f>IF(D659="?OLD","!!!","")</f>
        <v/>
      </c>
      <c r="F659" s="22" t="str">
        <f>IF(OR(E659="",E659="!!!"),"",IF(NOT(ISNA(VLOOKUP(E659,E$1:E658,1,FALSE()))),"OLD",IF(AND(E659&lt;&gt;"",E659&lt;&gt;"!!!"),"NEW","")))</f>
        <v> </v>
      </c>
      <c r="G659" s="23" t="str">
        <f>IF(OR(E659="",E659="!!!"),"",IF(OR(J659=0,AND(J659=1,K659=1),AND(J659=1,I659="SBJ"),AND(J659=1,I659=0)),"?IN_FOCUS",IF(J659&lt;=2,"?ACTIVATED",IF(J659&lt;&gt;"","?FAMILIAR",IF(F659="NEW",IF(ISNA(VLOOKUP(E659,#REF!,1,FALSE())),"?TYPE_IDENTIFIABLE","?REFERENTIAL"),"_")))))</f>
        <v> </v>
      </c>
      <c r="H659" s="24" t="str">
        <f>IF(J659&lt;&gt;1,"",IF(I659="SBJ","CB","?"))</f>
        <v> </v>
      </c>
      <c r="I659" s="25" t="str">
        <f>IF(OR(E659="",E659="!!!",F659="NEW"),"",INDEX(B658:B$2,-1+SUMPRODUCT(MAX(ROW(E658:E$2)*(E659=E658:E$2)))))</f>
        <v> </v>
      </c>
      <c r="J659" s="25" t="str">
        <f>IF(OR(E659="",E659="!!!",F659="NEW"),"",COUNTBLANK(OFFSET(A$1,,,SUMPRODUCT(MAX(ROW(E$2:E659)*(E659=E$2:E659)))))-COUNTBLANK(OFFSET(A$1,,,SUMPRODUCT(MAX(ROW(E$1:E658)*(E2=E$1:E658))))))</f>
        <v> </v>
      </c>
      <c r="K659" s="25" t="str">
        <f>IF(OR(E659="",E659="!!!",F659="NEW"),"",INDEX(J$1:J658,SUMPRODUCT(MAX(ROW(E$1:E658)*(E659=E$1:E658)))))</f>
        <v> </v>
      </c>
      <c r="L659" s="26"/>
    </row>
    <row r="660" spans="1:12">
      <c r="A660" s="20" t="s">
        <v>537</v>
      </c>
      <c r="B660" s="27" t="s">
        <v>500</v>
      </c>
      <c r="C660" s="27" t="s">
        <v>277</v>
      </c>
      <c r="D660" s="27" t="s">
        <v>258</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t="s">
        <v>273</v>
      </c>
      <c r="E661" s="21">
        <f>IF(D661="?OLD","!!!","")</f>
        <v/>
      </c>
      <c r="F661" s="22" t="str">
        <f>IF(OR(E661="",E661="!!!"),"",IF(NOT(ISNA(VLOOKUP(E661,E$1:E660,1,FALSE()))),"OLD",IF(AND(E661&lt;&gt;"",E661&lt;&gt;"!!!"),"NEW","")))</f>
        <v> </v>
      </c>
      <c r="G661" s="23" t="str">
        <f>IF(OR(E661="",E661="!!!"),"",IF(OR(J661=0,AND(J661=1,K661=1),AND(J661=1,I661="SBJ"),AND(J661=1,I661=0)),"?IN_FOCUS",IF(J661&lt;=2,"?ACTIVATED",IF(J661&lt;&gt;"","?FAMILIAR",IF(F661="NEW",IF(ISNA(VLOOKUP(E661,#REF!,1,FALSE())),"?TYPE_IDENTIFIABLE","?REFERENTIAL"),"_")))))</f>
        <v> </v>
      </c>
      <c r="H661" s="24" t="str">
        <f>IF(J661&lt;&gt;1,"",IF(I661="SBJ","CB","?"))</f>
        <v> </v>
      </c>
      <c r="I661" s="25" t="str">
        <f>IF(OR(E661="",E661="!!!",F661="NEW"),"",INDEX(B660:B$2,-1+SUMPRODUCT(MAX(ROW(E660:E$2)*(E661=E660:E$2)))))</f>
        <v> </v>
      </c>
      <c r="J661" s="25" t="str">
        <f>IF(OR(E661="",E661="!!!",F661="NEW"),"",COUNTBLANK(OFFSET(A$1,,,SUMPRODUCT(MAX(ROW(E$2:E661)*(E661=E$2:E661)))))-COUNTBLANK(OFFSET(A$1,,,SUMPRODUCT(MAX(ROW(E$1:E660)*(E2=E$1:E660))))))</f>
        <v> </v>
      </c>
      <c r="K661" s="25" t="str">
        <f>IF(OR(E661="",E661="!!!",F661="NEW"),"",INDEX(J$1:J660,SUMPRODUCT(MAX(ROW(E$1:E660)*(E661=E$1:E660)))))</f>
        <v> </v>
      </c>
      <c r="L661" s="26"/>
    </row>
    <row r="662" spans="1:12">
      <c r="A662" s="20" t="s">
        <v>272</v>
      </c>
      <c r="B662" s="27" t="s">
        <v>538</v>
      </c>
      <c r="C662" s="27" t="s">
        <v>257</v>
      </c>
      <c r="D662" s="27" t="s">
        <v>258</v>
      </c>
      <c r="E662" s="21">
        <f>IF(D662="?OLD","!!!","")</f>
        <v/>
      </c>
      <c r="F662" s="22" t="str">
        <f>IF(OR(E662="",E662="!!!"),"",IF(NOT(ISNA(VLOOKUP(E662,E$1:E661,1,FALSE()))),"OLD",IF(AND(E662&lt;&gt;"",E662&lt;&gt;"!!!"),"NEW","")))</f>
        <v> </v>
      </c>
      <c r="G662" s="23" t="str">
        <f>IF(OR(E662="",E662="!!!"),"",IF(OR(J662=0,AND(J662=1,K662=1),AND(J662=1,I662="SBJ"),AND(J662=1,I662=0)),"?IN_FOCUS",IF(J662&lt;=2,"?ACTIVATED",IF(J662&lt;&gt;"","?FAMILIAR",IF(F662="NEW",IF(ISNA(VLOOKUP(E662,#REF!,1,FALSE())),"?TYPE_IDENTIFIABLE","?REFERENTIAL"),"_")))))</f>
        <v> </v>
      </c>
      <c r="H662" s="24" t="str">
        <f>IF(J662&lt;&gt;1,"",IF(I662="SBJ","CB","?"))</f>
        <v> </v>
      </c>
      <c r="I662" s="25" t="str">
        <f>IF(OR(E662="",E662="!!!",F662="NEW"),"",INDEX(B661:B$2,-1+SUMPRODUCT(MAX(ROW(E661:E$2)*(E662=E661:E$2)))))</f>
        <v> </v>
      </c>
      <c r="J662" s="25" t="str">
        <f>IF(OR(E662="",E662="!!!",F662="NEW"),"",COUNTBLANK(OFFSET(A$1,,,SUMPRODUCT(MAX(ROW(E$2:E662)*(E662=E$2:E662)))))-COUNTBLANK(OFFSET(A$1,,,SUMPRODUCT(MAX(ROW(E$1:E661)*(E2=E$1:E661))))))</f>
        <v> </v>
      </c>
      <c r="K662" s="25" t="str">
        <f>IF(OR(E662="",E662="!!!",F662="NEW"),"",INDEX(J$1:J661,SUMPRODUCT(MAX(ROW(E$1:E661)*(E662=E$1:E661)))))</f>
        <v> </v>
      </c>
      <c r="L662" s="26"/>
    </row>
    <row r="663" spans="1:12">
      <c r="A663" s="20" t="s">
        <v>539</v>
      </c>
      <c r="E663" s="21">
        <f>IF(D663="?OLD","!!!","")</f>
        <v/>
      </c>
      <c r="F663" s="22" t="str">
        <f>IF(OR(E663="",E663="!!!"),"",IF(NOT(ISNA(VLOOKUP(E663,E$1:E662,1,FALSE()))),"OLD",IF(AND(E663&lt;&gt;"",E663&lt;&gt;"!!!"),"NEW","")))</f>
        <v> </v>
      </c>
      <c r="G663" s="23" t="str">
        <f>IF(OR(E663="",E663="!!!"),"",IF(OR(J663=0,AND(J663=1,K663=1),AND(J663=1,I663="SBJ"),AND(J663=1,I663=0)),"?IN_FOCUS",IF(J663&lt;=2,"?ACTIVATED",IF(J663&lt;&gt;"","?FAMILIAR",IF(F663="NEW",IF(ISNA(VLOOKUP(E663,#REF!,1,FALSE())),"?TYPE_IDENTIFIABLE","?REFERENTIAL"),"_")))))</f>
        <v> </v>
      </c>
      <c r="H663" s="24" t="str">
        <f>IF(J663&lt;&gt;1,"",IF(I663="SBJ","CB","?"))</f>
        <v> </v>
      </c>
      <c r="I663" s="25" t="str">
        <f>IF(OR(E663="",E663="!!!",F663="NEW"),"",INDEX(B662:B$2,-1+SUMPRODUCT(MAX(ROW(E662:E$2)*(E663=E662:E$2)))))</f>
        <v> </v>
      </c>
      <c r="J663" s="25" t="str">
        <f>IF(OR(E663="",E663="!!!",F663="NEW"),"",COUNTBLANK(OFFSET(A$1,,,SUMPRODUCT(MAX(ROW(E$2:E663)*(E663=E$2:E663)))))-COUNTBLANK(OFFSET(A$1,,,SUMPRODUCT(MAX(ROW(E$1:E662)*(E2=E$1:E662))))))</f>
        <v> </v>
      </c>
      <c r="K663" s="25" t="str">
        <f>IF(OR(E663="",E663="!!!",F663="NEW"),"",INDEX(J$1:J662,SUMPRODUCT(MAX(ROW(E$1:E662)*(E663=E$1:E662)))))</f>
        <v> </v>
      </c>
      <c r="L663" s="26"/>
    </row>
    <row r="664" spans="1:12">
      <c r="A664" s="20" t="s">
        <v>540</v>
      </c>
      <c r="E664" s="21">
        <f>IF(D664="?OLD","!!!","")</f>
        <v/>
      </c>
      <c r="F664" s="22" t="str">
        <f>IF(OR(E664="",E664="!!!"),"",IF(NOT(ISNA(VLOOKUP(E664,E$1:E663,1,FALSE()))),"OLD",IF(AND(E664&lt;&gt;"",E664&lt;&gt;"!!!"),"NEW","")))</f>
        <v> </v>
      </c>
      <c r="G664" s="23" t="str">
        <f>IF(OR(E664="",E664="!!!"),"",IF(OR(J664=0,AND(J664=1,K664=1),AND(J664=1,I664="SBJ"),AND(J664=1,I664=0)),"?IN_FOCUS",IF(J664&lt;=2,"?ACTIVATED",IF(J664&lt;&gt;"","?FAMILIAR",IF(F664="NEW",IF(ISNA(VLOOKUP(E664,#REF!,1,FALSE())),"?TYPE_IDENTIFIABLE","?REFERENTIAL"),"_")))))</f>
        <v> </v>
      </c>
      <c r="H664" s="24" t="str">
        <f>IF(J664&lt;&gt;1,"",IF(I664="SBJ","CB","?"))</f>
        <v> </v>
      </c>
      <c r="I664" s="25" t="str">
        <f>IF(OR(E664="",E664="!!!",F664="NEW"),"",INDEX(B663:B$2,-1+SUMPRODUCT(MAX(ROW(E663:E$2)*(E664=E663:E$2)))))</f>
        <v> </v>
      </c>
      <c r="J664" s="25" t="str">
        <f>IF(OR(E664="",E664="!!!",F664="NEW"),"",COUNTBLANK(OFFSET(A$1,,,SUMPRODUCT(MAX(ROW(E$2:E664)*(E664=E$2:E664)))))-COUNTBLANK(OFFSET(A$1,,,SUMPRODUCT(MAX(ROW(E$1:E663)*(E2=E$1:E663))))))</f>
        <v> </v>
      </c>
      <c r="K664" s="25" t="str">
        <f>IF(OR(E664="",E664="!!!",F664="NEW"),"",INDEX(J$1:J663,SUMPRODUCT(MAX(ROW(E$1:E663)*(E664=E$1:E663)))))</f>
        <v> </v>
      </c>
      <c r="L664" s="26"/>
    </row>
    <row r="665" spans="1:12">
      <c r="A665" s="20" t="s">
        <v>320</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row>
    <row r="667" spans="1:12">
      <c r="A667" s="20" t="s">
        <v>541</v>
      </c>
    </row>
    <row r="668" spans="1:12">
      <c r="A668" s="20" t="s">
        <v>255</v>
      </c>
      <c r="B668" s="27" t="s">
        <v>276</v>
      </c>
      <c r="C668" s="27" t="s">
        <v>257</v>
      </c>
      <c r="D668" s="27" t="s">
        <v>258</v>
      </c>
      <c r="E668" s="21">
        <f>IF(D668="?OLD","!!!","")</f>
        <v/>
      </c>
      <c r="F668" s="22" t="str">
        <f>IF(OR(E668="",E668="!!!"),"",IF(NOT(ISNA(VLOOKUP(E668,E$1:E667,1,FALSE()))),"OLD",IF(AND(E668&lt;&gt;"",E668&lt;&gt;"!!!"),"NEW","")))</f>
        <v> </v>
      </c>
      <c r="G668" s="23" t="str">
        <f>IF(OR(E668="",E668="!!!"),"",IF(OR(J668=0,AND(J668=1,K668=1),AND(J668=1,I668="SBJ"),AND(J668=1,I668=0)),"?IN_FOCUS",IF(J668&lt;=2,"?ACTIVATED",IF(J668&lt;&gt;"","?FAMILIAR",IF(F668="NEW",IF(ISNA(VLOOKUP(E668,#REF!,1,FALSE())),"?TYPE_IDENTIFIABLE","?REFERENTIAL"),"_")))))</f>
        <v> </v>
      </c>
      <c r="H668" s="24" t="str">
        <f>IF(J668&lt;&gt;1,"",IF(I668="SBJ","CB","?"))</f>
        <v> </v>
      </c>
      <c r="I668" s="25" t="str">
        <f>IF(OR(E668="",E668="!!!",F668="NEW"),"",INDEX(B667:B$2,-1+SUMPRODUCT(MAX(ROW(E667:E$2)*(E668=E667:E$2)))))</f>
        <v> </v>
      </c>
      <c r="J668" s="25" t="str">
        <f>IF(OR(E668="",E668="!!!",F668="NEW"),"",COUNTBLANK(OFFSET(A$1,,,SUMPRODUCT(MAX(ROW(E$2:E668)*(E668=E$2:E668)))))-COUNTBLANK(OFFSET(A$1,,,SUMPRODUCT(MAX(ROW(E$1:E667)*(E2=E$1:E667))))))</f>
        <v> </v>
      </c>
      <c r="K668" s="25" t="str">
        <f>IF(OR(E668="",E668="!!!",F668="NEW"),"",INDEX(J$1:J667,SUMPRODUCT(MAX(ROW(E$1:E667)*(E668=E$1:E667)))))</f>
        <v> </v>
      </c>
      <c r="L668" s="26"/>
    </row>
    <row r="669" spans="1:12">
      <c r="A669" s="20" t="s">
        <v>343</v>
      </c>
      <c r="E669" s="21">
        <f>IF(D669="?OLD","!!!","")</f>
        <v/>
      </c>
      <c r="F669" s="22" t="str">
        <f>IF(OR(E669="",E669="!!!"),"",IF(NOT(ISNA(VLOOKUP(E669,E$1:E668,1,FALSE()))),"OLD",IF(AND(E669&lt;&gt;"",E669&lt;&gt;"!!!"),"NEW","")))</f>
        <v> </v>
      </c>
      <c r="G669" s="23" t="str">
        <f>IF(OR(E669="",E669="!!!"),"",IF(OR(J669=0,AND(J669=1,K669=1),AND(J669=1,I669="SBJ"),AND(J669=1,I669=0)),"?IN_FOCUS",IF(J669&lt;=2,"?ACTIVATED",IF(J669&lt;&gt;"","?FAMILIAR",IF(F669="NEW",IF(ISNA(VLOOKUP(E669,#REF!,1,FALSE())),"?TYPE_IDENTIFIABLE","?REFERENTIAL"),"_")))))</f>
        <v> </v>
      </c>
      <c r="H669" s="24" t="str">
        <f>IF(J669&lt;&gt;1,"",IF(I669="SBJ","CB","?"))</f>
        <v> </v>
      </c>
      <c r="I669" s="25" t="str">
        <f>IF(OR(E669="",E669="!!!",F669="NEW"),"",INDEX(B668:B$2,-1+SUMPRODUCT(MAX(ROW(E668:E$2)*(E669=E668:E$2)))))</f>
        <v> </v>
      </c>
      <c r="J669" s="25" t="str">
        <f>IF(OR(E669="",E669="!!!",F669="NEW"),"",COUNTBLANK(OFFSET(A$1,,,SUMPRODUCT(MAX(ROW(E$2:E669)*(E669=E$2:E669)))))-COUNTBLANK(OFFSET(A$1,,,SUMPRODUCT(MAX(ROW(E$1:E668)*(E2=E$1:E668))))))</f>
        <v> </v>
      </c>
      <c r="K669" s="25" t="str">
        <f>IF(OR(E669="",E669="!!!",F669="NEW"),"",INDEX(J$1:J668,SUMPRODUCT(MAX(ROW(E$1:E668)*(E669=E$1:E668)))))</f>
        <v> </v>
      </c>
      <c r="L669" s="26"/>
    </row>
    <row r="670" spans="1:12">
      <c r="A670" s="20" t="s">
        <v>542</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t="s">
        <v>543</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t="s">
        <v>274</v>
      </c>
      <c r="E672" s="21">
        <f>IF(D672="?OLD","!!!","")</f>
        <v/>
      </c>
      <c r="F672" s="22" t="str">
        <f>IF(OR(E672="",E672="!!!"),"",IF(NOT(ISNA(VLOOKUP(E672,E$1:E671,1,FALSE()))),"OLD",IF(AND(E672&lt;&gt;"",E672&lt;&gt;"!!!"),"NEW","")))</f>
        <v> </v>
      </c>
      <c r="G672" s="23" t="str">
        <f>IF(OR(E672="",E672="!!!"),"",IF(OR(J672=0,AND(J672=1,K672=1),AND(J672=1,I672="SBJ"),AND(J672=1,I672=0)),"?IN_FOCUS",IF(J672&lt;=2,"?ACTIVATED",IF(J672&lt;&gt;"","?FAMILIAR",IF(F672="NEW",IF(ISNA(VLOOKUP(E672,#REF!,1,FALSE())),"?TYPE_IDENTIFIABLE","?REFERENTIAL"),"_")))))</f>
        <v> </v>
      </c>
      <c r="H672" s="24" t="str">
        <f>IF(J672&lt;&gt;1,"",IF(I672="SBJ","CB","?"))</f>
        <v> </v>
      </c>
      <c r="I672" s="25" t="str">
        <f>IF(OR(E672="",E672="!!!",F672="NEW"),"",INDEX(B671:B$2,-1+SUMPRODUCT(MAX(ROW(E671:E$2)*(E672=E671:E$2)))))</f>
        <v> </v>
      </c>
      <c r="J672" s="25" t="str">
        <f>IF(OR(E672="",E672="!!!",F672="NEW"),"",COUNTBLANK(OFFSET(A$1,,,SUMPRODUCT(MAX(ROW(E$2:E672)*(E672=E$2:E672)))))-COUNTBLANK(OFFSET(A$1,,,SUMPRODUCT(MAX(ROW(E$1:E671)*(E2=E$1:E671))))))</f>
        <v> </v>
      </c>
      <c r="K672" s="25" t="str">
        <f>IF(OR(E672="",E672="!!!",F672="NEW"),"",INDEX(J$1:J671,SUMPRODUCT(MAX(ROW(E$1:E671)*(E672=E$1:E671)))))</f>
        <v> </v>
      </c>
      <c r="L672" s="26"/>
    </row>
    <row r="673" spans="1:12">
      <c r="A673" s="20" t="s">
        <v>544</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t="s">
        <v>545</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t="s">
        <v>373</v>
      </c>
      <c r="E675" s="21">
        <f>IF(D675="?OLD","!!!","")</f>
        <v/>
      </c>
      <c r="F675" s="22" t="str">
        <f>IF(OR(E675="",E675="!!!"),"",IF(NOT(ISNA(VLOOKUP(E675,E$1:E674,1,FALSE()))),"OLD",IF(AND(E675&lt;&gt;"",E675&lt;&gt;"!!!"),"NEW","")))</f>
        <v> </v>
      </c>
      <c r="G675" s="23" t="str">
        <f>IF(OR(E675="",E675="!!!"),"",IF(OR(J675=0,AND(J675=1,K675=1),AND(J675=1,I675="SBJ"),AND(J675=1,I675=0)),"?IN_FOCUS",IF(J675&lt;=2,"?ACTIVATED",IF(J675&lt;&gt;"","?FAMILIAR",IF(F675="NEW",IF(ISNA(VLOOKUP(E675,#REF!,1,FALSE())),"?TYPE_IDENTIFIABLE","?REFERENTIAL"),"_")))))</f>
        <v> </v>
      </c>
      <c r="H675" s="24" t="str">
        <f>IF(J675&lt;&gt;1,"",IF(I675="SBJ","CB","?"))</f>
        <v> </v>
      </c>
      <c r="I675" s="25" t="str">
        <f>IF(OR(E675="",E675="!!!",F675="NEW"),"",INDEX(B674:B$2,-1+SUMPRODUCT(MAX(ROW(E674:E$2)*(E675=E674:E$2)))))</f>
        <v> </v>
      </c>
      <c r="J675" s="25" t="str">
        <f>IF(OR(E675="",E675="!!!",F675="NEW"),"",COUNTBLANK(OFFSET(A$1,,,SUMPRODUCT(MAX(ROW(E$2:E675)*(E675=E$2:E675)))))-COUNTBLANK(OFFSET(A$1,,,SUMPRODUCT(MAX(ROW(E$1:E674)*(E2=E$1:E674))))))</f>
        <v> </v>
      </c>
      <c r="K675" s="25" t="str">
        <f>IF(OR(E675="",E675="!!!",F675="NEW"),"",INDEX(J$1:J674,SUMPRODUCT(MAX(ROW(E$1:E674)*(E675=E$1:E674)))))</f>
        <v> </v>
      </c>
      <c r="L675" s="26"/>
    </row>
    <row r="676" spans="1:12">
      <c r="A676" s="20" t="s">
        <v>546</v>
      </c>
      <c r="E676" s="21">
        <f>IF(D676="?OLD","!!!","")</f>
        <v/>
      </c>
      <c r="F676" s="22" t="str">
        <f>IF(OR(E676="",E676="!!!"),"",IF(NOT(ISNA(VLOOKUP(E676,E$1:E675,1,FALSE()))),"OLD",IF(AND(E676&lt;&gt;"",E676&lt;&gt;"!!!"),"NEW","")))</f>
        <v> </v>
      </c>
      <c r="G676" s="23" t="str">
        <f>IF(OR(E676="",E676="!!!"),"",IF(OR(J676=0,AND(J676=1,K676=1),AND(J676=1,I676="SBJ"),AND(J676=1,I676=0)),"?IN_FOCUS",IF(J676&lt;=2,"?ACTIVATED",IF(J676&lt;&gt;"","?FAMILIAR",IF(F676="NEW",IF(ISNA(VLOOKUP(E676,#REF!,1,FALSE())),"?TYPE_IDENTIFIABLE","?REFERENTIAL"),"_")))))</f>
        <v> </v>
      </c>
      <c r="H676" s="24" t="str">
        <f>IF(J676&lt;&gt;1,"",IF(I676="SBJ","CB","?"))</f>
        <v> </v>
      </c>
      <c r="I676" s="25" t="str">
        <f>IF(OR(E676="",E676="!!!",F676="NEW"),"",INDEX(B675:B$2,-1+SUMPRODUCT(MAX(ROW(E675:E$2)*(E676=E675:E$2)))))</f>
        <v> </v>
      </c>
      <c r="J676" s="25" t="str">
        <f>IF(OR(E676="",E676="!!!",F676="NEW"),"",COUNTBLANK(OFFSET(A$1,,,SUMPRODUCT(MAX(ROW(E$2:E676)*(E676=E$2:E676)))))-COUNTBLANK(OFFSET(A$1,,,SUMPRODUCT(MAX(ROW(E$1:E675)*(E2=E$1:E675))))))</f>
        <v> </v>
      </c>
      <c r="K676" s="25" t="str">
        <f>IF(OR(E676="",E676="!!!",F676="NEW"),"",INDEX(J$1:J675,SUMPRODUCT(MAX(ROW(E$1:E675)*(E676=E$1:E675)))))</f>
        <v> </v>
      </c>
      <c r="L676" s="26"/>
    </row>
    <row r="677" spans="1:12">
      <c r="A677" s="20" t="s">
        <v>525</v>
      </c>
      <c r="E677" s="21">
        <f>IF(D677="?OLD","!!!","")</f>
        <v/>
      </c>
      <c r="F677" s="22" t="str">
        <f>IF(OR(E677="",E677="!!!"),"",IF(NOT(ISNA(VLOOKUP(E677,E$1:E676,1,FALSE()))),"OLD",IF(AND(E677&lt;&gt;"",E677&lt;&gt;"!!!"),"NEW","")))</f>
        <v> </v>
      </c>
      <c r="G677" s="23" t="str">
        <f>IF(OR(E677="",E677="!!!"),"",IF(OR(J677=0,AND(J677=1,K677=1),AND(J677=1,I677="SBJ"),AND(J677=1,I677=0)),"?IN_FOCUS",IF(J677&lt;=2,"?ACTIVATED",IF(J677&lt;&gt;"","?FAMILIAR",IF(F677="NEW",IF(ISNA(VLOOKUP(E677,#REF!,1,FALSE())),"?TYPE_IDENTIFIABLE","?REFERENTIAL"),"_")))))</f>
        <v> </v>
      </c>
      <c r="H677" s="24" t="str">
        <f>IF(J677&lt;&gt;1,"",IF(I677="SBJ","CB","?"))</f>
        <v> </v>
      </c>
      <c r="I677" s="25" t="str">
        <f>IF(OR(E677="",E677="!!!",F677="NEW"),"",INDEX(B676:B$2,-1+SUMPRODUCT(MAX(ROW(E676:E$2)*(E677=E676:E$2)))))</f>
        <v> </v>
      </c>
      <c r="J677" s="25" t="str">
        <f>IF(OR(E677="",E677="!!!",F677="NEW"),"",COUNTBLANK(OFFSET(A$1,,,SUMPRODUCT(MAX(ROW(E$2:E677)*(E677=E$2:E677)))))-COUNTBLANK(OFFSET(A$1,,,SUMPRODUCT(MAX(ROW(E$1:E676)*(E2=E$1:E676))))))</f>
        <v> </v>
      </c>
      <c r="K677" s="25" t="str">
        <f>IF(OR(E677="",E677="!!!",F677="NEW"),"",INDEX(J$1:J676,SUMPRODUCT(MAX(ROW(E$1:E676)*(E677=E$1:E676)))))</f>
        <v> </v>
      </c>
      <c r="L677" s="26"/>
    </row>
    <row r="678" spans="1:12">
      <c r="A678" s="20" t="s">
        <v>547</v>
      </c>
      <c r="B678" s="27" t="s">
        <v>401</v>
      </c>
      <c r="C678" s="27" t="s">
        <v>548</v>
      </c>
      <c r="D678" s="27" t="s">
        <v>258</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t="s">
        <v>327</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t="s">
        <v>191</v>
      </c>
      <c r="E680" s="21">
        <f>IF(D680="?OLD","!!!","")</f>
        <v/>
      </c>
      <c r="F680" s="22" t="str">
        <f>IF(OR(E680="",E680="!!!"),"",IF(NOT(ISNA(VLOOKUP(E680,E$1:E679,1,FALSE()))),"OLD",IF(AND(E680&lt;&gt;"",E680&lt;&gt;"!!!"),"NEW","")))</f>
        <v> </v>
      </c>
      <c r="G680" s="23" t="str">
        <f>IF(OR(E680="",E680="!!!"),"",IF(OR(J680=0,AND(J680=1,K680=1),AND(J680=1,I680="SBJ"),AND(J680=1,I680=0)),"?IN_FOCUS",IF(J680&lt;=2,"?ACTIVATED",IF(J680&lt;&gt;"","?FAMILIAR",IF(F680="NEW",IF(ISNA(VLOOKUP(E680,#REF!,1,FALSE())),"?TYPE_IDENTIFIABLE","?REFERENTIAL"),"_")))))</f>
        <v> </v>
      </c>
      <c r="H680" s="24" t="str">
        <f>IF(J680&lt;&gt;1,"",IF(I680="SBJ","CB","?"))</f>
        <v> </v>
      </c>
      <c r="I680" s="25" t="str">
        <f>IF(OR(E680="",E680="!!!",F680="NEW"),"",INDEX(B679:B$2,-1+SUMPRODUCT(MAX(ROW(E679:E$2)*(E680=E679:E$2)))))</f>
        <v> </v>
      </c>
      <c r="J680" s="25" t="str">
        <f>IF(OR(E680="",E680="!!!",F680="NEW"),"",COUNTBLANK(OFFSET(A$1,,,SUMPRODUCT(MAX(ROW(E$2:E680)*(E680=E$2:E680)))))-COUNTBLANK(OFFSET(A$1,,,SUMPRODUCT(MAX(ROW(E$1:E679)*(E2=E$1:E679))))))</f>
        <v> </v>
      </c>
      <c r="K680" s="25" t="str">
        <f>IF(OR(E680="",E680="!!!",F680="NEW"),"",INDEX(J$1:J679,SUMPRODUCT(MAX(ROW(E$1:E679)*(E680=E$1:E679)))))</f>
        <v> </v>
      </c>
      <c r="L680" s="26"/>
    </row>
    <row r="681" spans="1:12">
      <c r="A681" s="20" t="s">
        <v>320</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row>
    <row r="683" spans="1:12">
      <c r="A683" s="20" t="s">
        <v>549</v>
      </c>
    </row>
    <row r="684" spans="1:12">
      <c r="A684" s="20" t="s">
        <v>550</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t="s">
        <v>551</v>
      </c>
      <c r="E685" s="21">
        <f>IF(D685="?OLD","!!!","")</f>
        <v/>
      </c>
      <c r="F685" s="22" t="str">
        <f>IF(OR(E685="",E685="!!!"),"",IF(NOT(ISNA(VLOOKUP(E685,E$1:E684,1,FALSE()))),"OLD",IF(AND(E685&lt;&gt;"",E685&lt;&gt;"!!!"),"NEW","")))</f>
        <v> </v>
      </c>
      <c r="G685" s="23" t="str">
        <f>IF(OR(E685="",E685="!!!"),"",IF(OR(J685=0,AND(J685=1,K685=1),AND(J685=1,I685="SBJ"),AND(J685=1,I685=0)),"?IN_FOCUS",IF(J685&lt;=2,"?ACTIVATED",IF(J685&lt;&gt;"","?FAMILIAR",IF(F685="NEW",IF(ISNA(VLOOKUP(E685,#REF!,1,FALSE())),"?TYPE_IDENTIFIABLE","?REFERENTIAL"),"_")))))</f>
        <v> </v>
      </c>
      <c r="H685" s="24" t="str">
        <f>IF(J685&lt;&gt;1,"",IF(I685="SBJ","CB","?"))</f>
        <v> </v>
      </c>
      <c r="I685" s="25" t="str">
        <f>IF(OR(E685="",E685="!!!",F685="NEW"),"",INDEX(B684:B$2,-1+SUMPRODUCT(MAX(ROW(E684:E$2)*(E685=E684:E$2)))))</f>
        <v> </v>
      </c>
      <c r="J685" s="25" t="str">
        <f>IF(OR(E685="",E685="!!!",F685="NEW"),"",COUNTBLANK(OFFSET(A$1,,,SUMPRODUCT(MAX(ROW(E$2:E685)*(E685=E$2:E685)))))-COUNTBLANK(OFFSET(A$1,,,SUMPRODUCT(MAX(ROW(E$1:E684)*(E2=E$1:E684))))))</f>
        <v> </v>
      </c>
      <c r="K685" s="25" t="str">
        <f>IF(OR(E685="",E685="!!!",F685="NEW"),"",INDEX(J$1:J684,SUMPRODUCT(MAX(ROW(E$1:E684)*(E685=E$1:E684)))))</f>
        <v> </v>
      </c>
      <c r="L685" s="26"/>
    </row>
    <row r="686" spans="1:12">
      <c r="A686" s="20" t="s">
        <v>280</v>
      </c>
      <c r="E686" s="21">
        <f>IF(D686="?OLD","!!!","")</f>
        <v/>
      </c>
      <c r="F686" s="22" t="str">
        <f>IF(OR(E686="",E686="!!!"),"",IF(NOT(ISNA(VLOOKUP(E686,E$1:E685,1,FALSE()))),"OLD",IF(AND(E686&lt;&gt;"",E686&lt;&gt;"!!!"),"NEW","")))</f>
        <v> </v>
      </c>
      <c r="G686" s="23" t="str">
        <f>IF(OR(E686="",E686="!!!"),"",IF(OR(J686=0,AND(J686=1,K686=1),AND(J686=1,I686="SBJ"),AND(J686=1,I686=0)),"?IN_FOCUS",IF(J686&lt;=2,"?ACTIVATED",IF(J686&lt;&gt;"","?FAMILIAR",IF(F686="NEW",IF(ISNA(VLOOKUP(E686,#REF!,1,FALSE())),"?TYPE_IDENTIFIABLE","?REFERENTIAL"),"_")))))</f>
        <v> </v>
      </c>
      <c r="H686" s="24" t="str">
        <f>IF(J686&lt;&gt;1,"",IF(I686="SBJ","CB","?"))</f>
        <v> </v>
      </c>
      <c r="I686" s="25" t="str">
        <f>IF(OR(E686="",E686="!!!",F686="NEW"),"",INDEX(B685:B$2,-1+SUMPRODUCT(MAX(ROW(E685:E$2)*(E686=E685:E$2)))))</f>
        <v> </v>
      </c>
      <c r="J686" s="25" t="str">
        <f>IF(OR(E686="",E686="!!!",F686="NEW"),"",COUNTBLANK(OFFSET(A$1,,,SUMPRODUCT(MAX(ROW(E$2:E686)*(E686=E$2:E686)))))-COUNTBLANK(OFFSET(A$1,,,SUMPRODUCT(MAX(ROW(E$1:E685)*(E2=E$1:E685))))))</f>
        <v> </v>
      </c>
      <c r="K686" s="25" t="str">
        <f>IF(OR(E686="",E686="!!!",F686="NEW"),"",INDEX(J$1:J685,SUMPRODUCT(MAX(ROW(E$1:E685)*(E686=E$1:E685)))))</f>
        <v> </v>
      </c>
      <c r="L686" s="26"/>
    </row>
    <row r="687" spans="1:12">
      <c r="A687" s="20" t="s">
        <v>416</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t="s">
        <v>552</v>
      </c>
      <c r="E688" s="21">
        <f>IF(D688="?OLD","!!!","")</f>
        <v/>
      </c>
      <c r="F688" s="22" t="str">
        <f>IF(OR(E688="",E688="!!!"),"",IF(NOT(ISNA(VLOOKUP(E688,E$1:E687,1,FALSE()))),"OLD",IF(AND(E688&lt;&gt;"",E688&lt;&gt;"!!!"),"NEW","")))</f>
        <v> </v>
      </c>
      <c r="G688" s="23" t="str">
        <f>IF(OR(E688="",E688="!!!"),"",IF(OR(J688=0,AND(J688=1,K688=1),AND(J688=1,I688="SBJ"),AND(J688=1,I688=0)),"?IN_FOCUS",IF(J688&lt;=2,"?ACTIVATED",IF(J688&lt;&gt;"","?FAMILIAR",IF(F688="NEW",IF(ISNA(VLOOKUP(E688,#REF!,1,FALSE())),"?TYPE_IDENTIFIABLE","?REFERENTIAL"),"_")))))</f>
        <v> </v>
      </c>
      <c r="H688" s="24" t="str">
        <f>IF(J688&lt;&gt;1,"",IF(I688="SBJ","CB","?"))</f>
        <v> </v>
      </c>
      <c r="I688" s="25" t="str">
        <f>IF(OR(E688="",E688="!!!",F688="NEW"),"",INDEX(B687:B$2,-1+SUMPRODUCT(MAX(ROW(E687:E$2)*(E688=E687:E$2)))))</f>
        <v> </v>
      </c>
      <c r="J688" s="25" t="str">
        <f>IF(OR(E688="",E688="!!!",F688="NEW"),"",COUNTBLANK(OFFSET(A$1,,,SUMPRODUCT(MAX(ROW(E$2:E688)*(E688=E$2:E688)))))-COUNTBLANK(OFFSET(A$1,,,SUMPRODUCT(MAX(ROW(E$1:E687)*(E2=E$1:E687))))))</f>
        <v> </v>
      </c>
      <c r="K688" s="25" t="str">
        <f>IF(OR(E688="",E688="!!!",F688="NEW"),"",INDEX(J$1:J687,SUMPRODUCT(MAX(ROW(E$1:E687)*(E688=E$1:E687)))))</f>
        <v> </v>
      </c>
      <c r="L688" s="26"/>
    </row>
    <row r="689" spans="1:12">
      <c r="A689" s="20" t="s">
        <v>553</v>
      </c>
      <c r="B689" s="27" t="s">
        <v>333</v>
      </c>
      <c r="C689" s="27" t="s">
        <v>341</v>
      </c>
      <c r="D689" s="27" t="s">
        <v>258</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271</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282</v>
      </c>
      <c r="B691" s="27" t="s">
        <v>276</v>
      </c>
      <c r="C691" s="27" t="s">
        <v>257</v>
      </c>
      <c r="D691" s="27" t="s">
        <v>258</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t="s">
        <v>259</v>
      </c>
      <c r="E692" s="21">
        <f>IF(D692="?OLD","!!!","")</f>
        <v/>
      </c>
      <c r="F692" s="22" t="str">
        <f>IF(OR(E692="",E692="!!!"),"",IF(NOT(ISNA(VLOOKUP(E692,E$1:E691,1,FALSE()))),"OLD",IF(AND(E692&lt;&gt;"",E692&lt;&gt;"!!!"),"NEW","")))</f>
        <v> </v>
      </c>
      <c r="G692" s="23" t="str">
        <f>IF(OR(E692="",E692="!!!"),"",IF(OR(J692=0,AND(J692=1,K692=1),AND(J692=1,I692="SBJ"),AND(J692=1,I692=0)),"?IN_FOCUS",IF(J692&lt;=2,"?ACTIVATED",IF(J692&lt;&gt;"","?FAMILIAR",IF(F692="NEW",IF(ISNA(VLOOKUP(E692,#REF!,1,FALSE())),"?TYPE_IDENTIFIABLE","?REFERENTIAL"),"_")))))</f>
        <v> </v>
      </c>
      <c r="H692" s="24" t="str">
        <f>IF(J692&lt;&gt;1,"",IF(I692="SBJ","CB","?"))</f>
        <v> </v>
      </c>
      <c r="I692" s="25" t="str">
        <f>IF(OR(E692="",E692="!!!",F692="NEW"),"",INDEX(B691:B$2,-1+SUMPRODUCT(MAX(ROW(E691:E$2)*(E692=E691:E$2)))))</f>
        <v> </v>
      </c>
      <c r="J692" s="25" t="str">
        <f>IF(OR(E692="",E692="!!!",F692="NEW"),"",COUNTBLANK(OFFSET(A$1,,,SUMPRODUCT(MAX(ROW(E$2:E692)*(E692=E$2:E692)))))-COUNTBLANK(OFFSET(A$1,,,SUMPRODUCT(MAX(ROW(E$1:E691)*(E2=E$1:E691))))))</f>
        <v> </v>
      </c>
      <c r="K692" s="25" t="str">
        <f>IF(OR(E692="",E692="!!!",F692="NEW"),"",INDEX(J$1:J691,SUMPRODUCT(MAX(ROW(E$1:E691)*(E692=E$1:E691)))))</f>
        <v> </v>
      </c>
      <c r="L692" s="26"/>
    </row>
    <row r="693" spans="1:12">
      <c r="A693" s="20" t="s">
        <v>60</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t="s">
        <v>329</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t="s">
        <v>418</v>
      </c>
      <c r="B695" s="27" t="s">
        <v>401</v>
      </c>
      <c r="C695" s="27" t="s">
        <v>334</v>
      </c>
      <c r="E695" s="21">
        <f>IF(D695="?OLD","!!!","")</f>
        <v/>
      </c>
      <c r="F695" s="22" t="str">
        <f>IF(OR(E695="",E695="!!!"),"",IF(NOT(ISNA(VLOOKUP(E695,E$1:E694,1,FALSE()))),"OLD",IF(AND(E695&lt;&gt;"",E695&lt;&gt;"!!!"),"NEW","")))</f>
        <v> </v>
      </c>
      <c r="G695" s="23" t="str">
        <f>IF(OR(E695="",E695="!!!"),"",IF(OR(J695=0,AND(J695=1,K695=1),AND(J695=1,I695="SBJ"),AND(J695=1,I695=0)),"?IN_FOCUS",IF(J695&lt;=2,"?ACTIVATED",IF(J695&lt;&gt;"","?FAMILIAR",IF(F695="NEW",IF(ISNA(VLOOKUP(E695,#REF!,1,FALSE())),"?TYPE_IDENTIFIABLE","?REFERENTIAL"),"_")))))</f>
        <v> </v>
      </c>
      <c r="H695" s="24" t="str">
        <f>IF(J695&lt;&gt;1,"",IF(I695="SBJ","CB","?"))</f>
        <v> </v>
      </c>
      <c r="I695" s="25" t="str">
        <f>IF(OR(E695="",E695="!!!",F695="NEW"),"",INDEX(B694:B$2,-1+SUMPRODUCT(MAX(ROW(E694:E$2)*(E695=E694:E$2)))))</f>
        <v> </v>
      </c>
      <c r="J695" s="25" t="str">
        <f>IF(OR(E695="",E695="!!!",F695="NEW"),"",COUNTBLANK(OFFSET(A$1,,,SUMPRODUCT(MAX(ROW(E$2:E695)*(E695=E$2:E695)))))-COUNTBLANK(OFFSET(A$1,,,SUMPRODUCT(MAX(ROW(E$1:E694)*(E2=E$1:E694))))))</f>
        <v> </v>
      </c>
      <c r="K695" s="25" t="str">
        <f>IF(OR(E695="",E695="!!!",F695="NEW"),"",INDEX(J$1:J694,SUMPRODUCT(MAX(ROW(E$1:E694)*(E695=E$1:E694)))))</f>
        <v> </v>
      </c>
      <c r="L695" s="26"/>
    </row>
    <row r="696" spans="1:12">
      <c r="A696" s="20" t="s">
        <v>278</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t="s">
        <v>554</v>
      </c>
      <c r="B697" s="27" t="s">
        <v>267</v>
      </c>
      <c r="C697" s="27" t="s">
        <v>270</v>
      </c>
      <c r="E697" s="21">
        <f>IF(D697="?OLD","!!!","")</f>
        <v/>
      </c>
      <c r="F697" s="22" t="str">
        <f>IF(OR(E697="",E697="!!!"),"",IF(NOT(ISNA(VLOOKUP(E697,E$1:E696,1,FALSE()))),"OLD",IF(AND(E697&lt;&gt;"",E697&lt;&gt;"!!!"),"NEW","")))</f>
        <v> </v>
      </c>
      <c r="G697" s="23" t="str">
        <f>IF(OR(E697="",E697="!!!"),"",IF(OR(J697=0,AND(J697=1,K697=1),AND(J697=1,I697="SBJ"),AND(J697=1,I697=0)),"?IN_FOCUS",IF(J697&lt;=2,"?ACTIVATED",IF(J697&lt;&gt;"","?FAMILIAR",IF(F697="NEW",IF(ISNA(VLOOKUP(E697,#REF!,1,FALSE())),"?TYPE_IDENTIFIABLE","?REFERENTIAL"),"_")))))</f>
        <v> </v>
      </c>
      <c r="H697" s="24" t="str">
        <f>IF(J697&lt;&gt;1,"",IF(I697="SBJ","CB","?"))</f>
        <v> </v>
      </c>
      <c r="I697" s="25" t="str">
        <f>IF(OR(E697="",E697="!!!",F697="NEW"),"",INDEX(B696:B$2,-1+SUMPRODUCT(MAX(ROW(E696:E$2)*(E697=E696:E$2)))))</f>
        <v> </v>
      </c>
      <c r="J697" s="25" t="str">
        <f>IF(OR(E697="",E697="!!!",F697="NEW"),"",COUNTBLANK(OFFSET(A$1,,,SUMPRODUCT(MAX(ROW(E$2:E697)*(E697=E$2:E697)))))-COUNTBLANK(OFFSET(A$1,,,SUMPRODUCT(MAX(ROW(E$1:E696)*(E2=E$1:E696))))))</f>
        <v> </v>
      </c>
      <c r="K697" s="25" t="str">
        <f>IF(OR(E697="",E697="!!!",F697="NEW"),"",INDEX(J$1:J696,SUMPRODUCT(MAX(ROW(E$1:E696)*(E697=E$1:E696)))))</f>
        <v> </v>
      </c>
      <c r="L697" s="26"/>
    </row>
    <row r="698" spans="1:12">
      <c r="A698" s="20" t="s">
        <v>320</v>
      </c>
      <c r="E698" s="21">
        <f>IF(D698="?OLD","!!!","")</f>
        <v/>
      </c>
      <c r="F698" s="22" t="str">
        <f>IF(OR(E698="",E698="!!!"),"",IF(NOT(ISNA(VLOOKUP(E698,E$1:E697,1,FALSE()))),"OLD",IF(AND(E698&lt;&gt;"",E698&lt;&gt;"!!!"),"NEW","")))</f>
        <v> </v>
      </c>
      <c r="G698" s="23" t="str">
        <f>IF(OR(E698="",E698="!!!"),"",IF(OR(J698=0,AND(J698=1,K698=1),AND(J698=1,I698="SBJ"),AND(J698=1,I698=0)),"?IN_FOCUS",IF(J698&lt;=2,"?ACTIVATED",IF(J698&lt;&gt;"","?FAMILIAR",IF(F698="NEW",IF(ISNA(VLOOKUP(E698,#REF!,1,FALSE())),"?TYPE_IDENTIFIABLE","?REFERENTIAL"),"_")))))</f>
        <v> </v>
      </c>
      <c r="H698" s="24" t="str">
        <f>IF(J698&lt;&gt;1,"",IF(I698="SBJ","CB","?"))</f>
        <v> </v>
      </c>
      <c r="I698" s="25" t="str">
        <f>IF(OR(E698="",E698="!!!",F698="NEW"),"",INDEX(B697:B$2,-1+SUMPRODUCT(MAX(ROW(E697:E$2)*(E698=E697:E$2)))))</f>
        <v> </v>
      </c>
      <c r="J698" s="25" t="str">
        <f>IF(OR(E698="",E698="!!!",F698="NEW"),"",COUNTBLANK(OFFSET(A$1,,,SUMPRODUCT(MAX(ROW(E$2:E698)*(E698=E$2:E698)))))-COUNTBLANK(OFFSET(A$1,,,SUMPRODUCT(MAX(ROW(E$1:E697)*(E2=E$1:E697))))))</f>
        <v> </v>
      </c>
      <c r="K698" s="25" t="str">
        <f>IF(OR(E698="",E698="!!!",F698="NEW"),"",INDEX(J$1:J697,SUMPRODUCT(MAX(ROW(E$1:E697)*(E698=E$1:E697)))))</f>
        <v> </v>
      </c>
      <c r="L698" s="26"/>
    </row>
    <row r="699" spans="1:12">
      <c r="A699" s="20"/>
    </row>
    <row r="700" spans="1:12">
      <c r="A700" s="20" t="s">
        <v>555</v>
      </c>
    </row>
    <row r="701" spans="1:12">
      <c r="A701" s="20" t="s">
        <v>556</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t="s">
        <v>361</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t="s">
        <v>271</v>
      </c>
      <c r="E703" s="21">
        <f>IF(D703="?OLD","!!!","")</f>
        <v/>
      </c>
      <c r="F703" s="22" t="str">
        <f>IF(OR(E703="",E703="!!!"),"",IF(NOT(ISNA(VLOOKUP(E703,E$1:E702,1,FALSE()))),"OLD",IF(AND(E703&lt;&gt;"",E703&lt;&gt;"!!!"),"NEW","")))</f>
        <v> </v>
      </c>
      <c r="G703" s="23" t="str">
        <f>IF(OR(E703="",E703="!!!"),"",IF(OR(J703=0,AND(J703=1,K703=1),AND(J703=1,I703="SBJ"),AND(J703=1,I703=0)),"?IN_FOCUS",IF(J703&lt;=2,"?ACTIVATED",IF(J703&lt;&gt;"","?FAMILIAR",IF(F703="NEW",IF(ISNA(VLOOKUP(E703,#REF!,1,FALSE())),"?TYPE_IDENTIFIABLE","?REFERENTIAL"),"_")))))</f>
        <v> </v>
      </c>
      <c r="H703" s="24" t="str">
        <f>IF(J703&lt;&gt;1,"",IF(I703="SBJ","CB","?"))</f>
        <v> </v>
      </c>
      <c r="I703" s="25" t="str">
        <f>IF(OR(E703="",E703="!!!",F703="NEW"),"",INDEX(B702:B$2,-1+SUMPRODUCT(MAX(ROW(E702:E$2)*(E703=E702:E$2)))))</f>
        <v> </v>
      </c>
      <c r="J703" s="25" t="str">
        <f>IF(OR(E703="",E703="!!!",F703="NEW"),"",COUNTBLANK(OFFSET(A$1,,,SUMPRODUCT(MAX(ROW(E$2:E703)*(E703=E$2:E703)))))-COUNTBLANK(OFFSET(A$1,,,SUMPRODUCT(MAX(ROW(E$1:E702)*(E2=E$1:E702))))))</f>
        <v> </v>
      </c>
      <c r="K703" s="25" t="str">
        <f>IF(OR(E703="",E703="!!!",F703="NEW"),"",INDEX(J$1:J702,SUMPRODUCT(MAX(ROW(E$1:E702)*(E703=E$1:E702)))))</f>
        <v> </v>
      </c>
      <c r="L703" s="26"/>
    </row>
    <row r="704" spans="1:12">
      <c r="A704" s="20" t="s">
        <v>282</v>
      </c>
      <c r="B704" s="27" t="s">
        <v>276</v>
      </c>
      <c r="C704" s="27" t="s">
        <v>257</v>
      </c>
      <c r="D704" s="27" t="s">
        <v>258</v>
      </c>
      <c r="E704" s="21">
        <f>IF(D704="?OLD","!!!","")</f>
        <v/>
      </c>
      <c r="F704" s="22" t="str">
        <f>IF(OR(E704="",E704="!!!"),"",IF(NOT(ISNA(VLOOKUP(E704,E$1:E703,1,FALSE()))),"OLD",IF(AND(E704&lt;&gt;"",E704&lt;&gt;"!!!"),"NEW","")))</f>
        <v> </v>
      </c>
      <c r="G704" s="23" t="str">
        <f>IF(OR(E704="",E704="!!!"),"",IF(OR(J704=0,AND(J704=1,K704=1),AND(J704=1,I704="SBJ"),AND(J704=1,I704=0)),"?IN_FOCUS",IF(J704&lt;=2,"?ACTIVATED",IF(J704&lt;&gt;"","?FAMILIAR",IF(F704="NEW",IF(ISNA(VLOOKUP(E704,#REF!,1,FALSE())),"?TYPE_IDENTIFIABLE","?REFERENTIAL"),"_")))))</f>
        <v> </v>
      </c>
      <c r="H704" s="24" t="str">
        <f>IF(J704&lt;&gt;1,"",IF(I704="SBJ","CB","?"))</f>
        <v> </v>
      </c>
      <c r="I704" s="25" t="str">
        <f>IF(OR(E704="",E704="!!!",F704="NEW"),"",INDEX(B703:B$2,-1+SUMPRODUCT(MAX(ROW(E703:E$2)*(E704=E703:E$2)))))</f>
        <v> </v>
      </c>
      <c r="J704" s="25" t="str">
        <f>IF(OR(E704="",E704="!!!",F704="NEW"),"",COUNTBLANK(OFFSET(A$1,,,SUMPRODUCT(MAX(ROW(E$2:E704)*(E704=E$2:E704)))))-COUNTBLANK(OFFSET(A$1,,,SUMPRODUCT(MAX(ROW(E$1:E703)*(E2=E$1:E703))))))</f>
        <v> </v>
      </c>
      <c r="K704" s="25" t="str">
        <f>IF(OR(E704="",E704="!!!",F704="NEW"),"",INDEX(J$1:J703,SUMPRODUCT(MAX(ROW(E$1:E703)*(E704=E$1:E703)))))</f>
        <v> </v>
      </c>
      <c r="L704" s="26"/>
    </row>
    <row r="705" spans="1:12">
      <c r="A705" s="20" t="s">
        <v>55</v>
      </c>
      <c r="E705" s="21">
        <f>IF(D705="?OLD","!!!","")</f>
        <v/>
      </c>
      <c r="F705" s="22" t="str">
        <f>IF(OR(E705="",E705="!!!"),"",IF(NOT(ISNA(VLOOKUP(E705,E$1:E704,1,FALSE()))),"OLD",IF(AND(E705&lt;&gt;"",E705&lt;&gt;"!!!"),"NEW","")))</f>
        <v> </v>
      </c>
      <c r="G705" s="23" t="str">
        <f>IF(OR(E705="",E705="!!!"),"",IF(OR(J705=0,AND(J705=1,K705=1),AND(J705=1,I705="SBJ"),AND(J705=1,I705=0)),"?IN_FOCUS",IF(J705&lt;=2,"?ACTIVATED",IF(J705&lt;&gt;"","?FAMILIAR",IF(F705="NEW",IF(ISNA(VLOOKUP(E705,#REF!,1,FALSE())),"?TYPE_IDENTIFIABLE","?REFERENTIAL"),"_")))))</f>
        <v> </v>
      </c>
      <c r="H705" s="24" t="str">
        <f>IF(J705&lt;&gt;1,"",IF(I705="SBJ","CB","?"))</f>
        <v> </v>
      </c>
      <c r="I705" s="25" t="str">
        <f>IF(OR(E705="",E705="!!!",F705="NEW"),"",INDEX(B704:B$2,-1+SUMPRODUCT(MAX(ROW(E704:E$2)*(E705=E704:E$2)))))</f>
        <v> </v>
      </c>
      <c r="J705" s="25" t="str">
        <f>IF(OR(E705="",E705="!!!",F705="NEW"),"",COUNTBLANK(OFFSET(A$1,,,SUMPRODUCT(MAX(ROW(E$2:E705)*(E705=E$2:E705)))))-COUNTBLANK(OFFSET(A$1,,,SUMPRODUCT(MAX(ROW(E$1:E704)*(E2=E$1:E704))))))</f>
        <v> </v>
      </c>
      <c r="K705" s="25" t="str">
        <f>IF(OR(E705="",E705="!!!",F705="NEW"),"",INDEX(J$1:J704,SUMPRODUCT(MAX(ROW(E$1:E704)*(E705=E$1:E704)))))</f>
        <v> </v>
      </c>
      <c r="L705" s="26"/>
    </row>
    <row r="706" spans="1:12">
      <c r="A706" s="20" t="s">
        <v>329</v>
      </c>
      <c r="E706" s="21">
        <f>IF(D706="?OLD","!!!","")</f>
        <v/>
      </c>
      <c r="F706" s="22" t="str">
        <f>IF(OR(E706="",E706="!!!"),"",IF(NOT(ISNA(VLOOKUP(E706,E$1:E705,1,FALSE()))),"OLD",IF(AND(E706&lt;&gt;"",E706&lt;&gt;"!!!"),"NEW","")))</f>
        <v> </v>
      </c>
      <c r="G706" s="23" t="str">
        <f>IF(OR(E706="",E706="!!!"),"",IF(OR(J706=0,AND(J706=1,K706=1),AND(J706=1,I706="SBJ"),AND(J706=1,I706=0)),"?IN_FOCUS",IF(J706&lt;=2,"?ACTIVATED",IF(J706&lt;&gt;"","?FAMILIAR",IF(F706="NEW",IF(ISNA(VLOOKUP(E706,#REF!,1,FALSE())),"?TYPE_IDENTIFIABLE","?REFERENTIAL"),"_")))))</f>
        <v> </v>
      </c>
      <c r="H706" s="24" t="str">
        <f>IF(J706&lt;&gt;1,"",IF(I706="SBJ","CB","?"))</f>
        <v> </v>
      </c>
      <c r="I706" s="25" t="str">
        <f>IF(OR(E706="",E706="!!!",F706="NEW"),"",INDEX(B705:B$2,-1+SUMPRODUCT(MAX(ROW(E705:E$2)*(E706=E705:E$2)))))</f>
        <v> </v>
      </c>
      <c r="J706" s="25" t="str">
        <f>IF(OR(E706="",E706="!!!",F706="NEW"),"",COUNTBLANK(OFFSET(A$1,,,SUMPRODUCT(MAX(ROW(E$2:E706)*(E706=E$2:E706)))))-COUNTBLANK(OFFSET(A$1,,,SUMPRODUCT(MAX(ROW(E$1:E705)*(E2=E$1:E705))))))</f>
        <v> </v>
      </c>
      <c r="K706" s="25" t="str">
        <f>IF(OR(E706="",E706="!!!",F706="NEW"),"",INDEX(J$1:J705,SUMPRODUCT(MAX(ROW(E$1:E705)*(E706=E$1:E705)))))</f>
        <v> </v>
      </c>
      <c r="L706" s="26"/>
    </row>
    <row r="707" spans="1:12">
      <c r="A707" s="20" t="s">
        <v>557</v>
      </c>
      <c r="B707" s="27" t="s">
        <v>401</v>
      </c>
      <c r="C707" s="27" t="s">
        <v>334</v>
      </c>
      <c r="E707" s="21">
        <f>IF(D707="?OLD","!!!","")</f>
        <v/>
      </c>
      <c r="F707" s="22" t="str">
        <f>IF(OR(E707="",E707="!!!"),"",IF(NOT(ISNA(VLOOKUP(E707,E$1:E706,1,FALSE()))),"OLD",IF(AND(E707&lt;&gt;"",E707&lt;&gt;"!!!"),"NEW","")))</f>
        <v> </v>
      </c>
      <c r="G707" s="23" t="str">
        <f>IF(OR(E707="",E707="!!!"),"",IF(OR(J707=0,AND(J707=1,K707=1),AND(J707=1,I707="SBJ"),AND(J707=1,I707=0)),"?IN_FOCUS",IF(J707&lt;=2,"?ACTIVATED",IF(J707&lt;&gt;"","?FAMILIAR",IF(F707="NEW",IF(ISNA(VLOOKUP(E707,#REF!,1,FALSE())),"?TYPE_IDENTIFIABLE","?REFERENTIAL"),"_")))))</f>
        <v> </v>
      </c>
      <c r="H707" s="24" t="str">
        <f>IF(J707&lt;&gt;1,"",IF(I707="SBJ","CB","?"))</f>
        <v> </v>
      </c>
      <c r="I707" s="25" t="str">
        <f>IF(OR(E707="",E707="!!!",F707="NEW"),"",INDEX(B706:B$2,-1+SUMPRODUCT(MAX(ROW(E706:E$2)*(E707=E706:E$2)))))</f>
        <v> </v>
      </c>
      <c r="J707" s="25" t="str">
        <f>IF(OR(E707="",E707="!!!",F707="NEW"),"",COUNTBLANK(OFFSET(A$1,,,SUMPRODUCT(MAX(ROW(E$2:E707)*(E707=E$2:E707)))))-COUNTBLANK(OFFSET(A$1,,,SUMPRODUCT(MAX(ROW(E$1:E706)*(E2=E$1:E706))))))</f>
        <v> </v>
      </c>
      <c r="K707" s="25" t="str">
        <f>IF(OR(E707="",E707="!!!",F707="NEW"),"",INDEX(J$1:J706,SUMPRODUCT(MAX(ROW(E$1:E706)*(E707=E$1:E706)))))</f>
        <v> </v>
      </c>
      <c r="L707" s="26"/>
    </row>
    <row r="708" spans="1:12">
      <c r="A708" s="20" t="s">
        <v>278</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t="s">
        <v>222</v>
      </c>
      <c r="B709" s="27" t="s">
        <v>267</v>
      </c>
      <c r="C709" s="27" t="s">
        <v>300</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t="s">
        <v>371</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t="s">
        <v>274</v>
      </c>
      <c r="E711" s="21">
        <f>IF(D711="?OLD","!!!","")</f>
        <v/>
      </c>
      <c r="F711" s="22" t="str">
        <f>IF(OR(E711="",E711="!!!"),"",IF(NOT(ISNA(VLOOKUP(E711,E$1:E710,1,FALSE()))),"OLD",IF(AND(E711&lt;&gt;"",E711&lt;&gt;"!!!"),"NEW","")))</f>
        <v> </v>
      </c>
      <c r="G711" s="23" t="str">
        <f>IF(OR(E711="",E711="!!!"),"",IF(OR(J711=0,AND(J711=1,K711=1),AND(J711=1,I711="SBJ"),AND(J711=1,I711=0)),"?IN_FOCUS",IF(J711&lt;=2,"?ACTIVATED",IF(J711&lt;&gt;"","?FAMILIAR",IF(F711="NEW",IF(ISNA(VLOOKUP(E711,#REF!,1,FALSE())),"?TYPE_IDENTIFIABLE","?REFERENTIAL"),"_")))))</f>
        <v> </v>
      </c>
      <c r="H711" s="24" t="str">
        <f>IF(J711&lt;&gt;1,"",IF(I711="SBJ","CB","?"))</f>
        <v> </v>
      </c>
      <c r="I711" s="25" t="str">
        <f>IF(OR(E711="",E711="!!!",F711="NEW"),"",INDEX(B710:B$2,-1+SUMPRODUCT(MAX(ROW(E710:E$2)*(E711=E710:E$2)))))</f>
        <v> </v>
      </c>
      <c r="J711" s="25" t="str">
        <f>IF(OR(E711="",E711="!!!",F711="NEW"),"",COUNTBLANK(OFFSET(A$1,,,SUMPRODUCT(MAX(ROW(E$2:E711)*(E711=E$2:E711)))))-COUNTBLANK(OFFSET(A$1,,,SUMPRODUCT(MAX(ROW(E$1:E710)*(E2=E$1:E710))))))</f>
        <v> </v>
      </c>
      <c r="K711" s="25" t="str">
        <f>IF(OR(E711="",E711="!!!",F711="NEW"),"",INDEX(J$1:J710,SUMPRODUCT(MAX(ROW(E$1:E710)*(E711=E$1:E710)))))</f>
        <v> </v>
      </c>
      <c r="L711" s="26"/>
    </row>
    <row r="712" spans="1:12">
      <c r="A712" s="20" t="s">
        <v>536</v>
      </c>
      <c r="E712" s="21">
        <f>IF(D712="?OLD","!!!","")</f>
        <v/>
      </c>
      <c r="F712" s="22" t="str">
        <f>IF(OR(E712="",E712="!!!"),"",IF(NOT(ISNA(VLOOKUP(E712,E$1:E711,1,FALSE()))),"OLD",IF(AND(E712&lt;&gt;"",E712&lt;&gt;"!!!"),"NEW","")))</f>
        <v> </v>
      </c>
      <c r="G712" s="23" t="str">
        <f>IF(OR(E712="",E712="!!!"),"",IF(OR(J712=0,AND(J712=1,K712=1),AND(J712=1,I712="SBJ"),AND(J712=1,I712=0)),"?IN_FOCUS",IF(J712&lt;=2,"?ACTIVATED",IF(J712&lt;&gt;"","?FAMILIAR",IF(F712="NEW",IF(ISNA(VLOOKUP(E712,#REF!,1,FALSE())),"?TYPE_IDENTIFIABLE","?REFERENTIAL"),"_")))))</f>
        <v> </v>
      </c>
      <c r="H712" s="24" t="str">
        <f>IF(J712&lt;&gt;1,"",IF(I712="SBJ","CB","?"))</f>
        <v> </v>
      </c>
      <c r="I712" s="25" t="str">
        <f>IF(OR(E712="",E712="!!!",F712="NEW"),"",INDEX(B711:B$2,-1+SUMPRODUCT(MAX(ROW(E711:E$2)*(E712=E711:E$2)))))</f>
        <v> </v>
      </c>
      <c r="J712" s="25" t="str">
        <f>IF(OR(E712="",E712="!!!",F712="NEW"),"",COUNTBLANK(OFFSET(A$1,,,SUMPRODUCT(MAX(ROW(E$2:E712)*(E712=E$2:E712)))))-COUNTBLANK(OFFSET(A$1,,,SUMPRODUCT(MAX(ROW(E$1:E711)*(E2=E$1:E711))))))</f>
        <v> </v>
      </c>
      <c r="K712" s="25" t="str">
        <f>IF(OR(E712="",E712="!!!",F712="NEW"),"",INDEX(J$1:J711,SUMPRODUCT(MAX(ROW(E$1:E711)*(E712=E$1:E711)))))</f>
        <v> </v>
      </c>
      <c r="L712" s="26"/>
    </row>
    <row r="713" spans="1:12">
      <c r="A713" s="20" t="s">
        <v>558</v>
      </c>
      <c r="B713" s="27" t="s">
        <v>323</v>
      </c>
      <c r="C713" s="27" t="s">
        <v>277</v>
      </c>
      <c r="D713" s="27" t="s">
        <v>258</v>
      </c>
      <c r="E713" s="21">
        <f>IF(D713="?OLD","!!!","")</f>
        <v/>
      </c>
      <c r="F713" s="22" t="str">
        <f>IF(OR(E713="",E713="!!!"),"",IF(NOT(ISNA(VLOOKUP(E713,E$1:E712,1,FALSE()))),"OLD",IF(AND(E713&lt;&gt;"",E713&lt;&gt;"!!!"),"NEW","")))</f>
        <v> </v>
      </c>
      <c r="G713" s="23" t="str">
        <f>IF(OR(E713="",E713="!!!"),"",IF(OR(J713=0,AND(J713=1,K713=1),AND(J713=1,I713="SBJ"),AND(J713=1,I713=0)),"?IN_FOCUS",IF(J713&lt;=2,"?ACTIVATED",IF(J713&lt;&gt;"","?FAMILIAR",IF(F713="NEW",IF(ISNA(VLOOKUP(E713,#REF!,1,FALSE())),"?TYPE_IDENTIFIABLE","?REFERENTIAL"),"_")))))</f>
        <v> </v>
      </c>
      <c r="H713" s="24" t="str">
        <f>IF(J713&lt;&gt;1,"",IF(I713="SBJ","CB","?"))</f>
        <v> </v>
      </c>
      <c r="I713" s="25" t="str">
        <f>IF(OR(E713="",E713="!!!",F713="NEW"),"",INDEX(B712:B$2,-1+SUMPRODUCT(MAX(ROW(E712:E$2)*(E713=E712:E$2)))))</f>
        <v> </v>
      </c>
      <c r="J713" s="25" t="str">
        <f>IF(OR(E713="",E713="!!!",F713="NEW"),"",COUNTBLANK(OFFSET(A$1,,,SUMPRODUCT(MAX(ROW(E$2:E713)*(E713=E$2:E713)))))-COUNTBLANK(OFFSET(A$1,,,SUMPRODUCT(MAX(ROW(E$1:E712)*(E2=E$1:E712))))))</f>
        <v> </v>
      </c>
      <c r="K713" s="25" t="str">
        <f>IF(OR(E713="",E713="!!!",F713="NEW"),"",INDEX(J$1:J712,SUMPRODUCT(MAX(ROW(E$1:E712)*(E713=E$1:E712)))))</f>
        <v> </v>
      </c>
      <c r="L713" s="26"/>
    </row>
    <row r="714" spans="1:12">
      <c r="A714" s="20" t="s">
        <v>273</v>
      </c>
      <c r="B714" s="27" t="s">
        <v>472</v>
      </c>
      <c r="E714" s="21">
        <f>IF(D714="?OLD","!!!","")</f>
        <v/>
      </c>
      <c r="F714" s="22" t="str">
        <f>IF(OR(E714="",E714="!!!"),"",IF(NOT(ISNA(VLOOKUP(E714,E$1:E713,1,FALSE()))),"OLD",IF(AND(E714&lt;&gt;"",E714&lt;&gt;"!!!"),"NEW","")))</f>
        <v> </v>
      </c>
      <c r="G714" s="23" t="str">
        <f>IF(OR(E714="",E714="!!!"),"",IF(OR(J714=0,AND(J714=1,K714=1),AND(J714=1,I714="SBJ"),AND(J714=1,I714=0)),"?IN_FOCUS",IF(J714&lt;=2,"?ACTIVATED",IF(J714&lt;&gt;"","?FAMILIAR",IF(F714="NEW",IF(ISNA(VLOOKUP(E714,#REF!,1,FALSE())),"?TYPE_IDENTIFIABLE","?REFERENTIAL"),"_")))))</f>
        <v> </v>
      </c>
      <c r="H714" s="24" t="str">
        <f>IF(J714&lt;&gt;1,"",IF(I714="SBJ","CB","?"))</f>
        <v> </v>
      </c>
      <c r="I714" s="25" t="str">
        <f>IF(OR(E714="",E714="!!!",F714="NEW"),"",INDEX(B713:B$2,-1+SUMPRODUCT(MAX(ROW(E713:E$2)*(E714=E713:E$2)))))</f>
        <v> </v>
      </c>
      <c r="J714" s="25" t="str">
        <f>IF(OR(E714="",E714="!!!",F714="NEW"),"",COUNTBLANK(OFFSET(A$1,,,SUMPRODUCT(MAX(ROW(E$2:E714)*(E714=E$2:E714)))))-COUNTBLANK(OFFSET(A$1,,,SUMPRODUCT(MAX(ROW(E$1:E713)*(E2=E$1:E713))))))</f>
        <v> </v>
      </c>
      <c r="K714" s="25" t="str">
        <f>IF(OR(E714="",E714="!!!",F714="NEW"),"",INDEX(J$1:J713,SUMPRODUCT(MAX(ROW(E$1:E713)*(E714=E$1:E713)))))</f>
        <v> </v>
      </c>
      <c r="L714" s="26"/>
    </row>
    <row r="715" spans="1:12">
      <c r="A715" s="20" t="s">
        <v>371</v>
      </c>
      <c r="E715" s="21">
        <f>IF(D715="?OLD","!!!","")</f>
        <v/>
      </c>
      <c r="F715" s="22" t="str">
        <f>IF(OR(E715="",E715="!!!"),"",IF(NOT(ISNA(VLOOKUP(E715,E$1:E714,1,FALSE()))),"OLD",IF(AND(E715&lt;&gt;"",E715&lt;&gt;"!!!"),"NEW","")))</f>
        <v> </v>
      </c>
      <c r="G715" s="23" t="str">
        <f>IF(OR(E715="",E715="!!!"),"",IF(OR(J715=0,AND(J715=1,K715=1),AND(J715=1,I715="SBJ"),AND(J715=1,I715=0)),"?IN_FOCUS",IF(J715&lt;=2,"?ACTIVATED",IF(J715&lt;&gt;"","?FAMILIAR",IF(F715="NEW",IF(ISNA(VLOOKUP(E715,#REF!,1,FALSE())),"?TYPE_IDENTIFIABLE","?REFERENTIAL"),"_")))))</f>
        <v> </v>
      </c>
      <c r="H715" s="24" t="str">
        <f>IF(J715&lt;&gt;1,"",IF(I715="SBJ","CB","?"))</f>
        <v> </v>
      </c>
      <c r="I715" s="25" t="str">
        <f>IF(OR(E715="",E715="!!!",F715="NEW"),"",INDEX(B714:B$2,-1+SUMPRODUCT(MAX(ROW(E714:E$2)*(E715=E714:E$2)))))</f>
        <v> </v>
      </c>
      <c r="J715" s="25" t="str">
        <f>IF(OR(E715="",E715="!!!",F715="NEW"),"",COUNTBLANK(OFFSET(A$1,,,SUMPRODUCT(MAX(ROW(E$2:E715)*(E715=E$2:E715)))))-COUNTBLANK(OFFSET(A$1,,,SUMPRODUCT(MAX(ROW(E$1:E714)*(E2=E$1:E714))))))</f>
        <v> </v>
      </c>
      <c r="K715" s="25" t="str">
        <f>IF(OR(E715="",E715="!!!",F715="NEW"),"",INDEX(J$1:J714,SUMPRODUCT(MAX(ROW(E$1:E714)*(E715=E$1:E714)))))</f>
        <v> </v>
      </c>
      <c r="L715" s="26"/>
    </row>
    <row r="716" spans="1:12">
      <c r="A716" s="20" t="s">
        <v>373</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t="s">
        <v>546</v>
      </c>
      <c r="E717" s="21">
        <f>IF(D717="?OLD","!!!","")</f>
        <v/>
      </c>
      <c r="F717" s="22" t="str">
        <f>IF(OR(E717="",E717="!!!"),"",IF(NOT(ISNA(VLOOKUP(E717,E$1:E716,1,FALSE()))),"OLD",IF(AND(E717&lt;&gt;"",E717&lt;&gt;"!!!"),"NEW","")))</f>
        <v> </v>
      </c>
      <c r="G717" s="23" t="str">
        <f>IF(OR(E717="",E717="!!!"),"",IF(OR(J717=0,AND(J717=1,K717=1),AND(J717=1,I717="SBJ"),AND(J717=1,I717=0)),"?IN_FOCUS",IF(J717&lt;=2,"?ACTIVATED",IF(J717&lt;&gt;"","?FAMILIAR",IF(F717="NEW",IF(ISNA(VLOOKUP(E717,#REF!,1,FALSE())),"?TYPE_IDENTIFIABLE","?REFERENTIAL"),"_")))))</f>
        <v> </v>
      </c>
      <c r="H717" s="24" t="str">
        <f>IF(J717&lt;&gt;1,"",IF(I717="SBJ","CB","?"))</f>
        <v> </v>
      </c>
      <c r="I717" s="25" t="str">
        <f>IF(OR(E717="",E717="!!!",F717="NEW"),"",INDEX(B716:B$2,-1+SUMPRODUCT(MAX(ROW(E716:E$2)*(E717=E716:E$2)))))</f>
        <v> </v>
      </c>
      <c r="J717" s="25" t="str">
        <f>IF(OR(E717="",E717="!!!",F717="NEW"),"",COUNTBLANK(OFFSET(A$1,,,SUMPRODUCT(MAX(ROW(E$2:E717)*(E717=E$2:E717)))))-COUNTBLANK(OFFSET(A$1,,,SUMPRODUCT(MAX(ROW(E$1:E716)*(E2=E$1:E716))))))</f>
        <v> </v>
      </c>
      <c r="K717" s="25" t="str">
        <f>IF(OR(E717="",E717="!!!",F717="NEW"),"",INDEX(J$1:J716,SUMPRODUCT(MAX(ROW(E$1:E716)*(E717=E$1:E716)))))</f>
        <v> </v>
      </c>
      <c r="L717" s="26"/>
    </row>
    <row r="718" spans="1:12">
      <c r="A718" s="20" t="s">
        <v>442</v>
      </c>
      <c r="E718" s="21">
        <f>IF(D718="?OLD","!!!","")</f>
        <v/>
      </c>
      <c r="F718" s="22" t="str">
        <f>IF(OR(E718="",E718="!!!"),"",IF(NOT(ISNA(VLOOKUP(E718,E$1:E717,1,FALSE()))),"OLD",IF(AND(E718&lt;&gt;"",E718&lt;&gt;"!!!"),"NEW","")))</f>
        <v> </v>
      </c>
      <c r="G718" s="23" t="str">
        <f>IF(OR(E718="",E718="!!!"),"",IF(OR(J718=0,AND(J718=1,K718=1),AND(J718=1,I718="SBJ"),AND(J718=1,I718=0)),"?IN_FOCUS",IF(J718&lt;=2,"?ACTIVATED",IF(J718&lt;&gt;"","?FAMILIAR",IF(F718="NEW",IF(ISNA(VLOOKUP(E718,#REF!,1,FALSE())),"?TYPE_IDENTIFIABLE","?REFERENTIAL"),"_")))))</f>
        <v> </v>
      </c>
      <c r="H718" s="24" t="str">
        <f>IF(J718&lt;&gt;1,"",IF(I718="SBJ","CB","?"))</f>
        <v> </v>
      </c>
      <c r="I718" s="25" t="str">
        <f>IF(OR(E718="",E718="!!!",F718="NEW"),"",INDEX(B717:B$2,-1+SUMPRODUCT(MAX(ROW(E717:E$2)*(E718=E717:E$2)))))</f>
        <v> </v>
      </c>
      <c r="J718" s="25" t="str">
        <f>IF(OR(E718="",E718="!!!",F718="NEW"),"",COUNTBLANK(OFFSET(A$1,,,SUMPRODUCT(MAX(ROW(E$2:E718)*(E718=E$2:E718)))))-COUNTBLANK(OFFSET(A$1,,,SUMPRODUCT(MAX(ROW(E$1:E717)*(E2=E$1:E717))))))</f>
        <v> </v>
      </c>
      <c r="K718" s="25" t="str">
        <f>IF(OR(E718="",E718="!!!",F718="NEW"),"",INDEX(J$1:J717,SUMPRODUCT(MAX(ROW(E$1:E717)*(E718=E$1:E717)))))</f>
        <v> </v>
      </c>
      <c r="L718" s="26"/>
    </row>
    <row r="719" spans="1:12">
      <c r="A719" s="20" t="s">
        <v>525</v>
      </c>
      <c r="B719" s="27" t="s">
        <v>283</v>
      </c>
      <c r="C719" s="27" t="s">
        <v>351</v>
      </c>
      <c r="D719" s="27" t="s">
        <v>258</v>
      </c>
      <c r="E719" s="21">
        <f>IF(D719="?OLD","!!!","")</f>
        <v/>
      </c>
      <c r="F719" s="22" t="str">
        <f>IF(OR(E719="",E719="!!!"),"",IF(NOT(ISNA(VLOOKUP(E719,E$1:E718,1,FALSE()))),"OLD",IF(AND(E719&lt;&gt;"",E719&lt;&gt;"!!!"),"NEW","")))</f>
        <v> </v>
      </c>
      <c r="G719" s="23" t="str">
        <f>IF(OR(E719="",E719="!!!"),"",IF(OR(J719=0,AND(J719=1,K719=1),AND(J719=1,I719="SBJ"),AND(J719=1,I719=0)),"?IN_FOCUS",IF(J719&lt;=2,"?ACTIVATED",IF(J719&lt;&gt;"","?FAMILIAR",IF(F719="NEW",IF(ISNA(VLOOKUP(E719,#REF!,1,FALSE())),"?TYPE_IDENTIFIABLE","?REFERENTIAL"),"_")))))</f>
        <v> </v>
      </c>
      <c r="H719" s="24" t="str">
        <f>IF(J719&lt;&gt;1,"",IF(I719="SBJ","CB","?"))</f>
        <v> </v>
      </c>
      <c r="I719" s="25" t="str">
        <f>IF(OR(E719="",E719="!!!",F719="NEW"),"",INDEX(B718:B$2,-1+SUMPRODUCT(MAX(ROW(E718:E$2)*(E719=E718:E$2)))))</f>
        <v> </v>
      </c>
      <c r="J719" s="25" t="str">
        <f>IF(OR(E719="",E719="!!!",F719="NEW"),"",COUNTBLANK(OFFSET(A$1,,,SUMPRODUCT(MAX(ROW(E$2:E719)*(E719=E$2:E719)))))-COUNTBLANK(OFFSET(A$1,,,SUMPRODUCT(MAX(ROW(E$1:E718)*(E2=E$1:E718))))))</f>
        <v> </v>
      </c>
      <c r="K719" s="25" t="str">
        <f>IF(OR(E719="",E719="!!!",F719="NEW"),"",INDEX(J$1:J718,SUMPRODUCT(MAX(ROW(E$1:E718)*(E719=E$1:E718)))))</f>
        <v> </v>
      </c>
      <c r="L719" s="26"/>
    </row>
    <row r="720" spans="1:12">
      <c r="A720" s="20" t="s">
        <v>320</v>
      </c>
      <c r="E720" s="21">
        <f>IF(D720="?OLD","!!!","")</f>
        <v/>
      </c>
      <c r="F720" s="22" t="str">
        <f>IF(OR(E720="",E720="!!!"),"",IF(NOT(ISNA(VLOOKUP(E720,E$1:E719,1,FALSE()))),"OLD",IF(AND(E720&lt;&gt;"",E720&lt;&gt;"!!!"),"NEW","")))</f>
        <v> </v>
      </c>
      <c r="G720" s="23" t="str">
        <f>IF(OR(E720="",E720="!!!"),"",IF(OR(J720=0,AND(J720=1,K720=1),AND(J720=1,I720="SBJ"),AND(J720=1,I720=0)),"?IN_FOCUS",IF(J720&lt;=2,"?ACTIVATED",IF(J720&lt;&gt;"","?FAMILIAR",IF(F720="NEW",IF(ISNA(VLOOKUP(E720,#REF!,1,FALSE())),"?TYPE_IDENTIFIABLE","?REFERENTIAL"),"_")))))</f>
        <v> </v>
      </c>
      <c r="H720" s="24" t="str">
        <f>IF(J720&lt;&gt;1,"",IF(I720="SBJ","CB","?"))</f>
        <v> </v>
      </c>
      <c r="I720" s="25" t="str">
        <f>IF(OR(E720="",E720="!!!",F720="NEW"),"",INDEX(B719:B$2,-1+SUMPRODUCT(MAX(ROW(E719:E$2)*(E720=E719:E$2)))))</f>
        <v> </v>
      </c>
      <c r="J720" s="25" t="str">
        <f>IF(OR(E720="",E720="!!!",F720="NEW"),"",COUNTBLANK(OFFSET(A$1,,,SUMPRODUCT(MAX(ROW(E$2:E720)*(E720=E$2:E720)))))-COUNTBLANK(OFFSET(A$1,,,SUMPRODUCT(MAX(ROW(E$1:E719)*(E2=E$1:E719))))))</f>
        <v> </v>
      </c>
      <c r="K720" s="25" t="str">
        <f>IF(OR(E720="",E720="!!!",F720="NEW"),"",INDEX(J$1:J719,SUMPRODUCT(MAX(ROW(E$1:E719)*(E720=E$1:E719)))))</f>
        <v> </v>
      </c>
      <c r="L720" s="26"/>
    </row>
    <row r="721" spans="1:12">
      <c r="A721" s="20"/>
    </row>
    <row r="722" spans="1:12">
      <c r="A722" s="20" t="s">
        <v>559</v>
      </c>
    </row>
    <row r="723" spans="1:12">
      <c r="A723" s="20" t="s">
        <v>255</v>
      </c>
      <c r="B723" s="27" t="s">
        <v>276</v>
      </c>
      <c r="C723" s="27" t="s">
        <v>257</v>
      </c>
      <c r="D723" s="27" t="s">
        <v>258</v>
      </c>
      <c r="E723" s="21">
        <f>IF(D723="?OLD","!!!","")</f>
        <v/>
      </c>
      <c r="F723" s="22" t="str">
        <f>IF(OR(E723="",E723="!!!"),"",IF(NOT(ISNA(VLOOKUP(E723,E$1:E722,1,FALSE()))),"OLD",IF(AND(E723&lt;&gt;"",E723&lt;&gt;"!!!"),"NEW","")))</f>
        <v> </v>
      </c>
      <c r="G723" s="23" t="str">
        <f>IF(OR(E723="",E723="!!!"),"",IF(OR(J723=0,AND(J723=1,K723=1),AND(J723=1,I723="SBJ"),AND(J723=1,I723=0)),"?IN_FOCUS",IF(J723&lt;=2,"?ACTIVATED",IF(J723&lt;&gt;"","?FAMILIAR",IF(F723="NEW",IF(ISNA(VLOOKUP(E723,#REF!,1,FALSE())),"?TYPE_IDENTIFIABLE","?REFERENTIAL"),"_")))))</f>
        <v> </v>
      </c>
      <c r="H723" s="24" t="str">
        <f>IF(J723&lt;&gt;1,"",IF(I723="SBJ","CB","?"))</f>
        <v> </v>
      </c>
      <c r="I723" s="25" t="str">
        <f>IF(OR(E723="",E723="!!!",F723="NEW"),"",INDEX(B722:B$2,-1+SUMPRODUCT(MAX(ROW(E722:E$2)*(E723=E722:E$2)))))</f>
        <v> </v>
      </c>
      <c r="J723" s="25" t="str">
        <f>IF(OR(E723="",E723="!!!",F723="NEW"),"",COUNTBLANK(OFFSET(A$1,,,SUMPRODUCT(MAX(ROW(E$2:E723)*(E723=E$2:E723)))))-COUNTBLANK(OFFSET(A$1,,,SUMPRODUCT(MAX(ROW(E$1:E722)*(E2=E$1:E722))))))</f>
        <v> </v>
      </c>
      <c r="K723" s="25" t="str">
        <f>IF(OR(E723="",E723="!!!",F723="NEW"),"",INDEX(J$1:J722,SUMPRODUCT(MAX(ROW(E$1:E722)*(E723=E$1:E722)))))</f>
        <v> </v>
      </c>
      <c r="L723" s="26"/>
    </row>
    <row r="724" spans="1:12">
      <c r="A724" s="20" t="s">
        <v>343</v>
      </c>
      <c r="E724" s="21">
        <f>IF(D724="?OLD","!!!","")</f>
        <v/>
      </c>
      <c r="F724" s="22" t="str">
        <f>IF(OR(E724="",E724="!!!"),"",IF(NOT(ISNA(VLOOKUP(E724,E$1:E723,1,FALSE()))),"OLD",IF(AND(E724&lt;&gt;"",E724&lt;&gt;"!!!"),"NEW","")))</f>
        <v> </v>
      </c>
      <c r="G724" s="23" t="str">
        <f>IF(OR(E724="",E724="!!!"),"",IF(OR(J724=0,AND(J724=1,K724=1),AND(J724=1,I724="SBJ"),AND(J724=1,I724=0)),"?IN_FOCUS",IF(J724&lt;=2,"?ACTIVATED",IF(J724&lt;&gt;"","?FAMILIAR",IF(F724="NEW",IF(ISNA(VLOOKUP(E724,#REF!,1,FALSE())),"?TYPE_IDENTIFIABLE","?REFERENTIAL"),"_")))))</f>
        <v> </v>
      </c>
      <c r="H724" s="24" t="str">
        <f>IF(J724&lt;&gt;1,"",IF(I724="SBJ","CB","?"))</f>
        <v> </v>
      </c>
      <c r="I724" s="25" t="str">
        <f>IF(OR(E724="",E724="!!!",F724="NEW"),"",INDEX(B723:B$2,-1+SUMPRODUCT(MAX(ROW(E723:E$2)*(E724=E723:E$2)))))</f>
        <v> </v>
      </c>
      <c r="J724" s="25" t="str">
        <f>IF(OR(E724="",E724="!!!",F724="NEW"),"",COUNTBLANK(OFFSET(A$1,,,SUMPRODUCT(MAX(ROW(E$2:E724)*(E724=E$2:E724)))))-COUNTBLANK(OFFSET(A$1,,,SUMPRODUCT(MAX(ROW(E$1:E723)*(E2=E$1:E723))))))</f>
        <v> </v>
      </c>
      <c r="K724" s="25" t="str">
        <f>IF(OR(E724="",E724="!!!",F724="NEW"),"",INDEX(J$1:J723,SUMPRODUCT(MAX(ROW(E$1:E723)*(E724=E$1:E723)))))</f>
        <v> </v>
      </c>
      <c r="L724" s="26"/>
    </row>
    <row r="725" spans="1:12">
      <c r="A725" s="20" t="s">
        <v>501</v>
      </c>
      <c r="E725" s="21">
        <f>IF(D725="?OLD","!!!","")</f>
        <v/>
      </c>
      <c r="F725" s="22" t="str">
        <f>IF(OR(E725="",E725="!!!"),"",IF(NOT(ISNA(VLOOKUP(E725,E$1:E724,1,FALSE()))),"OLD",IF(AND(E725&lt;&gt;"",E725&lt;&gt;"!!!"),"NEW","")))</f>
        <v> </v>
      </c>
      <c r="G725" s="23" t="str">
        <f>IF(OR(E725="",E725="!!!"),"",IF(OR(J725=0,AND(J725=1,K725=1),AND(J725=1,I725="SBJ"),AND(J725=1,I725=0)),"?IN_FOCUS",IF(J725&lt;=2,"?ACTIVATED",IF(J725&lt;&gt;"","?FAMILIAR",IF(F725="NEW",IF(ISNA(VLOOKUP(E725,#REF!,1,FALSE())),"?TYPE_IDENTIFIABLE","?REFERENTIAL"),"_")))))</f>
        <v> </v>
      </c>
      <c r="H725" s="24" t="str">
        <f>IF(J725&lt;&gt;1,"",IF(I725="SBJ","CB","?"))</f>
        <v> </v>
      </c>
      <c r="I725" s="25" t="str">
        <f>IF(OR(E725="",E725="!!!",F725="NEW"),"",INDEX(B724:B$2,-1+SUMPRODUCT(MAX(ROW(E724:E$2)*(E725=E724:E$2)))))</f>
        <v> </v>
      </c>
      <c r="J725" s="25" t="str">
        <f>IF(OR(E725="",E725="!!!",F725="NEW"),"",COUNTBLANK(OFFSET(A$1,,,SUMPRODUCT(MAX(ROW(E$2:E725)*(E725=E$2:E725)))))-COUNTBLANK(OFFSET(A$1,,,SUMPRODUCT(MAX(ROW(E$1:E724)*(E2=E$1:E724))))))</f>
        <v> </v>
      </c>
      <c r="K725" s="25" t="str">
        <f>IF(OR(E725="",E725="!!!",F725="NEW"),"",INDEX(J$1:J724,SUMPRODUCT(MAX(ROW(E$1:E724)*(E725=E$1:E724)))))</f>
        <v> </v>
      </c>
      <c r="L725" s="26"/>
    </row>
    <row r="726" spans="1:12">
      <c r="A726" s="20" t="s">
        <v>305</v>
      </c>
      <c r="E726" s="21">
        <f>IF(D726="?OLD","!!!","")</f>
        <v/>
      </c>
      <c r="F726" s="22" t="str">
        <f>IF(OR(E726="",E726="!!!"),"",IF(NOT(ISNA(VLOOKUP(E726,E$1:E725,1,FALSE()))),"OLD",IF(AND(E726&lt;&gt;"",E726&lt;&gt;"!!!"),"NEW","")))</f>
        <v> </v>
      </c>
      <c r="G726" s="23" t="str">
        <f>IF(OR(E726="",E726="!!!"),"",IF(OR(J726=0,AND(J726=1,K726=1),AND(J726=1,I726="SBJ"),AND(J726=1,I726=0)),"?IN_FOCUS",IF(J726&lt;=2,"?ACTIVATED",IF(J726&lt;&gt;"","?FAMILIAR",IF(F726="NEW",IF(ISNA(VLOOKUP(E726,#REF!,1,FALSE())),"?TYPE_IDENTIFIABLE","?REFERENTIAL"),"_")))))</f>
        <v> </v>
      </c>
      <c r="H726" s="24" t="str">
        <f>IF(J726&lt;&gt;1,"",IF(I726="SBJ","CB","?"))</f>
        <v> </v>
      </c>
      <c r="I726" s="25" t="str">
        <f>IF(OR(E726="",E726="!!!",F726="NEW"),"",INDEX(B725:B$2,-1+SUMPRODUCT(MAX(ROW(E725:E$2)*(E726=E725:E$2)))))</f>
        <v> </v>
      </c>
      <c r="J726" s="25" t="str">
        <f>IF(OR(E726="",E726="!!!",F726="NEW"),"",COUNTBLANK(OFFSET(A$1,,,SUMPRODUCT(MAX(ROW(E$2:E726)*(E726=E$2:E726)))))-COUNTBLANK(OFFSET(A$1,,,SUMPRODUCT(MAX(ROW(E$1:E725)*(E2=E$1:E725))))))</f>
        <v> </v>
      </c>
      <c r="K726" s="25" t="str">
        <f>IF(OR(E726="",E726="!!!",F726="NEW"),"",INDEX(J$1:J725,SUMPRODUCT(MAX(ROW(E$1:E725)*(E726=E$1:E725)))))</f>
        <v> </v>
      </c>
      <c r="L726" s="26"/>
    </row>
    <row r="727" spans="1:12">
      <c r="A727" s="20" t="s">
        <v>71</v>
      </c>
      <c r="E727" s="21">
        <f>IF(D727="?OLD","!!!","")</f>
        <v/>
      </c>
      <c r="F727" s="22" t="str">
        <f>IF(OR(E727="",E727="!!!"),"",IF(NOT(ISNA(VLOOKUP(E727,E$1:E726,1,FALSE()))),"OLD",IF(AND(E727&lt;&gt;"",E727&lt;&gt;"!!!"),"NEW","")))</f>
        <v> </v>
      </c>
      <c r="G727" s="23" t="str">
        <f>IF(OR(E727="",E727="!!!"),"",IF(OR(J727=0,AND(J727=1,K727=1),AND(J727=1,I727="SBJ"),AND(J727=1,I727=0)),"?IN_FOCUS",IF(J727&lt;=2,"?ACTIVATED",IF(J727&lt;&gt;"","?FAMILIAR",IF(F727="NEW",IF(ISNA(VLOOKUP(E727,#REF!,1,FALSE())),"?TYPE_IDENTIFIABLE","?REFERENTIAL"),"_")))))</f>
        <v> </v>
      </c>
      <c r="H727" s="24" t="str">
        <f>IF(J727&lt;&gt;1,"",IF(I727="SBJ","CB","?"))</f>
        <v> </v>
      </c>
      <c r="I727" s="25" t="str">
        <f>IF(OR(E727="",E727="!!!",F727="NEW"),"",INDEX(B726:B$2,-1+SUMPRODUCT(MAX(ROW(E726:E$2)*(E727=E726:E$2)))))</f>
        <v> </v>
      </c>
      <c r="J727" s="25" t="str">
        <f>IF(OR(E727="",E727="!!!",F727="NEW"),"",COUNTBLANK(OFFSET(A$1,,,SUMPRODUCT(MAX(ROW(E$2:E727)*(E727=E$2:E727)))))-COUNTBLANK(OFFSET(A$1,,,SUMPRODUCT(MAX(ROW(E$1:E726)*(E2=E$1:E726))))))</f>
        <v> </v>
      </c>
      <c r="K727" s="25" t="str">
        <f>IF(OR(E727="",E727="!!!",F727="NEW"),"",INDEX(J$1:J726,SUMPRODUCT(MAX(ROW(E$1:E726)*(E727=E$1:E726)))))</f>
        <v> </v>
      </c>
      <c r="L727" s="26"/>
    </row>
    <row r="728" spans="1:12">
      <c r="A728" s="20" t="s">
        <v>399</v>
      </c>
      <c r="E728" s="21">
        <f>IF(D728="?OLD","!!!","")</f>
        <v/>
      </c>
      <c r="F728" s="22" t="str">
        <f>IF(OR(E728="",E728="!!!"),"",IF(NOT(ISNA(VLOOKUP(E728,E$1:E727,1,FALSE()))),"OLD",IF(AND(E728&lt;&gt;"",E728&lt;&gt;"!!!"),"NEW","")))</f>
        <v> </v>
      </c>
      <c r="G728" s="23" t="str">
        <f>IF(OR(E728="",E728="!!!"),"",IF(OR(J728=0,AND(J728=1,K728=1),AND(J728=1,I728="SBJ"),AND(J728=1,I728=0)),"?IN_FOCUS",IF(J728&lt;=2,"?ACTIVATED",IF(J728&lt;&gt;"","?FAMILIAR",IF(F728="NEW",IF(ISNA(VLOOKUP(E728,#REF!,1,FALSE())),"?TYPE_IDENTIFIABLE","?REFERENTIAL"),"_")))))</f>
        <v> </v>
      </c>
      <c r="H728" s="24" t="str">
        <f>IF(J728&lt;&gt;1,"",IF(I728="SBJ","CB","?"))</f>
        <v> </v>
      </c>
      <c r="I728" s="25" t="str">
        <f>IF(OR(E728="",E728="!!!",F728="NEW"),"",INDEX(B727:B$2,-1+SUMPRODUCT(MAX(ROW(E727:E$2)*(E728=E727:E$2)))))</f>
        <v> </v>
      </c>
      <c r="J728" s="25" t="str">
        <f>IF(OR(E728="",E728="!!!",F728="NEW"),"",COUNTBLANK(OFFSET(A$1,,,SUMPRODUCT(MAX(ROW(E$2:E728)*(E728=E$2:E728)))))-COUNTBLANK(OFFSET(A$1,,,SUMPRODUCT(MAX(ROW(E$1:E727)*(E2=E$1:E727))))))</f>
        <v> </v>
      </c>
      <c r="K728" s="25" t="str">
        <f>IF(OR(E728="",E728="!!!",F728="NEW"),"",INDEX(J$1:J727,SUMPRODUCT(MAX(ROW(E$1:E727)*(E728=E$1:E727)))))</f>
        <v> </v>
      </c>
      <c r="L728" s="26"/>
    </row>
    <row r="729" spans="1:12">
      <c r="A729" s="20" t="s">
        <v>293</v>
      </c>
      <c r="E729" s="21">
        <f>IF(D729="?OLD","!!!","")</f>
        <v/>
      </c>
      <c r="F729" s="22" t="str">
        <f>IF(OR(E729="",E729="!!!"),"",IF(NOT(ISNA(VLOOKUP(E729,E$1:E728,1,FALSE()))),"OLD",IF(AND(E729&lt;&gt;"",E729&lt;&gt;"!!!"),"NEW","")))</f>
        <v> </v>
      </c>
      <c r="G729" s="23" t="str">
        <f>IF(OR(E729="",E729="!!!"),"",IF(OR(J729=0,AND(J729=1,K729=1),AND(J729=1,I729="SBJ"),AND(J729=1,I729=0)),"?IN_FOCUS",IF(J729&lt;=2,"?ACTIVATED",IF(J729&lt;&gt;"","?FAMILIAR",IF(F729="NEW",IF(ISNA(VLOOKUP(E729,#REF!,1,FALSE())),"?TYPE_IDENTIFIABLE","?REFERENTIAL"),"_")))))</f>
        <v> </v>
      </c>
      <c r="H729" s="24" t="str">
        <f>IF(J729&lt;&gt;1,"",IF(I729="SBJ","CB","?"))</f>
        <v> </v>
      </c>
      <c r="I729" s="25" t="str">
        <f>IF(OR(E729="",E729="!!!",F729="NEW"),"",INDEX(B728:B$2,-1+SUMPRODUCT(MAX(ROW(E728:E$2)*(E729=E728:E$2)))))</f>
        <v> </v>
      </c>
      <c r="J729" s="25" t="str">
        <f>IF(OR(E729="",E729="!!!",F729="NEW"),"",COUNTBLANK(OFFSET(A$1,,,SUMPRODUCT(MAX(ROW(E$2:E729)*(E729=E$2:E729)))))-COUNTBLANK(OFFSET(A$1,,,SUMPRODUCT(MAX(ROW(E$1:E728)*(E2=E$1:E728))))))</f>
        <v> </v>
      </c>
      <c r="K729" s="25" t="str">
        <f>IF(OR(E729="",E729="!!!",F729="NEW"),"",INDEX(J$1:J728,SUMPRODUCT(MAX(ROW(E$1:E728)*(E729=E$1:E728)))))</f>
        <v> </v>
      </c>
      <c r="L729" s="26"/>
    </row>
    <row r="730" spans="1:12">
      <c r="A730" s="20" t="s">
        <v>560</v>
      </c>
      <c r="E730" s="21">
        <f>IF(D730="?OLD","!!!","")</f>
        <v/>
      </c>
      <c r="F730" s="22" t="str">
        <f>IF(OR(E730="",E730="!!!"),"",IF(NOT(ISNA(VLOOKUP(E730,E$1:E729,1,FALSE()))),"OLD",IF(AND(E730&lt;&gt;"",E730&lt;&gt;"!!!"),"NEW","")))</f>
        <v> </v>
      </c>
      <c r="G730" s="23" t="str">
        <f>IF(OR(E730="",E730="!!!"),"",IF(OR(J730=0,AND(J730=1,K730=1),AND(J730=1,I730="SBJ"),AND(J730=1,I730=0)),"?IN_FOCUS",IF(J730&lt;=2,"?ACTIVATED",IF(J730&lt;&gt;"","?FAMILIAR",IF(F730="NEW",IF(ISNA(VLOOKUP(E730,#REF!,1,FALSE())),"?TYPE_IDENTIFIABLE","?REFERENTIAL"),"_")))))</f>
        <v> </v>
      </c>
      <c r="H730" s="24" t="str">
        <f>IF(J730&lt;&gt;1,"",IF(I730="SBJ","CB","?"))</f>
        <v> </v>
      </c>
      <c r="I730" s="25" t="str">
        <f>IF(OR(E730="",E730="!!!",F730="NEW"),"",INDEX(B729:B$2,-1+SUMPRODUCT(MAX(ROW(E729:E$2)*(E730=E729:E$2)))))</f>
        <v> </v>
      </c>
      <c r="J730" s="25" t="str">
        <f>IF(OR(E730="",E730="!!!",F730="NEW"),"",COUNTBLANK(OFFSET(A$1,,,SUMPRODUCT(MAX(ROW(E$2:E730)*(E730=E$2:E730)))))-COUNTBLANK(OFFSET(A$1,,,SUMPRODUCT(MAX(ROW(E$1:E729)*(E2=E$1:E729))))))</f>
        <v> </v>
      </c>
      <c r="K730" s="25" t="str">
        <f>IF(OR(E730="",E730="!!!",F730="NEW"),"",INDEX(J$1:J729,SUMPRODUCT(MAX(ROW(E$1:E729)*(E730=E$1:E729)))))</f>
        <v> </v>
      </c>
      <c r="L730" s="26"/>
    </row>
    <row r="731" spans="1:12">
      <c r="A731" s="20" t="s">
        <v>561</v>
      </c>
      <c r="B731" s="27" t="s">
        <v>262</v>
      </c>
      <c r="C731" s="27" t="s">
        <v>270</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t="s">
        <v>320</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row>
    <row r="734" spans="1:12">
      <c r="A734" s="20" t="s">
        <v>562</v>
      </c>
    </row>
    <row r="735" spans="1:12">
      <c r="A735" s="20" t="s">
        <v>480</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271</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t="s">
        <v>563</v>
      </c>
      <c r="E737" s="21">
        <f>IF(D737="?OLD","!!!","")</f>
        <v/>
      </c>
      <c r="F737" s="22" t="str">
        <f>IF(OR(E737="",E737="!!!"),"",IF(NOT(ISNA(VLOOKUP(E737,E$1:E736,1,FALSE()))),"OLD",IF(AND(E737&lt;&gt;"",E737&lt;&gt;"!!!"),"NEW","")))</f>
        <v> </v>
      </c>
      <c r="G737" s="23" t="str">
        <f>IF(OR(E737="",E737="!!!"),"",IF(OR(J737=0,AND(J737=1,K737=1),AND(J737=1,I737="SBJ"),AND(J737=1,I737=0)),"?IN_FOCUS",IF(J737&lt;=2,"?ACTIVATED",IF(J737&lt;&gt;"","?FAMILIAR",IF(F737="NEW",IF(ISNA(VLOOKUP(E737,#REF!,1,FALSE())),"?TYPE_IDENTIFIABLE","?REFERENTIAL"),"_")))))</f>
        <v> </v>
      </c>
      <c r="H737" s="24" t="str">
        <f>IF(J737&lt;&gt;1,"",IF(I737="SBJ","CB","?"))</f>
        <v> </v>
      </c>
      <c r="I737" s="25" t="str">
        <f>IF(OR(E737="",E737="!!!",F737="NEW"),"",INDEX(B736:B$2,-1+SUMPRODUCT(MAX(ROW(E736:E$2)*(E737=E736:E$2)))))</f>
        <v> </v>
      </c>
      <c r="J737" s="25" t="str">
        <f>IF(OR(E737="",E737="!!!",F737="NEW"),"",COUNTBLANK(OFFSET(A$1,,,SUMPRODUCT(MAX(ROW(E$2:E737)*(E737=E$2:E737)))))-COUNTBLANK(OFFSET(A$1,,,SUMPRODUCT(MAX(ROW(E$1:E736)*(E2=E$1:E736))))))</f>
        <v> </v>
      </c>
      <c r="K737" s="25" t="str">
        <f>IF(OR(E737="",E737="!!!",F737="NEW"),"",INDEX(J$1:J736,SUMPRODUCT(MAX(ROW(E$1:E736)*(E737=E$1:E736)))))</f>
        <v> </v>
      </c>
      <c r="L737" s="26"/>
    </row>
    <row r="738" spans="1:12">
      <c r="A738" s="20" t="s">
        <v>564</v>
      </c>
      <c r="E738" s="21">
        <f>IF(D738="?OLD","!!!","")</f>
        <v/>
      </c>
      <c r="F738" s="22" t="str">
        <f>IF(OR(E738="",E738="!!!"),"",IF(NOT(ISNA(VLOOKUP(E738,E$1:E737,1,FALSE()))),"OLD",IF(AND(E738&lt;&gt;"",E738&lt;&gt;"!!!"),"NEW","")))</f>
        <v> </v>
      </c>
      <c r="G738" s="23" t="str">
        <f>IF(OR(E738="",E738="!!!"),"",IF(OR(J738=0,AND(J738=1,K738=1),AND(J738=1,I738="SBJ"),AND(J738=1,I738=0)),"?IN_FOCUS",IF(J738&lt;=2,"?ACTIVATED",IF(J738&lt;&gt;"","?FAMILIAR",IF(F738="NEW",IF(ISNA(VLOOKUP(E738,#REF!,1,FALSE())),"?TYPE_IDENTIFIABLE","?REFERENTIAL"),"_")))))</f>
        <v> </v>
      </c>
      <c r="H738" s="24" t="str">
        <f>IF(J738&lt;&gt;1,"",IF(I738="SBJ","CB","?"))</f>
        <v> </v>
      </c>
      <c r="I738" s="25" t="str">
        <f>IF(OR(E738="",E738="!!!",F738="NEW"),"",INDEX(B737:B$2,-1+SUMPRODUCT(MAX(ROW(E737:E$2)*(E738=E737:E$2)))))</f>
        <v> </v>
      </c>
      <c r="J738" s="25" t="str">
        <f>IF(OR(E738="",E738="!!!",F738="NEW"),"",COUNTBLANK(OFFSET(A$1,,,SUMPRODUCT(MAX(ROW(E$2:E738)*(E738=E$2:E738)))))-COUNTBLANK(OFFSET(A$1,,,SUMPRODUCT(MAX(ROW(E$1:E737)*(E2=E$1:E737))))))</f>
        <v> </v>
      </c>
      <c r="K738" s="25" t="str">
        <f>IF(OR(E738="",E738="!!!",F738="NEW"),"",INDEX(J$1:J737,SUMPRODUCT(MAX(ROW(E$1:E737)*(E738=E$1:E737)))))</f>
        <v> </v>
      </c>
      <c r="L738" s="26"/>
    </row>
    <row r="739" spans="1:12">
      <c r="A739" s="20" t="s">
        <v>561</v>
      </c>
      <c r="B739" s="27" t="s">
        <v>262</v>
      </c>
      <c r="C739" s="27" t="s">
        <v>270</v>
      </c>
      <c r="E739" s="21">
        <f>IF(D739="?OLD","!!!","")</f>
        <v/>
      </c>
      <c r="F739" s="22" t="str">
        <f>IF(OR(E739="",E739="!!!"),"",IF(NOT(ISNA(VLOOKUP(E739,E$1:E738,1,FALSE()))),"OLD",IF(AND(E739&lt;&gt;"",E739&lt;&gt;"!!!"),"NEW","")))</f>
        <v> </v>
      </c>
      <c r="G739" s="23" t="str">
        <f>IF(OR(E739="",E739="!!!"),"",IF(OR(J739=0,AND(J739=1,K739=1),AND(J739=1,I739="SBJ"),AND(J739=1,I739=0)),"?IN_FOCUS",IF(J739&lt;=2,"?ACTIVATED",IF(J739&lt;&gt;"","?FAMILIAR",IF(F739="NEW",IF(ISNA(VLOOKUP(E739,#REF!,1,FALSE())),"?TYPE_IDENTIFIABLE","?REFERENTIAL"),"_")))))</f>
        <v> </v>
      </c>
      <c r="H739" s="24" t="str">
        <f>IF(J739&lt;&gt;1,"",IF(I739="SBJ","CB","?"))</f>
        <v> </v>
      </c>
      <c r="I739" s="25" t="str">
        <f>IF(OR(E739="",E739="!!!",F739="NEW"),"",INDEX(B738:B$2,-1+SUMPRODUCT(MAX(ROW(E738:E$2)*(E739=E738:E$2)))))</f>
        <v> </v>
      </c>
      <c r="J739" s="25" t="str">
        <f>IF(OR(E739="",E739="!!!",F739="NEW"),"",COUNTBLANK(OFFSET(A$1,,,SUMPRODUCT(MAX(ROW(E$2:E739)*(E739=E$2:E739)))))-COUNTBLANK(OFFSET(A$1,,,SUMPRODUCT(MAX(ROW(E$1:E738)*(E2=E$1:E738))))))</f>
        <v> </v>
      </c>
      <c r="K739" s="25" t="str">
        <f>IF(OR(E739="",E739="!!!",F739="NEW"),"",INDEX(J$1:J738,SUMPRODUCT(MAX(ROW(E$1:E738)*(E739=E$1:E738)))))</f>
        <v> </v>
      </c>
      <c r="L739" s="26"/>
    </row>
    <row r="740" spans="1:12">
      <c r="A740" s="20" t="s">
        <v>271</v>
      </c>
      <c r="E740" s="21">
        <f>IF(D740="?OLD","!!!","")</f>
        <v/>
      </c>
      <c r="F740" s="22" t="str">
        <f>IF(OR(E740="",E740="!!!"),"",IF(NOT(ISNA(VLOOKUP(E740,E$1:E739,1,FALSE()))),"OLD",IF(AND(E740&lt;&gt;"",E740&lt;&gt;"!!!"),"NEW","")))</f>
        <v> </v>
      </c>
      <c r="G740" s="23" t="str">
        <f>IF(OR(E740="",E740="!!!"),"",IF(OR(J740=0,AND(J740=1,K740=1),AND(J740=1,I740="SBJ"),AND(J740=1,I740=0)),"?IN_FOCUS",IF(J740&lt;=2,"?ACTIVATED",IF(J740&lt;&gt;"","?FAMILIAR",IF(F740="NEW",IF(ISNA(VLOOKUP(E740,#REF!,1,FALSE())),"?TYPE_IDENTIFIABLE","?REFERENTIAL"),"_")))))</f>
        <v> </v>
      </c>
      <c r="H740" s="24" t="str">
        <f>IF(J740&lt;&gt;1,"",IF(I740="SBJ","CB","?"))</f>
        <v> </v>
      </c>
      <c r="I740" s="25" t="str">
        <f>IF(OR(E740="",E740="!!!",F740="NEW"),"",INDEX(B739:B$2,-1+SUMPRODUCT(MAX(ROW(E739:E$2)*(E740=E739:E$2)))))</f>
        <v> </v>
      </c>
      <c r="J740" s="25" t="str">
        <f>IF(OR(E740="",E740="!!!",F740="NEW"),"",COUNTBLANK(OFFSET(A$1,,,SUMPRODUCT(MAX(ROW(E$2:E740)*(E740=E$2:E740)))))-COUNTBLANK(OFFSET(A$1,,,SUMPRODUCT(MAX(ROW(E$1:E739)*(E2=E$1:E739))))))</f>
        <v> </v>
      </c>
      <c r="K740" s="25" t="str">
        <f>IF(OR(E740="",E740="!!!",F740="NEW"),"",INDEX(J$1:J739,SUMPRODUCT(MAX(ROW(E$1:E739)*(E740=E$1:E739)))))</f>
        <v> </v>
      </c>
      <c r="L740" s="26"/>
    </row>
    <row r="741" spans="1:12">
      <c r="A741" s="20" t="s">
        <v>255</v>
      </c>
      <c r="B741" s="27" t="s">
        <v>276</v>
      </c>
      <c r="C741" s="27" t="s">
        <v>257</v>
      </c>
      <c r="D741" s="27" t="s">
        <v>258</v>
      </c>
      <c r="E741" s="21">
        <f>IF(D741="?OLD","!!!","")</f>
        <v/>
      </c>
      <c r="F741" s="22" t="str">
        <f>IF(OR(E741="",E741="!!!"),"",IF(NOT(ISNA(VLOOKUP(E741,E$1:E740,1,FALSE()))),"OLD",IF(AND(E741&lt;&gt;"",E741&lt;&gt;"!!!"),"NEW","")))</f>
        <v> </v>
      </c>
      <c r="G741" s="23" t="str">
        <f>IF(OR(E741="",E741="!!!"),"",IF(OR(J741=0,AND(J741=1,K741=1),AND(J741=1,I741="SBJ"),AND(J741=1,I741=0)),"?IN_FOCUS",IF(J741&lt;=2,"?ACTIVATED",IF(J741&lt;&gt;"","?FAMILIAR",IF(F741="NEW",IF(ISNA(VLOOKUP(E741,#REF!,1,FALSE())),"?TYPE_IDENTIFIABLE","?REFERENTIAL"),"_")))))</f>
        <v> </v>
      </c>
      <c r="H741" s="24" t="str">
        <f>IF(J741&lt;&gt;1,"",IF(I741="SBJ","CB","?"))</f>
        <v> </v>
      </c>
      <c r="I741" s="25" t="str">
        <f>IF(OR(E741="",E741="!!!",F741="NEW"),"",INDEX(B740:B$2,-1+SUMPRODUCT(MAX(ROW(E740:E$2)*(E741=E740:E$2)))))</f>
        <v> </v>
      </c>
      <c r="J741" s="25" t="str">
        <f>IF(OR(E741="",E741="!!!",F741="NEW"),"",COUNTBLANK(OFFSET(A$1,,,SUMPRODUCT(MAX(ROW(E$2:E741)*(E741=E$2:E741)))))-COUNTBLANK(OFFSET(A$1,,,SUMPRODUCT(MAX(ROW(E$1:E740)*(E2=E$1:E740))))))</f>
        <v> </v>
      </c>
      <c r="K741" s="25" t="str">
        <f>IF(OR(E741="",E741="!!!",F741="NEW"),"",INDEX(J$1:J740,SUMPRODUCT(MAX(ROW(E$1:E740)*(E741=E$1:E740)))))</f>
        <v> </v>
      </c>
      <c r="L741" s="26"/>
    </row>
    <row r="742" spans="1:12">
      <c r="A742" s="20" t="s">
        <v>259</v>
      </c>
      <c r="E742" s="21">
        <f>IF(D742="?OLD","!!!","")</f>
        <v/>
      </c>
      <c r="F742" s="22" t="str">
        <f>IF(OR(E742="",E742="!!!"),"",IF(NOT(ISNA(VLOOKUP(E742,E$1:E741,1,FALSE()))),"OLD",IF(AND(E742&lt;&gt;"",E742&lt;&gt;"!!!"),"NEW","")))</f>
        <v> </v>
      </c>
      <c r="G742" s="23" t="str">
        <f>IF(OR(E742="",E742="!!!"),"",IF(OR(J742=0,AND(J742=1,K742=1),AND(J742=1,I742="SBJ"),AND(J742=1,I742=0)),"?IN_FOCUS",IF(J742&lt;=2,"?ACTIVATED",IF(J742&lt;&gt;"","?FAMILIAR",IF(F742="NEW",IF(ISNA(VLOOKUP(E742,#REF!,1,FALSE())),"?TYPE_IDENTIFIABLE","?REFERENTIAL"),"_")))))</f>
        <v> </v>
      </c>
      <c r="H742" s="24" t="str">
        <f>IF(J742&lt;&gt;1,"",IF(I742="SBJ","CB","?"))</f>
        <v> </v>
      </c>
      <c r="I742" s="25" t="str">
        <f>IF(OR(E742="",E742="!!!",F742="NEW"),"",INDEX(B741:B$2,-1+SUMPRODUCT(MAX(ROW(E741:E$2)*(E742=E741:E$2)))))</f>
        <v> </v>
      </c>
      <c r="J742" s="25" t="str">
        <f>IF(OR(E742="",E742="!!!",F742="NEW"),"",COUNTBLANK(OFFSET(A$1,,,SUMPRODUCT(MAX(ROW(E$2:E742)*(E742=E$2:E742)))))-COUNTBLANK(OFFSET(A$1,,,SUMPRODUCT(MAX(ROW(E$1:E741)*(E2=E$1:E741))))))</f>
        <v> </v>
      </c>
      <c r="K742" s="25" t="str">
        <f>IF(OR(E742="",E742="!!!",F742="NEW"),"",INDEX(J$1:J741,SUMPRODUCT(MAX(ROW(E$1:E741)*(E742=E$1:E741)))))</f>
        <v> </v>
      </c>
      <c r="L742" s="26"/>
    </row>
    <row r="743" spans="1:12">
      <c r="A743" s="20" t="s">
        <v>496</v>
      </c>
      <c r="E743" s="21">
        <f>IF(D743="?OLD","!!!","")</f>
        <v/>
      </c>
      <c r="F743" s="22" t="str">
        <f>IF(OR(E743="",E743="!!!"),"",IF(NOT(ISNA(VLOOKUP(E743,E$1:E742,1,FALSE()))),"OLD",IF(AND(E743&lt;&gt;"",E743&lt;&gt;"!!!"),"NEW","")))</f>
        <v> </v>
      </c>
      <c r="G743" s="23" t="str">
        <f>IF(OR(E743="",E743="!!!"),"",IF(OR(J743=0,AND(J743=1,K743=1),AND(J743=1,I743="SBJ"),AND(J743=1,I743=0)),"?IN_FOCUS",IF(J743&lt;=2,"?ACTIVATED",IF(J743&lt;&gt;"","?FAMILIAR",IF(F743="NEW",IF(ISNA(VLOOKUP(E743,#REF!,1,FALSE())),"?TYPE_IDENTIFIABLE","?REFERENTIAL"),"_")))))</f>
        <v> </v>
      </c>
      <c r="H743" s="24" t="str">
        <f>IF(J743&lt;&gt;1,"",IF(I743="SBJ","CB","?"))</f>
        <v> </v>
      </c>
      <c r="I743" s="25" t="str">
        <f>IF(OR(E743="",E743="!!!",F743="NEW"),"",INDEX(B742:B$2,-1+SUMPRODUCT(MAX(ROW(E742:E$2)*(E743=E742:E$2)))))</f>
        <v> </v>
      </c>
      <c r="J743" s="25" t="str">
        <f>IF(OR(E743="",E743="!!!",F743="NEW"),"",COUNTBLANK(OFFSET(A$1,,,SUMPRODUCT(MAX(ROW(E$2:E743)*(E743=E$2:E743)))))-COUNTBLANK(OFFSET(A$1,,,SUMPRODUCT(MAX(ROW(E$1:E742)*(E2=E$1:E742))))))</f>
        <v> </v>
      </c>
      <c r="K743" s="25" t="str">
        <f>IF(OR(E743="",E743="!!!",F743="NEW"),"",INDEX(J$1:J742,SUMPRODUCT(MAX(ROW(E$1:E742)*(E743=E$1:E742)))))</f>
        <v> </v>
      </c>
      <c r="L743" s="26"/>
    </row>
    <row r="744" spans="1:12">
      <c r="A744" s="20" t="s">
        <v>35</v>
      </c>
      <c r="E744" s="21">
        <f>IF(D744="?OLD","!!!","")</f>
        <v/>
      </c>
      <c r="F744" s="22" t="str">
        <f>IF(OR(E744="",E744="!!!"),"",IF(NOT(ISNA(VLOOKUP(E744,E$1:E743,1,FALSE()))),"OLD",IF(AND(E744&lt;&gt;"",E744&lt;&gt;"!!!"),"NEW","")))</f>
        <v> </v>
      </c>
      <c r="G744" s="23" t="str">
        <f>IF(OR(E744="",E744="!!!"),"",IF(OR(J744=0,AND(J744=1,K744=1),AND(J744=1,I744="SBJ"),AND(J744=1,I744=0)),"?IN_FOCUS",IF(J744&lt;=2,"?ACTIVATED",IF(J744&lt;&gt;"","?FAMILIAR",IF(F744="NEW",IF(ISNA(VLOOKUP(E744,#REF!,1,FALSE())),"?TYPE_IDENTIFIABLE","?REFERENTIAL"),"_")))))</f>
        <v> </v>
      </c>
      <c r="H744" s="24" t="str">
        <f>IF(J744&lt;&gt;1,"",IF(I744="SBJ","CB","?"))</f>
        <v> </v>
      </c>
      <c r="I744" s="25" t="str">
        <f>IF(OR(E744="",E744="!!!",F744="NEW"),"",INDEX(B743:B$2,-1+SUMPRODUCT(MAX(ROW(E743:E$2)*(E744=E743:E$2)))))</f>
        <v> </v>
      </c>
      <c r="J744" s="25" t="str">
        <f>IF(OR(E744="",E744="!!!",F744="NEW"),"",COUNTBLANK(OFFSET(A$1,,,SUMPRODUCT(MAX(ROW(E$2:E744)*(E744=E$2:E744)))))-COUNTBLANK(OFFSET(A$1,,,SUMPRODUCT(MAX(ROW(E$1:E743)*(E2=E$1:E743))))))</f>
        <v> </v>
      </c>
      <c r="K744" s="25" t="str">
        <f>IF(OR(E744="",E744="!!!",F744="NEW"),"",INDEX(J$1:J743,SUMPRODUCT(MAX(ROW(E$1:E743)*(E744=E$1:E743)))))</f>
        <v> </v>
      </c>
      <c r="L744" s="26"/>
    </row>
    <row r="745" spans="1:12">
      <c r="A745" s="20" t="s">
        <v>273</v>
      </c>
      <c r="E745" s="21">
        <f>IF(D745="?OLD","!!!","")</f>
        <v/>
      </c>
      <c r="F745" s="22" t="str">
        <f>IF(OR(E745="",E745="!!!"),"",IF(NOT(ISNA(VLOOKUP(E745,E$1:E744,1,FALSE()))),"OLD",IF(AND(E745&lt;&gt;"",E745&lt;&gt;"!!!"),"NEW","")))</f>
        <v> </v>
      </c>
      <c r="G745" s="23" t="str">
        <f>IF(OR(E745="",E745="!!!"),"",IF(OR(J745=0,AND(J745=1,K745=1),AND(J745=1,I745="SBJ"),AND(J745=1,I745=0)),"?IN_FOCUS",IF(J745&lt;=2,"?ACTIVATED",IF(J745&lt;&gt;"","?FAMILIAR",IF(F745="NEW",IF(ISNA(VLOOKUP(E745,#REF!,1,FALSE())),"?TYPE_IDENTIFIABLE","?REFERENTIAL"),"_")))))</f>
        <v> </v>
      </c>
      <c r="H745" s="24" t="str">
        <f>IF(J745&lt;&gt;1,"",IF(I745="SBJ","CB","?"))</f>
        <v> </v>
      </c>
      <c r="I745" s="25" t="str">
        <f>IF(OR(E745="",E745="!!!",F745="NEW"),"",INDEX(B744:B$2,-1+SUMPRODUCT(MAX(ROW(E744:E$2)*(E745=E744:E$2)))))</f>
        <v> </v>
      </c>
      <c r="J745" s="25" t="str">
        <f>IF(OR(E745="",E745="!!!",F745="NEW"),"",COUNTBLANK(OFFSET(A$1,,,SUMPRODUCT(MAX(ROW(E$2:E745)*(E745=E$2:E745)))))-COUNTBLANK(OFFSET(A$1,,,SUMPRODUCT(MAX(ROW(E$1:E744)*(E2=E$1:E744))))))</f>
        <v> </v>
      </c>
      <c r="K745" s="25" t="str">
        <f>IF(OR(E745="",E745="!!!",F745="NEW"),"",INDEX(J$1:J744,SUMPRODUCT(MAX(ROW(E$1:E744)*(E745=E$1:E744)))))</f>
        <v> </v>
      </c>
      <c r="L745" s="26"/>
    </row>
    <row r="746" spans="1:12">
      <c r="A746" s="20" t="s">
        <v>274</v>
      </c>
      <c r="E746" s="21">
        <f>IF(D746="?OLD","!!!","")</f>
        <v/>
      </c>
      <c r="F746" s="22" t="str">
        <f>IF(OR(E746="",E746="!!!"),"",IF(NOT(ISNA(VLOOKUP(E746,E$1:E745,1,FALSE()))),"OLD",IF(AND(E746&lt;&gt;"",E746&lt;&gt;"!!!"),"NEW","")))</f>
        <v> </v>
      </c>
      <c r="G746" s="23" t="str">
        <f>IF(OR(E746="",E746="!!!"),"",IF(OR(J746=0,AND(J746=1,K746=1),AND(J746=1,I746="SBJ"),AND(J746=1,I746=0)),"?IN_FOCUS",IF(J746&lt;=2,"?ACTIVATED",IF(J746&lt;&gt;"","?FAMILIAR",IF(F746="NEW",IF(ISNA(VLOOKUP(E746,#REF!,1,FALSE())),"?TYPE_IDENTIFIABLE","?REFERENTIAL"),"_")))))</f>
        <v> </v>
      </c>
      <c r="H746" s="24" t="str">
        <f>IF(J746&lt;&gt;1,"",IF(I746="SBJ","CB","?"))</f>
        <v> </v>
      </c>
      <c r="I746" s="25" t="str">
        <f>IF(OR(E746="",E746="!!!",F746="NEW"),"",INDEX(B745:B$2,-1+SUMPRODUCT(MAX(ROW(E745:E$2)*(E746=E745:E$2)))))</f>
        <v> </v>
      </c>
      <c r="J746" s="25" t="str">
        <f>IF(OR(E746="",E746="!!!",F746="NEW"),"",COUNTBLANK(OFFSET(A$1,,,SUMPRODUCT(MAX(ROW(E$2:E746)*(E746=E$2:E746)))))-COUNTBLANK(OFFSET(A$1,,,SUMPRODUCT(MAX(ROW(E$1:E745)*(E2=E$1:E745))))))</f>
        <v> </v>
      </c>
      <c r="K746" s="25" t="str">
        <f>IF(OR(E746="",E746="!!!",F746="NEW"),"",INDEX(J$1:J745,SUMPRODUCT(MAX(ROW(E$1:E745)*(E746=E$1:E745)))))</f>
        <v> </v>
      </c>
      <c r="L746" s="26"/>
    </row>
    <row r="747" spans="1:12">
      <c r="A747" s="20" t="s">
        <v>525</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t="s">
        <v>565</v>
      </c>
      <c r="B748" s="27" t="s">
        <v>333</v>
      </c>
      <c r="C748" s="27" t="s">
        <v>277</v>
      </c>
      <c r="D748" s="27" t="s">
        <v>258</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273</v>
      </c>
      <c r="B749" s="27" t="s">
        <v>323</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t="s">
        <v>373</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t="s">
        <v>566</v>
      </c>
      <c r="E751" s="21">
        <f>IF(D751="?OLD","!!!","")</f>
        <v/>
      </c>
      <c r="F751" s="22" t="str">
        <f>IF(OR(E751="",E751="!!!"),"",IF(NOT(ISNA(VLOOKUP(E751,E$1:E750,1,FALSE()))),"OLD",IF(AND(E751&lt;&gt;"",E751&lt;&gt;"!!!"),"NEW","")))</f>
        <v> </v>
      </c>
      <c r="G751" s="23" t="str">
        <f>IF(OR(E751="",E751="!!!"),"",IF(OR(J751=0,AND(J751=1,K751=1),AND(J751=1,I751="SBJ"),AND(J751=1,I751=0)),"?IN_FOCUS",IF(J751&lt;=2,"?ACTIVATED",IF(J751&lt;&gt;"","?FAMILIAR",IF(F751="NEW",IF(ISNA(VLOOKUP(E751,#REF!,1,FALSE())),"?TYPE_IDENTIFIABLE","?REFERENTIAL"),"_")))))</f>
        <v> </v>
      </c>
      <c r="H751" s="24" t="str">
        <f>IF(J751&lt;&gt;1,"",IF(I751="SBJ","CB","?"))</f>
        <v> </v>
      </c>
      <c r="I751" s="25" t="str">
        <f>IF(OR(E751="",E751="!!!",F751="NEW"),"",INDEX(B750:B$2,-1+SUMPRODUCT(MAX(ROW(E750:E$2)*(E751=E750:E$2)))))</f>
        <v> </v>
      </c>
      <c r="J751" s="25" t="str">
        <f>IF(OR(E751="",E751="!!!",F751="NEW"),"",COUNTBLANK(OFFSET(A$1,,,SUMPRODUCT(MAX(ROW(E$2:E751)*(E751=E$2:E751)))))-COUNTBLANK(OFFSET(A$1,,,SUMPRODUCT(MAX(ROW(E$1:E750)*(E2=E$1:E750))))))</f>
        <v> </v>
      </c>
      <c r="K751" s="25" t="str">
        <f>IF(OR(E751="",E751="!!!",F751="NEW"),"",INDEX(J$1:J750,SUMPRODUCT(MAX(ROW(E$1:E750)*(E751=E$1:E750)))))</f>
        <v> </v>
      </c>
      <c r="L751" s="26"/>
    </row>
    <row r="752" spans="1:12">
      <c r="A752" s="20" t="s">
        <v>567</v>
      </c>
      <c r="E752" s="21">
        <f>IF(D752="?OLD","!!!","")</f>
        <v/>
      </c>
      <c r="F752" s="22" t="str">
        <f>IF(OR(E752="",E752="!!!"),"",IF(NOT(ISNA(VLOOKUP(E752,E$1:E751,1,FALSE()))),"OLD",IF(AND(E752&lt;&gt;"",E752&lt;&gt;"!!!"),"NEW","")))</f>
        <v> </v>
      </c>
      <c r="G752" s="23" t="str">
        <f>IF(OR(E752="",E752="!!!"),"",IF(OR(J752=0,AND(J752=1,K752=1),AND(J752=1,I752="SBJ"),AND(J752=1,I752=0)),"?IN_FOCUS",IF(J752&lt;=2,"?ACTIVATED",IF(J752&lt;&gt;"","?FAMILIAR",IF(F752="NEW",IF(ISNA(VLOOKUP(E752,#REF!,1,FALSE())),"?TYPE_IDENTIFIABLE","?REFERENTIAL"),"_")))))</f>
        <v> </v>
      </c>
      <c r="H752" s="24" t="str">
        <f>IF(J752&lt;&gt;1,"",IF(I752="SBJ","CB","?"))</f>
        <v> </v>
      </c>
      <c r="I752" s="25" t="str">
        <f>IF(OR(E752="",E752="!!!",F752="NEW"),"",INDEX(B751:B$2,-1+SUMPRODUCT(MAX(ROW(E751:E$2)*(E752=E751:E$2)))))</f>
        <v> </v>
      </c>
      <c r="J752" s="25" t="str">
        <f>IF(OR(E752="",E752="!!!",F752="NEW"),"",COUNTBLANK(OFFSET(A$1,,,SUMPRODUCT(MAX(ROW(E$2:E752)*(E752=E$2:E752)))))-COUNTBLANK(OFFSET(A$1,,,SUMPRODUCT(MAX(ROW(E$1:E751)*(E2=E$1:E751))))))</f>
        <v> </v>
      </c>
      <c r="K752" s="25" t="str">
        <f>IF(OR(E752="",E752="!!!",F752="NEW"),"",INDEX(J$1:J751,SUMPRODUCT(MAX(ROW(E$1:E751)*(E752=E$1:E751)))))</f>
        <v> </v>
      </c>
      <c r="L752" s="26"/>
    </row>
    <row r="753" spans="1:12">
      <c r="A753" s="20" t="s">
        <v>305</v>
      </c>
      <c r="E753" s="21">
        <f>IF(D753="?OLD","!!!","")</f>
        <v/>
      </c>
      <c r="F753" s="22" t="str">
        <f>IF(OR(E753="",E753="!!!"),"",IF(NOT(ISNA(VLOOKUP(E753,E$1:E752,1,FALSE()))),"OLD",IF(AND(E753&lt;&gt;"",E753&lt;&gt;"!!!"),"NEW","")))</f>
        <v> </v>
      </c>
      <c r="G753" s="23" t="str">
        <f>IF(OR(E753="",E753="!!!"),"",IF(OR(J753=0,AND(J753=1,K753=1),AND(J753=1,I753="SBJ"),AND(J753=1,I753=0)),"?IN_FOCUS",IF(J753&lt;=2,"?ACTIVATED",IF(J753&lt;&gt;"","?FAMILIAR",IF(F753="NEW",IF(ISNA(VLOOKUP(E753,#REF!,1,FALSE())),"?TYPE_IDENTIFIABLE","?REFERENTIAL"),"_")))))</f>
        <v> </v>
      </c>
      <c r="H753" s="24" t="str">
        <f>IF(J753&lt;&gt;1,"",IF(I753="SBJ","CB","?"))</f>
        <v> </v>
      </c>
      <c r="I753" s="25" t="str">
        <f>IF(OR(E753="",E753="!!!",F753="NEW"),"",INDEX(B752:B$2,-1+SUMPRODUCT(MAX(ROW(E752:E$2)*(E753=E752:E$2)))))</f>
        <v> </v>
      </c>
      <c r="J753" s="25" t="str">
        <f>IF(OR(E753="",E753="!!!",F753="NEW"),"",COUNTBLANK(OFFSET(A$1,,,SUMPRODUCT(MAX(ROW(E$2:E753)*(E753=E$2:E753)))))-COUNTBLANK(OFFSET(A$1,,,SUMPRODUCT(MAX(ROW(E$1:E752)*(E2=E$1:E752))))))</f>
        <v> </v>
      </c>
      <c r="K753" s="25" t="str">
        <f>IF(OR(E753="",E753="!!!",F753="NEW"),"",INDEX(J$1:J752,SUMPRODUCT(MAX(ROW(E$1:E752)*(E753=E$1:E752)))))</f>
        <v> </v>
      </c>
      <c r="L753" s="26"/>
    </row>
    <row r="754" spans="1:12">
      <c r="A754" s="20" t="s">
        <v>273</v>
      </c>
      <c r="B754" s="27" t="s">
        <v>286</v>
      </c>
      <c r="C754" s="27" t="s">
        <v>367</v>
      </c>
      <c r="D754" s="27" t="s">
        <v>258</v>
      </c>
      <c r="E754" s="21">
        <f>IF(D754="?OLD","!!!","")</f>
        <v/>
      </c>
      <c r="F754" s="22" t="str">
        <f>IF(OR(E754="",E754="!!!"),"",IF(NOT(ISNA(VLOOKUP(E754,E$1:E753,1,FALSE()))),"OLD",IF(AND(E754&lt;&gt;"",E754&lt;&gt;"!!!"),"NEW","")))</f>
        <v> </v>
      </c>
      <c r="G754" s="23" t="str">
        <f>IF(OR(E754="",E754="!!!"),"",IF(OR(J754=0,AND(J754=1,K754=1),AND(J754=1,I754="SBJ"),AND(J754=1,I754=0)),"?IN_FOCUS",IF(J754&lt;=2,"?ACTIVATED",IF(J754&lt;&gt;"","?FAMILIAR",IF(F754="NEW",IF(ISNA(VLOOKUP(E754,#REF!,1,FALSE())),"?TYPE_IDENTIFIABLE","?REFERENTIAL"),"_")))))</f>
        <v> </v>
      </c>
      <c r="H754" s="24" t="str">
        <f>IF(J754&lt;&gt;1,"",IF(I754="SBJ","CB","?"))</f>
        <v> </v>
      </c>
      <c r="I754" s="25" t="str">
        <f>IF(OR(E754="",E754="!!!",F754="NEW"),"",INDEX(B753:B$2,-1+SUMPRODUCT(MAX(ROW(E753:E$2)*(E754=E753:E$2)))))</f>
        <v> </v>
      </c>
      <c r="J754" s="25" t="str">
        <f>IF(OR(E754="",E754="!!!",F754="NEW"),"",COUNTBLANK(OFFSET(A$1,,,SUMPRODUCT(MAX(ROW(E$2:E754)*(E754=E$2:E754)))))-COUNTBLANK(OFFSET(A$1,,,SUMPRODUCT(MAX(ROW(E$1:E753)*(E2=E$1:E753))))))</f>
        <v> </v>
      </c>
      <c r="K754" s="25" t="str">
        <f>IF(OR(E754="",E754="!!!",F754="NEW"),"",INDEX(J$1:J753,SUMPRODUCT(MAX(ROW(E$1:E753)*(E754=E$1:E753)))))</f>
        <v> </v>
      </c>
      <c r="L754" s="26"/>
    </row>
    <row r="755" spans="1:12">
      <c r="A755" s="20" t="s">
        <v>371</v>
      </c>
      <c r="E755" s="21">
        <f>IF(D755="?OLD","!!!","")</f>
        <v/>
      </c>
      <c r="F755" s="22" t="str">
        <f>IF(OR(E755="",E755="!!!"),"",IF(NOT(ISNA(VLOOKUP(E755,E$1:E754,1,FALSE()))),"OLD",IF(AND(E755&lt;&gt;"",E755&lt;&gt;"!!!"),"NEW","")))</f>
        <v> </v>
      </c>
      <c r="G755" s="23" t="str">
        <f>IF(OR(E755="",E755="!!!"),"",IF(OR(J755=0,AND(J755=1,K755=1),AND(J755=1,I755="SBJ"),AND(J755=1,I755=0)),"?IN_FOCUS",IF(J755&lt;=2,"?ACTIVATED",IF(J755&lt;&gt;"","?FAMILIAR",IF(F755="NEW",IF(ISNA(VLOOKUP(E755,#REF!,1,FALSE())),"?TYPE_IDENTIFIABLE","?REFERENTIAL"),"_")))))</f>
        <v> </v>
      </c>
      <c r="H755" s="24" t="str">
        <f>IF(J755&lt;&gt;1,"",IF(I755="SBJ","CB","?"))</f>
        <v> </v>
      </c>
      <c r="I755" s="25" t="str">
        <f>IF(OR(E755="",E755="!!!",F755="NEW"),"",INDEX(B754:B$2,-1+SUMPRODUCT(MAX(ROW(E754:E$2)*(E755=E754:E$2)))))</f>
        <v> </v>
      </c>
      <c r="J755" s="25" t="str">
        <f>IF(OR(E755="",E755="!!!",F755="NEW"),"",COUNTBLANK(OFFSET(A$1,,,SUMPRODUCT(MAX(ROW(E$2:E755)*(E755=E$2:E755)))))-COUNTBLANK(OFFSET(A$1,,,SUMPRODUCT(MAX(ROW(E$1:E754)*(E2=E$1:E754))))))</f>
        <v> </v>
      </c>
      <c r="K755" s="25" t="str">
        <f>IF(OR(E755="",E755="!!!",F755="NEW"),"",INDEX(J$1:J754,SUMPRODUCT(MAX(ROW(E$1:E754)*(E755=E$1:E754)))))</f>
        <v> </v>
      </c>
      <c r="L755" s="26"/>
    </row>
    <row r="756" spans="1:12">
      <c r="A756" s="20" t="s">
        <v>568</v>
      </c>
      <c r="E756" s="21">
        <f>IF(D756="?OLD","!!!","")</f>
        <v/>
      </c>
      <c r="F756" s="22" t="str">
        <f>IF(OR(E756="",E756="!!!"),"",IF(NOT(ISNA(VLOOKUP(E756,E$1:E755,1,FALSE()))),"OLD",IF(AND(E756&lt;&gt;"",E756&lt;&gt;"!!!"),"NEW","")))</f>
        <v> </v>
      </c>
      <c r="G756" s="23" t="str">
        <f>IF(OR(E756="",E756="!!!"),"",IF(OR(J756=0,AND(J756=1,K756=1),AND(J756=1,I756="SBJ"),AND(J756=1,I756=0)),"?IN_FOCUS",IF(J756&lt;=2,"?ACTIVATED",IF(J756&lt;&gt;"","?FAMILIAR",IF(F756="NEW",IF(ISNA(VLOOKUP(E756,#REF!,1,FALSE())),"?TYPE_IDENTIFIABLE","?REFERENTIAL"),"_")))))</f>
        <v> </v>
      </c>
      <c r="H756" s="24" t="str">
        <f>IF(J756&lt;&gt;1,"",IF(I756="SBJ","CB","?"))</f>
        <v> </v>
      </c>
      <c r="I756" s="25" t="str">
        <f>IF(OR(E756="",E756="!!!",F756="NEW"),"",INDEX(B755:B$2,-1+SUMPRODUCT(MAX(ROW(E755:E$2)*(E756=E755:E$2)))))</f>
        <v> </v>
      </c>
      <c r="J756" s="25" t="str">
        <f>IF(OR(E756="",E756="!!!",F756="NEW"),"",COUNTBLANK(OFFSET(A$1,,,SUMPRODUCT(MAX(ROW(E$2:E756)*(E756=E$2:E756)))))-COUNTBLANK(OFFSET(A$1,,,SUMPRODUCT(MAX(ROW(E$1:E755)*(E2=E$1:E755))))))</f>
        <v> </v>
      </c>
      <c r="K756" s="25" t="str">
        <f>IF(OR(E756="",E756="!!!",F756="NEW"),"",INDEX(J$1:J755,SUMPRODUCT(MAX(ROW(E$1:E755)*(E756=E$1:E755)))))</f>
        <v> </v>
      </c>
      <c r="L756" s="26"/>
    </row>
    <row r="757" spans="1:12">
      <c r="A757" s="20" t="s">
        <v>569</v>
      </c>
      <c r="E757" s="21">
        <f>IF(D757="?OLD","!!!","")</f>
        <v/>
      </c>
      <c r="F757" s="22" t="str">
        <f>IF(OR(E757="",E757="!!!"),"",IF(NOT(ISNA(VLOOKUP(E757,E$1:E756,1,FALSE()))),"OLD",IF(AND(E757&lt;&gt;"",E757&lt;&gt;"!!!"),"NEW","")))</f>
        <v> </v>
      </c>
      <c r="G757" s="23" t="str">
        <f>IF(OR(E757="",E757="!!!"),"",IF(OR(J757=0,AND(J757=1,K757=1),AND(J757=1,I757="SBJ"),AND(J757=1,I757=0)),"?IN_FOCUS",IF(J757&lt;=2,"?ACTIVATED",IF(J757&lt;&gt;"","?FAMILIAR",IF(F757="NEW",IF(ISNA(VLOOKUP(E757,#REF!,1,FALSE())),"?TYPE_IDENTIFIABLE","?REFERENTIAL"),"_")))))</f>
        <v> </v>
      </c>
      <c r="H757" s="24" t="str">
        <f>IF(J757&lt;&gt;1,"",IF(I757="SBJ","CB","?"))</f>
        <v> </v>
      </c>
      <c r="I757" s="25" t="str">
        <f>IF(OR(E757="",E757="!!!",F757="NEW"),"",INDEX(B756:B$2,-1+SUMPRODUCT(MAX(ROW(E756:E$2)*(E757=E756:E$2)))))</f>
        <v> </v>
      </c>
      <c r="J757" s="25" t="str">
        <f>IF(OR(E757="",E757="!!!",F757="NEW"),"",COUNTBLANK(OFFSET(A$1,,,SUMPRODUCT(MAX(ROW(E$2:E757)*(E757=E$2:E757)))))-COUNTBLANK(OFFSET(A$1,,,SUMPRODUCT(MAX(ROW(E$1:E756)*(E2=E$1:E756))))))</f>
        <v> </v>
      </c>
      <c r="K757" s="25" t="str">
        <f>IF(OR(E757="",E757="!!!",F757="NEW"),"",INDEX(J$1:J756,SUMPRODUCT(MAX(ROW(E$1:E756)*(E757=E$1:E756)))))</f>
        <v> </v>
      </c>
      <c r="L757" s="26"/>
    </row>
    <row r="758" spans="1:12">
      <c r="A758" s="20" t="s">
        <v>570</v>
      </c>
      <c r="B758" s="27" t="s">
        <v>328</v>
      </c>
      <c r="C758" s="27" t="s">
        <v>287</v>
      </c>
      <c r="D758" s="27" t="s">
        <v>258</v>
      </c>
      <c r="E758" s="21">
        <f>IF(D758="?OLD","!!!","")</f>
        <v/>
      </c>
      <c r="F758" s="22" t="str">
        <f>IF(OR(E758="",E758="!!!"),"",IF(NOT(ISNA(VLOOKUP(E758,E$1:E757,1,FALSE()))),"OLD",IF(AND(E758&lt;&gt;"",E758&lt;&gt;"!!!"),"NEW","")))</f>
        <v> </v>
      </c>
      <c r="G758" s="23" t="str">
        <f>IF(OR(E758="",E758="!!!"),"",IF(OR(J758=0,AND(J758=1,K758=1),AND(J758=1,I758="SBJ"),AND(J758=1,I758=0)),"?IN_FOCUS",IF(J758&lt;=2,"?ACTIVATED",IF(J758&lt;&gt;"","?FAMILIAR",IF(F758="NEW",IF(ISNA(VLOOKUP(E758,#REF!,1,FALSE())),"?TYPE_IDENTIFIABLE","?REFERENTIAL"),"_")))))</f>
        <v> </v>
      </c>
      <c r="H758" s="24" t="str">
        <f>IF(J758&lt;&gt;1,"",IF(I758="SBJ","CB","?"))</f>
        <v> </v>
      </c>
      <c r="I758" s="25" t="str">
        <f>IF(OR(E758="",E758="!!!",F758="NEW"),"",INDEX(B757:B$2,-1+SUMPRODUCT(MAX(ROW(E757:E$2)*(E758=E757:E$2)))))</f>
        <v> </v>
      </c>
      <c r="J758" s="25" t="str">
        <f>IF(OR(E758="",E758="!!!",F758="NEW"),"",COUNTBLANK(OFFSET(A$1,,,SUMPRODUCT(MAX(ROW(E$2:E758)*(E758=E$2:E758)))))-COUNTBLANK(OFFSET(A$1,,,SUMPRODUCT(MAX(ROW(E$1:E757)*(E2=E$1:E757))))))</f>
        <v> </v>
      </c>
      <c r="K758" s="25" t="str">
        <f>IF(OR(E758="",E758="!!!",F758="NEW"),"",INDEX(J$1:J757,SUMPRODUCT(MAX(ROW(E$1:E757)*(E758=E$1:E757)))))</f>
        <v> </v>
      </c>
      <c r="L758" s="26"/>
    </row>
    <row r="759" spans="1:12">
      <c r="A759" s="20" t="s">
        <v>278</v>
      </c>
      <c r="E759" s="21">
        <f>IF(D759="?OLD","!!!","")</f>
        <v/>
      </c>
      <c r="F759" s="22" t="str">
        <f>IF(OR(E759="",E759="!!!"),"",IF(NOT(ISNA(VLOOKUP(E759,E$1:E758,1,FALSE()))),"OLD",IF(AND(E759&lt;&gt;"",E759&lt;&gt;"!!!"),"NEW","")))</f>
        <v> </v>
      </c>
      <c r="G759" s="23" t="str">
        <f>IF(OR(E759="",E759="!!!"),"",IF(OR(J759=0,AND(J759=1,K759=1),AND(J759=1,I759="SBJ"),AND(J759=1,I759=0)),"?IN_FOCUS",IF(J759&lt;=2,"?ACTIVATED",IF(J759&lt;&gt;"","?FAMILIAR",IF(F759="NEW",IF(ISNA(VLOOKUP(E759,#REF!,1,FALSE())),"?TYPE_IDENTIFIABLE","?REFERENTIAL"),"_")))))</f>
        <v> </v>
      </c>
      <c r="H759" s="24" t="str">
        <f>IF(J759&lt;&gt;1,"",IF(I759="SBJ","CB","?"))</f>
        <v> </v>
      </c>
      <c r="I759" s="25" t="str">
        <f>IF(OR(E759="",E759="!!!",F759="NEW"),"",INDEX(B758:B$2,-1+SUMPRODUCT(MAX(ROW(E758:E$2)*(E759=E758:E$2)))))</f>
        <v> </v>
      </c>
      <c r="J759" s="25" t="str">
        <f>IF(OR(E759="",E759="!!!",F759="NEW"),"",COUNTBLANK(OFFSET(A$1,,,SUMPRODUCT(MAX(ROW(E$2:E759)*(E759=E$2:E759)))))-COUNTBLANK(OFFSET(A$1,,,SUMPRODUCT(MAX(ROW(E$1:E758)*(E2=E$1:E758))))))</f>
        <v> </v>
      </c>
      <c r="K759" s="25" t="str">
        <f>IF(OR(E759="",E759="!!!",F759="NEW"),"",INDEX(J$1:J758,SUMPRODUCT(MAX(ROW(E$1:E758)*(E759=E$1:E758)))))</f>
        <v> </v>
      </c>
      <c r="L759" s="26"/>
    </row>
    <row r="760" spans="1:12">
      <c r="A760" s="20" t="s">
        <v>274</v>
      </c>
      <c r="E760" s="21">
        <f>IF(D760="?OLD","!!!","")</f>
        <v/>
      </c>
      <c r="F760" s="22" t="str">
        <f>IF(OR(E760="",E760="!!!"),"",IF(NOT(ISNA(VLOOKUP(E760,E$1:E759,1,FALSE()))),"OLD",IF(AND(E760&lt;&gt;"",E760&lt;&gt;"!!!"),"NEW","")))</f>
        <v> </v>
      </c>
      <c r="G760" s="23" t="str">
        <f>IF(OR(E760="",E760="!!!"),"",IF(OR(J760=0,AND(J760=1,K760=1),AND(J760=1,I760="SBJ"),AND(J760=1,I760=0)),"?IN_FOCUS",IF(J760&lt;=2,"?ACTIVATED",IF(J760&lt;&gt;"","?FAMILIAR",IF(F760="NEW",IF(ISNA(VLOOKUP(E760,#REF!,1,FALSE())),"?TYPE_IDENTIFIABLE","?REFERENTIAL"),"_")))))</f>
        <v> </v>
      </c>
      <c r="H760" s="24" t="str">
        <f>IF(J760&lt;&gt;1,"",IF(I760="SBJ","CB","?"))</f>
        <v> </v>
      </c>
      <c r="I760" s="25" t="str">
        <f>IF(OR(E760="",E760="!!!",F760="NEW"),"",INDEX(B759:B$2,-1+SUMPRODUCT(MAX(ROW(E759:E$2)*(E760=E759:E$2)))))</f>
        <v> </v>
      </c>
      <c r="J760" s="25" t="str">
        <f>IF(OR(E760="",E760="!!!",F760="NEW"),"",COUNTBLANK(OFFSET(A$1,,,SUMPRODUCT(MAX(ROW(E$2:E760)*(E760=E$2:E760)))))-COUNTBLANK(OFFSET(A$1,,,SUMPRODUCT(MAX(ROW(E$1:E759)*(E2=E$1:E759))))))</f>
        <v> </v>
      </c>
      <c r="K760" s="25" t="str">
        <f>IF(OR(E760="",E760="!!!",F760="NEW"),"",INDEX(J$1:J759,SUMPRODUCT(MAX(ROW(E$1:E759)*(E760=E$1:E759)))))</f>
        <v> </v>
      </c>
      <c r="L760" s="26"/>
    </row>
    <row r="761" spans="1:12">
      <c r="A761" s="20" t="s">
        <v>571</v>
      </c>
      <c r="B761" s="27" t="s">
        <v>291</v>
      </c>
      <c r="C761" s="27" t="s">
        <v>351</v>
      </c>
      <c r="D761" s="27" t="s">
        <v>258</v>
      </c>
      <c r="E761" s="21">
        <f>IF(D761="?OLD","!!!","")</f>
        <v/>
      </c>
      <c r="F761" s="22" t="str">
        <f>IF(OR(E761="",E761="!!!"),"",IF(NOT(ISNA(VLOOKUP(E761,E$1:E760,1,FALSE()))),"OLD",IF(AND(E761&lt;&gt;"",E761&lt;&gt;"!!!"),"NEW","")))</f>
        <v> </v>
      </c>
      <c r="G761" s="23" t="str">
        <f>IF(OR(E761="",E761="!!!"),"",IF(OR(J761=0,AND(J761=1,K761=1),AND(J761=1,I761="SBJ"),AND(J761=1,I761=0)),"?IN_FOCUS",IF(J761&lt;=2,"?ACTIVATED",IF(J761&lt;&gt;"","?FAMILIAR",IF(F761="NEW",IF(ISNA(VLOOKUP(E761,#REF!,1,FALSE())),"?TYPE_IDENTIFIABLE","?REFERENTIAL"),"_")))))</f>
        <v> </v>
      </c>
      <c r="H761" s="24" t="str">
        <f>IF(J761&lt;&gt;1,"",IF(I761="SBJ","CB","?"))</f>
        <v> </v>
      </c>
      <c r="I761" s="25" t="str">
        <f>IF(OR(E761="",E761="!!!",F761="NEW"),"",INDEX(B760:B$2,-1+SUMPRODUCT(MAX(ROW(E760:E$2)*(E761=E760:E$2)))))</f>
        <v> </v>
      </c>
      <c r="J761" s="25" t="str">
        <f>IF(OR(E761="",E761="!!!",F761="NEW"),"",COUNTBLANK(OFFSET(A$1,,,SUMPRODUCT(MAX(ROW(E$2:E761)*(E761=E$2:E761)))))-COUNTBLANK(OFFSET(A$1,,,SUMPRODUCT(MAX(ROW(E$1:E760)*(E2=E$1:E760))))))</f>
        <v> </v>
      </c>
      <c r="K761" s="25" t="str">
        <f>IF(OR(E761="",E761="!!!",F761="NEW"),"",INDEX(J$1:J760,SUMPRODUCT(MAX(ROW(E$1:E760)*(E761=E$1:E760)))))</f>
        <v> </v>
      </c>
      <c r="L761" s="26"/>
    </row>
    <row r="762" spans="1:12">
      <c r="A762" s="20" t="s">
        <v>320</v>
      </c>
      <c r="E762" s="21">
        <f>IF(D762="?OLD","!!!","")</f>
        <v/>
      </c>
      <c r="F762" s="22" t="str">
        <f>IF(OR(E762="",E762="!!!"),"",IF(NOT(ISNA(VLOOKUP(E762,E$1:E761,1,FALSE()))),"OLD",IF(AND(E762&lt;&gt;"",E762&lt;&gt;"!!!"),"NEW","")))</f>
        <v> </v>
      </c>
      <c r="G762" s="23" t="str">
        <f>IF(OR(E762="",E762="!!!"),"",IF(OR(J762=0,AND(J762=1,K762=1),AND(J762=1,I762="SBJ"),AND(J762=1,I762=0)),"?IN_FOCUS",IF(J762&lt;=2,"?ACTIVATED",IF(J762&lt;&gt;"","?FAMILIAR",IF(F762="NEW",IF(ISNA(VLOOKUP(E762,#REF!,1,FALSE())),"?TYPE_IDENTIFIABLE","?REFERENTIAL"),"_")))))</f>
        <v> </v>
      </c>
      <c r="H762" s="24" t="str">
        <f>IF(J762&lt;&gt;1,"",IF(I762="SBJ","CB","?"))</f>
        <v> </v>
      </c>
      <c r="I762" s="25" t="str">
        <f>IF(OR(E762="",E762="!!!",F762="NEW"),"",INDEX(B761:B$2,-1+SUMPRODUCT(MAX(ROW(E761:E$2)*(E762=E761:E$2)))))</f>
        <v> </v>
      </c>
      <c r="J762" s="25" t="str">
        <f>IF(OR(E762="",E762="!!!",F762="NEW"),"",COUNTBLANK(OFFSET(A$1,,,SUMPRODUCT(MAX(ROW(E$2:E762)*(E762=E$2:E762)))))-COUNTBLANK(OFFSET(A$1,,,SUMPRODUCT(MAX(ROW(E$1:E761)*(E2=E$1:E761))))))</f>
        <v> </v>
      </c>
      <c r="K762" s="25" t="str">
        <f>IF(OR(E762="",E762="!!!",F762="NEW"),"",INDEX(J$1:J761,SUMPRODUCT(MAX(ROW(E$1:E761)*(E762=E$1:E761)))))</f>
        <v> </v>
      </c>
      <c r="L762" s="26"/>
    </row>
    <row r="763" spans="1:12">
      <c r="A763" s="20"/>
    </row>
    <row r="764" spans="1:12">
      <c r="A764" s="20" t="s">
        <v>572</v>
      </c>
    </row>
    <row r="765" spans="1:12">
      <c r="A765" s="20" t="s">
        <v>322</v>
      </c>
      <c r="E765" s="21">
        <f>IF(D765="?OLD","!!!","")</f>
        <v/>
      </c>
      <c r="F765" s="22" t="str">
        <f>IF(OR(E765="",E765="!!!"),"",IF(NOT(ISNA(VLOOKUP(E765,E$1:E764,1,FALSE()))),"OLD",IF(AND(E765&lt;&gt;"",E765&lt;&gt;"!!!"),"NEW","")))</f>
        <v> </v>
      </c>
      <c r="G765" s="23" t="str">
        <f>IF(OR(E765="",E765="!!!"),"",IF(OR(J765=0,AND(J765=1,K765=1),AND(J765=1,I765="SBJ"),AND(J765=1,I765=0)),"?IN_FOCUS",IF(J765&lt;=2,"?ACTIVATED",IF(J765&lt;&gt;"","?FAMILIAR",IF(F765="NEW",IF(ISNA(VLOOKUP(E765,#REF!,1,FALSE())),"?TYPE_IDENTIFIABLE","?REFERENTIAL"),"_")))))</f>
        <v> </v>
      </c>
      <c r="H765" s="24" t="str">
        <f>IF(J765&lt;&gt;1,"",IF(I765="SBJ","CB","?"))</f>
        <v> </v>
      </c>
      <c r="I765" s="25" t="str">
        <f>IF(OR(E765="",E765="!!!",F765="NEW"),"",INDEX(B764:B$2,-1+SUMPRODUCT(MAX(ROW(E764:E$2)*(E765=E764:E$2)))))</f>
        <v> </v>
      </c>
      <c r="J765" s="25" t="str">
        <f>IF(OR(E765="",E765="!!!",F765="NEW"),"",COUNTBLANK(OFFSET(A$1,,,SUMPRODUCT(MAX(ROW(E$2:E765)*(E765=E$2:E765)))))-COUNTBLANK(OFFSET(A$1,,,SUMPRODUCT(MAX(ROW(E$1:E764)*(E2=E$1:E764))))))</f>
        <v> </v>
      </c>
      <c r="K765" s="25" t="str">
        <f>IF(OR(E765="",E765="!!!",F765="NEW"),"",INDEX(J$1:J764,SUMPRODUCT(MAX(ROW(E$1:E764)*(E765=E$1:E764)))))</f>
        <v> </v>
      </c>
      <c r="L765" s="26"/>
    </row>
    <row r="766" spans="1:12">
      <c r="A766" s="20" t="s">
        <v>416</v>
      </c>
      <c r="B766" s="27" t="s">
        <v>276</v>
      </c>
      <c r="C766" s="27" t="s">
        <v>367</v>
      </c>
      <c r="D766" s="27" t="s">
        <v>258</v>
      </c>
      <c r="E766" s="21">
        <f>IF(D766="?OLD","!!!","")</f>
        <v/>
      </c>
      <c r="F766" s="22" t="str">
        <f>IF(OR(E766="",E766="!!!"),"",IF(NOT(ISNA(VLOOKUP(E766,E$1:E765,1,FALSE()))),"OLD",IF(AND(E766&lt;&gt;"",E766&lt;&gt;"!!!"),"NEW","")))</f>
        <v> </v>
      </c>
      <c r="G766" s="23" t="str">
        <f>IF(OR(E766="",E766="!!!"),"",IF(OR(J766=0,AND(J766=1,K766=1),AND(J766=1,I766="SBJ"),AND(J766=1,I766=0)),"?IN_FOCUS",IF(J766&lt;=2,"?ACTIVATED",IF(J766&lt;&gt;"","?FAMILIAR",IF(F766="NEW",IF(ISNA(VLOOKUP(E766,#REF!,1,FALSE())),"?TYPE_IDENTIFIABLE","?REFERENTIAL"),"_")))))</f>
        <v> </v>
      </c>
      <c r="H766" s="24" t="str">
        <f>IF(J766&lt;&gt;1,"",IF(I766="SBJ","CB","?"))</f>
        <v> </v>
      </c>
      <c r="I766" s="25" t="str">
        <f>IF(OR(E766="",E766="!!!",F766="NEW"),"",INDEX(B765:B$2,-1+SUMPRODUCT(MAX(ROW(E765:E$2)*(E766=E765:E$2)))))</f>
        <v> </v>
      </c>
      <c r="J766" s="25" t="str">
        <f>IF(OR(E766="",E766="!!!",F766="NEW"),"",COUNTBLANK(OFFSET(A$1,,,SUMPRODUCT(MAX(ROW(E$2:E766)*(E766=E$2:E766)))))-COUNTBLANK(OFFSET(A$1,,,SUMPRODUCT(MAX(ROW(E$1:E765)*(E2=E$1:E765))))))</f>
        <v> </v>
      </c>
      <c r="K766" s="25" t="str">
        <f>IF(OR(E766="",E766="!!!",F766="NEW"),"",INDEX(J$1:J765,SUMPRODUCT(MAX(ROW(E$1:E765)*(E766=E$1:E765)))))</f>
        <v> </v>
      </c>
      <c r="L766" s="26"/>
    </row>
    <row r="767" spans="1:12">
      <c r="A767" s="20" t="s">
        <v>288</v>
      </c>
      <c r="E767" s="21">
        <f>IF(D767="?OLD","!!!","")</f>
        <v/>
      </c>
      <c r="F767" s="22" t="str">
        <f>IF(OR(E767="",E767="!!!"),"",IF(NOT(ISNA(VLOOKUP(E767,E$1:E766,1,FALSE()))),"OLD",IF(AND(E767&lt;&gt;"",E767&lt;&gt;"!!!"),"NEW","")))</f>
        <v> </v>
      </c>
      <c r="G767" s="23" t="str">
        <f>IF(OR(E767="",E767="!!!"),"",IF(OR(J767=0,AND(J767=1,K767=1),AND(J767=1,I767="SBJ"),AND(J767=1,I767=0)),"?IN_FOCUS",IF(J767&lt;=2,"?ACTIVATED",IF(J767&lt;&gt;"","?FAMILIAR",IF(F767="NEW",IF(ISNA(VLOOKUP(E767,#REF!,1,FALSE())),"?TYPE_IDENTIFIABLE","?REFERENTIAL"),"_")))))</f>
        <v> </v>
      </c>
      <c r="H767" s="24" t="str">
        <f>IF(J767&lt;&gt;1,"",IF(I767="SBJ","CB","?"))</f>
        <v> </v>
      </c>
      <c r="I767" s="25" t="str">
        <f>IF(OR(E767="",E767="!!!",F767="NEW"),"",INDEX(B766:B$2,-1+SUMPRODUCT(MAX(ROW(E766:E$2)*(E767=E766:E$2)))))</f>
        <v> </v>
      </c>
      <c r="J767" s="25" t="str">
        <f>IF(OR(E767="",E767="!!!",F767="NEW"),"",COUNTBLANK(OFFSET(A$1,,,SUMPRODUCT(MAX(ROW(E$2:E767)*(E767=E$2:E767)))))-COUNTBLANK(OFFSET(A$1,,,SUMPRODUCT(MAX(ROW(E$1:E766)*(E2=E$1:E766))))))</f>
        <v> </v>
      </c>
      <c r="K767" s="25" t="str">
        <f>IF(OR(E767="",E767="!!!",F767="NEW"),"",INDEX(J$1:J766,SUMPRODUCT(MAX(ROW(E$1:E766)*(E767=E$1:E766)))))</f>
        <v> </v>
      </c>
      <c r="L767" s="26"/>
    </row>
    <row r="768" spans="1:12">
      <c r="A768" s="20" t="s">
        <v>573</v>
      </c>
      <c r="E768" s="21">
        <f>IF(D768="?OLD","!!!","")</f>
        <v/>
      </c>
      <c r="F768" s="22" t="str">
        <f>IF(OR(E768="",E768="!!!"),"",IF(NOT(ISNA(VLOOKUP(E768,E$1:E767,1,FALSE()))),"OLD",IF(AND(E768&lt;&gt;"",E768&lt;&gt;"!!!"),"NEW","")))</f>
        <v> </v>
      </c>
      <c r="G768" s="23" t="str">
        <f>IF(OR(E768="",E768="!!!"),"",IF(OR(J768=0,AND(J768=1,K768=1),AND(J768=1,I768="SBJ"),AND(J768=1,I768=0)),"?IN_FOCUS",IF(J768&lt;=2,"?ACTIVATED",IF(J768&lt;&gt;"","?FAMILIAR",IF(F768="NEW",IF(ISNA(VLOOKUP(E768,#REF!,1,FALSE())),"?TYPE_IDENTIFIABLE","?REFERENTIAL"),"_")))))</f>
        <v> </v>
      </c>
      <c r="H768" s="24" t="str">
        <f>IF(J768&lt;&gt;1,"",IF(I768="SBJ","CB","?"))</f>
        <v> </v>
      </c>
      <c r="I768" s="25" t="str">
        <f>IF(OR(E768="",E768="!!!",F768="NEW"),"",INDEX(B767:B$2,-1+SUMPRODUCT(MAX(ROW(E767:E$2)*(E768=E767:E$2)))))</f>
        <v> </v>
      </c>
      <c r="J768" s="25" t="str">
        <f>IF(OR(E768="",E768="!!!",F768="NEW"),"",COUNTBLANK(OFFSET(A$1,,,SUMPRODUCT(MAX(ROW(E$2:E768)*(E768=E$2:E768)))))-COUNTBLANK(OFFSET(A$1,,,SUMPRODUCT(MAX(ROW(E$1:E767)*(E2=E$1:E767))))))</f>
        <v> </v>
      </c>
      <c r="K768" s="25" t="str">
        <f>IF(OR(E768="",E768="!!!",F768="NEW"),"",INDEX(J$1:J767,SUMPRODUCT(MAX(ROW(E$1:E767)*(E768=E$1:E767)))))</f>
        <v> </v>
      </c>
      <c r="L768" s="26"/>
    </row>
    <row r="769" spans="1:12">
      <c r="A769" s="20" t="s">
        <v>574</v>
      </c>
      <c r="E769" s="21">
        <f>IF(D769="?OLD","!!!","")</f>
        <v/>
      </c>
      <c r="F769" s="22" t="str">
        <f>IF(OR(E769="",E769="!!!"),"",IF(NOT(ISNA(VLOOKUP(E769,E$1:E768,1,FALSE()))),"OLD",IF(AND(E769&lt;&gt;"",E769&lt;&gt;"!!!"),"NEW","")))</f>
        <v> </v>
      </c>
      <c r="G769" s="23" t="str">
        <f>IF(OR(E769="",E769="!!!"),"",IF(OR(J769=0,AND(J769=1,K769=1),AND(J769=1,I769="SBJ"),AND(J769=1,I769=0)),"?IN_FOCUS",IF(J769&lt;=2,"?ACTIVATED",IF(J769&lt;&gt;"","?FAMILIAR",IF(F769="NEW",IF(ISNA(VLOOKUP(E769,#REF!,1,FALSE())),"?TYPE_IDENTIFIABLE","?REFERENTIAL"),"_")))))</f>
        <v> </v>
      </c>
      <c r="H769" s="24" t="str">
        <f>IF(J769&lt;&gt;1,"",IF(I769="SBJ","CB","?"))</f>
        <v> </v>
      </c>
      <c r="I769" s="25" t="str">
        <f>IF(OR(E769="",E769="!!!",F769="NEW"),"",INDEX(B768:B$2,-1+SUMPRODUCT(MAX(ROW(E768:E$2)*(E769=E768:E$2)))))</f>
        <v> </v>
      </c>
      <c r="J769" s="25" t="str">
        <f>IF(OR(E769="",E769="!!!",F769="NEW"),"",COUNTBLANK(OFFSET(A$1,,,SUMPRODUCT(MAX(ROW(E$2:E769)*(E769=E$2:E769)))))-COUNTBLANK(OFFSET(A$1,,,SUMPRODUCT(MAX(ROW(E$1:E768)*(E2=E$1:E768))))))</f>
        <v> </v>
      </c>
      <c r="K769" s="25" t="str">
        <f>IF(OR(E769="",E769="!!!",F769="NEW"),"",INDEX(J$1:J768,SUMPRODUCT(MAX(ROW(E$1:E768)*(E769=E$1:E768)))))</f>
        <v> </v>
      </c>
      <c r="L769" s="26"/>
    </row>
    <row r="770" spans="1:12">
      <c r="A770" s="20" t="s">
        <v>368</v>
      </c>
      <c r="E770" s="21">
        <f>IF(D770="?OLD","!!!","")</f>
        <v/>
      </c>
      <c r="F770" s="22" t="str">
        <f>IF(OR(E770="",E770="!!!"),"",IF(NOT(ISNA(VLOOKUP(E770,E$1:E769,1,FALSE()))),"OLD",IF(AND(E770&lt;&gt;"",E770&lt;&gt;"!!!"),"NEW","")))</f>
        <v> </v>
      </c>
      <c r="G770" s="23" t="str">
        <f>IF(OR(E770="",E770="!!!"),"",IF(OR(J770=0,AND(J770=1,K770=1),AND(J770=1,I770="SBJ"),AND(J770=1,I770=0)),"?IN_FOCUS",IF(J770&lt;=2,"?ACTIVATED",IF(J770&lt;&gt;"","?FAMILIAR",IF(F770="NEW",IF(ISNA(VLOOKUP(E770,#REF!,1,FALSE())),"?TYPE_IDENTIFIABLE","?REFERENTIAL"),"_")))))</f>
        <v> </v>
      </c>
      <c r="H770" s="24" t="str">
        <f>IF(J770&lt;&gt;1,"",IF(I770="SBJ","CB","?"))</f>
        <v> </v>
      </c>
      <c r="I770" s="25" t="str">
        <f>IF(OR(E770="",E770="!!!",F770="NEW"),"",INDEX(B769:B$2,-1+SUMPRODUCT(MAX(ROW(E769:E$2)*(E770=E769:E$2)))))</f>
        <v> </v>
      </c>
      <c r="J770" s="25" t="str">
        <f>IF(OR(E770="",E770="!!!",F770="NEW"),"",COUNTBLANK(OFFSET(A$1,,,SUMPRODUCT(MAX(ROW(E$2:E770)*(E770=E$2:E770)))))-COUNTBLANK(OFFSET(A$1,,,SUMPRODUCT(MAX(ROW(E$1:E769)*(E2=E$1:E769))))))</f>
        <v> </v>
      </c>
      <c r="K770" s="25" t="str">
        <f>IF(OR(E770="",E770="!!!",F770="NEW"),"",INDEX(J$1:J769,SUMPRODUCT(MAX(ROW(E$1:E769)*(E770=E$1:E769)))))</f>
        <v> </v>
      </c>
      <c r="L770" s="26"/>
    </row>
    <row r="771" spans="1:12">
      <c r="A771" s="20" t="s">
        <v>416</v>
      </c>
      <c r="B771" s="27" t="s">
        <v>256</v>
      </c>
      <c r="C771" s="27" t="s">
        <v>367</v>
      </c>
      <c r="D771" s="27" t="s">
        <v>258</v>
      </c>
      <c r="E771" s="21">
        <f>IF(D771="?OLD","!!!","")</f>
        <v/>
      </c>
      <c r="F771" s="22" t="str">
        <f>IF(OR(E771="",E771="!!!"),"",IF(NOT(ISNA(VLOOKUP(E771,E$1:E770,1,FALSE()))),"OLD",IF(AND(E771&lt;&gt;"",E771&lt;&gt;"!!!"),"NEW","")))</f>
        <v> </v>
      </c>
      <c r="G771" s="23" t="str">
        <f>IF(OR(E771="",E771="!!!"),"",IF(OR(J771=0,AND(J771=1,K771=1),AND(J771=1,I771="SBJ"),AND(J771=1,I771=0)),"?IN_FOCUS",IF(J771&lt;=2,"?ACTIVATED",IF(J771&lt;&gt;"","?FAMILIAR",IF(F771="NEW",IF(ISNA(VLOOKUP(E771,#REF!,1,FALSE())),"?TYPE_IDENTIFIABLE","?REFERENTIAL"),"_")))))</f>
        <v> </v>
      </c>
      <c r="H771" s="24" t="str">
        <f>IF(J771&lt;&gt;1,"",IF(I771="SBJ","CB","?"))</f>
        <v> </v>
      </c>
      <c r="I771" s="25" t="str">
        <f>IF(OR(E771="",E771="!!!",F771="NEW"),"",INDEX(B770:B$2,-1+SUMPRODUCT(MAX(ROW(E770:E$2)*(E771=E770:E$2)))))</f>
        <v> </v>
      </c>
      <c r="J771" s="25" t="str">
        <f>IF(OR(E771="",E771="!!!",F771="NEW"),"",COUNTBLANK(OFFSET(A$1,,,SUMPRODUCT(MAX(ROW(E$2:E771)*(E771=E$2:E771)))))-COUNTBLANK(OFFSET(A$1,,,SUMPRODUCT(MAX(ROW(E$1:E770)*(E2=E$1:E770))))))</f>
        <v> </v>
      </c>
      <c r="K771" s="25" t="str">
        <f>IF(OR(E771="",E771="!!!",F771="NEW"),"",INDEX(J$1:J770,SUMPRODUCT(MAX(ROW(E$1:E770)*(E771=E$1:E770)))))</f>
        <v> </v>
      </c>
      <c r="L771" s="26"/>
    </row>
    <row r="772" spans="1:12">
      <c r="A772" s="20" t="s">
        <v>288</v>
      </c>
      <c r="E772" s="21">
        <f>IF(D772="?OLD","!!!","")</f>
        <v/>
      </c>
      <c r="F772" s="22" t="str">
        <f>IF(OR(E772="",E772="!!!"),"",IF(NOT(ISNA(VLOOKUP(E772,E$1:E771,1,FALSE()))),"OLD",IF(AND(E772&lt;&gt;"",E772&lt;&gt;"!!!"),"NEW","")))</f>
        <v> </v>
      </c>
      <c r="G772" s="23" t="str">
        <f>IF(OR(E772="",E772="!!!"),"",IF(OR(J772=0,AND(J772=1,K772=1),AND(J772=1,I772="SBJ"),AND(J772=1,I772=0)),"?IN_FOCUS",IF(J772&lt;=2,"?ACTIVATED",IF(J772&lt;&gt;"","?FAMILIAR",IF(F772="NEW",IF(ISNA(VLOOKUP(E772,#REF!,1,FALSE())),"?TYPE_IDENTIFIABLE","?REFERENTIAL"),"_")))))</f>
        <v> </v>
      </c>
      <c r="H772" s="24" t="str">
        <f>IF(J772&lt;&gt;1,"",IF(I772="SBJ","CB","?"))</f>
        <v> </v>
      </c>
      <c r="I772" s="25" t="str">
        <f>IF(OR(E772="",E772="!!!",F772="NEW"),"",INDEX(B771:B$2,-1+SUMPRODUCT(MAX(ROW(E771:E$2)*(E772=E771:E$2)))))</f>
        <v> </v>
      </c>
      <c r="J772" s="25" t="str">
        <f>IF(OR(E772="",E772="!!!",F772="NEW"),"",COUNTBLANK(OFFSET(A$1,,,SUMPRODUCT(MAX(ROW(E$2:E772)*(E772=E$2:E772)))))-COUNTBLANK(OFFSET(A$1,,,SUMPRODUCT(MAX(ROW(E$1:E771)*(E2=E$1:E771))))))</f>
        <v> </v>
      </c>
      <c r="K772" s="25" t="str">
        <f>IF(OR(E772="",E772="!!!",F772="NEW"),"",INDEX(J$1:J771,SUMPRODUCT(MAX(ROW(E$1:E771)*(E772=E$1:E771)))))</f>
        <v> </v>
      </c>
      <c r="L772" s="26"/>
    </row>
    <row r="773" spans="1:12">
      <c r="A773" s="20" t="s">
        <v>533</v>
      </c>
      <c r="E773" s="21">
        <f>IF(D773="?OLD","!!!","")</f>
        <v/>
      </c>
      <c r="F773" s="22" t="str">
        <f>IF(OR(E773="",E773="!!!"),"",IF(NOT(ISNA(VLOOKUP(E773,E$1:E772,1,FALSE()))),"OLD",IF(AND(E773&lt;&gt;"",E773&lt;&gt;"!!!"),"NEW","")))</f>
        <v> </v>
      </c>
      <c r="G773" s="23" t="str">
        <f>IF(OR(E773="",E773="!!!"),"",IF(OR(J773=0,AND(J773=1,K773=1),AND(J773=1,I773="SBJ"),AND(J773=1,I773=0)),"?IN_FOCUS",IF(J773&lt;=2,"?ACTIVATED",IF(J773&lt;&gt;"","?FAMILIAR",IF(F773="NEW",IF(ISNA(VLOOKUP(E773,#REF!,1,FALSE())),"?TYPE_IDENTIFIABLE","?REFERENTIAL"),"_")))))</f>
        <v> </v>
      </c>
      <c r="H773" s="24" t="str">
        <f>IF(J773&lt;&gt;1,"",IF(I773="SBJ","CB","?"))</f>
        <v> </v>
      </c>
      <c r="I773" s="25" t="str">
        <f>IF(OR(E773="",E773="!!!",F773="NEW"),"",INDEX(B772:B$2,-1+SUMPRODUCT(MAX(ROW(E772:E$2)*(E773=E772:E$2)))))</f>
        <v> </v>
      </c>
      <c r="J773" s="25" t="str">
        <f>IF(OR(E773="",E773="!!!",F773="NEW"),"",COUNTBLANK(OFFSET(A$1,,,SUMPRODUCT(MAX(ROW(E$2:E773)*(E773=E$2:E773)))))-COUNTBLANK(OFFSET(A$1,,,SUMPRODUCT(MAX(ROW(E$1:E772)*(E2=E$1:E772))))))</f>
        <v> </v>
      </c>
      <c r="K773" s="25" t="str">
        <f>IF(OR(E773="",E773="!!!",F773="NEW"),"",INDEX(J$1:J772,SUMPRODUCT(MAX(ROW(E$1:E772)*(E773=E$1:E772)))))</f>
        <v> </v>
      </c>
      <c r="L773" s="26"/>
    </row>
    <row r="774" spans="1:12">
      <c r="A774" s="20" t="s">
        <v>575</v>
      </c>
      <c r="B774" s="27" t="s">
        <v>333</v>
      </c>
      <c r="C774" s="27" t="s">
        <v>334</v>
      </c>
      <c r="E774" s="21">
        <f>IF(D774="?OLD","!!!","")</f>
        <v/>
      </c>
      <c r="F774" s="22" t="str">
        <f>IF(OR(E774="",E774="!!!"),"",IF(NOT(ISNA(VLOOKUP(E774,E$1:E773,1,FALSE()))),"OLD",IF(AND(E774&lt;&gt;"",E774&lt;&gt;"!!!"),"NEW","")))</f>
        <v> </v>
      </c>
      <c r="G774" s="23" t="str">
        <f>IF(OR(E774="",E774="!!!"),"",IF(OR(J774=0,AND(J774=1,K774=1),AND(J774=1,I774="SBJ"),AND(J774=1,I774=0)),"?IN_FOCUS",IF(J774&lt;=2,"?ACTIVATED",IF(J774&lt;&gt;"","?FAMILIAR",IF(F774="NEW",IF(ISNA(VLOOKUP(E774,#REF!,1,FALSE())),"?TYPE_IDENTIFIABLE","?REFERENTIAL"),"_")))))</f>
        <v> </v>
      </c>
      <c r="H774" s="24" t="str">
        <f>IF(J774&lt;&gt;1,"",IF(I774="SBJ","CB","?"))</f>
        <v> </v>
      </c>
      <c r="I774" s="25" t="str">
        <f>IF(OR(E774="",E774="!!!",F774="NEW"),"",INDEX(B773:B$2,-1+SUMPRODUCT(MAX(ROW(E773:E$2)*(E774=E773:E$2)))))</f>
        <v> </v>
      </c>
      <c r="J774" s="25" t="str">
        <f>IF(OR(E774="",E774="!!!",F774="NEW"),"",COUNTBLANK(OFFSET(A$1,,,SUMPRODUCT(MAX(ROW(E$2:E774)*(E774=E$2:E774)))))-COUNTBLANK(OFFSET(A$1,,,SUMPRODUCT(MAX(ROW(E$1:E773)*(E2=E$1:E773))))))</f>
        <v> </v>
      </c>
      <c r="K774" s="25" t="str">
        <f>IF(OR(E774="",E774="!!!",F774="NEW"),"",INDEX(J$1:J773,SUMPRODUCT(MAX(ROW(E$1:E773)*(E774=E$1:E773)))))</f>
        <v> </v>
      </c>
      <c r="L774" s="26"/>
    </row>
    <row r="775" spans="1:12">
      <c r="A775" s="20" t="s">
        <v>273</v>
      </c>
      <c r="B775" s="27" t="s">
        <v>323</v>
      </c>
      <c r="E775" s="21">
        <f>IF(D775="?OLD","!!!","")</f>
        <v/>
      </c>
      <c r="F775" s="22" t="str">
        <f>IF(OR(E775="",E775="!!!"),"",IF(NOT(ISNA(VLOOKUP(E775,E$1:E774,1,FALSE()))),"OLD",IF(AND(E775&lt;&gt;"",E775&lt;&gt;"!!!"),"NEW","")))</f>
        <v> </v>
      </c>
      <c r="G775" s="23" t="str">
        <f>IF(OR(E775="",E775="!!!"),"",IF(OR(J775=0,AND(J775=1,K775=1),AND(J775=1,I775="SBJ"),AND(J775=1,I775=0)),"?IN_FOCUS",IF(J775&lt;=2,"?ACTIVATED",IF(J775&lt;&gt;"","?FAMILIAR",IF(F775="NEW",IF(ISNA(VLOOKUP(E775,#REF!,1,FALSE())),"?TYPE_IDENTIFIABLE","?REFERENTIAL"),"_")))))</f>
        <v> </v>
      </c>
      <c r="H775" s="24" t="str">
        <f>IF(J775&lt;&gt;1,"",IF(I775="SBJ","CB","?"))</f>
        <v> </v>
      </c>
      <c r="I775" s="25" t="str">
        <f>IF(OR(E775="",E775="!!!",F775="NEW"),"",INDEX(B774:B$2,-1+SUMPRODUCT(MAX(ROW(E774:E$2)*(E775=E774:E$2)))))</f>
        <v> </v>
      </c>
      <c r="J775" s="25" t="str">
        <f>IF(OR(E775="",E775="!!!",F775="NEW"),"",COUNTBLANK(OFFSET(A$1,,,SUMPRODUCT(MAX(ROW(E$2:E775)*(E775=E$2:E775)))))-COUNTBLANK(OFFSET(A$1,,,SUMPRODUCT(MAX(ROW(E$1:E774)*(E2=E$1:E774))))))</f>
        <v> </v>
      </c>
      <c r="K775" s="25" t="str">
        <f>IF(OR(E775="",E775="!!!",F775="NEW"),"",INDEX(J$1:J774,SUMPRODUCT(MAX(ROW(E$1:E774)*(E775=E$1:E774)))))</f>
        <v> </v>
      </c>
      <c r="L775" s="26"/>
    </row>
    <row r="776" spans="1:12">
      <c r="A776" s="20" t="s">
        <v>576</v>
      </c>
      <c r="E776" s="21">
        <f>IF(D776="?OLD","!!!","")</f>
        <v/>
      </c>
      <c r="F776" s="22" t="str">
        <f>IF(OR(E776="",E776="!!!"),"",IF(NOT(ISNA(VLOOKUP(E776,E$1:E775,1,FALSE()))),"OLD",IF(AND(E776&lt;&gt;"",E776&lt;&gt;"!!!"),"NEW","")))</f>
        <v> </v>
      </c>
      <c r="G776" s="23" t="str">
        <f>IF(OR(E776="",E776="!!!"),"",IF(OR(J776=0,AND(J776=1,K776=1),AND(J776=1,I776="SBJ"),AND(J776=1,I776=0)),"?IN_FOCUS",IF(J776&lt;=2,"?ACTIVATED",IF(J776&lt;&gt;"","?FAMILIAR",IF(F776="NEW",IF(ISNA(VLOOKUP(E776,#REF!,1,FALSE())),"?TYPE_IDENTIFIABLE","?REFERENTIAL"),"_")))))</f>
        <v> </v>
      </c>
      <c r="H776" s="24" t="str">
        <f>IF(J776&lt;&gt;1,"",IF(I776="SBJ","CB","?"))</f>
        <v> </v>
      </c>
      <c r="I776" s="25" t="str">
        <f>IF(OR(E776="",E776="!!!",F776="NEW"),"",INDEX(B775:B$2,-1+SUMPRODUCT(MAX(ROW(E775:E$2)*(E776=E775:E$2)))))</f>
        <v> </v>
      </c>
      <c r="J776" s="25" t="str">
        <f>IF(OR(E776="",E776="!!!",F776="NEW"),"",COUNTBLANK(OFFSET(A$1,,,SUMPRODUCT(MAX(ROW(E$2:E776)*(E776=E$2:E776)))))-COUNTBLANK(OFFSET(A$1,,,SUMPRODUCT(MAX(ROW(E$1:E775)*(E2=E$1:E775))))))</f>
        <v> </v>
      </c>
      <c r="K776" s="25" t="str">
        <f>IF(OR(E776="",E776="!!!",F776="NEW"),"",INDEX(J$1:J775,SUMPRODUCT(MAX(ROW(E$1:E775)*(E776=E$1:E775)))))</f>
        <v> </v>
      </c>
      <c r="L776" s="26"/>
    </row>
    <row r="777" spans="1:12">
      <c r="A777" s="20" t="s">
        <v>394</v>
      </c>
      <c r="E777" s="21">
        <f>IF(D777="?OLD","!!!","")</f>
        <v/>
      </c>
      <c r="F777" s="22" t="str">
        <f>IF(OR(E777="",E777="!!!"),"",IF(NOT(ISNA(VLOOKUP(E777,E$1:E776,1,FALSE()))),"OLD",IF(AND(E777&lt;&gt;"",E777&lt;&gt;"!!!"),"NEW","")))</f>
        <v> </v>
      </c>
      <c r="G777" s="23" t="str">
        <f>IF(OR(E777="",E777="!!!"),"",IF(OR(J777=0,AND(J777=1,K777=1),AND(J777=1,I777="SBJ"),AND(J777=1,I777=0)),"?IN_FOCUS",IF(J777&lt;=2,"?ACTIVATED",IF(J777&lt;&gt;"","?FAMILIAR",IF(F777="NEW",IF(ISNA(VLOOKUP(E777,#REF!,1,FALSE())),"?TYPE_IDENTIFIABLE","?REFERENTIAL"),"_")))))</f>
        <v> </v>
      </c>
      <c r="H777" s="24" t="str">
        <f>IF(J777&lt;&gt;1,"",IF(I777="SBJ","CB","?"))</f>
        <v> </v>
      </c>
      <c r="I777" s="25" t="str">
        <f>IF(OR(E777="",E777="!!!",F777="NEW"),"",INDEX(B776:B$2,-1+SUMPRODUCT(MAX(ROW(E776:E$2)*(E777=E776:E$2)))))</f>
        <v> </v>
      </c>
      <c r="J777" s="25" t="str">
        <f>IF(OR(E777="",E777="!!!",F777="NEW"),"",COUNTBLANK(OFFSET(A$1,,,SUMPRODUCT(MAX(ROW(E$2:E777)*(E777=E$2:E777)))))-COUNTBLANK(OFFSET(A$1,,,SUMPRODUCT(MAX(ROW(E$1:E776)*(E2=E$1:E776))))))</f>
        <v> </v>
      </c>
      <c r="K777" s="25" t="str">
        <f>IF(OR(E777="",E777="!!!",F777="NEW"),"",INDEX(J$1:J776,SUMPRODUCT(MAX(ROW(E$1:E776)*(E777=E$1:E776)))))</f>
        <v> </v>
      </c>
      <c r="L777" s="26"/>
    </row>
    <row r="778" spans="1:12">
      <c r="A778" s="20" t="s">
        <v>577</v>
      </c>
      <c r="E778" s="21">
        <f>IF(D778="?OLD","!!!","")</f>
        <v/>
      </c>
      <c r="F778" s="22" t="str">
        <f>IF(OR(E778="",E778="!!!"),"",IF(NOT(ISNA(VLOOKUP(E778,E$1:E777,1,FALSE()))),"OLD",IF(AND(E778&lt;&gt;"",E778&lt;&gt;"!!!"),"NEW","")))</f>
        <v> </v>
      </c>
      <c r="G778" s="23" t="str">
        <f>IF(OR(E778="",E778="!!!"),"",IF(OR(J778=0,AND(J778=1,K778=1),AND(J778=1,I778="SBJ"),AND(J778=1,I778=0)),"?IN_FOCUS",IF(J778&lt;=2,"?ACTIVATED",IF(J778&lt;&gt;"","?FAMILIAR",IF(F778="NEW",IF(ISNA(VLOOKUP(E778,#REF!,1,FALSE())),"?TYPE_IDENTIFIABLE","?REFERENTIAL"),"_")))))</f>
        <v> </v>
      </c>
      <c r="H778" s="24" t="str">
        <f>IF(J778&lt;&gt;1,"",IF(I778="SBJ","CB","?"))</f>
        <v> </v>
      </c>
      <c r="I778" s="25" t="str">
        <f>IF(OR(E778="",E778="!!!",F778="NEW"),"",INDEX(B777:B$2,-1+SUMPRODUCT(MAX(ROW(E777:E$2)*(E778=E777:E$2)))))</f>
        <v> </v>
      </c>
      <c r="J778" s="25" t="str">
        <f>IF(OR(E778="",E778="!!!",F778="NEW"),"",COUNTBLANK(OFFSET(A$1,,,SUMPRODUCT(MAX(ROW(E$2:E778)*(E778=E$2:E778)))))-COUNTBLANK(OFFSET(A$1,,,SUMPRODUCT(MAX(ROW(E$1:E777)*(E2=E$1:E777))))))</f>
        <v> </v>
      </c>
      <c r="K778" s="25" t="str">
        <f>IF(OR(E778="",E778="!!!",F778="NEW"),"",INDEX(J$1:J777,SUMPRODUCT(MAX(ROW(E$1:E777)*(E778=E$1:E777)))))</f>
        <v> </v>
      </c>
      <c r="L778" s="26"/>
    </row>
    <row r="779" spans="1:12">
      <c r="A779" s="20" t="s">
        <v>578</v>
      </c>
      <c r="E779" s="21">
        <f>IF(D779="?OLD","!!!","")</f>
        <v/>
      </c>
      <c r="F779" s="22" t="str">
        <f>IF(OR(E779="",E779="!!!"),"",IF(NOT(ISNA(VLOOKUP(E779,E$1:E778,1,FALSE()))),"OLD",IF(AND(E779&lt;&gt;"",E779&lt;&gt;"!!!"),"NEW","")))</f>
        <v> </v>
      </c>
      <c r="G779" s="23" t="str">
        <f>IF(OR(E779="",E779="!!!"),"",IF(OR(J779=0,AND(J779=1,K779=1),AND(J779=1,I779="SBJ"),AND(J779=1,I779=0)),"?IN_FOCUS",IF(J779&lt;=2,"?ACTIVATED",IF(J779&lt;&gt;"","?FAMILIAR",IF(F779="NEW",IF(ISNA(VLOOKUP(E779,#REF!,1,FALSE())),"?TYPE_IDENTIFIABLE","?REFERENTIAL"),"_")))))</f>
        <v> </v>
      </c>
      <c r="H779" s="24" t="str">
        <f>IF(J779&lt;&gt;1,"",IF(I779="SBJ","CB","?"))</f>
        <v> </v>
      </c>
      <c r="I779" s="25" t="str">
        <f>IF(OR(E779="",E779="!!!",F779="NEW"),"",INDEX(B778:B$2,-1+SUMPRODUCT(MAX(ROW(E778:E$2)*(E779=E778:E$2)))))</f>
        <v> </v>
      </c>
      <c r="J779" s="25" t="str">
        <f>IF(OR(E779="",E779="!!!",F779="NEW"),"",COUNTBLANK(OFFSET(A$1,,,SUMPRODUCT(MAX(ROW(E$2:E779)*(E779=E$2:E779)))))-COUNTBLANK(OFFSET(A$1,,,SUMPRODUCT(MAX(ROW(E$1:E778)*(E2=E$1:E778))))))</f>
        <v> </v>
      </c>
      <c r="K779" s="25" t="str">
        <f>IF(OR(E779="",E779="!!!",F779="NEW"),"",INDEX(J$1:J778,SUMPRODUCT(MAX(ROW(E$1:E778)*(E779=E$1:E778)))))</f>
        <v> </v>
      </c>
      <c r="L779" s="26"/>
    </row>
    <row r="780" spans="1:12">
      <c r="A780" s="20" t="s">
        <v>579</v>
      </c>
      <c r="E780" s="21">
        <f>IF(D780="?OLD","!!!","")</f>
        <v/>
      </c>
      <c r="F780" s="22" t="str">
        <f>IF(OR(E780="",E780="!!!"),"",IF(NOT(ISNA(VLOOKUP(E780,E$1:E779,1,FALSE()))),"OLD",IF(AND(E780&lt;&gt;"",E780&lt;&gt;"!!!"),"NEW","")))</f>
        <v> </v>
      </c>
      <c r="G780" s="23" t="str">
        <f>IF(OR(E780="",E780="!!!"),"",IF(OR(J780=0,AND(J780=1,K780=1),AND(J780=1,I780="SBJ"),AND(J780=1,I780=0)),"?IN_FOCUS",IF(J780&lt;=2,"?ACTIVATED",IF(J780&lt;&gt;"","?FAMILIAR",IF(F780="NEW",IF(ISNA(VLOOKUP(E780,#REF!,1,FALSE())),"?TYPE_IDENTIFIABLE","?REFERENTIAL"),"_")))))</f>
        <v> </v>
      </c>
      <c r="H780" s="24" t="str">
        <f>IF(J780&lt;&gt;1,"",IF(I780="SBJ","CB","?"))</f>
        <v> </v>
      </c>
      <c r="I780" s="25" t="str">
        <f>IF(OR(E780="",E780="!!!",F780="NEW"),"",INDEX(B779:B$2,-1+SUMPRODUCT(MAX(ROW(E779:E$2)*(E780=E779:E$2)))))</f>
        <v> </v>
      </c>
      <c r="J780" s="25" t="str">
        <f>IF(OR(E780="",E780="!!!",F780="NEW"),"",COUNTBLANK(OFFSET(A$1,,,SUMPRODUCT(MAX(ROW(E$2:E780)*(E780=E$2:E780)))))-COUNTBLANK(OFFSET(A$1,,,SUMPRODUCT(MAX(ROW(E$1:E779)*(E2=E$1:E779))))))</f>
        <v> </v>
      </c>
      <c r="K780" s="25" t="str">
        <f>IF(OR(E780="",E780="!!!",F780="NEW"),"",INDEX(J$1:J779,SUMPRODUCT(MAX(ROW(E$1:E779)*(E780=E$1:E779)))))</f>
        <v> </v>
      </c>
      <c r="L780" s="26"/>
    </row>
    <row r="781" spans="1:12">
      <c r="A781" s="20" t="s">
        <v>264</v>
      </c>
      <c r="E781" s="21">
        <f>IF(D781="?OLD","!!!","")</f>
        <v/>
      </c>
      <c r="F781" s="22" t="str">
        <f>IF(OR(E781="",E781="!!!"),"",IF(NOT(ISNA(VLOOKUP(E781,E$1:E780,1,FALSE()))),"OLD",IF(AND(E781&lt;&gt;"",E781&lt;&gt;"!!!"),"NEW","")))</f>
        <v> </v>
      </c>
      <c r="G781" s="23" t="str">
        <f>IF(OR(E781="",E781="!!!"),"",IF(OR(J781=0,AND(J781=1,K781=1),AND(J781=1,I781="SBJ"),AND(J781=1,I781=0)),"?IN_FOCUS",IF(J781&lt;=2,"?ACTIVATED",IF(J781&lt;&gt;"","?FAMILIAR",IF(F781="NEW",IF(ISNA(VLOOKUP(E781,#REF!,1,FALSE())),"?TYPE_IDENTIFIABLE","?REFERENTIAL"),"_")))))</f>
        <v> </v>
      </c>
      <c r="H781" s="24" t="str">
        <f>IF(J781&lt;&gt;1,"",IF(I781="SBJ","CB","?"))</f>
        <v> </v>
      </c>
      <c r="I781" s="25" t="str">
        <f>IF(OR(E781="",E781="!!!",F781="NEW"),"",INDEX(B780:B$2,-1+SUMPRODUCT(MAX(ROW(E780:E$2)*(E781=E780:E$2)))))</f>
        <v> </v>
      </c>
      <c r="J781" s="25" t="str">
        <f>IF(OR(E781="",E781="!!!",F781="NEW"),"",COUNTBLANK(OFFSET(A$1,,,SUMPRODUCT(MAX(ROW(E$2:E781)*(E781=E$2:E781)))))-COUNTBLANK(OFFSET(A$1,,,SUMPRODUCT(MAX(ROW(E$1:E780)*(E2=E$1:E780))))))</f>
        <v> </v>
      </c>
      <c r="K781" s="25" t="str">
        <f>IF(OR(E781="",E781="!!!",F781="NEW"),"",INDEX(J$1:J780,SUMPRODUCT(MAX(ROW(E$1:E780)*(E781=E$1:E780)))))</f>
        <v> </v>
      </c>
      <c r="L781" s="26"/>
    </row>
    <row r="782" spans="1:12">
      <c r="A782" s="20" t="s">
        <v>525</v>
      </c>
      <c r="E782" s="21">
        <f>IF(D782="?OLD","!!!","")</f>
        <v/>
      </c>
      <c r="F782" s="22" t="str">
        <f>IF(OR(E782="",E782="!!!"),"",IF(NOT(ISNA(VLOOKUP(E782,E$1:E781,1,FALSE()))),"OLD",IF(AND(E782&lt;&gt;"",E782&lt;&gt;"!!!"),"NEW","")))</f>
        <v> </v>
      </c>
      <c r="G782" s="23" t="str">
        <f>IF(OR(E782="",E782="!!!"),"",IF(OR(J782=0,AND(J782=1,K782=1),AND(J782=1,I782="SBJ"),AND(J782=1,I782=0)),"?IN_FOCUS",IF(J782&lt;=2,"?ACTIVATED",IF(J782&lt;&gt;"","?FAMILIAR",IF(F782="NEW",IF(ISNA(VLOOKUP(E782,#REF!,1,FALSE())),"?TYPE_IDENTIFIABLE","?REFERENTIAL"),"_")))))</f>
        <v> </v>
      </c>
      <c r="H782" s="24" t="str">
        <f>IF(J782&lt;&gt;1,"",IF(I782="SBJ","CB","?"))</f>
        <v> </v>
      </c>
      <c r="I782" s="25" t="str">
        <f>IF(OR(E782="",E782="!!!",F782="NEW"),"",INDEX(B781:B$2,-1+SUMPRODUCT(MAX(ROW(E781:E$2)*(E782=E781:E$2)))))</f>
        <v> </v>
      </c>
      <c r="J782" s="25" t="str">
        <f>IF(OR(E782="",E782="!!!",F782="NEW"),"",COUNTBLANK(OFFSET(A$1,,,SUMPRODUCT(MAX(ROW(E$2:E782)*(E782=E$2:E782)))))-COUNTBLANK(OFFSET(A$1,,,SUMPRODUCT(MAX(ROW(E$1:E781)*(E2=E$1:E781))))))</f>
        <v> </v>
      </c>
      <c r="K782" s="25" t="str">
        <f>IF(OR(E782="",E782="!!!",F782="NEW"),"",INDEX(J$1:J781,SUMPRODUCT(MAX(ROW(E$1:E781)*(E782=E$1:E781)))))</f>
        <v> </v>
      </c>
      <c r="L782" s="26"/>
    </row>
    <row r="783" spans="1:12">
      <c r="A783" s="20" t="s">
        <v>526</v>
      </c>
      <c r="B783" s="27" t="s">
        <v>328</v>
      </c>
      <c r="C783" s="27" t="s">
        <v>334</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t="s">
        <v>320</v>
      </c>
      <c r="E784" s="21">
        <f>IF(D784="?OLD","!!!","")</f>
        <v/>
      </c>
      <c r="F784" s="22" t="str">
        <f>IF(OR(E784="",E784="!!!"),"",IF(NOT(ISNA(VLOOKUP(E784,E$1:E783,1,FALSE()))),"OLD",IF(AND(E784&lt;&gt;"",E784&lt;&gt;"!!!"),"NEW","")))</f>
        <v> </v>
      </c>
      <c r="G784" s="23" t="str">
        <f>IF(OR(E784="",E784="!!!"),"",IF(OR(J784=0,AND(J784=1,K784=1),AND(J784=1,I784="SBJ"),AND(J784=1,I784=0)),"?IN_FOCUS",IF(J784&lt;=2,"?ACTIVATED",IF(J784&lt;&gt;"","?FAMILIAR",IF(F784="NEW",IF(ISNA(VLOOKUP(E784,#REF!,1,FALSE())),"?TYPE_IDENTIFIABLE","?REFERENTIAL"),"_")))))</f>
        <v> </v>
      </c>
      <c r="H784" s="24" t="str">
        <f>IF(J784&lt;&gt;1,"",IF(I784="SBJ","CB","?"))</f>
        <v> </v>
      </c>
      <c r="I784" s="25" t="str">
        <f>IF(OR(E784="",E784="!!!",F784="NEW"),"",INDEX(B783:B$2,-1+SUMPRODUCT(MAX(ROW(E783:E$2)*(E784=E783:E$2)))))</f>
        <v> </v>
      </c>
      <c r="J784" s="25" t="str">
        <f>IF(OR(E784="",E784="!!!",F784="NEW"),"",COUNTBLANK(OFFSET(A$1,,,SUMPRODUCT(MAX(ROW(E$2:E784)*(E784=E$2:E784)))))-COUNTBLANK(OFFSET(A$1,,,SUMPRODUCT(MAX(ROW(E$1:E783)*(E2=E$1:E783))))))</f>
        <v> </v>
      </c>
      <c r="K784" s="25" t="str">
        <f>IF(OR(E784="",E784="!!!",F784="NEW"),"",INDEX(J$1:J783,SUMPRODUCT(MAX(ROW(E$1:E783)*(E784=E$1:E783)))))</f>
        <v> </v>
      </c>
      <c r="L784" s="26"/>
    </row>
    <row r="785" spans="1:12">
      <c r="A785" s="20"/>
    </row>
    <row r="786" spans="1:12">
      <c r="A786" s="20" t="s">
        <v>580</v>
      </c>
    </row>
    <row r="787" spans="1:12">
      <c r="A787" s="20" t="s">
        <v>348</v>
      </c>
      <c r="E787" s="21">
        <f>IF(D787="?OLD","!!!","")</f>
        <v/>
      </c>
      <c r="F787" s="22" t="str">
        <f>IF(OR(E787="",E787="!!!"),"",IF(NOT(ISNA(VLOOKUP(E787,E$1:E786,1,FALSE()))),"OLD",IF(AND(E787&lt;&gt;"",E787&lt;&gt;"!!!"),"NEW","")))</f>
        <v> </v>
      </c>
      <c r="G787" s="23" t="str">
        <f>IF(OR(E787="",E787="!!!"),"",IF(OR(J787=0,AND(J787=1,K787=1),AND(J787=1,I787="SBJ"),AND(J787=1,I787=0)),"?IN_FOCUS",IF(J787&lt;=2,"?ACTIVATED",IF(J787&lt;&gt;"","?FAMILIAR",IF(F787="NEW",IF(ISNA(VLOOKUP(E787,#REF!,1,FALSE())),"?TYPE_IDENTIFIABLE","?REFERENTIAL"),"_")))))</f>
        <v> </v>
      </c>
      <c r="H787" s="24" t="str">
        <f>IF(J787&lt;&gt;1,"",IF(I787="SBJ","CB","?"))</f>
        <v> </v>
      </c>
      <c r="I787" s="25" t="str">
        <f>IF(OR(E787="",E787="!!!",F787="NEW"),"",INDEX(B786:B$2,-1+SUMPRODUCT(MAX(ROW(E786:E$2)*(E787=E786:E$2)))))</f>
        <v> </v>
      </c>
      <c r="J787" s="25" t="str">
        <f>IF(OR(E787="",E787="!!!",F787="NEW"),"",COUNTBLANK(OFFSET(A$1,,,SUMPRODUCT(MAX(ROW(E$2:E787)*(E787=E$2:E787)))))-COUNTBLANK(OFFSET(A$1,,,SUMPRODUCT(MAX(ROW(E$1:E786)*(E2=E$1:E786))))))</f>
        <v> </v>
      </c>
      <c r="K787" s="25" t="str">
        <f>IF(OR(E787="",E787="!!!",F787="NEW"),"",INDEX(J$1:J786,SUMPRODUCT(MAX(ROW(E$1:E786)*(E787=E$1:E786)))))</f>
        <v> </v>
      </c>
      <c r="L787" s="26"/>
    </row>
    <row r="788" spans="1:12">
      <c r="A788" s="20" t="s">
        <v>235</v>
      </c>
      <c r="E788" s="21">
        <f>IF(D788="?OLD","!!!","")</f>
        <v/>
      </c>
      <c r="F788" s="22" t="str">
        <f>IF(OR(E788="",E788="!!!"),"",IF(NOT(ISNA(VLOOKUP(E788,E$1:E787,1,FALSE()))),"OLD",IF(AND(E788&lt;&gt;"",E788&lt;&gt;"!!!"),"NEW","")))</f>
        <v> </v>
      </c>
      <c r="G788" s="23" t="str">
        <f>IF(OR(E788="",E788="!!!"),"",IF(OR(J788=0,AND(J788=1,K788=1),AND(J788=1,I788="SBJ"),AND(J788=1,I788=0)),"?IN_FOCUS",IF(J788&lt;=2,"?ACTIVATED",IF(J788&lt;&gt;"","?FAMILIAR",IF(F788="NEW",IF(ISNA(VLOOKUP(E788,#REF!,1,FALSE())),"?TYPE_IDENTIFIABLE","?REFERENTIAL"),"_")))))</f>
        <v> </v>
      </c>
      <c r="H788" s="24" t="str">
        <f>IF(J788&lt;&gt;1,"",IF(I788="SBJ","CB","?"))</f>
        <v> </v>
      </c>
      <c r="I788" s="25" t="str">
        <f>IF(OR(E788="",E788="!!!",F788="NEW"),"",INDEX(B787:B$2,-1+SUMPRODUCT(MAX(ROW(E787:E$2)*(E788=E787:E$2)))))</f>
        <v> </v>
      </c>
      <c r="J788" s="25" t="str">
        <f>IF(OR(E788="",E788="!!!",F788="NEW"),"",COUNTBLANK(OFFSET(A$1,,,SUMPRODUCT(MAX(ROW(E$2:E788)*(E788=E$2:E788)))))-COUNTBLANK(OFFSET(A$1,,,SUMPRODUCT(MAX(ROW(E$1:E787)*(E2=E$1:E787))))))</f>
        <v> </v>
      </c>
      <c r="K788" s="25" t="str">
        <f>IF(OR(E788="",E788="!!!",F788="NEW"),"",INDEX(J$1:J787,SUMPRODUCT(MAX(ROW(E$1:E787)*(E788=E$1:E787)))))</f>
        <v> </v>
      </c>
      <c r="L788" s="26"/>
    </row>
    <row r="789" spans="1:12">
      <c r="A789" s="20" t="s">
        <v>542</v>
      </c>
      <c r="E789" s="21">
        <f>IF(D789="?OLD","!!!","")</f>
        <v/>
      </c>
      <c r="F789" s="22" t="str">
        <f>IF(OR(E789="",E789="!!!"),"",IF(NOT(ISNA(VLOOKUP(E789,E$1:E788,1,FALSE()))),"OLD",IF(AND(E789&lt;&gt;"",E789&lt;&gt;"!!!"),"NEW","")))</f>
        <v> </v>
      </c>
      <c r="G789" s="23" t="str">
        <f>IF(OR(E789="",E789="!!!"),"",IF(OR(J789=0,AND(J789=1,K789=1),AND(J789=1,I789="SBJ"),AND(J789=1,I789=0)),"?IN_FOCUS",IF(J789&lt;=2,"?ACTIVATED",IF(J789&lt;&gt;"","?FAMILIAR",IF(F789="NEW",IF(ISNA(VLOOKUP(E789,#REF!,1,FALSE())),"?TYPE_IDENTIFIABLE","?REFERENTIAL"),"_")))))</f>
        <v> </v>
      </c>
      <c r="H789" s="24" t="str">
        <f>IF(J789&lt;&gt;1,"",IF(I789="SBJ","CB","?"))</f>
        <v> </v>
      </c>
      <c r="I789" s="25" t="str">
        <f>IF(OR(E789="",E789="!!!",F789="NEW"),"",INDEX(B788:B$2,-1+SUMPRODUCT(MAX(ROW(E788:E$2)*(E789=E788:E$2)))))</f>
        <v> </v>
      </c>
      <c r="J789" s="25" t="str">
        <f>IF(OR(E789="",E789="!!!",F789="NEW"),"",COUNTBLANK(OFFSET(A$1,,,SUMPRODUCT(MAX(ROW(E$2:E789)*(E789=E$2:E789)))))-COUNTBLANK(OFFSET(A$1,,,SUMPRODUCT(MAX(ROW(E$1:E788)*(E2=E$1:E788))))))</f>
        <v> </v>
      </c>
      <c r="K789" s="25" t="str">
        <f>IF(OR(E789="",E789="!!!",F789="NEW"),"",INDEX(J$1:J788,SUMPRODUCT(MAX(ROW(E$1:E788)*(E789=E$1:E788)))))</f>
        <v> </v>
      </c>
      <c r="L789" s="26"/>
    </row>
    <row r="790" spans="1:12">
      <c r="A790" s="20" t="s">
        <v>581</v>
      </c>
      <c r="E790" s="21">
        <f>IF(D790="?OLD","!!!","")</f>
        <v/>
      </c>
      <c r="F790" s="22" t="str">
        <f>IF(OR(E790="",E790="!!!"),"",IF(NOT(ISNA(VLOOKUP(E790,E$1:E789,1,FALSE()))),"OLD",IF(AND(E790&lt;&gt;"",E790&lt;&gt;"!!!"),"NEW","")))</f>
        <v> </v>
      </c>
      <c r="G790" s="23" t="str">
        <f>IF(OR(E790="",E790="!!!"),"",IF(OR(J790=0,AND(J790=1,K790=1),AND(J790=1,I790="SBJ"),AND(J790=1,I790=0)),"?IN_FOCUS",IF(J790&lt;=2,"?ACTIVATED",IF(J790&lt;&gt;"","?FAMILIAR",IF(F790="NEW",IF(ISNA(VLOOKUP(E790,#REF!,1,FALSE())),"?TYPE_IDENTIFIABLE","?REFERENTIAL"),"_")))))</f>
        <v> </v>
      </c>
      <c r="H790" s="24" t="str">
        <f>IF(J790&lt;&gt;1,"",IF(I790="SBJ","CB","?"))</f>
        <v> </v>
      </c>
      <c r="I790" s="25" t="str">
        <f>IF(OR(E790="",E790="!!!",F790="NEW"),"",INDEX(B789:B$2,-1+SUMPRODUCT(MAX(ROW(E789:E$2)*(E790=E789:E$2)))))</f>
        <v> </v>
      </c>
      <c r="J790" s="25" t="str">
        <f>IF(OR(E790="",E790="!!!",F790="NEW"),"",COUNTBLANK(OFFSET(A$1,,,SUMPRODUCT(MAX(ROW(E$2:E790)*(E790=E$2:E790)))))-COUNTBLANK(OFFSET(A$1,,,SUMPRODUCT(MAX(ROW(E$1:E789)*(E2=E$1:E789))))))</f>
        <v> </v>
      </c>
      <c r="K790" s="25" t="str">
        <f>IF(OR(E790="",E790="!!!",F790="NEW"),"",INDEX(J$1:J789,SUMPRODUCT(MAX(ROW(E$1:E789)*(E790=E$1:E789)))))</f>
        <v> </v>
      </c>
      <c r="L790" s="26"/>
    </row>
    <row r="791" spans="1:12">
      <c r="A791" s="20" t="s">
        <v>305</v>
      </c>
      <c r="E791" s="21">
        <f>IF(D791="?OLD","!!!","")</f>
        <v/>
      </c>
      <c r="F791" s="22" t="str">
        <f>IF(OR(E791="",E791="!!!"),"",IF(NOT(ISNA(VLOOKUP(E791,E$1:E790,1,FALSE()))),"OLD",IF(AND(E791&lt;&gt;"",E791&lt;&gt;"!!!"),"NEW","")))</f>
        <v> </v>
      </c>
      <c r="G791" s="23" t="str">
        <f>IF(OR(E791="",E791="!!!"),"",IF(OR(J791=0,AND(J791=1,K791=1),AND(J791=1,I791="SBJ"),AND(J791=1,I791=0)),"?IN_FOCUS",IF(J791&lt;=2,"?ACTIVATED",IF(J791&lt;&gt;"","?FAMILIAR",IF(F791="NEW",IF(ISNA(VLOOKUP(E791,#REF!,1,FALSE())),"?TYPE_IDENTIFIABLE","?REFERENTIAL"),"_")))))</f>
        <v> </v>
      </c>
      <c r="H791" s="24" t="str">
        <f>IF(J791&lt;&gt;1,"",IF(I791="SBJ","CB","?"))</f>
        <v> </v>
      </c>
      <c r="I791" s="25" t="str">
        <f>IF(OR(E791="",E791="!!!",F791="NEW"),"",INDEX(B790:B$2,-1+SUMPRODUCT(MAX(ROW(E790:E$2)*(E791=E790:E$2)))))</f>
        <v> </v>
      </c>
      <c r="J791" s="25" t="str">
        <f>IF(OR(E791="",E791="!!!",F791="NEW"),"",COUNTBLANK(OFFSET(A$1,,,SUMPRODUCT(MAX(ROW(E$2:E791)*(E791=E$2:E791)))))-COUNTBLANK(OFFSET(A$1,,,SUMPRODUCT(MAX(ROW(E$1:E790)*(E2=E$1:E790))))))</f>
        <v> </v>
      </c>
      <c r="K791" s="25" t="str">
        <f>IF(OR(E791="",E791="!!!",F791="NEW"),"",INDEX(J$1:J790,SUMPRODUCT(MAX(ROW(E$1:E790)*(E791=E$1:E790)))))</f>
        <v> </v>
      </c>
      <c r="L791" s="26"/>
    </row>
    <row r="792" spans="1:12">
      <c r="A792" s="20" t="s">
        <v>35</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t="s">
        <v>273</v>
      </c>
      <c r="E793" s="21">
        <f>IF(D793="?OLD","!!!","")</f>
        <v/>
      </c>
      <c r="F793" s="22" t="str">
        <f>IF(OR(E793="",E793="!!!"),"",IF(NOT(ISNA(VLOOKUP(E793,E$1:E792,1,FALSE()))),"OLD",IF(AND(E793&lt;&gt;"",E793&lt;&gt;"!!!"),"NEW","")))</f>
        <v> </v>
      </c>
      <c r="G793" s="23" t="str">
        <f>IF(OR(E793="",E793="!!!"),"",IF(OR(J793=0,AND(J793=1,K793=1),AND(J793=1,I793="SBJ"),AND(J793=1,I793=0)),"?IN_FOCUS",IF(J793&lt;=2,"?ACTIVATED",IF(J793&lt;&gt;"","?FAMILIAR",IF(F793="NEW",IF(ISNA(VLOOKUP(E793,#REF!,1,FALSE())),"?TYPE_IDENTIFIABLE","?REFERENTIAL"),"_")))))</f>
        <v> </v>
      </c>
      <c r="H793" s="24" t="str">
        <f>IF(J793&lt;&gt;1,"",IF(I793="SBJ","CB","?"))</f>
        <v> </v>
      </c>
      <c r="I793" s="25" t="str">
        <f>IF(OR(E793="",E793="!!!",F793="NEW"),"",INDEX(B792:B$2,-1+SUMPRODUCT(MAX(ROW(E792:E$2)*(E793=E792:E$2)))))</f>
        <v> </v>
      </c>
      <c r="J793" s="25" t="str">
        <f>IF(OR(E793="",E793="!!!",F793="NEW"),"",COUNTBLANK(OFFSET(A$1,,,SUMPRODUCT(MAX(ROW(E$2:E793)*(E793=E$2:E793)))))-COUNTBLANK(OFFSET(A$1,,,SUMPRODUCT(MAX(ROW(E$1:E792)*(E2=E$1:E792))))))</f>
        <v> </v>
      </c>
      <c r="K793" s="25" t="str">
        <f>IF(OR(E793="",E793="!!!",F793="NEW"),"",INDEX(J$1:J792,SUMPRODUCT(MAX(ROW(E$1:E792)*(E793=E$1:E792)))))</f>
        <v> </v>
      </c>
      <c r="L793" s="26"/>
    </row>
    <row r="794" spans="1:12">
      <c r="A794" s="20" t="s">
        <v>575</v>
      </c>
      <c r="B794" s="27" t="s">
        <v>262</v>
      </c>
      <c r="C794" s="27" t="s">
        <v>341</v>
      </c>
      <c r="D794" s="27" t="s">
        <v>258</v>
      </c>
      <c r="E794" s="21">
        <f>IF(D794="?OLD","!!!","")</f>
        <v/>
      </c>
      <c r="F794" s="22" t="str">
        <f>IF(OR(E794="",E794="!!!"),"",IF(NOT(ISNA(VLOOKUP(E794,E$1:E793,1,FALSE()))),"OLD",IF(AND(E794&lt;&gt;"",E794&lt;&gt;"!!!"),"NEW","")))</f>
        <v> </v>
      </c>
      <c r="G794" s="23" t="str">
        <f>IF(OR(E794="",E794="!!!"),"",IF(OR(J794=0,AND(J794=1,K794=1),AND(J794=1,I794="SBJ"),AND(J794=1,I794=0)),"?IN_FOCUS",IF(J794&lt;=2,"?ACTIVATED",IF(J794&lt;&gt;"","?FAMILIAR",IF(F794="NEW",IF(ISNA(VLOOKUP(E794,#REF!,1,FALSE())),"?TYPE_IDENTIFIABLE","?REFERENTIAL"),"_")))))</f>
        <v> </v>
      </c>
      <c r="H794" s="24" t="str">
        <f>IF(J794&lt;&gt;1,"",IF(I794="SBJ","CB","?"))</f>
        <v> </v>
      </c>
      <c r="I794" s="25" t="str">
        <f>IF(OR(E794="",E794="!!!",F794="NEW"),"",INDEX(B793:B$2,-1+SUMPRODUCT(MAX(ROW(E793:E$2)*(E794=E793:E$2)))))</f>
        <v> </v>
      </c>
      <c r="J794" s="25" t="str">
        <f>IF(OR(E794="",E794="!!!",F794="NEW"),"",COUNTBLANK(OFFSET(A$1,,,SUMPRODUCT(MAX(ROW(E$2:E794)*(E794=E$2:E794)))))-COUNTBLANK(OFFSET(A$1,,,SUMPRODUCT(MAX(ROW(E$1:E793)*(E2=E$1:E793))))))</f>
        <v> </v>
      </c>
      <c r="K794" s="25" t="str">
        <f>IF(OR(E794="",E794="!!!",F794="NEW"),"",INDEX(J$1:J793,SUMPRODUCT(MAX(ROW(E$1:E793)*(E794=E$1:E793)))))</f>
        <v> </v>
      </c>
      <c r="L794" s="26"/>
    </row>
    <row r="795" spans="1:12">
      <c r="A795" s="20" t="s">
        <v>498</v>
      </c>
      <c r="E795" s="21">
        <f>IF(D795="?OLD","!!!","")</f>
        <v/>
      </c>
      <c r="F795" s="22" t="str">
        <f>IF(OR(E795="",E795="!!!"),"",IF(NOT(ISNA(VLOOKUP(E795,E$1:E794,1,FALSE()))),"OLD",IF(AND(E795&lt;&gt;"",E795&lt;&gt;"!!!"),"NEW","")))</f>
        <v> </v>
      </c>
      <c r="G795" s="23" t="str">
        <f>IF(OR(E795="",E795="!!!"),"",IF(OR(J795=0,AND(J795=1,K795=1),AND(J795=1,I795="SBJ"),AND(J795=1,I795=0)),"?IN_FOCUS",IF(J795&lt;=2,"?ACTIVATED",IF(J795&lt;&gt;"","?FAMILIAR",IF(F795="NEW",IF(ISNA(VLOOKUP(E795,#REF!,1,FALSE())),"?TYPE_IDENTIFIABLE","?REFERENTIAL"),"_")))))</f>
        <v> </v>
      </c>
      <c r="H795" s="24" t="str">
        <f>IF(J795&lt;&gt;1,"",IF(I795="SBJ","CB","?"))</f>
        <v> </v>
      </c>
      <c r="I795" s="25" t="str">
        <f>IF(OR(E795="",E795="!!!",F795="NEW"),"",INDEX(B794:B$2,-1+SUMPRODUCT(MAX(ROW(E794:E$2)*(E795=E794:E$2)))))</f>
        <v> </v>
      </c>
      <c r="J795" s="25" t="str">
        <f>IF(OR(E795="",E795="!!!",F795="NEW"),"",COUNTBLANK(OFFSET(A$1,,,SUMPRODUCT(MAX(ROW(E$2:E795)*(E795=E$2:E795)))))-COUNTBLANK(OFFSET(A$1,,,SUMPRODUCT(MAX(ROW(E$1:E794)*(E2=E$1:E794))))))</f>
        <v> </v>
      </c>
      <c r="K795" s="25" t="str">
        <f>IF(OR(E795="",E795="!!!",F795="NEW"),"",INDEX(J$1:J794,SUMPRODUCT(MAX(ROW(E$1:E794)*(E795=E$1:E794)))))</f>
        <v> </v>
      </c>
      <c r="L795" s="26"/>
    </row>
    <row r="796" spans="1:12">
      <c r="A796" s="20" t="s">
        <v>261</v>
      </c>
      <c r="B796" s="27" t="s">
        <v>323</v>
      </c>
      <c r="C796" s="27" t="s">
        <v>257</v>
      </c>
      <c r="D796" s="27" t="s">
        <v>258</v>
      </c>
      <c r="E796" s="21">
        <f>IF(D796="?OLD","!!!","")</f>
        <v/>
      </c>
      <c r="F796" s="22" t="str">
        <f>IF(OR(E796="",E796="!!!"),"",IF(NOT(ISNA(VLOOKUP(E796,E$1:E795,1,FALSE()))),"OLD",IF(AND(E796&lt;&gt;"",E796&lt;&gt;"!!!"),"NEW","")))</f>
        <v> </v>
      </c>
      <c r="G796" s="23" t="str">
        <f>IF(OR(E796="",E796="!!!"),"",IF(OR(J796=0,AND(J796=1,K796=1),AND(J796=1,I796="SBJ"),AND(J796=1,I796=0)),"?IN_FOCUS",IF(J796&lt;=2,"?ACTIVATED",IF(J796&lt;&gt;"","?FAMILIAR",IF(F796="NEW",IF(ISNA(VLOOKUP(E796,#REF!,1,FALSE())),"?TYPE_IDENTIFIABLE","?REFERENTIAL"),"_")))))</f>
        <v> </v>
      </c>
      <c r="H796" s="24" t="str">
        <f>IF(J796&lt;&gt;1,"",IF(I796="SBJ","CB","?"))</f>
        <v> </v>
      </c>
      <c r="I796" s="25" t="str">
        <f>IF(OR(E796="",E796="!!!",F796="NEW"),"",INDEX(B795:B$2,-1+SUMPRODUCT(MAX(ROW(E795:E$2)*(E796=E795:E$2)))))</f>
        <v> </v>
      </c>
      <c r="J796" s="25" t="str">
        <f>IF(OR(E796="",E796="!!!",F796="NEW"),"",COUNTBLANK(OFFSET(A$1,,,SUMPRODUCT(MAX(ROW(E$2:E796)*(E796=E$2:E796)))))-COUNTBLANK(OFFSET(A$1,,,SUMPRODUCT(MAX(ROW(E$1:E795)*(E2=E$1:E795))))))</f>
        <v> </v>
      </c>
      <c r="K796" s="25" t="str">
        <f>IF(OR(E796="",E796="!!!",F796="NEW"),"",INDEX(J$1:J795,SUMPRODUCT(MAX(ROW(E$1:E795)*(E796=E$1:E795)))))</f>
        <v> </v>
      </c>
      <c r="L796" s="26"/>
    </row>
    <row r="797" spans="1:12">
      <c r="A797" s="20" t="s">
        <v>43</v>
      </c>
      <c r="E797" s="21">
        <f>IF(D797="?OLD","!!!","")</f>
        <v/>
      </c>
      <c r="F797" s="22" t="str">
        <f>IF(OR(E797="",E797="!!!"),"",IF(NOT(ISNA(VLOOKUP(E797,E$1:E796,1,FALSE()))),"OLD",IF(AND(E797&lt;&gt;"",E797&lt;&gt;"!!!"),"NEW","")))</f>
        <v> </v>
      </c>
      <c r="G797" s="23" t="str">
        <f>IF(OR(E797="",E797="!!!"),"",IF(OR(J797=0,AND(J797=1,K797=1),AND(J797=1,I797="SBJ"),AND(J797=1,I797=0)),"?IN_FOCUS",IF(J797&lt;=2,"?ACTIVATED",IF(J797&lt;&gt;"","?FAMILIAR",IF(F797="NEW",IF(ISNA(VLOOKUP(E797,#REF!,1,FALSE())),"?TYPE_IDENTIFIABLE","?REFERENTIAL"),"_")))))</f>
        <v> </v>
      </c>
      <c r="H797" s="24" t="str">
        <f>IF(J797&lt;&gt;1,"",IF(I797="SBJ","CB","?"))</f>
        <v> </v>
      </c>
      <c r="I797" s="25" t="str">
        <f>IF(OR(E797="",E797="!!!",F797="NEW"),"",INDEX(B796:B$2,-1+SUMPRODUCT(MAX(ROW(E796:E$2)*(E797=E796:E$2)))))</f>
        <v> </v>
      </c>
      <c r="J797" s="25" t="str">
        <f>IF(OR(E797="",E797="!!!",F797="NEW"),"",COUNTBLANK(OFFSET(A$1,,,SUMPRODUCT(MAX(ROW(E$2:E797)*(E797=E$2:E797)))))-COUNTBLANK(OFFSET(A$1,,,SUMPRODUCT(MAX(ROW(E$1:E796)*(E2=E$1:E796))))))</f>
        <v> </v>
      </c>
      <c r="K797" s="25" t="str">
        <f>IF(OR(E797="",E797="!!!",F797="NEW"),"",INDEX(J$1:J796,SUMPRODUCT(MAX(ROW(E$1:E796)*(E797=E$1:E796)))))</f>
        <v> </v>
      </c>
      <c r="L797" s="26"/>
    </row>
    <row r="798" spans="1:12">
      <c r="A798" s="20" t="s">
        <v>381</v>
      </c>
      <c r="E798" s="21">
        <f>IF(D798="?OLD","!!!","")</f>
        <v/>
      </c>
      <c r="F798" s="22" t="str">
        <f>IF(OR(E798="",E798="!!!"),"",IF(NOT(ISNA(VLOOKUP(E798,E$1:E797,1,FALSE()))),"OLD",IF(AND(E798&lt;&gt;"",E798&lt;&gt;"!!!"),"NEW","")))</f>
        <v> </v>
      </c>
      <c r="G798" s="23" t="str">
        <f>IF(OR(E798="",E798="!!!"),"",IF(OR(J798=0,AND(J798=1,K798=1),AND(J798=1,I798="SBJ"),AND(J798=1,I798=0)),"?IN_FOCUS",IF(J798&lt;=2,"?ACTIVATED",IF(J798&lt;&gt;"","?FAMILIAR",IF(F798="NEW",IF(ISNA(VLOOKUP(E798,#REF!,1,FALSE())),"?TYPE_IDENTIFIABLE","?REFERENTIAL"),"_")))))</f>
        <v> </v>
      </c>
      <c r="H798" s="24" t="str">
        <f>IF(J798&lt;&gt;1,"",IF(I798="SBJ","CB","?"))</f>
        <v> </v>
      </c>
      <c r="I798" s="25" t="str">
        <f>IF(OR(E798="",E798="!!!",F798="NEW"),"",INDEX(B797:B$2,-1+SUMPRODUCT(MAX(ROW(E797:E$2)*(E798=E797:E$2)))))</f>
        <v> </v>
      </c>
      <c r="J798" s="25" t="str">
        <f>IF(OR(E798="",E798="!!!",F798="NEW"),"",COUNTBLANK(OFFSET(A$1,,,SUMPRODUCT(MAX(ROW(E$2:E798)*(E798=E$2:E798)))))-COUNTBLANK(OFFSET(A$1,,,SUMPRODUCT(MAX(ROW(E$1:E797)*(E2=E$1:E797))))))</f>
        <v> </v>
      </c>
      <c r="K798" s="25" t="str">
        <f>IF(OR(E798="",E798="!!!",F798="NEW"),"",INDEX(J$1:J797,SUMPRODUCT(MAX(ROW(E$1:E797)*(E798=E$1:E797)))))</f>
        <v> </v>
      </c>
      <c r="L798" s="26"/>
    </row>
    <row r="799" spans="1:12">
      <c r="A799" s="20" t="s">
        <v>293</v>
      </c>
      <c r="E799" s="21">
        <f>IF(D799="?OLD","!!!","")</f>
        <v/>
      </c>
      <c r="F799" s="22" t="str">
        <f>IF(OR(E799="",E799="!!!"),"",IF(NOT(ISNA(VLOOKUP(E799,E$1:E798,1,FALSE()))),"OLD",IF(AND(E799&lt;&gt;"",E799&lt;&gt;"!!!"),"NEW","")))</f>
        <v> </v>
      </c>
      <c r="G799" s="23" t="str">
        <f>IF(OR(E799="",E799="!!!"),"",IF(OR(J799=0,AND(J799=1,K799=1),AND(J799=1,I799="SBJ"),AND(J799=1,I799=0)),"?IN_FOCUS",IF(J799&lt;=2,"?ACTIVATED",IF(J799&lt;&gt;"","?FAMILIAR",IF(F799="NEW",IF(ISNA(VLOOKUP(E799,#REF!,1,FALSE())),"?TYPE_IDENTIFIABLE","?REFERENTIAL"),"_")))))</f>
        <v> </v>
      </c>
      <c r="H799" s="24" t="str">
        <f>IF(J799&lt;&gt;1,"",IF(I799="SBJ","CB","?"))</f>
        <v> </v>
      </c>
      <c r="I799" s="25" t="str">
        <f>IF(OR(E799="",E799="!!!",F799="NEW"),"",INDEX(B798:B$2,-1+SUMPRODUCT(MAX(ROW(E798:E$2)*(E799=E798:E$2)))))</f>
        <v> </v>
      </c>
      <c r="J799" s="25" t="str">
        <f>IF(OR(E799="",E799="!!!",F799="NEW"),"",COUNTBLANK(OFFSET(A$1,,,SUMPRODUCT(MAX(ROW(E$2:E799)*(E799=E$2:E799)))))-COUNTBLANK(OFFSET(A$1,,,SUMPRODUCT(MAX(ROW(E$1:E798)*(E2=E$1:E798))))))</f>
        <v> </v>
      </c>
      <c r="K799" s="25" t="str">
        <f>IF(OR(E799="",E799="!!!",F799="NEW"),"",INDEX(J$1:J798,SUMPRODUCT(MAX(ROW(E$1:E798)*(E799=E$1:E798)))))</f>
        <v> </v>
      </c>
      <c r="L799" s="26"/>
    </row>
    <row r="800" spans="1:12">
      <c r="A800" s="20" t="s">
        <v>85</v>
      </c>
      <c r="E800" s="21">
        <f>IF(D800="?OLD","!!!","")</f>
        <v/>
      </c>
      <c r="F800" s="22" t="str">
        <f>IF(OR(E800="",E800="!!!"),"",IF(NOT(ISNA(VLOOKUP(E800,E$1:E799,1,FALSE()))),"OLD",IF(AND(E800&lt;&gt;"",E800&lt;&gt;"!!!"),"NEW","")))</f>
        <v> </v>
      </c>
      <c r="G800" s="23" t="str">
        <f>IF(OR(E800="",E800="!!!"),"",IF(OR(J800=0,AND(J800=1,K800=1),AND(J800=1,I800="SBJ"),AND(J800=1,I800=0)),"?IN_FOCUS",IF(J800&lt;=2,"?ACTIVATED",IF(J800&lt;&gt;"","?FAMILIAR",IF(F800="NEW",IF(ISNA(VLOOKUP(E800,#REF!,1,FALSE())),"?TYPE_IDENTIFIABLE","?REFERENTIAL"),"_")))))</f>
        <v> </v>
      </c>
      <c r="H800" s="24" t="str">
        <f>IF(J800&lt;&gt;1,"",IF(I800="SBJ","CB","?"))</f>
        <v> </v>
      </c>
      <c r="I800" s="25" t="str">
        <f>IF(OR(E800="",E800="!!!",F800="NEW"),"",INDEX(B799:B$2,-1+SUMPRODUCT(MAX(ROW(E799:E$2)*(E800=E799:E$2)))))</f>
        <v> </v>
      </c>
      <c r="J800" s="25" t="str">
        <f>IF(OR(E800="",E800="!!!",F800="NEW"),"",COUNTBLANK(OFFSET(A$1,,,SUMPRODUCT(MAX(ROW(E$2:E800)*(E800=E$2:E800)))))-COUNTBLANK(OFFSET(A$1,,,SUMPRODUCT(MAX(ROW(E$1:E799)*(E2=E$1:E799))))))</f>
        <v> </v>
      </c>
      <c r="K800" s="25" t="str">
        <f>IF(OR(E800="",E800="!!!",F800="NEW"),"",INDEX(J$1:J799,SUMPRODUCT(MAX(ROW(E$1:E799)*(E800=E$1:E799)))))</f>
        <v> </v>
      </c>
      <c r="L800" s="26"/>
    </row>
    <row r="801" spans="1:12">
      <c r="A801" s="20" t="s">
        <v>326</v>
      </c>
      <c r="E801" s="21">
        <f>IF(D801="?OLD","!!!","")</f>
        <v/>
      </c>
      <c r="F801" s="22" t="str">
        <f>IF(OR(E801="",E801="!!!"),"",IF(NOT(ISNA(VLOOKUP(E801,E$1:E800,1,FALSE()))),"OLD",IF(AND(E801&lt;&gt;"",E801&lt;&gt;"!!!"),"NEW","")))</f>
        <v> </v>
      </c>
      <c r="G801" s="23" t="str">
        <f>IF(OR(E801="",E801="!!!"),"",IF(OR(J801=0,AND(J801=1,K801=1),AND(J801=1,I801="SBJ"),AND(J801=1,I801=0)),"?IN_FOCUS",IF(J801&lt;=2,"?ACTIVATED",IF(J801&lt;&gt;"","?FAMILIAR",IF(F801="NEW",IF(ISNA(VLOOKUP(E801,#REF!,1,FALSE())),"?TYPE_IDENTIFIABLE","?REFERENTIAL"),"_")))))</f>
        <v> </v>
      </c>
      <c r="H801" s="24" t="str">
        <f>IF(J801&lt;&gt;1,"",IF(I801="SBJ","CB","?"))</f>
        <v> </v>
      </c>
      <c r="I801" s="25" t="str">
        <f>IF(OR(E801="",E801="!!!",F801="NEW"),"",INDEX(B800:B$2,-1+SUMPRODUCT(MAX(ROW(E800:E$2)*(E801=E800:E$2)))))</f>
        <v> </v>
      </c>
      <c r="J801" s="25" t="str">
        <f>IF(OR(E801="",E801="!!!",F801="NEW"),"",COUNTBLANK(OFFSET(A$1,,,SUMPRODUCT(MAX(ROW(E$2:E801)*(E801=E$2:E801)))))-COUNTBLANK(OFFSET(A$1,,,SUMPRODUCT(MAX(ROW(E$1:E800)*(E2=E$1:E800))))))</f>
        <v> </v>
      </c>
      <c r="K801" s="25" t="str">
        <f>IF(OR(E801="",E801="!!!",F801="NEW"),"",INDEX(J$1:J800,SUMPRODUCT(MAX(ROW(E$1:E800)*(E801=E$1:E800)))))</f>
        <v> </v>
      </c>
      <c r="L801" s="26"/>
    </row>
    <row r="802" spans="1:12">
      <c r="A802" s="20" t="s">
        <v>440</v>
      </c>
      <c r="B802" s="27" t="s">
        <v>291</v>
      </c>
      <c r="C802" s="27" t="s">
        <v>287</v>
      </c>
      <c r="D802" s="27" t="s">
        <v>258</v>
      </c>
      <c r="E802" s="21">
        <f>IF(D802="?OLD","!!!","")</f>
        <v/>
      </c>
      <c r="F802" s="22" t="str">
        <f>IF(OR(E802="",E802="!!!"),"",IF(NOT(ISNA(VLOOKUP(E802,E$1:E801,1,FALSE()))),"OLD",IF(AND(E802&lt;&gt;"",E802&lt;&gt;"!!!"),"NEW","")))</f>
        <v> </v>
      </c>
      <c r="G802" s="23" t="str">
        <f>IF(OR(E802="",E802="!!!"),"",IF(OR(J802=0,AND(J802=1,K802=1),AND(J802=1,I802="SBJ"),AND(J802=1,I802=0)),"?IN_FOCUS",IF(J802&lt;=2,"?ACTIVATED",IF(J802&lt;&gt;"","?FAMILIAR",IF(F802="NEW",IF(ISNA(VLOOKUP(E802,#REF!,1,FALSE())),"?TYPE_IDENTIFIABLE","?REFERENTIAL"),"_")))))</f>
        <v> </v>
      </c>
      <c r="H802" s="24" t="str">
        <f>IF(J802&lt;&gt;1,"",IF(I802="SBJ","CB","?"))</f>
        <v> </v>
      </c>
      <c r="I802" s="25" t="str">
        <f>IF(OR(E802="",E802="!!!",F802="NEW"),"",INDEX(B801:B$2,-1+SUMPRODUCT(MAX(ROW(E801:E$2)*(E802=E801:E$2)))))</f>
        <v> </v>
      </c>
      <c r="J802" s="25" t="str">
        <f>IF(OR(E802="",E802="!!!",F802="NEW"),"",COUNTBLANK(OFFSET(A$1,,,SUMPRODUCT(MAX(ROW(E$2:E802)*(E802=E$2:E802)))))-COUNTBLANK(OFFSET(A$1,,,SUMPRODUCT(MAX(ROW(E$1:E801)*(E2=E$1:E801))))))</f>
        <v> </v>
      </c>
      <c r="K802" s="25" t="str">
        <f>IF(OR(E802="",E802="!!!",F802="NEW"),"",INDEX(J$1:J801,SUMPRODUCT(MAX(ROW(E$1:E801)*(E802=E$1:E801)))))</f>
        <v> </v>
      </c>
      <c r="L802" s="26"/>
    </row>
    <row r="803" spans="1:12">
      <c r="A803" s="20" t="s">
        <v>278</v>
      </c>
      <c r="E803" s="21">
        <f>IF(D803="?OLD","!!!","")</f>
        <v/>
      </c>
      <c r="F803" s="22" t="str">
        <f>IF(OR(E803="",E803="!!!"),"",IF(NOT(ISNA(VLOOKUP(E803,E$1:E802,1,FALSE()))),"OLD",IF(AND(E803&lt;&gt;"",E803&lt;&gt;"!!!"),"NEW","")))</f>
        <v> </v>
      </c>
      <c r="G803" s="23" t="str">
        <f>IF(OR(E803="",E803="!!!"),"",IF(OR(J803=0,AND(J803=1,K803=1),AND(J803=1,I803="SBJ"),AND(J803=1,I803=0)),"?IN_FOCUS",IF(J803&lt;=2,"?ACTIVATED",IF(J803&lt;&gt;"","?FAMILIAR",IF(F803="NEW",IF(ISNA(VLOOKUP(E803,#REF!,1,FALSE())),"?TYPE_IDENTIFIABLE","?REFERENTIAL"),"_")))))</f>
        <v> </v>
      </c>
      <c r="H803" s="24" t="str">
        <f>IF(J803&lt;&gt;1,"",IF(I803="SBJ","CB","?"))</f>
        <v> </v>
      </c>
      <c r="I803" s="25" t="str">
        <f>IF(OR(E803="",E803="!!!",F803="NEW"),"",INDEX(B802:B$2,-1+SUMPRODUCT(MAX(ROW(E802:E$2)*(E803=E802:E$2)))))</f>
        <v> </v>
      </c>
      <c r="J803" s="25" t="str">
        <f>IF(OR(E803="",E803="!!!",F803="NEW"),"",COUNTBLANK(OFFSET(A$1,,,SUMPRODUCT(MAX(ROW(E$2:E803)*(E803=E$2:E803)))))-COUNTBLANK(OFFSET(A$1,,,SUMPRODUCT(MAX(ROW(E$1:E802)*(E2=E$1:E802))))))</f>
        <v> </v>
      </c>
      <c r="K803" s="25" t="str">
        <f>IF(OR(E803="",E803="!!!",F803="NEW"),"",INDEX(J$1:J802,SUMPRODUCT(MAX(ROW(E$1:E802)*(E803=E$1:E802)))))</f>
        <v> </v>
      </c>
      <c r="L803" s="26"/>
    </row>
    <row r="804" spans="1:12">
      <c r="A804" s="20" t="s">
        <v>582</v>
      </c>
      <c r="B804" s="27" t="s">
        <v>283</v>
      </c>
      <c r="C804" s="27" t="s">
        <v>257</v>
      </c>
      <c r="D804" s="27" t="s">
        <v>258</v>
      </c>
      <c r="E804" s="21">
        <f>IF(D804="?OLD","!!!","")</f>
        <v/>
      </c>
      <c r="F804" s="22" t="str">
        <f>IF(OR(E804="",E804="!!!"),"",IF(NOT(ISNA(VLOOKUP(E804,E$1:E803,1,FALSE()))),"OLD",IF(AND(E804&lt;&gt;"",E804&lt;&gt;"!!!"),"NEW","")))</f>
        <v> </v>
      </c>
      <c r="G804" s="23" t="str">
        <f>IF(OR(E804="",E804="!!!"),"",IF(OR(J804=0,AND(J804=1,K804=1),AND(J804=1,I804="SBJ"),AND(J804=1,I804=0)),"?IN_FOCUS",IF(J804&lt;=2,"?ACTIVATED",IF(J804&lt;&gt;"","?FAMILIAR",IF(F804="NEW",IF(ISNA(VLOOKUP(E804,#REF!,1,FALSE())),"?TYPE_IDENTIFIABLE","?REFERENTIAL"),"_")))))</f>
        <v> </v>
      </c>
      <c r="H804" s="24" t="str">
        <f>IF(J804&lt;&gt;1,"",IF(I804="SBJ","CB","?"))</f>
        <v> </v>
      </c>
      <c r="I804" s="25" t="str">
        <f>IF(OR(E804="",E804="!!!",F804="NEW"),"",INDEX(B803:B$2,-1+SUMPRODUCT(MAX(ROW(E803:E$2)*(E804=E803:E$2)))))</f>
        <v> </v>
      </c>
      <c r="J804" s="25" t="str">
        <f>IF(OR(E804="",E804="!!!",F804="NEW"),"",COUNTBLANK(OFFSET(A$1,,,SUMPRODUCT(MAX(ROW(E$2:E804)*(E804=E$2:E804)))))-COUNTBLANK(OFFSET(A$1,,,SUMPRODUCT(MAX(ROW(E$1:E803)*(E2=E$1:E803))))))</f>
        <v> </v>
      </c>
      <c r="K804" s="25" t="str">
        <f>IF(OR(E804="",E804="!!!",F804="NEW"),"",INDEX(J$1:J803,SUMPRODUCT(MAX(ROW(E$1:E803)*(E804=E$1:E803)))))</f>
        <v> </v>
      </c>
      <c r="L804" s="26"/>
    </row>
    <row r="805" spans="1:12">
      <c r="A805" s="20" t="s">
        <v>320</v>
      </c>
      <c r="E805" s="21">
        <f>IF(D805="?OLD","!!!","")</f>
        <v/>
      </c>
      <c r="F805" s="22" t="str">
        <f>IF(OR(E805="",E805="!!!"),"",IF(NOT(ISNA(VLOOKUP(E805,E$1:E804,1,FALSE()))),"OLD",IF(AND(E805&lt;&gt;"",E805&lt;&gt;"!!!"),"NEW","")))</f>
        <v> </v>
      </c>
      <c r="G805" s="23" t="str">
        <f>IF(OR(E805="",E805="!!!"),"",IF(OR(J805=0,AND(J805=1,K805=1),AND(J805=1,I805="SBJ"),AND(J805=1,I805=0)),"?IN_FOCUS",IF(J805&lt;=2,"?ACTIVATED",IF(J805&lt;&gt;"","?FAMILIAR",IF(F805="NEW",IF(ISNA(VLOOKUP(E805,#REF!,1,FALSE())),"?TYPE_IDENTIFIABLE","?REFERENTIAL"),"_")))))</f>
        <v> </v>
      </c>
      <c r="H805" s="24" t="str">
        <f>IF(J805&lt;&gt;1,"",IF(I805="SBJ","CB","?"))</f>
        <v> </v>
      </c>
      <c r="I805" s="25" t="str">
        <f>IF(OR(E805="",E805="!!!",F805="NEW"),"",INDEX(B804:B$2,-1+SUMPRODUCT(MAX(ROW(E804:E$2)*(E805=E804:E$2)))))</f>
        <v> </v>
      </c>
      <c r="J805" s="25" t="str">
        <f>IF(OR(E805="",E805="!!!",F805="NEW"),"",COUNTBLANK(OFFSET(A$1,,,SUMPRODUCT(MAX(ROW(E$2:E805)*(E805=E$2:E805)))))-COUNTBLANK(OFFSET(A$1,,,SUMPRODUCT(MAX(ROW(E$1:E804)*(E2=E$1:E804))))))</f>
        <v> </v>
      </c>
      <c r="K805" s="25" t="str">
        <f>IF(OR(E805="",E805="!!!",F805="NEW"),"",INDEX(J$1:J804,SUMPRODUCT(MAX(ROW(E$1:E804)*(E805=E$1:E804)))))</f>
        <v> </v>
      </c>
      <c r="L805" s="26"/>
    </row>
    <row r="806" spans="1:12">
      <c r="A806" s="20"/>
    </row>
    <row r="807" spans="1:12">
      <c r="A807" s="20" t="s">
        <v>583</v>
      </c>
    </row>
    <row r="808" spans="1:12">
      <c r="A808" s="20" t="s">
        <v>584</v>
      </c>
      <c r="E808" s="21">
        <f>IF(D808="?OLD","!!!","")</f>
        <v/>
      </c>
      <c r="F808" s="22" t="str">
        <f>IF(OR(E808="",E808="!!!"),"",IF(NOT(ISNA(VLOOKUP(E808,E$1:E807,1,FALSE()))),"OLD",IF(AND(E808&lt;&gt;"",E808&lt;&gt;"!!!"),"NEW","")))</f>
        <v> </v>
      </c>
      <c r="G808" s="23" t="str">
        <f>IF(OR(E808="",E808="!!!"),"",IF(OR(J808=0,AND(J808=1,K808=1),AND(J808=1,I808="SBJ"),AND(J808=1,I808=0)),"?IN_FOCUS",IF(J808&lt;=2,"?ACTIVATED",IF(J808&lt;&gt;"","?FAMILIAR",IF(F808="NEW",IF(ISNA(VLOOKUP(E808,#REF!,1,FALSE())),"?TYPE_IDENTIFIABLE","?REFERENTIAL"),"_")))))</f>
        <v> </v>
      </c>
      <c r="H808" s="24" t="str">
        <f>IF(J808&lt;&gt;1,"",IF(I808="SBJ","CB","?"))</f>
        <v> </v>
      </c>
      <c r="I808" s="25" t="str">
        <f>IF(OR(E808="",E808="!!!",F808="NEW"),"",INDEX(B807:B$2,-1+SUMPRODUCT(MAX(ROW(E807:E$2)*(E808=E807:E$2)))))</f>
        <v> </v>
      </c>
      <c r="J808" s="25" t="str">
        <f>IF(OR(E808="",E808="!!!",F808="NEW"),"",COUNTBLANK(OFFSET(A$1,,,SUMPRODUCT(MAX(ROW(E$2:E808)*(E808=E$2:E808)))))-COUNTBLANK(OFFSET(A$1,,,SUMPRODUCT(MAX(ROW(E$1:E807)*(E2=E$1:E807))))))</f>
        <v> </v>
      </c>
      <c r="K808" s="25" t="str">
        <f>IF(OR(E808="",E808="!!!",F808="NEW"),"",INDEX(J$1:J807,SUMPRODUCT(MAX(ROW(E$1:E807)*(E808=E$1:E807)))))</f>
        <v> </v>
      </c>
      <c r="L808" s="26"/>
    </row>
    <row r="809" spans="1:12">
      <c r="A809" s="20" t="s">
        <v>326</v>
      </c>
      <c r="E809" s="21">
        <f>IF(D809="?OLD","!!!","")</f>
        <v/>
      </c>
      <c r="F809" s="22" t="str">
        <f>IF(OR(E809="",E809="!!!"),"",IF(NOT(ISNA(VLOOKUP(E809,E$1:E808,1,FALSE()))),"OLD",IF(AND(E809&lt;&gt;"",E809&lt;&gt;"!!!"),"NEW","")))</f>
        <v> </v>
      </c>
      <c r="G809" s="23" t="str">
        <f>IF(OR(E809="",E809="!!!"),"",IF(OR(J809=0,AND(J809=1,K809=1),AND(J809=1,I809="SBJ"),AND(J809=1,I809=0)),"?IN_FOCUS",IF(J809&lt;=2,"?ACTIVATED",IF(J809&lt;&gt;"","?FAMILIAR",IF(F809="NEW",IF(ISNA(VLOOKUP(E809,#REF!,1,FALSE())),"?TYPE_IDENTIFIABLE","?REFERENTIAL"),"_")))))</f>
        <v> </v>
      </c>
      <c r="H809" s="24" t="str">
        <f>IF(J809&lt;&gt;1,"",IF(I809="SBJ","CB","?"))</f>
        <v> </v>
      </c>
      <c r="I809" s="25" t="str">
        <f>IF(OR(E809="",E809="!!!",F809="NEW"),"",INDEX(B808:B$2,-1+SUMPRODUCT(MAX(ROW(E808:E$2)*(E809=E808:E$2)))))</f>
        <v> </v>
      </c>
      <c r="J809" s="25" t="str">
        <f>IF(OR(E809="",E809="!!!",F809="NEW"),"",COUNTBLANK(OFFSET(A$1,,,SUMPRODUCT(MAX(ROW(E$2:E809)*(E809=E$2:E809)))))-COUNTBLANK(OFFSET(A$1,,,SUMPRODUCT(MAX(ROW(E$1:E808)*(E2=E$1:E808))))))</f>
        <v> </v>
      </c>
      <c r="K809" s="25" t="str">
        <f>IF(OR(E809="",E809="!!!",F809="NEW"),"",INDEX(J$1:J808,SUMPRODUCT(MAX(ROW(E$1:E808)*(E809=E$1:E808)))))</f>
        <v> </v>
      </c>
      <c r="L809" s="26"/>
    </row>
    <row r="810" spans="1:12">
      <c r="A810" s="20" t="s">
        <v>264</v>
      </c>
      <c r="B810" s="27" t="s">
        <v>267</v>
      </c>
      <c r="C810" s="27" t="s">
        <v>287</v>
      </c>
      <c r="D810" s="27" t="s">
        <v>258</v>
      </c>
      <c r="E810" s="21">
        <f>IF(D810="?OLD","!!!","")</f>
        <v/>
      </c>
      <c r="F810" s="22" t="str">
        <f>IF(OR(E810="",E810="!!!"),"",IF(NOT(ISNA(VLOOKUP(E810,E$1:E809,1,FALSE()))),"OLD",IF(AND(E810&lt;&gt;"",E810&lt;&gt;"!!!"),"NEW","")))</f>
        <v> </v>
      </c>
      <c r="G810" s="23" t="str">
        <f>IF(OR(E810="",E810="!!!"),"",IF(OR(J810=0,AND(J810=1,K810=1),AND(J810=1,I810="SBJ"),AND(J810=1,I810=0)),"?IN_FOCUS",IF(J810&lt;=2,"?ACTIVATED",IF(J810&lt;&gt;"","?FAMILIAR",IF(F810="NEW",IF(ISNA(VLOOKUP(E810,#REF!,1,FALSE())),"?TYPE_IDENTIFIABLE","?REFERENTIAL"),"_")))))</f>
        <v> </v>
      </c>
      <c r="H810" s="24" t="str">
        <f>IF(J810&lt;&gt;1,"",IF(I810="SBJ","CB","?"))</f>
        <v> </v>
      </c>
      <c r="I810" s="25" t="str">
        <f>IF(OR(E810="",E810="!!!",F810="NEW"),"",INDEX(B809:B$2,-1+SUMPRODUCT(MAX(ROW(E809:E$2)*(E810=E809:E$2)))))</f>
        <v> </v>
      </c>
      <c r="J810" s="25" t="str">
        <f>IF(OR(E810="",E810="!!!",F810="NEW"),"",COUNTBLANK(OFFSET(A$1,,,SUMPRODUCT(MAX(ROW(E$2:E810)*(E810=E$2:E810)))))-COUNTBLANK(OFFSET(A$1,,,SUMPRODUCT(MAX(ROW(E$1:E809)*(E2=E$1:E809))))))</f>
        <v> </v>
      </c>
      <c r="K810" s="25" t="str">
        <f>IF(OR(E810="",E810="!!!",F810="NEW"),"",INDEX(J$1:J809,SUMPRODUCT(MAX(ROW(E$1:E809)*(E810=E$1:E809)))))</f>
        <v> </v>
      </c>
      <c r="L810" s="26"/>
    </row>
    <row r="811" spans="1:12">
      <c r="A811" s="20" t="s">
        <v>278</v>
      </c>
      <c r="E811" s="21">
        <f>IF(D811="?OLD","!!!","")</f>
        <v/>
      </c>
      <c r="F811" s="22" t="str">
        <f>IF(OR(E811="",E811="!!!"),"",IF(NOT(ISNA(VLOOKUP(E811,E$1:E810,1,FALSE()))),"OLD",IF(AND(E811&lt;&gt;"",E811&lt;&gt;"!!!"),"NEW","")))</f>
        <v> </v>
      </c>
      <c r="G811" s="23" t="str">
        <f>IF(OR(E811="",E811="!!!"),"",IF(OR(J811=0,AND(J811=1,K811=1),AND(J811=1,I811="SBJ"),AND(J811=1,I811=0)),"?IN_FOCUS",IF(J811&lt;=2,"?ACTIVATED",IF(J811&lt;&gt;"","?FAMILIAR",IF(F811="NEW",IF(ISNA(VLOOKUP(E811,#REF!,1,FALSE())),"?TYPE_IDENTIFIABLE","?REFERENTIAL"),"_")))))</f>
        <v> </v>
      </c>
      <c r="H811" s="24" t="str">
        <f>IF(J811&lt;&gt;1,"",IF(I811="SBJ","CB","?"))</f>
        <v> </v>
      </c>
      <c r="I811" s="25" t="str">
        <f>IF(OR(E811="",E811="!!!",F811="NEW"),"",INDEX(B810:B$2,-1+SUMPRODUCT(MAX(ROW(E810:E$2)*(E811=E810:E$2)))))</f>
        <v> </v>
      </c>
      <c r="J811" s="25" t="str">
        <f>IF(OR(E811="",E811="!!!",F811="NEW"),"",COUNTBLANK(OFFSET(A$1,,,SUMPRODUCT(MAX(ROW(E$2:E811)*(E811=E$2:E811)))))-COUNTBLANK(OFFSET(A$1,,,SUMPRODUCT(MAX(ROW(E$1:E810)*(E2=E$1:E810))))))</f>
        <v> </v>
      </c>
      <c r="K811" s="25" t="str">
        <f>IF(OR(E811="",E811="!!!",F811="NEW"),"",INDEX(J$1:J810,SUMPRODUCT(MAX(ROW(E$1:E810)*(E811=E$1:E810)))))</f>
        <v> </v>
      </c>
      <c r="L811" s="26"/>
    </row>
    <row r="812" spans="1:12">
      <c r="A812" s="20" t="s">
        <v>485</v>
      </c>
      <c r="E812" s="21">
        <f>IF(D812="?OLD","!!!","")</f>
        <v/>
      </c>
      <c r="F812" s="22" t="str">
        <f>IF(OR(E812="",E812="!!!"),"",IF(NOT(ISNA(VLOOKUP(E812,E$1:E811,1,FALSE()))),"OLD",IF(AND(E812&lt;&gt;"",E812&lt;&gt;"!!!"),"NEW","")))</f>
        <v> </v>
      </c>
      <c r="G812" s="23" t="str">
        <f>IF(OR(E812="",E812="!!!"),"",IF(OR(J812=0,AND(J812=1,K812=1),AND(J812=1,I812="SBJ"),AND(J812=1,I812=0)),"?IN_FOCUS",IF(J812&lt;=2,"?ACTIVATED",IF(J812&lt;&gt;"","?FAMILIAR",IF(F812="NEW",IF(ISNA(VLOOKUP(E812,#REF!,1,FALSE())),"?TYPE_IDENTIFIABLE","?REFERENTIAL"),"_")))))</f>
        <v> </v>
      </c>
      <c r="H812" s="24" t="str">
        <f>IF(J812&lt;&gt;1,"",IF(I812="SBJ","CB","?"))</f>
        <v> </v>
      </c>
      <c r="I812" s="25" t="str">
        <f>IF(OR(E812="",E812="!!!",F812="NEW"),"",INDEX(B811:B$2,-1+SUMPRODUCT(MAX(ROW(E811:E$2)*(E812=E811:E$2)))))</f>
        <v> </v>
      </c>
      <c r="J812" s="25" t="str">
        <f>IF(OR(E812="",E812="!!!",F812="NEW"),"",COUNTBLANK(OFFSET(A$1,,,SUMPRODUCT(MAX(ROW(E$2:E812)*(E812=E$2:E812)))))-COUNTBLANK(OFFSET(A$1,,,SUMPRODUCT(MAX(ROW(E$1:E811)*(E2=E$1:E811))))))</f>
        <v> </v>
      </c>
      <c r="K812" s="25" t="str">
        <f>IF(OR(E812="",E812="!!!",F812="NEW"),"",INDEX(J$1:J811,SUMPRODUCT(MAX(ROW(E$1:E811)*(E812=E$1:E811)))))</f>
        <v> </v>
      </c>
      <c r="L812" s="26"/>
    </row>
    <row r="813" spans="1:12">
      <c r="A813" s="20" t="s">
        <v>354</v>
      </c>
      <c r="E813" s="21">
        <f>IF(D813="?OLD","!!!","")</f>
        <v/>
      </c>
      <c r="F813" s="22" t="str">
        <f>IF(OR(E813="",E813="!!!"),"",IF(NOT(ISNA(VLOOKUP(E813,E$1:E812,1,FALSE()))),"OLD",IF(AND(E813&lt;&gt;"",E813&lt;&gt;"!!!"),"NEW","")))</f>
        <v> </v>
      </c>
      <c r="G813" s="23" t="str">
        <f>IF(OR(E813="",E813="!!!"),"",IF(OR(J813=0,AND(J813=1,K813=1),AND(J813=1,I813="SBJ"),AND(J813=1,I813=0)),"?IN_FOCUS",IF(J813&lt;=2,"?ACTIVATED",IF(J813&lt;&gt;"","?FAMILIAR",IF(F813="NEW",IF(ISNA(VLOOKUP(E813,#REF!,1,FALSE())),"?TYPE_IDENTIFIABLE","?REFERENTIAL"),"_")))))</f>
        <v> </v>
      </c>
      <c r="H813" s="24" t="str">
        <f>IF(J813&lt;&gt;1,"",IF(I813="SBJ","CB","?"))</f>
        <v> </v>
      </c>
      <c r="I813" s="25" t="str">
        <f>IF(OR(E813="",E813="!!!",F813="NEW"),"",INDEX(B812:B$2,-1+SUMPRODUCT(MAX(ROW(E812:E$2)*(E813=E812:E$2)))))</f>
        <v> </v>
      </c>
      <c r="J813" s="25" t="str">
        <f>IF(OR(E813="",E813="!!!",F813="NEW"),"",COUNTBLANK(OFFSET(A$1,,,SUMPRODUCT(MAX(ROW(E$2:E813)*(E813=E$2:E813)))))-COUNTBLANK(OFFSET(A$1,,,SUMPRODUCT(MAX(ROW(E$1:E812)*(E2=E$1:E812))))))</f>
        <v> </v>
      </c>
      <c r="K813" s="25" t="str">
        <f>IF(OR(E813="",E813="!!!",F813="NEW"),"",INDEX(J$1:J812,SUMPRODUCT(MAX(ROW(E$1:E812)*(E813=E$1:E812)))))</f>
        <v> </v>
      </c>
      <c r="L813" s="26"/>
    </row>
    <row r="814" spans="1:12">
      <c r="A814" s="20" t="s">
        <v>585</v>
      </c>
      <c r="B814" s="27" t="s">
        <v>328</v>
      </c>
      <c r="C814" s="27" t="s">
        <v>341</v>
      </c>
      <c r="D814" s="27" t="s">
        <v>258</v>
      </c>
      <c r="E814" s="21">
        <f>IF(D814="?OLD","!!!","")</f>
        <v/>
      </c>
      <c r="F814" s="22" t="str">
        <f>IF(OR(E814="",E814="!!!"),"",IF(NOT(ISNA(VLOOKUP(E814,E$1:E813,1,FALSE()))),"OLD",IF(AND(E814&lt;&gt;"",E814&lt;&gt;"!!!"),"NEW","")))</f>
        <v> </v>
      </c>
      <c r="G814" s="23" t="str">
        <f>IF(OR(E814="",E814="!!!"),"",IF(OR(J814=0,AND(J814=1,K814=1),AND(J814=1,I814="SBJ"),AND(J814=1,I814=0)),"?IN_FOCUS",IF(J814&lt;=2,"?ACTIVATED",IF(J814&lt;&gt;"","?FAMILIAR",IF(F814="NEW",IF(ISNA(VLOOKUP(E814,#REF!,1,FALSE())),"?TYPE_IDENTIFIABLE","?REFERENTIAL"),"_")))))</f>
        <v> </v>
      </c>
      <c r="H814" s="24" t="str">
        <f>IF(J814&lt;&gt;1,"",IF(I814="SBJ","CB","?"))</f>
        <v> </v>
      </c>
      <c r="I814" s="25" t="str">
        <f>IF(OR(E814="",E814="!!!",F814="NEW"),"",INDEX(B813:B$2,-1+SUMPRODUCT(MAX(ROW(E813:E$2)*(E814=E813:E$2)))))</f>
        <v> </v>
      </c>
      <c r="J814" s="25" t="str">
        <f>IF(OR(E814="",E814="!!!",F814="NEW"),"",COUNTBLANK(OFFSET(A$1,,,SUMPRODUCT(MAX(ROW(E$2:E814)*(E814=E$2:E814)))))-COUNTBLANK(OFFSET(A$1,,,SUMPRODUCT(MAX(ROW(E$1:E813)*(E2=E$1:E813))))))</f>
        <v> </v>
      </c>
      <c r="K814" s="25" t="str">
        <f>IF(OR(E814="",E814="!!!",F814="NEW"),"",INDEX(J$1:J813,SUMPRODUCT(MAX(ROW(E$1:E813)*(E814=E$1:E813)))))</f>
        <v> </v>
      </c>
      <c r="L814" s="26"/>
    </row>
    <row r="815" spans="1:12">
      <c r="A815" s="20" t="s">
        <v>271</v>
      </c>
      <c r="E815" s="21">
        <f>IF(D815="?OLD","!!!","")</f>
        <v/>
      </c>
      <c r="F815" s="22" t="str">
        <f>IF(OR(E815="",E815="!!!"),"",IF(NOT(ISNA(VLOOKUP(E815,E$1:E814,1,FALSE()))),"OLD",IF(AND(E815&lt;&gt;"",E815&lt;&gt;"!!!"),"NEW","")))</f>
        <v> </v>
      </c>
      <c r="G815" s="23" t="str">
        <f>IF(OR(E815="",E815="!!!"),"",IF(OR(J815=0,AND(J815=1,K815=1),AND(J815=1,I815="SBJ"),AND(J815=1,I815=0)),"?IN_FOCUS",IF(J815&lt;=2,"?ACTIVATED",IF(J815&lt;&gt;"","?FAMILIAR",IF(F815="NEW",IF(ISNA(VLOOKUP(E815,#REF!,1,FALSE())),"?TYPE_IDENTIFIABLE","?REFERENTIAL"),"_")))))</f>
        <v> </v>
      </c>
      <c r="H815" s="24" t="str">
        <f>IF(J815&lt;&gt;1,"",IF(I815="SBJ","CB","?"))</f>
        <v> </v>
      </c>
      <c r="I815" s="25" t="str">
        <f>IF(OR(E815="",E815="!!!",F815="NEW"),"",INDEX(B814:B$2,-1+SUMPRODUCT(MAX(ROW(E814:E$2)*(E815=E814:E$2)))))</f>
        <v> </v>
      </c>
      <c r="J815" s="25" t="str">
        <f>IF(OR(E815="",E815="!!!",F815="NEW"),"",COUNTBLANK(OFFSET(A$1,,,SUMPRODUCT(MAX(ROW(E$2:E815)*(E815=E$2:E815)))))-COUNTBLANK(OFFSET(A$1,,,SUMPRODUCT(MAX(ROW(E$1:E814)*(E2=E$1:E814))))))</f>
        <v> </v>
      </c>
      <c r="K815" s="25" t="str">
        <f>IF(OR(E815="",E815="!!!",F815="NEW"),"",INDEX(J$1:J814,SUMPRODUCT(MAX(ROW(E$1:E814)*(E815=E$1:E814)))))</f>
        <v> </v>
      </c>
      <c r="L815" s="26"/>
    </row>
    <row r="816" spans="1:12">
      <c r="A816" s="20" t="s">
        <v>255</v>
      </c>
      <c r="B816" s="27" t="s">
        <v>276</v>
      </c>
      <c r="C816" s="27" t="s">
        <v>257</v>
      </c>
      <c r="D816" s="27" t="s">
        <v>258</v>
      </c>
      <c r="E816" s="21">
        <f>IF(D816="?OLD","!!!","")</f>
        <v/>
      </c>
      <c r="F816" s="22" t="str">
        <f>IF(OR(E816="",E816="!!!"),"",IF(NOT(ISNA(VLOOKUP(E816,E$1:E815,1,FALSE()))),"OLD",IF(AND(E816&lt;&gt;"",E816&lt;&gt;"!!!"),"NEW","")))</f>
        <v> </v>
      </c>
      <c r="G816" s="23" t="str">
        <f>IF(OR(E816="",E816="!!!"),"",IF(OR(J816=0,AND(J816=1,K816=1),AND(J816=1,I816="SBJ"),AND(J816=1,I816=0)),"?IN_FOCUS",IF(J816&lt;=2,"?ACTIVATED",IF(J816&lt;&gt;"","?FAMILIAR",IF(F816="NEW",IF(ISNA(VLOOKUP(E816,#REF!,1,FALSE())),"?TYPE_IDENTIFIABLE","?REFERENTIAL"),"_")))))</f>
        <v> </v>
      </c>
      <c r="H816" s="24" t="str">
        <f>IF(J816&lt;&gt;1,"",IF(I816="SBJ","CB","?"))</f>
        <v> </v>
      </c>
      <c r="I816" s="25" t="str">
        <f>IF(OR(E816="",E816="!!!",F816="NEW"),"",INDEX(B815:B$2,-1+SUMPRODUCT(MAX(ROW(E815:E$2)*(E816=E815:E$2)))))</f>
        <v> </v>
      </c>
      <c r="J816" s="25" t="str">
        <f>IF(OR(E816="",E816="!!!",F816="NEW"),"",COUNTBLANK(OFFSET(A$1,,,SUMPRODUCT(MAX(ROW(E$2:E816)*(E816=E$2:E816)))))-COUNTBLANK(OFFSET(A$1,,,SUMPRODUCT(MAX(ROW(E$1:E815)*(E2=E$1:E815))))))</f>
        <v> </v>
      </c>
      <c r="K816" s="25" t="str">
        <f>IF(OR(E816="",E816="!!!",F816="NEW"),"",INDEX(J$1:J815,SUMPRODUCT(MAX(ROW(E$1:E815)*(E816=E$1:E815)))))</f>
        <v> </v>
      </c>
      <c r="L816" s="26"/>
    </row>
    <row r="817" spans="1:12">
      <c r="A817" s="20" t="s">
        <v>259</v>
      </c>
      <c r="E817" s="21">
        <f>IF(D817="?OLD","!!!","")</f>
        <v/>
      </c>
      <c r="F817" s="22" t="str">
        <f>IF(OR(E817="",E817="!!!"),"",IF(NOT(ISNA(VLOOKUP(E817,E$1:E816,1,FALSE()))),"OLD",IF(AND(E817&lt;&gt;"",E817&lt;&gt;"!!!"),"NEW","")))</f>
        <v> </v>
      </c>
      <c r="G817" s="23" t="str">
        <f>IF(OR(E817="",E817="!!!"),"",IF(OR(J817=0,AND(J817=1,K817=1),AND(J817=1,I817="SBJ"),AND(J817=1,I817=0)),"?IN_FOCUS",IF(J817&lt;=2,"?ACTIVATED",IF(J817&lt;&gt;"","?FAMILIAR",IF(F817="NEW",IF(ISNA(VLOOKUP(E817,#REF!,1,FALSE())),"?TYPE_IDENTIFIABLE","?REFERENTIAL"),"_")))))</f>
        <v> </v>
      </c>
      <c r="H817" s="24" t="str">
        <f>IF(J817&lt;&gt;1,"",IF(I817="SBJ","CB","?"))</f>
        <v> </v>
      </c>
      <c r="I817" s="25" t="str">
        <f>IF(OR(E817="",E817="!!!",F817="NEW"),"",INDEX(B816:B$2,-1+SUMPRODUCT(MAX(ROW(E816:E$2)*(E817=E816:E$2)))))</f>
        <v> </v>
      </c>
      <c r="J817" s="25" t="str">
        <f>IF(OR(E817="",E817="!!!",F817="NEW"),"",COUNTBLANK(OFFSET(A$1,,,SUMPRODUCT(MAX(ROW(E$2:E817)*(E817=E$2:E817)))))-COUNTBLANK(OFFSET(A$1,,,SUMPRODUCT(MAX(ROW(E$1:E816)*(E2=E$1:E816))))))</f>
        <v> </v>
      </c>
      <c r="K817" s="25" t="str">
        <f>IF(OR(E817="",E817="!!!",F817="NEW"),"",INDEX(J$1:J816,SUMPRODUCT(MAX(ROW(E$1:E816)*(E817=E$1:E816)))))</f>
        <v> </v>
      </c>
      <c r="L817" s="26"/>
    </row>
    <row r="818" spans="1:12">
      <c r="A818" s="20" t="s">
        <v>384</v>
      </c>
      <c r="E818" s="21">
        <f>IF(D818="?OLD","!!!","")</f>
        <v/>
      </c>
      <c r="F818" s="22" t="str">
        <f>IF(OR(E818="",E818="!!!"),"",IF(NOT(ISNA(VLOOKUP(E818,E$1:E817,1,FALSE()))),"OLD",IF(AND(E818&lt;&gt;"",E818&lt;&gt;"!!!"),"NEW","")))</f>
        <v> </v>
      </c>
      <c r="G818" s="23" t="str">
        <f>IF(OR(E818="",E818="!!!"),"",IF(OR(J818=0,AND(J818=1,K818=1),AND(J818=1,I818="SBJ"),AND(J818=1,I818=0)),"?IN_FOCUS",IF(J818&lt;=2,"?ACTIVATED",IF(J818&lt;&gt;"","?FAMILIAR",IF(F818="NEW",IF(ISNA(VLOOKUP(E818,#REF!,1,FALSE())),"?TYPE_IDENTIFIABLE","?REFERENTIAL"),"_")))))</f>
        <v> </v>
      </c>
      <c r="H818" s="24" t="str">
        <f>IF(J818&lt;&gt;1,"",IF(I818="SBJ","CB","?"))</f>
        <v> </v>
      </c>
      <c r="I818" s="25" t="str">
        <f>IF(OR(E818="",E818="!!!",F818="NEW"),"",INDEX(B817:B$2,-1+SUMPRODUCT(MAX(ROW(E817:E$2)*(E818=E817:E$2)))))</f>
        <v> </v>
      </c>
      <c r="J818" s="25" t="str">
        <f>IF(OR(E818="",E818="!!!",F818="NEW"),"",COUNTBLANK(OFFSET(A$1,,,SUMPRODUCT(MAX(ROW(E$2:E818)*(E818=E$2:E818)))))-COUNTBLANK(OFFSET(A$1,,,SUMPRODUCT(MAX(ROW(E$1:E817)*(E2=E$1:E817))))))</f>
        <v> </v>
      </c>
      <c r="K818" s="25" t="str">
        <f>IF(OR(E818="",E818="!!!",F818="NEW"),"",INDEX(J$1:J817,SUMPRODUCT(MAX(ROW(E$1:E817)*(E818=E$1:E817)))))</f>
        <v> </v>
      </c>
      <c r="L818" s="26"/>
    </row>
    <row r="819" spans="1:12">
      <c r="A819" s="20" t="s">
        <v>75</v>
      </c>
      <c r="E819" s="21">
        <f>IF(D819="?OLD","!!!","")</f>
        <v/>
      </c>
      <c r="F819" s="22" t="str">
        <f>IF(OR(E819="",E819="!!!"),"",IF(NOT(ISNA(VLOOKUP(E819,E$1:E818,1,FALSE()))),"OLD",IF(AND(E819&lt;&gt;"",E819&lt;&gt;"!!!"),"NEW","")))</f>
        <v> </v>
      </c>
      <c r="G819" s="23" t="str">
        <f>IF(OR(E819="",E819="!!!"),"",IF(OR(J819=0,AND(J819=1,K819=1),AND(J819=1,I819="SBJ"),AND(J819=1,I819=0)),"?IN_FOCUS",IF(J819&lt;=2,"?ACTIVATED",IF(J819&lt;&gt;"","?FAMILIAR",IF(F819="NEW",IF(ISNA(VLOOKUP(E819,#REF!,1,FALSE())),"?TYPE_IDENTIFIABLE","?REFERENTIAL"),"_")))))</f>
        <v> </v>
      </c>
      <c r="H819" s="24" t="str">
        <f>IF(J819&lt;&gt;1,"",IF(I819="SBJ","CB","?"))</f>
        <v> </v>
      </c>
      <c r="I819" s="25" t="str">
        <f>IF(OR(E819="",E819="!!!",F819="NEW"),"",INDEX(B818:B$2,-1+SUMPRODUCT(MAX(ROW(E818:E$2)*(E819=E818:E$2)))))</f>
        <v> </v>
      </c>
      <c r="J819" s="25" t="str">
        <f>IF(OR(E819="",E819="!!!",F819="NEW"),"",COUNTBLANK(OFFSET(A$1,,,SUMPRODUCT(MAX(ROW(E$2:E819)*(E819=E$2:E819)))))-COUNTBLANK(OFFSET(A$1,,,SUMPRODUCT(MAX(ROW(E$1:E818)*(E2=E$1:E818))))))</f>
        <v> </v>
      </c>
      <c r="K819" s="25" t="str">
        <f>IF(OR(E819="",E819="!!!",F819="NEW"),"",INDEX(J$1:J818,SUMPRODUCT(MAX(ROW(E$1:E818)*(E819=E$1:E818)))))</f>
        <v> </v>
      </c>
      <c r="L819" s="26"/>
    </row>
    <row r="820" spans="1:12">
      <c r="A820" s="20" t="s">
        <v>410</v>
      </c>
      <c r="E820" s="21">
        <f>IF(D820="?OLD","!!!","")</f>
        <v/>
      </c>
      <c r="F820" s="22" t="str">
        <f>IF(OR(E820="",E820="!!!"),"",IF(NOT(ISNA(VLOOKUP(E820,E$1:E819,1,FALSE()))),"OLD",IF(AND(E820&lt;&gt;"",E820&lt;&gt;"!!!"),"NEW","")))</f>
        <v> </v>
      </c>
      <c r="G820" s="23" t="str">
        <f>IF(OR(E820="",E820="!!!"),"",IF(OR(J820=0,AND(J820=1,K820=1),AND(J820=1,I820="SBJ"),AND(J820=1,I820=0)),"?IN_FOCUS",IF(J820&lt;=2,"?ACTIVATED",IF(J820&lt;&gt;"","?FAMILIAR",IF(F820="NEW",IF(ISNA(VLOOKUP(E820,#REF!,1,FALSE())),"?TYPE_IDENTIFIABLE","?REFERENTIAL"),"_")))))</f>
        <v> </v>
      </c>
      <c r="H820" s="24" t="str">
        <f>IF(J820&lt;&gt;1,"",IF(I820="SBJ","CB","?"))</f>
        <v> </v>
      </c>
      <c r="I820" s="25" t="str">
        <f>IF(OR(E820="",E820="!!!",F820="NEW"),"",INDEX(B819:B$2,-1+SUMPRODUCT(MAX(ROW(E819:E$2)*(E820=E819:E$2)))))</f>
        <v> </v>
      </c>
      <c r="J820" s="25" t="str">
        <f>IF(OR(E820="",E820="!!!",F820="NEW"),"",COUNTBLANK(OFFSET(A$1,,,SUMPRODUCT(MAX(ROW(E$2:E820)*(E820=E$2:E820)))))-COUNTBLANK(OFFSET(A$1,,,SUMPRODUCT(MAX(ROW(E$1:E819)*(E2=E$1:E819))))))</f>
        <v> </v>
      </c>
      <c r="K820" s="25" t="str">
        <f>IF(OR(E820="",E820="!!!",F820="NEW"),"",INDEX(J$1:J819,SUMPRODUCT(MAX(ROW(E$1:E819)*(E820=E$1:E819)))))</f>
        <v> </v>
      </c>
      <c r="L820" s="26"/>
    </row>
    <row r="821" spans="1:12">
      <c r="A821" s="20" t="s">
        <v>274</v>
      </c>
      <c r="E821" s="21">
        <f>IF(D821="?OLD","!!!","")</f>
        <v/>
      </c>
      <c r="F821" s="22" t="str">
        <f>IF(OR(E821="",E821="!!!"),"",IF(NOT(ISNA(VLOOKUP(E821,E$1:E820,1,FALSE()))),"OLD",IF(AND(E821&lt;&gt;"",E821&lt;&gt;"!!!"),"NEW","")))</f>
        <v> </v>
      </c>
      <c r="G821" s="23" t="str">
        <f>IF(OR(E821="",E821="!!!"),"",IF(OR(J821=0,AND(J821=1,K821=1),AND(J821=1,I821="SBJ"),AND(J821=1,I821=0)),"?IN_FOCUS",IF(J821&lt;=2,"?ACTIVATED",IF(J821&lt;&gt;"","?FAMILIAR",IF(F821="NEW",IF(ISNA(VLOOKUP(E821,#REF!,1,FALSE())),"?TYPE_IDENTIFIABLE","?REFERENTIAL"),"_")))))</f>
        <v> </v>
      </c>
      <c r="H821" s="24" t="str">
        <f>IF(J821&lt;&gt;1,"",IF(I821="SBJ","CB","?"))</f>
        <v> </v>
      </c>
      <c r="I821" s="25" t="str">
        <f>IF(OR(E821="",E821="!!!",F821="NEW"),"",INDEX(B820:B$2,-1+SUMPRODUCT(MAX(ROW(E820:E$2)*(E821=E820:E$2)))))</f>
        <v> </v>
      </c>
      <c r="J821" s="25" t="str">
        <f>IF(OR(E821="",E821="!!!",F821="NEW"),"",COUNTBLANK(OFFSET(A$1,,,SUMPRODUCT(MAX(ROW(E$2:E821)*(E821=E$2:E821)))))-COUNTBLANK(OFFSET(A$1,,,SUMPRODUCT(MAX(ROW(E$1:E820)*(E2=E$1:E820))))))</f>
        <v> </v>
      </c>
      <c r="K821" s="25" t="str">
        <f>IF(OR(E821="",E821="!!!",F821="NEW"),"",INDEX(J$1:J820,SUMPRODUCT(MAX(ROW(E$1:E820)*(E821=E$1:E820)))))</f>
        <v> </v>
      </c>
      <c r="L821" s="26"/>
    </row>
    <row r="822" spans="1:12">
      <c r="A822" s="20" t="s">
        <v>586</v>
      </c>
      <c r="B822" s="27" t="s">
        <v>333</v>
      </c>
      <c r="C822" s="27" t="s">
        <v>277</v>
      </c>
      <c r="D822" s="27" t="s">
        <v>258</v>
      </c>
      <c r="E822" s="21">
        <f>IF(D822="?OLD","!!!","")</f>
        <v/>
      </c>
      <c r="F822" s="22" t="str">
        <f>IF(OR(E822="",E822="!!!"),"",IF(NOT(ISNA(VLOOKUP(E822,E$1:E821,1,FALSE()))),"OLD",IF(AND(E822&lt;&gt;"",E822&lt;&gt;"!!!"),"NEW","")))</f>
        <v> </v>
      </c>
      <c r="G822" s="23" t="str">
        <f>IF(OR(E822="",E822="!!!"),"",IF(OR(J822=0,AND(J822=1,K822=1),AND(J822=1,I822="SBJ"),AND(J822=1,I822=0)),"?IN_FOCUS",IF(J822&lt;=2,"?ACTIVATED",IF(J822&lt;&gt;"","?FAMILIAR",IF(F822="NEW",IF(ISNA(VLOOKUP(E822,#REF!,1,FALSE())),"?TYPE_IDENTIFIABLE","?REFERENTIAL"),"_")))))</f>
        <v> </v>
      </c>
      <c r="H822" s="24" t="str">
        <f>IF(J822&lt;&gt;1,"",IF(I822="SBJ","CB","?"))</f>
        <v> </v>
      </c>
      <c r="I822" s="25" t="str">
        <f>IF(OR(E822="",E822="!!!",F822="NEW"),"",INDEX(B821:B$2,-1+SUMPRODUCT(MAX(ROW(E821:E$2)*(E822=E821:E$2)))))</f>
        <v> </v>
      </c>
      <c r="J822" s="25" t="str">
        <f>IF(OR(E822="",E822="!!!",F822="NEW"),"",COUNTBLANK(OFFSET(A$1,,,SUMPRODUCT(MAX(ROW(E$2:E822)*(E822=E$2:E822)))))-COUNTBLANK(OFFSET(A$1,,,SUMPRODUCT(MAX(ROW(E$1:E821)*(E2=E$1:E821))))))</f>
        <v> </v>
      </c>
      <c r="K822" s="25" t="str">
        <f>IF(OR(E822="",E822="!!!",F822="NEW"),"",INDEX(J$1:J821,SUMPRODUCT(MAX(ROW(E$1:E821)*(E822=E$1:E821)))))</f>
        <v> </v>
      </c>
      <c r="L822" s="26"/>
    </row>
    <row r="823" spans="1:12">
      <c r="A823" s="20" t="s">
        <v>278</v>
      </c>
      <c r="E823" s="21">
        <f>IF(D823="?OLD","!!!","")</f>
        <v/>
      </c>
      <c r="F823" s="22" t="str">
        <f>IF(OR(E823="",E823="!!!"),"",IF(NOT(ISNA(VLOOKUP(E823,E$1:E822,1,FALSE()))),"OLD",IF(AND(E823&lt;&gt;"",E823&lt;&gt;"!!!"),"NEW","")))</f>
        <v> </v>
      </c>
      <c r="G823" s="23" t="str">
        <f>IF(OR(E823="",E823="!!!"),"",IF(OR(J823=0,AND(J823=1,K823=1),AND(J823=1,I823="SBJ"),AND(J823=1,I823=0)),"?IN_FOCUS",IF(J823&lt;=2,"?ACTIVATED",IF(J823&lt;&gt;"","?FAMILIAR",IF(F823="NEW",IF(ISNA(VLOOKUP(E823,#REF!,1,FALSE())),"?TYPE_IDENTIFIABLE","?REFERENTIAL"),"_")))))</f>
        <v> </v>
      </c>
      <c r="H823" s="24" t="str">
        <f>IF(J823&lt;&gt;1,"",IF(I823="SBJ","CB","?"))</f>
        <v> </v>
      </c>
      <c r="I823" s="25" t="str">
        <f>IF(OR(E823="",E823="!!!",F823="NEW"),"",INDEX(B822:B$2,-1+SUMPRODUCT(MAX(ROW(E822:E$2)*(E823=E822:E$2)))))</f>
        <v> </v>
      </c>
      <c r="J823" s="25" t="str">
        <f>IF(OR(E823="",E823="!!!",F823="NEW"),"",COUNTBLANK(OFFSET(A$1,,,SUMPRODUCT(MAX(ROW(E$2:E823)*(E823=E$2:E823)))))-COUNTBLANK(OFFSET(A$1,,,SUMPRODUCT(MAX(ROW(E$1:E822)*(E2=E$1:E822))))))</f>
        <v> </v>
      </c>
      <c r="K823" s="25" t="str">
        <f>IF(OR(E823="",E823="!!!",F823="NEW"),"",INDEX(J$1:J822,SUMPRODUCT(MAX(ROW(E$1:E822)*(E823=E$1:E822)))))</f>
        <v> </v>
      </c>
      <c r="L823" s="26"/>
    </row>
    <row r="824" spans="1:12">
      <c r="A824" s="20" t="s">
        <v>568</v>
      </c>
      <c r="E824" s="21">
        <f>IF(D824="?OLD","!!!","")</f>
        <v/>
      </c>
      <c r="F824" s="22" t="str">
        <f>IF(OR(E824="",E824="!!!"),"",IF(NOT(ISNA(VLOOKUP(E824,E$1:E823,1,FALSE()))),"OLD",IF(AND(E824&lt;&gt;"",E824&lt;&gt;"!!!"),"NEW","")))</f>
        <v> </v>
      </c>
      <c r="G824" s="23" t="str">
        <f>IF(OR(E824="",E824="!!!"),"",IF(OR(J824=0,AND(J824=1,K824=1),AND(J824=1,I824="SBJ"),AND(J824=1,I824=0)),"?IN_FOCUS",IF(J824&lt;=2,"?ACTIVATED",IF(J824&lt;&gt;"","?FAMILIAR",IF(F824="NEW",IF(ISNA(VLOOKUP(E824,#REF!,1,FALSE())),"?TYPE_IDENTIFIABLE","?REFERENTIAL"),"_")))))</f>
        <v> </v>
      </c>
      <c r="H824" s="24" t="str">
        <f>IF(J824&lt;&gt;1,"",IF(I824="SBJ","CB","?"))</f>
        <v> </v>
      </c>
      <c r="I824" s="25" t="str">
        <f>IF(OR(E824="",E824="!!!",F824="NEW"),"",INDEX(B823:B$2,-1+SUMPRODUCT(MAX(ROW(E823:E$2)*(E824=E823:E$2)))))</f>
        <v> </v>
      </c>
      <c r="J824" s="25" t="str">
        <f>IF(OR(E824="",E824="!!!",F824="NEW"),"",COUNTBLANK(OFFSET(A$1,,,SUMPRODUCT(MAX(ROW(E$2:E824)*(E824=E$2:E824)))))-COUNTBLANK(OFFSET(A$1,,,SUMPRODUCT(MAX(ROW(E$1:E823)*(E2=E$1:E823))))))</f>
        <v> </v>
      </c>
      <c r="K824" s="25" t="str">
        <f>IF(OR(E824="",E824="!!!",F824="NEW"),"",INDEX(J$1:J823,SUMPRODUCT(MAX(ROW(E$1:E823)*(E824=E$1:E823)))))</f>
        <v> </v>
      </c>
      <c r="L824" s="26"/>
    </row>
    <row r="825" spans="1:12">
      <c r="A825" s="20" t="s">
        <v>569</v>
      </c>
      <c r="E825" s="21">
        <f>IF(D825="?OLD","!!!","")</f>
        <v/>
      </c>
      <c r="F825" s="22" t="str">
        <f>IF(OR(E825="",E825="!!!"),"",IF(NOT(ISNA(VLOOKUP(E825,E$1:E824,1,FALSE()))),"OLD",IF(AND(E825&lt;&gt;"",E825&lt;&gt;"!!!"),"NEW","")))</f>
        <v> </v>
      </c>
      <c r="G825" s="23" t="str">
        <f>IF(OR(E825="",E825="!!!"),"",IF(OR(J825=0,AND(J825=1,K825=1),AND(J825=1,I825="SBJ"),AND(J825=1,I825=0)),"?IN_FOCUS",IF(J825&lt;=2,"?ACTIVATED",IF(J825&lt;&gt;"","?FAMILIAR",IF(F825="NEW",IF(ISNA(VLOOKUP(E825,#REF!,1,FALSE())),"?TYPE_IDENTIFIABLE","?REFERENTIAL"),"_")))))</f>
        <v> </v>
      </c>
      <c r="H825" s="24" t="str">
        <f>IF(J825&lt;&gt;1,"",IF(I825="SBJ","CB","?"))</f>
        <v> </v>
      </c>
      <c r="I825" s="25" t="str">
        <f>IF(OR(E825="",E825="!!!",F825="NEW"),"",INDEX(B824:B$2,-1+SUMPRODUCT(MAX(ROW(E824:E$2)*(E825=E824:E$2)))))</f>
        <v> </v>
      </c>
      <c r="J825" s="25" t="str">
        <f>IF(OR(E825="",E825="!!!",F825="NEW"),"",COUNTBLANK(OFFSET(A$1,,,SUMPRODUCT(MAX(ROW(E$2:E825)*(E825=E$2:E825)))))-COUNTBLANK(OFFSET(A$1,,,SUMPRODUCT(MAX(ROW(E$1:E824)*(E2=E$1:E824))))))</f>
        <v> </v>
      </c>
      <c r="K825" s="25" t="str">
        <f>IF(OR(E825="",E825="!!!",F825="NEW"),"",INDEX(J$1:J824,SUMPRODUCT(MAX(ROW(E$1:E824)*(E825=E$1:E824)))))</f>
        <v> </v>
      </c>
      <c r="L825" s="26"/>
    </row>
    <row r="826" spans="1:12">
      <c r="A826" s="20" t="s">
        <v>587</v>
      </c>
      <c r="B826" s="27" t="s">
        <v>267</v>
      </c>
      <c r="C826" s="27" t="s">
        <v>270</v>
      </c>
      <c r="E826" s="21">
        <f>IF(D826="?OLD","!!!","")</f>
        <v/>
      </c>
      <c r="F826" s="22" t="str">
        <f>IF(OR(E826="",E826="!!!"),"",IF(NOT(ISNA(VLOOKUP(E826,E$1:E825,1,FALSE()))),"OLD",IF(AND(E826&lt;&gt;"",E826&lt;&gt;"!!!"),"NEW","")))</f>
        <v> </v>
      </c>
      <c r="G826" s="23" t="str">
        <f>IF(OR(E826="",E826="!!!"),"",IF(OR(J826=0,AND(J826=1,K826=1),AND(J826=1,I826="SBJ"),AND(J826=1,I826=0)),"?IN_FOCUS",IF(J826&lt;=2,"?ACTIVATED",IF(J826&lt;&gt;"","?FAMILIAR",IF(F826="NEW",IF(ISNA(VLOOKUP(E826,#REF!,1,FALSE())),"?TYPE_IDENTIFIABLE","?REFERENTIAL"),"_")))))</f>
        <v> </v>
      </c>
      <c r="H826" s="24" t="str">
        <f>IF(J826&lt;&gt;1,"",IF(I826="SBJ","CB","?"))</f>
        <v> </v>
      </c>
      <c r="I826" s="25" t="str">
        <f>IF(OR(E826="",E826="!!!",F826="NEW"),"",INDEX(B825:B$2,-1+SUMPRODUCT(MAX(ROW(E825:E$2)*(E826=E825:E$2)))))</f>
        <v> </v>
      </c>
      <c r="J826" s="25" t="str">
        <f>IF(OR(E826="",E826="!!!",F826="NEW"),"",COUNTBLANK(OFFSET(A$1,,,SUMPRODUCT(MAX(ROW(E$2:E826)*(E826=E$2:E826)))))-COUNTBLANK(OFFSET(A$1,,,SUMPRODUCT(MAX(ROW(E$1:E825)*(E2=E$1:E825))))))</f>
        <v> </v>
      </c>
      <c r="K826" s="25" t="str">
        <f>IF(OR(E826="",E826="!!!",F826="NEW"),"",INDEX(J$1:J825,SUMPRODUCT(MAX(ROW(E$1:E825)*(E826=E$1:E825)))))</f>
        <v> </v>
      </c>
      <c r="L826" s="26"/>
    </row>
    <row r="827" spans="1:12">
      <c r="A827" s="20" t="s">
        <v>278</v>
      </c>
      <c r="E827" s="21">
        <f>IF(D827="?OLD","!!!","")</f>
        <v/>
      </c>
      <c r="F827" s="22" t="str">
        <f>IF(OR(E827="",E827="!!!"),"",IF(NOT(ISNA(VLOOKUP(E827,E$1:E826,1,FALSE()))),"OLD",IF(AND(E827&lt;&gt;"",E827&lt;&gt;"!!!"),"NEW","")))</f>
        <v> </v>
      </c>
      <c r="G827" s="23" t="str">
        <f>IF(OR(E827="",E827="!!!"),"",IF(OR(J827=0,AND(J827=1,K827=1),AND(J827=1,I827="SBJ"),AND(J827=1,I827=0)),"?IN_FOCUS",IF(J827&lt;=2,"?ACTIVATED",IF(J827&lt;&gt;"","?FAMILIAR",IF(F827="NEW",IF(ISNA(VLOOKUP(E827,#REF!,1,FALSE())),"?TYPE_IDENTIFIABLE","?REFERENTIAL"),"_")))))</f>
        <v> </v>
      </c>
      <c r="H827" s="24" t="str">
        <f>IF(J827&lt;&gt;1,"",IF(I827="SBJ","CB","?"))</f>
        <v> </v>
      </c>
      <c r="I827" s="25" t="str">
        <f>IF(OR(E827="",E827="!!!",F827="NEW"),"",INDEX(B826:B$2,-1+SUMPRODUCT(MAX(ROW(E826:E$2)*(E827=E826:E$2)))))</f>
        <v> </v>
      </c>
      <c r="J827" s="25" t="str">
        <f>IF(OR(E827="",E827="!!!",F827="NEW"),"",COUNTBLANK(OFFSET(A$1,,,SUMPRODUCT(MAX(ROW(E$2:E827)*(E827=E$2:E827)))))-COUNTBLANK(OFFSET(A$1,,,SUMPRODUCT(MAX(ROW(E$1:E826)*(E2=E$1:E826))))))</f>
        <v> </v>
      </c>
      <c r="K827" s="25" t="str">
        <f>IF(OR(E827="",E827="!!!",F827="NEW"),"",INDEX(J$1:J826,SUMPRODUCT(MAX(ROW(E$1:E826)*(E827=E$1:E826)))))</f>
        <v> </v>
      </c>
      <c r="L827" s="26"/>
    </row>
    <row r="828" spans="1:12">
      <c r="A828" s="20" t="s">
        <v>274</v>
      </c>
      <c r="E828" s="21">
        <f>IF(D828="?OLD","!!!","")</f>
        <v/>
      </c>
      <c r="F828" s="22" t="str">
        <f>IF(OR(E828="",E828="!!!"),"",IF(NOT(ISNA(VLOOKUP(E828,E$1:E827,1,FALSE()))),"OLD",IF(AND(E828&lt;&gt;"",E828&lt;&gt;"!!!"),"NEW","")))</f>
        <v> </v>
      </c>
      <c r="G828" s="23" t="str">
        <f>IF(OR(E828="",E828="!!!"),"",IF(OR(J828=0,AND(J828=1,K828=1),AND(J828=1,I828="SBJ"),AND(J828=1,I828=0)),"?IN_FOCUS",IF(J828&lt;=2,"?ACTIVATED",IF(J828&lt;&gt;"","?FAMILIAR",IF(F828="NEW",IF(ISNA(VLOOKUP(E828,#REF!,1,FALSE())),"?TYPE_IDENTIFIABLE","?REFERENTIAL"),"_")))))</f>
        <v> </v>
      </c>
      <c r="H828" s="24" t="str">
        <f>IF(J828&lt;&gt;1,"",IF(I828="SBJ","CB","?"))</f>
        <v> </v>
      </c>
      <c r="I828" s="25" t="str">
        <f>IF(OR(E828="",E828="!!!",F828="NEW"),"",INDEX(B827:B$2,-1+SUMPRODUCT(MAX(ROW(E827:E$2)*(E828=E827:E$2)))))</f>
        <v> </v>
      </c>
      <c r="J828" s="25" t="str">
        <f>IF(OR(E828="",E828="!!!",F828="NEW"),"",COUNTBLANK(OFFSET(A$1,,,SUMPRODUCT(MAX(ROW(E$2:E828)*(E828=E$2:E828)))))-COUNTBLANK(OFFSET(A$1,,,SUMPRODUCT(MAX(ROW(E$1:E827)*(E2=E$1:E827))))))</f>
        <v> </v>
      </c>
      <c r="K828" s="25" t="str">
        <f>IF(OR(E828="",E828="!!!",F828="NEW"),"",INDEX(J$1:J827,SUMPRODUCT(MAX(ROW(E$1:E827)*(E828=E$1:E827)))))</f>
        <v> </v>
      </c>
      <c r="L828" s="26"/>
    </row>
    <row r="829" spans="1:12">
      <c r="A829" s="20" t="s">
        <v>571</v>
      </c>
      <c r="B829" s="27" t="s">
        <v>328</v>
      </c>
      <c r="C829" s="27" t="s">
        <v>277</v>
      </c>
      <c r="D829" s="27" t="s">
        <v>258</v>
      </c>
      <c r="E829" s="21">
        <f>IF(D829="?OLD","!!!","")</f>
        <v/>
      </c>
      <c r="F829" s="22" t="str">
        <f>IF(OR(E829="",E829="!!!"),"",IF(NOT(ISNA(VLOOKUP(E829,E$1:E828,1,FALSE()))),"OLD",IF(AND(E829&lt;&gt;"",E829&lt;&gt;"!!!"),"NEW","")))</f>
        <v> </v>
      </c>
      <c r="G829" s="23" t="str">
        <f>IF(OR(E829="",E829="!!!"),"",IF(OR(J829=0,AND(J829=1,K829=1),AND(J829=1,I829="SBJ"),AND(J829=1,I829=0)),"?IN_FOCUS",IF(J829&lt;=2,"?ACTIVATED",IF(J829&lt;&gt;"","?FAMILIAR",IF(F829="NEW",IF(ISNA(VLOOKUP(E829,#REF!,1,FALSE())),"?TYPE_IDENTIFIABLE","?REFERENTIAL"),"_")))))</f>
        <v> </v>
      </c>
      <c r="H829" s="24" t="str">
        <f>IF(J829&lt;&gt;1,"",IF(I829="SBJ","CB","?"))</f>
        <v> </v>
      </c>
      <c r="I829" s="25" t="str">
        <f>IF(OR(E829="",E829="!!!",F829="NEW"),"",INDEX(B828:B$2,-1+SUMPRODUCT(MAX(ROW(E828:E$2)*(E829=E828:E$2)))))</f>
        <v> </v>
      </c>
      <c r="J829" s="25" t="str">
        <f>IF(OR(E829="",E829="!!!",F829="NEW"),"",COUNTBLANK(OFFSET(A$1,,,SUMPRODUCT(MAX(ROW(E$2:E829)*(E829=E$2:E829)))))-COUNTBLANK(OFFSET(A$1,,,SUMPRODUCT(MAX(ROW(E$1:E828)*(E2=E$1:E828))))))</f>
        <v> </v>
      </c>
      <c r="K829" s="25" t="str">
        <f>IF(OR(E829="",E829="!!!",F829="NEW"),"",INDEX(J$1:J828,SUMPRODUCT(MAX(ROW(E$1:E828)*(E829=E$1:E828)))))</f>
        <v> </v>
      </c>
      <c r="L829" s="26"/>
    </row>
    <row r="830" spans="1:12">
      <c r="A830" s="20" t="s">
        <v>271</v>
      </c>
      <c r="E830" s="21">
        <f>IF(D830="?OLD","!!!","")</f>
        <v/>
      </c>
      <c r="F830" s="22" t="str">
        <f>IF(OR(E830="",E830="!!!"),"",IF(NOT(ISNA(VLOOKUP(E830,E$1:E829,1,FALSE()))),"OLD",IF(AND(E830&lt;&gt;"",E830&lt;&gt;"!!!"),"NEW","")))</f>
        <v> </v>
      </c>
      <c r="G830" s="23" t="str">
        <f>IF(OR(E830="",E830="!!!"),"",IF(OR(J830=0,AND(J830=1,K830=1),AND(J830=1,I830="SBJ"),AND(J830=1,I830=0)),"?IN_FOCUS",IF(J830&lt;=2,"?ACTIVATED",IF(J830&lt;&gt;"","?FAMILIAR",IF(F830="NEW",IF(ISNA(VLOOKUP(E830,#REF!,1,FALSE())),"?TYPE_IDENTIFIABLE","?REFERENTIAL"),"_")))))</f>
        <v> </v>
      </c>
      <c r="H830" s="24" t="str">
        <f>IF(J830&lt;&gt;1,"",IF(I830="SBJ","CB","?"))</f>
        <v> </v>
      </c>
      <c r="I830" s="25" t="str">
        <f>IF(OR(E830="",E830="!!!",F830="NEW"),"",INDEX(B829:B$2,-1+SUMPRODUCT(MAX(ROW(E829:E$2)*(E830=E829:E$2)))))</f>
        <v> </v>
      </c>
      <c r="J830" s="25" t="str">
        <f>IF(OR(E830="",E830="!!!",F830="NEW"),"",COUNTBLANK(OFFSET(A$1,,,SUMPRODUCT(MAX(ROW(E$2:E830)*(E830=E$2:E830)))))-COUNTBLANK(OFFSET(A$1,,,SUMPRODUCT(MAX(ROW(E$1:E829)*(E2=E$1:E829))))))</f>
        <v> </v>
      </c>
      <c r="K830" s="25" t="str">
        <f>IF(OR(E830="",E830="!!!",F830="NEW"),"",INDEX(J$1:J829,SUMPRODUCT(MAX(ROW(E$1:E829)*(E830=E$1:E829)))))</f>
        <v> </v>
      </c>
      <c r="L830" s="26"/>
    </row>
    <row r="831" spans="1:12">
      <c r="A831" s="20" t="s">
        <v>588</v>
      </c>
      <c r="E831" s="21">
        <f>IF(D831="?OLD","!!!","")</f>
        <v/>
      </c>
      <c r="F831" s="22" t="str">
        <f>IF(OR(E831="",E831="!!!"),"",IF(NOT(ISNA(VLOOKUP(E831,E$1:E830,1,FALSE()))),"OLD",IF(AND(E831&lt;&gt;"",E831&lt;&gt;"!!!"),"NEW","")))</f>
        <v> </v>
      </c>
      <c r="G831" s="23" t="str">
        <f>IF(OR(E831="",E831="!!!"),"",IF(OR(J831=0,AND(J831=1,K831=1),AND(J831=1,I831="SBJ"),AND(J831=1,I831=0)),"?IN_FOCUS",IF(J831&lt;=2,"?ACTIVATED",IF(J831&lt;&gt;"","?FAMILIAR",IF(F831="NEW",IF(ISNA(VLOOKUP(E831,#REF!,1,FALSE())),"?TYPE_IDENTIFIABLE","?REFERENTIAL"),"_")))))</f>
        <v> </v>
      </c>
      <c r="H831" s="24" t="str">
        <f>IF(J831&lt;&gt;1,"",IF(I831="SBJ","CB","?"))</f>
        <v> </v>
      </c>
      <c r="I831" s="25" t="str">
        <f>IF(OR(E831="",E831="!!!",F831="NEW"),"",INDEX(B830:B$2,-1+SUMPRODUCT(MAX(ROW(E830:E$2)*(E831=E830:E$2)))))</f>
        <v> </v>
      </c>
      <c r="J831" s="25" t="str">
        <f>IF(OR(E831="",E831="!!!",F831="NEW"),"",COUNTBLANK(OFFSET(A$1,,,SUMPRODUCT(MAX(ROW(E$2:E831)*(E831=E$2:E831)))))-COUNTBLANK(OFFSET(A$1,,,SUMPRODUCT(MAX(ROW(E$1:E830)*(E2=E$1:E830))))))</f>
        <v> </v>
      </c>
      <c r="K831" s="25" t="str">
        <f>IF(OR(E831="",E831="!!!",F831="NEW"),"",INDEX(J$1:J830,SUMPRODUCT(MAX(ROW(E$1:E830)*(E831=E$1:E830)))))</f>
        <v> </v>
      </c>
      <c r="L831" s="26"/>
    </row>
    <row r="832" spans="1:12">
      <c r="A832" s="20" t="s">
        <v>589</v>
      </c>
      <c r="E832" s="21">
        <f>IF(D832="?OLD","!!!","")</f>
        <v/>
      </c>
      <c r="F832" s="22" t="str">
        <f>IF(OR(E832="",E832="!!!"),"",IF(NOT(ISNA(VLOOKUP(E832,E$1:E831,1,FALSE()))),"OLD",IF(AND(E832&lt;&gt;"",E832&lt;&gt;"!!!"),"NEW","")))</f>
        <v> </v>
      </c>
      <c r="G832" s="23" t="str">
        <f>IF(OR(E832="",E832="!!!"),"",IF(OR(J832=0,AND(J832=1,K832=1),AND(J832=1,I832="SBJ"),AND(J832=1,I832=0)),"?IN_FOCUS",IF(J832&lt;=2,"?ACTIVATED",IF(J832&lt;&gt;"","?FAMILIAR",IF(F832="NEW",IF(ISNA(VLOOKUP(E832,#REF!,1,FALSE())),"?TYPE_IDENTIFIABLE","?REFERENTIAL"),"_")))))</f>
        <v> </v>
      </c>
      <c r="H832" s="24" t="str">
        <f>IF(J832&lt;&gt;1,"",IF(I832="SBJ","CB","?"))</f>
        <v> </v>
      </c>
      <c r="I832" s="25" t="str">
        <f>IF(OR(E832="",E832="!!!",F832="NEW"),"",INDEX(B831:B$2,-1+SUMPRODUCT(MAX(ROW(E831:E$2)*(E832=E831:E$2)))))</f>
        <v> </v>
      </c>
      <c r="J832" s="25" t="str">
        <f>IF(OR(E832="",E832="!!!",F832="NEW"),"",COUNTBLANK(OFFSET(A$1,,,SUMPRODUCT(MAX(ROW(E$2:E832)*(E832=E$2:E832)))))-COUNTBLANK(OFFSET(A$1,,,SUMPRODUCT(MAX(ROW(E$1:E831)*(E2=E$1:E831))))))</f>
        <v> </v>
      </c>
      <c r="K832" s="25" t="str">
        <f>IF(OR(E832="",E832="!!!",F832="NEW"),"",INDEX(J$1:J831,SUMPRODUCT(MAX(ROW(E$1:E831)*(E832=E$1:E831)))))</f>
        <v> </v>
      </c>
      <c r="L832" s="26"/>
    </row>
    <row r="833" spans="1:12">
      <c r="A833" s="20" t="s">
        <v>440</v>
      </c>
      <c r="B833" s="27" t="s">
        <v>262</v>
      </c>
      <c r="C833" s="27" t="s">
        <v>287</v>
      </c>
      <c r="D833" s="27" t="s">
        <v>258</v>
      </c>
      <c r="E833" s="21">
        <f>IF(D833="?OLD","!!!","")</f>
        <v/>
      </c>
      <c r="F833" s="22" t="str">
        <f>IF(OR(E833="",E833="!!!"),"",IF(NOT(ISNA(VLOOKUP(E833,E$1:E832,1,FALSE()))),"OLD",IF(AND(E833&lt;&gt;"",E833&lt;&gt;"!!!"),"NEW","")))</f>
        <v> </v>
      </c>
      <c r="G833" s="23" t="str">
        <f>IF(OR(E833="",E833="!!!"),"",IF(OR(J833=0,AND(J833=1,K833=1),AND(J833=1,I833="SBJ"),AND(J833=1,I833=0)),"?IN_FOCUS",IF(J833&lt;=2,"?ACTIVATED",IF(J833&lt;&gt;"","?FAMILIAR",IF(F833="NEW",IF(ISNA(VLOOKUP(E833,#REF!,1,FALSE())),"?TYPE_IDENTIFIABLE","?REFERENTIAL"),"_")))))</f>
        <v> </v>
      </c>
      <c r="H833" s="24" t="str">
        <f>IF(J833&lt;&gt;1,"",IF(I833="SBJ","CB","?"))</f>
        <v> </v>
      </c>
      <c r="I833" s="25" t="str">
        <f>IF(OR(E833="",E833="!!!",F833="NEW"),"",INDEX(B832:B$2,-1+SUMPRODUCT(MAX(ROW(E832:E$2)*(E833=E832:E$2)))))</f>
        <v> </v>
      </c>
      <c r="J833" s="25" t="str">
        <f>IF(OR(E833="",E833="!!!",F833="NEW"),"",COUNTBLANK(OFFSET(A$1,,,SUMPRODUCT(MAX(ROW(E$2:E833)*(E833=E$2:E833)))))-COUNTBLANK(OFFSET(A$1,,,SUMPRODUCT(MAX(ROW(E$1:E832)*(E2=E$1:E832))))))</f>
        <v> </v>
      </c>
      <c r="K833" s="25" t="str">
        <f>IF(OR(E833="",E833="!!!",F833="NEW"),"",INDEX(J$1:J832,SUMPRODUCT(MAX(ROW(E$1:E832)*(E833=E$1:E832)))))</f>
        <v> </v>
      </c>
      <c r="L833" s="26"/>
    </row>
    <row r="834" spans="1:12">
      <c r="A834" s="20" t="s">
        <v>278</v>
      </c>
      <c r="E834" s="21">
        <f>IF(D834="?OLD","!!!","")</f>
        <v/>
      </c>
      <c r="F834" s="22" t="str">
        <f>IF(OR(E834="",E834="!!!"),"",IF(NOT(ISNA(VLOOKUP(E834,E$1:E833,1,FALSE()))),"OLD",IF(AND(E834&lt;&gt;"",E834&lt;&gt;"!!!"),"NEW","")))</f>
        <v> </v>
      </c>
      <c r="G834" s="23" t="str">
        <f>IF(OR(E834="",E834="!!!"),"",IF(OR(J834=0,AND(J834=1,K834=1),AND(J834=1,I834="SBJ"),AND(J834=1,I834=0)),"?IN_FOCUS",IF(J834&lt;=2,"?ACTIVATED",IF(J834&lt;&gt;"","?FAMILIAR",IF(F834="NEW",IF(ISNA(VLOOKUP(E834,#REF!,1,FALSE())),"?TYPE_IDENTIFIABLE","?REFERENTIAL"),"_")))))</f>
        <v> </v>
      </c>
      <c r="H834" s="24" t="str">
        <f>IF(J834&lt;&gt;1,"",IF(I834="SBJ","CB","?"))</f>
        <v> </v>
      </c>
      <c r="I834" s="25" t="str">
        <f>IF(OR(E834="",E834="!!!",F834="NEW"),"",INDEX(B833:B$2,-1+SUMPRODUCT(MAX(ROW(E833:E$2)*(E834=E833:E$2)))))</f>
        <v> </v>
      </c>
      <c r="J834" s="25" t="str">
        <f>IF(OR(E834="",E834="!!!",F834="NEW"),"",COUNTBLANK(OFFSET(A$1,,,SUMPRODUCT(MAX(ROW(E$2:E834)*(E834=E$2:E834)))))-COUNTBLANK(OFFSET(A$1,,,SUMPRODUCT(MAX(ROW(E$1:E833)*(E2=E$1:E833))))))</f>
        <v> </v>
      </c>
      <c r="K834" s="25" t="str">
        <f>IF(OR(E834="",E834="!!!",F834="NEW"),"",INDEX(J$1:J833,SUMPRODUCT(MAX(ROW(E$1:E833)*(E834=E$1:E833)))))</f>
        <v> </v>
      </c>
      <c r="L834" s="26"/>
    </row>
    <row r="835" spans="1:12">
      <c r="A835" s="20" t="s">
        <v>582</v>
      </c>
      <c r="B835" s="27" t="s">
        <v>328</v>
      </c>
      <c r="C835" s="27" t="s">
        <v>257</v>
      </c>
      <c r="D835" s="27" t="s">
        <v>258</v>
      </c>
      <c r="E835" s="21">
        <f>IF(D835="?OLD","!!!","")</f>
        <v/>
      </c>
      <c r="F835" s="22" t="str">
        <f>IF(OR(E835="",E835="!!!"),"",IF(NOT(ISNA(VLOOKUP(E835,E$1:E834,1,FALSE()))),"OLD",IF(AND(E835&lt;&gt;"",E835&lt;&gt;"!!!"),"NEW","")))</f>
        <v> </v>
      </c>
      <c r="G835" s="23" t="str">
        <f>IF(OR(E835="",E835="!!!"),"",IF(OR(J835=0,AND(J835=1,K835=1),AND(J835=1,I835="SBJ"),AND(J835=1,I835=0)),"?IN_FOCUS",IF(J835&lt;=2,"?ACTIVATED",IF(J835&lt;&gt;"","?FAMILIAR",IF(F835="NEW",IF(ISNA(VLOOKUP(E835,#REF!,1,FALSE())),"?TYPE_IDENTIFIABLE","?REFERENTIAL"),"_")))))</f>
        <v> </v>
      </c>
      <c r="H835" s="24" t="str">
        <f>IF(J835&lt;&gt;1,"",IF(I835="SBJ","CB","?"))</f>
        <v> </v>
      </c>
      <c r="I835" s="25" t="str">
        <f>IF(OR(E835="",E835="!!!",F835="NEW"),"",INDEX(B834:B$2,-1+SUMPRODUCT(MAX(ROW(E834:E$2)*(E835=E834:E$2)))))</f>
        <v> </v>
      </c>
      <c r="J835" s="25" t="str">
        <f>IF(OR(E835="",E835="!!!",F835="NEW"),"",COUNTBLANK(OFFSET(A$1,,,SUMPRODUCT(MAX(ROW(E$2:E835)*(E835=E$2:E835)))))-COUNTBLANK(OFFSET(A$1,,,SUMPRODUCT(MAX(ROW(E$1:E834)*(E2=E$1:E834))))))</f>
        <v> </v>
      </c>
      <c r="K835" s="25" t="str">
        <f>IF(OR(E835="",E835="!!!",F835="NEW"),"",INDEX(J$1:J834,SUMPRODUCT(MAX(ROW(E$1:E834)*(E835=E$1:E834)))))</f>
        <v> </v>
      </c>
      <c r="L835" s="26"/>
    </row>
    <row r="836" spans="1:12">
      <c r="A836" s="20" t="s">
        <v>320</v>
      </c>
      <c r="E836" s="21">
        <f>IF(D836="?OLD","!!!","")</f>
        <v/>
      </c>
      <c r="F836" s="22" t="str">
        <f>IF(OR(E836="",E836="!!!"),"",IF(NOT(ISNA(VLOOKUP(E836,E$1:E835,1,FALSE()))),"OLD",IF(AND(E836&lt;&gt;"",E836&lt;&gt;"!!!"),"NEW","")))</f>
        <v> </v>
      </c>
      <c r="G836" s="23" t="str">
        <f>IF(OR(E836="",E836="!!!"),"",IF(OR(J836=0,AND(J836=1,K836=1),AND(J836=1,I836="SBJ"),AND(J836=1,I836=0)),"?IN_FOCUS",IF(J836&lt;=2,"?ACTIVATED",IF(J836&lt;&gt;"","?FAMILIAR",IF(F836="NEW",IF(ISNA(VLOOKUP(E836,#REF!,1,FALSE())),"?TYPE_IDENTIFIABLE","?REFERENTIAL"),"_")))))</f>
        <v> </v>
      </c>
      <c r="H836" s="24" t="str">
        <f>IF(J836&lt;&gt;1,"",IF(I836="SBJ","CB","?"))</f>
        <v> </v>
      </c>
      <c r="I836" s="25" t="str">
        <f>IF(OR(E836="",E836="!!!",F836="NEW"),"",INDEX(B835:B$2,-1+SUMPRODUCT(MAX(ROW(E835:E$2)*(E836=E835:E$2)))))</f>
        <v> </v>
      </c>
      <c r="J836" s="25" t="str">
        <f>IF(OR(E836="",E836="!!!",F836="NEW"),"",COUNTBLANK(OFFSET(A$1,,,SUMPRODUCT(MAX(ROW(E$2:E836)*(E836=E$2:E836)))))-COUNTBLANK(OFFSET(A$1,,,SUMPRODUCT(MAX(ROW(E$1:E835)*(E2=E$1:E835))))))</f>
        <v> </v>
      </c>
      <c r="K836" s="25" t="str">
        <f>IF(OR(E836="",E836="!!!",F836="NEW"),"",INDEX(J$1:J835,SUMPRODUCT(MAX(ROW(E$1:E835)*(E836=E$1:E835)))))</f>
        <v> </v>
      </c>
      <c r="L836" s="26"/>
    </row>
    <row r="837" spans="1:12">
      <c r="A837" s="20"/>
    </row>
    <row r="838" spans="1:12">
      <c r="A838" s="20" t="s">
        <v>590</v>
      </c>
    </row>
    <row r="839" spans="1:12">
      <c r="A839" s="20" t="s">
        <v>322</v>
      </c>
      <c r="E839" s="21">
        <f>IF(D839="?OLD","!!!","")</f>
        <v/>
      </c>
      <c r="F839" s="22" t="str">
        <f>IF(OR(E839="",E839="!!!"),"",IF(NOT(ISNA(VLOOKUP(E839,E$1:E838,1,FALSE()))),"OLD",IF(AND(E839&lt;&gt;"",E839&lt;&gt;"!!!"),"NEW","")))</f>
        <v> </v>
      </c>
      <c r="G839" s="23" t="str">
        <f>IF(OR(E839="",E839="!!!"),"",IF(OR(J839=0,AND(J839=1,K839=1),AND(J839=1,I839="SBJ"),AND(J839=1,I839=0)),"?IN_FOCUS",IF(J839&lt;=2,"?ACTIVATED",IF(J839&lt;&gt;"","?FAMILIAR",IF(F839="NEW",IF(ISNA(VLOOKUP(E839,#REF!,1,FALSE())),"?TYPE_IDENTIFIABLE","?REFERENTIAL"),"_")))))</f>
        <v> </v>
      </c>
      <c r="H839" s="24" t="str">
        <f>IF(J839&lt;&gt;1,"",IF(I839="SBJ","CB","?"))</f>
        <v> </v>
      </c>
      <c r="I839" s="25" t="str">
        <f>IF(OR(E839="",E839="!!!",F839="NEW"),"",INDEX(B838:B$2,-1+SUMPRODUCT(MAX(ROW(E838:E$2)*(E839=E838:E$2)))))</f>
        <v> </v>
      </c>
      <c r="J839" s="25" t="str">
        <f>IF(OR(E839="",E839="!!!",F839="NEW"),"",COUNTBLANK(OFFSET(A$1,,,SUMPRODUCT(MAX(ROW(E$2:E839)*(E839=E$2:E839)))))-COUNTBLANK(OFFSET(A$1,,,SUMPRODUCT(MAX(ROW(E$1:E838)*(E2=E$1:E838))))))</f>
        <v> </v>
      </c>
      <c r="K839" s="25" t="str">
        <f>IF(OR(E839="",E839="!!!",F839="NEW"),"",INDEX(J$1:J838,SUMPRODUCT(MAX(ROW(E$1:E838)*(E839=E$1:E838)))))</f>
        <v> </v>
      </c>
      <c r="L839" s="26"/>
    </row>
    <row r="840" spans="1:12">
      <c r="A840" s="20" t="s">
        <v>325</v>
      </c>
      <c r="E840" s="21">
        <f>IF(D840="?OLD","!!!","")</f>
        <v/>
      </c>
      <c r="F840" s="22" t="str">
        <f>IF(OR(E840="",E840="!!!"),"",IF(NOT(ISNA(VLOOKUP(E840,E$1:E839,1,FALSE()))),"OLD",IF(AND(E840&lt;&gt;"",E840&lt;&gt;"!!!"),"NEW","")))</f>
        <v> </v>
      </c>
      <c r="G840" s="23" t="str">
        <f>IF(OR(E840="",E840="!!!"),"",IF(OR(J840=0,AND(J840=1,K840=1),AND(J840=1,I840="SBJ"),AND(J840=1,I840=0)),"?IN_FOCUS",IF(J840&lt;=2,"?ACTIVATED",IF(J840&lt;&gt;"","?FAMILIAR",IF(F840="NEW",IF(ISNA(VLOOKUP(E840,#REF!,1,FALSE())),"?TYPE_IDENTIFIABLE","?REFERENTIAL"),"_")))))</f>
        <v> </v>
      </c>
      <c r="H840" s="24" t="str">
        <f>IF(J840&lt;&gt;1,"",IF(I840="SBJ","CB","?"))</f>
        <v> </v>
      </c>
      <c r="I840" s="25" t="str">
        <f>IF(OR(E840="",E840="!!!",F840="NEW"),"",INDEX(B839:B$2,-1+SUMPRODUCT(MAX(ROW(E839:E$2)*(E840=E839:E$2)))))</f>
        <v> </v>
      </c>
      <c r="J840" s="25" t="str">
        <f>IF(OR(E840="",E840="!!!",F840="NEW"),"",COUNTBLANK(OFFSET(A$1,,,SUMPRODUCT(MAX(ROW(E$2:E840)*(E840=E$2:E840)))))-COUNTBLANK(OFFSET(A$1,,,SUMPRODUCT(MAX(ROW(E$1:E839)*(E2=E$1:E839))))))</f>
        <v> </v>
      </c>
      <c r="K840" s="25" t="str">
        <f>IF(OR(E840="",E840="!!!",F840="NEW"),"",INDEX(J$1:J839,SUMPRODUCT(MAX(ROW(E$1:E839)*(E840=E$1:E839)))))</f>
        <v> </v>
      </c>
      <c r="L840" s="26"/>
    </row>
    <row r="841" spans="1:12">
      <c r="A841" s="20" t="s">
        <v>326</v>
      </c>
      <c r="E841" s="21">
        <f>IF(D841="?OLD","!!!","")</f>
        <v/>
      </c>
      <c r="F841" s="22" t="str">
        <f>IF(OR(E841="",E841="!!!"),"",IF(NOT(ISNA(VLOOKUP(E841,E$1:E840,1,FALSE()))),"OLD",IF(AND(E841&lt;&gt;"",E841&lt;&gt;"!!!"),"NEW","")))</f>
        <v> </v>
      </c>
      <c r="G841" s="23" t="str">
        <f>IF(OR(E841="",E841="!!!"),"",IF(OR(J841=0,AND(J841=1,K841=1),AND(J841=1,I841="SBJ"),AND(J841=1,I841=0)),"?IN_FOCUS",IF(J841&lt;=2,"?ACTIVATED",IF(J841&lt;&gt;"","?FAMILIAR",IF(F841="NEW",IF(ISNA(VLOOKUP(E841,#REF!,1,FALSE())),"?TYPE_IDENTIFIABLE","?REFERENTIAL"),"_")))))</f>
        <v> </v>
      </c>
      <c r="H841" s="24" t="str">
        <f>IF(J841&lt;&gt;1,"",IF(I841="SBJ","CB","?"))</f>
        <v> </v>
      </c>
      <c r="I841" s="25" t="str">
        <f>IF(OR(E841="",E841="!!!",F841="NEW"),"",INDEX(B840:B$2,-1+SUMPRODUCT(MAX(ROW(E840:E$2)*(E841=E840:E$2)))))</f>
        <v> </v>
      </c>
      <c r="J841" s="25" t="str">
        <f>IF(OR(E841="",E841="!!!",F841="NEW"),"",COUNTBLANK(OFFSET(A$1,,,SUMPRODUCT(MAX(ROW(E$2:E841)*(E841=E$2:E841)))))-COUNTBLANK(OFFSET(A$1,,,SUMPRODUCT(MAX(ROW(E$1:E840)*(E2=E$1:E840))))))</f>
        <v> </v>
      </c>
      <c r="K841" s="25" t="str">
        <f>IF(OR(E841="",E841="!!!",F841="NEW"),"",INDEX(J$1:J840,SUMPRODUCT(MAX(ROW(E$1:E840)*(E841=E$1:E840)))))</f>
        <v> </v>
      </c>
      <c r="L841" s="26"/>
    </row>
    <row r="842" spans="1:12">
      <c r="A842" s="20" t="s">
        <v>485</v>
      </c>
      <c r="E842" s="21">
        <f>IF(D842="?OLD","!!!","")</f>
        <v/>
      </c>
      <c r="F842" s="22" t="str">
        <f>IF(OR(E842="",E842="!!!"),"",IF(NOT(ISNA(VLOOKUP(E842,E$1:E841,1,FALSE()))),"OLD",IF(AND(E842&lt;&gt;"",E842&lt;&gt;"!!!"),"NEW","")))</f>
        <v> </v>
      </c>
      <c r="G842" s="23" t="str">
        <f>IF(OR(E842="",E842="!!!"),"",IF(OR(J842=0,AND(J842=1,K842=1),AND(J842=1,I842="SBJ"),AND(J842=1,I842=0)),"?IN_FOCUS",IF(J842&lt;=2,"?ACTIVATED",IF(J842&lt;&gt;"","?FAMILIAR",IF(F842="NEW",IF(ISNA(VLOOKUP(E842,#REF!,1,FALSE())),"?TYPE_IDENTIFIABLE","?REFERENTIAL"),"_")))))</f>
        <v> </v>
      </c>
      <c r="H842" s="24" t="str">
        <f>IF(J842&lt;&gt;1,"",IF(I842="SBJ","CB","?"))</f>
        <v> </v>
      </c>
      <c r="I842" s="25" t="str">
        <f>IF(OR(E842="",E842="!!!",F842="NEW"),"",INDEX(B841:B$2,-1+SUMPRODUCT(MAX(ROW(E841:E$2)*(E842=E841:E$2)))))</f>
        <v> </v>
      </c>
      <c r="J842" s="25" t="str">
        <f>IF(OR(E842="",E842="!!!",F842="NEW"),"",COUNTBLANK(OFFSET(A$1,,,SUMPRODUCT(MAX(ROW(E$2:E842)*(E842=E$2:E842)))))-COUNTBLANK(OFFSET(A$1,,,SUMPRODUCT(MAX(ROW(E$1:E841)*(E2=E$1:E841))))))</f>
        <v> </v>
      </c>
      <c r="K842" s="25" t="str">
        <f>IF(OR(E842="",E842="!!!",F842="NEW"),"",INDEX(J$1:J841,SUMPRODUCT(MAX(ROW(E$1:E841)*(E842=E$1:E841)))))</f>
        <v> </v>
      </c>
      <c r="L842" s="26"/>
    </row>
    <row r="843" spans="1:12">
      <c r="A843" s="20" t="s">
        <v>370</v>
      </c>
      <c r="B843" s="27" t="s">
        <v>267</v>
      </c>
      <c r="C843" s="27" t="s">
        <v>341</v>
      </c>
      <c r="D843" s="27" t="s">
        <v>258</v>
      </c>
      <c r="E843" s="21">
        <f>IF(D843="?OLD","!!!","")</f>
        <v/>
      </c>
      <c r="F843" s="22" t="str">
        <f>IF(OR(E843="",E843="!!!"),"",IF(NOT(ISNA(VLOOKUP(E843,E$1:E842,1,FALSE()))),"OLD",IF(AND(E843&lt;&gt;"",E843&lt;&gt;"!!!"),"NEW","")))</f>
        <v> </v>
      </c>
      <c r="G843" s="23" t="str">
        <f>IF(OR(E843="",E843="!!!"),"",IF(OR(J843=0,AND(J843=1,K843=1),AND(J843=1,I843="SBJ"),AND(J843=1,I843=0)),"?IN_FOCUS",IF(J843&lt;=2,"?ACTIVATED",IF(J843&lt;&gt;"","?FAMILIAR",IF(F843="NEW",IF(ISNA(VLOOKUP(E843,#REF!,1,FALSE())),"?TYPE_IDENTIFIABLE","?REFERENTIAL"),"_")))))</f>
        <v> </v>
      </c>
      <c r="H843" s="24" t="str">
        <f>IF(J843&lt;&gt;1,"",IF(I843="SBJ","CB","?"))</f>
        <v> </v>
      </c>
      <c r="I843" s="25" t="str">
        <f>IF(OR(E843="",E843="!!!",F843="NEW"),"",INDEX(B842:B$2,-1+SUMPRODUCT(MAX(ROW(E842:E$2)*(E843=E842:E$2)))))</f>
        <v> </v>
      </c>
      <c r="J843" s="25" t="str">
        <f>IF(OR(E843="",E843="!!!",F843="NEW"),"",COUNTBLANK(OFFSET(A$1,,,SUMPRODUCT(MAX(ROW(E$2:E843)*(E843=E$2:E843)))))-COUNTBLANK(OFFSET(A$1,,,SUMPRODUCT(MAX(ROW(E$1:E842)*(E2=E$1:E842))))))</f>
        <v> </v>
      </c>
      <c r="K843" s="25" t="str">
        <f>IF(OR(E843="",E843="!!!",F843="NEW"),"",INDEX(J$1:J842,SUMPRODUCT(MAX(ROW(E$1:E842)*(E843=E$1:E842)))))</f>
        <v> </v>
      </c>
      <c r="L843" s="26"/>
    </row>
    <row r="844" spans="1:12">
      <c r="A844" s="20" t="s">
        <v>271</v>
      </c>
      <c r="E844" s="21">
        <f>IF(D844="?OLD","!!!","")</f>
        <v/>
      </c>
      <c r="F844" s="22" t="str">
        <f>IF(OR(E844="",E844="!!!"),"",IF(NOT(ISNA(VLOOKUP(E844,E$1:E843,1,FALSE()))),"OLD",IF(AND(E844&lt;&gt;"",E844&lt;&gt;"!!!"),"NEW","")))</f>
        <v> </v>
      </c>
      <c r="G844" s="23" t="str">
        <f>IF(OR(E844="",E844="!!!"),"",IF(OR(J844=0,AND(J844=1,K844=1),AND(J844=1,I844="SBJ"),AND(J844=1,I844=0)),"?IN_FOCUS",IF(J844&lt;=2,"?ACTIVATED",IF(J844&lt;&gt;"","?FAMILIAR",IF(F844="NEW",IF(ISNA(VLOOKUP(E844,#REF!,1,FALSE())),"?TYPE_IDENTIFIABLE","?REFERENTIAL"),"_")))))</f>
        <v> </v>
      </c>
      <c r="H844" s="24" t="str">
        <f>IF(J844&lt;&gt;1,"",IF(I844="SBJ","CB","?"))</f>
        <v> </v>
      </c>
      <c r="I844" s="25" t="str">
        <f>IF(OR(E844="",E844="!!!",F844="NEW"),"",INDEX(B843:B$2,-1+SUMPRODUCT(MAX(ROW(E843:E$2)*(E844=E843:E$2)))))</f>
        <v> </v>
      </c>
      <c r="J844" s="25" t="str">
        <f>IF(OR(E844="",E844="!!!",F844="NEW"),"",COUNTBLANK(OFFSET(A$1,,,SUMPRODUCT(MAX(ROW(E$2:E844)*(E844=E$2:E844)))))-COUNTBLANK(OFFSET(A$1,,,SUMPRODUCT(MAX(ROW(E$1:E843)*(E2=E$1:E843))))))</f>
        <v> </v>
      </c>
      <c r="K844" s="25" t="str">
        <f>IF(OR(E844="",E844="!!!",F844="NEW"),"",INDEX(J$1:J843,SUMPRODUCT(MAX(ROW(E$1:E843)*(E844=E$1:E843)))))</f>
        <v> </v>
      </c>
      <c r="L844" s="26"/>
    </row>
    <row r="845" spans="1:12">
      <c r="A845" s="20" t="s">
        <v>255</v>
      </c>
      <c r="B845" s="27" t="s">
        <v>276</v>
      </c>
      <c r="C845" s="27" t="s">
        <v>257</v>
      </c>
      <c r="D845" s="27" t="s">
        <v>258</v>
      </c>
      <c r="E845" s="21">
        <f>IF(D845="?OLD","!!!","")</f>
        <v/>
      </c>
      <c r="F845" s="22" t="str">
        <f>IF(OR(E845="",E845="!!!"),"",IF(NOT(ISNA(VLOOKUP(E845,E$1:E844,1,FALSE()))),"OLD",IF(AND(E845&lt;&gt;"",E845&lt;&gt;"!!!"),"NEW","")))</f>
        <v> </v>
      </c>
      <c r="G845" s="23" t="str">
        <f>IF(OR(E845="",E845="!!!"),"",IF(OR(J845=0,AND(J845=1,K845=1),AND(J845=1,I845="SBJ"),AND(J845=1,I845=0)),"?IN_FOCUS",IF(J845&lt;=2,"?ACTIVATED",IF(J845&lt;&gt;"","?FAMILIAR",IF(F845="NEW",IF(ISNA(VLOOKUP(E845,#REF!,1,FALSE())),"?TYPE_IDENTIFIABLE","?REFERENTIAL"),"_")))))</f>
        <v> </v>
      </c>
      <c r="H845" s="24" t="str">
        <f>IF(J845&lt;&gt;1,"",IF(I845="SBJ","CB","?"))</f>
        <v> </v>
      </c>
      <c r="I845" s="25" t="str">
        <f>IF(OR(E845="",E845="!!!",F845="NEW"),"",INDEX(B844:B$2,-1+SUMPRODUCT(MAX(ROW(E844:E$2)*(E845=E844:E$2)))))</f>
        <v> </v>
      </c>
      <c r="J845" s="25" t="str">
        <f>IF(OR(E845="",E845="!!!",F845="NEW"),"",COUNTBLANK(OFFSET(A$1,,,SUMPRODUCT(MAX(ROW(E$2:E845)*(E845=E$2:E845)))))-COUNTBLANK(OFFSET(A$1,,,SUMPRODUCT(MAX(ROW(E$1:E844)*(E2=E$1:E844))))))</f>
        <v> </v>
      </c>
      <c r="K845" s="25" t="str">
        <f>IF(OR(E845="",E845="!!!",F845="NEW"),"",INDEX(J$1:J844,SUMPRODUCT(MAX(ROW(E$1:E844)*(E845=E$1:E844)))))</f>
        <v> </v>
      </c>
      <c r="L845" s="26"/>
    </row>
    <row r="846" spans="1:12">
      <c r="A846" s="20" t="s">
        <v>259</v>
      </c>
      <c r="E846" s="21">
        <f>IF(D846="?OLD","!!!","")</f>
        <v/>
      </c>
      <c r="F846" s="22" t="str">
        <f>IF(OR(E846="",E846="!!!"),"",IF(NOT(ISNA(VLOOKUP(E846,E$1:E845,1,FALSE()))),"OLD",IF(AND(E846&lt;&gt;"",E846&lt;&gt;"!!!"),"NEW","")))</f>
        <v> </v>
      </c>
      <c r="G846" s="23" t="str">
        <f>IF(OR(E846="",E846="!!!"),"",IF(OR(J846=0,AND(J846=1,K846=1),AND(J846=1,I846="SBJ"),AND(J846=1,I846=0)),"?IN_FOCUS",IF(J846&lt;=2,"?ACTIVATED",IF(J846&lt;&gt;"","?FAMILIAR",IF(F846="NEW",IF(ISNA(VLOOKUP(E846,#REF!,1,FALSE())),"?TYPE_IDENTIFIABLE","?REFERENTIAL"),"_")))))</f>
        <v> </v>
      </c>
      <c r="H846" s="24" t="str">
        <f>IF(J846&lt;&gt;1,"",IF(I846="SBJ","CB","?"))</f>
        <v> </v>
      </c>
      <c r="I846" s="25" t="str">
        <f>IF(OR(E846="",E846="!!!",F846="NEW"),"",INDEX(B845:B$2,-1+SUMPRODUCT(MAX(ROW(E845:E$2)*(E846=E845:E$2)))))</f>
        <v> </v>
      </c>
      <c r="J846" s="25" t="str">
        <f>IF(OR(E846="",E846="!!!",F846="NEW"),"",COUNTBLANK(OFFSET(A$1,,,SUMPRODUCT(MAX(ROW(E$2:E846)*(E846=E$2:E846)))))-COUNTBLANK(OFFSET(A$1,,,SUMPRODUCT(MAX(ROW(E$1:E845)*(E2=E$1:E845))))))</f>
        <v> </v>
      </c>
      <c r="K846" s="25" t="str">
        <f>IF(OR(E846="",E846="!!!",F846="NEW"),"",INDEX(J$1:J845,SUMPRODUCT(MAX(ROW(E$1:E845)*(E846=E$1:E845)))))</f>
        <v> </v>
      </c>
      <c r="L846" s="26"/>
    </row>
    <row r="847" spans="1:12">
      <c r="A847" s="20" t="s">
        <v>35</v>
      </c>
      <c r="E847" s="21">
        <f>IF(D847="?OLD","!!!","")</f>
        <v/>
      </c>
      <c r="F847" s="22" t="str">
        <f>IF(OR(E847="",E847="!!!"),"",IF(NOT(ISNA(VLOOKUP(E847,E$1:E846,1,FALSE()))),"OLD",IF(AND(E847&lt;&gt;"",E847&lt;&gt;"!!!"),"NEW","")))</f>
        <v> </v>
      </c>
      <c r="G847" s="23" t="str">
        <f>IF(OR(E847="",E847="!!!"),"",IF(OR(J847=0,AND(J847=1,K847=1),AND(J847=1,I847="SBJ"),AND(J847=1,I847=0)),"?IN_FOCUS",IF(J847&lt;=2,"?ACTIVATED",IF(J847&lt;&gt;"","?FAMILIAR",IF(F847="NEW",IF(ISNA(VLOOKUP(E847,#REF!,1,FALSE())),"?TYPE_IDENTIFIABLE","?REFERENTIAL"),"_")))))</f>
        <v> </v>
      </c>
      <c r="H847" s="24" t="str">
        <f>IF(J847&lt;&gt;1,"",IF(I847="SBJ","CB","?"))</f>
        <v> </v>
      </c>
      <c r="I847" s="25" t="str">
        <f>IF(OR(E847="",E847="!!!",F847="NEW"),"",INDEX(B846:B$2,-1+SUMPRODUCT(MAX(ROW(E846:E$2)*(E847=E846:E$2)))))</f>
        <v> </v>
      </c>
      <c r="J847" s="25" t="str">
        <f>IF(OR(E847="",E847="!!!",F847="NEW"),"",COUNTBLANK(OFFSET(A$1,,,SUMPRODUCT(MAX(ROW(E$2:E847)*(E847=E$2:E847)))))-COUNTBLANK(OFFSET(A$1,,,SUMPRODUCT(MAX(ROW(E$1:E846)*(E2=E$1:E846))))))</f>
        <v> </v>
      </c>
      <c r="K847" s="25" t="str">
        <f>IF(OR(E847="",E847="!!!",F847="NEW"),"",INDEX(J$1:J846,SUMPRODUCT(MAX(ROW(E$1:E846)*(E847=E$1:E846)))))</f>
        <v> </v>
      </c>
      <c r="L847" s="26"/>
    </row>
    <row r="848" spans="1:12">
      <c r="A848" s="20" t="s">
        <v>273</v>
      </c>
      <c r="E848" s="21">
        <f>IF(D848="?OLD","!!!","")</f>
        <v/>
      </c>
      <c r="F848" s="22" t="str">
        <f>IF(OR(E848="",E848="!!!"),"",IF(NOT(ISNA(VLOOKUP(E848,E$1:E847,1,FALSE()))),"OLD",IF(AND(E848&lt;&gt;"",E848&lt;&gt;"!!!"),"NEW","")))</f>
        <v> </v>
      </c>
      <c r="G848" s="23" t="str">
        <f>IF(OR(E848="",E848="!!!"),"",IF(OR(J848=0,AND(J848=1,K848=1),AND(J848=1,I848="SBJ"),AND(J848=1,I848=0)),"?IN_FOCUS",IF(J848&lt;=2,"?ACTIVATED",IF(J848&lt;&gt;"","?FAMILIAR",IF(F848="NEW",IF(ISNA(VLOOKUP(E848,#REF!,1,FALSE())),"?TYPE_IDENTIFIABLE","?REFERENTIAL"),"_")))))</f>
        <v> </v>
      </c>
      <c r="H848" s="24" t="str">
        <f>IF(J848&lt;&gt;1,"",IF(I848="SBJ","CB","?"))</f>
        <v> </v>
      </c>
      <c r="I848" s="25" t="str">
        <f>IF(OR(E848="",E848="!!!",F848="NEW"),"",INDEX(B847:B$2,-1+SUMPRODUCT(MAX(ROW(E847:E$2)*(E848=E847:E$2)))))</f>
        <v> </v>
      </c>
      <c r="J848" s="25" t="str">
        <f>IF(OR(E848="",E848="!!!",F848="NEW"),"",COUNTBLANK(OFFSET(A$1,,,SUMPRODUCT(MAX(ROW(E$2:E848)*(E848=E$2:E848)))))-COUNTBLANK(OFFSET(A$1,,,SUMPRODUCT(MAX(ROW(E$1:E847)*(E2=E$1:E847))))))</f>
        <v> </v>
      </c>
      <c r="K848" s="25" t="str">
        <f>IF(OR(E848="",E848="!!!",F848="NEW"),"",INDEX(J$1:J847,SUMPRODUCT(MAX(ROW(E$1:E847)*(E848=E$1:E847)))))</f>
        <v> </v>
      </c>
      <c r="L848" s="26"/>
    </row>
    <row r="849" spans="1:12">
      <c r="A849" s="20" t="s">
        <v>274</v>
      </c>
      <c r="E849" s="21">
        <f>IF(D849="?OLD","!!!","")</f>
        <v/>
      </c>
      <c r="F849" s="22" t="str">
        <f>IF(OR(E849="",E849="!!!"),"",IF(NOT(ISNA(VLOOKUP(E849,E$1:E848,1,FALSE()))),"OLD",IF(AND(E849&lt;&gt;"",E849&lt;&gt;"!!!"),"NEW","")))</f>
        <v> </v>
      </c>
      <c r="G849" s="23" t="str">
        <f>IF(OR(E849="",E849="!!!"),"",IF(OR(J849=0,AND(J849=1,K849=1),AND(J849=1,I849="SBJ"),AND(J849=1,I849=0)),"?IN_FOCUS",IF(J849&lt;=2,"?ACTIVATED",IF(J849&lt;&gt;"","?FAMILIAR",IF(F849="NEW",IF(ISNA(VLOOKUP(E849,#REF!,1,FALSE())),"?TYPE_IDENTIFIABLE","?REFERENTIAL"),"_")))))</f>
        <v> </v>
      </c>
      <c r="H849" s="24" t="str">
        <f>IF(J849&lt;&gt;1,"",IF(I849="SBJ","CB","?"))</f>
        <v> </v>
      </c>
      <c r="I849" s="25" t="str">
        <f>IF(OR(E849="",E849="!!!",F849="NEW"),"",INDEX(B848:B$2,-1+SUMPRODUCT(MAX(ROW(E848:E$2)*(E849=E848:E$2)))))</f>
        <v> </v>
      </c>
      <c r="J849" s="25" t="str">
        <f>IF(OR(E849="",E849="!!!",F849="NEW"),"",COUNTBLANK(OFFSET(A$1,,,SUMPRODUCT(MAX(ROW(E$2:E849)*(E849=E$2:E849)))))-COUNTBLANK(OFFSET(A$1,,,SUMPRODUCT(MAX(ROW(E$1:E848)*(E2=E$1:E848))))))</f>
        <v> </v>
      </c>
      <c r="K849" s="25" t="str">
        <f>IF(OR(E849="",E849="!!!",F849="NEW"),"",INDEX(J$1:J848,SUMPRODUCT(MAX(ROW(E$1:E848)*(E849=E$1:E848)))))</f>
        <v> </v>
      </c>
      <c r="L849" s="26"/>
    </row>
    <row r="850" spans="1:12">
      <c r="A850" s="20" t="s">
        <v>591</v>
      </c>
      <c r="B850" s="27" t="s">
        <v>256</v>
      </c>
      <c r="C850" s="27" t="s">
        <v>277</v>
      </c>
      <c r="D850" s="27" t="s">
        <v>258</v>
      </c>
      <c r="E850" s="21">
        <f>IF(D850="?OLD","!!!","")</f>
        <v/>
      </c>
      <c r="F850" s="22" t="str">
        <f>IF(OR(E850="",E850="!!!"),"",IF(NOT(ISNA(VLOOKUP(E850,E$1:E849,1,FALSE()))),"OLD",IF(AND(E850&lt;&gt;"",E850&lt;&gt;"!!!"),"NEW","")))</f>
        <v> </v>
      </c>
      <c r="G850" s="23" t="str">
        <f>IF(OR(E850="",E850="!!!"),"",IF(OR(J850=0,AND(J850=1,K850=1),AND(J850=1,I850="SBJ"),AND(J850=1,I850=0)),"?IN_FOCUS",IF(J850&lt;=2,"?ACTIVATED",IF(J850&lt;&gt;"","?FAMILIAR",IF(F850="NEW",IF(ISNA(VLOOKUP(E850,#REF!,1,FALSE())),"?TYPE_IDENTIFIABLE","?REFERENTIAL"),"_")))))</f>
        <v> </v>
      </c>
      <c r="H850" s="24" t="str">
        <f>IF(J850&lt;&gt;1,"",IF(I850="SBJ","CB","?"))</f>
        <v> </v>
      </c>
      <c r="I850" s="25" t="str">
        <f>IF(OR(E850="",E850="!!!",F850="NEW"),"",INDEX(B849:B$2,-1+SUMPRODUCT(MAX(ROW(E849:E$2)*(E850=E849:E$2)))))</f>
        <v> </v>
      </c>
      <c r="J850" s="25" t="str">
        <f>IF(OR(E850="",E850="!!!",F850="NEW"),"",COUNTBLANK(OFFSET(A$1,,,SUMPRODUCT(MAX(ROW(E$2:E850)*(E850=E$2:E850)))))-COUNTBLANK(OFFSET(A$1,,,SUMPRODUCT(MAX(ROW(E$1:E849)*(E2=E$1:E849))))))</f>
        <v> </v>
      </c>
      <c r="K850" s="25" t="str">
        <f>IF(OR(E850="",E850="!!!",F850="NEW"),"",INDEX(J$1:J849,SUMPRODUCT(MAX(ROW(E$1:E849)*(E850=E$1:E849)))))</f>
        <v> </v>
      </c>
      <c r="L850" s="26"/>
    </row>
    <row r="851" spans="1:12">
      <c r="A851" s="20" t="s">
        <v>592</v>
      </c>
      <c r="E851" s="21">
        <f>IF(D851="?OLD","!!!","")</f>
        <v/>
      </c>
      <c r="F851" s="22" t="str">
        <f>IF(OR(E851="",E851="!!!"),"",IF(NOT(ISNA(VLOOKUP(E851,E$1:E850,1,FALSE()))),"OLD",IF(AND(E851&lt;&gt;"",E851&lt;&gt;"!!!"),"NEW","")))</f>
        <v> </v>
      </c>
      <c r="G851" s="23" t="str">
        <f>IF(OR(E851="",E851="!!!"),"",IF(OR(J851=0,AND(J851=1,K851=1),AND(J851=1,I851="SBJ"),AND(J851=1,I851=0)),"?IN_FOCUS",IF(J851&lt;=2,"?ACTIVATED",IF(J851&lt;&gt;"","?FAMILIAR",IF(F851="NEW",IF(ISNA(VLOOKUP(E851,#REF!,1,FALSE())),"?TYPE_IDENTIFIABLE","?REFERENTIAL"),"_")))))</f>
        <v> </v>
      </c>
      <c r="H851" s="24" t="str">
        <f>IF(J851&lt;&gt;1,"",IF(I851="SBJ","CB","?"))</f>
        <v> </v>
      </c>
      <c r="I851" s="25" t="str">
        <f>IF(OR(E851="",E851="!!!",F851="NEW"),"",INDEX(B850:B$2,-1+SUMPRODUCT(MAX(ROW(E850:E$2)*(E851=E850:E$2)))))</f>
        <v> </v>
      </c>
      <c r="J851" s="25" t="str">
        <f>IF(OR(E851="",E851="!!!",F851="NEW"),"",COUNTBLANK(OFFSET(A$1,,,SUMPRODUCT(MAX(ROW(E$2:E851)*(E851=E$2:E851)))))-COUNTBLANK(OFFSET(A$1,,,SUMPRODUCT(MAX(ROW(E$1:E850)*(E2=E$1:E850))))))</f>
        <v> </v>
      </c>
      <c r="K851" s="25" t="str">
        <f>IF(OR(E851="",E851="!!!",F851="NEW"),"",INDEX(J$1:J850,SUMPRODUCT(MAX(ROW(E$1:E850)*(E851=E$1:E850)))))</f>
        <v> </v>
      </c>
      <c r="L851" s="26"/>
    </row>
    <row r="852" spans="1:12">
      <c r="A852" s="20" t="s">
        <v>540</v>
      </c>
      <c r="E852" s="21">
        <f>IF(D852="?OLD","!!!","")</f>
        <v/>
      </c>
      <c r="F852" s="22" t="str">
        <f>IF(OR(E852="",E852="!!!"),"",IF(NOT(ISNA(VLOOKUP(E852,E$1:E851,1,FALSE()))),"OLD",IF(AND(E852&lt;&gt;"",E852&lt;&gt;"!!!"),"NEW","")))</f>
        <v> </v>
      </c>
      <c r="G852" s="23" t="str">
        <f>IF(OR(E852="",E852="!!!"),"",IF(OR(J852=0,AND(J852=1,K852=1),AND(J852=1,I852="SBJ"),AND(J852=1,I852=0)),"?IN_FOCUS",IF(J852&lt;=2,"?ACTIVATED",IF(J852&lt;&gt;"","?FAMILIAR",IF(F852="NEW",IF(ISNA(VLOOKUP(E852,#REF!,1,FALSE())),"?TYPE_IDENTIFIABLE","?REFERENTIAL"),"_")))))</f>
        <v> </v>
      </c>
      <c r="H852" s="24" t="str">
        <f>IF(J852&lt;&gt;1,"",IF(I852="SBJ","CB","?"))</f>
        <v> </v>
      </c>
      <c r="I852" s="25" t="str">
        <f>IF(OR(E852="",E852="!!!",F852="NEW"),"",INDEX(B851:B$2,-1+SUMPRODUCT(MAX(ROW(E851:E$2)*(E852=E851:E$2)))))</f>
        <v> </v>
      </c>
      <c r="J852" s="25" t="str">
        <f>IF(OR(E852="",E852="!!!",F852="NEW"),"",COUNTBLANK(OFFSET(A$1,,,SUMPRODUCT(MAX(ROW(E$2:E852)*(E852=E$2:E852)))))-COUNTBLANK(OFFSET(A$1,,,SUMPRODUCT(MAX(ROW(E$1:E851)*(E2=E$1:E851))))))</f>
        <v> </v>
      </c>
      <c r="K852" s="25" t="str">
        <f>IF(OR(E852="",E852="!!!",F852="NEW"),"",INDEX(J$1:J851,SUMPRODUCT(MAX(ROW(E$1:E851)*(E852=E$1:E851)))))</f>
        <v> </v>
      </c>
      <c r="L852" s="26"/>
    </row>
    <row r="853" spans="1:12">
      <c r="A853" s="20" t="s">
        <v>561</v>
      </c>
      <c r="B853" s="27" t="s">
        <v>267</v>
      </c>
      <c r="C853" s="27" t="s">
        <v>270</v>
      </c>
      <c r="E853" s="21">
        <f>IF(D853="?OLD","!!!","")</f>
        <v/>
      </c>
      <c r="F853" s="22" t="str">
        <f>IF(OR(E853="",E853="!!!"),"",IF(NOT(ISNA(VLOOKUP(E853,E$1:E852,1,FALSE()))),"OLD",IF(AND(E853&lt;&gt;"",E853&lt;&gt;"!!!"),"NEW","")))</f>
        <v> </v>
      </c>
      <c r="G853" s="23" t="str">
        <f>IF(OR(E853="",E853="!!!"),"",IF(OR(J853=0,AND(J853=1,K853=1),AND(J853=1,I853="SBJ"),AND(J853=1,I853=0)),"?IN_FOCUS",IF(J853&lt;=2,"?ACTIVATED",IF(J853&lt;&gt;"","?FAMILIAR",IF(F853="NEW",IF(ISNA(VLOOKUP(E853,#REF!,1,FALSE())),"?TYPE_IDENTIFIABLE","?REFERENTIAL"),"_")))))</f>
        <v> </v>
      </c>
      <c r="H853" s="24" t="str">
        <f>IF(J853&lt;&gt;1,"",IF(I853="SBJ","CB","?"))</f>
        <v> </v>
      </c>
      <c r="I853" s="25" t="str">
        <f>IF(OR(E853="",E853="!!!",F853="NEW"),"",INDEX(B852:B$2,-1+SUMPRODUCT(MAX(ROW(E852:E$2)*(E853=E852:E$2)))))</f>
        <v> </v>
      </c>
      <c r="J853" s="25" t="str">
        <f>IF(OR(E853="",E853="!!!",F853="NEW"),"",COUNTBLANK(OFFSET(A$1,,,SUMPRODUCT(MAX(ROW(E$2:E853)*(E853=E$2:E853)))))-COUNTBLANK(OFFSET(A$1,,,SUMPRODUCT(MAX(ROW(E$1:E852)*(E2=E$1:E852))))))</f>
        <v> </v>
      </c>
      <c r="K853" s="25" t="str">
        <f>IF(OR(E853="",E853="!!!",F853="NEW"),"",INDEX(J$1:J852,SUMPRODUCT(MAX(ROW(E$1:E852)*(E853=E$1:E852)))))</f>
        <v> </v>
      </c>
      <c r="L853" s="26"/>
    </row>
    <row r="854" spans="1:12">
      <c r="A854" s="20" t="s">
        <v>441</v>
      </c>
      <c r="E854" s="21">
        <f>IF(D854="?OLD","!!!","")</f>
        <v/>
      </c>
      <c r="F854" s="22" t="str">
        <f>IF(OR(E854="",E854="!!!"),"",IF(NOT(ISNA(VLOOKUP(E854,E$1:E853,1,FALSE()))),"OLD",IF(AND(E854&lt;&gt;"",E854&lt;&gt;"!!!"),"NEW","")))</f>
        <v> </v>
      </c>
      <c r="G854" s="23" t="str">
        <f>IF(OR(E854="",E854="!!!"),"",IF(OR(J854=0,AND(J854=1,K854=1),AND(J854=1,I854="SBJ"),AND(J854=1,I854=0)),"?IN_FOCUS",IF(J854&lt;=2,"?ACTIVATED",IF(J854&lt;&gt;"","?FAMILIAR",IF(F854="NEW",IF(ISNA(VLOOKUP(E854,#REF!,1,FALSE())),"?TYPE_IDENTIFIABLE","?REFERENTIAL"),"_")))))</f>
        <v> </v>
      </c>
      <c r="H854" s="24" t="str">
        <f>IF(J854&lt;&gt;1,"",IF(I854="SBJ","CB","?"))</f>
        <v> </v>
      </c>
      <c r="I854" s="25" t="str">
        <f>IF(OR(E854="",E854="!!!",F854="NEW"),"",INDEX(B853:B$2,-1+SUMPRODUCT(MAX(ROW(E853:E$2)*(E854=E853:E$2)))))</f>
        <v> </v>
      </c>
      <c r="J854" s="25" t="str">
        <f>IF(OR(E854="",E854="!!!",F854="NEW"),"",COUNTBLANK(OFFSET(A$1,,,SUMPRODUCT(MAX(ROW(E$2:E854)*(E854=E$2:E854)))))-COUNTBLANK(OFFSET(A$1,,,SUMPRODUCT(MAX(ROW(E$1:E853)*(E2=E$1:E853))))))</f>
        <v> </v>
      </c>
      <c r="K854" s="25" t="str">
        <f>IF(OR(E854="",E854="!!!",F854="NEW"),"",INDEX(J$1:J853,SUMPRODUCT(MAX(ROW(E$1:E853)*(E854=E$1:E853)))))</f>
        <v> </v>
      </c>
      <c r="L854" s="26"/>
    </row>
    <row r="855" spans="1:12">
      <c r="A855" s="20" t="s">
        <v>593</v>
      </c>
      <c r="B855" s="27" t="s">
        <v>256</v>
      </c>
      <c r="E855" s="21">
        <f>IF(D855="?OLD","!!!","")</f>
        <v/>
      </c>
      <c r="F855" s="22" t="str">
        <f>IF(OR(E855="",E855="!!!"),"",IF(NOT(ISNA(VLOOKUP(E855,E$1:E854,1,FALSE()))),"OLD",IF(AND(E855&lt;&gt;"",E855&lt;&gt;"!!!"),"NEW","")))</f>
        <v> </v>
      </c>
      <c r="G855" s="23" t="str">
        <f>IF(OR(E855="",E855="!!!"),"",IF(OR(J855=0,AND(J855=1,K855=1),AND(J855=1,I855="SBJ"),AND(J855=1,I855=0)),"?IN_FOCUS",IF(J855&lt;=2,"?ACTIVATED",IF(J855&lt;&gt;"","?FAMILIAR",IF(F855="NEW",IF(ISNA(VLOOKUP(E855,#REF!,1,FALSE())),"?TYPE_IDENTIFIABLE","?REFERENTIAL"),"_")))))</f>
        <v> </v>
      </c>
      <c r="H855" s="24" t="str">
        <f>IF(J855&lt;&gt;1,"",IF(I855="SBJ","CB","?"))</f>
        <v> </v>
      </c>
      <c r="I855" s="25" t="str">
        <f>IF(OR(E855="",E855="!!!",F855="NEW"),"",INDEX(B854:B$2,-1+SUMPRODUCT(MAX(ROW(E854:E$2)*(E855=E854:E$2)))))</f>
        <v> </v>
      </c>
      <c r="J855" s="25" t="str">
        <f>IF(OR(E855="",E855="!!!",F855="NEW"),"",COUNTBLANK(OFFSET(A$1,,,SUMPRODUCT(MAX(ROW(E$2:E855)*(E855=E$2:E855)))))-COUNTBLANK(OFFSET(A$1,,,SUMPRODUCT(MAX(ROW(E$1:E854)*(E2=E$1:E854))))))</f>
        <v> </v>
      </c>
      <c r="K855" s="25" t="str">
        <f>IF(OR(E855="",E855="!!!",F855="NEW"),"",INDEX(J$1:J854,SUMPRODUCT(MAX(ROW(E$1:E854)*(E855=E$1:E854)))))</f>
        <v> </v>
      </c>
      <c r="L855" s="26"/>
    </row>
    <row r="856" spans="1:12">
      <c r="A856" s="20" t="s">
        <v>406</v>
      </c>
      <c r="E856" s="21">
        <f>IF(D856="?OLD","!!!","")</f>
        <v/>
      </c>
      <c r="F856" s="22" t="str">
        <f>IF(OR(E856="",E856="!!!"),"",IF(NOT(ISNA(VLOOKUP(E856,E$1:E855,1,FALSE()))),"OLD",IF(AND(E856&lt;&gt;"",E856&lt;&gt;"!!!"),"NEW","")))</f>
        <v> </v>
      </c>
      <c r="G856" s="23" t="str">
        <f>IF(OR(E856="",E856="!!!"),"",IF(OR(J856=0,AND(J856=1,K856=1),AND(J856=1,I856="SBJ"),AND(J856=1,I856=0)),"?IN_FOCUS",IF(J856&lt;=2,"?ACTIVATED",IF(J856&lt;&gt;"","?FAMILIAR",IF(F856="NEW",IF(ISNA(VLOOKUP(E856,#REF!,1,FALSE())),"?TYPE_IDENTIFIABLE","?REFERENTIAL"),"_")))))</f>
        <v> </v>
      </c>
      <c r="H856" s="24" t="str">
        <f>IF(J856&lt;&gt;1,"",IF(I856="SBJ","CB","?"))</f>
        <v> </v>
      </c>
      <c r="I856" s="25" t="str">
        <f>IF(OR(E856="",E856="!!!",F856="NEW"),"",INDEX(B855:B$2,-1+SUMPRODUCT(MAX(ROW(E855:E$2)*(E856=E855:E$2)))))</f>
        <v> </v>
      </c>
      <c r="J856" s="25" t="str">
        <f>IF(OR(E856="",E856="!!!",F856="NEW"),"",COUNTBLANK(OFFSET(A$1,,,SUMPRODUCT(MAX(ROW(E$2:E856)*(E856=E$2:E856)))))-COUNTBLANK(OFFSET(A$1,,,SUMPRODUCT(MAX(ROW(E$1:E855)*(E2=E$1:E855))))))</f>
        <v> </v>
      </c>
      <c r="K856" s="25" t="str">
        <f>IF(OR(E856="",E856="!!!",F856="NEW"),"",INDEX(J$1:J855,SUMPRODUCT(MAX(ROW(E$1:E855)*(E856=E$1:E855)))))</f>
        <v> </v>
      </c>
      <c r="L856" s="26"/>
    </row>
    <row r="857" spans="1:12">
      <c r="A857" s="20" t="s">
        <v>592</v>
      </c>
      <c r="E857" s="21">
        <f>IF(D857="?OLD","!!!","")</f>
        <v/>
      </c>
      <c r="F857" s="22" t="str">
        <f>IF(OR(E857="",E857="!!!"),"",IF(NOT(ISNA(VLOOKUP(E857,E$1:E856,1,FALSE()))),"OLD",IF(AND(E857&lt;&gt;"",E857&lt;&gt;"!!!"),"NEW","")))</f>
        <v> </v>
      </c>
      <c r="G857" s="23" t="str">
        <f>IF(OR(E857="",E857="!!!"),"",IF(OR(J857=0,AND(J857=1,K857=1),AND(J857=1,I857="SBJ"),AND(J857=1,I857=0)),"?IN_FOCUS",IF(J857&lt;=2,"?ACTIVATED",IF(J857&lt;&gt;"","?FAMILIAR",IF(F857="NEW",IF(ISNA(VLOOKUP(E857,#REF!,1,FALSE())),"?TYPE_IDENTIFIABLE","?REFERENTIAL"),"_")))))</f>
        <v> </v>
      </c>
      <c r="H857" s="24" t="str">
        <f>IF(J857&lt;&gt;1,"",IF(I857="SBJ","CB","?"))</f>
        <v> </v>
      </c>
      <c r="I857" s="25" t="str">
        <f>IF(OR(E857="",E857="!!!",F857="NEW"),"",INDEX(B856:B$2,-1+SUMPRODUCT(MAX(ROW(E856:E$2)*(E857=E856:E$2)))))</f>
        <v> </v>
      </c>
      <c r="J857" s="25" t="str">
        <f>IF(OR(E857="",E857="!!!",F857="NEW"),"",COUNTBLANK(OFFSET(A$1,,,SUMPRODUCT(MAX(ROW(E$2:E857)*(E857=E$2:E857)))))-COUNTBLANK(OFFSET(A$1,,,SUMPRODUCT(MAX(ROW(E$1:E856)*(E2=E$1:E856))))))</f>
        <v> </v>
      </c>
      <c r="K857" s="25" t="str">
        <f>IF(OR(E857="",E857="!!!",F857="NEW"),"",INDEX(J$1:J856,SUMPRODUCT(MAX(ROW(E$1:E856)*(E857=E$1:E856)))))</f>
        <v> </v>
      </c>
      <c r="L857" s="26"/>
    </row>
    <row r="858" spans="1:12">
      <c r="A858" s="20" t="s">
        <v>540</v>
      </c>
      <c r="E858" s="21">
        <f>IF(D858="?OLD","!!!","")</f>
        <v/>
      </c>
      <c r="F858" s="22" t="str">
        <f>IF(OR(E858="",E858="!!!"),"",IF(NOT(ISNA(VLOOKUP(E858,E$1:E857,1,FALSE()))),"OLD",IF(AND(E858&lt;&gt;"",E858&lt;&gt;"!!!"),"NEW","")))</f>
        <v> </v>
      </c>
      <c r="G858" s="23" t="str">
        <f>IF(OR(E858="",E858="!!!"),"",IF(OR(J858=0,AND(J858=1,K858=1),AND(J858=1,I858="SBJ"),AND(J858=1,I858=0)),"?IN_FOCUS",IF(J858&lt;=2,"?ACTIVATED",IF(J858&lt;&gt;"","?FAMILIAR",IF(F858="NEW",IF(ISNA(VLOOKUP(E858,#REF!,1,FALSE())),"?TYPE_IDENTIFIABLE","?REFERENTIAL"),"_")))))</f>
        <v> </v>
      </c>
      <c r="H858" s="24" t="str">
        <f>IF(J858&lt;&gt;1,"",IF(I858="SBJ","CB","?"))</f>
        <v> </v>
      </c>
      <c r="I858" s="25" t="str">
        <f>IF(OR(E858="",E858="!!!",F858="NEW"),"",INDEX(B857:B$2,-1+SUMPRODUCT(MAX(ROW(E857:E$2)*(E858=E857:E$2)))))</f>
        <v> </v>
      </c>
      <c r="J858" s="25" t="str">
        <f>IF(OR(E858="",E858="!!!",F858="NEW"),"",COUNTBLANK(OFFSET(A$1,,,SUMPRODUCT(MAX(ROW(E$2:E858)*(E858=E$2:E858)))))-COUNTBLANK(OFFSET(A$1,,,SUMPRODUCT(MAX(ROW(E$1:E857)*(E2=E$1:E857))))))</f>
        <v> </v>
      </c>
      <c r="K858" s="25" t="str">
        <f>IF(OR(E858="",E858="!!!",F858="NEW"),"",INDEX(J$1:J857,SUMPRODUCT(MAX(ROW(E$1:E857)*(E858=E$1:E857)))))</f>
        <v> </v>
      </c>
      <c r="L858" s="26"/>
    </row>
    <row r="859" spans="1:12">
      <c r="A859" s="20" t="s">
        <v>594</v>
      </c>
      <c r="E859" s="21">
        <f>IF(D859="?OLD","!!!","")</f>
        <v/>
      </c>
      <c r="F859" s="22" t="str">
        <f>IF(OR(E859="",E859="!!!"),"",IF(NOT(ISNA(VLOOKUP(E859,E$1:E858,1,FALSE()))),"OLD",IF(AND(E859&lt;&gt;"",E859&lt;&gt;"!!!"),"NEW","")))</f>
        <v> </v>
      </c>
      <c r="G859" s="23" t="str">
        <f>IF(OR(E859="",E859="!!!"),"",IF(OR(J859=0,AND(J859=1,K859=1),AND(J859=1,I859="SBJ"),AND(J859=1,I859=0)),"?IN_FOCUS",IF(J859&lt;=2,"?ACTIVATED",IF(J859&lt;&gt;"","?FAMILIAR",IF(F859="NEW",IF(ISNA(VLOOKUP(E859,#REF!,1,FALSE())),"?TYPE_IDENTIFIABLE","?REFERENTIAL"),"_")))))</f>
        <v> </v>
      </c>
      <c r="H859" s="24" t="str">
        <f>IF(J859&lt;&gt;1,"",IF(I859="SBJ","CB","?"))</f>
        <v> </v>
      </c>
      <c r="I859" s="25" t="str">
        <f>IF(OR(E859="",E859="!!!",F859="NEW"),"",INDEX(B858:B$2,-1+SUMPRODUCT(MAX(ROW(E858:E$2)*(E859=E858:E$2)))))</f>
        <v> </v>
      </c>
      <c r="J859" s="25" t="str">
        <f>IF(OR(E859="",E859="!!!",F859="NEW"),"",COUNTBLANK(OFFSET(A$1,,,SUMPRODUCT(MAX(ROW(E$2:E859)*(E859=E$2:E859)))))-COUNTBLANK(OFFSET(A$1,,,SUMPRODUCT(MAX(ROW(E$1:E858)*(E2=E$1:E858))))))</f>
        <v> </v>
      </c>
      <c r="K859" s="25" t="str">
        <f>IF(OR(E859="",E859="!!!",F859="NEW"),"",INDEX(J$1:J858,SUMPRODUCT(MAX(ROW(E$1:E858)*(E859=E$1:E858)))))</f>
        <v> </v>
      </c>
      <c r="L859" s="26"/>
    </row>
    <row r="860" spans="1:12">
      <c r="A860" s="20" t="s">
        <v>595</v>
      </c>
      <c r="B860" s="27" t="s">
        <v>267</v>
      </c>
      <c r="C860" s="27" t="s">
        <v>270</v>
      </c>
      <c r="E860" s="21">
        <f>IF(D860="?OLD","!!!","")</f>
        <v/>
      </c>
      <c r="F860" s="22" t="str">
        <f>IF(OR(E860="",E860="!!!"),"",IF(NOT(ISNA(VLOOKUP(E860,E$1:E859,1,FALSE()))),"OLD",IF(AND(E860&lt;&gt;"",E860&lt;&gt;"!!!"),"NEW","")))</f>
        <v> </v>
      </c>
      <c r="G860" s="23" t="str">
        <f>IF(OR(E860="",E860="!!!"),"",IF(OR(J860=0,AND(J860=1,K860=1),AND(J860=1,I860="SBJ"),AND(J860=1,I860=0)),"?IN_FOCUS",IF(J860&lt;=2,"?ACTIVATED",IF(J860&lt;&gt;"","?FAMILIAR",IF(F860="NEW",IF(ISNA(VLOOKUP(E860,#REF!,1,FALSE())),"?TYPE_IDENTIFIABLE","?REFERENTIAL"),"_")))))</f>
        <v> </v>
      </c>
      <c r="H860" s="24" t="str">
        <f>IF(J860&lt;&gt;1,"",IF(I860="SBJ","CB","?"))</f>
        <v> </v>
      </c>
      <c r="I860" s="25" t="str">
        <f>IF(OR(E860="",E860="!!!",F860="NEW"),"",INDEX(B859:B$2,-1+SUMPRODUCT(MAX(ROW(E859:E$2)*(E860=E859:E$2)))))</f>
        <v> </v>
      </c>
      <c r="J860" s="25" t="str">
        <f>IF(OR(E860="",E860="!!!",F860="NEW"),"",COUNTBLANK(OFFSET(A$1,,,SUMPRODUCT(MAX(ROW(E$2:E860)*(E860=E$2:E860)))))-COUNTBLANK(OFFSET(A$1,,,SUMPRODUCT(MAX(ROW(E$1:E859)*(E2=E$1:E859))))))</f>
        <v> </v>
      </c>
      <c r="K860" s="25" t="str">
        <f>IF(OR(E860="",E860="!!!",F860="NEW"),"",INDEX(J$1:J859,SUMPRODUCT(MAX(ROW(E$1:E859)*(E860=E$1:E859)))))</f>
        <v> </v>
      </c>
      <c r="L860" s="26"/>
    </row>
    <row r="861" spans="1:12">
      <c r="A861" s="20" t="s">
        <v>441</v>
      </c>
      <c r="E861" s="21">
        <f>IF(D861="?OLD","!!!","")</f>
        <v/>
      </c>
      <c r="F861" s="22" t="str">
        <f>IF(OR(E861="",E861="!!!"),"",IF(NOT(ISNA(VLOOKUP(E861,E$1:E860,1,FALSE()))),"OLD",IF(AND(E861&lt;&gt;"",E861&lt;&gt;"!!!"),"NEW","")))</f>
        <v> </v>
      </c>
      <c r="G861" s="23" t="str">
        <f>IF(OR(E861="",E861="!!!"),"",IF(OR(J861=0,AND(J861=1,K861=1),AND(J861=1,I861="SBJ"),AND(J861=1,I861=0)),"?IN_FOCUS",IF(J861&lt;=2,"?ACTIVATED",IF(J861&lt;&gt;"","?FAMILIAR",IF(F861="NEW",IF(ISNA(VLOOKUP(E861,#REF!,1,FALSE())),"?TYPE_IDENTIFIABLE","?REFERENTIAL"),"_")))))</f>
        <v> </v>
      </c>
      <c r="H861" s="24" t="str">
        <f>IF(J861&lt;&gt;1,"",IF(I861="SBJ","CB","?"))</f>
        <v> </v>
      </c>
      <c r="I861" s="25" t="str">
        <f>IF(OR(E861="",E861="!!!",F861="NEW"),"",INDEX(B860:B$2,-1+SUMPRODUCT(MAX(ROW(E860:E$2)*(E861=E860:E$2)))))</f>
        <v> </v>
      </c>
      <c r="J861" s="25" t="str">
        <f>IF(OR(E861="",E861="!!!",F861="NEW"),"",COUNTBLANK(OFFSET(A$1,,,SUMPRODUCT(MAX(ROW(E$2:E861)*(E861=E$2:E861)))))-COUNTBLANK(OFFSET(A$1,,,SUMPRODUCT(MAX(ROW(E$1:E860)*(E2=E$1:E860))))))</f>
        <v> </v>
      </c>
      <c r="K861" s="25" t="str">
        <f>IF(OR(E861="",E861="!!!",F861="NEW"),"",INDEX(J$1:J860,SUMPRODUCT(MAX(ROW(E$1:E860)*(E861=E$1:E860)))))</f>
        <v> </v>
      </c>
      <c r="L861" s="26"/>
    </row>
    <row r="862" spans="1:12">
      <c r="A862" s="20" t="s">
        <v>593</v>
      </c>
      <c r="E862" s="21">
        <f>IF(D862="?OLD","!!!","")</f>
        <v/>
      </c>
      <c r="F862" s="22" t="str">
        <f>IF(OR(E862="",E862="!!!"),"",IF(NOT(ISNA(VLOOKUP(E862,E$1:E861,1,FALSE()))),"OLD",IF(AND(E862&lt;&gt;"",E862&lt;&gt;"!!!"),"NEW","")))</f>
        <v> </v>
      </c>
      <c r="G862" s="23" t="str">
        <f>IF(OR(E862="",E862="!!!"),"",IF(OR(J862=0,AND(J862=1,K862=1),AND(J862=1,I862="SBJ"),AND(J862=1,I862=0)),"?IN_FOCUS",IF(J862&lt;=2,"?ACTIVATED",IF(J862&lt;&gt;"","?FAMILIAR",IF(F862="NEW",IF(ISNA(VLOOKUP(E862,#REF!,1,FALSE())),"?TYPE_IDENTIFIABLE","?REFERENTIAL"),"_")))))</f>
        <v> </v>
      </c>
      <c r="H862" s="24" t="str">
        <f>IF(J862&lt;&gt;1,"",IF(I862="SBJ","CB","?"))</f>
        <v> </v>
      </c>
      <c r="I862" s="25" t="str">
        <f>IF(OR(E862="",E862="!!!",F862="NEW"),"",INDEX(B861:B$2,-1+SUMPRODUCT(MAX(ROW(E861:E$2)*(E862=E861:E$2)))))</f>
        <v> </v>
      </c>
      <c r="J862" s="25" t="str">
        <f>IF(OR(E862="",E862="!!!",F862="NEW"),"",COUNTBLANK(OFFSET(A$1,,,SUMPRODUCT(MAX(ROW(E$2:E862)*(E862=E$2:E862)))))-COUNTBLANK(OFFSET(A$1,,,SUMPRODUCT(MAX(ROW(E$1:E861)*(E2=E$1:E861))))))</f>
        <v> </v>
      </c>
      <c r="K862" s="25" t="str">
        <f>IF(OR(E862="",E862="!!!",F862="NEW"),"",INDEX(J$1:J861,SUMPRODUCT(MAX(ROW(E$1:E861)*(E862=E$1:E861)))))</f>
        <v> </v>
      </c>
      <c r="L862" s="26"/>
    </row>
    <row r="863" spans="1:12">
      <c r="A863" s="20" t="s">
        <v>271</v>
      </c>
      <c r="E863" s="21">
        <f>IF(D863="?OLD","!!!","")</f>
        <v/>
      </c>
      <c r="F863" s="22" t="str">
        <f>IF(OR(E863="",E863="!!!"),"",IF(NOT(ISNA(VLOOKUP(E863,E$1:E862,1,FALSE()))),"OLD",IF(AND(E863&lt;&gt;"",E863&lt;&gt;"!!!"),"NEW","")))</f>
        <v> </v>
      </c>
      <c r="G863" s="23" t="str">
        <f>IF(OR(E863="",E863="!!!"),"",IF(OR(J863=0,AND(J863=1,K863=1),AND(J863=1,I863="SBJ"),AND(J863=1,I863=0)),"?IN_FOCUS",IF(J863&lt;=2,"?ACTIVATED",IF(J863&lt;&gt;"","?FAMILIAR",IF(F863="NEW",IF(ISNA(VLOOKUP(E863,#REF!,1,FALSE())),"?TYPE_IDENTIFIABLE","?REFERENTIAL"),"_")))))</f>
        <v> </v>
      </c>
      <c r="H863" s="24" t="str">
        <f>IF(J863&lt;&gt;1,"",IF(I863="SBJ","CB","?"))</f>
        <v> </v>
      </c>
      <c r="I863" s="25" t="str">
        <f>IF(OR(E863="",E863="!!!",F863="NEW"),"",INDEX(B862:B$2,-1+SUMPRODUCT(MAX(ROW(E862:E$2)*(E863=E862:E$2)))))</f>
        <v> </v>
      </c>
      <c r="J863" s="25" t="str">
        <f>IF(OR(E863="",E863="!!!",F863="NEW"),"",COUNTBLANK(OFFSET(A$1,,,SUMPRODUCT(MAX(ROW(E$2:E863)*(E863=E$2:E863)))))-COUNTBLANK(OFFSET(A$1,,,SUMPRODUCT(MAX(ROW(E$1:E862)*(E2=E$1:E862))))))</f>
        <v> </v>
      </c>
      <c r="K863" s="25" t="str">
        <f>IF(OR(E863="",E863="!!!",F863="NEW"),"",INDEX(J$1:J862,SUMPRODUCT(MAX(ROW(E$1:E862)*(E863=E$1:E862)))))</f>
        <v> </v>
      </c>
      <c r="L863" s="26"/>
    </row>
    <row r="864" spans="1:12">
      <c r="A864" s="20" t="s">
        <v>596</v>
      </c>
      <c r="B864" s="27" t="s">
        <v>256</v>
      </c>
      <c r="C864" s="27" t="s">
        <v>268</v>
      </c>
      <c r="E864" s="21">
        <f>IF(D864="?OLD","!!!","")</f>
        <v/>
      </c>
      <c r="F864" s="22" t="str">
        <f>IF(OR(E864="",E864="!!!"),"",IF(NOT(ISNA(VLOOKUP(E864,E$1:E863,1,FALSE()))),"OLD",IF(AND(E864&lt;&gt;"",E864&lt;&gt;"!!!"),"NEW","")))</f>
        <v> </v>
      </c>
      <c r="G864" s="23" t="str">
        <f>IF(OR(E864="",E864="!!!"),"",IF(OR(J864=0,AND(J864=1,K864=1),AND(J864=1,I864="SBJ"),AND(J864=1,I864=0)),"?IN_FOCUS",IF(J864&lt;=2,"?ACTIVATED",IF(J864&lt;&gt;"","?FAMILIAR",IF(F864="NEW",IF(ISNA(VLOOKUP(E864,#REF!,1,FALSE())),"?TYPE_IDENTIFIABLE","?REFERENTIAL"),"_")))))</f>
        <v> </v>
      </c>
      <c r="H864" s="24" t="str">
        <f>IF(J864&lt;&gt;1,"",IF(I864="SBJ","CB","?"))</f>
        <v> </v>
      </c>
      <c r="I864" s="25" t="str">
        <f>IF(OR(E864="",E864="!!!",F864="NEW"),"",INDEX(B863:B$2,-1+SUMPRODUCT(MAX(ROW(E863:E$2)*(E864=E863:E$2)))))</f>
        <v> </v>
      </c>
      <c r="J864" s="25" t="str">
        <f>IF(OR(E864="",E864="!!!",F864="NEW"),"",COUNTBLANK(OFFSET(A$1,,,SUMPRODUCT(MAX(ROW(E$2:E864)*(E864=E$2:E864)))))-COUNTBLANK(OFFSET(A$1,,,SUMPRODUCT(MAX(ROW(E$1:E863)*(E2=E$1:E863))))))</f>
        <v> </v>
      </c>
      <c r="K864" s="25" t="str">
        <f>IF(OR(E864="",E864="!!!",F864="NEW"),"",INDEX(J$1:J863,SUMPRODUCT(MAX(ROW(E$1:E863)*(E864=E$1:E863)))))</f>
        <v> </v>
      </c>
      <c r="L864" s="26"/>
    </row>
    <row r="865" spans="1:12">
      <c r="A865" s="20" t="s">
        <v>597</v>
      </c>
      <c r="E865" s="21">
        <f>IF(D865="?OLD","!!!","")</f>
        <v/>
      </c>
      <c r="F865" s="22" t="str">
        <f>IF(OR(E865="",E865="!!!"),"",IF(NOT(ISNA(VLOOKUP(E865,E$1:E864,1,FALSE()))),"OLD",IF(AND(E865&lt;&gt;"",E865&lt;&gt;"!!!"),"NEW","")))</f>
        <v> </v>
      </c>
      <c r="G865" s="23" t="str">
        <f>IF(OR(E865="",E865="!!!"),"",IF(OR(J865=0,AND(J865=1,K865=1),AND(J865=1,I865="SBJ"),AND(J865=1,I865=0)),"?IN_FOCUS",IF(J865&lt;=2,"?ACTIVATED",IF(J865&lt;&gt;"","?FAMILIAR",IF(F865="NEW",IF(ISNA(VLOOKUP(E865,#REF!,1,FALSE())),"?TYPE_IDENTIFIABLE","?REFERENTIAL"),"_")))))</f>
        <v> </v>
      </c>
      <c r="H865" s="24" t="str">
        <f>IF(J865&lt;&gt;1,"",IF(I865="SBJ","CB","?"))</f>
        <v> </v>
      </c>
      <c r="I865" s="25" t="str">
        <f>IF(OR(E865="",E865="!!!",F865="NEW"),"",INDEX(B864:B$2,-1+SUMPRODUCT(MAX(ROW(E864:E$2)*(E865=E864:E$2)))))</f>
        <v> </v>
      </c>
      <c r="J865" s="25" t="str">
        <f>IF(OR(E865="",E865="!!!",F865="NEW"),"",COUNTBLANK(OFFSET(A$1,,,SUMPRODUCT(MAX(ROW(E$2:E865)*(E865=E$2:E865)))))-COUNTBLANK(OFFSET(A$1,,,SUMPRODUCT(MAX(ROW(E$1:E864)*(E2=E$1:E864))))))</f>
        <v> </v>
      </c>
      <c r="K865" s="25" t="str">
        <f>IF(OR(E865="",E865="!!!",F865="NEW"),"",INDEX(J$1:J864,SUMPRODUCT(MAX(ROW(E$1:E864)*(E865=E$1:E864)))))</f>
        <v> </v>
      </c>
      <c r="L865" s="26"/>
    </row>
    <row r="866" spans="1:12">
      <c r="A866" s="20" t="s">
        <v>271</v>
      </c>
      <c r="E866" s="21">
        <f>IF(D866="?OLD","!!!","")</f>
        <v/>
      </c>
      <c r="F866" s="22" t="str">
        <f>IF(OR(E866="",E866="!!!"),"",IF(NOT(ISNA(VLOOKUP(E866,E$1:E865,1,FALSE()))),"OLD",IF(AND(E866&lt;&gt;"",E866&lt;&gt;"!!!"),"NEW","")))</f>
        <v> </v>
      </c>
      <c r="G866" s="23" t="str">
        <f>IF(OR(E866="",E866="!!!"),"",IF(OR(J866=0,AND(J866=1,K866=1),AND(J866=1,I866="SBJ"),AND(J866=1,I866=0)),"?IN_FOCUS",IF(J866&lt;=2,"?ACTIVATED",IF(J866&lt;&gt;"","?FAMILIAR",IF(F866="NEW",IF(ISNA(VLOOKUP(E866,#REF!,1,FALSE())),"?TYPE_IDENTIFIABLE","?REFERENTIAL"),"_")))))</f>
        <v> </v>
      </c>
      <c r="H866" s="24" t="str">
        <f>IF(J866&lt;&gt;1,"",IF(I866="SBJ","CB","?"))</f>
        <v> </v>
      </c>
      <c r="I866" s="25" t="str">
        <f>IF(OR(E866="",E866="!!!",F866="NEW"),"",INDEX(B865:B$2,-1+SUMPRODUCT(MAX(ROW(E865:E$2)*(E866=E865:E$2)))))</f>
        <v> </v>
      </c>
      <c r="J866" s="25" t="str">
        <f>IF(OR(E866="",E866="!!!",F866="NEW"),"",COUNTBLANK(OFFSET(A$1,,,SUMPRODUCT(MAX(ROW(E$2:E866)*(E866=E$2:E866)))))-COUNTBLANK(OFFSET(A$1,,,SUMPRODUCT(MAX(ROW(E$1:E865)*(E2=E$1:E865))))))</f>
        <v> </v>
      </c>
      <c r="K866" s="25" t="str">
        <f>IF(OR(E866="",E866="!!!",F866="NEW"),"",INDEX(J$1:J865,SUMPRODUCT(MAX(ROW(E$1:E865)*(E866=E$1:E865)))))</f>
        <v> </v>
      </c>
      <c r="L866" s="26"/>
    </row>
    <row r="867" spans="1:12">
      <c r="A867" s="20" t="s">
        <v>406</v>
      </c>
      <c r="E867" s="21">
        <f>IF(D867="?OLD","!!!","")</f>
        <v/>
      </c>
      <c r="F867" s="22" t="str">
        <f>IF(OR(E867="",E867="!!!"),"",IF(NOT(ISNA(VLOOKUP(E867,E$1:E866,1,FALSE()))),"OLD",IF(AND(E867&lt;&gt;"",E867&lt;&gt;"!!!"),"NEW","")))</f>
        <v> </v>
      </c>
      <c r="G867" s="23" t="str">
        <f>IF(OR(E867="",E867="!!!"),"",IF(OR(J867=0,AND(J867=1,K867=1),AND(J867=1,I867="SBJ"),AND(J867=1,I867=0)),"?IN_FOCUS",IF(J867&lt;=2,"?ACTIVATED",IF(J867&lt;&gt;"","?FAMILIAR",IF(F867="NEW",IF(ISNA(VLOOKUP(E867,#REF!,1,FALSE())),"?TYPE_IDENTIFIABLE","?REFERENTIAL"),"_")))))</f>
        <v> </v>
      </c>
      <c r="H867" s="24" t="str">
        <f>IF(J867&lt;&gt;1,"",IF(I867="SBJ","CB","?"))</f>
        <v> </v>
      </c>
      <c r="I867" s="25" t="str">
        <f>IF(OR(E867="",E867="!!!",F867="NEW"),"",INDEX(B866:B$2,-1+SUMPRODUCT(MAX(ROW(E866:E$2)*(E867=E866:E$2)))))</f>
        <v> </v>
      </c>
      <c r="J867" s="25" t="str">
        <f>IF(OR(E867="",E867="!!!",F867="NEW"),"",COUNTBLANK(OFFSET(A$1,,,SUMPRODUCT(MAX(ROW(E$2:E867)*(E867=E$2:E867)))))-COUNTBLANK(OFFSET(A$1,,,SUMPRODUCT(MAX(ROW(E$1:E866)*(E2=E$1:E866))))))</f>
        <v> </v>
      </c>
      <c r="K867" s="25" t="str">
        <f>IF(OR(E867="",E867="!!!",F867="NEW"),"",INDEX(J$1:J866,SUMPRODUCT(MAX(ROW(E$1:E866)*(E867=E$1:E866)))))</f>
        <v> </v>
      </c>
      <c r="L867" s="26"/>
    </row>
    <row r="868" spans="1:12">
      <c r="A868" s="20" t="s">
        <v>592</v>
      </c>
      <c r="E868" s="21">
        <f>IF(D868="?OLD","!!!","")</f>
        <v/>
      </c>
      <c r="F868" s="22" t="str">
        <f>IF(OR(E868="",E868="!!!"),"",IF(NOT(ISNA(VLOOKUP(E868,E$1:E867,1,FALSE()))),"OLD",IF(AND(E868&lt;&gt;"",E868&lt;&gt;"!!!"),"NEW","")))</f>
        <v> </v>
      </c>
      <c r="G868" s="23" t="str">
        <f>IF(OR(E868="",E868="!!!"),"",IF(OR(J868=0,AND(J868=1,K868=1),AND(J868=1,I868="SBJ"),AND(J868=1,I868=0)),"?IN_FOCUS",IF(J868&lt;=2,"?ACTIVATED",IF(J868&lt;&gt;"","?FAMILIAR",IF(F868="NEW",IF(ISNA(VLOOKUP(E868,#REF!,1,FALSE())),"?TYPE_IDENTIFIABLE","?REFERENTIAL"),"_")))))</f>
        <v> </v>
      </c>
      <c r="H868" s="24" t="str">
        <f>IF(J868&lt;&gt;1,"",IF(I868="SBJ","CB","?"))</f>
        <v> </v>
      </c>
      <c r="I868" s="25" t="str">
        <f>IF(OR(E868="",E868="!!!",F868="NEW"),"",INDEX(B867:B$2,-1+SUMPRODUCT(MAX(ROW(E867:E$2)*(E868=E867:E$2)))))</f>
        <v> </v>
      </c>
      <c r="J868" s="25" t="str">
        <f>IF(OR(E868="",E868="!!!",F868="NEW"),"",COUNTBLANK(OFFSET(A$1,,,SUMPRODUCT(MAX(ROW(E$2:E868)*(E868=E$2:E868)))))-COUNTBLANK(OFFSET(A$1,,,SUMPRODUCT(MAX(ROW(E$1:E867)*(E2=E$1:E867))))))</f>
        <v> </v>
      </c>
      <c r="K868" s="25" t="str">
        <f>IF(OR(E868="",E868="!!!",F868="NEW"),"",INDEX(J$1:J867,SUMPRODUCT(MAX(ROW(E$1:E867)*(E868=E$1:E867)))))</f>
        <v> </v>
      </c>
      <c r="L868" s="26"/>
    </row>
    <row r="869" spans="1:12">
      <c r="A869" s="20" t="s">
        <v>540</v>
      </c>
      <c r="E869" s="21">
        <f>IF(D869="?OLD","!!!","")</f>
        <v/>
      </c>
      <c r="F869" s="22" t="str">
        <f>IF(OR(E869="",E869="!!!"),"",IF(NOT(ISNA(VLOOKUP(E869,E$1:E868,1,FALSE()))),"OLD",IF(AND(E869&lt;&gt;"",E869&lt;&gt;"!!!"),"NEW","")))</f>
        <v> </v>
      </c>
      <c r="G869" s="23" t="str">
        <f>IF(OR(E869="",E869="!!!"),"",IF(OR(J869=0,AND(J869=1,K869=1),AND(J869=1,I869="SBJ"),AND(J869=1,I869=0)),"?IN_FOCUS",IF(J869&lt;=2,"?ACTIVATED",IF(J869&lt;&gt;"","?FAMILIAR",IF(F869="NEW",IF(ISNA(VLOOKUP(E869,#REF!,1,FALSE())),"?TYPE_IDENTIFIABLE","?REFERENTIAL"),"_")))))</f>
        <v> </v>
      </c>
      <c r="H869" s="24" t="str">
        <f>IF(J869&lt;&gt;1,"",IF(I869="SBJ","CB","?"))</f>
        <v> </v>
      </c>
      <c r="I869" s="25" t="str">
        <f>IF(OR(E869="",E869="!!!",F869="NEW"),"",INDEX(B868:B$2,-1+SUMPRODUCT(MAX(ROW(E868:E$2)*(E869=E868:E$2)))))</f>
        <v> </v>
      </c>
      <c r="J869" s="25" t="str">
        <f>IF(OR(E869="",E869="!!!",F869="NEW"),"",COUNTBLANK(OFFSET(A$1,,,SUMPRODUCT(MAX(ROW(E$2:E869)*(E869=E$2:E869)))))-COUNTBLANK(OFFSET(A$1,,,SUMPRODUCT(MAX(ROW(E$1:E868)*(E2=E$1:E868))))))</f>
        <v> </v>
      </c>
      <c r="K869" s="25" t="str">
        <f>IF(OR(E869="",E869="!!!",F869="NEW"),"",INDEX(J$1:J868,SUMPRODUCT(MAX(ROW(E$1:E868)*(E869=E$1:E868)))))</f>
        <v> </v>
      </c>
      <c r="L869" s="26"/>
    </row>
    <row r="870" spans="1:12">
      <c r="A870" s="20" t="s">
        <v>598</v>
      </c>
      <c r="B870" s="27" t="s">
        <v>267</v>
      </c>
      <c r="C870" s="27" t="s">
        <v>270</v>
      </c>
      <c r="E870" s="21">
        <f>IF(D870="?OLD","!!!","")</f>
        <v/>
      </c>
      <c r="F870" s="22" t="str">
        <f>IF(OR(E870="",E870="!!!"),"",IF(NOT(ISNA(VLOOKUP(E870,E$1:E869,1,FALSE()))),"OLD",IF(AND(E870&lt;&gt;"",E870&lt;&gt;"!!!"),"NEW","")))</f>
        <v> </v>
      </c>
      <c r="G870" s="23" t="str">
        <f>IF(OR(E870="",E870="!!!"),"",IF(OR(J870=0,AND(J870=1,K870=1),AND(J870=1,I870="SBJ"),AND(J870=1,I870=0)),"?IN_FOCUS",IF(J870&lt;=2,"?ACTIVATED",IF(J870&lt;&gt;"","?FAMILIAR",IF(F870="NEW",IF(ISNA(VLOOKUP(E870,#REF!,1,FALSE())),"?TYPE_IDENTIFIABLE","?REFERENTIAL"),"_")))))</f>
        <v> </v>
      </c>
      <c r="H870" s="24" t="str">
        <f>IF(J870&lt;&gt;1,"",IF(I870="SBJ","CB","?"))</f>
        <v> </v>
      </c>
      <c r="I870" s="25" t="str">
        <f>IF(OR(E870="",E870="!!!",F870="NEW"),"",INDEX(B869:B$2,-1+SUMPRODUCT(MAX(ROW(E869:E$2)*(E870=E869:E$2)))))</f>
        <v> </v>
      </c>
      <c r="J870" s="25" t="str">
        <f>IF(OR(E870="",E870="!!!",F870="NEW"),"",COUNTBLANK(OFFSET(A$1,,,SUMPRODUCT(MAX(ROW(E$2:E870)*(E870=E$2:E870)))))-COUNTBLANK(OFFSET(A$1,,,SUMPRODUCT(MAX(ROW(E$1:E869)*(E2=E$1:E869))))))</f>
        <v> </v>
      </c>
      <c r="K870" s="25" t="str">
        <f>IF(OR(E870="",E870="!!!",F870="NEW"),"",INDEX(J$1:J869,SUMPRODUCT(MAX(ROW(E$1:E869)*(E870=E$1:E869)))))</f>
        <v> </v>
      </c>
      <c r="L870" s="26"/>
    </row>
    <row r="871" spans="1:12">
      <c r="A871" s="20" t="s">
        <v>16</v>
      </c>
      <c r="E871" s="21">
        <f>IF(D871="?OLD","!!!","")</f>
        <v/>
      </c>
      <c r="F871" s="22" t="str">
        <f>IF(OR(E871="",E871="!!!"),"",IF(NOT(ISNA(VLOOKUP(E871,E$1:E870,1,FALSE()))),"OLD",IF(AND(E871&lt;&gt;"",E871&lt;&gt;"!!!"),"NEW","")))</f>
        <v> </v>
      </c>
      <c r="G871" s="23" t="str">
        <f>IF(OR(E871="",E871="!!!"),"",IF(OR(J871=0,AND(J871=1,K871=1),AND(J871=1,I871="SBJ"),AND(J871=1,I871=0)),"?IN_FOCUS",IF(J871&lt;=2,"?ACTIVATED",IF(J871&lt;&gt;"","?FAMILIAR",IF(F871="NEW",IF(ISNA(VLOOKUP(E871,#REF!,1,FALSE())),"?TYPE_IDENTIFIABLE","?REFERENTIAL"),"_")))))</f>
        <v> </v>
      </c>
      <c r="H871" s="24" t="str">
        <f>IF(J871&lt;&gt;1,"",IF(I871="SBJ","CB","?"))</f>
        <v> </v>
      </c>
      <c r="I871" s="25" t="str">
        <f>IF(OR(E871="",E871="!!!",F871="NEW"),"",INDEX(B870:B$2,-1+SUMPRODUCT(MAX(ROW(E870:E$2)*(E871=E870:E$2)))))</f>
        <v> </v>
      </c>
      <c r="J871" s="25" t="str">
        <f>IF(OR(E871="",E871="!!!",F871="NEW"),"",COUNTBLANK(OFFSET(A$1,,,SUMPRODUCT(MAX(ROW(E$2:E871)*(E871=E$2:E871)))))-COUNTBLANK(OFFSET(A$1,,,SUMPRODUCT(MAX(ROW(E$1:E870)*(E2=E$1:E870))))))</f>
        <v> </v>
      </c>
      <c r="K871" s="25" t="str">
        <f>IF(OR(E871="",E871="!!!",F871="NEW"),"",INDEX(J$1:J870,SUMPRODUCT(MAX(ROW(E$1:E870)*(E871=E$1:E870)))))</f>
        <v> </v>
      </c>
      <c r="L871" s="26"/>
    </row>
    <row r="872" spans="1:12">
      <c r="A872" s="20" t="s">
        <v>362</v>
      </c>
      <c r="E872" s="21">
        <f>IF(D872="?OLD","!!!","")</f>
        <v/>
      </c>
      <c r="F872" s="22" t="str">
        <f>IF(OR(E872="",E872="!!!"),"",IF(NOT(ISNA(VLOOKUP(E872,E$1:E871,1,FALSE()))),"OLD",IF(AND(E872&lt;&gt;"",E872&lt;&gt;"!!!"),"NEW","")))</f>
        <v> </v>
      </c>
      <c r="G872" s="23" t="str">
        <f>IF(OR(E872="",E872="!!!"),"",IF(OR(J872=0,AND(J872=1,K872=1),AND(J872=1,I872="SBJ"),AND(J872=1,I872=0)),"?IN_FOCUS",IF(J872&lt;=2,"?ACTIVATED",IF(J872&lt;&gt;"","?FAMILIAR",IF(F872="NEW",IF(ISNA(VLOOKUP(E872,#REF!,1,FALSE())),"?TYPE_IDENTIFIABLE","?REFERENTIAL"),"_")))))</f>
        <v> </v>
      </c>
      <c r="H872" s="24" t="str">
        <f>IF(J872&lt;&gt;1,"",IF(I872="SBJ","CB","?"))</f>
        <v> </v>
      </c>
      <c r="I872" s="25" t="str">
        <f>IF(OR(E872="",E872="!!!",F872="NEW"),"",INDEX(B871:B$2,-1+SUMPRODUCT(MAX(ROW(E871:E$2)*(E872=E871:E$2)))))</f>
        <v> </v>
      </c>
      <c r="J872" s="25" t="str">
        <f>IF(OR(E872="",E872="!!!",F872="NEW"),"",COUNTBLANK(OFFSET(A$1,,,SUMPRODUCT(MAX(ROW(E$2:E872)*(E872=E$2:E872)))))-COUNTBLANK(OFFSET(A$1,,,SUMPRODUCT(MAX(ROW(E$1:E871)*(E2=E$1:E871))))))</f>
        <v> </v>
      </c>
      <c r="K872" s="25" t="str">
        <f>IF(OR(E872="",E872="!!!",F872="NEW"),"",INDEX(J$1:J871,SUMPRODUCT(MAX(ROW(E$1:E871)*(E872=E$1:E871)))))</f>
        <v> </v>
      </c>
      <c r="L872" s="26"/>
    </row>
    <row r="873" spans="1:12">
      <c r="A873" s="20" t="s">
        <v>235</v>
      </c>
      <c r="E873" s="21">
        <f>IF(D873="?OLD","!!!","")</f>
        <v/>
      </c>
      <c r="F873" s="22" t="str">
        <f>IF(OR(E873="",E873="!!!"),"",IF(NOT(ISNA(VLOOKUP(E873,E$1:E872,1,FALSE()))),"OLD",IF(AND(E873&lt;&gt;"",E873&lt;&gt;"!!!"),"NEW","")))</f>
        <v> </v>
      </c>
      <c r="G873" s="23" t="str">
        <f>IF(OR(E873="",E873="!!!"),"",IF(OR(J873=0,AND(J873=1,K873=1),AND(J873=1,I873="SBJ"),AND(J873=1,I873=0)),"?IN_FOCUS",IF(J873&lt;=2,"?ACTIVATED",IF(J873&lt;&gt;"","?FAMILIAR",IF(F873="NEW",IF(ISNA(VLOOKUP(E873,#REF!,1,FALSE())),"?TYPE_IDENTIFIABLE","?REFERENTIAL"),"_")))))</f>
        <v> </v>
      </c>
      <c r="H873" s="24" t="str">
        <f>IF(J873&lt;&gt;1,"",IF(I873="SBJ","CB","?"))</f>
        <v> </v>
      </c>
      <c r="I873" s="25" t="str">
        <f>IF(OR(E873="",E873="!!!",F873="NEW"),"",INDEX(B872:B$2,-1+SUMPRODUCT(MAX(ROW(E872:E$2)*(E873=E872:E$2)))))</f>
        <v> </v>
      </c>
      <c r="J873" s="25" t="str">
        <f>IF(OR(E873="",E873="!!!",F873="NEW"),"",COUNTBLANK(OFFSET(A$1,,,SUMPRODUCT(MAX(ROW(E$2:E873)*(E873=E$2:E873)))))-COUNTBLANK(OFFSET(A$1,,,SUMPRODUCT(MAX(ROW(E$1:E872)*(E2=E$1:E872))))))</f>
        <v> </v>
      </c>
      <c r="K873" s="25" t="str">
        <f>IF(OR(E873="",E873="!!!",F873="NEW"),"",INDEX(J$1:J872,SUMPRODUCT(MAX(ROW(E$1:E872)*(E873=E$1:E872)))))</f>
        <v> </v>
      </c>
      <c r="L873" s="26"/>
    </row>
    <row r="874" spans="1:12">
      <c r="A874" s="20" t="s">
        <v>450</v>
      </c>
      <c r="B874" s="27" t="s">
        <v>328</v>
      </c>
      <c r="C874" s="27" t="s">
        <v>284</v>
      </c>
      <c r="D874" s="27" t="s">
        <v>258</v>
      </c>
      <c r="E874" s="21">
        <f>IF(D874="?OLD","!!!","")</f>
        <v/>
      </c>
      <c r="F874" s="22" t="str">
        <f>IF(OR(E874="",E874="!!!"),"",IF(NOT(ISNA(VLOOKUP(E874,E$1:E873,1,FALSE()))),"OLD",IF(AND(E874&lt;&gt;"",E874&lt;&gt;"!!!"),"NEW","")))</f>
        <v> </v>
      </c>
      <c r="G874" s="23" t="str">
        <f>IF(OR(E874="",E874="!!!"),"",IF(OR(J874=0,AND(J874=1,K874=1),AND(J874=1,I874="SBJ"),AND(J874=1,I874=0)),"?IN_FOCUS",IF(J874&lt;=2,"?ACTIVATED",IF(J874&lt;&gt;"","?FAMILIAR",IF(F874="NEW",IF(ISNA(VLOOKUP(E874,#REF!,1,FALSE())),"?TYPE_IDENTIFIABLE","?REFERENTIAL"),"_")))))</f>
        <v> </v>
      </c>
      <c r="H874" s="24" t="str">
        <f>IF(J874&lt;&gt;1,"",IF(I874="SBJ","CB","?"))</f>
        <v> </v>
      </c>
      <c r="I874" s="25" t="str">
        <f>IF(OR(E874="",E874="!!!",F874="NEW"),"",INDEX(B873:B$2,-1+SUMPRODUCT(MAX(ROW(E873:E$2)*(E874=E873:E$2)))))</f>
        <v> </v>
      </c>
      <c r="J874" s="25" t="str">
        <f>IF(OR(E874="",E874="!!!",F874="NEW"),"",COUNTBLANK(OFFSET(A$1,,,SUMPRODUCT(MAX(ROW(E$2:E874)*(E874=E$2:E874)))))-COUNTBLANK(OFFSET(A$1,,,SUMPRODUCT(MAX(ROW(E$1:E873)*(E2=E$1:E873))))))</f>
        <v> </v>
      </c>
      <c r="K874" s="25" t="str">
        <f>IF(OR(E874="",E874="!!!",F874="NEW"),"",INDEX(J$1:J873,SUMPRODUCT(MAX(ROW(E$1:E873)*(E874=E$1:E873)))))</f>
        <v> </v>
      </c>
      <c r="L874" s="26"/>
    </row>
    <row r="875" spans="1:12">
      <c r="A875" s="20" t="s">
        <v>599</v>
      </c>
      <c r="B875" s="27" t="s">
        <v>256</v>
      </c>
      <c r="C875" s="27" t="s">
        <v>287</v>
      </c>
      <c r="D875" s="27" t="s">
        <v>258</v>
      </c>
      <c r="E875" s="21">
        <f>IF(D875="?OLD","!!!","")</f>
        <v/>
      </c>
      <c r="F875" s="22" t="str">
        <f>IF(OR(E875="",E875="!!!"),"",IF(NOT(ISNA(VLOOKUP(E875,E$1:E874,1,FALSE()))),"OLD",IF(AND(E875&lt;&gt;"",E875&lt;&gt;"!!!"),"NEW","")))</f>
        <v> </v>
      </c>
      <c r="G875" s="23" t="str">
        <f>IF(OR(E875="",E875="!!!"),"",IF(OR(J875=0,AND(J875=1,K875=1),AND(J875=1,I875="SBJ"),AND(J875=1,I875=0)),"?IN_FOCUS",IF(J875&lt;=2,"?ACTIVATED",IF(J875&lt;&gt;"","?FAMILIAR",IF(F875="NEW",IF(ISNA(VLOOKUP(E875,#REF!,1,FALSE())),"?TYPE_IDENTIFIABLE","?REFERENTIAL"),"_")))))</f>
        <v> </v>
      </c>
      <c r="H875" s="24" t="str">
        <f>IF(J875&lt;&gt;1,"",IF(I875="SBJ","CB","?"))</f>
        <v> </v>
      </c>
      <c r="I875" s="25" t="str">
        <f>IF(OR(E875="",E875="!!!",F875="NEW"),"",INDEX(B874:B$2,-1+SUMPRODUCT(MAX(ROW(E874:E$2)*(E875=E874:E$2)))))</f>
        <v> </v>
      </c>
      <c r="J875" s="25" t="str">
        <f>IF(OR(E875="",E875="!!!",F875="NEW"),"",COUNTBLANK(OFFSET(A$1,,,SUMPRODUCT(MAX(ROW(E$2:E875)*(E875=E$2:E875)))))-COUNTBLANK(OFFSET(A$1,,,SUMPRODUCT(MAX(ROW(E$1:E874)*(E2=E$1:E874))))))</f>
        <v> </v>
      </c>
      <c r="K875" s="25" t="str">
        <f>IF(OR(E875="",E875="!!!",F875="NEW"),"",INDEX(J$1:J874,SUMPRODUCT(MAX(ROW(E$1:E874)*(E875=E$1:E874)))))</f>
        <v> </v>
      </c>
      <c r="L875" s="26"/>
    </row>
    <row r="876" spans="1:12">
      <c r="A876" s="20" t="s">
        <v>16</v>
      </c>
      <c r="E876" s="21">
        <f>IF(D876="?OLD","!!!","")</f>
        <v/>
      </c>
      <c r="F876" s="22" t="str">
        <f>IF(OR(E876="",E876="!!!"),"",IF(NOT(ISNA(VLOOKUP(E876,E$1:E875,1,FALSE()))),"OLD",IF(AND(E876&lt;&gt;"",E876&lt;&gt;"!!!"),"NEW","")))</f>
        <v> </v>
      </c>
      <c r="G876" s="23" t="str">
        <f>IF(OR(E876="",E876="!!!"),"",IF(OR(J876=0,AND(J876=1,K876=1),AND(J876=1,I876="SBJ"),AND(J876=1,I876=0)),"?IN_FOCUS",IF(J876&lt;=2,"?ACTIVATED",IF(J876&lt;&gt;"","?FAMILIAR",IF(F876="NEW",IF(ISNA(VLOOKUP(E876,#REF!,1,FALSE())),"?TYPE_IDENTIFIABLE","?REFERENTIAL"),"_")))))</f>
        <v> </v>
      </c>
      <c r="H876" s="24" t="str">
        <f>IF(J876&lt;&gt;1,"",IF(I876="SBJ","CB","?"))</f>
        <v> </v>
      </c>
      <c r="I876" s="25" t="str">
        <f>IF(OR(E876="",E876="!!!",F876="NEW"),"",INDEX(B875:B$2,-1+SUMPRODUCT(MAX(ROW(E875:E$2)*(E876=E875:E$2)))))</f>
        <v> </v>
      </c>
      <c r="J876" s="25" t="str">
        <f>IF(OR(E876="",E876="!!!",F876="NEW"),"",COUNTBLANK(OFFSET(A$1,,,SUMPRODUCT(MAX(ROW(E$2:E876)*(E876=E$2:E876)))))-COUNTBLANK(OFFSET(A$1,,,SUMPRODUCT(MAX(ROW(E$1:E875)*(E2=E$1:E875))))))</f>
        <v> </v>
      </c>
      <c r="K876" s="25" t="str">
        <f>IF(OR(E876="",E876="!!!",F876="NEW"),"",INDEX(J$1:J875,SUMPRODUCT(MAX(ROW(E$1:E875)*(E876=E$1:E875)))))</f>
        <v> </v>
      </c>
      <c r="L876" s="26"/>
    </row>
    <row r="877" spans="1:12">
      <c r="A877" s="20" t="s">
        <v>293</v>
      </c>
      <c r="E877" s="21">
        <f>IF(D877="?OLD","!!!","")</f>
        <v/>
      </c>
      <c r="F877" s="22" t="str">
        <f>IF(OR(E877="",E877="!!!"),"",IF(NOT(ISNA(VLOOKUP(E877,E$1:E876,1,FALSE()))),"OLD",IF(AND(E877&lt;&gt;"",E877&lt;&gt;"!!!"),"NEW","")))</f>
        <v> </v>
      </c>
      <c r="G877" s="23" t="str">
        <f>IF(OR(E877="",E877="!!!"),"",IF(OR(J877=0,AND(J877=1,K877=1),AND(J877=1,I877="SBJ"),AND(J877=1,I877=0)),"?IN_FOCUS",IF(J877&lt;=2,"?ACTIVATED",IF(J877&lt;&gt;"","?FAMILIAR",IF(F877="NEW",IF(ISNA(VLOOKUP(E877,#REF!,1,FALSE())),"?TYPE_IDENTIFIABLE","?REFERENTIAL"),"_")))))</f>
        <v> </v>
      </c>
      <c r="H877" s="24" t="str">
        <f>IF(J877&lt;&gt;1,"",IF(I877="SBJ","CB","?"))</f>
        <v> </v>
      </c>
      <c r="I877" s="25" t="str">
        <f>IF(OR(E877="",E877="!!!",F877="NEW"),"",INDEX(B876:B$2,-1+SUMPRODUCT(MAX(ROW(E876:E$2)*(E877=E876:E$2)))))</f>
        <v> </v>
      </c>
      <c r="J877" s="25" t="str">
        <f>IF(OR(E877="",E877="!!!",F877="NEW"),"",COUNTBLANK(OFFSET(A$1,,,SUMPRODUCT(MAX(ROW(E$2:E877)*(E877=E$2:E877)))))-COUNTBLANK(OFFSET(A$1,,,SUMPRODUCT(MAX(ROW(E$1:E876)*(E2=E$1:E876))))))</f>
        <v> </v>
      </c>
      <c r="K877" s="25" t="str">
        <f>IF(OR(E877="",E877="!!!",F877="NEW"),"",INDEX(J$1:J876,SUMPRODUCT(MAX(ROW(E$1:E876)*(E877=E$1:E876)))))</f>
        <v> </v>
      </c>
      <c r="L877" s="26"/>
    </row>
    <row r="878" spans="1:12">
      <c r="A878" s="20" t="s">
        <v>264</v>
      </c>
      <c r="B878" s="27" t="s">
        <v>256</v>
      </c>
      <c r="E878" s="21">
        <f>IF(D878="?OLD","!!!","")</f>
        <v/>
      </c>
      <c r="F878" s="22" t="str">
        <f>IF(OR(E878="",E878="!!!"),"",IF(NOT(ISNA(VLOOKUP(E878,E$1:E877,1,FALSE()))),"OLD",IF(AND(E878&lt;&gt;"",E878&lt;&gt;"!!!"),"NEW","")))</f>
        <v> </v>
      </c>
      <c r="G878" s="23" t="str">
        <f>IF(OR(E878="",E878="!!!"),"",IF(OR(J878=0,AND(J878=1,K878=1),AND(J878=1,I878="SBJ"),AND(J878=1,I878=0)),"?IN_FOCUS",IF(J878&lt;=2,"?ACTIVATED",IF(J878&lt;&gt;"","?FAMILIAR",IF(F878="NEW",IF(ISNA(VLOOKUP(E878,#REF!,1,FALSE())),"?TYPE_IDENTIFIABLE","?REFERENTIAL"),"_")))))</f>
        <v> </v>
      </c>
      <c r="H878" s="24" t="str">
        <f>IF(J878&lt;&gt;1,"",IF(I878="SBJ","CB","?"))</f>
        <v> </v>
      </c>
      <c r="I878" s="25" t="str">
        <f>IF(OR(E878="",E878="!!!",F878="NEW"),"",INDEX(B877:B$2,-1+SUMPRODUCT(MAX(ROW(E877:E$2)*(E878=E877:E$2)))))</f>
        <v> </v>
      </c>
      <c r="J878" s="25" t="str">
        <f>IF(OR(E878="",E878="!!!",F878="NEW"),"",COUNTBLANK(OFFSET(A$1,,,SUMPRODUCT(MAX(ROW(E$2:E878)*(E878=E$2:E878)))))-COUNTBLANK(OFFSET(A$1,,,SUMPRODUCT(MAX(ROW(E$1:E877)*(E2=E$1:E877))))))</f>
        <v> </v>
      </c>
      <c r="K878" s="25" t="str">
        <f>IF(OR(E878="",E878="!!!",F878="NEW"),"",INDEX(J$1:J877,SUMPRODUCT(MAX(ROW(E$1:E877)*(E878=E$1:E877)))))</f>
        <v> </v>
      </c>
      <c r="L878" s="26"/>
    </row>
    <row r="879" spans="1:12">
      <c r="A879" s="20" t="s">
        <v>600</v>
      </c>
      <c r="E879" s="21">
        <f>IF(D879="?OLD","!!!","")</f>
        <v/>
      </c>
      <c r="F879" s="22" t="str">
        <f>IF(OR(E879="",E879="!!!"),"",IF(NOT(ISNA(VLOOKUP(E879,E$1:E878,1,FALSE()))),"OLD",IF(AND(E879&lt;&gt;"",E879&lt;&gt;"!!!"),"NEW","")))</f>
        <v> </v>
      </c>
      <c r="G879" s="23" t="str">
        <f>IF(OR(E879="",E879="!!!"),"",IF(OR(J879=0,AND(J879=1,K879=1),AND(J879=1,I879="SBJ"),AND(J879=1,I879=0)),"?IN_FOCUS",IF(J879&lt;=2,"?ACTIVATED",IF(J879&lt;&gt;"","?FAMILIAR",IF(F879="NEW",IF(ISNA(VLOOKUP(E879,#REF!,1,FALSE())),"?TYPE_IDENTIFIABLE","?REFERENTIAL"),"_")))))</f>
        <v> </v>
      </c>
      <c r="H879" s="24" t="str">
        <f>IF(J879&lt;&gt;1,"",IF(I879="SBJ","CB","?"))</f>
        <v> </v>
      </c>
      <c r="I879" s="25" t="str">
        <f>IF(OR(E879="",E879="!!!",F879="NEW"),"",INDEX(B878:B$2,-1+SUMPRODUCT(MAX(ROW(E878:E$2)*(E879=E878:E$2)))))</f>
        <v> </v>
      </c>
      <c r="J879" s="25" t="str">
        <f>IF(OR(E879="",E879="!!!",F879="NEW"),"",COUNTBLANK(OFFSET(A$1,,,SUMPRODUCT(MAX(ROW(E$2:E879)*(E879=E$2:E879)))))-COUNTBLANK(OFFSET(A$1,,,SUMPRODUCT(MAX(ROW(E$1:E878)*(E2=E$1:E878))))))</f>
        <v> </v>
      </c>
      <c r="K879" s="25" t="str">
        <f>IF(OR(E879="",E879="!!!",F879="NEW"),"",INDEX(J$1:J878,SUMPRODUCT(MAX(ROW(E$1:E878)*(E879=E$1:E878)))))</f>
        <v> </v>
      </c>
      <c r="L879" s="26"/>
    </row>
    <row r="880" spans="1:12">
      <c r="A880" s="20" t="s">
        <v>592</v>
      </c>
      <c r="E880" s="21">
        <f>IF(D880="?OLD","!!!","")</f>
        <v/>
      </c>
      <c r="F880" s="22" t="str">
        <f>IF(OR(E880="",E880="!!!"),"",IF(NOT(ISNA(VLOOKUP(E880,E$1:E879,1,FALSE()))),"OLD",IF(AND(E880&lt;&gt;"",E880&lt;&gt;"!!!"),"NEW","")))</f>
        <v> </v>
      </c>
      <c r="G880" s="23" t="str">
        <f>IF(OR(E880="",E880="!!!"),"",IF(OR(J880=0,AND(J880=1,K880=1),AND(J880=1,I880="SBJ"),AND(J880=1,I880=0)),"?IN_FOCUS",IF(J880&lt;=2,"?ACTIVATED",IF(J880&lt;&gt;"","?FAMILIAR",IF(F880="NEW",IF(ISNA(VLOOKUP(E880,#REF!,1,FALSE())),"?TYPE_IDENTIFIABLE","?REFERENTIAL"),"_")))))</f>
        <v> </v>
      </c>
      <c r="H880" s="24" t="str">
        <f>IF(J880&lt;&gt;1,"",IF(I880="SBJ","CB","?"))</f>
        <v> </v>
      </c>
      <c r="I880" s="25" t="str">
        <f>IF(OR(E880="",E880="!!!",F880="NEW"),"",INDEX(B879:B$2,-1+SUMPRODUCT(MAX(ROW(E879:E$2)*(E880=E879:E$2)))))</f>
        <v> </v>
      </c>
      <c r="J880" s="25" t="str">
        <f>IF(OR(E880="",E880="!!!",F880="NEW"),"",COUNTBLANK(OFFSET(A$1,,,SUMPRODUCT(MAX(ROW(E$2:E880)*(E880=E$2:E880)))))-COUNTBLANK(OFFSET(A$1,,,SUMPRODUCT(MAX(ROW(E$1:E879)*(E2=E$1:E879))))))</f>
        <v> </v>
      </c>
      <c r="K880" s="25" t="str">
        <f>IF(OR(E880="",E880="!!!",F880="NEW"),"",INDEX(J$1:J879,SUMPRODUCT(MAX(ROW(E$1:E879)*(E880=E$1:E879)))))</f>
        <v> </v>
      </c>
      <c r="L880" s="26"/>
    </row>
    <row r="881" spans="1:12">
      <c r="A881" s="20" t="s">
        <v>540</v>
      </c>
      <c r="E881" s="21">
        <f>IF(D881="?OLD","!!!","")</f>
        <v/>
      </c>
      <c r="F881" s="22" t="str">
        <f>IF(OR(E881="",E881="!!!"),"",IF(NOT(ISNA(VLOOKUP(E881,E$1:E880,1,FALSE()))),"OLD",IF(AND(E881&lt;&gt;"",E881&lt;&gt;"!!!"),"NEW","")))</f>
        <v> </v>
      </c>
      <c r="G881" s="23" t="str">
        <f>IF(OR(E881="",E881="!!!"),"",IF(OR(J881=0,AND(J881=1,K881=1),AND(J881=1,I881="SBJ"),AND(J881=1,I881=0)),"?IN_FOCUS",IF(J881&lt;=2,"?ACTIVATED",IF(J881&lt;&gt;"","?FAMILIAR",IF(F881="NEW",IF(ISNA(VLOOKUP(E881,#REF!,1,FALSE())),"?TYPE_IDENTIFIABLE","?REFERENTIAL"),"_")))))</f>
        <v> </v>
      </c>
      <c r="H881" s="24" t="str">
        <f>IF(J881&lt;&gt;1,"",IF(I881="SBJ","CB","?"))</f>
        <v> </v>
      </c>
      <c r="I881" s="25" t="str">
        <f>IF(OR(E881="",E881="!!!",F881="NEW"),"",INDEX(B880:B$2,-1+SUMPRODUCT(MAX(ROW(E880:E$2)*(E881=E880:E$2)))))</f>
        <v> </v>
      </c>
      <c r="J881" s="25" t="str">
        <f>IF(OR(E881="",E881="!!!",F881="NEW"),"",COUNTBLANK(OFFSET(A$1,,,SUMPRODUCT(MAX(ROW(E$2:E881)*(E881=E$2:E881)))))-COUNTBLANK(OFFSET(A$1,,,SUMPRODUCT(MAX(ROW(E$1:E880)*(E2=E$1:E880))))))</f>
        <v> </v>
      </c>
      <c r="K881" s="25" t="str">
        <f>IF(OR(E881="",E881="!!!",F881="NEW"),"",INDEX(J$1:J880,SUMPRODUCT(MAX(ROW(E$1:E880)*(E881=E$1:E880)))))</f>
        <v> </v>
      </c>
      <c r="L881" s="26"/>
    </row>
    <row r="882" spans="1:12">
      <c r="A882" s="20" t="s">
        <v>601</v>
      </c>
      <c r="B882" s="27" t="s">
        <v>267</v>
      </c>
      <c r="C882" s="27" t="s">
        <v>270</v>
      </c>
      <c r="E882" s="21">
        <f>IF(D882="?OLD","!!!","")</f>
        <v/>
      </c>
      <c r="F882" s="22" t="str">
        <f>IF(OR(E882="",E882="!!!"),"",IF(NOT(ISNA(VLOOKUP(E882,E$1:E881,1,FALSE()))),"OLD",IF(AND(E882&lt;&gt;"",E882&lt;&gt;"!!!"),"NEW","")))</f>
        <v> </v>
      </c>
      <c r="G882" s="23" t="str">
        <f>IF(OR(E882="",E882="!!!"),"",IF(OR(J882=0,AND(J882=1,K882=1),AND(J882=1,I882="SBJ"),AND(J882=1,I882=0)),"?IN_FOCUS",IF(J882&lt;=2,"?ACTIVATED",IF(J882&lt;&gt;"","?FAMILIAR",IF(F882="NEW",IF(ISNA(VLOOKUP(E882,#REF!,1,FALSE())),"?TYPE_IDENTIFIABLE","?REFERENTIAL"),"_")))))</f>
        <v> </v>
      </c>
      <c r="H882" s="24" t="str">
        <f>IF(J882&lt;&gt;1,"",IF(I882="SBJ","CB","?"))</f>
        <v> </v>
      </c>
      <c r="I882" s="25" t="str">
        <f>IF(OR(E882="",E882="!!!",F882="NEW"),"",INDEX(B881:B$2,-1+SUMPRODUCT(MAX(ROW(E881:E$2)*(E882=E881:E$2)))))</f>
        <v> </v>
      </c>
      <c r="J882" s="25" t="str">
        <f>IF(OR(E882="",E882="!!!",F882="NEW"),"",COUNTBLANK(OFFSET(A$1,,,SUMPRODUCT(MAX(ROW(E$2:E882)*(E882=E$2:E882)))))-COUNTBLANK(OFFSET(A$1,,,SUMPRODUCT(MAX(ROW(E$1:E881)*(E2=E$1:E881))))))</f>
        <v> </v>
      </c>
      <c r="K882" s="25" t="str">
        <f>IF(OR(E882="",E882="!!!",F882="NEW"),"",INDEX(J$1:J881,SUMPRODUCT(MAX(ROW(E$1:E881)*(E882=E$1:E881)))))</f>
        <v> </v>
      </c>
      <c r="L882" s="26"/>
    </row>
    <row r="883" spans="1:12">
      <c r="A883" s="20" t="s">
        <v>320</v>
      </c>
      <c r="E883" s="21">
        <f>IF(D883="?OLD","!!!","")</f>
        <v/>
      </c>
      <c r="F883" s="22" t="str">
        <f>IF(OR(E883="",E883="!!!"),"",IF(NOT(ISNA(VLOOKUP(E883,E$1:E882,1,FALSE()))),"OLD",IF(AND(E883&lt;&gt;"",E883&lt;&gt;"!!!"),"NEW","")))</f>
        <v> </v>
      </c>
      <c r="G883" s="23" t="str">
        <f>IF(OR(E883="",E883="!!!"),"",IF(OR(J883=0,AND(J883=1,K883=1),AND(J883=1,I883="SBJ"),AND(J883=1,I883=0)),"?IN_FOCUS",IF(J883&lt;=2,"?ACTIVATED",IF(J883&lt;&gt;"","?FAMILIAR",IF(F883="NEW",IF(ISNA(VLOOKUP(E883,#REF!,1,FALSE())),"?TYPE_IDENTIFIABLE","?REFERENTIAL"),"_")))))</f>
        <v> </v>
      </c>
      <c r="H883" s="24" t="str">
        <f>IF(J883&lt;&gt;1,"",IF(I883="SBJ","CB","?"))</f>
        <v> </v>
      </c>
      <c r="I883" s="25" t="str">
        <f>IF(OR(E883="",E883="!!!",F883="NEW"),"",INDEX(B882:B$2,-1+SUMPRODUCT(MAX(ROW(E882:E$2)*(E883=E882:E$2)))))</f>
        <v> </v>
      </c>
      <c r="J883" s="25" t="str">
        <f>IF(OR(E883="",E883="!!!",F883="NEW"),"",COUNTBLANK(OFFSET(A$1,,,SUMPRODUCT(MAX(ROW(E$2:E883)*(E883=E$2:E883)))))-COUNTBLANK(OFFSET(A$1,,,SUMPRODUCT(MAX(ROW(E$1:E882)*(E2=E$1:E882))))))</f>
        <v> </v>
      </c>
      <c r="K883" s="25" t="str">
        <f>IF(OR(E883="",E883="!!!",F883="NEW"),"",INDEX(J$1:J882,SUMPRODUCT(MAX(ROW(E$1:E882)*(E883=E$1:E882)))))</f>
        <v> </v>
      </c>
      <c r="L883" s="26"/>
    </row>
    <row r="884" spans="1:12">
      <c r="A884" s="20"/>
    </row>
    <row r="885" spans="1:12">
      <c r="A885" s="20" t="s">
        <v>602</v>
      </c>
    </row>
    <row r="886" spans="1:12">
      <c r="A886" s="20" t="s">
        <v>360</v>
      </c>
      <c r="E886" s="21">
        <f>IF(D886="?OLD","!!!","")</f>
        <v/>
      </c>
      <c r="F886" s="22" t="str">
        <f>IF(OR(E886="",E886="!!!"),"",IF(NOT(ISNA(VLOOKUP(E886,E$1:E885,1,FALSE()))),"OLD",IF(AND(E886&lt;&gt;"",E886&lt;&gt;"!!!"),"NEW","")))</f>
        <v> </v>
      </c>
      <c r="G886" s="23" t="str">
        <f>IF(OR(E886="",E886="!!!"),"",IF(OR(J886=0,AND(J886=1,K886=1),AND(J886=1,I886="SBJ"),AND(J886=1,I886=0)),"?IN_FOCUS",IF(J886&lt;=2,"?ACTIVATED",IF(J886&lt;&gt;"","?FAMILIAR",IF(F886="NEW",IF(ISNA(VLOOKUP(E886,#REF!,1,FALSE())),"?TYPE_IDENTIFIABLE","?REFERENTIAL"),"_")))))</f>
        <v> </v>
      </c>
      <c r="H886" s="24" t="str">
        <f>IF(J886&lt;&gt;1,"",IF(I886="SBJ","CB","?"))</f>
        <v> </v>
      </c>
      <c r="I886" s="25" t="str">
        <f>IF(OR(E886="",E886="!!!",F886="NEW"),"",INDEX(B885:B$2,-1+SUMPRODUCT(MAX(ROW(E885:E$2)*(E886=E885:E$2)))))</f>
        <v> </v>
      </c>
      <c r="J886" s="25" t="str">
        <f>IF(OR(E886="",E886="!!!",F886="NEW"),"",COUNTBLANK(OFFSET(A$1,,,SUMPRODUCT(MAX(ROW(E$2:E886)*(E886=E$2:E886)))))-COUNTBLANK(OFFSET(A$1,,,SUMPRODUCT(MAX(ROW(E$1:E885)*(E2=E$1:E885))))))</f>
        <v> </v>
      </c>
      <c r="K886" s="25" t="str">
        <f>IF(OR(E886="",E886="!!!",F886="NEW"),"",INDEX(J$1:J885,SUMPRODUCT(MAX(ROW(E$1:E885)*(E886=E$1:E885)))))</f>
        <v> </v>
      </c>
      <c r="L886" s="26"/>
    </row>
    <row r="887" spans="1:12">
      <c r="A887" s="20" t="s">
        <v>603</v>
      </c>
      <c r="E887" s="21">
        <f>IF(D887="?OLD","!!!","")</f>
        <v/>
      </c>
      <c r="F887" s="22" t="str">
        <f>IF(OR(E887="",E887="!!!"),"",IF(NOT(ISNA(VLOOKUP(E887,E$1:E886,1,FALSE()))),"OLD",IF(AND(E887&lt;&gt;"",E887&lt;&gt;"!!!"),"NEW","")))</f>
        <v> </v>
      </c>
      <c r="G887" s="23" t="str">
        <f>IF(OR(E887="",E887="!!!"),"",IF(OR(J887=0,AND(J887=1,K887=1),AND(J887=1,I887="SBJ"),AND(J887=1,I887=0)),"?IN_FOCUS",IF(J887&lt;=2,"?ACTIVATED",IF(J887&lt;&gt;"","?FAMILIAR",IF(F887="NEW",IF(ISNA(VLOOKUP(E887,#REF!,1,FALSE())),"?TYPE_IDENTIFIABLE","?REFERENTIAL"),"_")))))</f>
        <v> </v>
      </c>
      <c r="H887" s="24" t="str">
        <f>IF(J887&lt;&gt;1,"",IF(I887="SBJ","CB","?"))</f>
        <v> </v>
      </c>
      <c r="I887" s="25" t="str">
        <f>IF(OR(E887="",E887="!!!",F887="NEW"),"",INDEX(B886:B$2,-1+SUMPRODUCT(MAX(ROW(E886:E$2)*(E887=E886:E$2)))))</f>
        <v> </v>
      </c>
      <c r="J887" s="25" t="str">
        <f>IF(OR(E887="",E887="!!!",F887="NEW"),"",COUNTBLANK(OFFSET(A$1,,,SUMPRODUCT(MAX(ROW(E$2:E887)*(E887=E$2:E887)))))-COUNTBLANK(OFFSET(A$1,,,SUMPRODUCT(MAX(ROW(E$1:E886)*(E2=E$1:E886))))))</f>
        <v> </v>
      </c>
      <c r="K887" s="25" t="str">
        <f>IF(OR(E887="",E887="!!!",F887="NEW"),"",INDEX(J$1:J886,SUMPRODUCT(MAX(ROW(E$1:E886)*(E887=E$1:E886)))))</f>
        <v> </v>
      </c>
      <c r="L887" s="26"/>
    </row>
    <row r="888" spans="1:12">
      <c r="A888" s="20" t="s">
        <v>604</v>
      </c>
      <c r="E888" s="21">
        <f>IF(D888="?OLD","!!!","")</f>
        <v/>
      </c>
      <c r="F888" s="22" t="str">
        <f>IF(OR(E888="",E888="!!!"),"",IF(NOT(ISNA(VLOOKUP(E888,E$1:E887,1,FALSE()))),"OLD",IF(AND(E888&lt;&gt;"",E888&lt;&gt;"!!!"),"NEW","")))</f>
        <v> </v>
      </c>
      <c r="G888" s="23" t="str">
        <f>IF(OR(E888="",E888="!!!"),"",IF(OR(J888=0,AND(J888=1,K888=1),AND(J888=1,I888="SBJ"),AND(J888=1,I888=0)),"?IN_FOCUS",IF(J888&lt;=2,"?ACTIVATED",IF(J888&lt;&gt;"","?FAMILIAR",IF(F888="NEW",IF(ISNA(VLOOKUP(E888,#REF!,1,FALSE())),"?TYPE_IDENTIFIABLE","?REFERENTIAL"),"_")))))</f>
        <v> </v>
      </c>
      <c r="H888" s="24" t="str">
        <f>IF(J888&lt;&gt;1,"",IF(I888="SBJ","CB","?"))</f>
        <v> </v>
      </c>
      <c r="I888" s="25" t="str">
        <f>IF(OR(E888="",E888="!!!",F888="NEW"),"",INDEX(B887:B$2,-1+SUMPRODUCT(MAX(ROW(E887:E$2)*(E888=E887:E$2)))))</f>
        <v> </v>
      </c>
      <c r="J888" s="25" t="str">
        <f>IF(OR(E888="",E888="!!!",F888="NEW"),"",COUNTBLANK(OFFSET(A$1,,,SUMPRODUCT(MAX(ROW(E$2:E888)*(E888=E$2:E888)))))-COUNTBLANK(OFFSET(A$1,,,SUMPRODUCT(MAX(ROW(E$1:E887)*(E2=E$1:E887))))))</f>
        <v> </v>
      </c>
      <c r="K888" s="25" t="str">
        <f>IF(OR(E888="",E888="!!!",F888="NEW"),"",INDEX(J$1:J887,SUMPRODUCT(MAX(ROW(E$1:E887)*(E888=E$1:E887)))))</f>
        <v> </v>
      </c>
      <c r="L888" s="26"/>
    </row>
    <row r="889" spans="1:12">
      <c r="A889" s="20" t="s">
        <v>271</v>
      </c>
      <c r="E889" s="21">
        <f>IF(D889="?OLD","!!!","")</f>
        <v/>
      </c>
      <c r="F889" s="22" t="str">
        <f>IF(OR(E889="",E889="!!!"),"",IF(NOT(ISNA(VLOOKUP(E889,E$1:E888,1,FALSE()))),"OLD",IF(AND(E889&lt;&gt;"",E889&lt;&gt;"!!!"),"NEW","")))</f>
        <v> </v>
      </c>
      <c r="G889" s="23" t="str">
        <f>IF(OR(E889="",E889="!!!"),"",IF(OR(J889=0,AND(J889=1,K889=1),AND(J889=1,I889="SBJ"),AND(J889=1,I889=0)),"?IN_FOCUS",IF(J889&lt;=2,"?ACTIVATED",IF(J889&lt;&gt;"","?FAMILIAR",IF(F889="NEW",IF(ISNA(VLOOKUP(E889,#REF!,1,FALSE())),"?TYPE_IDENTIFIABLE","?REFERENTIAL"),"_")))))</f>
        <v> </v>
      </c>
      <c r="H889" s="24" t="str">
        <f>IF(J889&lt;&gt;1,"",IF(I889="SBJ","CB","?"))</f>
        <v> </v>
      </c>
      <c r="I889" s="25" t="str">
        <f>IF(OR(E889="",E889="!!!",F889="NEW"),"",INDEX(B888:B$2,-1+SUMPRODUCT(MAX(ROW(E888:E$2)*(E889=E888:E$2)))))</f>
        <v> </v>
      </c>
      <c r="J889" s="25" t="str">
        <f>IF(OR(E889="",E889="!!!",F889="NEW"),"",COUNTBLANK(OFFSET(A$1,,,SUMPRODUCT(MAX(ROW(E$2:E889)*(E889=E$2:E889)))))-COUNTBLANK(OFFSET(A$1,,,SUMPRODUCT(MAX(ROW(E$1:E888)*(E2=E$1:E888))))))</f>
        <v> </v>
      </c>
      <c r="K889" s="25" t="str">
        <f>IF(OR(E889="",E889="!!!",F889="NEW"),"",INDEX(J$1:J888,SUMPRODUCT(MAX(ROW(E$1:E888)*(E889=E$1:E888)))))</f>
        <v> </v>
      </c>
      <c r="L889" s="26"/>
    </row>
    <row r="890" spans="1:12">
      <c r="A890" s="20" t="s">
        <v>605</v>
      </c>
      <c r="B890" s="27" t="s">
        <v>276</v>
      </c>
      <c r="C890" s="27" t="s">
        <v>351</v>
      </c>
      <c r="D890" s="27" t="s">
        <v>258</v>
      </c>
      <c r="E890" s="21">
        <f>IF(D890="?OLD","!!!","")</f>
        <v/>
      </c>
      <c r="F890" s="22" t="str">
        <f>IF(OR(E890="",E890="!!!"),"",IF(NOT(ISNA(VLOOKUP(E890,E$1:E889,1,FALSE()))),"OLD",IF(AND(E890&lt;&gt;"",E890&lt;&gt;"!!!"),"NEW","")))</f>
        <v> </v>
      </c>
      <c r="G890" s="23" t="str">
        <f>IF(OR(E890="",E890="!!!"),"",IF(OR(J890=0,AND(J890=1,K890=1),AND(J890=1,I890="SBJ"),AND(J890=1,I890=0)),"?IN_FOCUS",IF(J890&lt;=2,"?ACTIVATED",IF(J890&lt;&gt;"","?FAMILIAR",IF(F890="NEW",IF(ISNA(VLOOKUP(E890,#REF!,1,FALSE())),"?TYPE_IDENTIFIABLE","?REFERENTIAL"),"_")))))</f>
        <v> </v>
      </c>
      <c r="H890" s="24" t="str">
        <f>IF(J890&lt;&gt;1,"",IF(I890="SBJ","CB","?"))</f>
        <v> </v>
      </c>
      <c r="I890" s="25" t="str">
        <f>IF(OR(E890="",E890="!!!",F890="NEW"),"",INDEX(B889:B$2,-1+SUMPRODUCT(MAX(ROW(E889:E$2)*(E890=E889:E$2)))))</f>
        <v> </v>
      </c>
      <c r="J890" s="25" t="str">
        <f>IF(OR(E890="",E890="!!!",F890="NEW"),"",COUNTBLANK(OFFSET(A$1,,,SUMPRODUCT(MAX(ROW(E$2:E890)*(E890=E$2:E890)))))-COUNTBLANK(OFFSET(A$1,,,SUMPRODUCT(MAX(ROW(E$1:E889)*(E2=E$1:E889))))))</f>
        <v> </v>
      </c>
      <c r="K890" s="25" t="str">
        <f>IF(OR(E890="",E890="!!!",F890="NEW"),"",INDEX(J$1:J889,SUMPRODUCT(MAX(ROW(E$1:E889)*(E890=E$1:E889)))))</f>
        <v> </v>
      </c>
      <c r="L890" s="26"/>
    </row>
    <row r="891" spans="1:12">
      <c r="A891" s="20" t="s">
        <v>288</v>
      </c>
      <c r="E891" s="21">
        <f>IF(D891="?OLD","!!!","")</f>
        <v/>
      </c>
      <c r="F891" s="22" t="str">
        <f>IF(OR(E891="",E891="!!!"),"",IF(NOT(ISNA(VLOOKUP(E891,E$1:E890,1,FALSE()))),"OLD",IF(AND(E891&lt;&gt;"",E891&lt;&gt;"!!!"),"NEW","")))</f>
        <v> </v>
      </c>
      <c r="G891" s="23" t="str">
        <f>IF(OR(E891="",E891="!!!"),"",IF(OR(J891=0,AND(J891=1,K891=1),AND(J891=1,I891="SBJ"),AND(J891=1,I891=0)),"?IN_FOCUS",IF(J891&lt;=2,"?ACTIVATED",IF(J891&lt;&gt;"","?FAMILIAR",IF(F891="NEW",IF(ISNA(VLOOKUP(E891,#REF!,1,FALSE())),"?TYPE_IDENTIFIABLE","?REFERENTIAL"),"_")))))</f>
        <v> </v>
      </c>
      <c r="H891" s="24" t="str">
        <f>IF(J891&lt;&gt;1,"",IF(I891="SBJ","CB","?"))</f>
        <v> </v>
      </c>
      <c r="I891" s="25" t="str">
        <f>IF(OR(E891="",E891="!!!",F891="NEW"),"",INDEX(B890:B$2,-1+SUMPRODUCT(MAX(ROW(E890:E$2)*(E891=E890:E$2)))))</f>
        <v> </v>
      </c>
      <c r="J891" s="25" t="str">
        <f>IF(OR(E891="",E891="!!!",F891="NEW"),"",COUNTBLANK(OFFSET(A$1,,,SUMPRODUCT(MAX(ROW(E$2:E891)*(E891=E$2:E891)))))-COUNTBLANK(OFFSET(A$1,,,SUMPRODUCT(MAX(ROW(E$1:E890)*(E2=E$1:E890))))))</f>
        <v> </v>
      </c>
      <c r="K891" s="25" t="str">
        <f>IF(OR(E891="",E891="!!!",F891="NEW"),"",INDEX(J$1:J890,SUMPRODUCT(MAX(ROW(E$1:E890)*(E891=E$1:E890)))))</f>
        <v> </v>
      </c>
      <c r="L891" s="26"/>
    </row>
    <row r="892" spans="1:12">
      <c r="A892" s="20" t="s">
        <v>606</v>
      </c>
      <c r="E892" s="21">
        <f>IF(D892="?OLD","!!!","")</f>
        <v/>
      </c>
      <c r="F892" s="22" t="str">
        <f>IF(OR(E892="",E892="!!!"),"",IF(NOT(ISNA(VLOOKUP(E892,E$1:E891,1,FALSE()))),"OLD",IF(AND(E892&lt;&gt;"",E892&lt;&gt;"!!!"),"NEW","")))</f>
        <v> </v>
      </c>
      <c r="G892" s="23" t="str">
        <f>IF(OR(E892="",E892="!!!"),"",IF(OR(J892=0,AND(J892=1,K892=1),AND(J892=1,I892="SBJ"),AND(J892=1,I892=0)),"?IN_FOCUS",IF(J892&lt;=2,"?ACTIVATED",IF(J892&lt;&gt;"","?FAMILIAR",IF(F892="NEW",IF(ISNA(VLOOKUP(E892,#REF!,1,FALSE())),"?TYPE_IDENTIFIABLE","?REFERENTIAL"),"_")))))</f>
        <v> </v>
      </c>
      <c r="H892" s="24" t="str">
        <f>IF(J892&lt;&gt;1,"",IF(I892="SBJ","CB","?"))</f>
        <v> </v>
      </c>
      <c r="I892" s="25" t="str">
        <f>IF(OR(E892="",E892="!!!",F892="NEW"),"",INDEX(B891:B$2,-1+SUMPRODUCT(MAX(ROW(E891:E$2)*(E892=E891:E$2)))))</f>
        <v> </v>
      </c>
      <c r="J892" s="25" t="str">
        <f>IF(OR(E892="",E892="!!!",F892="NEW"),"",COUNTBLANK(OFFSET(A$1,,,SUMPRODUCT(MAX(ROW(E$2:E892)*(E892=E$2:E892)))))-COUNTBLANK(OFFSET(A$1,,,SUMPRODUCT(MAX(ROW(E$1:E891)*(E2=E$1:E891))))))</f>
        <v> </v>
      </c>
      <c r="K892" s="25" t="str">
        <f>IF(OR(E892="",E892="!!!",F892="NEW"),"",INDEX(J$1:J891,SUMPRODUCT(MAX(ROW(E$1:E891)*(E892=E$1:E891)))))</f>
        <v> </v>
      </c>
      <c r="L892" s="26"/>
    </row>
    <row r="893" spans="1:12">
      <c r="A893" s="20" t="s">
        <v>329</v>
      </c>
      <c r="E893" s="21">
        <f>IF(D893="?OLD","!!!","")</f>
        <v/>
      </c>
      <c r="F893" s="22" t="str">
        <f>IF(OR(E893="",E893="!!!"),"",IF(NOT(ISNA(VLOOKUP(E893,E$1:E892,1,FALSE()))),"OLD",IF(AND(E893&lt;&gt;"",E893&lt;&gt;"!!!"),"NEW","")))</f>
        <v> </v>
      </c>
      <c r="G893" s="23" t="str">
        <f>IF(OR(E893="",E893="!!!"),"",IF(OR(J893=0,AND(J893=1,K893=1),AND(J893=1,I893="SBJ"),AND(J893=1,I893=0)),"?IN_FOCUS",IF(J893&lt;=2,"?ACTIVATED",IF(J893&lt;&gt;"","?FAMILIAR",IF(F893="NEW",IF(ISNA(VLOOKUP(E893,#REF!,1,FALSE())),"?TYPE_IDENTIFIABLE","?REFERENTIAL"),"_")))))</f>
        <v> </v>
      </c>
      <c r="H893" s="24" t="str">
        <f>IF(J893&lt;&gt;1,"",IF(I893="SBJ","CB","?"))</f>
        <v> </v>
      </c>
      <c r="I893" s="25" t="str">
        <f>IF(OR(E893="",E893="!!!",F893="NEW"),"",INDEX(B892:B$2,-1+SUMPRODUCT(MAX(ROW(E892:E$2)*(E893=E892:E$2)))))</f>
        <v> </v>
      </c>
      <c r="J893" s="25" t="str">
        <f>IF(OR(E893="",E893="!!!",F893="NEW"),"",COUNTBLANK(OFFSET(A$1,,,SUMPRODUCT(MAX(ROW(E$2:E893)*(E893=E$2:E893)))))-COUNTBLANK(OFFSET(A$1,,,SUMPRODUCT(MAX(ROW(E$1:E892)*(E2=E$1:E892))))))</f>
        <v> </v>
      </c>
      <c r="K893" s="25" t="str">
        <f>IF(OR(E893="",E893="!!!",F893="NEW"),"",INDEX(J$1:J892,SUMPRODUCT(MAX(ROW(E$1:E892)*(E893=E$1:E892)))))</f>
        <v> </v>
      </c>
      <c r="L893" s="26"/>
    </row>
    <row r="894" spans="1:12">
      <c r="A894" s="20" t="s">
        <v>607</v>
      </c>
      <c r="E894" s="21">
        <f>IF(D894="?OLD","!!!","")</f>
        <v/>
      </c>
      <c r="F894" s="22" t="str">
        <f>IF(OR(E894="",E894="!!!"),"",IF(NOT(ISNA(VLOOKUP(E894,E$1:E893,1,FALSE()))),"OLD",IF(AND(E894&lt;&gt;"",E894&lt;&gt;"!!!"),"NEW","")))</f>
        <v> </v>
      </c>
      <c r="G894" s="23" t="str">
        <f>IF(OR(E894="",E894="!!!"),"",IF(OR(J894=0,AND(J894=1,K894=1),AND(J894=1,I894="SBJ"),AND(J894=1,I894=0)),"?IN_FOCUS",IF(J894&lt;=2,"?ACTIVATED",IF(J894&lt;&gt;"","?FAMILIAR",IF(F894="NEW",IF(ISNA(VLOOKUP(E894,#REF!,1,FALSE())),"?TYPE_IDENTIFIABLE","?REFERENTIAL"),"_")))))</f>
        <v> </v>
      </c>
      <c r="H894" s="24" t="str">
        <f>IF(J894&lt;&gt;1,"",IF(I894="SBJ","CB","?"))</f>
        <v> </v>
      </c>
      <c r="I894" s="25" t="str">
        <f>IF(OR(E894="",E894="!!!",F894="NEW"),"",INDEX(B893:B$2,-1+SUMPRODUCT(MAX(ROW(E893:E$2)*(E894=E893:E$2)))))</f>
        <v> </v>
      </c>
      <c r="J894" s="25" t="str">
        <f>IF(OR(E894="",E894="!!!",F894="NEW"),"",COUNTBLANK(OFFSET(A$1,,,SUMPRODUCT(MAX(ROW(E$2:E894)*(E894=E$2:E894)))))-COUNTBLANK(OFFSET(A$1,,,SUMPRODUCT(MAX(ROW(E$1:E893)*(E2=E$1:E893))))))</f>
        <v> </v>
      </c>
      <c r="K894" s="25" t="str">
        <f>IF(OR(E894="",E894="!!!",F894="NEW"),"",INDEX(J$1:J893,SUMPRODUCT(MAX(ROW(E$1:E893)*(E894=E$1:E893)))))</f>
        <v> </v>
      </c>
      <c r="L894" s="26"/>
    </row>
    <row r="895" spans="1:12">
      <c r="A895" s="20" t="s">
        <v>608</v>
      </c>
      <c r="E895" s="21">
        <f>IF(D895="?OLD","!!!","")</f>
        <v/>
      </c>
      <c r="F895" s="22" t="str">
        <f>IF(OR(E895="",E895="!!!"),"",IF(NOT(ISNA(VLOOKUP(E895,E$1:E894,1,FALSE()))),"OLD",IF(AND(E895&lt;&gt;"",E895&lt;&gt;"!!!"),"NEW","")))</f>
        <v> </v>
      </c>
      <c r="G895" s="23" t="str">
        <f>IF(OR(E895="",E895="!!!"),"",IF(OR(J895=0,AND(J895=1,K895=1),AND(J895=1,I895="SBJ"),AND(J895=1,I895=0)),"?IN_FOCUS",IF(J895&lt;=2,"?ACTIVATED",IF(J895&lt;&gt;"","?FAMILIAR",IF(F895="NEW",IF(ISNA(VLOOKUP(E895,#REF!,1,FALSE())),"?TYPE_IDENTIFIABLE","?REFERENTIAL"),"_")))))</f>
        <v> </v>
      </c>
      <c r="H895" s="24" t="str">
        <f>IF(J895&lt;&gt;1,"",IF(I895="SBJ","CB","?"))</f>
        <v> </v>
      </c>
      <c r="I895" s="25" t="str">
        <f>IF(OR(E895="",E895="!!!",F895="NEW"),"",INDEX(B894:B$2,-1+SUMPRODUCT(MAX(ROW(E894:E$2)*(E895=E894:E$2)))))</f>
        <v> </v>
      </c>
      <c r="J895" s="25" t="str">
        <f>IF(OR(E895="",E895="!!!",F895="NEW"),"",COUNTBLANK(OFFSET(A$1,,,SUMPRODUCT(MAX(ROW(E$2:E895)*(E895=E$2:E895)))))-COUNTBLANK(OFFSET(A$1,,,SUMPRODUCT(MAX(ROW(E$1:E894)*(E2=E$1:E894))))))</f>
        <v> </v>
      </c>
      <c r="K895" s="25" t="str">
        <f>IF(OR(E895="",E895="!!!",F895="NEW"),"",INDEX(J$1:J894,SUMPRODUCT(MAX(ROW(E$1:E894)*(E895=E$1:E894)))))</f>
        <v> </v>
      </c>
      <c r="L895" s="26"/>
    </row>
    <row r="896" spans="1:12">
      <c r="A896" s="20" t="s">
        <v>609</v>
      </c>
      <c r="B896" s="27" t="s">
        <v>333</v>
      </c>
      <c r="C896" s="27" t="s">
        <v>334</v>
      </c>
      <c r="E896" s="21">
        <f>IF(D896="?OLD","!!!","")</f>
        <v/>
      </c>
      <c r="F896" s="22" t="str">
        <f>IF(OR(E896="",E896="!!!"),"",IF(NOT(ISNA(VLOOKUP(E896,E$1:E895,1,FALSE()))),"OLD",IF(AND(E896&lt;&gt;"",E896&lt;&gt;"!!!"),"NEW","")))</f>
        <v> </v>
      </c>
      <c r="G896" s="23" t="str">
        <f>IF(OR(E896="",E896="!!!"),"",IF(OR(J896=0,AND(J896=1,K896=1),AND(J896=1,I896="SBJ"),AND(J896=1,I896=0)),"?IN_FOCUS",IF(J896&lt;=2,"?ACTIVATED",IF(J896&lt;&gt;"","?FAMILIAR",IF(F896="NEW",IF(ISNA(VLOOKUP(E896,#REF!,1,FALSE())),"?TYPE_IDENTIFIABLE","?REFERENTIAL"),"_")))))</f>
        <v> </v>
      </c>
      <c r="H896" s="24" t="str">
        <f>IF(J896&lt;&gt;1,"",IF(I896="SBJ","CB","?"))</f>
        <v> </v>
      </c>
      <c r="I896" s="25" t="str">
        <f>IF(OR(E896="",E896="!!!",F896="NEW"),"",INDEX(B895:B$2,-1+SUMPRODUCT(MAX(ROW(E895:E$2)*(E896=E895:E$2)))))</f>
        <v> </v>
      </c>
      <c r="J896" s="25" t="str">
        <f>IF(OR(E896="",E896="!!!",F896="NEW"),"",COUNTBLANK(OFFSET(A$1,,,SUMPRODUCT(MAX(ROW(E$2:E896)*(E896=E$2:E896)))))-COUNTBLANK(OFFSET(A$1,,,SUMPRODUCT(MAX(ROW(E$1:E895)*(E2=E$1:E895))))))</f>
        <v> </v>
      </c>
      <c r="K896" s="25" t="str">
        <f>IF(OR(E896="",E896="!!!",F896="NEW"),"",INDEX(J$1:J895,SUMPRODUCT(MAX(ROW(E$1:E895)*(E896=E$1:E895)))))</f>
        <v> </v>
      </c>
      <c r="L896" s="26"/>
    </row>
    <row r="897" spans="1:12">
      <c r="A897" s="20" t="s">
        <v>320</v>
      </c>
      <c r="E897" s="21">
        <f>IF(D897="?OLD","!!!","")</f>
        <v/>
      </c>
      <c r="F897" s="22" t="str">
        <f>IF(OR(E897="",E897="!!!"),"",IF(NOT(ISNA(VLOOKUP(E897,E$1:E896,1,FALSE()))),"OLD",IF(AND(E897&lt;&gt;"",E897&lt;&gt;"!!!"),"NEW","")))</f>
        <v> </v>
      </c>
      <c r="G897" s="23" t="str">
        <f>IF(OR(E897="",E897="!!!"),"",IF(OR(J897=0,AND(J897=1,K897=1),AND(J897=1,I897="SBJ"),AND(J897=1,I897=0)),"?IN_FOCUS",IF(J897&lt;=2,"?ACTIVATED",IF(J897&lt;&gt;"","?FAMILIAR",IF(F897="NEW",IF(ISNA(VLOOKUP(E897,#REF!,1,FALSE())),"?TYPE_IDENTIFIABLE","?REFERENTIAL"),"_")))))</f>
        <v> </v>
      </c>
      <c r="H897" s="24" t="str">
        <f>IF(J897&lt;&gt;1,"",IF(I897="SBJ","CB","?"))</f>
        <v> </v>
      </c>
      <c r="I897" s="25" t="str">
        <f>IF(OR(E897="",E897="!!!",F897="NEW"),"",INDEX(B896:B$2,-1+SUMPRODUCT(MAX(ROW(E896:E$2)*(E897=E896:E$2)))))</f>
        <v> </v>
      </c>
      <c r="J897" s="25" t="str">
        <f>IF(OR(E897="",E897="!!!",F897="NEW"),"",COUNTBLANK(OFFSET(A$1,,,SUMPRODUCT(MAX(ROW(E$2:E897)*(E897=E$2:E897)))))-COUNTBLANK(OFFSET(A$1,,,SUMPRODUCT(MAX(ROW(E$1:E896)*(E2=E$1:E896))))))</f>
        <v> </v>
      </c>
      <c r="K897" s="25" t="str">
        <f>IF(OR(E897="",E897="!!!",F897="NEW"),"",INDEX(J$1:J896,SUMPRODUCT(MAX(ROW(E$1:E896)*(E897=E$1:E896)))))</f>
        <v> </v>
      </c>
      <c r="L897" s="26"/>
    </row>
    <row r="898" spans="1:12">
      <c r="A898" s="20"/>
    </row>
    <row r="899" spans="1:12">
      <c r="A899" s="20" t="s">
        <v>610</v>
      </c>
    </row>
    <row r="900" spans="1:12">
      <c r="A900" s="20" t="s">
        <v>322</v>
      </c>
      <c r="E900" s="21">
        <f>IF(D900="?OLD","!!!","")</f>
        <v/>
      </c>
      <c r="F900" s="22" t="str">
        <f>IF(OR(E900="",E900="!!!"),"",IF(NOT(ISNA(VLOOKUP(E900,E$1:E899,1,FALSE()))),"OLD",IF(AND(E900&lt;&gt;"",E900&lt;&gt;"!!!"),"NEW","")))</f>
        <v> </v>
      </c>
      <c r="G900" s="23" t="str">
        <f>IF(OR(E900="",E900="!!!"),"",IF(OR(J900=0,AND(J900=1,K900=1),AND(J900=1,I900="SBJ"),AND(J900=1,I900=0)),"?IN_FOCUS",IF(J900&lt;=2,"?ACTIVATED",IF(J900&lt;&gt;"","?FAMILIAR",IF(F900="NEW",IF(ISNA(VLOOKUP(E900,#REF!,1,FALSE())),"?TYPE_IDENTIFIABLE","?REFERENTIAL"),"_")))))</f>
        <v> </v>
      </c>
      <c r="H900" s="24" t="str">
        <f>IF(J900&lt;&gt;1,"",IF(I900="SBJ","CB","?"))</f>
        <v> </v>
      </c>
      <c r="I900" s="25" t="str">
        <f>IF(OR(E900="",E900="!!!",F900="NEW"),"",INDEX(B899:B$2,-1+SUMPRODUCT(MAX(ROW(E899:E$2)*(E900=E899:E$2)))))</f>
        <v> </v>
      </c>
      <c r="J900" s="25" t="str">
        <f>IF(OR(E900="",E900="!!!",F900="NEW"),"",COUNTBLANK(OFFSET(A$1,,,SUMPRODUCT(MAX(ROW(E$2:E900)*(E900=E$2:E900)))))-COUNTBLANK(OFFSET(A$1,,,SUMPRODUCT(MAX(ROW(E$1:E899)*(E2=E$1:E899))))))</f>
        <v> </v>
      </c>
      <c r="K900" s="25" t="str">
        <f>IF(OR(E900="",E900="!!!",F900="NEW"),"",INDEX(J$1:J899,SUMPRODUCT(MAX(ROW(E$1:E899)*(E900=E$1:E899)))))</f>
        <v> </v>
      </c>
      <c r="L900" s="26"/>
    </row>
    <row r="901" spans="1:12">
      <c r="A901" s="20" t="s">
        <v>282</v>
      </c>
      <c r="B901" s="27" t="s">
        <v>256</v>
      </c>
      <c r="C901" s="27" t="s">
        <v>257</v>
      </c>
      <c r="D901" s="27" t="s">
        <v>258</v>
      </c>
      <c r="E901" s="21">
        <f>IF(D901="?OLD","!!!","")</f>
        <v/>
      </c>
      <c r="F901" s="22" t="str">
        <f>IF(OR(E901="",E901="!!!"),"",IF(NOT(ISNA(VLOOKUP(E901,E$1:E900,1,FALSE()))),"OLD",IF(AND(E901&lt;&gt;"",E901&lt;&gt;"!!!"),"NEW","")))</f>
        <v> </v>
      </c>
      <c r="G901" s="23" t="str">
        <f>IF(OR(E901="",E901="!!!"),"",IF(OR(J901=0,AND(J901=1,K901=1),AND(J901=1,I901="SBJ"),AND(J901=1,I901=0)),"?IN_FOCUS",IF(J901&lt;=2,"?ACTIVATED",IF(J901&lt;&gt;"","?FAMILIAR",IF(F901="NEW",IF(ISNA(VLOOKUP(E901,#REF!,1,FALSE())),"?TYPE_IDENTIFIABLE","?REFERENTIAL"),"_")))))</f>
        <v> </v>
      </c>
      <c r="H901" s="24" t="str">
        <f>IF(J901&lt;&gt;1,"",IF(I901="SBJ","CB","?"))</f>
        <v> </v>
      </c>
      <c r="I901" s="25" t="str">
        <f>IF(OR(E901="",E901="!!!",F901="NEW"),"",INDEX(B900:B$2,-1+SUMPRODUCT(MAX(ROW(E900:E$2)*(E901=E900:E$2)))))</f>
        <v> </v>
      </c>
      <c r="J901" s="25" t="str">
        <f>IF(OR(E901="",E901="!!!",F901="NEW"),"",COUNTBLANK(OFFSET(A$1,,,SUMPRODUCT(MAX(ROW(E$2:E901)*(E901=E$2:E901)))))-COUNTBLANK(OFFSET(A$1,,,SUMPRODUCT(MAX(ROW(E$1:E900)*(E2=E$1:E900))))))</f>
        <v> </v>
      </c>
      <c r="K901" s="25" t="str">
        <f>IF(OR(E901="",E901="!!!",F901="NEW"),"",INDEX(J$1:J900,SUMPRODUCT(MAX(ROW(E$1:E900)*(E901=E$1:E900)))))</f>
        <v> </v>
      </c>
      <c r="L901" s="26"/>
    </row>
    <row r="902" spans="1:12">
      <c r="A902" s="20" t="s">
        <v>259</v>
      </c>
      <c r="E902" s="21">
        <f>IF(D902="?OLD","!!!","")</f>
        <v/>
      </c>
      <c r="F902" s="22" t="str">
        <f>IF(OR(E902="",E902="!!!"),"",IF(NOT(ISNA(VLOOKUP(E902,E$1:E901,1,FALSE()))),"OLD",IF(AND(E902&lt;&gt;"",E902&lt;&gt;"!!!"),"NEW","")))</f>
        <v> </v>
      </c>
      <c r="G902" s="23" t="str">
        <f>IF(OR(E902="",E902="!!!"),"",IF(OR(J902=0,AND(J902=1,K902=1),AND(J902=1,I902="SBJ"),AND(J902=1,I902=0)),"?IN_FOCUS",IF(J902&lt;=2,"?ACTIVATED",IF(J902&lt;&gt;"","?FAMILIAR",IF(F902="NEW",IF(ISNA(VLOOKUP(E902,#REF!,1,FALSE())),"?TYPE_IDENTIFIABLE","?REFERENTIAL"),"_")))))</f>
        <v> </v>
      </c>
      <c r="H902" s="24" t="str">
        <f>IF(J902&lt;&gt;1,"",IF(I902="SBJ","CB","?"))</f>
        <v> </v>
      </c>
      <c r="I902" s="25" t="str">
        <f>IF(OR(E902="",E902="!!!",F902="NEW"),"",INDEX(B901:B$2,-1+SUMPRODUCT(MAX(ROW(E901:E$2)*(E902=E901:E$2)))))</f>
        <v> </v>
      </c>
      <c r="J902" s="25" t="str">
        <f>IF(OR(E902="",E902="!!!",F902="NEW"),"",COUNTBLANK(OFFSET(A$1,,,SUMPRODUCT(MAX(ROW(E$2:E902)*(E902=E$2:E902)))))-COUNTBLANK(OFFSET(A$1,,,SUMPRODUCT(MAX(ROW(E$1:E901)*(E2=E$1:E901))))))</f>
        <v> </v>
      </c>
      <c r="K902" s="25" t="str">
        <f>IF(OR(E902="",E902="!!!",F902="NEW"),"",INDEX(J$1:J901,SUMPRODUCT(MAX(ROW(E$1:E901)*(E902=E$1:E901)))))</f>
        <v> </v>
      </c>
      <c r="L902" s="26"/>
    </row>
    <row r="903" spans="1:12">
      <c r="A903" s="20" t="s">
        <v>71</v>
      </c>
      <c r="E903" s="21">
        <f>IF(D903="?OLD","!!!","")</f>
        <v/>
      </c>
      <c r="F903" s="22" t="str">
        <f>IF(OR(E903="",E903="!!!"),"",IF(NOT(ISNA(VLOOKUP(E903,E$1:E902,1,FALSE()))),"OLD",IF(AND(E903&lt;&gt;"",E903&lt;&gt;"!!!"),"NEW","")))</f>
        <v> </v>
      </c>
      <c r="G903" s="23" t="str">
        <f>IF(OR(E903="",E903="!!!"),"",IF(OR(J903=0,AND(J903=1,K903=1),AND(J903=1,I903="SBJ"),AND(J903=1,I903=0)),"?IN_FOCUS",IF(J903&lt;=2,"?ACTIVATED",IF(J903&lt;&gt;"","?FAMILIAR",IF(F903="NEW",IF(ISNA(VLOOKUP(E903,#REF!,1,FALSE())),"?TYPE_IDENTIFIABLE","?REFERENTIAL"),"_")))))</f>
        <v> </v>
      </c>
      <c r="H903" s="24" t="str">
        <f>IF(J903&lt;&gt;1,"",IF(I903="SBJ","CB","?"))</f>
        <v> </v>
      </c>
      <c r="I903" s="25" t="str">
        <f>IF(OR(E903="",E903="!!!",F903="NEW"),"",INDEX(B902:B$2,-1+SUMPRODUCT(MAX(ROW(E902:E$2)*(E903=E902:E$2)))))</f>
        <v> </v>
      </c>
      <c r="J903" s="25" t="str">
        <f>IF(OR(E903="",E903="!!!",F903="NEW"),"",COUNTBLANK(OFFSET(A$1,,,SUMPRODUCT(MAX(ROW(E$2:E903)*(E903=E$2:E903)))))-COUNTBLANK(OFFSET(A$1,,,SUMPRODUCT(MAX(ROW(E$1:E902)*(E2=E$1:E902))))))</f>
        <v> </v>
      </c>
      <c r="K903" s="25" t="str">
        <f>IF(OR(E903="",E903="!!!",F903="NEW"),"",INDEX(J$1:J902,SUMPRODUCT(MAX(ROW(E$1:E902)*(E903=E$1:E902)))))</f>
        <v> </v>
      </c>
      <c r="L903" s="26"/>
    </row>
    <row r="904" spans="1:12">
      <c r="A904" s="20" t="s">
        <v>271</v>
      </c>
      <c r="E904" s="21">
        <f>IF(D904="?OLD","!!!","")</f>
        <v/>
      </c>
      <c r="F904" s="22" t="str">
        <f>IF(OR(E904="",E904="!!!"),"",IF(NOT(ISNA(VLOOKUP(E904,E$1:E903,1,FALSE()))),"OLD",IF(AND(E904&lt;&gt;"",E904&lt;&gt;"!!!"),"NEW","")))</f>
        <v> </v>
      </c>
      <c r="G904" s="23" t="str">
        <f>IF(OR(E904="",E904="!!!"),"",IF(OR(J904=0,AND(J904=1,K904=1),AND(J904=1,I904="SBJ"),AND(J904=1,I904=0)),"?IN_FOCUS",IF(J904&lt;=2,"?ACTIVATED",IF(J904&lt;&gt;"","?FAMILIAR",IF(F904="NEW",IF(ISNA(VLOOKUP(E904,#REF!,1,FALSE())),"?TYPE_IDENTIFIABLE","?REFERENTIAL"),"_")))))</f>
        <v> </v>
      </c>
      <c r="H904" s="24" t="str">
        <f>IF(J904&lt;&gt;1,"",IF(I904="SBJ","CB","?"))</f>
        <v> </v>
      </c>
      <c r="I904" s="25" t="str">
        <f>IF(OR(E904="",E904="!!!",F904="NEW"),"",INDEX(B903:B$2,-1+SUMPRODUCT(MAX(ROW(E903:E$2)*(E904=E903:E$2)))))</f>
        <v> </v>
      </c>
      <c r="J904" s="25" t="str">
        <f>IF(OR(E904="",E904="!!!",F904="NEW"),"",COUNTBLANK(OFFSET(A$1,,,SUMPRODUCT(MAX(ROW(E$2:E904)*(E904=E$2:E904)))))-COUNTBLANK(OFFSET(A$1,,,SUMPRODUCT(MAX(ROW(E$1:E903)*(E2=E$1:E903))))))</f>
        <v> </v>
      </c>
      <c r="K904" s="25" t="str">
        <f>IF(OR(E904="",E904="!!!",F904="NEW"),"",INDEX(J$1:J903,SUMPRODUCT(MAX(ROW(E$1:E903)*(E904=E$1:E903)))))</f>
        <v> </v>
      </c>
      <c r="L904" s="26"/>
    </row>
    <row r="905" spans="1:12">
      <c r="A905" s="20" t="s">
        <v>82</v>
      </c>
      <c r="E905" s="21">
        <f>IF(D905="?OLD","!!!","")</f>
        <v/>
      </c>
      <c r="F905" s="22" t="str">
        <f>IF(OR(E905="",E905="!!!"),"",IF(NOT(ISNA(VLOOKUP(E905,E$1:E904,1,FALSE()))),"OLD",IF(AND(E905&lt;&gt;"",E905&lt;&gt;"!!!"),"NEW","")))</f>
        <v> </v>
      </c>
      <c r="G905" s="23" t="str">
        <f>IF(OR(E905="",E905="!!!"),"",IF(OR(J905=0,AND(J905=1,K905=1),AND(J905=1,I905="SBJ"),AND(J905=1,I905=0)),"?IN_FOCUS",IF(J905&lt;=2,"?ACTIVATED",IF(J905&lt;&gt;"","?FAMILIAR",IF(F905="NEW",IF(ISNA(VLOOKUP(E905,#REF!,1,FALSE())),"?TYPE_IDENTIFIABLE","?REFERENTIAL"),"_")))))</f>
        <v> </v>
      </c>
      <c r="H905" s="24" t="str">
        <f>IF(J905&lt;&gt;1,"",IF(I905="SBJ","CB","?"))</f>
        <v> </v>
      </c>
      <c r="I905" s="25" t="str">
        <f>IF(OR(E905="",E905="!!!",F905="NEW"),"",INDEX(B904:B$2,-1+SUMPRODUCT(MAX(ROW(E904:E$2)*(E905=E904:E$2)))))</f>
        <v> </v>
      </c>
      <c r="J905" s="25" t="str">
        <f>IF(OR(E905="",E905="!!!",F905="NEW"),"",COUNTBLANK(OFFSET(A$1,,,SUMPRODUCT(MAX(ROW(E$2:E905)*(E905=E$2:E905)))))-COUNTBLANK(OFFSET(A$1,,,SUMPRODUCT(MAX(ROW(E$1:E904)*(E2=E$1:E904))))))</f>
        <v> </v>
      </c>
      <c r="K905" s="25" t="str">
        <f>IF(OR(E905="",E905="!!!",F905="NEW"),"",INDEX(J$1:J904,SUMPRODUCT(MAX(ROW(E$1:E904)*(E905=E$1:E904)))))</f>
        <v> </v>
      </c>
      <c r="L905" s="26"/>
    </row>
    <row r="906" spans="1:12">
      <c r="A906" s="20" t="s">
        <v>271</v>
      </c>
      <c r="E906" s="21">
        <f>IF(D906="?OLD","!!!","")</f>
        <v/>
      </c>
      <c r="F906" s="22" t="str">
        <f>IF(OR(E906="",E906="!!!"),"",IF(NOT(ISNA(VLOOKUP(E906,E$1:E905,1,FALSE()))),"OLD",IF(AND(E906&lt;&gt;"",E906&lt;&gt;"!!!"),"NEW","")))</f>
        <v> </v>
      </c>
      <c r="G906" s="23" t="str">
        <f>IF(OR(E906="",E906="!!!"),"",IF(OR(J906=0,AND(J906=1,K906=1),AND(J906=1,I906="SBJ"),AND(J906=1,I906=0)),"?IN_FOCUS",IF(J906&lt;=2,"?ACTIVATED",IF(J906&lt;&gt;"","?FAMILIAR",IF(F906="NEW",IF(ISNA(VLOOKUP(E906,#REF!,1,FALSE())),"?TYPE_IDENTIFIABLE","?REFERENTIAL"),"_")))))</f>
        <v> </v>
      </c>
      <c r="H906" s="24" t="str">
        <f>IF(J906&lt;&gt;1,"",IF(I906="SBJ","CB","?"))</f>
        <v> </v>
      </c>
      <c r="I906" s="25" t="str">
        <f>IF(OR(E906="",E906="!!!",F906="NEW"),"",INDEX(B905:B$2,-1+SUMPRODUCT(MAX(ROW(E905:E$2)*(E906=E905:E$2)))))</f>
        <v> </v>
      </c>
      <c r="J906" s="25" t="str">
        <f>IF(OR(E906="",E906="!!!",F906="NEW"),"",COUNTBLANK(OFFSET(A$1,,,SUMPRODUCT(MAX(ROW(E$2:E906)*(E906=E$2:E906)))))-COUNTBLANK(OFFSET(A$1,,,SUMPRODUCT(MAX(ROW(E$1:E905)*(E2=E$1:E905))))))</f>
        <v> </v>
      </c>
      <c r="K906" s="25" t="str">
        <f>IF(OR(E906="",E906="!!!",F906="NEW"),"",INDEX(J$1:J905,SUMPRODUCT(MAX(ROW(E$1:E905)*(E906=E$1:E905)))))</f>
        <v> </v>
      </c>
      <c r="L906" s="26"/>
    </row>
    <row r="907" spans="1:12">
      <c r="A907" s="20" t="s">
        <v>293</v>
      </c>
      <c r="E907" s="21">
        <f>IF(D907="?OLD","!!!","")</f>
        <v/>
      </c>
      <c r="F907" s="22" t="str">
        <f>IF(OR(E907="",E907="!!!"),"",IF(NOT(ISNA(VLOOKUP(E907,E$1:E906,1,FALSE()))),"OLD",IF(AND(E907&lt;&gt;"",E907&lt;&gt;"!!!"),"NEW","")))</f>
        <v> </v>
      </c>
      <c r="G907" s="23" t="str">
        <f>IF(OR(E907="",E907="!!!"),"",IF(OR(J907=0,AND(J907=1,K907=1),AND(J907=1,I907="SBJ"),AND(J907=1,I907=0)),"?IN_FOCUS",IF(J907&lt;=2,"?ACTIVATED",IF(J907&lt;&gt;"","?FAMILIAR",IF(F907="NEW",IF(ISNA(VLOOKUP(E907,#REF!,1,FALSE())),"?TYPE_IDENTIFIABLE","?REFERENTIAL"),"_")))))</f>
        <v> </v>
      </c>
      <c r="H907" s="24" t="str">
        <f>IF(J907&lt;&gt;1,"",IF(I907="SBJ","CB","?"))</f>
        <v> </v>
      </c>
      <c r="I907" s="25" t="str">
        <f>IF(OR(E907="",E907="!!!",F907="NEW"),"",INDEX(B906:B$2,-1+SUMPRODUCT(MAX(ROW(E906:E$2)*(E907=E906:E$2)))))</f>
        <v> </v>
      </c>
      <c r="J907" s="25" t="str">
        <f>IF(OR(E907="",E907="!!!",F907="NEW"),"",COUNTBLANK(OFFSET(A$1,,,SUMPRODUCT(MAX(ROW(E$2:E907)*(E907=E$2:E907)))))-COUNTBLANK(OFFSET(A$1,,,SUMPRODUCT(MAX(ROW(E$1:E906)*(E2=E$1:E906))))))</f>
        <v> </v>
      </c>
      <c r="K907" s="25" t="str">
        <f>IF(OR(E907="",E907="!!!",F907="NEW"),"",INDEX(J$1:J906,SUMPRODUCT(MAX(ROW(E$1:E906)*(E907=E$1:E906)))))</f>
        <v> </v>
      </c>
      <c r="L907" s="26"/>
    </row>
    <row r="908" spans="1:12">
      <c r="A908" s="20" t="s">
        <v>483</v>
      </c>
      <c r="E908" s="21">
        <f>IF(D908="?OLD","!!!","")</f>
        <v/>
      </c>
      <c r="F908" s="22" t="str">
        <f>IF(OR(E908="",E908="!!!"),"",IF(NOT(ISNA(VLOOKUP(E908,E$1:E907,1,FALSE()))),"OLD",IF(AND(E908&lt;&gt;"",E908&lt;&gt;"!!!"),"NEW","")))</f>
        <v> </v>
      </c>
      <c r="G908" s="23" t="str">
        <f>IF(OR(E908="",E908="!!!"),"",IF(OR(J908=0,AND(J908=1,K908=1),AND(J908=1,I908="SBJ"),AND(J908=1,I908=0)),"?IN_FOCUS",IF(J908&lt;=2,"?ACTIVATED",IF(J908&lt;&gt;"","?FAMILIAR",IF(F908="NEW",IF(ISNA(VLOOKUP(E908,#REF!,1,FALSE())),"?TYPE_IDENTIFIABLE","?REFERENTIAL"),"_")))))</f>
        <v> </v>
      </c>
      <c r="H908" s="24" t="str">
        <f>IF(J908&lt;&gt;1,"",IF(I908="SBJ","CB","?"))</f>
        <v> </v>
      </c>
      <c r="I908" s="25" t="str">
        <f>IF(OR(E908="",E908="!!!",F908="NEW"),"",INDEX(B907:B$2,-1+SUMPRODUCT(MAX(ROW(E907:E$2)*(E908=E907:E$2)))))</f>
        <v> </v>
      </c>
      <c r="J908" s="25" t="str">
        <f>IF(OR(E908="",E908="!!!",F908="NEW"),"",COUNTBLANK(OFFSET(A$1,,,SUMPRODUCT(MAX(ROW(E$2:E908)*(E908=E$2:E908)))))-COUNTBLANK(OFFSET(A$1,,,SUMPRODUCT(MAX(ROW(E$1:E907)*(E2=E$1:E907))))))</f>
        <v> </v>
      </c>
      <c r="K908" s="25" t="str">
        <f>IF(OR(E908="",E908="!!!",F908="NEW"),"",INDEX(J$1:J907,SUMPRODUCT(MAX(ROW(E$1:E907)*(E908=E$1:E907)))))</f>
        <v> </v>
      </c>
      <c r="L908" s="26"/>
    </row>
    <row r="909" spans="1:12">
      <c r="A909" s="20" t="s">
        <v>329</v>
      </c>
      <c r="E909" s="21">
        <f>IF(D909="?OLD","!!!","")</f>
        <v/>
      </c>
      <c r="F909" s="22" t="str">
        <f>IF(OR(E909="",E909="!!!"),"",IF(NOT(ISNA(VLOOKUP(E909,E$1:E908,1,FALSE()))),"OLD",IF(AND(E909&lt;&gt;"",E909&lt;&gt;"!!!"),"NEW","")))</f>
        <v> </v>
      </c>
      <c r="G909" s="23" t="str">
        <f>IF(OR(E909="",E909="!!!"),"",IF(OR(J909=0,AND(J909=1,K909=1),AND(J909=1,I909="SBJ"),AND(J909=1,I909=0)),"?IN_FOCUS",IF(J909&lt;=2,"?ACTIVATED",IF(J909&lt;&gt;"","?FAMILIAR",IF(F909="NEW",IF(ISNA(VLOOKUP(E909,#REF!,1,FALSE())),"?TYPE_IDENTIFIABLE","?REFERENTIAL"),"_")))))</f>
        <v> </v>
      </c>
      <c r="H909" s="24" t="str">
        <f>IF(J909&lt;&gt;1,"",IF(I909="SBJ","CB","?"))</f>
        <v> </v>
      </c>
      <c r="I909" s="25" t="str">
        <f>IF(OR(E909="",E909="!!!",F909="NEW"),"",INDEX(B908:B$2,-1+SUMPRODUCT(MAX(ROW(E908:E$2)*(E909=E908:E$2)))))</f>
        <v> </v>
      </c>
      <c r="J909" s="25" t="str">
        <f>IF(OR(E909="",E909="!!!",F909="NEW"),"",COUNTBLANK(OFFSET(A$1,,,SUMPRODUCT(MAX(ROW(E$2:E909)*(E909=E$2:E909)))))-COUNTBLANK(OFFSET(A$1,,,SUMPRODUCT(MAX(ROW(E$1:E908)*(E2=E$1:E908))))))</f>
        <v> </v>
      </c>
      <c r="K909" s="25" t="str">
        <f>IF(OR(E909="",E909="!!!",F909="NEW"),"",INDEX(J$1:J908,SUMPRODUCT(MAX(ROW(E$1:E908)*(E909=E$1:E908)))))</f>
        <v> </v>
      </c>
      <c r="L909" s="26"/>
    </row>
    <row r="910" spans="1:12">
      <c r="A910" s="20" t="s">
        <v>85</v>
      </c>
      <c r="B910" s="27" t="s">
        <v>342</v>
      </c>
      <c r="C910" s="27" t="s">
        <v>334</v>
      </c>
      <c r="E910" s="21">
        <f>IF(D910="?OLD","!!!","")</f>
        <v/>
      </c>
      <c r="F910" s="22" t="str">
        <f>IF(OR(E910="",E910="!!!"),"",IF(NOT(ISNA(VLOOKUP(E910,E$1:E909,1,FALSE()))),"OLD",IF(AND(E910&lt;&gt;"",E910&lt;&gt;"!!!"),"NEW","")))</f>
        <v> </v>
      </c>
      <c r="G910" s="23" t="str">
        <f>IF(OR(E910="",E910="!!!"),"",IF(OR(J910=0,AND(J910=1,K910=1),AND(J910=1,I910="SBJ"),AND(J910=1,I910=0)),"?IN_FOCUS",IF(J910&lt;=2,"?ACTIVATED",IF(J910&lt;&gt;"","?FAMILIAR",IF(F910="NEW",IF(ISNA(VLOOKUP(E910,#REF!,1,FALSE())),"?TYPE_IDENTIFIABLE","?REFERENTIAL"),"_")))))</f>
        <v> </v>
      </c>
      <c r="H910" s="24" t="str">
        <f>IF(J910&lt;&gt;1,"",IF(I910="SBJ","CB","?"))</f>
        <v> </v>
      </c>
      <c r="I910" s="25" t="str">
        <f>IF(OR(E910="",E910="!!!",F910="NEW"),"",INDEX(B909:B$2,-1+SUMPRODUCT(MAX(ROW(E909:E$2)*(E910=E909:E$2)))))</f>
        <v> </v>
      </c>
      <c r="J910" s="25" t="str">
        <f>IF(OR(E910="",E910="!!!",F910="NEW"),"",COUNTBLANK(OFFSET(A$1,,,SUMPRODUCT(MAX(ROW(E$2:E910)*(E910=E$2:E910)))))-COUNTBLANK(OFFSET(A$1,,,SUMPRODUCT(MAX(ROW(E$1:E909)*(E2=E$1:E909))))))</f>
        <v> </v>
      </c>
      <c r="K910" s="25" t="str">
        <f>IF(OR(E910="",E910="!!!",F910="NEW"),"",INDEX(J$1:J909,SUMPRODUCT(MAX(ROW(E$1:E909)*(E910=E$1:E909)))))</f>
        <v> </v>
      </c>
      <c r="L910" s="26"/>
    </row>
    <row r="911" spans="1:12">
      <c r="A911" s="20" t="s">
        <v>326</v>
      </c>
      <c r="E911" s="21">
        <f>IF(D911="?OLD","!!!","")</f>
        <v/>
      </c>
      <c r="F911" s="22" t="str">
        <f>IF(OR(E911="",E911="!!!"),"",IF(NOT(ISNA(VLOOKUP(E911,E$1:E910,1,FALSE()))),"OLD",IF(AND(E911&lt;&gt;"",E911&lt;&gt;"!!!"),"NEW","")))</f>
        <v> </v>
      </c>
      <c r="G911" s="23" t="str">
        <f>IF(OR(E911="",E911="!!!"),"",IF(OR(J911=0,AND(J911=1,K911=1),AND(J911=1,I911="SBJ"),AND(J911=1,I911=0)),"?IN_FOCUS",IF(J911&lt;=2,"?ACTIVATED",IF(J911&lt;&gt;"","?FAMILIAR",IF(F911="NEW",IF(ISNA(VLOOKUP(E911,#REF!,1,FALSE())),"?TYPE_IDENTIFIABLE","?REFERENTIAL"),"_")))))</f>
        <v> </v>
      </c>
      <c r="H911" s="24" t="str">
        <f>IF(J911&lt;&gt;1,"",IF(I911="SBJ","CB","?"))</f>
        <v> </v>
      </c>
      <c r="I911" s="25" t="str">
        <f>IF(OR(E911="",E911="!!!",F911="NEW"),"",INDEX(B910:B$2,-1+SUMPRODUCT(MAX(ROW(E910:E$2)*(E911=E910:E$2)))))</f>
        <v> </v>
      </c>
      <c r="J911" s="25" t="str">
        <f>IF(OR(E911="",E911="!!!",F911="NEW"),"",COUNTBLANK(OFFSET(A$1,,,SUMPRODUCT(MAX(ROW(E$2:E911)*(E911=E$2:E911)))))-COUNTBLANK(OFFSET(A$1,,,SUMPRODUCT(MAX(ROW(E$1:E910)*(E2=E$1:E910))))))</f>
        <v> </v>
      </c>
      <c r="K911" s="25" t="str">
        <f>IF(OR(E911="",E911="!!!",F911="NEW"),"",INDEX(J$1:J910,SUMPRODUCT(MAX(ROW(E$1:E910)*(E911=E$1:E910)))))</f>
        <v> </v>
      </c>
      <c r="L911" s="26"/>
    </row>
    <row r="912" spans="1:12">
      <c r="A912" s="20" t="s">
        <v>440</v>
      </c>
      <c r="E912" s="21">
        <f>IF(D912="?OLD","!!!","")</f>
        <v/>
      </c>
      <c r="F912" s="22" t="str">
        <f>IF(OR(E912="",E912="!!!"),"",IF(NOT(ISNA(VLOOKUP(E912,E$1:E911,1,FALSE()))),"OLD",IF(AND(E912&lt;&gt;"",E912&lt;&gt;"!!!"),"NEW","")))</f>
        <v> </v>
      </c>
      <c r="G912" s="23" t="str">
        <f>IF(OR(E912="",E912="!!!"),"",IF(OR(J912=0,AND(J912=1,K912=1),AND(J912=1,I912="SBJ"),AND(J912=1,I912=0)),"?IN_FOCUS",IF(J912&lt;=2,"?ACTIVATED",IF(J912&lt;&gt;"","?FAMILIAR",IF(F912="NEW",IF(ISNA(VLOOKUP(E912,#REF!,1,FALSE())),"?TYPE_IDENTIFIABLE","?REFERENTIAL"),"_")))))</f>
        <v> </v>
      </c>
      <c r="H912" s="24" t="str">
        <f>IF(J912&lt;&gt;1,"",IF(I912="SBJ","CB","?"))</f>
        <v> </v>
      </c>
      <c r="I912" s="25" t="str">
        <f>IF(OR(E912="",E912="!!!",F912="NEW"),"",INDEX(B911:B$2,-1+SUMPRODUCT(MAX(ROW(E911:E$2)*(E912=E911:E$2)))))</f>
        <v> </v>
      </c>
      <c r="J912" s="25" t="str">
        <f>IF(OR(E912="",E912="!!!",F912="NEW"),"",COUNTBLANK(OFFSET(A$1,,,SUMPRODUCT(MAX(ROW(E$2:E912)*(E912=E$2:E912)))))-COUNTBLANK(OFFSET(A$1,,,SUMPRODUCT(MAX(ROW(E$1:E911)*(E2=E$1:E911))))))</f>
        <v> </v>
      </c>
      <c r="K912" s="25" t="str">
        <f>IF(OR(E912="",E912="!!!",F912="NEW"),"",INDEX(J$1:J911,SUMPRODUCT(MAX(ROW(E$1:E911)*(E912=E$1:E911)))))</f>
        <v> </v>
      </c>
      <c r="L912" s="26"/>
    </row>
    <row r="913" spans="1:12">
      <c r="A913" s="20" t="s">
        <v>274</v>
      </c>
      <c r="E913" s="21">
        <f>IF(D913="?OLD","!!!","")</f>
        <v/>
      </c>
      <c r="F913" s="22" t="str">
        <f>IF(OR(E913="",E913="!!!"),"",IF(NOT(ISNA(VLOOKUP(E913,E$1:E912,1,FALSE()))),"OLD",IF(AND(E913&lt;&gt;"",E913&lt;&gt;"!!!"),"NEW","")))</f>
        <v> </v>
      </c>
      <c r="G913" s="23" t="str">
        <f>IF(OR(E913="",E913="!!!"),"",IF(OR(J913=0,AND(J913=1,K913=1),AND(J913=1,I913="SBJ"),AND(J913=1,I913=0)),"?IN_FOCUS",IF(J913&lt;=2,"?ACTIVATED",IF(J913&lt;&gt;"","?FAMILIAR",IF(F913="NEW",IF(ISNA(VLOOKUP(E913,#REF!,1,FALSE())),"?TYPE_IDENTIFIABLE","?REFERENTIAL"),"_")))))</f>
        <v> </v>
      </c>
      <c r="H913" s="24" t="str">
        <f>IF(J913&lt;&gt;1,"",IF(I913="SBJ","CB","?"))</f>
        <v> </v>
      </c>
      <c r="I913" s="25" t="str">
        <f>IF(OR(E913="",E913="!!!",F913="NEW"),"",INDEX(B912:B$2,-1+SUMPRODUCT(MAX(ROW(E912:E$2)*(E913=E912:E$2)))))</f>
        <v> </v>
      </c>
      <c r="J913" s="25" t="str">
        <f>IF(OR(E913="",E913="!!!",F913="NEW"),"",COUNTBLANK(OFFSET(A$1,,,SUMPRODUCT(MAX(ROW(E$2:E913)*(E913=E$2:E913)))))-COUNTBLANK(OFFSET(A$1,,,SUMPRODUCT(MAX(ROW(E$1:E912)*(E2=E$1:E912))))))</f>
        <v> </v>
      </c>
      <c r="K913" s="25" t="str">
        <f>IF(OR(E913="",E913="!!!",F913="NEW"),"",INDEX(J$1:J912,SUMPRODUCT(MAX(ROW(E$1:E912)*(E913=E$1:E912)))))</f>
        <v> </v>
      </c>
      <c r="L913" s="26"/>
    </row>
    <row r="914" spans="1:12">
      <c r="A914" s="20" t="s">
        <v>607</v>
      </c>
      <c r="E914" s="21">
        <f>IF(D914="?OLD","!!!","")</f>
        <v/>
      </c>
      <c r="F914" s="22" t="str">
        <f>IF(OR(E914="",E914="!!!"),"",IF(NOT(ISNA(VLOOKUP(E914,E$1:E913,1,FALSE()))),"OLD",IF(AND(E914&lt;&gt;"",E914&lt;&gt;"!!!"),"NEW","")))</f>
        <v> </v>
      </c>
      <c r="G914" s="23" t="str">
        <f>IF(OR(E914="",E914="!!!"),"",IF(OR(J914=0,AND(J914=1,K914=1),AND(J914=1,I914="SBJ"),AND(J914=1,I914=0)),"?IN_FOCUS",IF(J914&lt;=2,"?ACTIVATED",IF(J914&lt;&gt;"","?FAMILIAR",IF(F914="NEW",IF(ISNA(VLOOKUP(E914,#REF!,1,FALSE())),"?TYPE_IDENTIFIABLE","?REFERENTIAL"),"_")))))</f>
        <v> </v>
      </c>
      <c r="H914" s="24" t="str">
        <f>IF(J914&lt;&gt;1,"",IF(I914="SBJ","CB","?"))</f>
        <v> </v>
      </c>
      <c r="I914" s="25" t="str">
        <f>IF(OR(E914="",E914="!!!",F914="NEW"),"",INDEX(B913:B$2,-1+SUMPRODUCT(MAX(ROW(E913:E$2)*(E914=E913:E$2)))))</f>
        <v> </v>
      </c>
      <c r="J914" s="25" t="str">
        <f>IF(OR(E914="",E914="!!!",F914="NEW"),"",COUNTBLANK(OFFSET(A$1,,,SUMPRODUCT(MAX(ROW(E$2:E914)*(E914=E$2:E914)))))-COUNTBLANK(OFFSET(A$1,,,SUMPRODUCT(MAX(ROW(E$1:E913)*(E2=E$1:E913))))))</f>
        <v> </v>
      </c>
      <c r="K914" s="25" t="str">
        <f>IF(OR(E914="",E914="!!!",F914="NEW"),"",INDEX(J$1:J913,SUMPRODUCT(MAX(ROW(E$1:E913)*(E914=E$1:E913)))))</f>
        <v> </v>
      </c>
      <c r="L914" s="26"/>
    </row>
    <row r="915" spans="1:12">
      <c r="A915" s="20" t="s">
        <v>608</v>
      </c>
      <c r="E915" s="21">
        <f>IF(D915="?OLD","!!!","")</f>
        <v/>
      </c>
      <c r="F915" s="22" t="str">
        <f>IF(OR(E915="",E915="!!!"),"",IF(NOT(ISNA(VLOOKUP(E915,E$1:E914,1,FALSE()))),"OLD",IF(AND(E915&lt;&gt;"",E915&lt;&gt;"!!!"),"NEW","")))</f>
        <v> </v>
      </c>
      <c r="G915" s="23" t="str">
        <f>IF(OR(E915="",E915="!!!"),"",IF(OR(J915=0,AND(J915=1,K915=1),AND(J915=1,I915="SBJ"),AND(J915=1,I915=0)),"?IN_FOCUS",IF(J915&lt;=2,"?ACTIVATED",IF(J915&lt;&gt;"","?FAMILIAR",IF(F915="NEW",IF(ISNA(VLOOKUP(E915,#REF!,1,FALSE())),"?TYPE_IDENTIFIABLE","?REFERENTIAL"),"_")))))</f>
        <v> </v>
      </c>
      <c r="H915" s="24" t="str">
        <f>IF(J915&lt;&gt;1,"",IF(I915="SBJ","CB","?"))</f>
        <v> </v>
      </c>
      <c r="I915" s="25" t="str">
        <f>IF(OR(E915="",E915="!!!",F915="NEW"),"",INDEX(B914:B$2,-1+SUMPRODUCT(MAX(ROW(E914:E$2)*(E915=E914:E$2)))))</f>
        <v> </v>
      </c>
      <c r="J915" s="25" t="str">
        <f>IF(OR(E915="",E915="!!!",F915="NEW"),"",COUNTBLANK(OFFSET(A$1,,,SUMPRODUCT(MAX(ROW(E$2:E915)*(E915=E$2:E915)))))-COUNTBLANK(OFFSET(A$1,,,SUMPRODUCT(MAX(ROW(E$1:E914)*(E2=E$1:E914))))))</f>
        <v> </v>
      </c>
      <c r="K915" s="25" t="str">
        <f>IF(OR(E915="",E915="!!!",F915="NEW"),"",INDEX(J$1:J914,SUMPRODUCT(MAX(ROW(E$1:E914)*(E915=E$1:E914)))))</f>
        <v> </v>
      </c>
      <c r="L915" s="26"/>
    </row>
    <row r="916" spans="1:12">
      <c r="A916" s="20" t="s">
        <v>611</v>
      </c>
      <c r="B916" s="27" t="s">
        <v>291</v>
      </c>
      <c r="C916" s="27" t="s">
        <v>277</v>
      </c>
      <c r="D916" s="27" t="s">
        <v>258</v>
      </c>
      <c r="E916" s="21">
        <f>IF(D916="?OLD","!!!","")</f>
        <v/>
      </c>
      <c r="F916" s="22" t="str">
        <f>IF(OR(E916="",E916="!!!"),"",IF(NOT(ISNA(VLOOKUP(E916,E$1:E915,1,FALSE()))),"OLD",IF(AND(E916&lt;&gt;"",E916&lt;&gt;"!!!"),"NEW","")))</f>
        <v> </v>
      </c>
      <c r="G916" s="23" t="str">
        <f>IF(OR(E916="",E916="!!!"),"",IF(OR(J916=0,AND(J916=1,K916=1),AND(J916=1,I916="SBJ"),AND(J916=1,I916=0)),"?IN_FOCUS",IF(J916&lt;=2,"?ACTIVATED",IF(J916&lt;&gt;"","?FAMILIAR",IF(F916="NEW",IF(ISNA(VLOOKUP(E916,#REF!,1,FALSE())),"?TYPE_IDENTIFIABLE","?REFERENTIAL"),"_")))))</f>
        <v> </v>
      </c>
      <c r="H916" s="24" t="str">
        <f>IF(J916&lt;&gt;1,"",IF(I916="SBJ","CB","?"))</f>
        <v> </v>
      </c>
      <c r="I916" s="25" t="str">
        <f>IF(OR(E916="",E916="!!!",F916="NEW"),"",INDEX(B915:B$2,-1+SUMPRODUCT(MAX(ROW(E915:E$2)*(E916=E915:E$2)))))</f>
        <v> </v>
      </c>
      <c r="J916" s="25" t="str">
        <f>IF(OR(E916="",E916="!!!",F916="NEW"),"",COUNTBLANK(OFFSET(A$1,,,SUMPRODUCT(MAX(ROW(E$2:E916)*(E916=E$2:E916)))))-COUNTBLANK(OFFSET(A$1,,,SUMPRODUCT(MAX(ROW(E$1:E915)*(E2=E$1:E915))))))</f>
        <v> </v>
      </c>
      <c r="K916" s="25" t="str">
        <f>IF(OR(E916="",E916="!!!",F916="NEW"),"",INDEX(J$1:J915,SUMPRODUCT(MAX(ROW(E$1:E915)*(E916=E$1:E915)))))</f>
        <v> </v>
      </c>
      <c r="L916" s="26"/>
    </row>
    <row r="917" spans="1:12">
      <c r="A917" s="20" t="s">
        <v>320</v>
      </c>
      <c r="E917" s="21">
        <f>IF(D917="?OLD","!!!","")</f>
        <v/>
      </c>
      <c r="F917" s="22" t="str">
        <f>IF(OR(E917="",E917="!!!"),"",IF(NOT(ISNA(VLOOKUP(E917,E$1:E916,1,FALSE()))),"OLD",IF(AND(E917&lt;&gt;"",E917&lt;&gt;"!!!"),"NEW","")))</f>
        <v> </v>
      </c>
      <c r="G917" s="23" t="str">
        <f>IF(OR(E917="",E917="!!!"),"",IF(OR(J917=0,AND(J917=1,K917=1),AND(J917=1,I917="SBJ"),AND(J917=1,I917=0)),"?IN_FOCUS",IF(J917&lt;=2,"?ACTIVATED",IF(J917&lt;&gt;"","?FAMILIAR",IF(F917="NEW",IF(ISNA(VLOOKUP(E917,#REF!,1,FALSE())),"?TYPE_IDENTIFIABLE","?REFERENTIAL"),"_")))))</f>
        <v> </v>
      </c>
      <c r="H917" s="24" t="str">
        <f>IF(J917&lt;&gt;1,"",IF(I917="SBJ","CB","?"))</f>
        <v> </v>
      </c>
      <c r="I917" s="25" t="str">
        <f>IF(OR(E917="",E917="!!!",F917="NEW"),"",INDEX(B916:B$2,-1+SUMPRODUCT(MAX(ROW(E916:E$2)*(E917=E916:E$2)))))</f>
        <v> </v>
      </c>
      <c r="J917" s="25" t="str">
        <f>IF(OR(E917="",E917="!!!",F917="NEW"),"",COUNTBLANK(OFFSET(A$1,,,SUMPRODUCT(MAX(ROW(E$2:E917)*(E917=E$2:E917)))))-COUNTBLANK(OFFSET(A$1,,,SUMPRODUCT(MAX(ROW(E$1:E916)*(E2=E$1:E916))))))</f>
        <v> </v>
      </c>
      <c r="K917" s="25" t="str">
        <f>IF(OR(E917="",E917="!!!",F917="NEW"),"",INDEX(J$1:J916,SUMPRODUCT(MAX(ROW(E$1:E916)*(E917=E$1:E916)))))</f>
        <v> </v>
      </c>
      <c r="L917" s="26"/>
    </row>
    <row r="918" spans="1:12">
      <c r="A918" s="20"/>
    </row>
    <row r="919" spans="1:12">
      <c r="A919" s="20" t="s">
        <v>612</v>
      </c>
    </row>
    <row r="920" spans="1:12">
      <c r="A920" s="20" t="s">
        <v>322</v>
      </c>
      <c r="E920" s="21">
        <f>IF(D920="?OLD","!!!","")</f>
        <v/>
      </c>
      <c r="F920" s="22" t="str">
        <f>IF(OR(E920="",E920="!!!"),"",IF(NOT(ISNA(VLOOKUP(E920,E$1:E919,1,FALSE()))),"OLD",IF(AND(E920&lt;&gt;"",E920&lt;&gt;"!!!"),"NEW","")))</f>
        <v> </v>
      </c>
      <c r="G920" s="23" t="str">
        <f>IF(OR(E920="",E920="!!!"),"",IF(OR(J920=0,AND(J920=1,K920=1),AND(J920=1,I920="SBJ"),AND(J920=1,I920=0)),"?IN_FOCUS",IF(J920&lt;=2,"?ACTIVATED",IF(J920&lt;&gt;"","?FAMILIAR",IF(F920="NEW",IF(ISNA(VLOOKUP(E920,#REF!,1,FALSE())),"?TYPE_IDENTIFIABLE","?REFERENTIAL"),"_")))))</f>
        <v> </v>
      </c>
      <c r="H920" s="24" t="str">
        <f>IF(J920&lt;&gt;1,"",IF(I920="SBJ","CB","?"))</f>
        <v> </v>
      </c>
      <c r="I920" s="25" t="str">
        <f>IF(OR(E920="",E920="!!!",F920="NEW"),"",INDEX(B919:B$2,-1+SUMPRODUCT(MAX(ROW(E919:E$2)*(E920=E919:E$2)))))</f>
        <v> </v>
      </c>
      <c r="J920" s="25" t="str">
        <f>IF(OR(E920="",E920="!!!",F920="NEW"),"",COUNTBLANK(OFFSET(A$1,,,SUMPRODUCT(MAX(ROW(E$2:E920)*(E920=E$2:E920)))))-COUNTBLANK(OFFSET(A$1,,,SUMPRODUCT(MAX(ROW(E$1:E919)*(E2=E$1:E919))))))</f>
        <v> </v>
      </c>
      <c r="K920" s="25" t="str">
        <f>IF(OR(E920="",E920="!!!",F920="NEW"),"",INDEX(J$1:J919,SUMPRODUCT(MAX(ROW(E$1:E919)*(E920=E$1:E919)))))</f>
        <v> </v>
      </c>
      <c r="L920" s="26"/>
    </row>
    <row r="921" spans="1:12">
      <c r="A921" s="20" t="s">
        <v>261</v>
      </c>
      <c r="B921" s="27" t="s">
        <v>276</v>
      </c>
      <c r="C921" s="27" t="s">
        <v>257</v>
      </c>
      <c r="D921" s="27" t="s">
        <v>258</v>
      </c>
      <c r="E921" s="21">
        <f>IF(D921="?OLD","!!!","")</f>
        <v/>
      </c>
      <c r="F921" s="22" t="str">
        <f>IF(OR(E921="",E921="!!!"),"",IF(NOT(ISNA(VLOOKUP(E921,E$1:E920,1,FALSE()))),"OLD",IF(AND(E921&lt;&gt;"",E921&lt;&gt;"!!!"),"NEW","")))</f>
        <v> </v>
      </c>
      <c r="G921" s="23" t="str">
        <f>IF(OR(E921="",E921="!!!"),"",IF(OR(J921=0,AND(J921=1,K921=1),AND(J921=1,I921="SBJ"),AND(J921=1,I921=0)),"?IN_FOCUS",IF(J921&lt;=2,"?ACTIVATED",IF(J921&lt;&gt;"","?FAMILIAR",IF(F921="NEW",IF(ISNA(VLOOKUP(E921,#REF!,1,FALSE())),"?TYPE_IDENTIFIABLE","?REFERENTIAL"),"_")))))</f>
        <v> </v>
      </c>
      <c r="H921" s="24" t="str">
        <f>IF(J921&lt;&gt;1,"",IF(I921="SBJ","CB","?"))</f>
        <v> </v>
      </c>
      <c r="I921" s="25" t="str">
        <f>IF(OR(E921="",E921="!!!",F921="NEW"),"",INDEX(B920:B$2,-1+SUMPRODUCT(MAX(ROW(E920:E$2)*(E921=E920:E$2)))))</f>
        <v> </v>
      </c>
      <c r="J921" s="25" t="str">
        <f>IF(OR(E921="",E921="!!!",F921="NEW"),"",COUNTBLANK(OFFSET(A$1,,,SUMPRODUCT(MAX(ROW(E$2:E921)*(E921=E$2:E921)))))-COUNTBLANK(OFFSET(A$1,,,SUMPRODUCT(MAX(ROW(E$1:E920)*(E2=E$1:E920))))))</f>
        <v> </v>
      </c>
      <c r="K921" s="25" t="str">
        <f>IF(OR(E921="",E921="!!!",F921="NEW"),"",INDEX(J$1:J920,SUMPRODUCT(MAX(ROW(E$1:E920)*(E921=E$1:E920)))))</f>
        <v> </v>
      </c>
      <c r="L921" s="26"/>
    </row>
    <row r="922" spans="1:12">
      <c r="A922" s="20" t="s">
        <v>35</v>
      </c>
      <c r="E922" s="21">
        <f>IF(D922="?OLD","!!!","")</f>
        <v/>
      </c>
      <c r="F922" s="22" t="str">
        <f>IF(OR(E922="",E922="!!!"),"",IF(NOT(ISNA(VLOOKUP(E922,E$1:E921,1,FALSE()))),"OLD",IF(AND(E922&lt;&gt;"",E922&lt;&gt;"!!!"),"NEW","")))</f>
        <v> </v>
      </c>
      <c r="G922" s="23" t="str">
        <f>IF(OR(E922="",E922="!!!"),"",IF(OR(J922=0,AND(J922=1,K922=1),AND(J922=1,I922="SBJ"),AND(J922=1,I922=0)),"?IN_FOCUS",IF(J922&lt;=2,"?ACTIVATED",IF(J922&lt;&gt;"","?FAMILIAR",IF(F922="NEW",IF(ISNA(VLOOKUP(E922,#REF!,1,FALSE())),"?TYPE_IDENTIFIABLE","?REFERENTIAL"),"_")))))</f>
        <v> </v>
      </c>
      <c r="H922" s="24" t="str">
        <f>IF(J922&lt;&gt;1,"",IF(I922="SBJ","CB","?"))</f>
        <v> </v>
      </c>
      <c r="I922" s="25" t="str">
        <f>IF(OR(E922="",E922="!!!",F922="NEW"),"",INDEX(B921:B$2,-1+SUMPRODUCT(MAX(ROW(E921:E$2)*(E922=E921:E$2)))))</f>
        <v> </v>
      </c>
      <c r="J922" s="25" t="str">
        <f>IF(OR(E922="",E922="!!!",F922="NEW"),"",COUNTBLANK(OFFSET(A$1,,,SUMPRODUCT(MAX(ROW(E$2:E922)*(E922=E$2:E922)))))-COUNTBLANK(OFFSET(A$1,,,SUMPRODUCT(MAX(ROW(E$1:E921)*(E2=E$1:E921))))))</f>
        <v> </v>
      </c>
      <c r="K922" s="25" t="str">
        <f>IF(OR(E922="",E922="!!!",F922="NEW"),"",INDEX(J$1:J921,SUMPRODUCT(MAX(ROW(E$1:E921)*(E922=E$1:E921)))))</f>
        <v> </v>
      </c>
      <c r="L922" s="26"/>
    </row>
    <row r="923" spans="1:12">
      <c r="A923" s="20" t="s">
        <v>271</v>
      </c>
      <c r="E923" s="21">
        <f>IF(D923="?OLD","!!!","")</f>
        <v/>
      </c>
      <c r="F923" s="22" t="str">
        <f>IF(OR(E923="",E923="!!!"),"",IF(NOT(ISNA(VLOOKUP(E923,E$1:E922,1,FALSE()))),"OLD",IF(AND(E923&lt;&gt;"",E923&lt;&gt;"!!!"),"NEW","")))</f>
        <v> </v>
      </c>
      <c r="G923" s="23" t="str">
        <f>IF(OR(E923="",E923="!!!"),"",IF(OR(J923=0,AND(J923=1,K923=1),AND(J923=1,I923="SBJ"),AND(J923=1,I923=0)),"?IN_FOCUS",IF(J923&lt;=2,"?ACTIVATED",IF(J923&lt;&gt;"","?FAMILIAR",IF(F923="NEW",IF(ISNA(VLOOKUP(E923,#REF!,1,FALSE())),"?TYPE_IDENTIFIABLE","?REFERENTIAL"),"_")))))</f>
        <v> </v>
      </c>
      <c r="H923" s="24" t="str">
        <f>IF(J923&lt;&gt;1,"",IF(I923="SBJ","CB","?"))</f>
        <v> </v>
      </c>
      <c r="I923" s="25" t="str">
        <f>IF(OR(E923="",E923="!!!",F923="NEW"),"",INDEX(B922:B$2,-1+SUMPRODUCT(MAX(ROW(E922:E$2)*(E923=E922:E$2)))))</f>
        <v> </v>
      </c>
      <c r="J923" s="25" t="str">
        <f>IF(OR(E923="",E923="!!!",F923="NEW"),"",COUNTBLANK(OFFSET(A$1,,,SUMPRODUCT(MAX(ROW(E$2:E923)*(E923=E$2:E923)))))-COUNTBLANK(OFFSET(A$1,,,SUMPRODUCT(MAX(ROW(E$1:E922)*(E2=E$1:E922))))))</f>
        <v> </v>
      </c>
      <c r="K923" s="25" t="str">
        <f>IF(OR(E923="",E923="!!!",F923="NEW"),"",INDEX(J$1:J922,SUMPRODUCT(MAX(ROW(E$1:E922)*(E923=E$1:E922)))))</f>
        <v> </v>
      </c>
      <c r="L923" s="26"/>
    </row>
    <row r="924" spans="1:12">
      <c r="A924" s="20" t="s">
        <v>282</v>
      </c>
      <c r="B924" s="27" t="s">
        <v>256</v>
      </c>
      <c r="C924" s="27" t="s">
        <v>257</v>
      </c>
      <c r="D924" s="27" t="s">
        <v>258</v>
      </c>
      <c r="E924" s="21">
        <f>IF(D924="?OLD","!!!","")</f>
        <v/>
      </c>
      <c r="F924" s="22" t="str">
        <f>IF(OR(E924="",E924="!!!"),"",IF(NOT(ISNA(VLOOKUP(E924,E$1:E923,1,FALSE()))),"OLD",IF(AND(E924&lt;&gt;"",E924&lt;&gt;"!!!"),"NEW","")))</f>
        <v> </v>
      </c>
      <c r="G924" s="23" t="str">
        <f>IF(OR(E924="",E924="!!!"),"",IF(OR(J924=0,AND(J924=1,K924=1),AND(J924=1,I924="SBJ"),AND(J924=1,I924=0)),"?IN_FOCUS",IF(J924&lt;=2,"?ACTIVATED",IF(J924&lt;&gt;"","?FAMILIAR",IF(F924="NEW",IF(ISNA(VLOOKUP(E924,#REF!,1,FALSE())),"?TYPE_IDENTIFIABLE","?REFERENTIAL"),"_")))))</f>
        <v> </v>
      </c>
      <c r="H924" s="24" t="str">
        <f>IF(J924&lt;&gt;1,"",IF(I924="SBJ","CB","?"))</f>
        <v> </v>
      </c>
      <c r="I924" s="25" t="str">
        <f>IF(OR(E924="",E924="!!!",F924="NEW"),"",INDEX(B923:B$2,-1+SUMPRODUCT(MAX(ROW(E923:E$2)*(E924=E923:E$2)))))</f>
        <v> </v>
      </c>
      <c r="J924" s="25" t="str">
        <f>IF(OR(E924="",E924="!!!",F924="NEW"),"",COUNTBLANK(OFFSET(A$1,,,SUMPRODUCT(MAX(ROW(E$2:E924)*(E924=E$2:E924)))))-COUNTBLANK(OFFSET(A$1,,,SUMPRODUCT(MAX(ROW(E$1:E923)*(E2=E$1:E923))))))</f>
        <v> </v>
      </c>
      <c r="K924" s="25" t="str">
        <f>IF(OR(E924="",E924="!!!",F924="NEW"),"",INDEX(J$1:J923,SUMPRODUCT(MAX(ROW(E$1:E923)*(E924=E$1:E923)))))</f>
        <v> </v>
      </c>
      <c r="L924" s="26"/>
    </row>
    <row r="925" spans="1:12">
      <c r="A925" s="20" t="s">
        <v>324</v>
      </c>
      <c r="E925" s="21">
        <f>IF(D925="?OLD","!!!","")</f>
        <v/>
      </c>
      <c r="F925" s="22" t="str">
        <f>IF(OR(E925="",E925="!!!"),"",IF(NOT(ISNA(VLOOKUP(E925,E$1:E924,1,FALSE()))),"OLD",IF(AND(E925&lt;&gt;"",E925&lt;&gt;"!!!"),"NEW","")))</f>
        <v> </v>
      </c>
      <c r="G925" s="23" t="str">
        <f>IF(OR(E925="",E925="!!!"),"",IF(OR(J925=0,AND(J925=1,K925=1),AND(J925=1,I925="SBJ"),AND(J925=1,I925=0)),"?IN_FOCUS",IF(J925&lt;=2,"?ACTIVATED",IF(J925&lt;&gt;"","?FAMILIAR",IF(F925="NEW",IF(ISNA(VLOOKUP(E925,#REF!,1,FALSE())),"?TYPE_IDENTIFIABLE","?REFERENTIAL"),"_")))))</f>
        <v> </v>
      </c>
      <c r="H925" s="24" t="str">
        <f>IF(J925&lt;&gt;1,"",IF(I925="SBJ","CB","?"))</f>
        <v> </v>
      </c>
      <c r="I925" s="25" t="str">
        <f>IF(OR(E925="",E925="!!!",F925="NEW"),"",INDEX(B924:B$2,-1+SUMPRODUCT(MAX(ROW(E924:E$2)*(E925=E924:E$2)))))</f>
        <v> </v>
      </c>
      <c r="J925" s="25" t="str">
        <f>IF(OR(E925="",E925="!!!",F925="NEW"),"",COUNTBLANK(OFFSET(A$1,,,SUMPRODUCT(MAX(ROW(E$2:E925)*(E925=E$2:E925)))))-COUNTBLANK(OFFSET(A$1,,,SUMPRODUCT(MAX(ROW(E$1:E924)*(E2=E$1:E924))))))</f>
        <v> </v>
      </c>
      <c r="K925" s="25" t="str">
        <f>IF(OR(E925="",E925="!!!",F925="NEW"),"",INDEX(J$1:J924,SUMPRODUCT(MAX(ROW(E$1:E924)*(E925=E$1:E924)))))</f>
        <v> </v>
      </c>
      <c r="L925" s="26"/>
    </row>
    <row r="926" spans="1:12">
      <c r="A926" s="20" t="s">
        <v>613</v>
      </c>
      <c r="E926" s="21">
        <f>IF(D926="?OLD","!!!","")</f>
        <v/>
      </c>
      <c r="F926" s="22" t="str">
        <f>IF(OR(E926="",E926="!!!"),"",IF(NOT(ISNA(VLOOKUP(E926,E$1:E925,1,FALSE()))),"OLD",IF(AND(E926&lt;&gt;"",E926&lt;&gt;"!!!"),"NEW","")))</f>
        <v> </v>
      </c>
      <c r="G926" s="23" t="str">
        <f>IF(OR(E926="",E926="!!!"),"",IF(OR(J926=0,AND(J926=1,K926=1),AND(J926=1,I926="SBJ"),AND(J926=1,I926=0)),"?IN_FOCUS",IF(J926&lt;=2,"?ACTIVATED",IF(J926&lt;&gt;"","?FAMILIAR",IF(F926="NEW",IF(ISNA(VLOOKUP(E926,#REF!,1,FALSE())),"?TYPE_IDENTIFIABLE","?REFERENTIAL"),"_")))))</f>
        <v> </v>
      </c>
      <c r="H926" s="24" t="str">
        <f>IF(J926&lt;&gt;1,"",IF(I926="SBJ","CB","?"))</f>
        <v> </v>
      </c>
      <c r="I926" s="25" t="str">
        <f>IF(OR(E926="",E926="!!!",F926="NEW"),"",INDEX(B925:B$2,-1+SUMPRODUCT(MAX(ROW(E925:E$2)*(E926=E925:E$2)))))</f>
        <v> </v>
      </c>
      <c r="J926" s="25" t="str">
        <f>IF(OR(E926="",E926="!!!",F926="NEW"),"",COUNTBLANK(OFFSET(A$1,,,SUMPRODUCT(MAX(ROW(E$2:E926)*(E926=E$2:E926)))))-COUNTBLANK(OFFSET(A$1,,,SUMPRODUCT(MAX(ROW(E$1:E925)*(E2=E$1:E925))))))</f>
        <v> </v>
      </c>
      <c r="K926" s="25" t="str">
        <f>IF(OR(E926="",E926="!!!",F926="NEW"),"",INDEX(J$1:J925,SUMPRODUCT(MAX(ROW(E$1:E925)*(E926=E$1:E925)))))</f>
        <v> </v>
      </c>
      <c r="L926" s="26"/>
    </row>
    <row r="927" spans="1:12">
      <c r="A927" s="20" t="s">
        <v>274</v>
      </c>
      <c r="E927" s="21">
        <f>IF(D927="?OLD","!!!","")</f>
        <v/>
      </c>
      <c r="F927" s="22" t="str">
        <f>IF(OR(E927="",E927="!!!"),"",IF(NOT(ISNA(VLOOKUP(E927,E$1:E926,1,FALSE()))),"OLD",IF(AND(E927&lt;&gt;"",E927&lt;&gt;"!!!"),"NEW","")))</f>
        <v> </v>
      </c>
      <c r="G927" s="23" t="str">
        <f>IF(OR(E927="",E927="!!!"),"",IF(OR(J927=0,AND(J927=1,K927=1),AND(J927=1,I927="SBJ"),AND(J927=1,I927=0)),"?IN_FOCUS",IF(J927&lt;=2,"?ACTIVATED",IF(J927&lt;&gt;"","?FAMILIAR",IF(F927="NEW",IF(ISNA(VLOOKUP(E927,#REF!,1,FALSE())),"?TYPE_IDENTIFIABLE","?REFERENTIAL"),"_")))))</f>
        <v> </v>
      </c>
      <c r="H927" s="24" t="str">
        <f>IF(J927&lt;&gt;1,"",IF(I927="SBJ","CB","?"))</f>
        <v> </v>
      </c>
      <c r="I927" s="25" t="str">
        <f>IF(OR(E927="",E927="!!!",F927="NEW"),"",INDEX(B926:B$2,-1+SUMPRODUCT(MAX(ROW(E926:E$2)*(E927=E926:E$2)))))</f>
        <v> </v>
      </c>
      <c r="J927" s="25" t="str">
        <f>IF(OR(E927="",E927="!!!",F927="NEW"),"",COUNTBLANK(OFFSET(A$1,,,SUMPRODUCT(MAX(ROW(E$2:E927)*(E927=E$2:E927)))))-COUNTBLANK(OFFSET(A$1,,,SUMPRODUCT(MAX(ROW(E$1:E926)*(E2=E$1:E926))))))</f>
        <v> </v>
      </c>
      <c r="K927" s="25" t="str">
        <f>IF(OR(E927="",E927="!!!",F927="NEW"),"",INDEX(J$1:J926,SUMPRODUCT(MAX(ROW(E$1:E926)*(E927=E$1:E926)))))</f>
        <v> </v>
      </c>
      <c r="L927" s="26"/>
    </row>
    <row r="928" spans="1:12">
      <c r="A928" s="20" t="s">
        <v>443</v>
      </c>
      <c r="B928" s="27" t="s">
        <v>262</v>
      </c>
      <c r="C928" s="27" t="s">
        <v>277</v>
      </c>
      <c r="D928" s="27" t="s">
        <v>258</v>
      </c>
      <c r="E928" s="21">
        <f>IF(D928="?OLD","!!!","")</f>
        <v/>
      </c>
      <c r="F928" s="22" t="str">
        <f>IF(OR(E928="",E928="!!!"),"",IF(NOT(ISNA(VLOOKUP(E928,E$1:E927,1,FALSE()))),"OLD",IF(AND(E928&lt;&gt;"",E928&lt;&gt;"!!!"),"NEW","")))</f>
        <v> </v>
      </c>
      <c r="G928" s="23" t="str">
        <f>IF(OR(E928="",E928="!!!"),"",IF(OR(J928=0,AND(J928=1,K928=1),AND(J928=1,I928="SBJ"),AND(J928=1,I928=0)),"?IN_FOCUS",IF(J928&lt;=2,"?ACTIVATED",IF(J928&lt;&gt;"","?FAMILIAR",IF(F928="NEW",IF(ISNA(VLOOKUP(E928,#REF!,1,FALSE())),"?TYPE_IDENTIFIABLE","?REFERENTIAL"),"_")))))</f>
        <v> </v>
      </c>
      <c r="H928" s="24" t="str">
        <f>IF(J928&lt;&gt;1,"",IF(I928="SBJ","CB","?"))</f>
        <v> </v>
      </c>
      <c r="I928" s="25" t="str">
        <f>IF(OR(E928="",E928="!!!",F928="NEW"),"",INDEX(B927:B$2,-1+SUMPRODUCT(MAX(ROW(E927:E$2)*(E928=E927:E$2)))))</f>
        <v> </v>
      </c>
      <c r="J928" s="25" t="str">
        <f>IF(OR(E928="",E928="!!!",F928="NEW"),"",COUNTBLANK(OFFSET(A$1,,,SUMPRODUCT(MAX(ROW(E$2:E928)*(E928=E$2:E928)))))-COUNTBLANK(OFFSET(A$1,,,SUMPRODUCT(MAX(ROW(E$1:E927)*(E2=E$1:E927))))))</f>
        <v> </v>
      </c>
      <c r="K928" s="25" t="str">
        <f>IF(OR(E928="",E928="!!!",F928="NEW"),"",INDEX(J$1:J927,SUMPRODUCT(MAX(ROW(E$1:E927)*(E928=E$1:E927)))))</f>
        <v> </v>
      </c>
      <c r="L928" s="26"/>
    </row>
    <row r="929" spans="1:12">
      <c r="A929" s="20" t="s">
        <v>395</v>
      </c>
      <c r="E929" s="21">
        <f>IF(D929="?OLD","!!!","")</f>
        <v/>
      </c>
      <c r="F929" s="22" t="str">
        <f>IF(OR(E929="",E929="!!!"),"",IF(NOT(ISNA(VLOOKUP(E929,E$1:E928,1,FALSE()))),"OLD",IF(AND(E929&lt;&gt;"",E929&lt;&gt;"!!!"),"NEW","")))</f>
        <v> </v>
      </c>
      <c r="G929" s="23" t="str">
        <f>IF(OR(E929="",E929="!!!"),"",IF(OR(J929=0,AND(J929=1,K929=1),AND(J929=1,I929="SBJ"),AND(J929=1,I929=0)),"?IN_FOCUS",IF(J929&lt;=2,"?ACTIVATED",IF(J929&lt;&gt;"","?FAMILIAR",IF(F929="NEW",IF(ISNA(VLOOKUP(E929,#REF!,1,FALSE())),"?TYPE_IDENTIFIABLE","?REFERENTIAL"),"_")))))</f>
        <v> </v>
      </c>
      <c r="H929" s="24" t="str">
        <f>IF(J929&lt;&gt;1,"",IF(I929="SBJ","CB","?"))</f>
        <v> </v>
      </c>
      <c r="I929" s="25" t="str">
        <f>IF(OR(E929="",E929="!!!",F929="NEW"),"",INDEX(B928:B$2,-1+SUMPRODUCT(MAX(ROW(E928:E$2)*(E929=E928:E$2)))))</f>
        <v> </v>
      </c>
      <c r="J929" s="25" t="str">
        <f>IF(OR(E929="",E929="!!!",F929="NEW"),"",COUNTBLANK(OFFSET(A$1,,,SUMPRODUCT(MAX(ROW(E$2:E929)*(E929=E$2:E929)))))-COUNTBLANK(OFFSET(A$1,,,SUMPRODUCT(MAX(ROW(E$1:E928)*(E2=E$1:E928))))))</f>
        <v> </v>
      </c>
      <c r="K929" s="25" t="str">
        <f>IF(OR(E929="",E929="!!!",F929="NEW"),"",INDEX(J$1:J928,SUMPRODUCT(MAX(ROW(E$1:E928)*(E929=E$1:E928)))))</f>
        <v> </v>
      </c>
      <c r="L929" s="26"/>
    </row>
    <row r="930" spans="1:12">
      <c r="A930" s="20" t="s">
        <v>274</v>
      </c>
      <c r="E930" s="21">
        <f>IF(D930="?OLD","!!!","")</f>
        <v/>
      </c>
      <c r="F930" s="22" t="str">
        <f>IF(OR(E930="",E930="!!!"),"",IF(NOT(ISNA(VLOOKUP(E930,E$1:E929,1,FALSE()))),"OLD",IF(AND(E930&lt;&gt;"",E930&lt;&gt;"!!!"),"NEW","")))</f>
        <v> </v>
      </c>
      <c r="G930" s="23" t="str">
        <f>IF(OR(E930="",E930="!!!"),"",IF(OR(J930=0,AND(J930=1,K930=1),AND(J930=1,I930="SBJ"),AND(J930=1,I930=0)),"?IN_FOCUS",IF(J930&lt;=2,"?ACTIVATED",IF(J930&lt;&gt;"","?FAMILIAR",IF(F930="NEW",IF(ISNA(VLOOKUP(E930,#REF!,1,FALSE())),"?TYPE_IDENTIFIABLE","?REFERENTIAL"),"_")))))</f>
        <v> </v>
      </c>
      <c r="H930" s="24" t="str">
        <f>IF(J930&lt;&gt;1,"",IF(I930="SBJ","CB","?"))</f>
        <v> </v>
      </c>
      <c r="I930" s="25" t="str">
        <f>IF(OR(E930="",E930="!!!",F930="NEW"),"",INDEX(B929:B$2,-1+SUMPRODUCT(MAX(ROW(E929:E$2)*(E930=E929:E$2)))))</f>
        <v> </v>
      </c>
      <c r="J930" s="25" t="str">
        <f>IF(OR(E930="",E930="!!!",F930="NEW"),"",COUNTBLANK(OFFSET(A$1,,,SUMPRODUCT(MAX(ROW(E$2:E930)*(E930=E$2:E930)))))-COUNTBLANK(OFFSET(A$1,,,SUMPRODUCT(MAX(ROW(E$1:E929)*(E2=E$1:E929))))))</f>
        <v> </v>
      </c>
      <c r="K930" s="25" t="str">
        <f>IF(OR(E930="",E930="!!!",F930="NEW"),"",INDEX(J$1:J929,SUMPRODUCT(MAX(ROW(E$1:E929)*(E930=E$1:E929)))))</f>
        <v> </v>
      </c>
      <c r="L930" s="26"/>
    </row>
    <row r="931" spans="1:12">
      <c r="A931" s="20" t="s">
        <v>614</v>
      </c>
      <c r="E931" s="21">
        <f>IF(D931="?OLD","!!!","")</f>
        <v/>
      </c>
      <c r="F931" s="22" t="str">
        <f>IF(OR(E931="",E931="!!!"),"",IF(NOT(ISNA(VLOOKUP(E931,E$1:E930,1,FALSE()))),"OLD",IF(AND(E931&lt;&gt;"",E931&lt;&gt;"!!!"),"NEW","")))</f>
        <v> </v>
      </c>
      <c r="G931" s="23" t="str">
        <f>IF(OR(E931="",E931="!!!"),"",IF(OR(J931=0,AND(J931=1,K931=1),AND(J931=1,I931="SBJ"),AND(J931=1,I931=0)),"?IN_FOCUS",IF(J931&lt;=2,"?ACTIVATED",IF(J931&lt;&gt;"","?FAMILIAR",IF(F931="NEW",IF(ISNA(VLOOKUP(E931,#REF!,1,FALSE())),"?TYPE_IDENTIFIABLE","?REFERENTIAL"),"_")))))</f>
        <v> </v>
      </c>
      <c r="H931" s="24" t="str">
        <f>IF(J931&lt;&gt;1,"",IF(I931="SBJ","CB","?"))</f>
        <v> </v>
      </c>
      <c r="I931" s="25" t="str">
        <f>IF(OR(E931="",E931="!!!",F931="NEW"),"",INDEX(B930:B$2,-1+SUMPRODUCT(MAX(ROW(E930:E$2)*(E931=E930:E$2)))))</f>
        <v> </v>
      </c>
      <c r="J931" s="25" t="str">
        <f>IF(OR(E931="",E931="!!!",F931="NEW"),"",COUNTBLANK(OFFSET(A$1,,,SUMPRODUCT(MAX(ROW(E$2:E931)*(E931=E$2:E931)))))-COUNTBLANK(OFFSET(A$1,,,SUMPRODUCT(MAX(ROW(E$1:E930)*(E2=E$1:E930))))))</f>
        <v> </v>
      </c>
      <c r="K931" s="25" t="str">
        <f>IF(OR(E931="",E931="!!!",F931="NEW"),"",INDEX(J$1:J930,SUMPRODUCT(MAX(ROW(E$1:E930)*(E931=E$1:E930)))))</f>
        <v> </v>
      </c>
      <c r="L931" s="26"/>
    </row>
    <row r="932" spans="1:12">
      <c r="A932" s="20" t="s">
        <v>615</v>
      </c>
      <c r="B932" s="27" t="s">
        <v>267</v>
      </c>
      <c r="C932" s="27" t="s">
        <v>277</v>
      </c>
      <c r="D932" s="27" t="s">
        <v>258</v>
      </c>
      <c r="E932" s="21">
        <f>IF(D932="?OLD","!!!","")</f>
        <v/>
      </c>
      <c r="F932" s="22" t="str">
        <f>IF(OR(E932="",E932="!!!"),"",IF(NOT(ISNA(VLOOKUP(E932,E$1:E931,1,FALSE()))),"OLD",IF(AND(E932&lt;&gt;"",E932&lt;&gt;"!!!"),"NEW","")))</f>
        <v> </v>
      </c>
      <c r="G932" s="23" t="str">
        <f>IF(OR(E932="",E932="!!!"),"",IF(OR(J932=0,AND(J932=1,K932=1),AND(J932=1,I932="SBJ"),AND(J932=1,I932=0)),"?IN_FOCUS",IF(J932&lt;=2,"?ACTIVATED",IF(J932&lt;&gt;"","?FAMILIAR",IF(F932="NEW",IF(ISNA(VLOOKUP(E932,#REF!,1,FALSE())),"?TYPE_IDENTIFIABLE","?REFERENTIAL"),"_")))))</f>
        <v> </v>
      </c>
      <c r="H932" s="24" t="str">
        <f>IF(J932&lt;&gt;1,"",IF(I932="SBJ","CB","?"))</f>
        <v> </v>
      </c>
      <c r="I932" s="25" t="str">
        <f>IF(OR(E932="",E932="!!!",F932="NEW"),"",INDEX(B931:B$2,-1+SUMPRODUCT(MAX(ROW(E931:E$2)*(E932=E931:E$2)))))</f>
        <v> </v>
      </c>
      <c r="J932" s="25" t="str">
        <f>IF(OR(E932="",E932="!!!",F932="NEW"),"",COUNTBLANK(OFFSET(A$1,,,SUMPRODUCT(MAX(ROW(E$2:E932)*(E932=E$2:E932)))))-COUNTBLANK(OFFSET(A$1,,,SUMPRODUCT(MAX(ROW(E$1:E931)*(E2=E$1:E931))))))</f>
        <v> </v>
      </c>
      <c r="K932" s="25" t="str">
        <f>IF(OR(E932="",E932="!!!",F932="NEW"),"",INDEX(J$1:J931,SUMPRODUCT(MAX(ROW(E$1:E931)*(E932=E$1:E931)))))</f>
        <v> </v>
      </c>
      <c r="L932" s="26"/>
    </row>
    <row r="933" spans="1:12">
      <c r="A933" s="20" t="s">
        <v>427</v>
      </c>
      <c r="E933" s="21">
        <f>IF(D933="?OLD","!!!","")</f>
        <v/>
      </c>
      <c r="F933" s="22" t="str">
        <f>IF(OR(E933="",E933="!!!"),"",IF(NOT(ISNA(VLOOKUP(E933,E$1:E932,1,FALSE()))),"OLD",IF(AND(E933&lt;&gt;"",E933&lt;&gt;"!!!"),"NEW","")))</f>
        <v> </v>
      </c>
      <c r="G933" s="23" t="str">
        <f>IF(OR(E933="",E933="!!!"),"",IF(OR(J933=0,AND(J933=1,K933=1),AND(J933=1,I933="SBJ"),AND(J933=1,I933=0)),"?IN_FOCUS",IF(J933&lt;=2,"?ACTIVATED",IF(J933&lt;&gt;"","?FAMILIAR",IF(F933="NEW",IF(ISNA(VLOOKUP(E933,#REF!,1,FALSE())),"?TYPE_IDENTIFIABLE","?REFERENTIAL"),"_")))))</f>
        <v> </v>
      </c>
      <c r="H933" s="24" t="str">
        <f>IF(J933&lt;&gt;1,"",IF(I933="SBJ","CB","?"))</f>
        <v> </v>
      </c>
      <c r="I933" s="25" t="str">
        <f>IF(OR(E933="",E933="!!!",F933="NEW"),"",INDEX(B932:B$2,-1+SUMPRODUCT(MAX(ROW(E932:E$2)*(E933=E932:E$2)))))</f>
        <v> </v>
      </c>
      <c r="J933" s="25" t="str">
        <f>IF(OR(E933="",E933="!!!",F933="NEW"),"",COUNTBLANK(OFFSET(A$1,,,SUMPRODUCT(MAX(ROW(E$2:E933)*(E933=E$2:E933)))))-COUNTBLANK(OFFSET(A$1,,,SUMPRODUCT(MAX(ROW(E$1:E932)*(E2=E$1:E932))))))</f>
        <v> </v>
      </c>
      <c r="K933" s="25" t="str">
        <f>IF(OR(E933="",E933="!!!",F933="NEW"),"",INDEX(J$1:J932,SUMPRODUCT(MAX(ROW(E$1:E932)*(E933=E$1:E932)))))</f>
        <v> </v>
      </c>
      <c r="L933" s="26"/>
    </row>
    <row r="934" spans="1:12">
      <c r="A934" s="20" t="s">
        <v>409</v>
      </c>
      <c r="E934" s="21">
        <f>IF(D934="?OLD","!!!","")</f>
        <v/>
      </c>
      <c r="F934" s="22" t="str">
        <f>IF(OR(E934="",E934="!!!"),"",IF(NOT(ISNA(VLOOKUP(E934,E$1:E933,1,FALSE()))),"OLD",IF(AND(E934&lt;&gt;"",E934&lt;&gt;"!!!"),"NEW","")))</f>
        <v> </v>
      </c>
      <c r="G934" s="23" t="str">
        <f>IF(OR(E934="",E934="!!!"),"",IF(OR(J934=0,AND(J934=1,K934=1),AND(J934=1,I934="SBJ"),AND(J934=1,I934=0)),"?IN_FOCUS",IF(J934&lt;=2,"?ACTIVATED",IF(J934&lt;&gt;"","?FAMILIAR",IF(F934="NEW",IF(ISNA(VLOOKUP(E934,#REF!,1,FALSE())),"?TYPE_IDENTIFIABLE","?REFERENTIAL"),"_")))))</f>
        <v> </v>
      </c>
      <c r="H934" s="24" t="str">
        <f>IF(J934&lt;&gt;1,"",IF(I934="SBJ","CB","?"))</f>
        <v> </v>
      </c>
      <c r="I934" s="25" t="str">
        <f>IF(OR(E934="",E934="!!!",F934="NEW"),"",INDEX(B933:B$2,-1+SUMPRODUCT(MAX(ROW(E933:E$2)*(E934=E933:E$2)))))</f>
        <v> </v>
      </c>
      <c r="J934" s="25" t="str">
        <f>IF(OR(E934="",E934="!!!",F934="NEW"),"",COUNTBLANK(OFFSET(A$1,,,SUMPRODUCT(MAX(ROW(E$2:E934)*(E934=E$2:E934)))))-COUNTBLANK(OFFSET(A$1,,,SUMPRODUCT(MAX(ROW(E$1:E933)*(E2=E$1:E933))))))</f>
        <v> </v>
      </c>
      <c r="K934" s="25" t="str">
        <f>IF(OR(E934="",E934="!!!",F934="NEW"),"",INDEX(J$1:J933,SUMPRODUCT(MAX(ROW(E$1:E933)*(E934=E$1:E933)))))</f>
        <v> </v>
      </c>
      <c r="L934" s="26"/>
    </row>
    <row r="935" spans="1:12">
      <c r="A935" s="20" t="s">
        <v>272</v>
      </c>
      <c r="B935" s="27" t="s">
        <v>286</v>
      </c>
      <c r="C935" s="27" t="s">
        <v>257</v>
      </c>
      <c r="D935" s="27" t="s">
        <v>258</v>
      </c>
      <c r="E935" s="21">
        <f>IF(D935="?OLD","!!!","")</f>
        <v/>
      </c>
      <c r="F935" s="22" t="str">
        <f>IF(OR(E935="",E935="!!!"),"",IF(NOT(ISNA(VLOOKUP(E935,E$1:E934,1,FALSE()))),"OLD",IF(AND(E935&lt;&gt;"",E935&lt;&gt;"!!!"),"NEW","")))</f>
        <v> </v>
      </c>
      <c r="G935" s="23" t="str">
        <f>IF(OR(E935="",E935="!!!"),"",IF(OR(J935=0,AND(J935=1,K935=1),AND(J935=1,I935="SBJ"),AND(J935=1,I935=0)),"?IN_FOCUS",IF(J935&lt;=2,"?ACTIVATED",IF(J935&lt;&gt;"","?FAMILIAR",IF(F935="NEW",IF(ISNA(VLOOKUP(E935,#REF!,1,FALSE())),"?TYPE_IDENTIFIABLE","?REFERENTIAL"),"_")))))</f>
        <v> </v>
      </c>
      <c r="H935" s="24" t="str">
        <f>IF(J935&lt;&gt;1,"",IF(I935="SBJ","CB","?"))</f>
        <v> </v>
      </c>
      <c r="I935" s="25" t="str">
        <f>IF(OR(E935="",E935="!!!",F935="NEW"),"",INDEX(B934:B$2,-1+SUMPRODUCT(MAX(ROW(E934:E$2)*(E935=E934:E$2)))))</f>
        <v> </v>
      </c>
      <c r="J935" s="25" t="str">
        <f>IF(OR(E935="",E935="!!!",F935="NEW"),"",COUNTBLANK(OFFSET(A$1,,,SUMPRODUCT(MAX(ROW(E$2:E935)*(E935=E$2:E935)))))-COUNTBLANK(OFFSET(A$1,,,SUMPRODUCT(MAX(ROW(E$1:E934)*(E2=E$1:E934))))))</f>
        <v> </v>
      </c>
      <c r="K935" s="25" t="str">
        <f>IF(OR(E935="",E935="!!!",F935="NEW"),"",INDEX(J$1:J934,SUMPRODUCT(MAX(ROW(E$1:E934)*(E935=E$1:E934)))))</f>
        <v> </v>
      </c>
      <c r="L935" s="26"/>
    </row>
    <row r="936" spans="1:12">
      <c r="A936" s="20" t="s">
        <v>235</v>
      </c>
      <c r="E936" s="21">
        <f>IF(D936="?OLD","!!!","")</f>
        <v/>
      </c>
      <c r="F936" s="22" t="str">
        <f>IF(OR(E936="",E936="!!!"),"",IF(NOT(ISNA(VLOOKUP(E936,E$1:E935,1,FALSE()))),"OLD",IF(AND(E936&lt;&gt;"",E936&lt;&gt;"!!!"),"NEW","")))</f>
        <v> </v>
      </c>
      <c r="G936" s="23" t="str">
        <f>IF(OR(E936="",E936="!!!"),"",IF(OR(J936=0,AND(J936=1,K936=1),AND(J936=1,I936="SBJ"),AND(J936=1,I936=0)),"?IN_FOCUS",IF(J936&lt;=2,"?ACTIVATED",IF(J936&lt;&gt;"","?FAMILIAR",IF(F936="NEW",IF(ISNA(VLOOKUP(E936,#REF!,1,FALSE())),"?TYPE_IDENTIFIABLE","?REFERENTIAL"),"_")))))</f>
        <v> </v>
      </c>
      <c r="H936" s="24" t="str">
        <f>IF(J936&lt;&gt;1,"",IF(I936="SBJ","CB","?"))</f>
        <v> </v>
      </c>
      <c r="I936" s="25" t="str">
        <f>IF(OR(E936="",E936="!!!",F936="NEW"),"",INDEX(B935:B$2,-1+SUMPRODUCT(MAX(ROW(E935:E$2)*(E936=E935:E$2)))))</f>
        <v> </v>
      </c>
      <c r="J936" s="25" t="str">
        <f>IF(OR(E936="",E936="!!!",F936="NEW"),"",COUNTBLANK(OFFSET(A$1,,,SUMPRODUCT(MAX(ROW(E$2:E936)*(E936=E$2:E936)))))-COUNTBLANK(OFFSET(A$1,,,SUMPRODUCT(MAX(ROW(E$1:E935)*(E2=E$1:E935))))))</f>
        <v> </v>
      </c>
      <c r="K936" s="25" t="str">
        <f>IF(OR(E936="",E936="!!!",F936="NEW"),"",INDEX(J$1:J935,SUMPRODUCT(MAX(ROW(E$1:E935)*(E936=E$1:E935)))))</f>
        <v> </v>
      </c>
      <c r="L936" s="26"/>
    </row>
    <row r="937" spans="1:12">
      <c r="A937" s="20" t="s">
        <v>404</v>
      </c>
      <c r="E937" s="21">
        <f>IF(D937="?OLD","!!!","")</f>
        <v/>
      </c>
      <c r="F937" s="22" t="str">
        <f>IF(OR(E937="",E937="!!!"),"",IF(NOT(ISNA(VLOOKUP(E937,E$1:E936,1,FALSE()))),"OLD",IF(AND(E937&lt;&gt;"",E937&lt;&gt;"!!!"),"NEW","")))</f>
        <v> </v>
      </c>
      <c r="G937" s="23" t="str">
        <f>IF(OR(E937="",E937="!!!"),"",IF(OR(J937=0,AND(J937=1,K937=1),AND(J937=1,I937="SBJ"),AND(J937=1,I937=0)),"?IN_FOCUS",IF(J937&lt;=2,"?ACTIVATED",IF(J937&lt;&gt;"","?FAMILIAR",IF(F937="NEW",IF(ISNA(VLOOKUP(E937,#REF!,1,FALSE())),"?TYPE_IDENTIFIABLE","?REFERENTIAL"),"_")))))</f>
        <v> </v>
      </c>
      <c r="H937" s="24" t="str">
        <f>IF(J937&lt;&gt;1,"",IF(I937="SBJ","CB","?"))</f>
        <v> </v>
      </c>
      <c r="I937" s="25" t="str">
        <f>IF(OR(E937="",E937="!!!",F937="NEW"),"",INDEX(B936:B$2,-1+SUMPRODUCT(MAX(ROW(E936:E$2)*(E937=E936:E$2)))))</f>
        <v> </v>
      </c>
      <c r="J937" s="25" t="str">
        <f>IF(OR(E937="",E937="!!!",F937="NEW"),"",COUNTBLANK(OFFSET(A$1,,,SUMPRODUCT(MAX(ROW(E$2:E937)*(E937=E$2:E937)))))-COUNTBLANK(OFFSET(A$1,,,SUMPRODUCT(MAX(ROW(E$1:E936)*(E2=E$1:E936))))))</f>
        <v> </v>
      </c>
      <c r="K937" s="25" t="str">
        <f>IF(OR(E937="",E937="!!!",F937="NEW"),"",INDEX(J$1:J936,SUMPRODUCT(MAX(ROW(E$1:E936)*(E937=E$1:E936)))))</f>
        <v> </v>
      </c>
      <c r="L937" s="26"/>
    </row>
    <row r="938" spans="1:12">
      <c r="A938" s="20" t="s">
        <v>329</v>
      </c>
      <c r="E938" s="21">
        <f>IF(D938="?OLD","!!!","")</f>
        <v/>
      </c>
      <c r="F938" s="22" t="str">
        <f>IF(OR(E938="",E938="!!!"),"",IF(NOT(ISNA(VLOOKUP(E938,E$1:E937,1,FALSE()))),"OLD",IF(AND(E938&lt;&gt;"",E938&lt;&gt;"!!!"),"NEW","")))</f>
        <v> </v>
      </c>
      <c r="G938" s="23" t="str">
        <f>IF(OR(E938="",E938="!!!"),"",IF(OR(J938=0,AND(J938=1,K938=1),AND(J938=1,I938="SBJ"),AND(J938=1,I938=0)),"?IN_FOCUS",IF(J938&lt;=2,"?ACTIVATED",IF(J938&lt;&gt;"","?FAMILIAR",IF(F938="NEW",IF(ISNA(VLOOKUP(E938,#REF!,1,FALSE())),"?TYPE_IDENTIFIABLE","?REFERENTIAL"),"_")))))</f>
        <v> </v>
      </c>
      <c r="H938" s="24" t="str">
        <f>IF(J938&lt;&gt;1,"",IF(I938="SBJ","CB","?"))</f>
        <v> </v>
      </c>
      <c r="I938" s="25" t="str">
        <f>IF(OR(E938="",E938="!!!",F938="NEW"),"",INDEX(B937:B$2,-1+SUMPRODUCT(MAX(ROW(E937:E$2)*(E938=E937:E$2)))))</f>
        <v> </v>
      </c>
      <c r="J938" s="25" t="str">
        <f>IF(OR(E938="",E938="!!!",F938="NEW"),"",COUNTBLANK(OFFSET(A$1,,,SUMPRODUCT(MAX(ROW(E$2:E938)*(E938=E$2:E938)))))-COUNTBLANK(OFFSET(A$1,,,SUMPRODUCT(MAX(ROW(E$1:E937)*(E2=E$1:E937))))))</f>
        <v> </v>
      </c>
      <c r="K938" s="25" t="str">
        <f>IF(OR(E938="",E938="!!!",F938="NEW"),"",INDEX(J$1:J937,SUMPRODUCT(MAX(ROW(E$1:E937)*(E938=E$1:E937)))))</f>
        <v> </v>
      </c>
      <c r="L938" s="26"/>
    </row>
    <row r="939" spans="1:12">
      <c r="A939" s="20" t="s">
        <v>443</v>
      </c>
      <c r="B939" s="27" t="s">
        <v>328</v>
      </c>
      <c r="C939" s="27" t="s">
        <v>334</v>
      </c>
      <c r="E939" s="21">
        <f>IF(D939="?OLD","!!!","")</f>
        <v/>
      </c>
      <c r="F939" s="22" t="str">
        <f>IF(OR(E939="",E939="!!!"),"",IF(NOT(ISNA(VLOOKUP(E939,E$1:E938,1,FALSE()))),"OLD",IF(AND(E939&lt;&gt;"",E939&lt;&gt;"!!!"),"NEW","")))</f>
        <v> </v>
      </c>
      <c r="G939" s="23" t="str">
        <f>IF(OR(E939="",E939="!!!"),"",IF(OR(J939=0,AND(J939=1,K939=1),AND(J939=1,I939="SBJ"),AND(J939=1,I939=0)),"?IN_FOCUS",IF(J939&lt;=2,"?ACTIVATED",IF(J939&lt;&gt;"","?FAMILIAR",IF(F939="NEW",IF(ISNA(VLOOKUP(E939,#REF!,1,FALSE())),"?TYPE_IDENTIFIABLE","?REFERENTIAL"),"_")))))</f>
        <v> </v>
      </c>
      <c r="H939" s="24" t="str">
        <f>IF(J939&lt;&gt;1,"",IF(I939="SBJ","CB","?"))</f>
        <v> </v>
      </c>
      <c r="I939" s="25" t="str">
        <f>IF(OR(E939="",E939="!!!",F939="NEW"),"",INDEX(B938:B$2,-1+SUMPRODUCT(MAX(ROW(E938:E$2)*(E939=E938:E$2)))))</f>
        <v> </v>
      </c>
      <c r="J939" s="25" t="str">
        <f>IF(OR(E939="",E939="!!!",F939="NEW"),"",COUNTBLANK(OFFSET(A$1,,,SUMPRODUCT(MAX(ROW(E$2:E939)*(E939=E$2:E939)))))-COUNTBLANK(OFFSET(A$1,,,SUMPRODUCT(MAX(ROW(E$1:E938)*(E2=E$1:E938))))))</f>
        <v> </v>
      </c>
      <c r="K939" s="25" t="str">
        <f>IF(OR(E939="",E939="!!!",F939="NEW"),"",INDEX(J$1:J938,SUMPRODUCT(MAX(ROW(E$1:E938)*(E939=E$1:E938)))))</f>
        <v> </v>
      </c>
      <c r="L939" s="26"/>
    </row>
    <row r="940" spans="1:12">
      <c r="A940" s="20" t="s">
        <v>271</v>
      </c>
      <c r="E940" s="21">
        <f>IF(D940="?OLD","!!!","")</f>
        <v/>
      </c>
      <c r="F940" s="22" t="str">
        <f>IF(OR(E940="",E940="!!!"),"",IF(NOT(ISNA(VLOOKUP(E940,E$1:E939,1,FALSE()))),"OLD",IF(AND(E940&lt;&gt;"",E940&lt;&gt;"!!!"),"NEW","")))</f>
        <v> </v>
      </c>
      <c r="G940" s="23" t="str">
        <f>IF(OR(E940="",E940="!!!"),"",IF(OR(J940=0,AND(J940=1,K940=1),AND(J940=1,I940="SBJ"),AND(J940=1,I940=0)),"?IN_FOCUS",IF(J940&lt;=2,"?ACTIVATED",IF(J940&lt;&gt;"","?FAMILIAR",IF(F940="NEW",IF(ISNA(VLOOKUP(E940,#REF!,1,FALSE())),"?TYPE_IDENTIFIABLE","?REFERENTIAL"),"_")))))</f>
        <v> </v>
      </c>
      <c r="H940" s="24" t="str">
        <f>IF(J940&lt;&gt;1,"",IF(I940="SBJ","CB","?"))</f>
        <v> </v>
      </c>
      <c r="I940" s="25" t="str">
        <f>IF(OR(E940="",E940="!!!",F940="NEW"),"",INDEX(B939:B$2,-1+SUMPRODUCT(MAX(ROW(E939:E$2)*(E940=E939:E$2)))))</f>
        <v> </v>
      </c>
      <c r="J940" s="25" t="str">
        <f>IF(OR(E940="",E940="!!!",F940="NEW"),"",COUNTBLANK(OFFSET(A$1,,,SUMPRODUCT(MAX(ROW(E$2:E940)*(E940=E$2:E940)))))-COUNTBLANK(OFFSET(A$1,,,SUMPRODUCT(MAX(ROW(E$1:E939)*(E2=E$1:E939))))))</f>
        <v> </v>
      </c>
      <c r="K940" s="25" t="str">
        <f>IF(OR(E940="",E940="!!!",F940="NEW"),"",INDEX(J$1:J939,SUMPRODUCT(MAX(ROW(E$1:E939)*(E940=E$1:E939)))))</f>
        <v> </v>
      </c>
      <c r="L940" s="26"/>
    </row>
    <row r="941" spans="1:12">
      <c r="A941" s="20" t="s">
        <v>394</v>
      </c>
      <c r="E941" s="21">
        <f>IF(D941="?OLD","!!!","")</f>
        <v/>
      </c>
      <c r="F941" s="22" t="str">
        <f>IF(OR(E941="",E941="!!!"),"",IF(NOT(ISNA(VLOOKUP(E941,E$1:E940,1,FALSE()))),"OLD",IF(AND(E941&lt;&gt;"",E941&lt;&gt;"!!!"),"NEW","")))</f>
        <v> </v>
      </c>
      <c r="G941" s="23" t="str">
        <f>IF(OR(E941="",E941="!!!"),"",IF(OR(J941=0,AND(J941=1,K941=1),AND(J941=1,I941="SBJ"),AND(J941=1,I941=0)),"?IN_FOCUS",IF(J941&lt;=2,"?ACTIVATED",IF(J941&lt;&gt;"","?FAMILIAR",IF(F941="NEW",IF(ISNA(VLOOKUP(E941,#REF!,1,FALSE())),"?TYPE_IDENTIFIABLE","?REFERENTIAL"),"_")))))</f>
        <v> </v>
      </c>
      <c r="H941" s="24" t="str">
        <f>IF(J941&lt;&gt;1,"",IF(I941="SBJ","CB","?"))</f>
        <v> </v>
      </c>
      <c r="I941" s="25" t="str">
        <f>IF(OR(E941="",E941="!!!",F941="NEW"),"",INDEX(B940:B$2,-1+SUMPRODUCT(MAX(ROW(E940:E$2)*(E941=E940:E$2)))))</f>
        <v> </v>
      </c>
      <c r="J941" s="25" t="str">
        <f>IF(OR(E941="",E941="!!!",F941="NEW"),"",COUNTBLANK(OFFSET(A$1,,,SUMPRODUCT(MAX(ROW(E$2:E941)*(E941=E$2:E941)))))-COUNTBLANK(OFFSET(A$1,,,SUMPRODUCT(MAX(ROW(E$1:E940)*(E2=E$1:E940))))))</f>
        <v> </v>
      </c>
      <c r="K941" s="25" t="str">
        <f>IF(OR(E941="",E941="!!!",F941="NEW"),"",INDEX(J$1:J940,SUMPRODUCT(MAX(ROW(E$1:E940)*(E941=E$1:E940)))))</f>
        <v> </v>
      </c>
      <c r="L941" s="26"/>
    </row>
    <row r="942" spans="1:12">
      <c r="A942" s="20" t="s">
        <v>540</v>
      </c>
      <c r="E942" s="21">
        <f>IF(D942="?OLD","!!!","")</f>
        <v/>
      </c>
      <c r="F942" s="22" t="str">
        <f>IF(OR(E942="",E942="!!!"),"",IF(NOT(ISNA(VLOOKUP(E942,E$1:E941,1,FALSE()))),"OLD",IF(AND(E942&lt;&gt;"",E942&lt;&gt;"!!!"),"NEW","")))</f>
        <v> </v>
      </c>
      <c r="G942" s="23" t="str">
        <f>IF(OR(E942="",E942="!!!"),"",IF(OR(J942=0,AND(J942=1,K942=1),AND(J942=1,I942="SBJ"),AND(J942=1,I942=0)),"?IN_FOCUS",IF(J942&lt;=2,"?ACTIVATED",IF(J942&lt;&gt;"","?FAMILIAR",IF(F942="NEW",IF(ISNA(VLOOKUP(E942,#REF!,1,FALSE())),"?TYPE_IDENTIFIABLE","?REFERENTIAL"),"_")))))</f>
        <v> </v>
      </c>
      <c r="H942" s="24" t="str">
        <f>IF(J942&lt;&gt;1,"",IF(I942="SBJ","CB","?"))</f>
        <v> </v>
      </c>
      <c r="I942" s="25" t="str">
        <f>IF(OR(E942="",E942="!!!",F942="NEW"),"",INDEX(B941:B$2,-1+SUMPRODUCT(MAX(ROW(E941:E$2)*(E942=E941:E$2)))))</f>
        <v> </v>
      </c>
      <c r="J942" s="25" t="str">
        <f>IF(OR(E942="",E942="!!!",F942="NEW"),"",COUNTBLANK(OFFSET(A$1,,,SUMPRODUCT(MAX(ROW(E$2:E942)*(E942=E$2:E942)))))-COUNTBLANK(OFFSET(A$1,,,SUMPRODUCT(MAX(ROW(E$1:E941)*(E2=E$1:E941))))))</f>
        <v> </v>
      </c>
      <c r="K942" s="25" t="str">
        <f>IF(OR(E942="",E942="!!!",F942="NEW"),"",INDEX(J$1:J941,SUMPRODUCT(MAX(ROW(E$1:E941)*(E942=E$1:E941)))))</f>
        <v> </v>
      </c>
      <c r="L942" s="26"/>
    </row>
    <row r="943" spans="1:12">
      <c r="A943" s="20" t="s">
        <v>526</v>
      </c>
      <c r="B943" s="27" t="s">
        <v>267</v>
      </c>
      <c r="C943" s="27" t="s">
        <v>270</v>
      </c>
      <c r="E943" s="21">
        <f>IF(D943="?OLD","!!!","")</f>
        <v/>
      </c>
      <c r="F943" s="22" t="str">
        <f>IF(OR(E943="",E943="!!!"),"",IF(NOT(ISNA(VLOOKUP(E943,E$1:E942,1,FALSE()))),"OLD",IF(AND(E943&lt;&gt;"",E943&lt;&gt;"!!!"),"NEW","")))</f>
        <v> </v>
      </c>
      <c r="G943" s="23" t="str">
        <f>IF(OR(E943="",E943="!!!"),"",IF(OR(J943=0,AND(J943=1,K943=1),AND(J943=1,I943="SBJ"),AND(J943=1,I943=0)),"?IN_FOCUS",IF(J943&lt;=2,"?ACTIVATED",IF(J943&lt;&gt;"","?FAMILIAR",IF(F943="NEW",IF(ISNA(VLOOKUP(E943,#REF!,1,FALSE())),"?TYPE_IDENTIFIABLE","?REFERENTIAL"),"_")))))</f>
        <v> </v>
      </c>
      <c r="H943" s="24" t="str">
        <f>IF(J943&lt;&gt;1,"",IF(I943="SBJ","CB","?"))</f>
        <v> </v>
      </c>
      <c r="I943" s="25" t="str">
        <f>IF(OR(E943="",E943="!!!",F943="NEW"),"",INDEX(B942:B$2,-1+SUMPRODUCT(MAX(ROW(E942:E$2)*(E943=E942:E$2)))))</f>
        <v> </v>
      </c>
      <c r="J943" s="25" t="str">
        <f>IF(OR(E943="",E943="!!!",F943="NEW"),"",COUNTBLANK(OFFSET(A$1,,,SUMPRODUCT(MAX(ROW(E$2:E943)*(E943=E$2:E943)))))-COUNTBLANK(OFFSET(A$1,,,SUMPRODUCT(MAX(ROW(E$1:E942)*(E2=E$1:E942))))))</f>
        <v> </v>
      </c>
      <c r="K943" s="25" t="str">
        <f>IF(OR(E943="",E943="!!!",F943="NEW"),"",INDEX(J$1:J942,SUMPRODUCT(MAX(ROW(E$1:E942)*(E943=E$1:E942)))))</f>
        <v> </v>
      </c>
      <c r="L943" s="26"/>
    </row>
    <row r="944" spans="1:12">
      <c r="A944" s="20" t="s">
        <v>16</v>
      </c>
      <c r="E944" s="21">
        <f>IF(D944="?OLD","!!!","")</f>
        <v/>
      </c>
      <c r="F944" s="22" t="str">
        <f>IF(OR(E944="",E944="!!!"),"",IF(NOT(ISNA(VLOOKUP(E944,E$1:E943,1,FALSE()))),"OLD",IF(AND(E944&lt;&gt;"",E944&lt;&gt;"!!!"),"NEW","")))</f>
        <v> </v>
      </c>
      <c r="G944" s="23" t="str">
        <f>IF(OR(E944="",E944="!!!"),"",IF(OR(J944=0,AND(J944=1,K944=1),AND(J944=1,I944="SBJ"),AND(J944=1,I944=0)),"?IN_FOCUS",IF(J944&lt;=2,"?ACTIVATED",IF(J944&lt;&gt;"","?FAMILIAR",IF(F944="NEW",IF(ISNA(VLOOKUP(E944,#REF!,1,FALSE())),"?TYPE_IDENTIFIABLE","?REFERENTIAL"),"_")))))</f>
        <v> </v>
      </c>
      <c r="H944" s="24" t="str">
        <f>IF(J944&lt;&gt;1,"",IF(I944="SBJ","CB","?"))</f>
        <v> </v>
      </c>
      <c r="I944" s="25" t="str">
        <f>IF(OR(E944="",E944="!!!",F944="NEW"),"",INDEX(B943:B$2,-1+SUMPRODUCT(MAX(ROW(E943:E$2)*(E944=E943:E$2)))))</f>
        <v> </v>
      </c>
      <c r="J944" s="25" t="str">
        <f>IF(OR(E944="",E944="!!!",F944="NEW"),"",COUNTBLANK(OFFSET(A$1,,,SUMPRODUCT(MAX(ROW(E$2:E944)*(E944=E$2:E944)))))-COUNTBLANK(OFFSET(A$1,,,SUMPRODUCT(MAX(ROW(E$1:E943)*(E2=E$1:E943))))))</f>
        <v> </v>
      </c>
      <c r="K944" s="25" t="str">
        <f>IF(OR(E944="",E944="!!!",F944="NEW"),"",INDEX(J$1:J943,SUMPRODUCT(MAX(ROW(E$1:E943)*(E944=E$1:E943)))))</f>
        <v> </v>
      </c>
      <c r="L944" s="26"/>
    </row>
    <row r="945" spans="1:12">
      <c r="A945" s="20" t="s">
        <v>305</v>
      </c>
      <c r="E945" s="21">
        <f>IF(D945="?OLD","!!!","")</f>
        <v/>
      </c>
      <c r="F945" s="22" t="str">
        <f>IF(OR(E945="",E945="!!!"),"",IF(NOT(ISNA(VLOOKUP(E945,E$1:E944,1,FALSE()))),"OLD",IF(AND(E945&lt;&gt;"",E945&lt;&gt;"!!!"),"NEW","")))</f>
        <v> </v>
      </c>
      <c r="G945" s="23" t="str">
        <f>IF(OR(E945="",E945="!!!"),"",IF(OR(J945=0,AND(J945=1,K945=1),AND(J945=1,I945="SBJ"),AND(J945=1,I945=0)),"?IN_FOCUS",IF(J945&lt;=2,"?ACTIVATED",IF(J945&lt;&gt;"","?FAMILIAR",IF(F945="NEW",IF(ISNA(VLOOKUP(E945,#REF!,1,FALSE())),"?TYPE_IDENTIFIABLE","?REFERENTIAL"),"_")))))</f>
        <v> </v>
      </c>
      <c r="H945" s="24" t="str">
        <f>IF(J945&lt;&gt;1,"",IF(I945="SBJ","CB","?"))</f>
        <v> </v>
      </c>
      <c r="I945" s="25" t="str">
        <f>IF(OR(E945="",E945="!!!",F945="NEW"),"",INDEX(B944:B$2,-1+SUMPRODUCT(MAX(ROW(E944:E$2)*(E945=E944:E$2)))))</f>
        <v> </v>
      </c>
      <c r="J945" s="25" t="str">
        <f>IF(OR(E945="",E945="!!!",F945="NEW"),"",COUNTBLANK(OFFSET(A$1,,,SUMPRODUCT(MAX(ROW(E$2:E945)*(E945=E$2:E945)))))-COUNTBLANK(OFFSET(A$1,,,SUMPRODUCT(MAX(ROW(E$1:E944)*(E2=E$1:E944))))))</f>
        <v> </v>
      </c>
      <c r="K945" s="25" t="str">
        <f>IF(OR(E945="",E945="!!!",F945="NEW"),"",INDEX(J$1:J944,SUMPRODUCT(MAX(ROW(E$1:E944)*(E945=E$1:E944)))))</f>
        <v> </v>
      </c>
      <c r="L945" s="26"/>
    </row>
    <row r="946" spans="1:12">
      <c r="A946" s="20" t="s">
        <v>16</v>
      </c>
      <c r="E946" s="21">
        <f>IF(D946="?OLD","!!!","")</f>
        <v/>
      </c>
      <c r="F946" s="22" t="str">
        <f>IF(OR(E946="",E946="!!!"),"",IF(NOT(ISNA(VLOOKUP(E946,E$1:E945,1,FALSE()))),"OLD",IF(AND(E946&lt;&gt;"",E946&lt;&gt;"!!!"),"NEW","")))</f>
        <v> </v>
      </c>
      <c r="G946" s="23" t="str">
        <f>IF(OR(E946="",E946="!!!"),"",IF(OR(J946=0,AND(J946=1,K946=1),AND(J946=1,I946="SBJ"),AND(J946=1,I946=0)),"?IN_FOCUS",IF(J946&lt;=2,"?ACTIVATED",IF(J946&lt;&gt;"","?FAMILIAR",IF(F946="NEW",IF(ISNA(VLOOKUP(E946,#REF!,1,FALSE())),"?TYPE_IDENTIFIABLE","?REFERENTIAL"),"_")))))</f>
        <v> </v>
      </c>
      <c r="H946" s="24" t="str">
        <f>IF(J946&lt;&gt;1,"",IF(I946="SBJ","CB","?"))</f>
        <v> </v>
      </c>
      <c r="I946" s="25" t="str">
        <f>IF(OR(E946="",E946="!!!",F946="NEW"),"",INDEX(B945:B$2,-1+SUMPRODUCT(MAX(ROW(E945:E$2)*(E946=E945:E$2)))))</f>
        <v> </v>
      </c>
      <c r="J946" s="25" t="str">
        <f>IF(OR(E946="",E946="!!!",F946="NEW"),"",COUNTBLANK(OFFSET(A$1,,,SUMPRODUCT(MAX(ROW(E$2:E946)*(E946=E$2:E946)))))-COUNTBLANK(OFFSET(A$1,,,SUMPRODUCT(MAX(ROW(E$1:E945)*(E2=E$1:E945))))))</f>
        <v> </v>
      </c>
      <c r="K946" s="25" t="str">
        <f>IF(OR(E946="",E946="!!!",F946="NEW"),"",INDEX(J$1:J945,SUMPRODUCT(MAX(ROW(E$1:E945)*(E946=E$1:E945)))))</f>
        <v> </v>
      </c>
      <c r="L946" s="26"/>
    </row>
    <row r="947" spans="1:12">
      <c r="A947" s="20" t="s">
        <v>526</v>
      </c>
      <c r="B947" s="27" t="s">
        <v>328</v>
      </c>
      <c r="C947" s="27" t="s">
        <v>270</v>
      </c>
      <c r="E947" s="21">
        <f>IF(D947="?OLD","!!!","")</f>
        <v/>
      </c>
      <c r="F947" s="22" t="str">
        <f>IF(OR(E947="",E947="!!!"),"",IF(NOT(ISNA(VLOOKUP(E947,E$1:E946,1,FALSE()))),"OLD",IF(AND(E947&lt;&gt;"",E947&lt;&gt;"!!!"),"NEW","")))</f>
        <v> </v>
      </c>
      <c r="G947" s="23" t="str">
        <f>IF(OR(E947="",E947="!!!"),"",IF(OR(J947=0,AND(J947=1,K947=1),AND(J947=1,I947="SBJ"),AND(J947=1,I947=0)),"?IN_FOCUS",IF(J947&lt;=2,"?ACTIVATED",IF(J947&lt;&gt;"","?FAMILIAR",IF(F947="NEW",IF(ISNA(VLOOKUP(E947,#REF!,1,FALSE())),"?TYPE_IDENTIFIABLE","?REFERENTIAL"),"_")))))</f>
        <v> </v>
      </c>
      <c r="H947" s="24" t="str">
        <f>IF(J947&lt;&gt;1,"",IF(I947="SBJ","CB","?"))</f>
        <v> </v>
      </c>
      <c r="I947" s="25" t="str">
        <f>IF(OR(E947="",E947="!!!",F947="NEW"),"",INDEX(B946:B$2,-1+SUMPRODUCT(MAX(ROW(E946:E$2)*(E947=E946:E$2)))))</f>
        <v> </v>
      </c>
      <c r="J947" s="25" t="str">
        <f>IF(OR(E947="",E947="!!!",F947="NEW"),"",COUNTBLANK(OFFSET(A$1,,,SUMPRODUCT(MAX(ROW(E$2:E947)*(E947=E$2:E947)))))-COUNTBLANK(OFFSET(A$1,,,SUMPRODUCT(MAX(ROW(E$1:E946)*(E2=E$1:E946))))))</f>
        <v> </v>
      </c>
      <c r="K947" s="25" t="str">
        <f>IF(OR(E947="",E947="!!!",F947="NEW"),"",INDEX(J$1:J946,SUMPRODUCT(MAX(ROW(E$1:E946)*(E947=E$1:E946)))))</f>
        <v> </v>
      </c>
      <c r="L947" s="26"/>
    </row>
    <row r="948" spans="1:12">
      <c r="A948" s="20" t="s">
        <v>271</v>
      </c>
      <c r="E948" s="21">
        <f>IF(D948="?OLD","!!!","")</f>
        <v/>
      </c>
      <c r="F948" s="22" t="str">
        <f>IF(OR(E948="",E948="!!!"),"",IF(NOT(ISNA(VLOOKUP(E948,E$1:E947,1,FALSE()))),"OLD",IF(AND(E948&lt;&gt;"",E948&lt;&gt;"!!!"),"NEW","")))</f>
        <v> </v>
      </c>
      <c r="G948" s="23" t="str">
        <f>IF(OR(E948="",E948="!!!"),"",IF(OR(J948=0,AND(J948=1,K948=1),AND(J948=1,I948="SBJ"),AND(J948=1,I948=0)),"?IN_FOCUS",IF(J948&lt;=2,"?ACTIVATED",IF(J948&lt;&gt;"","?FAMILIAR",IF(F948="NEW",IF(ISNA(VLOOKUP(E948,#REF!,1,FALSE())),"?TYPE_IDENTIFIABLE","?REFERENTIAL"),"_")))))</f>
        <v> </v>
      </c>
      <c r="H948" s="24" t="str">
        <f>IF(J948&lt;&gt;1,"",IF(I948="SBJ","CB","?"))</f>
        <v> </v>
      </c>
      <c r="I948" s="25" t="str">
        <f>IF(OR(E948="",E948="!!!",F948="NEW"),"",INDEX(B947:B$2,-1+SUMPRODUCT(MAX(ROW(E947:E$2)*(E948=E947:E$2)))))</f>
        <v> </v>
      </c>
      <c r="J948" s="25" t="str">
        <f>IF(OR(E948="",E948="!!!",F948="NEW"),"",COUNTBLANK(OFFSET(A$1,,,SUMPRODUCT(MAX(ROW(E$2:E948)*(E948=E$2:E948)))))-COUNTBLANK(OFFSET(A$1,,,SUMPRODUCT(MAX(ROW(E$1:E947)*(E2=E$1:E947))))))</f>
        <v> </v>
      </c>
      <c r="K948" s="25" t="str">
        <f>IF(OR(E948="",E948="!!!",F948="NEW"),"",INDEX(J$1:J947,SUMPRODUCT(MAX(ROW(E$1:E947)*(E948=E$1:E947)))))</f>
        <v> </v>
      </c>
      <c r="L948" s="26"/>
    </row>
    <row r="949" spans="1:12">
      <c r="A949" s="20" t="s">
        <v>393</v>
      </c>
      <c r="E949" s="21">
        <f>IF(D949="?OLD","!!!","")</f>
        <v/>
      </c>
      <c r="F949" s="22" t="str">
        <f>IF(OR(E949="",E949="!!!"),"",IF(NOT(ISNA(VLOOKUP(E949,E$1:E948,1,FALSE()))),"OLD",IF(AND(E949&lt;&gt;"",E949&lt;&gt;"!!!"),"NEW","")))</f>
        <v> </v>
      </c>
      <c r="G949" s="23" t="str">
        <f>IF(OR(E949="",E949="!!!"),"",IF(OR(J949=0,AND(J949=1,K949=1),AND(J949=1,I949="SBJ"),AND(J949=1,I949=0)),"?IN_FOCUS",IF(J949&lt;=2,"?ACTIVATED",IF(J949&lt;&gt;"","?FAMILIAR",IF(F949="NEW",IF(ISNA(VLOOKUP(E949,#REF!,1,FALSE())),"?TYPE_IDENTIFIABLE","?REFERENTIAL"),"_")))))</f>
        <v> </v>
      </c>
      <c r="H949" s="24" t="str">
        <f>IF(J949&lt;&gt;1,"",IF(I949="SBJ","CB","?"))</f>
        <v> </v>
      </c>
      <c r="I949" s="25" t="str">
        <f>IF(OR(E949="",E949="!!!",F949="NEW"),"",INDEX(B948:B$2,-1+SUMPRODUCT(MAX(ROW(E948:E$2)*(E949=E948:E$2)))))</f>
        <v> </v>
      </c>
      <c r="J949" s="25" t="str">
        <f>IF(OR(E949="",E949="!!!",F949="NEW"),"",COUNTBLANK(OFFSET(A$1,,,SUMPRODUCT(MAX(ROW(E$2:E949)*(E949=E$2:E949)))))-COUNTBLANK(OFFSET(A$1,,,SUMPRODUCT(MAX(ROW(E$1:E948)*(E2=E$1:E948))))))</f>
        <v> </v>
      </c>
      <c r="K949" s="25" t="str">
        <f>IF(OR(E949="",E949="!!!",F949="NEW"),"",INDEX(J$1:J948,SUMPRODUCT(MAX(ROW(E$1:E948)*(E949=E$1:E948)))))</f>
        <v> </v>
      </c>
      <c r="L949" s="26"/>
    </row>
    <row r="950" spans="1:12">
      <c r="A950" s="20" t="s">
        <v>326</v>
      </c>
      <c r="E950" s="21">
        <f>IF(D950="?OLD","!!!","")</f>
        <v/>
      </c>
      <c r="F950" s="22" t="str">
        <f>IF(OR(E950="",E950="!!!"),"",IF(NOT(ISNA(VLOOKUP(E950,E$1:E949,1,FALSE()))),"OLD",IF(AND(E950&lt;&gt;"",E950&lt;&gt;"!!!"),"NEW","")))</f>
        <v> </v>
      </c>
      <c r="G950" s="23" t="str">
        <f>IF(OR(E950="",E950="!!!"),"",IF(OR(J950=0,AND(J950=1,K950=1),AND(J950=1,I950="SBJ"),AND(J950=1,I950=0)),"?IN_FOCUS",IF(J950&lt;=2,"?ACTIVATED",IF(J950&lt;&gt;"","?FAMILIAR",IF(F950="NEW",IF(ISNA(VLOOKUP(E950,#REF!,1,FALSE())),"?TYPE_IDENTIFIABLE","?REFERENTIAL"),"_")))))</f>
        <v> </v>
      </c>
      <c r="H950" s="24" t="str">
        <f>IF(J950&lt;&gt;1,"",IF(I950="SBJ","CB","?"))</f>
        <v> </v>
      </c>
      <c r="I950" s="25" t="str">
        <f>IF(OR(E950="",E950="!!!",F950="NEW"),"",INDEX(B949:B$2,-1+SUMPRODUCT(MAX(ROW(E949:E$2)*(E950=E949:E$2)))))</f>
        <v> </v>
      </c>
      <c r="J950" s="25" t="str">
        <f>IF(OR(E950="",E950="!!!",F950="NEW"),"",COUNTBLANK(OFFSET(A$1,,,SUMPRODUCT(MAX(ROW(E$2:E950)*(E950=E$2:E950)))))-COUNTBLANK(OFFSET(A$1,,,SUMPRODUCT(MAX(ROW(E$1:E949)*(E2=E$1:E949))))))</f>
        <v> </v>
      </c>
      <c r="K950" s="25" t="str">
        <f>IF(OR(E950="",E950="!!!",F950="NEW"),"",INDEX(J$1:J949,SUMPRODUCT(MAX(ROW(E$1:E949)*(E950=E$1:E949)))))</f>
        <v> </v>
      </c>
      <c r="L950" s="26"/>
    </row>
    <row r="951" spans="1:12">
      <c r="A951" s="20" t="s">
        <v>329</v>
      </c>
      <c r="E951" s="21">
        <f>IF(D951="?OLD","!!!","")</f>
        <v/>
      </c>
      <c r="F951" s="22" t="str">
        <f>IF(OR(E951="",E951="!!!"),"",IF(NOT(ISNA(VLOOKUP(E951,E$1:E950,1,FALSE()))),"OLD",IF(AND(E951&lt;&gt;"",E951&lt;&gt;"!!!"),"NEW","")))</f>
        <v> </v>
      </c>
      <c r="G951" s="23" t="str">
        <f>IF(OR(E951="",E951="!!!"),"",IF(OR(J951=0,AND(J951=1,K951=1),AND(J951=1,I951="SBJ"),AND(J951=1,I951=0)),"?IN_FOCUS",IF(J951&lt;=2,"?ACTIVATED",IF(J951&lt;&gt;"","?FAMILIAR",IF(F951="NEW",IF(ISNA(VLOOKUP(E951,#REF!,1,FALSE())),"?TYPE_IDENTIFIABLE","?REFERENTIAL"),"_")))))</f>
        <v> </v>
      </c>
      <c r="H951" s="24" t="str">
        <f>IF(J951&lt;&gt;1,"",IF(I951="SBJ","CB","?"))</f>
        <v> </v>
      </c>
      <c r="I951" s="25" t="str">
        <f>IF(OR(E951="",E951="!!!",F951="NEW"),"",INDEX(B950:B$2,-1+SUMPRODUCT(MAX(ROW(E950:E$2)*(E951=E950:E$2)))))</f>
        <v> </v>
      </c>
      <c r="J951" s="25" t="str">
        <f>IF(OR(E951="",E951="!!!",F951="NEW"),"",COUNTBLANK(OFFSET(A$1,,,SUMPRODUCT(MAX(ROW(E$2:E951)*(E951=E$2:E951)))))-COUNTBLANK(OFFSET(A$1,,,SUMPRODUCT(MAX(ROW(E$1:E950)*(E2=E$1:E950))))))</f>
        <v> </v>
      </c>
      <c r="K951" s="25" t="str">
        <f>IF(OR(E951="",E951="!!!",F951="NEW"),"",INDEX(J$1:J950,SUMPRODUCT(MAX(ROW(E$1:E950)*(E951=E$1:E950)))))</f>
        <v> </v>
      </c>
      <c r="L951" s="26"/>
    </row>
    <row r="952" spans="1:12">
      <c r="A952" s="20" t="s">
        <v>616</v>
      </c>
      <c r="E952" s="21">
        <f>IF(D952="?OLD","!!!","")</f>
        <v/>
      </c>
      <c r="F952" s="22" t="str">
        <f>IF(OR(E952="",E952="!!!"),"",IF(NOT(ISNA(VLOOKUP(E952,E$1:E951,1,FALSE()))),"OLD",IF(AND(E952&lt;&gt;"",E952&lt;&gt;"!!!"),"NEW","")))</f>
        <v> </v>
      </c>
      <c r="G952" s="23" t="str">
        <f>IF(OR(E952="",E952="!!!"),"",IF(OR(J952=0,AND(J952=1,K952=1),AND(J952=1,I952="SBJ"),AND(J952=1,I952=0)),"?IN_FOCUS",IF(J952&lt;=2,"?ACTIVATED",IF(J952&lt;&gt;"","?FAMILIAR",IF(F952="NEW",IF(ISNA(VLOOKUP(E952,#REF!,1,FALSE())),"?TYPE_IDENTIFIABLE","?REFERENTIAL"),"_")))))</f>
        <v> </v>
      </c>
      <c r="H952" s="24" t="str">
        <f>IF(J952&lt;&gt;1,"",IF(I952="SBJ","CB","?"))</f>
        <v> </v>
      </c>
      <c r="I952" s="25" t="str">
        <f>IF(OR(E952="",E952="!!!",F952="NEW"),"",INDEX(B951:B$2,-1+SUMPRODUCT(MAX(ROW(E951:E$2)*(E952=E951:E$2)))))</f>
        <v> </v>
      </c>
      <c r="J952" s="25" t="str">
        <f>IF(OR(E952="",E952="!!!",F952="NEW"),"",COUNTBLANK(OFFSET(A$1,,,SUMPRODUCT(MAX(ROW(E$2:E952)*(E952=E$2:E952)))))-COUNTBLANK(OFFSET(A$1,,,SUMPRODUCT(MAX(ROW(E$1:E951)*(E2=E$1:E951))))))</f>
        <v> </v>
      </c>
      <c r="K952" s="25" t="str">
        <f>IF(OR(E952="",E952="!!!",F952="NEW"),"",INDEX(J$1:J951,SUMPRODUCT(MAX(ROW(E$1:E951)*(E952=E$1:E951)))))</f>
        <v> </v>
      </c>
      <c r="L952" s="26"/>
    </row>
    <row r="953" spans="1:12">
      <c r="A953" s="20" t="s">
        <v>617</v>
      </c>
      <c r="B953" s="27" t="s">
        <v>328</v>
      </c>
      <c r="C953" s="27" t="s">
        <v>334</v>
      </c>
      <c r="E953" s="21">
        <f>IF(D953="?OLD","!!!","")</f>
        <v/>
      </c>
      <c r="F953" s="22" t="str">
        <f>IF(OR(E953="",E953="!!!"),"",IF(NOT(ISNA(VLOOKUP(E953,E$1:E952,1,FALSE()))),"OLD",IF(AND(E953&lt;&gt;"",E953&lt;&gt;"!!!"),"NEW","")))</f>
        <v> </v>
      </c>
      <c r="G953" s="23" t="str">
        <f>IF(OR(E953="",E953="!!!"),"",IF(OR(J953=0,AND(J953=1,K953=1),AND(J953=1,I953="SBJ"),AND(J953=1,I953=0)),"?IN_FOCUS",IF(J953&lt;=2,"?ACTIVATED",IF(J953&lt;&gt;"","?FAMILIAR",IF(F953="NEW",IF(ISNA(VLOOKUP(E953,#REF!,1,FALSE())),"?TYPE_IDENTIFIABLE","?REFERENTIAL"),"_")))))</f>
        <v> </v>
      </c>
      <c r="H953" s="24" t="str">
        <f>IF(J953&lt;&gt;1,"",IF(I953="SBJ","CB","?"))</f>
        <v> </v>
      </c>
      <c r="I953" s="25" t="str">
        <f>IF(OR(E953="",E953="!!!",F953="NEW"),"",INDEX(B952:B$2,-1+SUMPRODUCT(MAX(ROW(E952:E$2)*(E953=E952:E$2)))))</f>
        <v> </v>
      </c>
      <c r="J953" s="25" t="str">
        <f>IF(OR(E953="",E953="!!!",F953="NEW"),"",COUNTBLANK(OFFSET(A$1,,,SUMPRODUCT(MAX(ROW(E$2:E953)*(E953=E$2:E953)))))-COUNTBLANK(OFFSET(A$1,,,SUMPRODUCT(MAX(ROW(E$1:E952)*(E2=E$1:E952))))))</f>
        <v> </v>
      </c>
      <c r="K953" s="25" t="str">
        <f>IF(OR(E953="",E953="!!!",F953="NEW"),"",INDEX(J$1:J952,SUMPRODUCT(MAX(ROW(E$1:E952)*(E953=E$1:E952)))))</f>
        <v> </v>
      </c>
      <c r="L953" s="26"/>
    </row>
    <row r="954" spans="1:12">
      <c r="A954" s="20" t="s">
        <v>278</v>
      </c>
      <c r="E954" s="21">
        <f>IF(D954="?OLD","!!!","")</f>
        <v/>
      </c>
      <c r="F954" s="22" t="str">
        <f>IF(OR(E954="",E954="!!!"),"",IF(NOT(ISNA(VLOOKUP(E954,E$1:E953,1,FALSE()))),"OLD",IF(AND(E954&lt;&gt;"",E954&lt;&gt;"!!!"),"NEW","")))</f>
        <v> </v>
      </c>
      <c r="G954" s="23" t="str">
        <f>IF(OR(E954="",E954="!!!"),"",IF(OR(J954=0,AND(J954=1,K954=1),AND(J954=1,I954="SBJ"),AND(J954=1,I954=0)),"?IN_FOCUS",IF(J954&lt;=2,"?ACTIVATED",IF(J954&lt;&gt;"","?FAMILIAR",IF(F954="NEW",IF(ISNA(VLOOKUP(E954,#REF!,1,FALSE())),"?TYPE_IDENTIFIABLE","?REFERENTIAL"),"_")))))</f>
        <v> </v>
      </c>
      <c r="H954" s="24" t="str">
        <f>IF(J954&lt;&gt;1,"",IF(I954="SBJ","CB","?"))</f>
        <v> </v>
      </c>
      <c r="I954" s="25" t="str">
        <f>IF(OR(E954="",E954="!!!",F954="NEW"),"",INDEX(B953:B$2,-1+SUMPRODUCT(MAX(ROW(E953:E$2)*(E954=E953:E$2)))))</f>
        <v> </v>
      </c>
      <c r="J954" s="25" t="str">
        <f>IF(OR(E954="",E954="!!!",F954="NEW"),"",COUNTBLANK(OFFSET(A$1,,,SUMPRODUCT(MAX(ROW(E$2:E954)*(E954=E$2:E954)))))-COUNTBLANK(OFFSET(A$1,,,SUMPRODUCT(MAX(ROW(E$1:E953)*(E2=E$1:E953))))))</f>
        <v> </v>
      </c>
      <c r="K954" s="25" t="str">
        <f>IF(OR(E954="",E954="!!!",F954="NEW"),"",INDEX(J$1:J953,SUMPRODUCT(MAX(ROW(E$1:E953)*(E954=E$1:E953)))))</f>
        <v> </v>
      </c>
      <c r="L954" s="26"/>
    </row>
    <row r="955" spans="1:12">
      <c r="A955" s="20" t="s">
        <v>618</v>
      </c>
      <c r="B955" s="27" t="s">
        <v>291</v>
      </c>
      <c r="C955" s="27" t="s">
        <v>270</v>
      </c>
      <c r="E955" s="21">
        <f>IF(D955="?OLD","!!!","")</f>
        <v/>
      </c>
      <c r="F955" s="22" t="str">
        <f>IF(OR(E955="",E955="!!!"),"",IF(NOT(ISNA(VLOOKUP(E955,E$1:E954,1,FALSE()))),"OLD",IF(AND(E955&lt;&gt;"",E955&lt;&gt;"!!!"),"NEW","")))</f>
        <v> </v>
      </c>
      <c r="G955" s="23" t="str">
        <f>IF(OR(E955="",E955="!!!"),"",IF(OR(J955=0,AND(J955=1,K955=1),AND(J955=1,I955="SBJ"),AND(J955=1,I955=0)),"?IN_FOCUS",IF(J955&lt;=2,"?ACTIVATED",IF(J955&lt;&gt;"","?FAMILIAR",IF(F955="NEW",IF(ISNA(VLOOKUP(E955,#REF!,1,FALSE())),"?TYPE_IDENTIFIABLE","?REFERENTIAL"),"_")))))</f>
        <v> </v>
      </c>
      <c r="H955" s="24" t="str">
        <f>IF(J955&lt;&gt;1,"",IF(I955="SBJ","CB","?"))</f>
        <v> </v>
      </c>
      <c r="I955" s="25" t="str">
        <f>IF(OR(E955="",E955="!!!",F955="NEW"),"",INDEX(B954:B$2,-1+SUMPRODUCT(MAX(ROW(E954:E$2)*(E955=E954:E$2)))))</f>
        <v> </v>
      </c>
      <c r="J955" s="25" t="str">
        <f>IF(OR(E955="",E955="!!!",F955="NEW"),"",COUNTBLANK(OFFSET(A$1,,,SUMPRODUCT(MAX(ROW(E$2:E955)*(E955=E$2:E955)))))-COUNTBLANK(OFFSET(A$1,,,SUMPRODUCT(MAX(ROW(E$1:E954)*(E2=E$1:E954))))))</f>
        <v> </v>
      </c>
      <c r="K955" s="25" t="str">
        <f>IF(OR(E955="",E955="!!!",F955="NEW"),"",INDEX(J$1:J954,SUMPRODUCT(MAX(ROW(E$1:E954)*(E955=E$1:E954)))))</f>
        <v> </v>
      </c>
      <c r="L955" s="26"/>
    </row>
    <row r="956" spans="1:12">
      <c r="A956" s="20" t="s">
        <v>320</v>
      </c>
      <c r="E956" s="21">
        <f>IF(D956="?OLD","!!!","")</f>
        <v/>
      </c>
      <c r="F956" s="22" t="str">
        <f>IF(OR(E956="",E956="!!!"),"",IF(NOT(ISNA(VLOOKUP(E956,E$1:E955,1,FALSE()))),"OLD",IF(AND(E956&lt;&gt;"",E956&lt;&gt;"!!!"),"NEW","")))</f>
        <v> </v>
      </c>
      <c r="G956" s="23" t="str">
        <f>IF(OR(E956="",E956="!!!"),"",IF(OR(J956=0,AND(J956=1,K956=1),AND(J956=1,I956="SBJ"),AND(J956=1,I956=0)),"?IN_FOCUS",IF(J956&lt;=2,"?ACTIVATED",IF(J956&lt;&gt;"","?FAMILIAR",IF(F956="NEW",IF(ISNA(VLOOKUP(E956,#REF!,1,FALSE())),"?TYPE_IDENTIFIABLE","?REFERENTIAL"),"_")))))</f>
        <v> </v>
      </c>
      <c r="H956" s="24" t="str">
        <f>IF(J956&lt;&gt;1,"",IF(I956="SBJ","CB","?"))</f>
        <v> </v>
      </c>
      <c r="I956" s="25" t="str">
        <f>IF(OR(E956="",E956="!!!",F956="NEW"),"",INDEX(B955:B$2,-1+SUMPRODUCT(MAX(ROW(E955:E$2)*(E956=E955:E$2)))))</f>
        <v> </v>
      </c>
      <c r="J956" s="25" t="str">
        <f>IF(OR(E956="",E956="!!!",F956="NEW"),"",COUNTBLANK(OFFSET(A$1,,,SUMPRODUCT(MAX(ROW(E$2:E956)*(E956=E$2:E956)))))-COUNTBLANK(OFFSET(A$1,,,SUMPRODUCT(MAX(ROW(E$1:E955)*(E2=E$1:E955))))))</f>
        <v> </v>
      </c>
      <c r="K956" s="25" t="str">
        <f>IF(OR(E956="",E956="!!!",F956="NEW"),"",INDEX(J$1:J955,SUMPRODUCT(MAX(ROW(E$1:E955)*(E956=E$1:E955)))))</f>
        <v> </v>
      </c>
      <c r="L956" s="26"/>
    </row>
    <row r="957" spans="1:12">
      <c r="A957" s="20"/>
    </row>
    <row r="958" spans="1:12">
      <c r="A958" s="20" t="s">
        <v>619</v>
      </c>
    </row>
    <row r="959" spans="1:12">
      <c r="A959" s="20" t="s">
        <v>360</v>
      </c>
      <c r="E959" s="21">
        <f>IF(D959="?OLD","!!!","")</f>
        <v/>
      </c>
      <c r="F959" s="22" t="str">
        <f>IF(OR(E959="",E959="!!!"),"",IF(NOT(ISNA(VLOOKUP(E959,E$1:E958,1,FALSE()))),"OLD",IF(AND(E959&lt;&gt;"",E959&lt;&gt;"!!!"),"NEW","")))</f>
        <v> </v>
      </c>
      <c r="G959" s="23" t="str">
        <f>IF(OR(E959="",E959="!!!"),"",IF(OR(J959=0,AND(J959=1,K959=1),AND(J959=1,I959="SBJ"),AND(J959=1,I959=0)),"?IN_FOCUS",IF(J959&lt;=2,"?ACTIVATED",IF(J959&lt;&gt;"","?FAMILIAR",IF(F959="NEW",IF(ISNA(VLOOKUP(E959,#REF!,1,FALSE())),"?TYPE_IDENTIFIABLE","?REFERENTIAL"),"_")))))</f>
        <v> </v>
      </c>
      <c r="H959" s="24" t="str">
        <f>IF(J959&lt;&gt;1,"",IF(I959="SBJ","CB","?"))</f>
        <v> </v>
      </c>
      <c r="I959" s="25" t="str">
        <f>IF(OR(E959="",E959="!!!",F959="NEW"),"",INDEX(B958:B$2,-1+SUMPRODUCT(MAX(ROW(E958:E$2)*(E959=E958:E$2)))))</f>
        <v> </v>
      </c>
      <c r="J959" s="25" t="str">
        <f>IF(OR(E959="",E959="!!!",F959="NEW"),"",COUNTBLANK(OFFSET(A$1,,,SUMPRODUCT(MAX(ROW(E$2:E959)*(E959=E$2:E959)))))-COUNTBLANK(OFFSET(A$1,,,SUMPRODUCT(MAX(ROW(E$1:E958)*(E2=E$1:E958))))))</f>
        <v> </v>
      </c>
      <c r="K959" s="25" t="str">
        <f>IF(OR(E959="",E959="!!!",F959="NEW"),"",INDEX(J$1:J958,SUMPRODUCT(MAX(ROW(E$1:E958)*(E959=E$1:E958)))))</f>
        <v> </v>
      </c>
      <c r="L959" s="26"/>
    </row>
    <row r="960" spans="1:12">
      <c r="A960" s="20" t="s">
        <v>165</v>
      </c>
      <c r="E960" s="21">
        <f>IF(D960="?OLD","!!!","")</f>
        <v/>
      </c>
      <c r="F960" s="22" t="str">
        <f>IF(OR(E960="",E960="!!!"),"",IF(NOT(ISNA(VLOOKUP(E960,E$1:E959,1,FALSE()))),"OLD",IF(AND(E960&lt;&gt;"",E960&lt;&gt;"!!!"),"NEW","")))</f>
        <v> </v>
      </c>
      <c r="G960" s="23" t="str">
        <f>IF(OR(E960="",E960="!!!"),"",IF(OR(J960=0,AND(J960=1,K960=1),AND(J960=1,I960="SBJ"),AND(J960=1,I960=0)),"?IN_FOCUS",IF(J960&lt;=2,"?ACTIVATED",IF(J960&lt;&gt;"","?FAMILIAR",IF(F960="NEW",IF(ISNA(VLOOKUP(E960,#REF!,1,FALSE())),"?TYPE_IDENTIFIABLE","?REFERENTIAL"),"_")))))</f>
        <v> </v>
      </c>
      <c r="H960" s="24" t="str">
        <f>IF(J960&lt;&gt;1,"",IF(I960="SBJ","CB","?"))</f>
        <v> </v>
      </c>
      <c r="I960" s="25" t="str">
        <f>IF(OR(E960="",E960="!!!",F960="NEW"),"",INDEX(B959:B$2,-1+SUMPRODUCT(MAX(ROW(E959:E$2)*(E960=E959:E$2)))))</f>
        <v> </v>
      </c>
      <c r="J960" s="25" t="str">
        <f>IF(OR(E960="",E960="!!!",F960="NEW"),"",COUNTBLANK(OFFSET(A$1,,,SUMPRODUCT(MAX(ROW(E$2:E960)*(E960=E$2:E960)))))-COUNTBLANK(OFFSET(A$1,,,SUMPRODUCT(MAX(ROW(E$1:E959)*(E2=E$1:E959))))))</f>
        <v> </v>
      </c>
      <c r="K960" s="25" t="str">
        <f>IF(OR(E960="",E960="!!!",F960="NEW"),"",INDEX(J$1:J959,SUMPRODUCT(MAX(ROW(E$1:E959)*(E960=E$1:E959)))))</f>
        <v> </v>
      </c>
      <c r="L960" s="26"/>
    </row>
    <row r="961" spans="1:12">
      <c r="A961" s="20" t="s">
        <v>255</v>
      </c>
      <c r="B961" s="27" t="s">
        <v>276</v>
      </c>
      <c r="C961" s="27" t="s">
        <v>257</v>
      </c>
      <c r="D961" s="27" t="s">
        <v>258</v>
      </c>
      <c r="E961" s="21">
        <f>IF(D961="?OLD","!!!","")</f>
        <v/>
      </c>
      <c r="F961" s="22" t="str">
        <f>IF(OR(E961="",E961="!!!"),"",IF(NOT(ISNA(VLOOKUP(E961,E$1:E960,1,FALSE()))),"OLD",IF(AND(E961&lt;&gt;"",E961&lt;&gt;"!!!"),"NEW","")))</f>
        <v> </v>
      </c>
      <c r="G961" s="23" t="str">
        <f>IF(OR(E961="",E961="!!!"),"",IF(OR(J961=0,AND(J961=1,K961=1),AND(J961=1,I961="SBJ"),AND(J961=1,I961=0)),"?IN_FOCUS",IF(J961&lt;=2,"?ACTIVATED",IF(J961&lt;&gt;"","?FAMILIAR",IF(F961="NEW",IF(ISNA(VLOOKUP(E961,#REF!,1,FALSE())),"?TYPE_IDENTIFIABLE","?REFERENTIAL"),"_")))))</f>
        <v> </v>
      </c>
      <c r="H961" s="24" t="str">
        <f>IF(J961&lt;&gt;1,"",IF(I961="SBJ","CB","?"))</f>
        <v> </v>
      </c>
      <c r="I961" s="25" t="str">
        <f>IF(OR(E961="",E961="!!!",F961="NEW"),"",INDEX(B960:B$2,-1+SUMPRODUCT(MAX(ROW(E960:E$2)*(E961=E960:E$2)))))</f>
        <v> </v>
      </c>
      <c r="J961" s="25" t="str">
        <f>IF(OR(E961="",E961="!!!",F961="NEW"),"",COUNTBLANK(OFFSET(A$1,,,SUMPRODUCT(MAX(ROW(E$2:E961)*(E961=E$2:E961)))))-COUNTBLANK(OFFSET(A$1,,,SUMPRODUCT(MAX(ROW(E$1:E960)*(E2=E$1:E960))))))</f>
        <v> </v>
      </c>
      <c r="K961" s="25" t="str">
        <f>IF(OR(E961="",E961="!!!",F961="NEW"),"",INDEX(J$1:J960,SUMPRODUCT(MAX(ROW(E$1:E960)*(E961=E$1:E960)))))</f>
        <v> </v>
      </c>
      <c r="L961" s="26"/>
    </row>
    <row r="962" spans="1:12">
      <c r="A962" s="20" t="s">
        <v>117</v>
      </c>
      <c r="E962" s="21">
        <f>IF(D962="?OLD","!!!","")</f>
        <v/>
      </c>
      <c r="F962" s="22" t="str">
        <f>IF(OR(E962="",E962="!!!"),"",IF(NOT(ISNA(VLOOKUP(E962,E$1:E961,1,FALSE()))),"OLD",IF(AND(E962&lt;&gt;"",E962&lt;&gt;"!!!"),"NEW","")))</f>
        <v> </v>
      </c>
      <c r="G962" s="23" t="str">
        <f>IF(OR(E962="",E962="!!!"),"",IF(OR(J962=0,AND(J962=1,K962=1),AND(J962=1,I962="SBJ"),AND(J962=1,I962=0)),"?IN_FOCUS",IF(J962&lt;=2,"?ACTIVATED",IF(J962&lt;&gt;"","?FAMILIAR",IF(F962="NEW",IF(ISNA(VLOOKUP(E962,#REF!,1,FALSE())),"?TYPE_IDENTIFIABLE","?REFERENTIAL"),"_")))))</f>
        <v> </v>
      </c>
      <c r="H962" s="24" t="str">
        <f>IF(J962&lt;&gt;1,"",IF(I962="SBJ","CB","?"))</f>
        <v> </v>
      </c>
      <c r="I962" s="25" t="str">
        <f>IF(OR(E962="",E962="!!!",F962="NEW"),"",INDEX(B961:B$2,-1+SUMPRODUCT(MAX(ROW(E961:E$2)*(E962=E961:E$2)))))</f>
        <v> </v>
      </c>
      <c r="J962" s="25" t="str">
        <f>IF(OR(E962="",E962="!!!",F962="NEW"),"",COUNTBLANK(OFFSET(A$1,,,SUMPRODUCT(MAX(ROW(E$2:E962)*(E962=E$2:E962)))))-COUNTBLANK(OFFSET(A$1,,,SUMPRODUCT(MAX(ROW(E$1:E961)*(E2=E$1:E961))))))</f>
        <v> </v>
      </c>
      <c r="K962" s="25" t="str">
        <f>IF(OR(E962="",E962="!!!",F962="NEW"),"",INDEX(J$1:J961,SUMPRODUCT(MAX(ROW(E$1:E961)*(E962=E$1:E961)))))</f>
        <v> </v>
      </c>
      <c r="L962" s="26"/>
    </row>
    <row r="963" spans="1:12">
      <c r="A963" s="20" t="s">
        <v>305</v>
      </c>
      <c r="E963" s="21">
        <f>IF(D963="?OLD","!!!","")</f>
        <v/>
      </c>
      <c r="F963" s="22" t="str">
        <f>IF(OR(E963="",E963="!!!"),"",IF(NOT(ISNA(VLOOKUP(E963,E$1:E962,1,FALSE()))),"OLD",IF(AND(E963&lt;&gt;"",E963&lt;&gt;"!!!"),"NEW","")))</f>
        <v> </v>
      </c>
      <c r="G963" s="23" t="str">
        <f>IF(OR(E963="",E963="!!!"),"",IF(OR(J963=0,AND(J963=1,K963=1),AND(J963=1,I963="SBJ"),AND(J963=1,I963=0)),"?IN_FOCUS",IF(J963&lt;=2,"?ACTIVATED",IF(J963&lt;&gt;"","?FAMILIAR",IF(F963="NEW",IF(ISNA(VLOOKUP(E963,#REF!,1,FALSE())),"?TYPE_IDENTIFIABLE","?REFERENTIAL"),"_")))))</f>
        <v> </v>
      </c>
      <c r="H963" s="24" t="str">
        <f>IF(J963&lt;&gt;1,"",IF(I963="SBJ","CB","?"))</f>
        <v> </v>
      </c>
      <c r="I963" s="25" t="str">
        <f>IF(OR(E963="",E963="!!!",F963="NEW"),"",INDEX(B962:B$2,-1+SUMPRODUCT(MAX(ROW(E962:E$2)*(E963=E962:E$2)))))</f>
        <v> </v>
      </c>
      <c r="J963" s="25" t="str">
        <f>IF(OR(E963="",E963="!!!",F963="NEW"),"",COUNTBLANK(OFFSET(A$1,,,SUMPRODUCT(MAX(ROW(E$2:E963)*(E963=E$2:E963)))))-COUNTBLANK(OFFSET(A$1,,,SUMPRODUCT(MAX(ROW(E$1:E962)*(E2=E$1:E962))))))</f>
        <v> </v>
      </c>
      <c r="K963" s="25" t="str">
        <f>IF(OR(E963="",E963="!!!",F963="NEW"),"",INDEX(J$1:J962,SUMPRODUCT(MAX(ROW(E$1:E962)*(E963=E$1:E962)))))</f>
        <v> </v>
      </c>
      <c r="L963" s="26"/>
    </row>
    <row r="964" spans="1:12">
      <c r="A964" s="20" t="s">
        <v>129</v>
      </c>
      <c r="E964" s="21">
        <f>IF(D964="?OLD","!!!","")</f>
        <v/>
      </c>
      <c r="F964" s="22" t="str">
        <f>IF(OR(E964="",E964="!!!"),"",IF(NOT(ISNA(VLOOKUP(E964,E$1:E963,1,FALSE()))),"OLD",IF(AND(E964&lt;&gt;"",E964&lt;&gt;"!!!"),"NEW","")))</f>
        <v> </v>
      </c>
      <c r="G964" s="23" t="str">
        <f>IF(OR(E964="",E964="!!!"),"",IF(OR(J964=0,AND(J964=1,K964=1),AND(J964=1,I964="SBJ"),AND(J964=1,I964=0)),"?IN_FOCUS",IF(J964&lt;=2,"?ACTIVATED",IF(J964&lt;&gt;"","?FAMILIAR",IF(F964="NEW",IF(ISNA(VLOOKUP(E964,#REF!,1,FALSE())),"?TYPE_IDENTIFIABLE","?REFERENTIAL"),"_")))))</f>
        <v> </v>
      </c>
      <c r="H964" s="24" t="str">
        <f>IF(J964&lt;&gt;1,"",IF(I964="SBJ","CB","?"))</f>
        <v> </v>
      </c>
      <c r="I964" s="25" t="str">
        <f>IF(OR(E964="",E964="!!!",F964="NEW"),"",INDEX(B963:B$2,-1+SUMPRODUCT(MAX(ROW(E963:E$2)*(E964=E963:E$2)))))</f>
        <v> </v>
      </c>
      <c r="J964" s="25" t="str">
        <f>IF(OR(E964="",E964="!!!",F964="NEW"),"",COUNTBLANK(OFFSET(A$1,,,SUMPRODUCT(MAX(ROW(E$2:E964)*(E964=E$2:E964)))))-COUNTBLANK(OFFSET(A$1,,,SUMPRODUCT(MAX(ROW(E$1:E963)*(E2=E$1:E963))))))</f>
        <v> </v>
      </c>
      <c r="K964" s="25" t="str">
        <f>IF(OR(E964="",E964="!!!",F964="NEW"),"",INDEX(J$1:J963,SUMPRODUCT(MAX(ROW(E$1:E963)*(E964=E$1:E963)))))</f>
        <v> </v>
      </c>
      <c r="L964" s="26"/>
    </row>
    <row r="965" spans="1:12">
      <c r="A965" s="20" t="s">
        <v>261</v>
      </c>
      <c r="B965" s="27" t="s">
        <v>262</v>
      </c>
      <c r="C965" s="27" t="s">
        <v>257</v>
      </c>
      <c r="D965" s="27" t="s">
        <v>258</v>
      </c>
      <c r="E965" s="21">
        <f>IF(D965="?OLD","!!!","")</f>
        <v/>
      </c>
      <c r="F965" s="22" t="str">
        <f>IF(OR(E965="",E965="!!!"),"",IF(NOT(ISNA(VLOOKUP(E965,E$1:E964,1,FALSE()))),"OLD",IF(AND(E965&lt;&gt;"",E965&lt;&gt;"!!!"),"NEW","")))</f>
        <v> </v>
      </c>
      <c r="G965" s="23" t="str">
        <f>IF(OR(E965="",E965="!!!"),"",IF(OR(J965=0,AND(J965=1,K965=1),AND(J965=1,I965="SBJ"),AND(J965=1,I965=0)),"?IN_FOCUS",IF(J965&lt;=2,"?ACTIVATED",IF(J965&lt;&gt;"","?FAMILIAR",IF(F965="NEW",IF(ISNA(VLOOKUP(E965,#REF!,1,FALSE())),"?TYPE_IDENTIFIABLE","?REFERENTIAL"),"_")))))</f>
        <v> </v>
      </c>
      <c r="H965" s="24" t="str">
        <f>IF(J965&lt;&gt;1,"",IF(I965="SBJ","CB","?"))</f>
        <v> </v>
      </c>
      <c r="I965" s="25" t="str">
        <f>IF(OR(E965="",E965="!!!",F965="NEW"),"",INDEX(B964:B$2,-1+SUMPRODUCT(MAX(ROW(E964:E$2)*(E965=E964:E$2)))))</f>
        <v> </v>
      </c>
      <c r="J965" s="25" t="str">
        <f>IF(OR(E965="",E965="!!!",F965="NEW"),"",COUNTBLANK(OFFSET(A$1,,,SUMPRODUCT(MAX(ROW(E$2:E965)*(E965=E$2:E965)))))-COUNTBLANK(OFFSET(A$1,,,SUMPRODUCT(MAX(ROW(E$1:E964)*(E2=E$1:E964))))))</f>
        <v> </v>
      </c>
      <c r="K965" s="25" t="str">
        <f>IF(OR(E965="",E965="!!!",F965="NEW"),"",INDEX(J$1:J964,SUMPRODUCT(MAX(ROW(E$1:E964)*(E965=E$1:E964)))))</f>
        <v> </v>
      </c>
      <c r="L965" s="26"/>
    </row>
    <row r="966" spans="1:12">
      <c r="A966" s="20" t="s">
        <v>264</v>
      </c>
      <c r="E966" s="21">
        <f>IF(D966="?OLD","!!!","")</f>
        <v/>
      </c>
      <c r="F966" s="22" t="str">
        <f>IF(OR(E966="",E966="!!!"),"",IF(NOT(ISNA(VLOOKUP(E966,E$1:E965,1,FALSE()))),"OLD",IF(AND(E966&lt;&gt;"",E966&lt;&gt;"!!!"),"NEW","")))</f>
        <v> </v>
      </c>
      <c r="G966" s="23" t="str">
        <f>IF(OR(E966="",E966="!!!"),"",IF(OR(J966=0,AND(J966=1,K966=1),AND(J966=1,I966="SBJ"),AND(J966=1,I966=0)),"?IN_FOCUS",IF(J966&lt;=2,"?ACTIVATED",IF(J966&lt;&gt;"","?FAMILIAR",IF(F966="NEW",IF(ISNA(VLOOKUP(E966,#REF!,1,FALSE())),"?TYPE_IDENTIFIABLE","?REFERENTIAL"),"_")))))</f>
        <v> </v>
      </c>
      <c r="H966" s="24" t="str">
        <f>IF(J966&lt;&gt;1,"",IF(I966="SBJ","CB","?"))</f>
        <v> </v>
      </c>
      <c r="I966" s="25" t="str">
        <f>IF(OR(E966="",E966="!!!",F966="NEW"),"",INDEX(B965:B$2,-1+SUMPRODUCT(MAX(ROW(E965:E$2)*(E966=E965:E$2)))))</f>
        <v> </v>
      </c>
      <c r="J966" s="25" t="str">
        <f>IF(OR(E966="",E966="!!!",F966="NEW"),"",COUNTBLANK(OFFSET(A$1,,,SUMPRODUCT(MAX(ROW(E$2:E966)*(E966=E$2:E966)))))-COUNTBLANK(OFFSET(A$1,,,SUMPRODUCT(MAX(ROW(E$1:E965)*(E2=E$1:E965))))))</f>
        <v> </v>
      </c>
      <c r="K966" s="25" t="str">
        <f>IF(OR(E966="",E966="!!!",F966="NEW"),"",INDEX(J$1:J965,SUMPRODUCT(MAX(ROW(E$1:E965)*(E966=E$1:E965)))))</f>
        <v> </v>
      </c>
      <c r="L966" s="26"/>
    </row>
    <row r="967" spans="1:12">
      <c r="A967" s="20" t="s">
        <v>333</v>
      </c>
      <c r="E967" s="21">
        <f>IF(D967="?OLD","!!!","")</f>
        <v/>
      </c>
      <c r="F967" s="22" t="str">
        <f>IF(OR(E967="",E967="!!!"),"",IF(NOT(ISNA(VLOOKUP(E967,E$1:E966,1,FALSE()))),"OLD",IF(AND(E967&lt;&gt;"",E967&lt;&gt;"!!!"),"NEW","")))</f>
        <v> </v>
      </c>
      <c r="G967" s="23" t="str">
        <f>IF(OR(E967="",E967="!!!"),"",IF(OR(J967=0,AND(J967=1,K967=1),AND(J967=1,I967="SBJ"),AND(J967=1,I967=0)),"?IN_FOCUS",IF(J967&lt;=2,"?ACTIVATED",IF(J967&lt;&gt;"","?FAMILIAR",IF(F967="NEW",IF(ISNA(VLOOKUP(E967,#REF!,1,FALSE())),"?TYPE_IDENTIFIABLE","?REFERENTIAL"),"_")))))</f>
        <v> </v>
      </c>
      <c r="H967" s="24" t="str">
        <f>IF(J967&lt;&gt;1,"",IF(I967="SBJ","CB","?"))</f>
        <v> </v>
      </c>
      <c r="I967" s="25" t="str">
        <f>IF(OR(E967="",E967="!!!",F967="NEW"),"",INDEX(B966:B$2,-1+SUMPRODUCT(MAX(ROW(E966:E$2)*(E967=E966:E$2)))))</f>
        <v> </v>
      </c>
      <c r="J967" s="25" t="str">
        <f>IF(OR(E967="",E967="!!!",F967="NEW"),"",COUNTBLANK(OFFSET(A$1,,,SUMPRODUCT(MAX(ROW(E$2:E967)*(E967=E$2:E967)))))-COUNTBLANK(OFFSET(A$1,,,SUMPRODUCT(MAX(ROW(E$1:E966)*(E2=E$1:E966))))))</f>
        <v> </v>
      </c>
      <c r="K967" s="25" t="str">
        <f>IF(OR(E967="",E967="!!!",F967="NEW"),"",INDEX(J$1:J966,SUMPRODUCT(MAX(ROW(E$1:E966)*(E967=E$1:E966)))))</f>
        <v> </v>
      </c>
      <c r="L967" s="26"/>
    </row>
    <row r="968" spans="1:12">
      <c r="A968" s="20" t="s">
        <v>620</v>
      </c>
      <c r="B968" s="27" t="s">
        <v>262</v>
      </c>
      <c r="C968" s="27" t="s">
        <v>268</v>
      </c>
      <c r="E968" s="21">
        <f>IF(D968="?OLD","!!!","")</f>
        <v/>
      </c>
      <c r="F968" s="22" t="str">
        <f>IF(OR(E968="",E968="!!!"),"",IF(NOT(ISNA(VLOOKUP(E968,E$1:E967,1,FALSE()))),"OLD",IF(AND(E968&lt;&gt;"",E968&lt;&gt;"!!!"),"NEW","")))</f>
        <v> </v>
      </c>
      <c r="G968" s="23" t="str">
        <f>IF(OR(E968="",E968="!!!"),"",IF(OR(J968=0,AND(J968=1,K968=1),AND(J968=1,I968="SBJ"),AND(J968=1,I968=0)),"?IN_FOCUS",IF(J968&lt;=2,"?ACTIVATED",IF(J968&lt;&gt;"","?FAMILIAR",IF(F968="NEW",IF(ISNA(VLOOKUP(E968,#REF!,1,FALSE())),"?TYPE_IDENTIFIABLE","?REFERENTIAL"),"_")))))</f>
        <v> </v>
      </c>
      <c r="H968" s="24" t="str">
        <f>IF(J968&lt;&gt;1,"",IF(I968="SBJ","CB","?"))</f>
        <v> </v>
      </c>
      <c r="I968" s="25" t="str">
        <f>IF(OR(E968="",E968="!!!",F968="NEW"),"",INDEX(B967:B$2,-1+SUMPRODUCT(MAX(ROW(E967:E$2)*(E968=E967:E$2)))))</f>
        <v> </v>
      </c>
      <c r="J968" s="25" t="str">
        <f>IF(OR(E968="",E968="!!!",F968="NEW"),"",COUNTBLANK(OFFSET(A$1,,,SUMPRODUCT(MAX(ROW(E$2:E968)*(E968=E$2:E968)))))-COUNTBLANK(OFFSET(A$1,,,SUMPRODUCT(MAX(ROW(E$1:E967)*(E2=E$1:E967))))))</f>
        <v> </v>
      </c>
      <c r="K968" s="25" t="str">
        <f>IF(OR(E968="",E968="!!!",F968="NEW"),"",INDEX(J$1:J967,SUMPRODUCT(MAX(ROW(E$1:E967)*(E968=E$1:E967)))))</f>
        <v> </v>
      </c>
      <c r="L968" s="26"/>
    </row>
    <row r="969" spans="1:12">
      <c r="A969" s="20" t="s">
        <v>273</v>
      </c>
      <c r="B969" s="27" t="s">
        <v>286</v>
      </c>
      <c r="E969" s="21">
        <f>IF(D969="?OLD","!!!","")</f>
        <v/>
      </c>
      <c r="F969" s="22" t="str">
        <f>IF(OR(E969="",E969="!!!"),"",IF(NOT(ISNA(VLOOKUP(E969,E$1:E968,1,FALSE()))),"OLD",IF(AND(E969&lt;&gt;"",E969&lt;&gt;"!!!"),"NEW","")))</f>
        <v> </v>
      </c>
      <c r="G969" s="23" t="str">
        <f>IF(OR(E969="",E969="!!!"),"",IF(OR(J969=0,AND(J969=1,K969=1),AND(J969=1,I969="SBJ"),AND(J969=1,I969=0)),"?IN_FOCUS",IF(J969&lt;=2,"?ACTIVATED",IF(J969&lt;&gt;"","?FAMILIAR",IF(F969="NEW",IF(ISNA(VLOOKUP(E969,#REF!,1,FALSE())),"?TYPE_IDENTIFIABLE","?REFERENTIAL"),"_")))))</f>
        <v> </v>
      </c>
      <c r="H969" s="24" t="str">
        <f>IF(J969&lt;&gt;1,"",IF(I969="SBJ","CB","?"))</f>
        <v> </v>
      </c>
      <c r="I969" s="25" t="str">
        <f>IF(OR(E969="",E969="!!!",F969="NEW"),"",INDEX(B968:B$2,-1+SUMPRODUCT(MAX(ROW(E968:E$2)*(E969=E968:E$2)))))</f>
        <v> </v>
      </c>
      <c r="J969" s="25" t="str">
        <f>IF(OR(E969="",E969="!!!",F969="NEW"),"",COUNTBLANK(OFFSET(A$1,,,SUMPRODUCT(MAX(ROW(E$2:E969)*(E969=E$2:E969)))))-COUNTBLANK(OFFSET(A$1,,,SUMPRODUCT(MAX(ROW(E$1:E968)*(E2=E$1:E968))))))</f>
        <v> </v>
      </c>
      <c r="K969" s="25" t="str">
        <f>IF(OR(E969="",E969="!!!",F969="NEW"),"",INDEX(J$1:J968,SUMPRODUCT(MAX(ROW(E$1:E968)*(E969=E$1:E968)))))</f>
        <v> </v>
      </c>
      <c r="L969" s="26"/>
    </row>
    <row r="970" spans="1:12">
      <c r="A970" s="20" t="s">
        <v>621</v>
      </c>
      <c r="E970" s="21">
        <f>IF(D970="?OLD","!!!","")</f>
        <v/>
      </c>
      <c r="F970" s="22" t="str">
        <f>IF(OR(E970="",E970="!!!"),"",IF(NOT(ISNA(VLOOKUP(E970,E$1:E969,1,FALSE()))),"OLD",IF(AND(E970&lt;&gt;"",E970&lt;&gt;"!!!"),"NEW","")))</f>
        <v> </v>
      </c>
      <c r="G970" s="23" t="str">
        <f>IF(OR(E970="",E970="!!!"),"",IF(OR(J970=0,AND(J970=1,K970=1),AND(J970=1,I970="SBJ"),AND(J970=1,I970=0)),"?IN_FOCUS",IF(J970&lt;=2,"?ACTIVATED",IF(J970&lt;&gt;"","?FAMILIAR",IF(F970="NEW",IF(ISNA(VLOOKUP(E970,#REF!,1,FALSE())),"?TYPE_IDENTIFIABLE","?REFERENTIAL"),"_")))))</f>
        <v> </v>
      </c>
      <c r="H970" s="24" t="str">
        <f>IF(J970&lt;&gt;1,"",IF(I970="SBJ","CB","?"))</f>
        <v> </v>
      </c>
      <c r="I970" s="25" t="str">
        <f>IF(OR(E970="",E970="!!!",F970="NEW"),"",INDEX(B969:B$2,-1+SUMPRODUCT(MAX(ROW(E969:E$2)*(E970=E969:E$2)))))</f>
        <v> </v>
      </c>
      <c r="J970" s="25" t="str">
        <f>IF(OR(E970="",E970="!!!",F970="NEW"),"",COUNTBLANK(OFFSET(A$1,,,SUMPRODUCT(MAX(ROW(E$2:E970)*(E970=E$2:E970)))))-COUNTBLANK(OFFSET(A$1,,,SUMPRODUCT(MAX(ROW(E$1:E969)*(E2=E$1:E969))))))</f>
        <v> </v>
      </c>
      <c r="K970" s="25" t="str">
        <f>IF(OR(E970="",E970="!!!",F970="NEW"),"",INDEX(J$1:J969,SUMPRODUCT(MAX(ROW(E$1:E969)*(E970=E$1:E969)))))</f>
        <v> </v>
      </c>
      <c r="L970" s="26"/>
    </row>
    <row r="971" spans="1:12">
      <c r="A971" s="20" t="s">
        <v>622</v>
      </c>
      <c r="E971" s="21">
        <f>IF(D971="?OLD","!!!","")</f>
        <v/>
      </c>
      <c r="F971" s="22" t="str">
        <f>IF(OR(E971="",E971="!!!"),"",IF(NOT(ISNA(VLOOKUP(E971,E$1:E970,1,FALSE()))),"OLD",IF(AND(E971&lt;&gt;"",E971&lt;&gt;"!!!"),"NEW","")))</f>
        <v> </v>
      </c>
      <c r="G971" s="23" t="str">
        <f>IF(OR(E971="",E971="!!!"),"",IF(OR(J971=0,AND(J971=1,K971=1),AND(J971=1,I971="SBJ"),AND(J971=1,I971=0)),"?IN_FOCUS",IF(J971&lt;=2,"?ACTIVATED",IF(J971&lt;&gt;"","?FAMILIAR",IF(F971="NEW",IF(ISNA(VLOOKUP(E971,#REF!,1,FALSE())),"?TYPE_IDENTIFIABLE","?REFERENTIAL"),"_")))))</f>
        <v> </v>
      </c>
      <c r="H971" s="24" t="str">
        <f>IF(J971&lt;&gt;1,"",IF(I971="SBJ","CB","?"))</f>
        <v> </v>
      </c>
      <c r="I971" s="25" t="str">
        <f>IF(OR(E971="",E971="!!!",F971="NEW"),"",INDEX(B970:B$2,-1+SUMPRODUCT(MAX(ROW(E970:E$2)*(E971=E970:E$2)))))</f>
        <v> </v>
      </c>
      <c r="J971" s="25" t="str">
        <f>IF(OR(E971="",E971="!!!",F971="NEW"),"",COUNTBLANK(OFFSET(A$1,,,SUMPRODUCT(MAX(ROW(E$2:E971)*(E971=E$2:E971)))))-COUNTBLANK(OFFSET(A$1,,,SUMPRODUCT(MAX(ROW(E$1:E970)*(E2=E$1:E970))))))</f>
        <v> </v>
      </c>
      <c r="K971" s="25" t="str">
        <f>IF(OR(E971="",E971="!!!",F971="NEW"),"",INDEX(J$1:J970,SUMPRODUCT(MAX(ROW(E$1:E970)*(E971=E$1:E970)))))</f>
        <v> </v>
      </c>
      <c r="L971" s="26"/>
    </row>
    <row r="972" spans="1:12">
      <c r="A972" s="20" t="s">
        <v>261</v>
      </c>
      <c r="B972" s="27" t="s">
        <v>500</v>
      </c>
      <c r="C972" s="27" t="s">
        <v>257</v>
      </c>
      <c r="D972" s="27" t="s">
        <v>258</v>
      </c>
      <c r="E972" s="21">
        <f>IF(D972="?OLD","!!!","")</f>
        <v/>
      </c>
      <c r="F972" s="22" t="str">
        <f>IF(OR(E972="",E972="!!!"),"",IF(NOT(ISNA(VLOOKUP(E972,E$1:E971,1,FALSE()))),"OLD",IF(AND(E972&lt;&gt;"",E972&lt;&gt;"!!!"),"NEW","")))</f>
        <v> </v>
      </c>
      <c r="G972" s="23" t="str">
        <f>IF(OR(E972="",E972="!!!"),"",IF(OR(J972=0,AND(J972=1,K972=1),AND(J972=1,I972="SBJ"),AND(J972=1,I972=0)),"?IN_FOCUS",IF(J972&lt;=2,"?ACTIVATED",IF(J972&lt;&gt;"","?FAMILIAR",IF(F972="NEW",IF(ISNA(VLOOKUP(E972,#REF!,1,FALSE())),"?TYPE_IDENTIFIABLE","?REFERENTIAL"),"_")))))</f>
        <v> </v>
      </c>
      <c r="H972" s="24" t="str">
        <f>IF(J972&lt;&gt;1,"",IF(I972="SBJ","CB","?"))</f>
        <v> </v>
      </c>
      <c r="I972" s="25" t="str">
        <f>IF(OR(E972="",E972="!!!",F972="NEW"),"",INDEX(B971:B$2,-1+SUMPRODUCT(MAX(ROW(E971:E$2)*(E972=E971:E$2)))))</f>
        <v> </v>
      </c>
      <c r="J972" s="25" t="str">
        <f>IF(OR(E972="",E972="!!!",F972="NEW"),"",COUNTBLANK(OFFSET(A$1,,,SUMPRODUCT(MAX(ROW(E$2:E972)*(E972=E$2:E972)))))-COUNTBLANK(OFFSET(A$1,,,SUMPRODUCT(MAX(ROW(E$1:E971)*(E2=E$1:E971))))))</f>
        <v> </v>
      </c>
      <c r="K972" s="25" t="str">
        <f>IF(OR(E972="",E972="!!!",F972="NEW"),"",INDEX(J$1:J971,SUMPRODUCT(MAX(ROW(E$1:E971)*(E972=E$1:E971)))))</f>
        <v> </v>
      </c>
      <c r="L972" s="26"/>
    </row>
    <row r="973" spans="1:12">
      <c r="A973" s="20" t="s">
        <v>329</v>
      </c>
      <c r="E973" s="21">
        <f>IF(D973="?OLD","!!!","")</f>
        <v/>
      </c>
      <c r="F973" s="22" t="str">
        <f>IF(OR(E973="",E973="!!!"),"",IF(NOT(ISNA(VLOOKUP(E973,E$1:E972,1,FALSE()))),"OLD",IF(AND(E973&lt;&gt;"",E973&lt;&gt;"!!!"),"NEW","")))</f>
        <v> </v>
      </c>
      <c r="G973" s="23" t="str">
        <f>IF(OR(E973="",E973="!!!"),"",IF(OR(J973=0,AND(J973=1,K973=1),AND(J973=1,I973="SBJ"),AND(J973=1,I973=0)),"?IN_FOCUS",IF(J973&lt;=2,"?ACTIVATED",IF(J973&lt;&gt;"","?FAMILIAR",IF(F973="NEW",IF(ISNA(VLOOKUP(E973,#REF!,1,FALSE())),"?TYPE_IDENTIFIABLE","?REFERENTIAL"),"_")))))</f>
        <v> </v>
      </c>
      <c r="H973" s="24" t="str">
        <f>IF(J973&lt;&gt;1,"",IF(I973="SBJ","CB","?"))</f>
        <v> </v>
      </c>
      <c r="I973" s="25" t="str">
        <f>IF(OR(E973="",E973="!!!",F973="NEW"),"",INDEX(B972:B$2,-1+SUMPRODUCT(MAX(ROW(E972:E$2)*(E973=E972:E$2)))))</f>
        <v> </v>
      </c>
      <c r="J973" s="25" t="str">
        <f>IF(OR(E973="",E973="!!!",F973="NEW"),"",COUNTBLANK(OFFSET(A$1,,,SUMPRODUCT(MAX(ROW(E$2:E973)*(E973=E$2:E973)))))-COUNTBLANK(OFFSET(A$1,,,SUMPRODUCT(MAX(ROW(E$1:E972)*(E2=E$1:E972))))))</f>
        <v> </v>
      </c>
      <c r="K973" s="25" t="str">
        <f>IF(OR(E973="",E973="!!!",F973="NEW"),"",INDEX(J$1:J972,SUMPRODUCT(MAX(ROW(E$1:E972)*(E973=E$1:E972)))))</f>
        <v> </v>
      </c>
      <c r="L973" s="26"/>
    </row>
    <row r="974" spans="1:12">
      <c r="A974" s="20" t="s">
        <v>345</v>
      </c>
      <c r="E974" s="21">
        <f>IF(D974="?OLD","!!!","")</f>
        <v/>
      </c>
      <c r="F974" s="22" t="str">
        <f>IF(OR(E974="",E974="!!!"),"",IF(NOT(ISNA(VLOOKUP(E974,E$1:E973,1,FALSE()))),"OLD",IF(AND(E974&lt;&gt;"",E974&lt;&gt;"!!!"),"NEW","")))</f>
        <v> </v>
      </c>
      <c r="G974" s="23" t="str">
        <f>IF(OR(E974="",E974="!!!"),"",IF(OR(J974=0,AND(J974=1,K974=1),AND(J974=1,I974="SBJ"),AND(J974=1,I974=0)),"?IN_FOCUS",IF(J974&lt;=2,"?ACTIVATED",IF(J974&lt;&gt;"","?FAMILIAR",IF(F974="NEW",IF(ISNA(VLOOKUP(E974,#REF!,1,FALSE())),"?TYPE_IDENTIFIABLE","?REFERENTIAL"),"_")))))</f>
        <v> </v>
      </c>
      <c r="H974" s="24" t="str">
        <f>IF(J974&lt;&gt;1,"",IF(I974="SBJ","CB","?"))</f>
        <v> </v>
      </c>
      <c r="I974" s="25" t="str">
        <f>IF(OR(E974="",E974="!!!",F974="NEW"),"",INDEX(B973:B$2,-1+SUMPRODUCT(MAX(ROW(E973:E$2)*(E974=E973:E$2)))))</f>
        <v> </v>
      </c>
      <c r="J974" s="25" t="str">
        <f>IF(OR(E974="",E974="!!!",F974="NEW"),"",COUNTBLANK(OFFSET(A$1,,,SUMPRODUCT(MAX(ROW(E$2:E974)*(E974=E$2:E974)))))-COUNTBLANK(OFFSET(A$1,,,SUMPRODUCT(MAX(ROW(E$1:E973)*(E2=E$1:E973))))))</f>
        <v> </v>
      </c>
      <c r="K974" s="25" t="str">
        <f>IF(OR(E974="",E974="!!!",F974="NEW"),"",INDEX(J$1:J973,SUMPRODUCT(MAX(ROW(E$1:E973)*(E974=E$1:E973)))))</f>
        <v> </v>
      </c>
      <c r="L974" s="26"/>
    </row>
    <row r="975" spans="1:12">
      <c r="A975" s="20" t="s">
        <v>512</v>
      </c>
      <c r="B975" s="27" t="s">
        <v>500</v>
      </c>
      <c r="C975" s="27" t="s">
        <v>334</v>
      </c>
      <c r="E975" s="21">
        <f>IF(D975="?OLD","!!!","")</f>
        <v/>
      </c>
      <c r="F975" s="22" t="str">
        <f>IF(OR(E975="",E975="!!!"),"",IF(NOT(ISNA(VLOOKUP(E975,E$1:E974,1,FALSE()))),"OLD",IF(AND(E975&lt;&gt;"",E975&lt;&gt;"!!!"),"NEW","")))</f>
        <v> </v>
      </c>
      <c r="G975" s="23" t="str">
        <f>IF(OR(E975="",E975="!!!"),"",IF(OR(J975=0,AND(J975=1,K975=1),AND(J975=1,I975="SBJ"),AND(J975=1,I975=0)),"?IN_FOCUS",IF(J975&lt;=2,"?ACTIVATED",IF(J975&lt;&gt;"","?FAMILIAR",IF(F975="NEW",IF(ISNA(VLOOKUP(E975,#REF!,1,FALSE())),"?TYPE_IDENTIFIABLE","?REFERENTIAL"),"_")))))</f>
        <v> </v>
      </c>
      <c r="H975" s="24" t="str">
        <f>IF(J975&lt;&gt;1,"",IF(I975="SBJ","CB","?"))</f>
        <v> </v>
      </c>
      <c r="I975" s="25" t="str">
        <f>IF(OR(E975="",E975="!!!",F975="NEW"),"",INDEX(B974:B$2,-1+SUMPRODUCT(MAX(ROW(E974:E$2)*(E975=E974:E$2)))))</f>
        <v> </v>
      </c>
      <c r="J975" s="25" t="str">
        <f>IF(OR(E975="",E975="!!!",F975="NEW"),"",COUNTBLANK(OFFSET(A$1,,,SUMPRODUCT(MAX(ROW(E$2:E975)*(E975=E$2:E975)))))-COUNTBLANK(OFFSET(A$1,,,SUMPRODUCT(MAX(ROW(E$1:E974)*(E2=E$1:E974))))))</f>
        <v> </v>
      </c>
      <c r="K975" s="25" t="str">
        <f>IF(OR(E975="",E975="!!!",F975="NEW"),"",INDEX(J$1:J974,SUMPRODUCT(MAX(ROW(E$1:E974)*(E975=E$1:E974)))))</f>
        <v> </v>
      </c>
      <c r="L975" s="26"/>
    </row>
    <row r="976" spans="1:12">
      <c r="A976" s="20" t="s">
        <v>336</v>
      </c>
      <c r="E976" s="21">
        <f>IF(D976="?OLD","!!!","")</f>
        <v/>
      </c>
      <c r="F976" s="22" t="str">
        <f>IF(OR(E976="",E976="!!!"),"",IF(NOT(ISNA(VLOOKUP(E976,E$1:E975,1,FALSE()))),"OLD",IF(AND(E976&lt;&gt;"",E976&lt;&gt;"!!!"),"NEW","")))</f>
        <v> </v>
      </c>
      <c r="G976" s="23" t="str">
        <f>IF(OR(E976="",E976="!!!"),"",IF(OR(J976=0,AND(J976=1,K976=1),AND(J976=1,I976="SBJ"),AND(J976=1,I976=0)),"?IN_FOCUS",IF(J976&lt;=2,"?ACTIVATED",IF(J976&lt;&gt;"","?FAMILIAR",IF(F976="NEW",IF(ISNA(VLOOKUP(E976,#REF!,1,FALSE())),"?TYPE_IDENTIFIABLE","?REFERENTIAL"),"_")))))</f>
        <v> </v>
      </c>
      <c r="H976" s="24" t="str">
        <f>IF(J976&lt;&gt;1,"",IF(I976="SBJ","CB","?"))</f>
        <v> </v>
      </c>
      <c r="I976" s="25" t="str">
        <f>IF(OR(E976="",E976="!!!",F976="NEW"),"",INDEX(B975:B$2,-1+SUMPRODUCT(MAX(ROW(E975:E$2)*(E976=E975:E$2)))))</f>
        <v> </v>
      </c>
      <c r="J976" s="25" t="str">
        <f>IF(OR(E976="",E976="!!!",F976="NEW"),"",COUNTBLANK(OFFSET(A$1,,,SUMPRODUCT(MAX(ROW(E$2:E976)*(E976=E$2:E976)))))-COUNTBLANK(OFFSET(A$1,,,SUMPRODUCT(MAX(ROW(E$1:E975)*(E2=E$1:E975))))))</f>
        <v> </v>
      </c>
      <c r="K976" s="25" t="str">
        <f>IF(OR(E976="",E976="!!!",F976="NEW"),"",INDEX(J$1:J975,SUMPRODUCT(MAX(ROW(E$1:E975)*(E976=E$1:E975)))))</f>
        <v> </v>
      </c>
      <c r="L976" s="26"/>
    </row>
    <row r="977" spans="1:12">
      <c r="A977" s="20" t="s">
        <v>623</v>
      </c>
      <c r="B977" s="27" t="s">
        <v>283</v>
      </c>
      <c r="C977" s="27" t="s">
        <v>270</v>
      </c>
      <c r="E977" s="21">
        <f>IF(D977="?OLD","!!!","")</f>
        <v/>
      </c>
      <c r="F977" s="22" t="str">
        <f>IF(OR(E977="",E977="!!!"),"",IF(NOT(ISNA(VLOOKUP(E977,E$1:E976,1,FALSE()))),"OLD",IF(AND(E977&lt;&gt;"",E977&lt;&gt;"!!!"),"NEW","")))</f>
        <v> </v>
      </c>
      <c r="G977" s="23" t="str">
        <f>IF(OR(E977="",E977="!!!"),"",IF(OR(J977=0,AND(J977=1,K977=1),AND(J977=1,I977="SBJ"),AND(J977=1,I977=0)),"?IN_FOCUS",IF(J977&lt;=2,"?ACTIVATED",IF(J977&lt;&gt;"","?FAMILIAR",IF(F977="NEW",IF(ISNA(VLOOKUP(E977,#REF!,1,FALSE())),"?TYPE_IDENTIFIABLE","?REFERENTIAL"),"_")))))</f>
        <v> </v>
      </c>
      <c r="H977" s="24" t="str">
        <f>IF(J977&lt;&gt;1,"",IF(I977="SBJ","CB","?"))</f>
        <v> </v>
      </c>
      <c r="I977" s="25" t="str">
        <f>IF(OR(E977="",E977="!!!",F977="NEW"),"",INDEX(B976:B$2,-1+SUMPRODUCT(MAX(ROW(E976:E$2)*(E977=E976:E$2)))))</f>
        <v> </v>
      </c>
      <c r="J977" s="25" t="str">
        <f>IF(OR(E977="",E977="!!!",F977="NEW"),"",COUNTBLANK(OFFSET(A$1,,,SUMPRODUCT(MAX(ROW(E$2:E977)*(E977=E$2:E977)))))-COUNTBLANK(OFFSET(A$1,,,SUMPRODUCT(MAX(ROW(E$1:E976)*(E2=E$1:E976))))))</f>
        <v> </v>
      </c>
      <c r="K977" s="25" t="str">
        <f>IF(OR(E977="",E977="!!!",F977="NEW"),"",INDEX(J$1:J976,SUMPRODUCT(MAX(ROW(E$1:E976)*(E977=E$1:E976)))))</f>
        <v> </v>
      </c>
      <c r="L977" s="26"/>
    </row>
    <row r="978" spans="1:12">
      <c r="A978" s="20" t="s">
        <v>320</v>
      </c>
      <c r="E978" s="21">
        <f>IF(D978="?OLD","!!!","")</f>
        <v/>
      </c>
      <c r="F978" s="22" t="str">
        <f>IF(OR(E978="",E978="!!!"),"",IF(NOT(ISNA(VLOOKUP(E978,E$1:E977,1,FALSE()))),"OLD",IF(AND(E978&lt;&gt;"",E978&lt;&gt;"!!!"),"NEW","")))</f>
        <v> </v>
      </c>
      <c r="G978" s="23" t="str">
        <f>IF(OR(E978="",E978="!!!"),"",IF(OR(J978=0,AND(J978=1,K978=1),AND(J978=1,I978="SBJ"),AND(J978=1,I978=0)),"?IN_FOCUS",IF(J978&lt;=2,"?ACTIVATED",IF(J978&lt;&gt;"","?FAMILIAR",IF(F978="NEW",IF(ISNA(VLOOKUP(E978,#REF!,1,FALSE())),"?TYPE_IDENTIFIABLE","?REFERENTIAL"),"_")))))</f>
        <v> </v>
      </c>
      <c r="H978" s="24" t="str">
        <f>IF(J978&lt;&gt;1,"",IF(I978="SBJ","CB","?"))</f>
        <v> </v>
      </c>
      <c r="I978" s="25" t="str">
        <f>IF(OR(E978="",E978="!!!",F978="NEW"),"",INDEX(B977:B$2,-1+SUMPRODUCT(MAX(ROW(E977:E$2)*(E978=E977:E$2)))))</f>
        <v> </v>
      </c>
      <c r="J978" s="25" t="str">
        <f>IF(OR(E978="",E978="!!!",F978="NEW"),"",COUNTBLANK(OFFSET(A$1,,,SUMPRODUCT(MAX(ROW(E$2:E978)*(E978=E$2:E978)))))-COUNTBLANK(OFFSET(A$1,,,SUMPRODUCT(MAX(ROW(E$1:E977)*(E2=E$1:E977))))))</f>
        <v> </v>
      </c>
      <c r="K978" s="25" t="str">
        <f>IF(OR(E978="",E978="!!!",F978="NEW"),"",INDEX(J$1:J977,SUMPRODUCT(MAX(ROW(E$1:E977)*(E978=E$1:E977)))))</f>
        <v> </v>
      </c>
      <c r="L978" s="26"/>
    </row>
    <row r="979" spans="1:12">
      <c r="A979" s="20"/>
    </row>
    <row r="980" spans="1:12">
      <c r="A980" s="20" t="s">
        <v>624</v>
      </c>
    </row>
    <row r="981" spans="1:12">
      <c r="A981" s="20" t="s">
        <v>255</v>
      </c>
      <c r="B981" s="27" t="s">
        <v>276</v>
      </c>
      <c r="C981" s="27" t="s">
        <v>257</v>
      </c>
      <c r="D981" s="27" t="s">
        <v>258</v>
      </c>
      <c r="E981" s="21">
        <f>IF(D981="?OLD","!!!","")</f>
        <v/>
      </c>
      <c r="F981" s="22" t="str">
        <f>IF(OR(E981="",E981="!!!"),"",IF(NOT(ISNA(VLOOKUP(E981,E$1:E980,1,FALSE()))),"OLD",IF(AND(E981&lt;&gt;"",E981&lt;&gt;"!!!"),"NEW","")))</f>
        <v> </v>
      </c>
      <c r="G981" s="23" t="str">
        <f>IF(OR(E981="",E981="!!!"),"",IF(OR(J981=0,AND(J981=1,K981=1),AND(J981=1,I981="SBJ"),AND(J981=1,I981=0)),"?IN_FOCUS",IF(J981&lt;=2,"?ACTIVATED",IF(J981&lt;&gt;"","?FAMILIAR",IF(F981="NEW",IF(ISNA(VLOOKUP(E981,#REF!,1,FALSE())),"?TYPE_IDENTIFIABLE","?REFERENTIAL"),"_")))))</f>
        <v> </v>
      </c>
      <c r="H981" s="24" t="str">
        <f>IF(J981&lt;&gt;1,"",IF(I981="SBJ","CB","?"))</f>
        <v> </v>
      </c>
      <c r="I981" s="25" t="str">
        <f>IF(OR(E981="",E981="!!!",F981="NEW"),"",INDEX(B980:B$2,-1+SUMPRODUCT(MAX(ROW(E980:E$2)*(E981=E980:E$2)))))</f>
        <v> </v>
      </c>
      <c r="J981" s="25" t="str">
        <f>IF(OR(E981="",E981="!!!",F981="NEW"),"",COUNTBLANK(OFFSET(A$1,,,SUMPRODUCT(MAX(ROW(E$2:E981)*(E981=E$2:E981)))))-COUNTBLANK(OFFSET(A$1,,,SUMPRODUCT(MAX(ROW(E$1:E980)*(E2=E$1:E980))))))</f>
        <v> </v>
      </c>
      <c r="K981" s="25" t="str">
        <f>IF(OR(E981="",E981="!!!",F981="NEW"),"",INDEX(J$1:J980,SUMPRODUCT(MAX(ROW(E$1:E980)*(E981=E$1:E980)))))</f>
        <v> </v>
      </c>
      <c r="L981" s="26"/>
    </row>
    <row r="982" spans="1:12">
      <c r="A982" s="20" t="s">
        <v>343</v>
      </c>
      <c r="E982" s="21">
        <f>IF(D982="?OLD","!!!","")</f>
        <v/>
      </c>
      <c r="F982" s="22" t="str">
        <f>IF(OR(E982="",E982="!!!"),"",IF(NOT(ISNA(VLOOKUP(E982,E$1:E981,1,FALSE()))),"OLD",IF(AND(E982&lt;&gt;"",E982&lt;&gt;"!!!"),"NEW","")))</f>
        <v> </v>
      </c>
      <c r="G982" s="23" t="str">
        <f>IF(OR(E982="",E982="!!!"),"",IF(OR(J982=0,AND(J982=1,K982=1),AND(J982=1,I982="SBJ"),AND(J982=1,I982=0)),"?IN_FOCUS",IF(J982&lt;=2,"?ACTIVATED",IF(J982&lt;&gt;"","?FAMILIAR",IF(F982="NEW",IF(ISNA(VLOOKUP(E982,#REF!,1,FALSE())),"?TYPE_IDENTIFIABLE","?REFERENTIAL"),"_")))))</f>
        <v> </v>
      </c>
      <c r="H982" s="24" t="str">
        <f>IF(J982&lt;&gt;1,"",IF(I982="SBJ","CB","?"))</f>
        <v> </v>
      </c>
      <c r="I982" s="25" t="str">
        <f>IF(OR(E982="",E982="!!!",F982="NEW"),"",INDEX(B981:B$2,-1+SUMPRODUCT(MAX(ROW(E981:E$2)*(E982=E981:E$2)))))</f>
        <v> </v>
      </c>
      <c r="J982" s="25" t="str">
        <f>IF(OR(E982="",E982="!!!",F982="NEW"),"",COUNTBLANK(OFFSET(A$1,,,SUMPRODUCT(MAX(ROW(E$2:E982)*(E982=E$2:E982)))))-COUNTBLANK(OFFSET(A$1,,,SUMPRODUCT(MAX(ROW(E$1:E981)*(E2=E$1:E981))))))</f>
        <v> </v>
      </c>
      <c r="K982" s="25" t="str">
        <f>IF(OR(E982="",E982="!!!",F982="NEW"),"",INDEX(J$1:J981,SUMPRODUCT(MAX(ROW(E$1:E981)*(E982=E$1:E981)))))</f>
        <v> </v>
      </c>
      <c r="L982" s="26"/>
    </row>
    <row r="983" spans="1:12">
      <c r="A983" s="20" t="s">
        <v>481</v>
      </c>
      <c r="E983" s="21">
        <f>IF(D983="?OLD","!!!","")</f>
        <v/>
      </c>
      <c r="F983" s="22" t="str">
        <f>IF(OR(E983="",E983="!!!"),"",IF(NOT(ISNA(VLOOKUP(E983,E$1:E982,1,FALSE()))),"OLD",IF(AND(E983&lt;&gt;"",E983&lt;&gt;"!!!"),"NEW","")))</f>
        <v> </v>
      </c>
      <c r="G983" s="23" t="str">
        <f>IF(OR(E983="",E983="!!!"),"",IF(OR(J983=0,AND(J983=1,K983=1),AND(J983=1,I983="SBJ"),AND(J983=1,I983=0)),"?IN_FOCUS",IF(J983&lt;=2,"?ACTIVATED",IF(J983&lt;&gt;"","?FAMILIAR",IF(F983="NEW",IF(ISNA(VLOOKUP(E983,#REF!,1,FALSE())),"?TYPE_IDENTIFIABLE","?REFERENTIAL"),"_")))))</f>
        <v> </v>
      </c>
      <c r="H983" s="24" t="str">
        <f>IF(J983&lt;&gt;1,"",IF(I983="SBJ","CB","?"))</f>
        <v> </v>
      </c>
      <c r="I983" s="25" t="str">
        <f>IF(OR(E983="",E983="!!!",F983="NEW"),"",INDEX(B982:B$2,-1+SUMPRODUCT(MAX(ROW(E982:E$2)*(E983=E982:E$2)))))</f>
        <v> </v>
      </c>
      <c r="J983" s="25" t="str">
        <f>IF(OR(E983="",E983="!!!",F983="NEW"),"",COUNTBLANK(OFFSET(A$1,,,SUMPRODUCT(MAX(ROW(E$2:E983)*(E983=E$2:E983)))))-COUNTBLANK(OFFSET(A$1,,,SUMPRODUCT(MAX(ROW(E$1:E982)*(E2=E$1:E982))))))</f>
        <v> </v>
      </c>
      <c r="K983" s="25" t="str">
        <f>IF(OR(E983="",E983="!!!",F983="NEW"),"",INDEX(J$1:J982,SUMPRODUCT(MAX(ROW(E$1:E982)*(E983=E$1:E982)))))</f>
        <v> </v>
      </c>
      <c r="L983" s="26"/>
    </row>
    <row r="984" spans="1:12">
      <c r="A984" s="20" t="s">
        <v>543</v>
      </c>
      <c r="E984" s="21">
        <f>IF(D984="?OLD","!!!","")</f>
        <v/>
      </c>
      <c r="F984" s="22" t="str">
        <f>IF(OR(E984="",E984="!!!"),"",IF(NOT(ISNA(VLOOKUP(E984,E$1:E983,1,FALSE()))),"OLD",IF(AND(E984&lt;&gt;"",E984&lt;&gt;"!!!"),"NEW","")))</f>
        <v> </v>
      </c>
      <c r="G984" s="23" t="str">
        <f>IF(OR(E984="",E984="!!!"),"",IF(OR(J984=0,AND(J984=1,K984=1),AND(J984=1,I984="SBJ"),AND(J984=1,I984=0)),"?IN_FOCUS",IF(J984&lt;=2,"?ACTIVATED",IF(J984&lt;&gt;"","?FAMILIAR",IF(F984="NEW",IF(ISNA(VLOOKUP(E984,#REF!,1,FALSE())),"?TYPE_IDENTIFIABLE","?REFERENTIAL"),"_")))))</f>
        <v> </v>
      </c>
      <c r="H984" s="24" t="str">
        <f>IF(J984&lt;&gt;1,"",IF(I984="SBJ","CB","?"))</f>
        <v> </v>
      </c>
      <c r="I984" s="25" t="str">
        <f>IF(OR(E984="",E984="!!!",F984="NEW"),"",INDEX(B983:B$2,-1+SUMPRODUCT(MAX(ROW(E983:E$2)*(E984=E983:E$2)))))</f>
        <v> </v>
      </c>
      <c r="J984" s="25" t="str">
        <f>IF(OR(E984="",E984="!!!",F984="NEW"),"",COUNTBLANK(OFFSET(A$1,,,SUMPRODUCT(MAX(ROW(E$2:E984)*(E984=E$2:E984)))))-COUNTBLANK(OFFSET(A$1,,,SUMPRODUCT(MAX(ROW(E$1:E983)*(E2=E$1:E983))))))</f>
        <v> </v>
      </c>
      <c r="K984" s="25" t="str">
        <f>IF(OR(E984="",E984="!!!",F984="NEW"),"",INDEX(J$1:J983,SUMPRODUCT(MAX(ROW(E$1:E983)*(E984=E$1:E983)))))</f>
        <v> </v>
      </c>
      <c r="L984" s="26"/>
    </row>
    <row r="985" spans="1:12">
      <c r="A985" s="20" t="s">
        <v>274</v>
      </c>
      <c r="E985" s="21">
        <f>IF(D985="?OLD","!!!","")</f>
        <v/>
      </c>
      <c r="F985" s="22" t="str">
        <f>IF(OR(E985="",E985="!!!"),"",IF(NOT(ISNA(VLOOKUP(E985,E$1:E984,1,FALSE()))),"OLD",IF(AND(E985&lt;&gt;"",E985&lt;&gt;"!!!"),"NEW","")))</f>
        <v> </v>
      </c>
      <c r="G985" s="23" t="str">
        <f>IF(OR(E985="",E985="!!!"),"",IF(OR(J985=0,AND(J985=1,K985=1),AND(J985=1,I985="SBJ"),AND(J985=1,I985=0)),"?IN_FOCUS",IF(J985&lt;=2,"?ACTIVATED",IF(J985&lt;&gt;"","?FAMILIAR",IF(F985="NEW",IF(ISNA(VLOOKUP(E985,#REF!,1,FALSE())),"?TYPE_IDENTIFIABLE","?REFERENTIAL"),"_")))))</f>
        <v> </v>
      </c>
      <c r="H985" s="24" t="str">
        <f>IF(J985&lt;&gt;1,"",IF(I985="SBJ","CB","?"))</f>
        <v> </v>
      </c>
      <c r="I985" s="25" t="str">
        <f>IF(OR(E985="",E985="!!!",F985="NEW"),"",INDEX(B984:B$2,-1+SUMPRODUCT(MAX(ROW(E984:E$2)*(E985=E984:E$2)))))</f>
        <v> </v>
      </c>
      <c r="J985" s="25" t="str">
        <f>IF(OR(E985="",E985="!!!",F985="NEW"),"",COUNTBLANK(OFFSET(A$1,,,SUMPRODUCT(MAX(ROW(E$2:E985)*(E985=E$2:E985)))))-COUNTBLANK(OFFSET(A$1,,,SUMPRODUCT(MAX(ROW(E$1:E984)*(E2=E$1:E984))))))</f>
        <v> </v>
      </c>
      <c r="K985" s="25" t="str">
        <f>IF(OR(E985="",E985="!!!",F985="NEW"),"",INDEX(J$1:J984,SUMPRODUCT(MAX(ROW(E$1:E984)*(E985=E$1:E984)))))</f>
        <v> </v>
      </c>
      <c r="L985" s="26"/>
    </row>
    <row r="986" spans="1:12">
      <c r="A986" s="20" t="s">
        <v>625</v>
      </c>
      <c r="E986" s="21">
        <f>IF(D986="?OLD","!!!","")</f>
        <v/>
      </c>
      <c r="F986" s="22" t="str">
        <f>IF(OR(E986="",E986="!!!"),"",IF(NOT(ISNA(VLOOKUP(E986,E$1:E985,1,FALSE()))),"OLD",IF(AND(E986&lt;&gt;"",E986&lt;&gt;"!!!"),"NEW","")))</f>
        <v> </v>
      </c>
      <c r="G986" s="23" t="str">
        <f>IF(OR(E986="",E986="!!!"),"",IF(OR(J986=0,AND(J986=1,K986=1),AND(J986=1,I986="SBJ"),AND(J986=1,I986=0)),"?IN_FOCUS",IF(J986&lt;=2,"?ACTIVATED",IF(J986&lt;&gt;"","?FAMILIAR",IF(F986="NEW",IF(ISNA(VLOOKUP(E986,#REF!,1,FALSE())),"?TYPE_IDENTIFIABLE","?REFERENTIAL"),"_")))))</f>
        <v> </v>
      </c>
      <c r="H986" s="24" t="str">
        <f>IF(J986&lt;&gt;1,"",IF(I986="SBJ","CB","?"))</f>
        <v> </v>
      </c>
      <c r="I986" s="25" t="str">
        <f>IF(OR(E986="",E986="!!!",F986="NEW"),"",INDEX(B985:B$2,-1+SUMPRODUCT(MAX(ROW(E985:E$2)*(E986=E985:E$2)))))</f>
        <v> </v>
      </c>
      <c r="J986" s="25" t="str">
        <f>IF(OR(E986="",E986="!!!",F986="NEW"),"",COUNTBLANK(OFFSET(A$1,,,SUMPRODUCT(MAX(ROW(E$2:E986)*(E986=E$2:E986)))))-COUNTBLANK(OFFSET(A$1,,,SUMPRODUCT(MAX(ROW(E$1:E985)*(E2=E$1:E985))))))</f>
        <v> </v>
      </c>
      <c r="K986" s="25" t="str">
        <f>IF(OR(E986="",E986="!!!",F986="NEW"),"",INDEX(J$1:J985,SUMPRODUCT(MAX(ROW(E$1:E985)*(E986=E$1:E985)))))</f>
        <v> </v>
      </c>
      <c r="L986" s="26"/>
    </row>
    <row r="987" spans="1:12">
      <c r="A987" s="20" t="s">
        <v>626</v>
      </c>
      <c r="E987" s="21">
        <f>IF(D987="?OLD","!!!","")</f>
        <v/>
      </c>
      <c r="F987" s="22" t="str">
        <f>IF(OR(E987="",E987="!!!"),"",IF(NOT(ISNA(VLOOKUP(E987,E$1:E986,1,FALSE()))),"OLD",IF(AND(E987&lt;&gt;"",E987&lt;&gt;"!!!"),"NEW","")))</f>
        <v> </v>
      </c>
      <c r="G987" s="23" t="str">
        <f>IF(OR(E987="",E987="!!!"),"",IF(OR(J987=0,AND(J987=1,K987=1),AND(J987=1,I987="SBJ"),AND(J987=1,I987=0)),"?IN_FOCUS",IF(J987&lt;=2,"?ACTIVATED",IF(J987&lt;&gt;"","?FAMILIAR",IF(F987="NEW",IF(ISNA(VLOOKUP(E987,#REF!,1,FALSE())),"?TYPE_IDENTIFIABLE","?REFERENTIAL"),"_")))))</f>
        <v> </v>
      </c>
      <c r="H987" s="24" t="str">
        <f>IF(J987&lt;&gt;1,"",IF(I987="SBJ","CB","?"))</f>
        <v> </v>
      </c>
      <c r="I987" s="25" t="str">
        <f>IF(OR(E987="",E987="!!!",F987="NEW"),"",INDEX(B986:B$2,-1+SUMPRODUCT(MAX(ROW(E986:E$2)*(E987=E986:E$2)))))</f>
        <v> </v>
      </c>
      <c r="J987" s="25" t="str">
        <f>IF(OR(E987="",E987="!!!",F987="NEW"),"",COUNTBLANK(OFFSET(A$1,,,SUMPRODUCT(MAX(ROW(E$2:E987)*(E987=E$2:E987)))))-COUNTBLANK(OFFSET(A$1,,,SUMPRODUCT(MAX(ROW(E$1:E986)*(E2=E$1:E986))))))</f>
        <v> </v>
      </c>
      <c r="K987" s="25" t="str">
        <f>IF(OR(E987="",E987="!!!",F987="NEW"),"",INDEX(J$1:J986,SUMPRODUCT(MAX(ROW(E$1:E986)*(E987=E$1:E986)))))</f>
        <v> </v>
      </c>
      <c r="L987" s="26"/>
    </row>
    <row r="988" spans="1:12">
      <c r="A988" s="20" t="s">
        <v>627</v>
      </c>
      <c r="E988" s="21">
        <f>IF(D988="?OLD","!!!","")</f>
        <v/>
      </c>
      <c r="F988" s="22" t="str">
        <f>IF(OR(E988="",E988="!!!"),"",IF(NOT(ISNA(VLOOKUP(E988,E$1:E987,1,FALSE()))),"OLD",IF(AND(E988&lt;&gt;"",E988&lt;&gt;"!!!"),"NEW","")))</f>
        <v> </v>
      </c>
      <c r="G988" s="23" t="str">
        <f>IF(OR(E988="",E988="!!!"),"",IF(OR(J988=0,AND(J988=1,K988=1),AND(J988=1,I988="SBJ"),AND(J988=1,I988=0)),"?IN_FOCUS",IF(J988&lt;=2,"?ACTIVATED",IF(J988&lt;&gt;"","?FAMILIAR",IF(F988="NEW",IF(ISNA(VLOOKUP(E988,#REF!,1,FALSE())),"?TYPE_IDENTIFIABLE","?REFERENTIAL"),"_")))))</f>
        <v> </v>
      </c>
      <c r="H988" s="24" t="str">
        <f>IF(J988&lt;&gt;1,"",IF(I988="SBJ","CB","?"))</f>
        <v> </v>
      </c>
      <c r="I988" s="25" t="str">
        <f>IF(OR(E988="",E988="!!!",F988="NEW"),"",INDEX(B987:B$2,-1+SUMPRODUCT(MAX(ROW(E987:E$2)*(E988=E987:E$2)))))</f>
        <v> </v>
      </c>
      <c r="J988" s="25" t="str">
        <f>IF(OR(E988="",E988="!!!",F988="NEW"),"",COUNTBLANK(OFFSET(A$1,,,SUMPRODUCT(MAX(ROW(E$2:E988)*(E988=E$2:E988)))))-COUNTBLANK(OFFSET(A$1,,,SUMPRODUCT(MAX(ROW(E$1:E987)*(E2=E$1:E987))))))</f>
        <v> </v>
      </c>
      <c r="K988" s="25" t="str">
        <f>IF(OR(E988="",E988="!!!",F988="NEW"),"",INDEX(J$1:J987,SUMPRODUCT(MAX(ROW(E$1:E987)*(E988=E$1:E987)))))</f>
        <v> </v>
      </c>
      <c r="L988" s="26"/>
    </row>
    <row r="989" spans="1:12">
      <c r="A989" s="20" t="s">
        <v>628</v>
      </c>
      <c r="B989" s="27" t="s">
        <v>401</v>
      </c>
      <c r="C989" s="27" t="s">
        <v>277</v>
      </c>
      <c r="D989" s="27" t="s">
        <v>258</v>
      </c>
      <c r="E989" s="21">
        <f>IF(D989="?OLD","!!!","")</f>
        <v/>
      </c>
      <c r="F989" s="22" t="str">
        <f>IF(OR(E989="",E989="!!!"),"",IF(NOT(ISNA(VLOOKUP(E989,E$1:E988,1,FALSE()))),"OLD",IF(AND(E989&lt;&gt;"",E989&lt;&gt;"!!!"),"NEW","")))</f>
        <v> </v>
      </c>
      <c r="G989" s="23" t="str">
        <f>IF(OR(E989="",E989="!!!"),"",IF(OR(J989=0,AND(J989=1,K989=1),AND(J989=1,I989="SBJ"),AND(J989=1,I989=0)),"?IN_FOCUS",IF(J989&lt;=2,"?ACTIVATED",IF(J989&lt;&gt;"","?FAMILIAR",IF(F989="NEW",IF(ISNA(VLOOKUP(E989,#REF!,1,FALSE())),"?TYPE_IDENTIFIABLE","?REFERENTIAL"),"_")))))</f>
        <v> </v>
      </c>
      <c r="H989" s="24" t="str">
        <f>IF(J989&lt;&gt;1,"",IF(I989="SBJ","CB","?"))</f>
        <v> </v>
      </c>
      <c r="I989" s="25" t="str">
        <f>IF(OR(E989="",E989="!!!",F989="NEW"),"",INDEX(B988:B$2,-1+SUMPRODUCT(MAX(ROW(E988:E$2)*(E989=E988:E$2)))))</f>
        <v> </v>
      </c>
      <c r="J989" s="25" t="str">
        <f>IF(OR(E989="",E989="!!!",F989="NEW"),"",COUNTBLANK(OFFSET(A$1,,,SUMPRODUCT(MAX(ROW(E$2:E989)*(E989=E$2:E989)))))-COUNTBLANK(OFFSET(A$1,,,SUMPRODUCT(MAX(ROW(E$1:E988)*(E2=E$1:E988))))))</f>
        <v> </v>
      </c>
      <c r="K989" s="25" t="str">
        <f>IF(OR(E989="",E989="!!!",F989="NEW"),"",INDEX(J$1:J988,SUMPRODUCT(MAX(ROW(E$1:E988)*(E989=E$1:E988)))))</f>
        <v> </v>
      </c>
      <c r="L989" s="26"/>
    </row>
    <row r="990" spans="1:12">
      <c r="A990" s="20" t="s">
        <v>191</v>
      </c>
      <c r="E990" s="21">
        <f>IF(D990="?OLD","!!!","")</f>
        <v/>
      </c>
      <c r="F990" s="22" t="str">
        <f>IF(OR(E990="",E990="!!!"),"",IF(NOT(ISNA(VLOOKUP(E990,E$1:E989,1,FALSE()))),"OLD",IF(AND(E990&lt;&gt;"",E990&lt;&gt;"!!!"),"NEW","")))</f>
        <v> </v>
      </c>
      <c r="G990" s="23" t="str">
        <f>IF(OR(E990="",E990="!!!"),"",IF(OR(J990=0,AND(J990=1,K990=1),AND(J990=1,I990="SBJ"),AND(J990=1,I990=0)),"?IN_FOCUS",IF(J990&lt;=2,"?ACTIVATED",IF(J990&lt;&gt;"","?FAMILIAR",IF(F990="NEW",IF(ISNA(VLOOKUP(E990,#REF!,1,FALSE())),"?TYPE_IDENTIFIABLE","?REFERENTIAL"),"_")))))</f>
        <v> </v>
      </c>
      <c r="H990" s="24" t="str">
        <f>IF(J990&lt;&gt;1,"",IF(I990="SBJ","CB","?"))</f>
        <v> </v>
      </c>
      <c r="I990" s="25" t="str">
        <f>IF(OR(E990="",E990="!!!",F990="NEW"),"",INDEX(B989:B$2,-1+SUMPRODUCT(MAX(ROW(E989:E$2)*(E990=E989:E$2)))))</f>
        <v> </v>
      </c>
      <c r="J990" s="25" t="str">
        <f>IF(OR(E990="",E990="!!!",F990="NEW"),"",COUNTBLANK(OFFSET(A$1,,,SUMPRODUCT(MAX(ROW(E$2:E990)*(E990=E$2:E990)))))-COUNTBLANK(OFFSET(A$1,,,SUMPRODUCT(MAX(ROW(E$1:E989)*(E2=E$1:E989))))))</f>
        <v> </v>
      </c>
      <c r="K990" s="25" t="str">
        <f>IF(OR(E990="",E990="!!!",F990="NEW"),"",INDEX(J$1:J989,SUMPRODUCT(MAX(ROW(E$1:E989)*(E990=E$1:E989)))))</f>
        <v> </v>
      </c>
      <c r="L990" s="26"/>
    </row>
    <row r="991" spans="1:12">
      <c r="A991" s="20" t="s">
        <v>320</v>
      </c>
      <c r="E991" s="21">
        <f>IF(D991="?OLD","!!!","")</f>
        <v/>
      </c>
      <c r="F991" s="22" t="str">
        <f>IF(OR(E991="",E991="!!!"),"",IF(NOT(ISNA(VLOOKUP(E991,E$1:E990,1,FALSE()))),"OLD",IF(AND(E991&lt;&gt;"",E991&lt;&gt;"!!!"),"NEW","")))</f>
        <v> </v>
      </c>
      <c r="G991" s="23" t="str">
        <f>IF(OR(E991="",E991="!!!"),"",IF(OR(J991=0,AND(J991=1,K991=1),AND(J991=1,I991="SBJ"),AND(J991=1,I991=0)),"?IN_FOCUS",IF(J991&lt;=2,"?ACTIVATED",IF(J991&lt;&gt;"","?FAMILIAR",IF(F991="NEW",IF(ISNA(VLOOKUP(E991,#REF!,1,FALSE())),"?TYPE_IDENTIFIABLE","?REFERENTIAL"),"_")))))</f>
        <v> </v>
      </c>
      <c r="H991" s="24" t="str">
        <f>IF(J991&lt;&gt;1,"",IF(I991="SBJ","CB","?"))</f>
        <v> </v>
      </c>
      <c r="I991" s="25" t="str">
        <f>IF(OR(E991="",E991="!!!",F991="NEW"),"",INDEX(B990:B$2,-1+SUMPRODUCT(MAX(ROW(E990:E$2)*(E991=E990:E$2)))))</f>
        <v> </v>
      </c>
      <c r="J991" s="25" t="str">
        <f>IF(OR(E991="",E991="!!!",F991="NEW"),"",COUNTBLANK(OFFSET(A$1,,,SUMPRODUCT(MAX(ROW(E$2:E991)*(E991=E$2:E991)))))-COUNTBLANK(OFFSET(A$1,,,SUMPRODUCT(MAX(ROW(E$1:E990)*(E2=E$1:E990))))))</f>
        <v> </v>
      </c>
      <c r="K991" s="25" t="str">
        <f>IF(OR(E991="",E991="!!!",F991="NEW"),"",INDEX(J$1:J990,SUMPRODUCT(MAX(ROW(E$1:E990)*(E991=E$1:E990)))))</f>
        <v> </v>
      </c>
      <c r="L991" s="26"/>
    </row>
    <row r="992" spans="1:12">
      <c r="A992" s="20"/>
    </row>
    <row r="993" spans="1:12">
      <c r="A993" s="20" t="s">
        <v>629</v>
      </c>
    </row>
    <row r="994" spans="1:12">
      <c r="A994" s="20" t="s">
        <v>322</v>
      </c>
      <c r="E994" s="21">
        <f>IF(D994="?OLD","!!!","")</f>
        <v/>
      </c>
      <c r="F994" s="22" t="str">
        <f>IF(OR(E994="",E994="!!!"),"",IF(NOT(ISNA(VLOOKUP(E994,E$1:E993,1,FALSE()))),"OLD",IF(AND(E994&lt;&gt;"",E994&lt;&gt;"!!!"),"NEW","")))</f>
        <v> </v>
      </c>
      <c r="G994" s="23" t="str">
        <f>IF(OR(E994="",E994="!!!"),"",IF(OR(J994=0,AND(J994=1,K994=1),AND(J994=1,I994="SBJ"),AND(J994=1,I994=0)),"?IN_FOCUS",IF(J994&lt;=2,"?ACTIVATED",IF(J994&lt;&gt;"","?FAMILIAR",IF(F994="NEW",IF(ISNA(VLOOKUP(E994,#REF!,1,FALSE())),"?TYPE_IDENTIFIABLE","?REFERENTIAL"),"_")))))</f>
        <v> </v>
      </c>
      <c r="H994" s="24" t="str">
        <f>IF(J994&lt;&gt;1,"",IF(I994="SBJ","CB","?"))</f>
        <v> </v>
      </c>
      <c r="I994" s="25" t="str">
        <f>IF(OR(E994="",E994="!!!",F994="NEW"),"",INDEX(B993:B$2,-1+SUMPRODUCT(MAX(ROW(E993:E$2)*(E994=E993:E$2)))))</f>
        <v> </v>
      </c>
      <c r="J994" s="25" t="str">
        <f>IF(OR(E994="",E994="!!!",F994="NEW"),"",COUNTBLANK(OFFSET(A$1,,,SUMPRODUCT(MAX(ROW(E$2:E994)*(E994=E$2:E994)))))-COUNTBLANK(OFFSET(A$1,,,SUMPRODUCT(MAX(ROW(E$1:E993)*(E2=E$1:E993))))))</f>
        <v> </v>
      </c>
      <c r="K994" s="25" t="str">
        <f>IF(OR(E994="",E994="!!!",F994="NEW"),"",INDEX(J$1:J993,SUMPRODUCT(MAX(ROW(E$1:E993)*(E994=E$1:E993)))))</f>
        <v> </v>
      </c>
      <c r="L994" s="26"/>
    </row>
    <row r="995" spans="1:12">
      <c r="A995" s="20" t="s">
        <v>350</v>
      </c>
      <c r="E995" s="21">
        <f>IF(D995="?OLD","!!!","")</f>
        <v/>
      </c>
      <c r="F995" s="22" t="str">
        <f>IF(OR(E995="",E995="!!!"),"",IF(NOT(ISNA(VLOOKUP(E995,E$1:E994,1,FALSE()))),"OLD",IF(AND(E995&lt;&gt;"",E995&lt;&gt;"!!!"),"NEW","")))</f>
        <v> </v>
      </c>
      <c r="G995" s="23" t="str">
        <f>IF(OR(E995="",E995="!!!"),"",IF(OR(J995=0,AND(J995=1,K995=1),AND(J995=1,I995="SBJ"),AND(J995=1,I995=0)),"?IN_FOCUS",IF(J995&lt;=2,"?ACTIVATED",IF(J995&lt;&gt;"","?FAMILIAR",IF(F995="NEW",IF(ISNA(VLOOKUP(E995,#REF!,1,FALSE())),"?TYPE_IDENTIFIABLE","?REFERENTIAL"),"_")))))</f>
        <v> </v>
      </c>
      <c r="H995" s="24" t="str">
        <f>IF(J995&lt;&gt;1,"",IF(I995="SBJ","CB","?"))</f>
        <v> </v>
      </c>
      <c r="I995" s="25" t="str">
        <f>IF(OR(E995="",E995="!!!",F995="NEW"),"",INDEX(B994:B$2,-1+SUMPRODUCT(MAX(ROW(E994:E$2)*(E995=E994:E$2)))))</f>
        <v> </v>
      </c>
      <c r="J995" s="25" t="str">
        <f>IF(OR(E995="",E995="!!!",F995="NEW"),"",COUNTBLANK(OFFSET(A$1,,,SUMPRODUCT(MAX(ROW(E$2:E995)*(E995=E$2:E995)))))-COUNTBLANK(OFFSET(A$1,,,SUMPRODUCT(MAX(ROW(E$1:E994)*(E2=E$1:E994))))))</f>
        <v> </v>
      </c>
      <c r="K995" s="25" t="str">
        <f>IF(OR(E995="",E995="!!!",F995="NEW"),"",INDEX(J$1:J994,SUMPRODUCT(MAX(ROW(E$1:E994)*(E995=E$1:E994)))))</f>
        <v> </v>
      </c>
      <c r="L995" s="26"/>
    </row>
    <row r="996" spans="1:12">
      <c r="A996" s="20" t="s">
        <v>271</v>
      </c>
      <c r="E996" s="21">
        <f>IF(D996="?OLD","!!!","")</f>
        <v/>
      </c>
      <c r="F996" s="22" t="str">
        <f>IF(OR(E996="",E996="!!!"),"",IF(NOT(ISNA(VLOOKUP(E996,E$1:E995,1,FALSE()))),"OLD",IF(AND(E996&lt;&gt;"",E996&lt;&gt;"!!!"),"NEW","")))</f>
        <v> </v>
      </c>
      <c r="G996" s="23" t="str">
        <f>IF(OR(E996="",E996="!!!"),"",IF(OR(J996=0,AND(J996=1,K996=1),AND(J996=1,I996="SBJ"),AND(J996=1,I996=0)),"?IN_FOCUS",IF(J996&lt;=2,"?ACTIVATED",IF(J996&lt;&gt;"","?FAMILIAR",IF(F996="NEW",IF(ISNA(VLOOKUP(E996,#REF!,1,FALSE())),"?TYPE_IDENTIFIABLE","?REFERENTIAL"),"_")))))</f>
        <v> </v>
      </c>
      <c r="H996" s="24" t="str">
        <f>IF(J996&lt;&gt;1,"",IF(I996="SBJ","CB","?"))</f>
        <v> </v>
      </c>
      <c r="I996" s="25" t="str">
        <f>IF(OR(E996="",E996="!!!",F996="NEW"),"",INDEX(B995:B$2,-1+SUMPRODUCT(MAX(ROW(E995:E$2)*(E996=E995:E$2)))))</f>
        <v> </v>
      </c>
      <c r="J996" s="25" t="str">
        <f>IF(OR(E996="",E996="!!!",F996="NEW"),"",COUNTBLANK(OFFSET(A$1,,,SUMPRODUCT(MAX(ROW(E$2:E996)*(E996=E$2:E996)))))-COUNTBLANK(OFFSET(A$1,,,SUMPRODUCT(MAX(ROW(E$1:E995)*(E2=E$1:E995))))))</f>
        <v> </v>
      </c>
      <c r="K996" s="25" t="str">
        <f>IF(OR(E996="",E996="!!!",F996="NEW"),"",INDEX(J$1:J995,SUMPRODUCT(MAX(ROW(E$1:E995)*(E996=E$1:E995)))))</f>
        <v> </v>
      </c>
      <c r="L996" s="26"/>
    </row>
    <row r="997" spans="1:12">
      <c r="A997" s="20" t="s">
        <v>416</v>
      </c>
      <c r="E997" s="21">
        <f>IF(D997="?OLD","!!!","")</f>
        <v/>
      </c>
      <c r="F997" s="22" t="str">
        <f>IF(OR(E997="",E997="!!!"),"",IF(NOT(ISNA(VLOOKUP(E997,E$1:E996,1,FALSE()))),"OLD",IF(AND(E997&lt;&gt;"",E997&lt;&gt;"!!!"),"NEW","")))</f>
        <v> </v>
      </c>
      <c r="G997" s="23" t="str">
        <f>IF(OR(E997="",E997="!!!"),"",IF(OR(J997=0,AND(J997=1,K997=1),AND(J997=1,I997="SBJ"),AND(J997=1,I997=0)),"?IN_FOCUS",IF(J997&lt;=2,"?ACTIVATED",IF(J997&lt;&gt;"","?FAMILIAR",IF(F997="NEW",IF(ISNA(VLOOKUP(E997,#REF!,1,FALSE())),"?TYPE_IDENTIFIABLE","?REFERENTIAL"),"_")))))</f>
        <v> </v>
      </c>
      <c r="H997" s="24" t="str">
        <f>IF(J997&lt;&gt;1,"",IF(I997="SBJ","CB","?"))</f>
        <v> </v>
      </c>
      <c r="I997" s="25" t="str">
        <f>IF(OR(E997="",E997="!!!",F997="NEW"),"",INDEX(B996:B$2,-1+SUMPRODUCT(MAX(ROW(E996:E$2)*(E997=E996:E$2)))))</f>
        <v> </v>
      </c>
      <c r="J997" s="25" t="str">
        <f>IF(OR(E997="",E997="!!!",F997="NEW"),"",COUNTBLANK(OFFSET(A$1,,,SUMPRODUCT(MAX(ROW(E$2:E997)*(E997=E$2:E997)))))-COUNTBLANK(OFFSET(A$1,,,SUMPRODUCT(MAX(ROW(E$1:E996)*(E2=E$1:E996))))))</f>
        <v> </v>
      </c>
      <c r="K997" s="25" t="str">
        <f>IF(OR(E997="",E997="!!!",F997="NEW"),"",INDEX(J$1:J996,SUMPRODUCT(MAX(ROW(E$1:E996)*(E997=E$1:E996)))))</f>
        <v> </v>
      </c>
      <c r="L997" s="26"/>
    </row>
    <row r="998" spans="1:12">
      <c r="A998" s="20" t="s">
        <v>630</v>
      </c>
      <c r="B998" s="27" t="s">
        <v>276</v>
      </c>
      <c r="C998" s="27" t="s">
        <v>341</v>
      </c>
      <c r="D998" s="27" t="s">
        <v>258</v>
      </c>
      <c r="E998" s="21">
        <f>IF(D998="?OLD","!!!","")</f>
        <v/>
      </c>
      <c r="F998" s="22" t="str">
        <f>IF(OR(E998="",E998="!!!"),"",IF(NOT(ISNA(VLOOKUP(E998,E$1:E997,1,FALSE()))),"OLD",IF(AND(E998&lt;&gt;"",E998&lt;&gt;"!!!"),"NEW","")))</f>
        <v> </v>
      </c>
      <c r="G998" s="23" t="str">
        <f>IF(OR(E998="",E998="!!!"),"",IF(OR(J998=0,AND(J998=1,K998=1),AND(J998=1,I998="SBJ"),AND(J998=1,I998=0)),"?IN_FOCUS",IF(J998&lt;=2,"?ACTIVATED",IF(J998&lt;&gt;"","?FAMILIAR",IF(F998="NEW",IF(ISNA(VLOOKUP(E998,#REF!,1,FALSE())),"?TYPE_IDENTIFIABLE","?REFERENTIAL"),"_")))))</f>
        <v> </v>
      </c>
      <c r="H998" s="24" t="str">
        <f>IF(J998&lt;&gt;1,"",IF(I998="SBJ","CB","?"))</f>
        <v> </v>
      </c>
      <c r="I998" s="25" t="str">
        <f>IF(OR(E998="",E998="!!!",F998="NEW"),"",INDEX(B997:B$2,-1+SUMPRODUCT(MAX(ROW(E997:E$2)*(E998=E997:E$2)))))</f>
        <v> </v>
      </c>
      <c r="J998" s="25" t="str">
        <f>IF(OR(E998="",E998="!!!",F998="NEW"),"",COUNTBLANK(OFFSET(A$1,,,SUMPRODUCT(MAX(ROW(E$2:E998)*(E998=E$2:E998)))))-COUNTBLANK(OFFSET(A$1,,,SUMPRODUCT(MAX(ROW(E$1:E997)*(E2=E$1:E997))))))</f>
        <v> </v>
      </c>
      <c r="K998" s="25" t="str">
        <f>IF(OR(E998="",E998="!!!",F998="NEW"),"",INDEX(J$1:J997,SUMPRODUCT(MAX(ROW(E$1:E997)*(E998=E$1:E997)))))</f>
        <v> </v>
      </c>
      <c r="L998" s="26"/>
    </row>
    <row r="999" spans="1:12">
      <c r="A999" s="20" t="s">
        <v>16</v>
      </c>
      <c r="E999" s="21">
        <f>IF(D999="?OLD","!!!","")</f>
        <v/>
      </c>
      <c r="F999" s="22" t="str">
        <f>IF(OR(E999="",E999="!!!"),"",IF(NOT(ISNA(VLOOKUP(E999,E$1:E998,1,FALSE()))),"OLD",IF(AND(E999&lt;&gt;"",E999&lt;&gt;"!!!"),"NEW","")))</f>
        <v> </v>
      </c>
      <c r="G999" s="23" t="str">
        <f>IF(OR(E999="",E999="!!!"),"",IF(OR(J999=0,AND(J999=1,K999=1),AND(J999=1,I999="SBJ"),AND(J999=1,I999=0)),"?IN_FOCUS",IF(J999&lt;=2,"?ACTIVATED",IF(J999&lt;&gt;"","?FAMILIAR",IF(F999="NEW",IF(ISNA(VLOOKUP(E999,#REF!,1,FALSE())),"?TYPE_IDENTIFIABLE","?REFERENTIAL"),"_")))))</f>
        <v> </v>
      </c>
      <c r="H999" s="24" t="str">
        <f>IF(J999&lt;&gt;1,"",IF(I999="SBJ","CB","?"))</f>
        <v> </v>
      </c>
      <c r="I999" s="25" t="str">
        <f>IF(OR(E999="",E999="!!!",F999="NEW"),"",INDEX(B998:B$2,-1+SUMPRODUCT(MAX(ROW(E998:E$2)*(E999=E998:E$2)))))</f>
        <v> </v>
      </c>
      <c r="J999" s="25" t="str">
        <f>IF(OR(E999="",E999="!!!",F999="NEW"),"",COUNTBLANK(OFFSET(A$1,,,SUMPRODUCT(MAX(ROW(E$2:E999)*(E999=E$2:E999)))))-COUNTBLANK(OFFSET(A$1,,,SUMPRODUCT(MAX(ROW(E$1:E998)*(E2=E$1:E998))))))</f>
        <v> </v>
      </c>
      <c r="K999" s="25" t="str">
        <f>IF(OR(E999="",E999="!!!",F999="NEW"),"",INDEX(J$1:J998,SUMPRODUCT(MAX(ROW(E$1:E998)*(E999=E$1:E998)))))</f>
        <v> </v>
      </c>
      <c r="L999" s="26"/>
    </row>
    <row r="1000" spans="1:12">
      <c r="A1000" s="20" t="s">
        <v>255</v>
      </c>
      <c r="B1000" s="27" t="s">
        <v>276</v>
      </c>
      <c r="C1000" s="27" t="s">
        <v>257</v>
      </c>
      <c r="D1000" s="27" t="s">
        <v>258</v>
      </c>
      <c r="E1000" s="21">
        <f>IF(D1000="?OLD","!!!","")</f>
        <v/>
      </c>
      <c r="F1000" s="22" t="str">
        <f>IF(OR(E1000="",E1000="!!!"),"",IF(NOT(ISNA(VLOOKUP(E1000,E$1:E999,1,FALSE()))),"OLD",IF(AND(E1000&lt;&gt;"",E1000&lt;&gt;"!!!"),"NEW","")))</f>
        <v> </v>
      </c>
      <c r="G1000" s="23" t="str">
        <f>IF(OR(E1000="",E1000="!!!"),"",IF(OR(J1000=0,AND(J1000=1,K1000=1),AND(J1000=1,I1000="SBJ"),AND(J1000=1,I1000=0)),"?IN_FOCUS",IF(J1000&lt;=2,"?ACTIVATED",IF(J1000&lt;&gt;"","?FAMILIAR",IF(F1000="NEW",IF(ISNA(VLOOKUP(E1000,#REF!,1,FALSE())),"?TYPE_IDENTIFIABLE","?REFERENTIAL"),"_")))))</f>
        <v> </v>
      </c>
      <c r="H1000" s="24" t="str">
        <f>IF(J1000&lt;&gt;1,"",IF(I1000="SBJ","CB","?"))</f>
        <v> </v>
      </c>
      <c r="I1000" s="25" t="str">
        <f>IF(OR(E1000="",E1000="!!!",F1000="NEW"),"",INDEX(B999:B$2,-1+SUMPRODUCT(MAX(ROW(E999:E$2)*(E1000=E999:E$2)))))</f>
        <v> </v>
      </c>
      <c r="J1000" s="25" t="str">
        <f>IF(OR(E1000="",E1000="!!!",F1000="NEW"),"",COUNTBLANK(OFFSET(A$1,,,SUMPRODUCT(MAX(ROW(E$2:E1000)*(E1000=E$2:E1000)))))-COUNTBLANK(OFFSET(A$1,,,SUMPRODUCT(MAX(ROW(E$1:E999)*(E2=E$1:E999))))))</f>
        <v> </v>
      </c>
      <c r="K1000" s="25" t="str">
        <f>IF(OR(E1000="",E1000="!!!",F1000="NEW"),"",INDEX(J$1:J999,SUMPRODUCT(MAX(ROW(E$1:E999)*(E1000=E$1:E999)))))</f>
        <v> </v>
      </c>
      <c r="L1000" s="26"/>
    </row>
    <row r="1001" spans="1:12">
      <c r="A1001" s="20" t="s">
        <v>60</v>
      </c>
      <c r="E1001" s="21">
        <f>IF(D1001="?OLD","!!!","")</f>
        <v/>
      </c>
      <c r="F1001" s="22" t="str">
        <f>IF(OR(E1001="",E1001="!!!"),"",IF(NOT(ISNA(VLOOKUP(E1001,E$1:E1000,1,FALSE()))),"OLD",IF(AND(E1001&lt;&gt;"",E1001&lt;&gt;"!!!"),"NEW","")))</f>
        <v> </v>
      </c>
      <c r="G1001" s="23" t="str">
        <f>IF(OR(E1001="",E1001="!!!"),"",IF(OR(J1001=0,AND(J1001=1,K1001=1),AND(J1001=1,I1001="SBJ"),AND(J1001=1,I1001=0)),"?IN_FOCUS",IF(J1001&lt;=2,"?ACTIVATED",IF(J1001&lt;&gt;"","?FAMILIAR",IF(F1001="NEW",IF(ISNA(VLOOKUP(E1001,#REF!,1,FALSE())),"?TYPE_IDENTIFIABLE","?REFERENTIAL"),"_")))))</f>
        <v> </v>
      </c>
      <c r="H1001" s="24" t="str">
        <f>IF(J1001&lt;&gt;1,"",IF(I1001="SBJ","CB","?"))</f>
        <v> </v>
      </c>
      <c r="I1001" s="25" t="str">
        <f>IF(OR(E1001="",E1001="!!!",F1001="NEW"),"",INDEX(B1000:B$2,-1+SUMPRODUCT(MAX(ROW(E1000:E$2)*(E1001=E1000:E$2)))))</f>
        <v> </v>
      </c>
      <c r="J1001" s="25" t="str">
        <f>IF(OR(E1001="",E1001="!!!",F1001="NEW"),"",COUNTBLANK(OFFSET(A$1,,,SUMPRODUCT(MAX(ROW(E$2:E1001)*(E1001=E$2:E1001)))))-COUNTBLANK(OFFSET(A$1,,,SUMPRODUCT(MAX(ROW(E$1:E1000)*(E2=E$1:E1000))))))</f>
        <v> </v>
      </c>
      <c r="K1001" s="25" t="str">
        <f>IF(OR(E1001="",E1001="!!!",F1001="NEW"),"",INDEX(J$1:J1000,SUMPRODUCT(MAX(ROW(E$1:E1000)*(E1001=E$1:E1000)))))</f>
        <v> </v>
      </c>
      <c r="L1001" s="26"/>
    </row>
    <row r="1002" spans="1:12">
      <c r="A1002" s="20" t="s">
        <v>631</v>
      </c>
      <c r="E1002" s="21">
        <f>IF(D1002="?OLD","!!!","")</f>
        <v/>
      </c>
      <c r="F1002" s="22" t="str">
        <f>IF(OR(E1002="",E1002="!!!"),"",IF(NOT(ISNA(VLOOKUP(E1002,E$1:E1001,1,FALSE()))),"OLD",IF(AND(E1002&lt;&gt;"",E1002&lt;&gt;"!!!"),"NEW","")))</f>
        <v> </v>
      </c>
      <c r="G1002" s="23" t="str">
        <f>IF(OR(E1002="",E1002="!!!"),"",IF(OR(J1002=0,AND(J1002=1,K1002=1),AND(J1002=1,I1002="SBJ"),AND(J1002=1,I1002=0)),"?IN_FOCUS",IF(J1002&lt;=2,"?ACTIVATED",IF(J1002&lt;&gt;"","?FAMILIAR",IF(F1002="NEW",IF(ISNA(VLOOKUP(E1002,#REF!,1,FALSE())),"?TYPE_IDENTIFIABLE","?REFERENTIAL"),"_")))))</f>
        <v> </v>
      </c>
      <c r="H1002" s="24" t="str">
        <f>IF(J1002&lt;&gt;1,"",IF(I1002="SBJ","CB","?"))</f>
        <v> </v>
      </c>
      <c r="I1002" s="25" t="str">
        <f>IF(OR(E1002="",E1002="!!!",F1002="NEW"),"",INDEX(B1001:B$2,-1+SUMPRODUCT(MAX(ROW(E1001:E$2)*(E1002=E1001:E$2)))))</f>
        <v> </v>
      </c>
      <c r="J1002" s="25" t="str">
        <f>IF(OR(E1002="",E1002="!!!",F1002="NEW"),"",COUNTBLANK(OFFSET(A$1,,,SUMPRODUCT(MAX(ROW(E$2:E1002)*(E1002=E$2:E1002)))))-COUNTBLANK(OFFSET(A$1,,,SUMPRODUCT(MAX(ROW(E$1:E1001)*(E2=E$1:E1001))))))</f>
        <v> </v>
      </c>
      <c r="K1002" s="25" t="str">
        <f>IF(OR(E1002="",E1002="!!!",F1002="NEW"),"",INDEX(J$1:J1001,SUMPRODUCT(MAX(ROW(E$1:E1001)*(E1002=E$1:E1001)))))</f>
        <v> </v>
      </c>
      <c r="L1002" s="26"/>
    </row>
    <row r="1003" spans="1:12">
      <c r="A1003" s="20" t="s">
        <v>117</v>
      </c>
      <c r="E1003" s="21">
        <f>IF(D1003="?OLD","!!!","")</f>
        <v/>
      </c>
      <c r="F1003" s="22" t="str">
        <f>IF(OR(E1003="",E1003="!!!"),"",IF(NOT(ISNA(VLOOKUP(E1003,E$1:E1002,1,FALSE()))),"OLD",IF(AND(E1003&lt;&gt;"",E1003&lt;&gt;"!!!"),"NEW","")))</f>
        <v> </v>
      </c>
      <c r="G1003" s="23" t="str">
        <f>IF(OR(E1003="",E1003="!!!"),"",IF(OR(J1003=0,AND(J1003=1,K1003=1),AND(J1003=1,I1003="SBJ"),AND(J1003=1,I1003=0)),"?IN_FOCUS",IF(J1003&lt;=2,"?ACTIVATED",IF(J1003&lt;&gt;"","?FAMILIAR",IF(F1003="NEW",IF(ISNA(VLOOKUP(E1003,#REF!,1,FALSE())),"?TYPE_IDENTIFIABLE","?REFERENTIAL"),"_")))))</f>
        <v> </v>
      </c>
      <c r="H1003" s="24" t="str">
        <f>IF(J1003&lt;&gt;1,"",IF(I1003="SBJ","CB","?"))</f>
        <v> </v>
      </c>
      <c r="I1003" s="25" t="str">
        <f>IF(OR(E1003="",E1003="!!!",F1003="NEW"),"",INDEX(B1002:B$2,-1+SUMPRODUCT(MAX(ROW(E1002:E$2)*(E1003=E1002:E$2)))))</f>
        <v> </v>
      </c>
      <c r="J1003" s="25" t="str">
        <f>IF(OR(E1003="",E1003="!!!",F1003="NEW"),"",COUNTBLANK(OFFSET(A$1,,,SUMPRODUCT(MAX(ROW(E$2:E1003)*(E1003=E$2:E1003)))))-COUNTBLANK(OFFSET(A$1,,,SUMPRODUCT(MAX(ROW(E$1:E1002)*(E2=E$1:E1002))))))</f>
        <v> </v>
      </c>
      <c r="K1003" s="25" t="str">
        <f>IF(OR(E1003="",E1003="!!!",F1003="NEW"),"",INDEX(J$1:J1002,SUMPRODUCT(MAX(ROW(E$1:E1002)*(E1003=E$1:E1002)))))</f>
        <v> </v>
      </c>
      <c r="L1003" s="26"/>
    </row>
    <row r="1004" spans="1:12">
      <c r="A1004" s="20" t="s">
        <v>305</v>
      </c>
      <c r="E1004" s="21">
        <f>IF(D1004="?OLD","!!!","")</f>
        <v/>
      </c>
      <c r="F1004" s="22" t="str">
        <f>IF(OR(E1004="",E1004="!!!"),"",IF(NOT(ISNA(VLOOKUP(E1004,E$1:E1003,1,FALSE()))),"OLD",IF(AND(E1004&lt;&gt;"",E1004&lt;&gt;"!!!"),"NEW","")))</f>
        <v> </v>
      </c>
      <c r="G1004" s="23" t="str">
        <f>IF(OR(E1004="",E1004="!!!"),"",IF(OR(J1004=0,AND(J1004=1,K1004=1),AND(J1004=1,I1004="SBJ"),AND(J1004=1,I1004=0)),"?IN_FOCUS",IF(J1004&lt;=2,"?ACTIVATED",IF(J1004&lt;&gt;"","?FAMILIAR",IF(F1004="NEW",IF(ISNA(VLOOKUP(E1004,#REF!,1,FALSE())),"?TYPE_IDENTIFIABLE","?REFERENTIAL"),"_")))))</f>
        <v> </v>
      </c>
      <c r="H1004" s="24" t="str">
        <f>IF(J1004&lt;&gt;1,"",IF(I1004="SBJ","CB","?"))</f>
        <v> </v>
      </c>
      <c r="I1004" s="25" t="str">
        <f>IF(OR(E1004="",E1004="!!!",F1004="NEW"),"",INDEX(B1003:B$2,-1+SUMPRODUCT(MAX(ROW(E1003:E$2)*(E1004=E1003:E$2)))))</f>
        <v> </v>
      </c>
      <c r="J1004" s="25" t="str">
        <f>IF(OR(E1004="",E1004="!!!",F1004="NEW"),"",COUNTBLANK(OFFSET(A$1,,,SUMPRODUCT(MAX(ROW(E$2:E1004)*(E1004=E$2:E1004)))))-COUNTBLANK(OFFSET(A$1,,,SUMPRODUCT(MAX(ROW(E$1:E1003)*(E2=E$1:E1003))))))</f>
        <v> </v>
      </c>
      <c r="K1004" s="25" t="str">
        <f>IF(OR(E1004="",E1004="!!!",F1004="NEW"),"",INDEX(J$1:J1003,SUMPRODUCT(MAX(ROW(E$1:E1003)*(E1004=E$1:E1003)))))</f>
        <v> </v>
      </c>
      <c r="L1004" s="26"/>
    </row>
    <row r="1005" spans="1:12">
      <c r="A1005" s="20" t="s">
        <v>30</v>
      </c>
      <c r="E1005" s="21">
        <f>IF(D1005="?OLD","!!!","")</f>
        <v/>
      </c>
      <c r="F1005" s="22" t="str">
        <f>IF(OR(E1005="",E1005="!!!"),"",IF(NOT(ISNA(VLOOKUP(E1005,E$1:E1004,1,FALSE()))),"OLD",IF(AND(E1005&lt;&gt;"",E1005&lt;&gt;"!!!"),"NEW","")))</f>
        <v> </v>
      </c>
      <c r="G1005" s="23" t="str">
        <f>IF(OR(E1005="",E1005="!!!"),"",IF(OR(J1005=0,AND(J1005=1,K1005=1),AND(J1005=1,I1005="SBJ"),AND(J1005=1,I1005=0)),"?IN_FOCUS",IF(J1005&lt;=2,"?ACTIVATED",IF(J1005&lt;&gt;"","?FAMILIAR",IF(F1005="NEW",IF(ISNA(VLOOKUP(E1005,#REF!,1,FALSE())),"?TYPE_IDENTIFIABLE","?REFERENTIAL"),"_")))))</f>
        <v> </v>
      </c>
      <c r="H1005" s="24" t="str">
        <f>IF(J1005&lt;&gt;1,"",IF(I1005="SBJ","CB","?"))</f>
        <v> </v>
      </c>
      <c r="I1005" s="25" t="str">
        <f>IF(OR(E1005="",E1005="!!!",F1005="NEW"),"",INDEX(B1004:B$2,-1+SUMPRODUCT(MAX(ROW(E1004:E$2)*(E1005=E1004:E$2)))))</f>
        <v> </v>
      </c>
      <c r="J1005" s="25" t="str">
        <f>IF(OR(E1005="",E1005="!!!",F1005="NEW"),"",COUNTBLANK(OFFSET(A$1,,,SUMPRODUCT(MAX(ROW(E$2:E1005)*(E1005=E$2:E1005)))))-COUNTBLANK(OFFSET(A$1,,,SUMPRODUCT(MAX(ROW(E$1:E1004)*(E2=E$1:E1004))))))</f>
        <v> </v>
      </c>
      <c r="K1005" s="25" t="str">
        <f>IF(OR(E1005="",E1005="!!!",F1005="NEW"),"",INDEX(J$1:J1004,SUMPRODUCT(MAX(ROW(E$1:E1004)*(E1005=E$1:E1004)))))</f>
        <v> </v>
      </c>
      <c r="L1005" s="26"/>
    </row>
    <row r="1006" spans="1:12">
      <c r="A1006" s="20" t="s">
        <v>272</v>
      </c>
      <c r="B1006" s="27" t="s">
        <v>262</v>
      </c>
      <c r="C1006" s="27" t="s">
        <v>257</v>
      </c>
      <c r="D1006" s="27" t="s">
        <v>258</v>
      </c>
      <c r="E1006" s="21">
        <f>IF(D1006="?OLD","!!!","")</f>
        <v/>
      </c>
      <c r="F1006" s="22" t="str">
        <f>IF(OR(E1006="",E1006="!!!"),"",IF(NOT(ISNA(VLOOKUP(E1006,E$1:E1005,1,FALSE()))),"OLD",IF(AND(E1006&lt;&gt;"",E1006&lt;&gt;"!!!"),"NEW","")))</f>
        <v> </v>
      </c>
      <c r="G1006" s="23" t="str">
        <f>IF(OR(E1006="",E1006="!!!"),"",IF(OR(J1006=0,AND(J1006=1,K1006=1),AND(J1006=1,I1006="SBJ"),AND(J1006=1,I1006=0)),"?IN_FOCUS",IF(J1006&lt;=2,"?ACTIVATED",IF(J1006&lt;&gt;"","?FAMILIAR",IF(F1006="NEW",IF(ISNA(VLOOKUP(E1006,#REF!,1,FALSE())),"?TYPE_IDENTIFIABLE","?REFERENTIAL"),"_")))))</f>
        <v> </v>
      </c>
      <c r="H1006" s="24" t="str">
        <f>IF(J1006&lt;&gt;1,"",IF(I1006="SBJ","CB","?"))</f>
        <v> </v>
      </c>
      <c r="I1006" s="25" t="str">
        <f>IF(OR(E1006="",E1006="!!!",F1006="NEW"),"",INDEX(B1005:B$2,-1+SUMPRODUCT(MAX(ROW(E1005:E$2)*(E1006=E1005:E$2)))))</f>
        <v> </v>
      </c>
      <c r="J1006" s="25" t="str">
        <f>IF(OR(E1006="",E1006="!!!",F1006="NEW"),"",COUNTBLANK(OFFSET(A$1,,,SUMPRODUCT(MAX(ROW(E$2:E1006)*(E1006=E$2:E1006)))))-COUNTBLANK(OFFSET(A$1,,,SUMPRODUCT(MAX(ROW(E$1:E1005)*(E2=E$1:E1005))))))</f>
        <v> </v>
      </c>
      <c r="K1006" s="25" t="str">
        <f>IF(OR(E1006="",E1006="!!!",F1006="NEW"),"",INDEX(J$1:J1005,SUMPRODUCT(MAX(ROW(E$1:E1005)*(E1006=E$1:E1005)))))</f>
        <v> </v>
      </c>
      <c r="L1006" s="26"/>
    </row>
    <row r="1007" spans="1:12">
      <c r="A1007" s="20" t="s">
        <v>329</v>
      </c>
      <c r="E1007" s="21">
        <f>IF(D1007="?OLD","!!!","")</f>
        <v/>
      </c>
      <c r="F1007" s="22" t="str">
        <f>IF(OR(E1007="",E1007="!!!"),"",IF(NOT(ISNA(VLOOKUP(E1007,E$1:E1006,1,FALSE()))),"OLD",IF(AND(E1007&lt;&gt;"",E1007&lt;&gt;"!!!"),"NEW","")))</f>
        <v> </v>
      </c>
      <c r="G1007" s="23" t="str">
        <f>IF(OR(E1007="",E1007="!!!"),"",IF(OR(J1007=0,AND(J1007=1,K1007=1),AND(J1007=1,I1007="SBJ"),AND(J1007=1,I1007=0)),"?IN_FOCUS",IF(J1007&lt;=2,"?ACTIVATED",IF(J1007&lt;&gt;"","?FAMILIAR",IF(F1007="NEW",IF(ISNA(VLOOKUP(E1007,#REF!,1,FALSE())),"?TYPE_IDENTIFIABLE","?REFERENTIAL"),"_")))))</f>
        <v> </v>
      </c>
      <c r="H1007" s="24" t="str">
        <f>IF(J1007&lt;&gt;1,"",IF(I1007="SBJ","CB","?"))</f>
        <v> </v>
      </c>
      <c r="I1007" s="25" t="str">
        <f>IF(OR(E1007="",E1007="!!!",F1007="NEW"),"",INDEX(B1006:B$2,-1+SUMPRODUCT(MAX(ROW(E1006:E$2)*(E1007=E1006:E$2)))))</f>
        <v> </v>
      </c>
      <c r="J1007" s="25" t="str">
        <f>IF(OR(E1007="",E1007="!!!",F1007="NEW"),"",COUNTBLANK(OFFSET(A$1,,,SUMPRODUCT(MAX(ROW(E$2:E1007)*(E1007=E$2:E1007)))))-COUNTBLANK(OFFSET(A$1,,,SUMPRODUCT(MAX(ROW(E$1:E1006)*(E2=E$1:E1006))))))</f>
        <v> </v>
      </c>
      <c r="K1007" s="25" t="str">
        <f>IF(OR(E1007="",E1007="!!!",F1007="NEW"),"",INDEX(J$1:J1006,SUMPRODUCT(MAX(ROW(E$1:E1006)*(E1007=E$1:E1006)))))</f>
        <v> </v>
      </c>
      <c r="L1007" s="26"/>
    </row>
    <row r="1008" spans="1:12">
      <c r="A1008" s="20" t="s">
        <v>632</v>
      </c>
      <c r="B1008" s="27" t="s">
        <v>262</v>
      </c>
      <c r="C1008" s="27" t="s">
        <v>334</v>
      </c>
      <c r="E1008" s="21">
        <f>IF(D1008="?OLD","!!!","")</f>
        <v/>
      </c>
      <c r="F1008" s="22" t="str">
        <f>IF(OR(E1008="",E1008="!!!"),"",IF(NOT(ISNA(VLOOKUP(E1008,E$1:E1007,1,FALSE()))),"OLD",IF(AND(E1008&lt;&gt;"",E1008&lt;&gt;"!!!"),"NEW","")))</f>
        <v> </v>
      </c>
      <c r="G1008" s="23" t="str">
        <f>IF(OR(E1008="",E1008="!!!"),"",IF(OR(J1008=0,AND(J1008=1,K1008=1),AND(J1008=1,I1008="SBJ"),AND(J1008=1,I1008=0)),"?IN_FOCUS",IF(J1008&lt;=2,"?ACTIVATED",IF(J1008&lt;&gt;"","?FAMILIAR",IF(F1008="NEW",IF(ISNA(VLOOKUP(E1008,#REF!,1,FALSE())),"?TYPE_IDENTIFIABLE","?REFERENTIAL"),"_")))))</f>
        <v> </v>
      </c>
      <c r="H1008" s="24" t="str">
        <f>IF(J1008&lt;&gt;1,"",IF(I1008="SBJ","CB","?"))</f>
        <v> </v>
      </c>
      <c r="I1008" s="25" t="str">
        <f>IF(OR(E1008="",E1008="!!!",F1008="NEW"),"",INDEX(B1007:B$2,-1+SUMPRODUCT(MAX(ROW(E1007:E$2)*(E1008=E1007:E$2)))))</f>
        <v> </v>
      </c>
      <c r="J1008" s="25" t="str">
        <f>IF(OR(E1008="",E1008="!!!",F1008="NEW"),"",COUNTBLANK(OFFSET(A$1,,,SUMPRODUCT(MAX(ROW(E$2:E1008)*(E1008=E$2:E1008)))))-COUNTBLANK(OFFSET(A$1,,,SUMPRODUCT(MAX(ROW(E$1:E1007)*(E2=E$1:E1007))))))</f>
        <v> </v>
      </c>
      <c r="K1008" s="25" t="str">
        <f>IF(OR(E1008="",E1008="!!!",F1008="NEW"),"",INDEX(J$1:J1007,SUMPRODUCT(MAX(ROW(E$1:E1007)*(E1008=E$1:E1007)))))</f>
        <v> </v>
      </c>
      <c r="L1008" s="26"/>
    </row>
    <row r="1009" spans="1:12">
      <c r="A1009" s="20" t="s">
        <v>441</v>
      </c>
      <c r="E1009" s="21">
        <f>IF(D1009="?OLD","!!!","")</f>
        <v/>
      </c>
      <c r="F1009" s="22" t="str">
        <f>IF(OR(E1009="",E1009="!!!"),"",IF(NOT(ISNA(VLOOKUP(E1009,E$1:E1008,1,FALSE()))),"OLD",IF(AND(E1009&lt;&gt;"",E1009&lt;&gt;"!!!"),"NEW","")))</f>
        <v> </v>
      </c>
      <c r="G1009" s="23" t="str">
        <f>IF(OR(E1009="",E1009="!!!"),"",IF(OR(J1009=0,AND(J1009=1,K1009=1),AND(J1009=1,I1009="SBJ"),AND(J1009=1,I1009=0)),"?IN_FOCUS",IF(J1009&lt;=2,"?ACTIVATED",IF(J1009&lt;&gt;"","?FAMILIAR",IF(F1009="NEW",IF(ISNA(VLOOKUP(E1009,#REF!,1,FALSE())),"?TYPE_IDENTIFIABLE","?REFERENTIAL"),"_")))))</f>
        <v> </v>
      </c>
      <c r="H1009" s="24" t="str">
        <f>IF(J1009&lt;&gt;1,"",IF(I1009="SBJ","CB","?"))</f>
        <v> </v>
      </c>
      <c r="I1009" s="25" t="str">
        <f>IF(OR(E1009="",E1009="!!!",F1009="NEW"),"",INDEX(B1008:B$2,-1+SUMPRODUCT(MAX(ROW(E1008:E$2)*(E1009=E1008:E$2)))))</f>
        <v> </v>
      </c>
      <c r="J1009" s="25" t="str">
        <f>IF(OR(E1009="",E1009="!!!",F1009="NEW"),"",COUNTBLANK(OFFSET(A$1,,,SUMPRODUCT(MAX(ROW(E$2:E1009)*(E1009=E$2:E1009)))))-COUNTBLANK(OFFSET(A$1,,,SUMPRODUCT(MAX(ROW(E$1:E1008)*(E2=E$1:E1008))))))</f>
        <v> </v>
      </c>
      <c r="K1009" s="25" t="str">
        <f>IF(OR(E1009="",E1009="!!!",F1009="NEW"),"",INDEX(J$1:J1008,SUMPRODUCT(MAX(ROW(E$1:E1008)*(E1009=E$1:E1008)))))</f>
        <v> </v>
      </c>
      <c r="L1009" s="26"/>
    </row>
    <row r="1010" spans="1:12">
      <c r="A1010" s="20" t="s">
        <v>272</v>
      </c>
      <c r="B1010" s="27" t="s">
        <v>256</v>
      </c>
      <c r="C1010" s="27" t="s">
        <v>257</v>
      </c>
      <c r="D1010" s="27" t="s">
        <v>258</v>
      </c>
      <c r="E1010" s="21">
        <f>IF(D1010="?OLD","!!!","")</f>
        <v/>
      </c>
      <c r="F1010" s="22" t="str">
        <f>IF(OR(E1010="",E1010="!!!"),"",IF(NOT(ISNA(VLOOKUP(E1010,E$1:E1009,1,FALSE()))),"OLD",IF(AND(E1010&lt;&gt;"",E1010&lt;&gt;"!!!"),"NEW","")))</f>
        <v> </v>
      </c>
      <c r="G1010" s="23" t="str">
        <f>IF(OR(E1010="",E1010="!!!"),"",IF(OR(J1010=0,AND(J1010=1,K1010=1),AND(J1010=1,I1010="SBJ"),AND(J1010=1,I1010=0)),"?IN_FOCUS",IF(J1010&lt;=2,"?ACTIVATED",IF(J1010&lt;&gt;"","?FAMILIAR",IF(F1010="NEW",IF(ISNA(VLOOKUP(E1010,#REF!,1,FALSE())),"?TYPE_IDENTIFIABLE","?REFERENTIAL"),"_")))))</f>
        <v> </v>
      </c>
      <c r="H1010" s="24" t="str">
        <f>IF(J1010&lt;&gt;1,"",IF(I1010="SBJ","CB","?"))</f>
        <v> </v>
      </c>
      <c r="I1010" s="25" t="str">
        <f>IF(OR(E1010="",E1010="!!!",F1010="NEW"),"",INDEX(B1009:B$2,-1+SUMPRODUCT(MAX(ROW(E1009:E$2)*(E1010=E1009:E$2)))))</f>
        <v> </v>
      </c>
      <c r="J1010" s="25" t="str">
        <f>IF(OR(E1010="",E1010="!!!",F1010="NEW"),"",COUNTBLANK(OFFSET(A$1,,,SUMPRODUCT(MAX(ROW(E$2:E1010)*(E1010=E$2:E1010)))))-COUNTBLANK(OFFSET(A$1,,,SUMPRODUCT(MAX(ROW(E$1:E1009)*(E2=E$1:E1009))))))</f>
        <v> </v>
      </c>
      <c r="K1010" s="25" t="str">
        <f>IF(OR(E1010="",E1010="!!!",F1010="NEW"),"",INDEX(J$1:J1009,SUMPRODUCT(MAX(ROW(E$1:E1009)*(E1010=E$1:E1009)))))</f>
        <v> </v>
      </c>
      <c r="L1010" s="26"/>
    </row>
    <row r="1011" spans="1:12">
      <c r="A1011" s="20" t="s">
        <v>235</v>
      </c>
      <c r="E1011" s="21">
        <f>IF(D1011="?OLD","!!!","")</f>
        <v/>
      </c>
      <c r="F1011" s="22" t="str">
        <f>IF(OR(E1011="",E1011="!!!"),"",IF(NOT(ISNA(VLOOKUP(E1011,E$1:E1010,1,FALSE()))),"OLD",IF(AND(E1011&lt;&gt;"",E1011&lt;&gt;"!!!"),"NEW","")))</f>
        <v> </v>
      </c>
      <c r="G1011" s="23" t="str">
        <f>IF(OR(E1011="",E1011="!!!"),"",IF(OR(J1011=0,AND(J1011=1,K1011=1),AND(J1011=1,I1011="SBJ"),AND(J1011=1,I1011=0)),"?IN_FOCUS",IF(J1011&lt;=2,"?ACTIVATED",IF(J1011&lt;&gt;"","?FAMILIAR",IF(F1011="NEW",IF(ISNA(VLOOKUP(E1011,#REF!,1,FALSE())),"?TYPE_IDENTIFIABLE","?REFERENTIAL"),"_")))))</f>
        <v> </v>
      </c>
      <c r="H1011" s="24" t="str">
        <f>IF(J1011&lt;&gt;1,"",IF(I1011="SBJ","CB","?"))</f>
        <v> </v>
      </c>
      <c r="I1011" s="25" t="str">
        <f>IF(OR(E1011="",E1011="!!!",F1011="NEW"),"",INDEX(B1010:B$2,-1+SUMPRODUCT(MAX(ROW(E1010:E$2)*(E1011=E1010:E$2)))))</f>
        <v> </v>
      </c>
      <c r="J1011" s="25" t="str">
        <f>IF(OR(E1011="",E1011="!!!",F1011="NEW"),"",COUNTBLANK(OFFSET(A$1,,,SUMPRODUCT(MAX(ROW(E$2:E1011)*(E1011=E$2:E1011)))))-COUNTBLANK(OFFSET(A$1,,,SUMPRODUCT(MAX(ROW(E$1:E1010)*(E2=E$1:E1010))))))</f>
        <v> </v>
      </c>
      <c r="K1011" s="25" t="str">
        <f>IF(OR(E1011="",E1011="!!!",F1011="NEW"),"",INDEX(J$1:J1010,SUMPRODUCT(MAX(ROW(E$1:E1010)*(E1011=E$1:E1010)))))</f>
        <v> </v>
      </c>
      <c r="L1011" s="26"/>
    </row>
    <row r="1012" spans="1:12">
      <c r="A1012" s="20" t="s">
        <v>573</v>
      </c>
      <c r="E1012" s="21">
        <f>IF(D1012="?OLD","!!!","")</f>
        <v/>
      </c>
      <c r="F1012" s="22" t="str">
        <f>IF(OR(E1012="",E1012="!!!"),"",IF(NOT(ISNA(VLOOKUP(E1012,E$1:E1011,1,FALSE()))),"OLD",IF(AND(E1012&lt;&gt;"",E1012&lt;&gt;"!!!"),"NEW","")))</f>
        <v> </v>
      </c>
      <c r="G1012" s="23" t="str">
        <f>IF(OR(E1012="",E1012="!!!"),"",IF(OR(J1012=0,AND(J1012=1,K1012=1),AND(J1012=1,I1012="SBJ"),AND(J1012=1,I1012=0)),"?IN_FOCUS",IF(J1012&lt;=2,"?ACTIVATED",IF(J1012&lt;&gt;"","?FAMILIAR",IF(F1012="NEW",IF(ISNA(VLOOKUP(E1012,#REF!,1,FALSE())),"?TYPE_IDENTIFIABLE","?REFERENTIAL"),"_")))))</f>
        <v> </v>
      </c>
      <c r="H1012" s="24" t="str">
        <f>IF(J1012&lt;&gt;1,"",IF(I1012="SBJ","CB","?"))</f>
        <v> </v>
      </c>
      <c r="I1012" s="25" t="str">
        <f>IF(OR(E1012="",E1012="!!!",F1012="NEW"),"",INDEX(B1011:B$2,-1+SUMPRODUCT(MAX(ROW(E1011:E$2)*(E1012=E1011:E$2)))))</f>
        <v> </v>
      </c>
      <c r="J1012" s="25" t="str">
        <f>IF(OR(E1012="",E1012="!!!",F1012="NEW"),"",COUNTBLANK(OFFSET(A$1,,,SUMPRODUCT(MAX(ROW(E$2:E1012)*(E1012=E$2:E1012)))))-COUNTBLANK(OFFSET(A$1,,,SUMPRODUCT(MAX(ROW(E$1:E1011)*(E2=E$1:E1011))))))</f>
        <v> </v>
      </c>
      <c r="K1012" s="25" t="str">
        <f>IF(OR(E1012="",E1012="!!!",F1012="NEW"),"",INDEX(J$1:J1011,SUMPRODUCT(MAX(ROW(E$1:E1011)*(E1012=E$1:E1011)))))</f>
        <v> </v>
      </c>
      <c r="L1012" s="26"/>
    </row>
    <row r="1013" spans="1:12">
      <c r="A1013" s="20" t="s">
        <v>394</v>
      </c>
      <c r="E1013" s="21">
        <f>IF(D1013="?OLD","!!!","")</f>
        <v/>
      </c>
      <c r="F1013" s="22" t="str">
        <f>IF(OR(E1013="",E1013="!!!"),"",IF(NOT(ISNA(VLOOKUP(E1013,E$1:E1012,1,FALSE()))),"OLD",IF(AND(E1013&lt;&gt;"",E1013&lt;&gt;"!!!"),"NEW","")))</f>
        <v> </v>
      </c>
      <c r="G1013" s="23" t="str">
        <f>IF(OR(E1013="",E1013="!!!"),"",IF(OR(J1013=0,AND(J1013=1,K1013=1),AND(J1013=1,I1013="SBJ"),AND(J1013=1,I1013=0)),"?IN_FOCUS",IF(J1013&lt;=2,"?ACTIVATED",IF(J1013&lt;&gt;"","?FAMILIAR",IF(F1013="NEW",IF(ISNA(VLOOKUP(E1013,#REF!,1,FALSE())),"?TYPE_IDENTIFIABLE","?REFERENTIAL"),"_")))))</f>
        <v> </v>
      </c>
      <c r="H1013" s="24" t="str">
        <f>IF(J1013&lt;&gt;1,"",IF(I1013="SBJ","CB","?"))</f>
        <v> </v>
      </c>
      <c r="I1013" s="25" t="str">
        <f>IF(OR(E1013="",E1013="!!!",F1013="NEW"),"",INDEX(B1012:B$2,-1+SUMPRODUCT(MAX(ROW(E1012:E$2)*(E1013=E1012:E$2)))))</f>
        <v> </v>
      </c>
      <c r="J1013" s="25" t="str">
        <f>IF(OR(E1013="",E1013="!!!",F1013="NEW"),"",COUNTBLANK(OFFSET(A$1,,,SUMPRODUCT(MAX(ROW(E$2:E1013)*(E1013=E$2:E1013)))))-COUNTBLANK(OFFSET(A$1,,,SUMPRODUCT(MAX(ROW(E$1:E1012)*(E2=E$1:E1012))))))</f>
        <v> </v>
      </c>
      <c r="K1013" s="25" t="str">
        <f>IF(OR(E1013="",E1013="!!!",F1013="NEW"),"",INDEX(J$1:J1012,SUMPRODUCT(MAX(ROW(E$1:E1012)*(E1013=E$1:E1012)))))</f>
        <v> </v>
      </c>
      <c r="L1013" s="26"/>
    </row>
    <row r="1014" spans="1:12">
      <c r="A1014" s="20" t="s">
        <v>329</v>
      </c>
      <c r="E1014" s="21">
        <f>IF(D1014="?OLD","!!!","")</f>
        <v/>
      </c>
      <c r="F1014" s="22" t="str">
        <f>IF(OR(E1014="",E1014="!!!"),"",IF(NOT(ISNA(VLOOKUP(E1014,E$1:E1013,1,FALSE()))),"OLD",IF(AND(E1014&lt;&gt;"",E1014&lt;&gt;"!!!"),"NEW","")))</f>
        <v> </v>
      </c>
      <c r="G1014" s="23" t="str">
        <f>IF(OR(E1014="",E1014="!!!"),"",IF(OR(J1014=0,AND(J1014=1,K1014=1),AND(J1014=1,I1014="SBJ"),AND(J1014=1,I1014=0)),"?IN_FOCUS",IF(J1014&lt;=2,"?ACTIVATED",IF(J1014&lt;&gt;"","?FAMILIAR",IF(F1014="NEW",IF(ISNA(VLOOKUP(E1014,#REF!,1,FALSE())),"?TYPE_IDENTIFIABLE","?REFERENTIAL"),"_")))))</f>
        <v> </v>
      </c>
      <c r="H1014" s="24" t="str">
        <f>IF(J1014&lt;&gt;1,"",IF(I1014="SBJ","CB","?"))</f>
        <v> </v>
      </c>
      <c r="I1014" s="25" t="str">
        <f>IF(OR(E1014="",E1014="!!!",F1014="NEW"),"",INDEX(B1013:B$2,-1+SUMPRODUCT(MAX(ROW(E1013:E$2)*(E1014=E1013:E$2)))))</f>
        <v> </v>
      </c>
      <c r="J1014" s="25" t="str">
        <f>IF(OR(E1014="",E1014="!!!",F1014="NEW"),"",COUNTBLANK(OFFSET(A$1,,,SUMPRODUCT(MAX(ROW(E$2:E1014)*(E1014=E$2:E1014)))))-COUNTBLANK(OFFSET(A$1,,,SUMPRODUCT(MAX(ROW(E$1:E1013)*(E2=E$1:E1013))))))</f>
        <v> </v>
      </c>
      <c r="K1014" s="25" t="str">
        <f>IF(OR(E1014="",E1014="!!!",F1014="NEW"),"",INDEX(J$1:J1013,SUMPRODUCT(MAX(ROW(E$1:E1013)*(E1014=E$1:E1013)))))</f>
        <v> </v>
      </c>
      <c r="L1014" s="26"/>
    </row>
    <row r="1015" spans="1:12">
      <c r="A1015" s="20" t="s">
        <v>632</v>
      </c>
      <c r="B1015" s="27" t="s">
        <v>333</v>
      </c>
      <c r="C1015" s="27" t="s">
        <v>334</v>
      </c>
      <c r="E1015" s="21">
        <f>IF(D1015="?OLD","!!!","")</f>
        <v/>
      </c>
      <c r="F1015" s="22" t="str">
        <f>IF(OR(E1015="",E1015="!!!"),"",IF(NOT(ISNA(VLOOKUP(E1015,E$1:E1014,1,FALSE()))),"OLD",IF(AND(E1015&lt;&gt;"",E1015&lt;&gt;"!!!"),"NEW","")))</f>
        <v> </v>
      </c>
      <c r="G1015" s="23" t="str">
        <f>IF(OR(E1015="",E1015="!!!"),"",IF(OR(J1015=0,AND(J1015=1,K1015=1),AND(J1015=1,I1015="SBJ"),AND(J1015=1,I1015=0)),"?IN_FOCUS",IF(J1015&lt;=2,"?ACTIVATED",IF(J1015&lt;&gt;"","?FAMILIAR",IF(F1015="NEW",IF(ISNA(VLOOKUP(E1015,#REF!,1,FALSE())),"?TYPE_IDENTIFIABLE","?REFERENTIAL"),"_")))))</f>
        <v> </v>
      </c>
      <c r="H1015" s="24" t="str">
        <f>IF(J1015&lt;&gt;1,"",IF(I1015="SBJ","CB","?"))</f>
        <v> </v>
      </c>
      <c r="I1015" s="25" t="str">
        <f>IF(OR(E1015="",E1015="!!!",F1015="NEW"),"",INDEX(B1014:B$2,-1+SUMPRODUCT(MAX(ROW(E1014:E$2)*(E1015=E1014:E$2)))))</f>
        <v> </v>
      </c>
      <c r="J1015" s="25" t="str">
        <f>IF(OR(E1015="",E1015="!!!",F1015="NEW"),"",COUNTBLANK(OFFSET(A$1,,,SUMPRODUCT(MAX(ROW(E$2:E1015)*(E1015=E$2:E1015)))))-COUNTBLANK(OFFSET(A$1,,,SUMPRODUCT(MAX(ROW(E$1:E1014)*(E2=E$1:E1014))))))</f>
        <v> </v>
      </c>
      <c r="K1015" s="25" t="str">
        <f>IF(OR(E1015="",E1015="!!!",F1015="NEW"),"",INDEX(J$1:J1014,SUMPRODUCT(MAX(ROW(E$1:E1014)*(E1015=E$1:E1014)))))</f>
        <v> </v>
      </c>
      <c r="L1015" s="26"/>
    </row>
    <row r="1016" spans="1:12">
      <c r="A1016" s="20" t="s">
        <v>271</v>
      </c>
      <c r="E1016" s="21">
        <f>IF(D1016="?OLD","!!!","")</f>
        <v/>
      </c>
      <c r="F1016" s="22" t="str">
        <f>IF(OR(E1016="",E1016="!!!"),"",IF(NOT(ISNA(VLOOKUP(E1016,E$1:E1015,1,FALSE()))),"OLD",IF(AND(E1016&lt;&gt;"",E1016&lt;&gt;"!!!"),"NEW","")))</f>
        <v> </v>
      </c>
      <c r="G1016" s="23" t="str">
        <f>IF(OR(E1016="",E1016="!!!"),"",IF(OR(J1016=0,AND(J1016=1,K1016=1),AND(J1016=1,I1016="SBJ"),AND(J1016=1,I1016=0)),"?IN_FOCUS",IF(J1016&lt;=2,"?ACTIVATED",IF(J1016&lt;&gt;"","?FAMILIAR",IF(F1016="NEW",IF(ISNA(VLOOKUP(E1016,#REF!,1,FALSE())),"?TYPE_IDENTIFIABLE","?REFERENTIAL"),"_")))))</f>
        <v> </v>
      </c>
      <c r="H1016" s="24" t="str">
        <f>IF(J1016&lt;&gt;1,"",IF(I1016="SBJ","CB","?"))</f>
        <v> </v>
      </c>
      <c r="I1016" s="25" t="str">
        <f>IF(OR(E1016="",E1016="!!!",F1016="NEW"),"",INDEX(B1015:B$2,-1+SUMPRODUCT(MAX(ROW(E1015:E$2)*(E1016=E1015:E$2)))))</f>
        <v> </v>
      </c>
      <c r="J1016" s="25" t="str">
        <f>IF(OR(E1016="",E1016="!!!",F1016="NEW"),"",COUNTBLANK(OFFSET(A$1,,,SUMPRODUCT(MAX(ROW(E$2:E1016)*(E1016=E$2:E1016)))))-COUNTBLANK(OFFSET(A$1,,,SUMPRODUCT(MAX(ROW(E$1:E1015)*(E2=E$1:E1015))))))</f>
        <v> </v>
      </c>
      <c r="K1016" s="25" t="str">
        <f>IF(OR(E1016="",E1016="!!!",F1016="NEW"),"",INDEX(J$1:J1015,SUMPRODUCT(MAX(ROW(E$1:E1015)*(E1016=E$1:E1015)))))</f>
        <v> </v>
      </c>
      <c r="L1016" s="26"/>
    </row>
    <row r="1017" spans="1:12">
      <c r="A1017" s="20" t="s">
        <v>393</v>
      </c>
      <c r="E1017" s="21">
        <f>IF(D1017="?OLD","!!!","")</f>
        <v/>
      </c>
      <c r="F1017" s="22" t="str">
        <f>IF(OR(E1017="",E1017="!!!"),"",IF(NOT(ISNA(VLOOKUP(E1017,E$1:E1016,1,FALSE()))),"OLD",IF(AND(E1017&lt;&gt;"",E1017&lt;&gt;"!!!"),"NEW","")))</f>
        <v> </v>
      </c>
      <c r="G1017" s="23" t="str">
        <f>IF(OR(E1017="",E1017="!!!"),"",IF(OR(J1017=0,AND(J1017=1,K1017=1),AND(J1017=1,I1017="SBJ"),AND(J1017=1,I1017=0)),"?IN_FOCUS",IF(J1017&lt;=2,"?ACTIVATED",IF(J1017&lt;&gt;"","?FAMILIAR",IF(F1017="NEW",IF(ISNA(VLOOKUP(E1017,#REF!,1,FALSE())),"?TYPE_IDENTIFIABLE","?REFERENTIAL"),"_")))))</f>
        <v> </v>
      </c>
      <c r="H1017" s="24" t="str">
        <f>IF(J1017&lt;&gt;1,"",IF(I1017="SBJ","CB","?"))</f>
        <v> </v>
      </c>
      <c r="I1017" s="25" t="str">
        <f>IF(OR(E1017="",E1017="!!!",F1017="NEW"),"",INDEX(B1016:B$2,-1+SUMPRODUCT(MAX(ROW(E1016:E$2)*(E1017=E1016:E$2)))))</f>
        <v> </v>
      </c>
      <c r="J1017" s="25" t="str">
        <f>IF(OR(E1017="",E1017="!!!",F1017="NEW"),"",COUNTBLANK(OFFSET(A$1,,,SUMPRODUCT(MAX(ROW(E$2:E1017)*(E1017=E$2:E1017)))))-COUNTBLANK(OFFSET(A$1,,,SUMPRODUCT(MAX(ROW(E$1:E1016)*(E2=E$1:E1016))))))</f>
        <v> </v>
      </c>
      <c r="K1017" s="25" t="str">
        <f>IF(OR(E1017="",E1017="!!!",F1017="NEW"),"",INDEX(J$1:J1016,SUMPRODUCT(MAX(ROW(E$1:E1016)*(E1017=E$1:E1016)))))</f>
        <v> </v>
      </c>
      <c r="L1017" s="26"/>
    </row>
    <row r="1018" spans="1:12">
      <c r="A1018" s="20" t="s">
        <v>261</v>
      </c>
      <c r="B1018" s="27" t="s">
        <v>323</v>
      </c>
      <c r="C1018" s="27" t="s">
        <v>257</v>
      </c>
      <c r="D1018" s="27" t="s">
        <v>258</v>
      </c>
      <c r="E1018" s="21">
        <f>IF(D1018="?OLD","!!!","")</f>
        <v/>
      </c>
      <c r="F1018" s="22" t="str">
        <f>IF(OR(E1018="",E1018="!!!"),"",IF(NOT(ISNA(VLOOKUP(E1018,E$1:E1017,1,FALSE()))),"OLD",IF(AND(E1018&lt;&gt;"",E1018&lt;&gt;"!!!"),"NEW","")))</f>
        <v> </v>
      </c>
      <c r="G1018" s="23" t="str">
        <f>IF(OR(E1018="",E1018="!!!"),"",IF(OR(J1018=0,AND(J1018=1,K1018=1),AND(J1018=1,I1018="SBJ"),AND(J1018=1,I1018=0)),"?IN_FOCUS",IF(J1018&lt;=2,"?ACTIVATED",IF(J1018&lt;&gt;"","?FAMILIAR",IF(F1018="NEW",IF(ISNA(VLOOKUP(E1018,#REF!,1,FALSE())),"?TYPE_IDENTIFIABLE","?REFERENTIAL"),"_")))))</f>
        <v> </v>
      </c>
      <c r="H1018" s="24" t="str">
        <f>IF(J1018&lt;&gt;1,"",IF(I1018="SBJ","CB","?"))</f>
        <v> </v>
      </c>
      <c r="I1018" s="25" t="str">
        <f>IF(OR(E1018="",E1018="!!!",F1018="NEW"),"",INDEX(B1017:B$2,-1+SUMPRODUCT(MAX(ROW(E1017:E$2)*(E1018=E1017:E$2)))))</f>
        <v> </v>
      </c>
      <c r="J1018" s="25" t="str">
        <f>IF(OR(E1018="",E1018="!!!",F1018="NEW"),"",COUNTBLANK(OFFSET(A$1,,,SUMPRODUCT(MAX(ROW(E$2:E1018)*(E1018=E$2:E1018)))))-COUNTBLANK(OFFSET(A$1,,,SUMPRODUCT(MAX(ROW(E$1:E1017)*(E2=E$1:E1017))))))</f>
        <v> </v>
      </c>
      <c r="K1018" s="25" t="str">
        <f>IF(OR(E1018="",E1018="!!!",F1018="NEW"),"",INDEX(J$1:J1017,SUMPRODUCT(MAX(ROW(E$1:E1017)*(E1018=E$1:E1017)))))</f>
        <v> </v>
      </c>
      <c r="L1018" s="26"/>
    </row>
    <row r="1019" spans="1:12">
      <c r="A1019" s="20" t="s">
        <v>259</v>
      </c>
      <c r="E1019" s="21">
        <f>IF(D1019="?OLD","!!!","")</f>
        <v/>
      </c>
      <c r="F1019" s="22" t="str">
        <f>IF(OR(E1019="",E1019="!!!"),"",IF(NOT(ISNA(VLOOKUP(E1019,E$1:E1018,1,FALSE()))),"OLD",IF(AND(E1019&lt;&gt;"",E1019&lt;&gt;"!!!"),"NEW","")))</f>
        <v> </v>
      </c>
      <c r="G1019" s="23" t="str">
        <f>IF(OR(E1019="",E1019="!!!"),"",IF(OR(J1019=0,AND(J1019=1,K1019=1),AND(J1019=1,I1019="SBJ"),AND(J1019=1,I1019=0)),"?IN_FOCUS",IF(J1019&lt;=2,"?ACTIVATED",IF(J1019&lt;&gt;"","?FAMILIAR",IF(F1019="NEW",IF(ISNA(VLOOKUP(E1019,#REF!,1,FALSE())),"?TYPE_IDENTIFIABLE","?REFERENTIAL"),"_")))))</f>
        <v> </v>
      </c>
      <c r="H1019" s="24" t="str">
        <f>IF(J1019&lt;&gt;1,"",IF(I1019="SBJ","CB","?"))</f>
        <v> </v>
      </c>
      <c r="I1019" s="25" t="str">
        <f>IF(OR(E1019="",E1019="!!!",F1019="NEW"),"",INDEX(B1018:B$2,-1+SUMPRODUCT(MAX(ROW(E1018:E$2)*(E1019=E1018:E$2)))))</f>
        <v> </v>
      </c>
      <c r="J1019" s="25" t="str">
        <f>IF(OR(E1019="",E1019="!!!",F1019="NEW"),"",COUNTBLANK(OFFSET(A$1,,,SUMPRODUCT(MAX(ROW(E$2:E1019)*(E1019=E$2:E1019)))))-COUNTBLANK(OFFSET(A$1,,,SUMPRODUCT(MAX(ROW(E$1:E1018)*(E2=E$1:E1018))))))</f>
        <v> </v>
      </c>
      <c r="K1019" s="25" t="str">
        <f>IF(OR(E1019="",E1019="!!!",F1019="NEW"),"",INDEX(J$1:J1018,SUMPRODUCT(MAX(ROW(E$1:E1018)*(E1019=E$1:E1018)))))</f>
        <v> </v>
      </c>
      <c r="L1019" s="26"/>
    </row>
    <row r="1020" spans="1:12">
      <c r="A1020" s="20" t="s">
        <v>553</v>
      </c>
      <c r="E1020" s="21">
        <f>IF(D1020="?OLD","!!!","")</f>
        <v/>
      </c>
      <c r="F1020" s="22" t="str">
        <f>IF(OR(E1020="",E1020="!!!"),"",IF(NOT(ISNA(VLOOKUP(E1020,E$1:E1019,1,FALSE()))),"OLD",IF(AND(E1020&lt;&gt;"",E1020&lt;&gt;"!!!"),"NEW","")))</f>
        <v> </v>
      </c>
      <c r="G1020" s="23" t="str">
        <f>IF(OR(E1020="",E1020="!!!"),"",IF(OR(J1020=0,AND(J1020=1,K1020=1),AND(J1020=1,I1020="SBJ"),AND(J1020=1,I1020=0)),"?IN_FOCUS",IF(J1020&lt;=2,"?ACTIVATED",IF(J1020&lt;&gt;"","?FAMILIAR",IF(F1020="NEW",IF(ISNA(VLOOKUP(E1020,#REF!,1,FALSE())),"?TYPE_IDENTIFIABLE","?REFERENTIAL"),"_")))))</f>
        <v> </v>
      </c>
      <c r="H1020" s="24" t="str">
        <f>IF(J1020&lt;&gt;1,"",IF(I1020="SBJ","CB","?"))</f>
        <v> </v>
      </c>
      <c r="I1020" s="25" t="str">
        <f>IF(OR(E1020="",E1020="!!!",F1020="NEW"),"",INDEX(B1019:B$2,-1+SUMPRODUCT(MAX(ROW(E1019:E$2)*(E1020=E1019:E$2)))))</f>
        <v> </v>
      </c>
      <c r="J1020" s="25" t="str">
        <f>IF(OR(E1020="",E1020="!!!",F1020="NEW"),"",COUNTBLANK(OFFSET(A$1,,,SUMPRODUCT(MAX(ROW(E$2:E1020)*(E1020=E$2:E1020)))))-COUNTBLANK(OFFSET(A$1,,,SUMPRODUCT(MAX(ROW(E$1:E1019)*(E2=E$1:E1019))))))</f>
        <v> </v>
      </c>
      <c r="K1020" s="25" t="str">
        <f>IF(OR(E1020="",E1020="!!!",F1020="NEW"),"",INDEX(J$1:J1019,SUMPRODUCT(MAX(ROW(E$1:E1019)*(E1020=E$1:E1019)))))</f>
        <v> </v>
      </c>
      <c r="L1020" s="26"/>
    </row>
    <row r="1021" spans="1:12">
      <c r="A1021" s="20" t="s">
        <v>443</v>
      </c>
      <c r="E1021" s="21">
        <f>IF(D1021="?OLD","!!!","")</f>
        <v/>
      </c>
      <c r="F1021" s="22" t="str">
        <f>IF(OR(E1021="",E1021="!!!"),"",IF(NOT(ISNA(VLOOKUP(E1021,E$1:E1020,1,FALSE()))),"OLD",IF(AND(E1021&lt;&gt;"",E1021&lt;&gt;"!!!"),"NEW","")))</f>
        <v> </v>
      </c>
      <c r="G1021" s="23" t="str">
        <f>IF(OR(E1021="",E1021="!!!"),"",IF(OR(J1021=0,AND(J1021=1,K1021=1),AND(J1021=1,I1021="SBJ"),AND(J1021=1,I1021=0)),"?IN_FOCUS",IF(J1021&lt;=2,"?ACTIVATED",IF(J1021&lt;&gt;"","?FAMILIAR",IF(F1021="NEW",IF(ISNA(VLOOKUP(E1021,#REF!,1,FALSE())),"?TYPE_IDENTIFIABLE","?REFERENTIAL"),"_")))))</f>
        <v> </v>
      </c>
      <c r="H1021" s="24" t="str">
        <f>IF(J1021&lt;&gt;1,"",IF(I1021="SBJ","CB","?"))</f>
        <v> </v>
      </c>
      <c r="I1021" s="25" t="str">
        <f>IF(OR(E1021="",E1021="!!!",F1021="NEW"),"",INDEX(B1020:B$2,-1+SUMPRODUCT(MAX(ROW(E1020:E$2)*(E1021=E1020:E$2)))))</f>
        <v> </v>
      </c>
      <c r="J1021" s="25" t="str">
        <f>IF(OR(E1021="",E1021="!!!",F1021="NEW"),"",COUNTBLANK(OFFSET(A$1,,,SUMPRODUCT(MAX(ROW(E$2:E1021)*(E1021=E$2:E1021)))))-COUNTBLANK(OFFSET(A$1,,,SUMPRODUCT(MAX(ROW(E$1:E1020)*(E2=E$1:E1020))))))</f>
        <v> </v>
      </c>
      <c r="K1021" s="25" t="str">
        <f>IF(OR(E1021="",E1021="!!!",F1021="NEW"),"",INDEX(J$1:J1020,SUMPRODUCT(MAX(ROW(E$1:E1020)*(E1021=E$1:E1020)))))</f>
        <v> </v>
      </c>
      <c r="L1021" s="26"/>
    </row>
    <row r="1022" spans="1:12">
      <c r="A1022" s="20" t="s">
        <v>547</v>
      </c>
      <c r="B1022" s="27" t="s">
        <v>342</v>
      </c>
      <c r="C1022" s="27" t="s">
        <v>270</v>
      </c>
      <c r="E1022" s="21">
        <f>IF(D1022="?OLD","!!!","")</f>
        <v/>
      </c>
      <c r="F1022" s="22" t="str">
        <f>IF(OR(E1022="",E1022="!!!"),"",IF(NOT(ISNA(VLOOKUP(E1022,E$1:E1021,1,FALSE()))),"OLD",IF(AND(E1022&lt;&gt;"",E1022&lt;&gt;"!!!"),"NEW","")))</f>
        <v> </v>
      </c>
      <c r="G1022" s="23" t="str">
        <f>IF(OR(E1022="",E1022="!!!"),"",IF(OR(J1022=0,AND(J1022=1,K1022=1),AND(J1022=1,I1022="SBJ"),AND(J1022=1,I1022=0)),"?IN_FOCUS",IF(J1022&lt;=2,"?ACTIVATED",IF(J1022&lt;&gt;"","?FAMILIAR",IF(F1022="NEW",IF(ISNA(VLOOKUP(E1022,#REF!,1,FALSE())),"?TYPE_IDENTIFIABLE","?REFERENTIAL"),"_")))))</f>
        <v> </v>
      </c>
      <c r="H1022" s="24" t="str">
        <f>IF(J1022&lt;&gt;1,"",IF(I1022="SBJ","CB","?"))</f>
        <v> </v>
      </c>
      <c r="I1022" s="25" t="str">
        <f>IF(OR(E1022="",E1022="!!!",F1022="NEW"),"",INDEX(B1021:B$2,-1+SUMPRODUCT(MAX(ROW(E1021:E$2)*(E1022=E1021:E$2)))))</f>
        <v> </v>
      </c>
      <c r="J1022" s="25" t="str">
        <f>IF(OR(E1022="",E1022="!!!",F1022="NEW"),"",COUNTBLANK(OFFSET(A$1,,,SUMPRODUCT(MAX(ROW(E$2:E1022)*(E1022=E$2:E1022)))))-COUNTBLANK(OFFSET(A$1,,,SUMPRODUCT(MAX(ROW(E$1:E1021)*(E2=E$1:E1021))))))</f>
        <v> </v>
      </c>
      <c r="K1022" s="25" t="str">
        <f>IF(OR(E1022="",E1022="!!!",F1022="NEW"),"",INDEX(J$1:J1021,SUMPRODUCT(MAX(ROW(E$1:E1021)*(E1022=E$1:E1021)))))</f>
        <v> </v>
      </c>
      <c r="L1022" s="26"/>
    </row>
    <row r="1023" spans="1:12">
      <c r="A1023" s="20" t="s">
        <v>263</v>
      </c>
      <c r="E1023" s="21">
        <f>IF(D1023="?OLD","!!!","")</f>
        <v/>
      </c>
      <c r="F1023" s="22" t="str">
        <f>IF(OR(E1023="",E1023="!!!"),"",IF(NOT(ISNA(VLOOKUP(E1023,E$1:E1022,1,FALSE()))),"OLD",IF(AND(E1023&lt;&gt;"",E1023&lt;&gt;"!!!"),"NEW","")))</f>
        <v> </v>
      </c>
      <c r="G1023" s="23" t="str">
        <f>IF(OR(E1023="",E1023="!!!"),"",IF(OR(J1023=0,AND(J1023=1,K1023=1),AND(J1023=1,I1023="SBJ"),AND(J1023=1,I1023=0)),"?IN_FOCUS",IF(J1023&lt;=2,"?ACTIVATED",IF(J1023&lt;&gt;"","?FAMILIAR",IF(F1023="NEW",IF(ISNA(VLOOKUP(E1023,#REF!,1,FALSE())),"?TYPE_IDENTIFIABLE","?REFERENTIAL"),"_")))))</f>
        <v> </v>
      </c>
      <c r="H1023" s="24" t="str">
        <f>IF(J1023&lt;&gt;1,"",IF(I1023="SBJ","CB","?"))</f>
        <v> </v>
      </c>
      <c r="I1023" s="25" t="str">
        <f>IF(OR(E1023="",E1023="!!!",F1023="NEW"),"",INDEX(B1022:B$2,-1+SUMPRODUCT(MAX(ROW(E1022:E$2)*(E1023=E1022:E$2)))))</f>
        <v> </v>
      </c>
      <c r="J1023" s="25" t="str">
        <f>IF(OR(E1023="",E1023="!!!",F1023="NEW"),"",COUNTBLANK(OFFSET(A$1,,,SUMPRODUCT(MAX(ROW(E$2:E1023)*(E1023=E$2:E1023)))))-COUNTBLANK(OFFSET(A$1,,,SUMPRODUCT(MAX(ROW(E$1:E1022)*(E2=E$1:E1022))))))</f>
        <v> </v>
      </c>
      <c r="K1023" s="25" t="str">
        <f>IF(OR(E1023="",E1023="!!!",F1023="NEW"),"",INDEX(J$1:J1022,SUMPRODUCT(MAX(ROW(E$1:E1022)*(E1023=E$1:E1022)))))</f>
        <v> </v>
      </c>
      <c r="L1023" s="26"/>
    </row>
    <row r="1024" spans="1:12">
      <c r="A1024" s="20" t="s">
        <v>272</v>
      </c>
      <c r="B1024" s="27" t="s">
        <v>291</v>
      </c>
      <c r="C1024" s="27" t="s">
        <v>257</v>
      </c>
      <c r="D1024" s="27" t="s">
        <v>258</v>
      </c>
      <c r="E1024" s="21">
        <f>IF(D1024="?OLD","!!!","")</f>
        <v/>
      </c>
      <c r="F1024" s="22" t="str">
        <f>IF(OR(E1024="",E1024="!!!"),"",IF(NOT(ISNA(VLOOKUP(E1024,E$1:E1023,1,FALSE()))),"OLD",IF(AND(E1024&lt;&gt;"",E1024&lt;&gt;"!!!"),"NEW","")))</f>
        <v> </v>
      </c>
      <c r="G1024" s="23" t="str">
        <f>IF(OR(E1024="",E1024="!!!"),"",IF(OR(J1024=0,AND(J1024=1,K1024=1),AND(J1024=1,I1024="SBJ"),AND(J1024=1,I1024=0)),"?IN_FOCUS",IF(J1024&lt;=2,"?ACTIVATED",IF(J1024&lt;&gt;"","?FAMILIAR",IF(F1024="NEW",IF(ISNA(VLOOKUP(E1024,#REF!,1,FALSE())),"?TYPE_IDENTIFIABLE","?REFERENTIAL"),"_")))))</f>
        <v> </v>
      </c>
      <c r="H1024" s="24" t="str">
        <f>IF(J1024&lt;&gt;1,"",IF(I1024="SBJ","CB","?"))</f>
        <v> </v>
      </c>
      <c r="I1024" s="25" t="str">
        <f>IF(OR(E1024="",E1024="!!!",F1024="NEW"),"",INDEX(B1023:B$2,-1+SUMPRODUCT(MAX(ROW(E1023:E$2)*(E1024=E1023:E$2)))))</f>
        <v> </v>
      </c>
      <c r="J1024" s="25" t="str">
        <f>IF(OR(E1024="",E1024="!!!",F1024="NEW"),"",COUNTBLANK(OFFSET(A$1,,,SUMPRODUCT(MAX(ROW(E$2:E1024)*(E1024=E$2:E1024)))))-COUNTBLANK(OFFSET(A$1,,,SUMPRODUCT(MAX(ROW(E$1:E1023)*(E2=E$1:E1023))))))</f>
        <v> </v>
      </c>
      <c r="K1024" s="25" t="str">
        <f>IF(OR(E1024="",E1024="!!!",F1024="NEW"),"",INDEX(J$1:J1023,SUMPRODUCT(MAX(ROW(E$1:E1023)*(E1024=E$1:E1023)))))</f>
        <v> </v>
      </c>
      <c r="L1024" s="26"/>
    </row>
    <row r="1025" spans="1:12">
      <c r="A1025" s="20" t="s">
        <v>16</v>
      </c>
      <c r="E1025" s="21">
        <f>IF(D1025="?OLD","!!!","")</f>
        <v/>
      </c>
      <c r="F1025" s="22" t="str">
        <f>IF(OR(E1025="",E1025="!!!"),"",IF(NOT(ISNA(VLOOKUP(E1025,E$1:E1024,1,FALSE()))),"OLD",IF(AND(E1025&lt;&gt;"",E1025&lt;&gt;"!!!"),"NEW","")))</f>
        <v> </v>
      </c>
      <c r="G1025" s="23" t="str">
        <f>IF(OR(E1025="",E1025="!!!"),"",IF(OR(J1025=0,AND(J1025=1,K1025=1),AND(J1025=1,I1025="SBJ"),AND(J1025=1,I1025=0)),"?IN_FOCUS",IF(J1025&lt;=2,"?ACTIVATED",IF(J1025&lt;&gt;"","?FAMILIAR",IF(F1025="NEW",IF(ISNA(VLOOKUP(E1025,#REF!,1,FALSE())),"?TYPE_IDENTIFIABLE","?REFERENTIAL"),"_")))))</f>
        <v> </v>
      </c>
      <c r="H1025" s="24" t="str">
        <f>IF(J1025&lt;&gt;1,"",IF(I1025="SBJ","CB","?"))</f>
        <v> </v>
      </c>
      <c r="I1025" s="25" t="str">
        <f>IF(OR(E1025="",E1025="!!!",F1025="NEW"),"",INDEX(B1024:B$2,-1+SUMPRODUCT(MAX(ROW(E1024:E$2)*(E1025=E1024:E$2)))))</f>
        <v> </v>
      </c>
      <c r="J1025" s="25" t="str">
        <f>IF(OR(E1025="",E1025="!!!",F1025="NEW"),"",COUNTBLANK(OFFSET(A$1,,,SUMPRODUCT(MAX(ROW(E$2:E1025)*(E1025=E$2:E1025)))))-COUNTBLANK(OFFSET(A$1,,,SUMPRODUCT(MAX(ROW(E$1:E1024)*(E2=E$1:E1024))))))</f>
        <v> </v>
      </c>
      <c r="K1025" s="25" t="str">
        <f>IF(OR(E1025="",E1025="!!!",F1025="NEW"),"",INDEX(J$1:J1024,SUMPRODUCT(MAX(ROW(E$1:E1024)*(E1025=E$1:E1024)))))</f>
        <v> </v>
      </c>
      <c r="L1025" s="26"/>
    </row>
    <row r="1026" spans="1:12">
      <c r="A1026" s="20" t="s">
        <v>293</v>
      </c>
      <c r="E1026" s="21">
        <f>IF(D1026="?OLD","!!!","")</f>
        <v/>
      </c>
      <c r="F1026" s="22" t="str">
        <f>IF(OR(E1026="",E1026="!!!"),"",IF(NOT(ISNA(VLOOKUP(E1026,E$1:E1025,1,FALSE()))),"OLD",IF(AND(E1026&lt;&gt;"",E1026&lt;&gt;"!!!"),"NEW","")))</f>
        <v> </v>
      </c>
      <c r="G1026" s="23" t="str">
        <f>IF(OR(E1026="",E1026="!!!"),"",IF(OR(J1026=0,AND(J1026=1,K1026=1),AND(J1026=1,I1026="SBJ"),AND(J1026=1,I1026=0)),"?IN_FOCUS",IF(J1026&lt;=2,"?ACTIVATED",IF(J1026&lt;&gt;"","?FAMILIAR",IF(F1026="NEW",IF(ISNA(VLOOKUP(E1026,#REF!,1,FALSE())),"?TYPE_IDENTIFIABLE","?REFERENTIAL"),"_")))))</f>
        <v> </v>
      </c>
      <c r="H1026" s="24" t="str">
        <f>IF(J1026&lt;&gt;1,"",IF(I1026="SBJ","CB","?"))</f>
        <v> </v>
      </c>
      <c r="I1026" s="25" t="str">
        <f>IF(OR(E1026="",E1026="!!!",F1026="NEW"),"",INDEX(B1025:B$2,-1+SUMPRODUCT(MAX(ROW(E1025:E$2)*(E1026=E1025:E$2)))))</f>
        <v> </v>
      </c>
      <c r="J1026" s="25" t="str">
        <f>IF(OR(E1026="",E1026="!!!",F1026="NEW"),"",COUNTBLANK(OFFSET(A$1,,,SUMPRODUCT(MAX(ROW(E$2:E1026)*(E1026=E$2:E1026)))))-COUNTBLANK(OFFSET(A$1,,,SUMPRODUCT(MAX(ROW(E$1:E1025)*(E2=E$1:E1025))))))</f>
        <v> </v>
      </c>
      <c r="K1026" s="25" t="str">
        <f>IF(OR(E1026="",E1026="!!!",F1026="NEW"),"",INDEX(J$1:J1025,SUMPRODUCT(MAX(ROW(E$1:E1025)*(E1026=E$1:E1025)))))</f>
        <v> </v>
      </c>
      <c r="L1026" s="26"/>
    </row>
    <row r="1027" spans="1:12">
      <c r="A1027" s="20" t="s">
        <v>282</v>
      </c>
      <c r="B1027" s="27" t="s">
        <v>256</v>
      </c>
      <c r="C1027" s="27" t="s">
        <v>257</v>
      </c>
      <c r="D1027" s="27" t="s">
        <v>258</v>
      </c>
      <c r="E1027" s="21">
        <f>IF(D1027="?OLD","!!!","")</f>
        <v/>
      </c>
      <c r="F1027" s="22" t="str">
        <f>IF(OR(E1027="",E1027="!!!"),"",IF(NOT(ISNA(VLOOKUP(E1027,E$1:E1026,1,FALSE()))),"OLD",IF(AND(E1027&lt;&gt;"",E1027&lt;&gt;"!!!"),"NEW","")))</f>
        <v> </v>
      </c>
      <c r="G1027" s="23" t="str">
        <f>IF(OR(E1027="",E1027="!!!"),"",IF(OR(J1027=0,AND(J1027=1,K1027=1),AND(J1027=1,I1027="SBJ"),AND(J1027=1,I1027=0)),"?IN_FOCUS",IF(J1027&lt;=2,"?ACTIVATED",IF(J1027&lt;&gt;"","?FAMILIAR",IF(F1027="NEW",IF(ISNA(VLOOKUP(E1027,#REF!,1,FALSE())),"?TYPE_IDENTIFIABLE","?REFERENTIAL"),"_")))))</f>
        <v> </v>
      </c>
      <c r="H1027" s="24" t="str">
        <f>IF(J1027&lt;&gt;1,"",IF(I1027="SBJ","CB","?"))</f>
        <v> </v>
      </c>
      <c r="I1027" s="25" t="str">
        <f>IF(OR(E1027="",E1027="!!!",F1027="NEW"),"",INDEX(B1026:B$2,-1+SUMPRODUCT(MAX(ROW(E1026:E$2)*(E1027=E1026:E$2)))))</f>
        <v> </v>
      </c>
      <c r="J1027" s="25" t="str">
        <f>IF(OR(E1027="",E1027="!!!",F1027="NEW"),"",COUNTBLANK(OFFSET(A$1,,,SUMPRODUCT(MAX(ROW(E$2:E1027)*(E1027=E$2:E1027)))))-COUNTBLANK(OFFSET(A$1,,,SUMPRODUCT(MAX(ROW(E$1:E1026)*(E2=E$1:E1026))))))</f>
        <v> </v>
      </c>
      <c r="K1027" s="25" t="str">
        <f>IF(OR(E1027="",E1027="!!!",F1027="NEW"),"",INDEX(J$1:J1026,SUMPRODUCT(MAX(ROW(E$1:E1026)*(E1027=E$1:E1026)))))</f>
        <v> </v>
      </c>
      <c r="L1027" s="26"/>
    </row>
    <row r="1028" spans="1:12">
      <c r="A1028" s="20" t="s">
        <v>633</v>
      </c>
      <c r="E1028" s="21">
        <f>IF(D1028="?OLD","!!!","")</f>
        <v/>
      </c>
      <c r="F1028" s="22" t="str">
        <f>IF(OR(E1028="",E1028="!!!"),"",IF(NOT(ISNA(VLOOKUP(E1028,E$1:E1027,1,FALSE()))),"OLD",IF(AND(E1028&lt;&gt;"",E1028&lt;&gt;"!!!"),"NEW","")))</f>
        <v> </v>
      </c>
      <c r="G1028" s="23" t="str">
        <f>IF(OR(E1028="",E1028="!!!"),"",IF(OR(J1028=0,AND(J1028=1,K1028=1),AND(J1028=1,I1028="SBJ"),AND(J1028=1,I1028=0)),"?IN_FOCUS",IF(J1028&lt;=2,"?ACTIVATED",IF(J1028&lt;&gt;"","?FAMILIAR",IF(F1028="NEW",IF(ISNA(VLOOKUP(E1028,#REF!,1,FALSE())),"?TYPE_IDENTIFIABLE","?REFERENTIAL"),"_")))))</f>
        <v> </v>
      </c>
      <c r="H1028" s="24" t="str">
        <f>IF(J1028&lt;&gt;1,"",IF(I1028="SBJ","CB","?"))</f>
        <v> </v>
      </c>
      <c r="I1028" s="25" t="str">
        <f>IF(OR(E1028="",E1028="!!!",F1028="NEW"),"",INDEX(B1027:B$2,-1+SUMPRODUCT(MAX(ROW(E1027:E$2)*(E1028=E1027:E$2)))))</f>
        <v> </v>
      </c>
      <c r="J1028" s="25" t="str">
        <f>IF(OR(E1028="",E1028="!!!",F1028="NEW"),"",COUNTBLANK(OFFSET(A$1,,,SUMPRODUCT(MAX(ROW(E$2:E1028)*(E1028=E$2:E1028)))))-COUNTBLANK(OFFSET(A$1,,,SUMPRODUCT(MAX(ROW(E$1:E1027)*(E2=E$1:E1027))))))</f>
        <v> </v>
      </c>
      <c r="K1028" s="25" t="str">
        <f>IF(OR(E1028="",E1028="!!!",F1028="NEW"),"",INDEX(J$1:J1027,SUMPRODUCT(MAX(ROW(E$1:E1027)*(E1028=E$1:E1027)))))</f>
        <v> </v>
      </c>
      <c r="L1028" s="26"/>
    </row>
    <row r="1029" spans="1:12">
      <c r="A1029" s="20" t="s">
        <v>273</v>
      </c>
      <c r="E1029" s="21">
        <f>IF(D1029="?OLD","!!!","")</f>
        <v/>
      </c>
      <c r="F1029" s="22" t="str">
        <f>IF(OR(E1029="",E1029="!!!"),"",IF(NOT(ISNA(VLOOKUP(E1029,E$1:E1028,1,FALSE()))),"OLD",IF(AND(E1029&lt;&gt;"",E1029&lt;&gt;"!!!"),"NEW","")))</f>
        <v> </v>
      </c>
      <c r="G1029" s="23" t="str">
        <f>IF(OR(E1029="",E1029="!!!"),"",IF(OR(J1029=0,AND(J1029=1,K1029=1),AND(J1029=1,I1029="SBJ"),AND(J1029=1,I1029=0)),"?IN_FOCUS",IF(J1029&lt;=2,"?ACTIVATED",IF(J1029&lt;&gt;"","?FAMILIAR",IF(F1029="NEW",IF(ISNA(VLOOKUP(E1029,#REF!,1,FALSE())),"?TYPE_IDENTIFIABLE","?REFERENTIAL"),"_")))))</f>
        <v> </v>
      </c>
      <c r="H1029" s="24" t="str">
        <f>IF(J1029&lt;&gt;1,"",IF(I1029="SBJ","CB","?"))</f>
        <v> </v>
      </c>
      <c r="I1029" s="25" t="str">
        <f>IF(OR(E1029="",E1029="!!!",F1029="NEW"),"",INDEX(B1028:B$2,-1+SUMPRODUCT(MAX(ROW(E1028:E$2)*(E1029=E1028:E$2)))))</f>
        <v> </v>
      </c>
      <c r="J1029" s="25" t="str">
        <f>IF(OR(E1029="",E1029="!!!",F1029="NEW"),"",COUNTBLANK(OFFSET(A$1,,,SUMPRODUCT(MAX(ROW(E$2:E1029)*(E1029=E$2:E1029)))))-COUNTBLANK(OFFSET(A$1,,,SUMPRODUCT(MAX(ROW(E$1:E1028)*(E2=E$1:E1028))))))</f>
        <v> </v>
      </c>
      <c r="K1029" s="25" t="str">
        <f>IF(OR(E1029="",E1029="!!!",F1029="NEW"),"",INDEX(J$1:J1028,SUMPRODUCT(MAX(ROW(E$1:E1028)*(E1029=E$1:E1028)))))</f>
        <v> </v>
      </c>
      <c r="L1029" s="26"/>
    </row>
    <row r="1030" spans="1:12">
      <c r="A1030" s="20" t="s">
        <v>634</v>
      </c>
      <c r="E1030" s="21">
        <f>IF(D1030="?OLD","!!!","")</f>
        <v/>
      </c>
      <c r="F1030" s="22" t="str">
        <f>IF(OR(E1030="",E1030="!!!"),"",IF(NOT(ISNA(VLOOKUP(E1030,E$1:E1029,1,FALSE()))),"OLD",IF(AND(E1030&lt;&gt;"",E1030&lt;&gt;"!!!"),"NEW","")))</f>
        <v> </v>
      </c>
      <c r="G1030" s="23" t="str">
        <f>IF(OR(E1030="",E1030="!!!"),"",IF(OR(J1030=0,AND(J1030=1,K1030=1),AND(J1030=1,I1030="SBJ"),AND(J1030=1,I1030=0)),"?IN_FOCUS",IF(J1030&lt;=2,"?ACTIVATED",IF(J1030&lt;&gt;"","?FAMILIAR",IF(F1030="NEW",IF(ISNA(VLOOKUP(E1030,#REF!,1,FALSE())),"?TYPE_IDENTIFIABLE","?REFERENTIAL"),"_")))))</f>
        <v> </v>
      </c>
      <c r="H1030" s="24" t="str">
        <f>IF(J1030&lt;&gt;1,"",IF(I1030="SBJ","CB","?"))</f>
        <v> </v>
      </c>
      <c r="I1030" s="25" t="str">
        <f>IF(OR(E1030="",E1030="!!!",F1030="NEW"),"",INDEX(B1029:B$2,-1+SUMPRODUCT(MAX(ROW(E1029:E$2)*(E1030=E1029:E$2)))))</f>
        <v> </v>
      </c>
      <c r="J1030" s="25" t="str">
        <f>IF(OR(E1030="",E1030="!!!",F1030="NEW"),"",COUNTBLANK(OFFSET(A$1,,,SUMPRODUCT(MAX(ROW(E$2:E1030)*(E1030=E$2:E1030)))))-COUNTBLANK(OFFSET(A$1,,,SUMPRODUCT(MAX(ROW(E$1:E1029)*(E2=E$1:E1029))))))</f>
        <v> </v>
      </c>
      <c r="K1030" s="25" t="str">
        <f>IF(OR(E1030="",E1030="!!!",F1030="NEW"),"",INDEX(J$1:J1029,SUMPRODUCT(MAX(ROW(E$1:E1029)*(E1030=E$1:E1029)))))</f>
        <v> </v>
      </c>
      <c r="L1030" s="26"/>
    </row>
    <row r="1031" spans="1:12">
      <c r="A1031" s="20" t="s">
        <v>635</v>
      </c>
      <c r="B1031" s="27" t="s">
        <v>262</v>
      </c>
      <c r="C1031" s="27" t="s">
        <v>270</v>
      </c>
      <c r="E1031" s="21">
        <f>IF(D1031="?OLD","!!!","")</f>
        <v/>
      </c>
      <c r="F1031" s="22" t="str">
        <f>IF(OR(E1031="",E1031="!!!"),"",IF(NOT(ISNA(VLOOKUP(E1031,E$1:E1030,1,FALSE()))),"OLD",IF(AND(E1031&lt;&gt;"",E1031&lt;&gt;"!!!"),"NEW","")))</f>
        <v> </v>
      </c>
      <c r="G1031" s="23" t="str">
        <f>IF(OR(E1031="",E1031="!!!"),"",IF(OR(J1031=0,AND(J1031=1,K1031=1),AND(J1031=1,I1031="SBJ"),AND(J1031=1,I1031=0)),"?IN_FOCUS",IF(J1031&lt;=2,"?ACTIVATED",IF(J1031&lt;&gt;"","?FAMILIAR",IF(F1031="NEW",IF(ISNA(VLOOKUP(E1031,#REF!,1,FALSE())),"?TYPE_IDENTIFIABLE","?REFERENTIAL"),"_")))))</f>
        <v> </v>
      </c>
      <c r="H1031" s="24" t="str">
        <f>IF(J1031&lt;&gt;1,"",IF(I1031="SBJ","CB","?"))</f>
        <v> </v>
      </c>
      <c r="I1031" s="25" t="str">
        <f>IF(OR(E1031="",E1031="!!!",F1031="NEW"),"",INDEX(B1030:B$2,-1+SUMPRODUCT(MAX(ROW(E1030:E$2)*(E1031=E1030:E$2)))))</f>
        <v> </v>
      </c>
      <c r="J1031" s="25" t="str">
        <f>IF(OR(E1031="",E1031="!!!",F1031="NEW"),"",COUNTBLANK(OFFSET(A$1,,,SUMPRODUCT(MAX(ROW(E$2:E1031)*(E1031=E$2:E1031)))))-COUNTBLANK(OFFSET(A$1,,,SUMPRODUCT(MAX(ROW(E$1:E1030)*(E2=E$1:E1030))))))</f>
        <v> </v>
      </c>
      <c r="K1031" s="25" t="str">
        <f>IF(OR(E1031="",E1031="!!!",F1031="NEW"),"",INDEX(J$1:J1030,SUMPRODUCT(MAX(ROW(E$1:E1030)*(E1031=E$1:E1030)))))</f>
        <v> </v>
      </c>
      <c r="L1031" s="26"/>
    </row>
    <row r="1032" spans="1:12">
      <c r="A1032" s="20" t="s">
        <v>305</v>
      </c>
      <c r="E1032" s="21">
        <f>IF(D1032="?OLD","!!!","")</f>
        <v/>
      </c>
      <c r="F1032" s="22" t="str">
        <f>IF(OR(E1032="",E1032="!!!"),"",IF(NOT(ISNA(VLOOKUP(E1032,E$1:E1031,1,FALSE()))),"OLD",IF(AND(E1032&lt;&gt;"",E1032&lt;&gt;"!!!"),"NEW","")))</f>
        <v> </v>
      </c>
      <c r="G1032" s="23" t="str">
        <f>IF(OR(E1032="",E1032="!!!"),"",IF(OR(J1032=0,AND(J1032=1,K1032=1),AND(J1032=1,I1032="SBJ"),AND(J1032=1,I1032=0)),"?IN_FOCUS",IF(J1032&lt;=2,"?ACTIVATED",IF(J1032&lt;&gt;"","?FAMILIAR",IF(F1032="NEW",IF(ISNA(VLOOKUP(E1032,#REF!,1,FALSE())),"?TYPE_IDENTIFIABLE","?REFERENTIAL"),"_")))))</f>
        <v> </v>
      </c>
      <c r="H1032" s="24" t="str">
        <f>IF(J1032&lt;&gt;1,"",IF(I1032="SBJ","CB","?"))</f>
        <v> </v>
      </c>
      <c r="I1032" s="25" t="str">
        <f>IF(OR(E1032="",E1032="!!!",F1032="NEW"),"",INDEX(B1031:B$2,-1+SUMPRODUCT(MAX(ROW(E1031:E$2)*(E1032=E1031:E$2)))))</f>
        <v> </v>
      </c>
      <c r="J1032" s="25" t="str">
        <f>IF(OR(E1032="",E1032="!!!",F1032="NEW"),"",COUNTBLANK(OFFSET(A$1,,,SUMPRODUCT(MAX(ROW(E$2:E1032)*(E1032=E$2:E1032)))))-COUNTBLANK(OFFSET(A$1,,,SUMPRODUCT(MAX(ROW(E$1:E1031)*(E2=E$1:E1031))))))</f>
        <v> </v>
      </c>
      <c r="K1032" s="25" t="str">
        <f>IF(OR(E1032="",E1032="!!!",F1032="NEW"),"",INDEX(J$1:J1031,SUMPRODUCT(MAX(ROW(E$1:E1031)*(E1032=E$1:E1031)))))</f>
        <v> </v>
      </c>
      <c r="L1032" s="26"/>
    </row>
    <row r="1033" spans="1:12">
      <c r="A1033" s="20" t="s">
        <v>432</v>
      </c>
      <c r="E1033" s="21">
        <f>IF(D1033="?OLD","!!!","")</f>
        <v/>
      </c>
      <c r="F1033" s="22" t="str">
        <f>IF(OR(E1033="",E1033="!!!"),"",IF(NOT(ISNA(VLOOKUP(E1033,E$1:E1032,1,FALSE()))),"OLD",IF(AND(E1033&lt;&gt;"",E1033&lt;&gt;"!!!"),"NEW","")))</f>
        <v> </v>
      </c>
      <c r="G1033" s="23" t="str">
        <f>IF(OR(E1033="",E1033="!!!"),"",IF(OR(J1033=0,AND(J1033=1,K1033=1),AND(J1033=1,I1033="SBJ"),AND(J1033=1,I1033=0)),"?IN_FOCUS",IF(J1033&lt;=2,"?ACTIVATED",IF(J1033&lt;&gt;"","?FAMILIAR",IF(F1033="NEW",IF(ISNA(VLOOKUP(E1033,#REF!,1,FALSE())),"?TYPE_IDENTIFIABLE","?REFERENTIAL"),"_")))))</f>
        <v> </v>
      </c>
      <c r="H1033" s="24" t="str">
        <f>IF(J1033&lt;&gt;1,"",IF(I1033="SBJ","CB","?"))</f>
        <v> </v>
      </c>
      <c r="I1033" s="25" t="str">
        <f>IF(OR(E1033="",E1033="!!!",F1033="NEW"),"",INDEX(B1032:B$2,-1+SUMPRODUCT(MAX(ROW(E1032:E$2)*(E1033=E1032:E$2)))))</f>
        <v> </v>
      </c>
      <c r="J1033" s="25" t="str">
        <f>IF(OR(E1033="",E1033="!!!",F1033="NEW"),"",COUNTBLANK(OFFSET(A$1,,,SUMPRODUCT(MAX(ROW(E$2:E1033)*(E1033=E$2:E1033)))))-COUNTBLANK(OFFSET(A$1,,,SUMPRODUCT(MAX(ROW(E$1:E1032)*(E2=E$1:E1032))))))</f>
        <v> </v>
      </c>
      <c r="K1033" s="25" t="str">
        <f>IF(OR(E1033="",E1033="!!!",F1033="NEW"),"",INDEX(J$1:J1032,SUMPRODUCT(MAX(ROW(E$1:E1032)*(E1033=E$1:E1032)))))</f>
        <v> </v>
      </c>
      <c r="L1033" s="26"/>
    </row>
    <row r="1034" spans="1:12">
      <c r="A1034" s="20" t="s">
        <v>433</v>
      </c>
      <c r="E1034" s="21">
        <f>IF(D1034="?OLD","!!!","")</f>
        <v/>
      </c>
      <c r="F1034" s="22" t="str">
        <f>IF(OR(E1034="",E1034="!!!"),"",IF(NOT(ISNA(VLOOKUP(E1034,E$1:E1033,1,FALSE()))),"OLD",IF(AND(E1034&lt;&gt;"",E1034&lt;&gt;"!!!"),"NEW","")))</f>
        <v> </v>
      </c>
      <c r="G1034" s="23" t="str">
        <f>IF(OR(E1034="",E1034="!!!"),"",IF(OR(J1034=0,AND(J1034=1,K1034=1),AND(J1034=1,I1034="SBJ"),AND(J1034=1,I1034=0)),"?IN_FOCUS",IF(J1034&lt;=2,"?ACTIVATED",IF(J1034&lt;&gt;"","?FAMILIAR",IF(F1034="NEW",IF(ISNA(VLOOKUP(E1034,#REF!,1,FALSE())),"?TYPE_IDENTIFIABLE","?REFERENTIAL"),"_")))))</f>
        <v> </v>
      </c>
      <c r="H1034" s="24" t="str">
        <f>IF(J1034&lt;&gt;1,"",IF(I1034="SBJ","CB","?"))</f>
        <v> </v>
      </c>
      <c r="I1034" s="25" t="str">
        <f>IF(OR(E1034="",E1034="!!!",F1034="NEW"),"",INDEX(B1033:B$2,-1+SUMPRODUCT(MAX(ROW(E1033:E$2)*(E1034=E1033:E$2)))))</f>
        <v> </v>
      </c>
      <c r="J1034" s="25" t="str">
        <f>IF(OR(E1034="",E1034="!!!",F1034="NEW"),"",COUNTBLANK(OFFSET(A$1,,,SUMPRODUCT(MAX(ROW(E$2:E1034)*(E1034=E$2:E1034)))))-COUNTBLANK(OFFSET(A$1,,,SUMPRODUCT(MAX(ROW(E$1:E1033)*(E2=E$1:E1033))))))</f>
        <v> </v>
      </c>
      <c r="K1034" s="25" t="str">
        <f>IF(OR(E1034="",E1034="!!!",F1034="NEW"),"",INDEX(J$1:J1033,SUMPRODUCT(MAX(ROW(E$1:E1033)*(E1034=E$1:E1033)))))</f>
        <v> </v>
      </c>
      <c r="L1034" s="26"/>
    </row>
    <row r="1035" spans="1:12">
      <c r="A1035" s="20" t="s">
        <v>443</v>
      </c>
      <c r="E1035" s="21">
        <f>IF(D1035="?OLD","!!!","")</f>
        <v/>
      </c>
      <c r="F1035" s="22" t="str">
        <f>IF(OR(E1035="",E1035="!!!"),"",IF(NOT(ISNA(VLOOKUP(E1035,E$1:E1034,1,FALSE()))),"OLD",IF(AND(E1035&lt;&gt;"",E1035&lt;&gt;"!!!"),"NEW","")))</f>
        <v> </v>
      </c>
      <c r="G1035" s="23" t="str">
        <f>IF(OR(E1035="",E1035="!!!"),"",IF(OR(J1035=0,AND(J1035=1,K1035=1),AND(J1035=1,I1035="SBJ"),AND(J1035=1,I1035=0)),"?IN_FOCUS",IF(J1035&lt;=2,"?ACTIVATED",IF(J1035&lt;&gt;"","?FAMILIAR",IF(F1035="NEW",IF(ISNA(VLOOKUP(E1035,#REF!,1,FALSE())),"?TYPE_IDENTIFIABLE","?REFERENTIAL"),"_")))))</f>
        <v> </v>
      </c>
      <c r="H1035" s="24" t="str">
        <f>IF(J1035&lt;&gt;1,"",IF(I1035="SBJ","CB","?"))</f>
        <v> </v>
      </c>
      <c r="I1035" s="25" t="str">
        <f>IF(OR(E1035="",E1035="!!!",F1035="NEW"),"",INDEX(B1034:B$2,-1+SUMPRODUCT(MAX(ROW(E1034:E$2)*(E1035=E1034:E$2)))))</f>
        <v> </v>
      </c>
      <c r="J1035" s="25" t="str">
        <f>IF(OR(E1035="",E1035="!!!",F1035="NEW"),"",COUNTBLANK(OFFSET(A$1,,,SUMPRODUCT(MAX(ROW(E$2:E1035)*(E1035=E$2:E1035)))))-COUNTBLANK(OFFSET(A$1,,,SUMPRODUCT(MAX(ROW(E$1:E1034)*(E2=E$1:E1034))))))</f>
        <v> </v>
      </c>
      <c r="K1035" s="25" t="str">
        <f>IF(OR(E1035="",E1035="!!!",F1035="NEW"),"",INDEX(J$1:J1034,SUMPRODUCT(MAX(ROW(E$1:E1034)*(E1035=E$1:E1034)))))</f>
        <v> </v>
      </c>
      <c r="L1035" s="26"/>
    </row>
    <row r="1036" spans="1:12">
      <c r="A1036" s="20" t="s">
        <v>526</v>
      </c>
      <c r="B1036" s="27" t="s">
        <v>328</v>
      </c>
      <c r="C1036" s="27" t="s">
        <v>435</v>
      </c>
      <c r="E1036" s="21">
        <f>IF(D1036="?OLD","!!!","")</f>
        <v/>
      </c>
      <c r="F1036" s="22" t="str">
        <f>IF(OR(E1036="",E1036="!!!"),"",IF(NOT(ISNA(VLOOKUP(E1036,E$1:E1035,1,FALSE()))),"OLD",IF(AND(E1036&lt;&gt;"",E1036&lt;&gt;"!!!"),"NEW","")))</f>
        <v> </v>
      </c>
      <c r="G1036" s="23" t="str">
        <f>IF(OR(E1036="",E1036="!!!"),"",IF(OR(J1036=0,AND(J1036=1,K1036=1),AND(J1036=1,I1036="SBJ"),AND(J1036=1,I1036=0)),"?IN_FOCUS",IF(J1036&lt;=2,"?ACTIVATED",IF(J1036&lt;&gt;"","?FAMILIAR",IF(F1036="NEW",IF(ISNA(VLOOKUP(E1036,#REF!,1,FALSE())),"?TYPE_IDENTIFIABLE","?REFERENTIAL"),"_")))))</f>
        <v> </v>
      </c>
      <c r="H1036" s="24" t="str">
        <f>IF(J1036&lt;&gt;1,"",IF(I1036="SBJ","CB","?"))</f>
        <v> </v>
      </c>
      <c r="I1036" s="25" t="str">
        <f>IF(OR(E1036="",E1036="!!!",F1036="NEW"),"",INDEX(B1035:B$2,-1+SUMPRODUCT(MAX(ROW(E1035:E$2)*(E1036=E1035:E$2)))))</f>
        <v> </v>
      </c>
      <c r="J1036" s="25" t="str">
        <f>IF(OR(E1036="",E1036="!!!",F1036="NEW"),"",COUNTBLANK(OFFSET(A$1,,,SUMPRODUCT(MAX(ROW(E$2:E1036)*(E1036=E$2:E1036)))))-COUNTBLANK(OFFSET(A$1,,,SUMPRODUCT(MAX(ROW(E$1:E1035)*(E2=E$1:E1035))))))</f>
        <v> </v>
      </c>
      <c r="K1036" s="25" t="str">
        <f>IF(OR(E1036="",E1036="!!!",F1036="NEW"),"",INDEX(J$1:J1035,SUMPRODUCT(MAX(ROW(E$1:E1035)*(E1036=E$1:E1035)))))</f>
        <v> </v>
      </c>
      <c r="L1036" s="26"/>
    </row>
    <row r="1037" spans="1:12">
      <c r="A1037" s="20" t="s">
        <v>303</v>
      </c>
      <c r="E1037" s="21">
        <f>IF(D1037="?OLD","!!!","")</f>
        <v/>
      </c>
      <c r="F1037" s="22" t="str">
        <f>IF(OR(E1037="",E1037="!!!"),"",IF(NOT(ISNA(VLOOKUP(E1037,E$1:E1036,1,FALSE()))),"OLD",IF(AND(E1037&lt;&gt;"",E1037&lt;&gt;"!!!"),"NEW","")))</f>
        <v> </v>
      </c>
      <c r="G1037" s="23" t="str">
        <f>IF(OR(E1037="",E1037="!!!"),"",IF(OR(J1037=0,AND(J1037=1,K1037=1),AND(J1037=1,I1037="SBJ"),AND(J1037=1,I1037=0)),"?IN_FOCUS",IF(J1037&lt;=2,"?ACTIVATED",IF(J1037&lt;&gt;"","?FAMILIAR",IF(F1037="NEW",IF(ISNA(VLOOKUP(E1037,#REF!,1,FALSE())),"?TYPE_IDENTIFIABLE","?REFERENTIAL"),"_")))))</f>
        <v> </v>
      </c>
      <c r="H1037" s="24" t="str">
        <f>IF(J1037&lt;&gt;1,"",IF(I1037="SBJ","CB","?"))</f>
        <v> </v>
      </c>
      <c r="I1037" s="25" t="str">
        <f>IF(OR(E1037="",E1037="!!!",F1037="NEW"),"",INDEX(B1036:B$2,-1+SUMPRODUCT(MAX(ROW(E1036:E$2)*(E1037=E1036:E$2)))))</f>
        <v> </v>
      </c>
      <c r="J1037" s="25" t="str">
        <f>IF(OR(E1037="",E1037="!!!",F1037="NEW"),"",COUNTBLANK(OFFSET(A$1,,,SUMPRODUCT(MAX(ROW(E$2:E1037)*(E1037=E$2:E1037)))))-COUNTBLANK(OFFSET(A$1,,,SUMPRODUCT(MAX(ROW(E$1:E1036)*(E2=E$1:E1036))))))</f>
        <v> </v>
      </c>
      <c r="K1037" s="25" t="str">
        <f>IF(OR(E1037="",E1037="!!!",F1037="NEW"),"",INDEX(J$1:J1036,SUMPRODUCT(MAX(ROW(E$1:E1036)*(E1037=E$1:E1036)))))</f>
        <v> </v>
      </c>
      <c r="L1037" s="26"/>
    </row>
    <row r="1038" spans="1:12">
      <c r="A1038" s="20" t="s">
        <v>416</v>
      </c>
      <c r="B1038" s="27" t="s">
        <v>291</v>
      </c>
      <c r="C1038" s="27" t="s">
        <v>367</v>
      </c>
      <c r="D1038" s="27" t="s">
        <v>258</v>
      </c>
      <c r="E1038" s="21">
        <f>IF(D1038="?OLD","!!!","")</f>
        <v/>
      </c>
      <c r="F1038" s="22" t="str">
        <f>IF(OR(E1038="",E1038="!!!"),"",IF(NOT(ISNA(VLOOKUP(E1038,E$1:E1037,1,FALSE()))),"OLD",IF(AND(E1038&lt;&gt;"",E1038&lt;&gt;"!!!"),"NEW","")))</f>
        <v> </v>
      </c>
      <c r="G1038" s="23" t="str">
        <f>IF(OR(E1038="",E1038="!!!"),"",IF(OR(J1038=0,AND(J1038=1,K1038=1),AND(J1038=1,I1038="SBJ"),AND(J1038=1,I1038=0)),"?IN_FOCUS",IF(J1038&lt;=2,"?ACTIVATED",IF(J1038&lt;&gt;"","?FAMILIAR",IF(F1038="NEW",IF(ISNA(VLOOKUP(E1038,#REF!,1,FALSE())),"?TYPE_IDENTIFIABLE","?REFERENTIAL"),"_")))))</f>
        <v> </v>
      </c>
      <c r="H1038" s="24" t="str">
        <f>IF(J1038&lt;&gt;1,"",IF(I1038="SBJ","CB","?"))</f>
        <v> </v>
      </c>
      <c r="I1038" s="25" t="str">
        <f>IF(OR(E1038="",E1038="!!!",F1038="NEW"),"",INDEX(B1037:B$2,-1+SUMPRODUCT(MAX(ROW(E1037:E$2)*(E1038=E1037:E$2)))))</f>
        <v> </v>
      </c>
      <c r="J1038" s="25" t="str">
        <f>IF(OR(E1038="",E1038="!!!",F1038="NEW"),"",COUNTBLANK(OFFSET(A$1,,,SUMPRODUCT(MAX(ROW(E$2:E1038)*(E1038=E$2:E1038)))))-COUNTBLANK(OFFSET(A$1,,,SUMPRODUCT(MAX(ROW(E$1:E1037)*(E2=E$1:E1037))))))</f>
        <v> </v>
      </c>
      <c r="K1038" s="25" t="str">
        <f>IF(OR(E1038="",E1038="!!!",F1038="NEW"),"",INDEX(J$1:J1037,SUMPRODUCT(MAX(ROW(E$1:E1037)*(E1038=E$1:E1037)))))</f>
        <v> </v>
      </c>
      <c r="L1038" s="26"/>
    </row>
    <row r="1039" spans="1:12">
      <c r="A1039" s="20" t="s">
        <v>320</v>
      </c>
      <c r="E1039" s="21">
        <f>IF(D1039="?OLD","!!!","")</f>
        <v/>
      </c>
      <c r="F1039" s="22" t="str">
        <f>IF(OR(E1039="",E1039="!!!"),"",IF(NOT(ISNA(VLOOKUP(E1039,E$1:E1038,1,FALSE()))),"OLD",IF(AND(E1039&lt;&gt;"",E1039&lt;&gt;"!!!"),"NEW","")))</f>
        <v> </v>
      </c>
      <c r="G1039" s="23" t="str">
        <f>IF(OR(E1039="",E1039="!!!"),"",IF(OR(J1039=0,AND(J1039=1,K1039=1),AND(J1039=1,I1039="SBJ"),AND(J1039=1,I1039=0)),"?IN_FOCUS",IF(J1039&lt;=2,"?ACTIVATED",IF(J1039&lt;&gt;"","?FAMILIAR",IF(F1039="NEW",IF(ISNA(VLOOKUP(E1039,#REF!,1,FALSE())),"?TYPE_IDENTIFIABLE","?REFERENTIAL"),"_")))))</f>
        <v> </v>
      </c>
      <c r="H1039" s="24" t="str">
        <f>IF(J1039&lt;&gt;1,"",IF(I1039="SBJ","CB","?"))</f>
        <v> </v>
      </c>
      <c r="I1039" s="25" t="str">
        <f>IF(OR(E1039="",E1039="!!!",F1039="NEW"),"",INDEX(B1038:B$2,-1+SUMPRODUCT(MAX(ROW(E1038:E$2)*(E1039=E1038:E$2)))))</f>
        <v> </v>
      </c>
      <c r="J1039" s="25" t="str">
        <f>IF(OR(E1039="",E1039="!!!",F1039="NEW"),"",COUNTBLANK(OFFSET(A$1,,,SUMPRODUCT(MAX(ROW(E$2:E1039)*(E1039=E$2:E1039)))))-COUNTBLANK(OFFSET(A$1,,,SUMPRODUCT(MAX(ROW(E$1:E1038)*(E2=E$1:E1038))))))</f>
        <v> </v>
      </c>
      <c r="K1039" s="25" t="str">
        <f>IF(OR(E1039="",E1039="!!!",F1039="NEW"),"",INDEX(J$1:J1038,SUMPRODUCT(MAX(ROW(E$1:E1038)*(E1039=E$1:E1038)))))</f>
        <v> </v>
      </c>
      <c r="L1039" s="26"/>
    </row>
    <row r="1040" spans="1:12">
      <c r="A1040" s="20"/>
    </row>
    <row r="1041" spans="1:12">
      <c r="A1041" s="20" t="s">
        <v>636</v>
      </c>
    </row>
    <row r="1042" spans="1:12">
      <c r="A1042" s="20" t="s">
        <v>322</v>
      </c>
      <c r="E1042" s="21">
        <f>IF(D1042="?OLD","!!!","")</f>
        <v/>
      </c>
      <c r="F1042" s="22" t="str">
        <f>IF(OR(E1042="",E1042="!!!"),"",IF(NOT(ISNA(VLOOKUP(E1042,E$1:E1041,1,FALSE()))),"OLD",IF(AND(E1042&lt;&gt;"",E1042&lt;&gt;"!!!"),"NEW","")))</f>
        <v> </v>
      </c>
      <c r="G1042" s="23" t="str">
        <f>IF(OR(E1042="",E1042="!!!"),"",IF(OR(J1042=0,AND(J1042=1,K1042=1),AND(J1042=1,I1042="SBJ"),AND(J1042=1,I1042=0)),"?IN_FOCUS",IF(J1042&lt;=2,"?ACTIVATED",IF(J1042&lt;&gt;"","?FAMILIAR",IF(F1042="NEW",IF(ISNA(VLOOKUP(E1042,#REF!,1,FALSE())),"?TYPE_IDENTIFIABLE","?REFERENTIAL"),"_")))))</f>
        <v> </v>
      </c>
      <c r="H1042" s="24" t="str">
        <f>IF(J1042&lt;&gt;1,"",IF(I1042="SBJ","CB","?"))</f>
        <v> </v>
      </c>
      <c r="I1042" s="25" t="str">
        <f>IF(OR(E1042="",E1042="!!!",F1042="NEW"),"",INDEX(B1041:B$2,-1+SUMPRODUCT(MAX(ROW(E1041:E$2)*(E1042=E1041:E$2)))))</f>
        <v> </v>
      </c>
      <c r="J1042" s="25" t="str">
        <f>IF(OR(E1042="",E1042="!!!",F1042="NEW"),"",COUNTBLANK(OFFSET(A$1,,,SUMPRODUCT(MAX(ROW(E$2:E1042)*(E1042=E$2:E1042)))))-COUNTBLANK(OFFSET(A$1,,,SUMPRODUCT(MAX(ROW(E$1:E1041)*(E2=E$1:E1041))))))</f>
        <v> </v>
      </c>
      <c r="K1042" s="25" t="str">
        <f>IF(OR(E1042="",E1042="!!!",F1042="NEW"),"",INDEX(J$1:J1041,SUMPRODUCT(MAX(ROW(E$1:E1041)*(E1042=E$1:E1041)))))</f>
        <v> </v>
      </c>
      <c r="L1042" s="26"/>
    </row>
    <row r="1043" spans="1:12">
      <c r="A1043" s="20" t="s">
        <v>255</v>
      </c>
      <c r="B1043" s="27" t="s">
        <v>276</v>
      </c>
      <c r="C1043" s="27" t="s">
        <v>257</v>
      </c>
      <c r="D1043" s="27" t="s">
        <v>258</v>
      </c>
      <c r="E1043" s="21">
        <f>IF(D1043="?OLD","!!!","")</f>
        <v/>
      </c>
      <c r="F1043" s="22" t="str">
        <f>IF(OR(E1043="",E1043="!!!"),"",IF(NOT(ISNA(VLOOKUP(E1043,E$1:E1042,1,FALSE()))),"OLD",IF(AND(E1043&lt;&gt;"",E1043&lt;&gt;"!!!"),"NEW","")))</f>
        <v> </v>
      </c>
      <c r="G1043" s="23" t="str">
        <f>IF(OR(E1043="",E1043="!!!"),"",IF(OR(J1043=0,AND(J1043=1,K1043=1),AND(J1043=1,I1043="SBJ"),AND(J1043=1,I1043=0)),"?IN_FOCUS",IF(J1043&lt;=2,"?ACTIVATED",IF(J1043&lt;&gt;"","?FAMILIAR",IF(F1043="NEW",IF(ISNA(VLOOKUP(E1043,#REF!,1,FALSE())),"?TYPE_IDENTIFIABLE","?REFERENTIAL"),"_")))))</f>
        <v> </v>
      </c>
      <c r="H1043" s="24" t="str">
        <f>IF(J1043&lt;&gt;1,"",IF(I1043="SBJ","CB","?"))</f>
        <v> </v>
      </c>
      <c r="I1043" s="25" t="str">
        <f>IF(OR(E1043="",E1043="!!!",F1043="NEW"),"",INDEX(B1042:B$2,-1+SUMPRODUCT(MAX(ROW(E1042:E$2)*(E1043=E1042:E$2)))))</f>
        <v> </v>
      </c>
      <c r="J1043" s="25" t="str">
        <f>IF(OR(E1043="",E1043="!!!",F1043="NEW"),"",COUNTBLANK(OFFSET(A$1,,,SUMPRODUCT(MAX(ROW(E$2:E1043)*(E1043=E$2:E1043)))))-COUNTBLANK(OFFSET(A$1,,,SUMPRODUCT(MAX(ROW(E$1:E1042)*(E2=E$1:E1042))))))</f>
        <v> </v>
      </c>
      <c r="K1043" s="25" t="str">
        <f>IF(OR(E1043="",E1043="!!!",F1043="NEW"),"",INDEX(J$1:J1042,SUMPRODUCT(MAX(ROW(E$1:E1042)*(E1043=E$1:E1042)))))</f>
        <v> </v>
      </c>
      <c r="L1043" s="26"/>
    </row>
    <row r="1044" spans="1:12">
      <c r="A1044" s="20" t="s">
        <v>259</v>
      </c>
      <c r="E1044" s="21">
        <f>IF(D1044="?OLD","!!!","")</f>
        <v/>
      </c>
      <c r="F1044" s="22" t="str">
        <f>IF(OR(E1044="",E1044="!!!"),"",IF(NOT(ISNA(VLOOKUP(E1044,E$1:E1043,1,FALSE()))),"OLD",IF(AND(E1044&lt;&gt;"",E1044&lt;&gt;"!!!"),"NEW","")))</f>
        <v> </v>
      </c>
      <c r="G1044" s="23" t="str">
        <f>IF(OR(E1044="",E1044="!!!"),"",IF(OR(J1044=0,AND(J1044=1,K1044=1),AND(J1044=1,I1044="SBJ"),AND(J1044=1,I1044=0)),"?IN_FOCUS",IF(J1044&lt;=2,"?ACTIVATED",IF(J1044&lt;&gt;"","?FAMILIAR",IF(F1044="NEW",IF(ISNA(VLOOKUP(E1044,#REF!,1,FALSE())),"?TYPE_IDENTIFIABLE","?REFERENTIAL"),"_")))))</f>
        <v> </v>
      </c>
      <c r="H1044" s="24" t="str">
        <f>IF(J1044&lt;&gt;1,"",IF(I1044="SBJ","CB","?"))</f>
        <v> </v>
      </c>
      <c r="I1044" s="25" t="str">
        <f>IF(OR(E1044="",E1044="!!!",F1044="NEW"),"",INDEX(B1043:B$2,-1+SUMPRODUCT(MAX(ROW(E1043:E$2)*(E1044=E1043:E$2)))))</f>
        <v> </v>
      </c>
      <c r="J1044" s="25" t="str">
        <f>IF(OR(E1044="",E1044="!!!",F1044="NEW"),"",COUNTBLANK(OFFSET(A$1,,,SUMPRODUCT(MAX(ROW(E$2:E1044)*(E1044=E$2:E1044)))))-COUNTBLANK(OFFSET(A$1,,,SUMPRODUCT(MAX(ROW(E$1:E1043)*(E2=E$1:E1043))))))</f>
        <v> </v>
      </c>
      <c r="K1044" s="25" t="str">
        <f>IF(OR(E1044="",E1044="!!!",F1044="NEW"),"",INDEX(J$1:J1043,SUMPRODUCT(MAX(ROW(E$1:E1043)*(E1044=E$1:E1043)))))</f>
        <v> </v>
      </c>
      <c r="L1044" s="26"/>
    </row>
    <row r="1045" spans="1:12">
      <c r="A1045" s="20" t="s">
        <v>43</v>
      </c>
      <c r="E1045" s="21">
        <f>IF(D1045="?OLD","!!!","")</f>
        <v/>
      </c>
      <c r="F1045" s="22" t="str">
        <f>IF(OR(E1045="",E1045="!!!"),"",IF(NOT(ISNA(VLOOKUP(E1045,E$1:E1044,1,FALSE()))),"OLD",IF(AND(E1045&lt;&gt;"",E1045&lt;&gt;"!!!"),"NEW","")))</f>
        <v> </v>
      </c>
      <c r="G1045" s="23" t="str">
        <f>IF(OR(E1045="",E1045="!!!"),"",IF(OR(J1045=0,AND(J1045=1,K1045=1),AND(J1045=1,I1045="SBJ"),AND(J1045=1,I1045=0)),"?IN_FOCUS",IF(J1045&lt;=2,"?ACTIVATED",IF(J1045&lt;&gt;"","?FAMILIAR",IF(F1045="NEW",IF(ISNA(VLOOKUP(E1045,#REF!,1,FALSE())),"?TYPE_IDENTIFIABLE","?REFERENTIAL"),"_")))))</f>
        <v> </v>
      </c>
      <c r="H1045" s="24" t="str">
        <f>IF(J1045&lt;&gt;1,"",IF(I1045="SBJ","CB","?"))</f>
        <v> </v>
      </c>
      <c r="I1045" s="25" t="str">
        <f>IF(OR(E1045="",E1045="!!!",F1045="NEW"),"",INDEX(B1044:B$2,-1+SUMPRODUCT(MAX(ROW(E1044:E$2)*(E1045=E1044:E$2)))))</f>
        <v> </v>
      </c>
      <c r="J1045" s="25" t="str">
        <f>IF(OR(E1045="",E1045="!!!",F1045="NEW"),"",COUNTBLANK(OFFSET(A$1,,,SUMPRODUCT(MAX(ROW(E$2:E1045)*(E1045=E$2:E1045)))))-COUNTBLANK(OFFSET(A$1,,,SUMPRODUCT(MAX(ROW(E$1:E1044)*(E2=E$1:E1044))))))</f>
        <v> </v>
      </c>
      <c r="K1045" s="25" t="str">
        <f>IF(OR(E1045="",E1045="!!!",F1045="NEW"),"",INDEX(J$1:J1044,SUMPRODUCT(MAX(ROW(E$1:E1044)*(E1045=E$1:E1044)))))</f>
        <v> </v>
      </c>
      <c r="L1045" s="26"/>
    </row>
    <row r="1046" spans="1:12">
      <c r="A1046" s="20" t="s">
        <v>381</v>
      </c>
      <c r="E1046" s="21">
        <f>IF(D1046="?OLD","!!!","")</f>
        <v/>
      </c>
      <c r="F1046" s="22" t="str">
        <f>IF(OR(E1046="",E1046="!!!"),"",IF(NOT(ISNA(VLOOKUP(E1046,E$1:E1045,1,FALSE()))),"OLD",IF(AND(E1046&lt;&gt;"",E1046&lt;&gt;"!!!"),"NEW","")))</f>
        <v> </v>
      </c>
      <c r="G1046" s="23" t="str">
        <f>IF(OR(E1046="",E1046="!!!"),"",IF(OR(J1046=0,AND(J1046=1,K1046=1),AND(J1046=1,I1046="SBJ"),AND(J1046=1,I1046=0)),"?IN_FOCUS",IF(J1046&lt;=2,"?ACTIVATED",IF(J1046&lt;&gt;"","?FAMILIAR",IF(F1046="NEW",IF(ISNA(VLOOKUP(E1046,#REF!,1,FALSE())),"?TYPE_IDENTIFIABLE","?REFERENTIAL"),"_")))))</f>
        <v> </v>
      </c>
      <c r="H1046" s="24" t="str">
        <f>IF(J1046&lt;&gt;1,"",IF(I1046="SBJ","CB","?"))</f>
        <v> </v>
      </c>
      <c r="I1046" s="25" t="str">
        <f>IF(OR(E1046="",E1046="!!!",F1046="NEW"),"",INDEX(B1045:B$2,-1+SUMPRODUCT(MAX(ROW(E1045:E$2)*(E1046=E1045:E$2)))))</f>
        <v> </v>
      </c>
      <c r="J1046" s="25" t="str">
        <f>IF(OR(E1046="",E1046="!!!",F1046="NEW"),"",COUNTBLANK(OFFSET(A$1,,,SUMPRODUCT(MAX(ROW(E$2:E1046)*(E1046=E$2:E1046)))))-COUNTBLANK(OFFSET(A$1,,,SUMPRODUCT(MAX(ROW(E$1:E1045)*(E2=E$1:E1045))))))</f>
        <v> </v>
      </c>
      <c r="K1046" s="25" t="str">
        <f>IF(OR(E1046="",E1046="!!!",F1046="NEW"),"",INDEX(J$1:J1045,SUMPRODUCT(MAX(ROW(E$1:E1045)*(E1046=E$1:E1045)))))</f>
        <v> </v>
      </c>
      <c r="L1046" s="26"/>
    </row>
    <row r="1047" spans="1:12">
      <c r="A1047" s="20" t="s">
        <v>271</v>
      </c>
      <c r="E1047" s="21">
        <f>IF(D1047="?OLD","!!!","")</f>
        <v/>
      </c>
      <c r="F1047" s="22" t="str">
        <f>IF(OR(E1047="",E1047="!!!"),"",IF(NOT(ISNA(VLOOKUP(E1047,E$1:E1046,1,FALSE()))),"OLD",IF(AND(E1047&lt;&gt;"",E1047&lt;&gt;"!!!"),"NEW","")))</f>
        <v> </v>
      </c>
      <c r="G1047" s="23" t="str">
        <f>IF(OR(E1047="",E1047="!!!"),"",IF(OR(J1047=0,AND(J1047=1,K1047=1),AND(J1047=1,I1047="SBJ"),AND(J1047=1,I1047=0)),"?IN_FOCUS",IF(J1047&lt;=2,"?ACTIVATED",IF(J1047&lt;&gt;"","?FAMILIAR",IF(F1047="NEW",IF(ISNA(VLOOKUP(E1047,#REF!,1,FALSE())),"?TYPE_IDENTIFIABLE","?REFERENTIAL"),"_")))))</f>
        <v> </v>
      </c>
      <c r="H1047" s="24" t="str">
        <f>IF(J1047&lt;&gt;1,"",IF(I1047="SBJ","CB","?"))</f>
        <v> </v>
      </c>
      <c r="I1047" s="25" t="str">
        <f>IF(OR(E1047="",E1047="!!!",F1047="NEW"),"",INDEX(B1046:B$2,-1+SUMPRODUCT(MAX(ROW(E1046:E$2)*(E1047=E1046:E$2)))))</f>
        <v> </v>
      </c>
      <c r="J1047" s="25" t="str">
        <f>IF(OR(E1047="",E1047="!!!",F1047="NEW"),"",COUNTBLANK(OFFSET(A$1,,,SUMPRODUCT(MAX(ROW(E$2:E1047)*(E1047=E$2:E1047)))))-COUNTBLANK(OFFSET(A$1,,,SUMPRODUCT(MAX(ROW(E$1:E1046)*(E2=E$1:E1046))))))</f>
        <v> </v>
      </c>
      <c r="K1047" s="25" t="str">
        <f>IF(OR(E1047="",E1047="!!!",F1047="NEW"),"",INDEX(J$1:J1046,SUMPRODUCT(MAX(ROW(E$1:E1046)*(E1047=E$1:E1046)))))</f>
        <v> </v>
      </c>
      <c r="L1047" s="26"/>
    </row>
    <row r="1048" spans="1:12">
      <c r="A1048" s="20" t="s">
        <v>311</v>
      </c>
      <c r="E1048" s="21">
        <f>IF(D1048="?OLD","!!!","")</f>
        <v/>
      </c>
      <c r="F1048" s="22" t="str">
        <f>IF(OR(E1048="",E1048="!!!"),"",IF(NOT(ISNA(VLOOKUP(E1048,E$1:E1047,1,FALSE()))),"OLD",IF(AND(E1048&lt;&gt;"",E1048&lt;&gt;"!!!"),"NEW","")))</f>
        <v> </v>
      </c>
      <c r="G1048" s="23" t="str">
        <f>IF(OR(E1048="",E1048="!!!"),"",IF(OR(J1048=0,AND(J1048=1,K1048=1),AND(J1048=1,I1048="SBJ"),AND(J1048=1,I1048=0)),"?IN_FOCUS",IF(J1048&lt;=2,"?ACTIVATED",IF(J1048&lt;&gt;"","?FAMILIAR",IF(F1048="NEW",IF(ISNA(VLOOKUP(E1048,#REF!,1,FALSE())),"?TYPE_IDENTIFIABLE","?REFERENTIAL"),"_")))))</f>
        <v> </v>
      </c>
      <c r="H1048" s="24" t="str">
        <f>IF(J1048&lt;&gt;1,"",IF(I1048="SBJ","CB","?"))</f>
        <v> </v>
      </c>
      <c r="I1048" s="25" t="str">
        <f>IF(OR(E1048="",E1048="!!!",F1048="NEW"),"",INDEX(B1047:B$2,-1+SUMPRODUCT(MAX(ROW(E1047:E$2)*(E1048=E1047:E$2)))))</f>
        <v> </v>
      </c>
      <c r="J1048" s="25" t="str">
        <f>IF(OR(E1048="",E1048="!!!",F1048="NEW"),"",COUNTBLANK(OFFSET(A$1,,,SUMPRODUCT(MAX(ROW(E$2:E1048)*(E1048=E$2:E1048)))))-COUNTBLANK(OFFSET(A$1,,,SUMPRODUCT(MAX(ROW(E$1:E1047)*(E2=E$1:E1047))))))</f>
        <v> </v>
      </c>
      <c r="K1048" s="25" t="str">
        <f>IF(OR(E1048="",E1048="!!!",F1048="NEW"),"",INDEX(J$1:J1047,SUMPRODUCT(MAX(ROW(E$1:E1047)*(E1048=E$1:E1047)))))</f>
        <v> </v>
      </c>
      <c r="L1048" s="26"/>
    </row>
    <row r="1049" spans="1:12">
      <c r="A1049" s="20" t="s">
        <v>327</v>
      </c>
      <c r="E1049" s="21">
        <f>IF(D1049="?OLD","!!!","")</f>
        <v/>
      </c>
      <c r="F1049" s="22" t="str">
        <f>IF(OR(E1049="",E1049="!!!"),"",IF(NOT(ISNA(VLOOKUP(E1049,E$1:E1048,1,FALSE()))),"OLD",IF(AND(E1049&lt;&gt;"",E1049&lt;&gt;"!!!"),"NEW","")))</f>
        <v> </v>
      </c>
      <c r="G1049" s="23" t="str">
        <f>IF(OR(E1049="",E1049="!!!"),"",IF(OR(J1049=0,AND(J1049=1,K1049=1),AND(J1049=1,I1049="SBJ"),AND(J1049=1,I1049=0)),"?IN_FOCUS",IF(J1049&lt;=2,"?ACTIVATED",IF(J1049&lt;&gt;"","?FAMILIAR",IF(F1049="NEW",IF(ISNA(VLOOKUP(E1049,#REF!,1,FALSE())),"?TYPE_IDENTIFIABLE","?REFERENTIAL"),"_")))))</f>
        <v> </v>
      </c>
      <c r="H1049" s="24" t="str">
        <f>IF(J1049&lt;&gt;1,"",IF(I1049="SBJ","CB","?"))</f>
        <v> </v>
      </c>
      <c r="I1049" s="25" t="str">
        <f>IF(OR(E1049="",E1049="!!!",F1049="NEW"),"",INDEX(B1048:B$2,-1+SUMPRODUCT(MAX(ROW(E1048:E$2)*(E1049=E1048:E$2)))))</f>
        <v> </v>
      </c>
      <c r="J1049" s="25" t="str">
        <f>IF(OR(E1049="",E1049="!!!",F1049="NEW"),"",COUNTBLANK(OFFSET(A$1,,,SUMPRODUCT(MAX(ROW(E$2:E1049)*(E1049=E$2:E1049)))))-COUNTBLANK(OFFSET(A$1,,,SUMPRODUCT(MAX(ROW(E$1:E1048)*(E2=E$1:E1048))))))</f>
        <v> </v>
      </c>
      <c r="K1049" s="25" t="str">
        <f>IF(OR(E1049="",E1049="!!!",F1049="NEW"),"",INDEX(J$1:J1048,SUMPRODUCT(MAX(ROW(E$1:E1048)*(E1049=E$1:E1048)))))</f>
        <v> </v>
      </c>
      <c r="L1049" s="26"/>
    </row>
    <row r="1050" spans="1:12">
      <c r="A1050" s="20" t="s">
        <v>381</v>
      </c>
      <c r="E1050" s="21">
        <f>IF(D1050="?OLD","!!!","")</f>
        <v/>
      </c>
      <c r="F1050" s="22" t="str">
        <f>IF(OR(E1050="",E1050="!!!"),"",IF(NOT(ISNA(VLOOKUP(E1050,E$1:E1049,1,FALSE()))),"OLD",IF(AND(E1050&lt;&gt;"",E1050&lt;&gt;"!!!"),"NEW","")))</f>
        <v> </v>
      </c>
      <c r="G1050" s="23" t="str">
        <f>IF(OR(E1050="",E1050="!!!"),"",IF(OR(J1050=0,AND(J1050=1,K1050=1),AND(J1050=1,I1050="SBJ"),AND(J1050=1,I1050=0)),"?IN_FOCUS",IF(J1050&lt;=2,"?ACTIVATED",IF(J1050&lt;&gt;"","?FAMILIAR",IF(F1050="NEW",IF(ISNA(VLOOKUP(E1050,#REF!,1,FALSE())),"?TYPE_IDENTIFIABLE","?REFERENTIAL"),"_")))))</f>
        <v> </v>
      </c>
      <c r="H1050" s="24" t="str">
        <f>IF(J1050&lt;&gt;1,"",IF(I1050="SBJ","CB","?"))</f>
        <v> </v>
      </c>
      <c r="I1050" s="25" t="str">
        <f>IF(OR(E1050="",E1050="!!!",F1050="NEW"),"",INDEX(B1049:B$2,-1+SUMPRODUCT(MAX(ROW(E1049:E$2)*(E1050=E1049:E$2)))))</f>
        <v> </v>
      </c>
      <c r="J1050" s="25" t="str">
        <f>IF(OR(E1050="",E1050="!!!",F1050="NEW"),"",COUNTBLANK(OFFSET(A$1,,,SUMPRODUCT(MAX(ROW(E$2:E1050)*(E1050=E$2:E1050)))))-COUNTBLANK(OFFSET(A$1,,,SUMPRODUCT(MAX(ROW(E$1:E1049)*(E2=E$1:E1049))))))</f>
        <v> </v>
      </c>
      <c r="K1050" s="25" t="str">
        <f>IF(OR(E1050="",E1050="!!!",F1050="NEW"),"",INDEX(J$1:J1049,SUMPRODUCT(MAX(ROW(E$1:E1049)*(E1050=E$1:E1049)))))</f>
        <v> </v>
      </c>
      <c r="L1050" s="26"/>
    </row>
    <row r="1051" spans="1:12">
      <c r="A1051" s="20" t="s">
        <v>410</v>
      </c>
      <c r="E1051" s="21">
        <f>IF(D1051="?OLD","!!!","")</f>
        <v/>
      </c>
      <c r="F1051" s="22" t="str">
        <f>IF(OR(E1051="",E1051="!!!"),"",IF(NOT(ISNA(VLOOKUP(E1051,E$1:E1050,1,FALSE()))),"OLD",IF(AND(E1051&lt;&gt;"",E1051&lt;&gt;"!!!"),"NEW","")))</f>
        <v> </v>
      </c>
      <c r="G1051" s="23" t="str">
        <f>IF(OR(E1051="",E1051="!!!"),"",IF(OR(J1051=0,AND(J1051=1,K1051=1),AND(J1051=1,I1051="SBJ"),AND(J1051=1,I1051=0)),"?IN_FOCUS",IF(J1051&lt;=2,"?ACTIVATED",IF(J1051&lt;&gt;"","?FAMILIAR",IF(F1051="NEW",IF(ISNA(VLOOKUP(E1051,#REF!,1,FALSE())),"?TYPE_IDENTIFIABLE","?REFERENTIAL"),"_")))))</f>
        <v> </v>
      </c>
      <c r="H1051" s="24" t="str">
        <f>IF(J1051&lt;&gt;1,"",IF(I1051="SBJ","CB","?"))</f>
        <v> </v>
      </c>
      <c r="I1051" s="25" t="str">
        <f>IF(OR(E1051="",E1051="!!!",F1051="NEW"),"",INDEX(B1050:B$2,-1+SUMPRODUCT(MAX(ROW(E1050:E$2)*(E1051=E1050:E$2)))))</f>
        <v> </v>
      </c>
      <c r="J1051" s="25" t="str">
        <f>IF(OR(E1051="",E1051="!!!",F1051="NEW"),"",COUNTBLANK(OFFSET(A$1,,,SUMPRODUCT(MAX(ROW(E$2:E1051)*(E1051=E$2:E1051)))))-COUNTBLANK(OFFSET(A$1,,,SUMPRODUCT(MAX(ROW(E$1:E1050)*(E2=E$1:E1050))))))</f>
        <v> </v>
      </c>
      <c r="K1051" s="25" t="str">
        <f>IF(OR(E1051="",E1051="!!!",F1051="NEW"),"",INDEX(J$1:J1050,SUMPRODUCT(MAX(ROW(E$1:E1050)*(E1051=E$1:E1050)))))</f>
        <v> </v>
      </c>
      <c r="L1051" s="26"/>
    </row>
    <row r="1052" spans="1:12">
      <c r="A1052" s="20" t="s">
        <v>329</v>
      </c>
      <c r="E1052" s="21">
        <f>IF(D1052="?OLD","!!!","")</f>
        <v/>
      </c>
      <c r="F1052" s="22" t="str">
        <f>IF(OR(E1052="",E1052="!!!"),"",IF(NOT(ISNA(VLOOKUP(E1052,E$1:E1051,1,FALSE()))),"OLD",IF(AND(E1052&lt;&gt;"",E1052&lt;&gt;"!!!"),"NEW","")))</f>
        <v> </v>
      </c>
      <c r="G1052" s="23" t="str">
        <f>IF(OR(E1052="",E1052="!!!"),"",IF(OR(J1052=0,AND(J1052=1,K1052=1),AND(J1052=1,I1052="SBJ"),AND(J1052=1,I1052=0)),"?IN_FOCUS",IF(J1052&lt;=2,"?ACTIVATED",IF(J1052&lt;&gt;"","?FAMILIAR",IF(F1052="NEW",IF(ISNA(VLOOKUP(E1052,#REF!,1,FALSE())),"?TYPE_IDENTIFIABLE","?REFERENTIAL"),"_")))))</f>
        <v> </v>
      </c>
      <c r="H1052" s="24" t="str">
        <f>IF(J1052&lt;&gt;1,"",IF(I1052="SBJ","CB","?"))</f>
        <v> </v>
      </c>
      <c r="I1052" s="25" t="str">
        <f>IF(OR(E1052="",E1052="!!!",F1052="NEW"),"",INDEX(B1051:B$2,-1+SUMPRODUCT(MAX(ROW(E1051:E$2)*(E1052=E1051:E$2)))))</f>
        <v> </v>
      </c>
      <c r="J1052" s="25" t="str">
        <f>IF(OR(E1052="",E1052="!!!",F1052="NEW"),"",COUNTBLANK(OFFSET(A$1,,,SUMPRODUCT(MAX(ROW(E$2:E1052)*(E1052=E$2:E1052)))))-COUNTBLANK(OFFSET(A$1,,,SUMPRODUCT(MAX(ROW(E$1:E1051)*(E2=E$1:E1051))))))</f>
        <v> </v>
      </c>
      <c r="K1052" s="25" t="str">
        <f>IF(OR(E1052="",E1052="!!!",F1052="NEW"),"",INDEX(J$1:J1051,SUMPRODUCT(MAX(ROW(E$1:E1051)*(E1052=E$1:E1051)))))</f>
        <v> </v>
      </c>
      <c r="L1052" s="26"/>
    </row>
    <row r="1053" spans="1:12">
      <c r="A1053" s="20" t="s">
        <v>457</v>
      </c>
      <c r="E1053" s="21">
        <f>IF(D1053="?OLD","!!!","")</f>
        <v/>
      </c>
      <c r="F1053" s="22" t="str">
        <f>IF(OR(E1053="",E1053="!!!"),"",IF(NOT(ISNA(VLOOKUP(E1053,E$1:E1052,1,FALSE()))),"OLD",IF(AND(E1053&lt;&gt;"",E1053&lt;&gt;"!!!"),"NEW","")))</f>
        <v> </v>
      </c>
      <c r="G1053" s="23" t="str">
        <f>IF(OR(E1053="",E1053="!!!"),"",IF(OR(J1053=0,AND(J1053=1,K1053=1),AND(J1053=1,I1053="SBJ"),AND(J1053=1,I1053=0)),"?IN_FOCUS",IF(J1053&lt;=2,"?ACTIVATED",IF(J1053&lt;&gt;"","?FAMILIAR",IF(F1053="NEW",IF(ISNA(VLOOKUP(E1053,#REF!,1,FALSE())),"?TYPE_IDENTIFIABLE","?REFERENTIAL"),"_")))))</f>
        <v> </v>
      </c>
      <c r="H1053" s="24" t="str">
        <f>IF(J1053&lt;&gt;1,"",IF(I1053="SBJ","CB","?"))</f>
        <v> </v>
      </c>
      <c r="I1053" s="25" t="str">
        <f>IF(OR(E1053="",E1053="!!!",F1053="NEW"),"",INDEX(B1052:B$2,-1+SUMPRODUCT(MAX(ROW(E1052:E$2)*(E1053=E1052:E$2)))))</f>
        <v> </v>
      </c>
      <c r="J1053" s="25" t="str">
        <f>IF(OR(E1053="",E1053="!!!",F1053="NEW"),"",COUNTBLANK(OFFSET(A$1,,,SUMPRODUCT(MAX(ROW(E$2:E1053)*(E1053=E$2:E1053)))))-COUNTBLANK(OFFSET(A$1,,,SUMPRODUCT(MAX(ROW(E$1:E1052)*(E2=E$1:E1052))))))</f>
        <v> </v>
      </c>
      <c r="K1053" s="25" t="str">
        <f>IF(OR(E1053="",E1053="!!!",F1053="NEW"),"",INDEX(J$1:J1052,SUMPRODUCT(MAX(ROW(E$1:E1052)*(E1053=E$1:E1052)))))</f>
        <v> </v>
      </c>
      <c r="L1053" s="26"/>
    </row>
    <row r="1054" spans="1:12">
      <c r="A1054" s="20" t="s">
        <v>637</v>
      </c>
      <c r="B1054" s="27" t="s">
        <v>267</v>
      </c>
      <c r="C1054" s="27" t="s">
        <v>334</v>
      </c>
      <c r="E1054" s="21">
        <f>IF(D1054="?OLD","!!!","")</f>
        <v/>
      </c>
      <c r="F1054" s="22" t="str">
        <f>IF(OR(E1054="",E1054="!!!"),"",IF(NOT(ISNA(VLOOKUP(E1054,E$1:E1053,1,FALSE()))),"OLD",IF(AND(E1054&lt;&gt;"",E1054&lt;&gt;"!!!"),"NEW","")))</f>
        <v> </v>
      </c>
      <c r="G1054" s="23" t="str">
        <f>IF(OR(E1054="",E1054="!!!"),"",IF(OR(J1054=0,AND(J1054=1,K1054=1),AND(J1054=1,I1054="SBJ"),AND(J1054=1,I1054=0)),"?IN_FOCUS",IF(J1054&lt;=2,"?ACTIVATED",IF(J1054&lt;&gt;"","?FAMILIAR",IF(F1054="NEW",IF(ISNA(VLOOKUP(E1054,#REF!,1,FALSE())),"?TYPE_IDENTIFIABLE","?REFERENTIAL"),"_")))))</f>
        <v> </v>
      </c>
      <c r="H1054" s="24" t="str">
        <f>IF(J1054&lt;&gt;1,"",IF(I1054="SBJ","CB","?"))</f>
        <v> </v>
      </c>
      <c r="I1054" s="25" t="str">
        <f>IF(OR(E1054="",E1054="!!!",F1054="NEW"),"",INDEX(B1053:B$2,-1+SUMPRODUCT(MAX(ROW(E1053:E$2)*(E1054=E1053:E$2)))))</f>
        <v> </v>
      </c>
      <c r="J1054" s="25" t="str">
        <f>IF(OR(E1054="",E1054="!!!",F1054="NEW"),"",COUNTBLANK(OFFSET(A$1,,,SUMPRODUCT(MAX(ROW(E$2:E1054)*(E1054=E$2:E1054)))))-COUNTBLANK(OFFSET(A$1,,,SUMPRODUCT(MAX(ROW(E$1:E1053)*(E2=E$1:E1053))))))</f>
        <v> </v>
      </c>
      <c r="K1054" s="25" t="str">
        <f>IF(OR(E1054="",E1054="!!!",F1054="NEW"),"",INDEX(J$1:J1053,SUMPRODUCT(MAX(ROW(E$1:E1053)*(E1054=E$1:E1053)))))</f>
        <v> </v>
      </c>
      <c r="L1054" s="26"/>
    </row>
    <row r="1055" spans="1:12">
      <c r="A1055" s="20" t="s">
        <v>320</v>
      </c>
      <c r="E1055" s="21">
        <f>IF(D1055="?OLD","!!!","")</f>
        <v/>
      </c>
      <c r="F1055" s="22" t="str">
        <f>IF(OR(E1055="",E1055="!!!"),"",IF(NOT(ISNA(VLOOKUP(E1055,E$1:E1054,1,FALSE()))),"OLD",IF(AND(E1055&lt;&gt;"",E1055&lt;&gt;"!!!"),"NEW","")))</f>
        <v> </v>
      </c>
      <c r="G1055" s="23" t="str">
        <f>IF(OR(E1055="",E1055="!!!"),"",IF(OR(J1055=0,AND(J1055=1,K1055=1),AND(J1055=1,I1055="SBJ"),AND(J1055=1,I1055=0)),"?IN_FOCUS",IF(J1055&lt;=2,"?ACTIVATED",IF(J1055&lt;&gt;"","?FAMILIAR",IF(F1055="NEW",IF(ISNA(VLOOKUP(E1055,#REF!,1,FALSE())),"?TYPE_IDENTIFIABLE","?REFERENTIAL"),"_")))))</f>
        <v> </v>
      </c>
      <c r="H1055" s="24" t="str">
        <f>IF(J1055&lt;&gt;1,"",IF(I1055="SBJ","CB","?"))</f>
        <v> </v>
      </c>
      <c r="I1055" s="25" t="str">
        <f>IF(OR(E1055="",E1055="!!!",F1055="NEW"),"",INDEX(B1054:B$2,-1+SUMPRODUCT(MAX(ROW(E1054:E$2)*(E1055=E1054:E$2)))))</f>
        <v> </v>
      </c>
      <c r="J1055" s="25" t="str">
        <f>IF(OR(E1055="",E1055="!!!",F1055="NEW"),"",COUNTBLANK(OFFSET(A$1,,,SUMPRODUCT(MAX(ROW(E$2:E1055)*(E1055=E$2:E1055)))))-COUNTBLANK(OFFSET(A$1,,,SUMPRODUCT(MAX(ROW(E$1:E1054)*(E2=E$1:E1054))))))</f>
        <v> </v>
      </c>
      <c r="K1055" s="25" t="str">
        <f>IF(OR(E1055="",E1055="!!!",F1055="NEW"),"",INDEX(J$1:J1054,SUMPRODUCT(MAX(ROW(E$1:E1054)*(E1055=E$1:E1054)))))</f>
        <v> </v>
      </c>
      <c r="L1055" s="26"/>
    </row>
    <row r="1056" spans="1:12">
      <c r="A1056" s="20"/>
    </row>
    <row r="1057" spans="1:12">
      <c r="A1057" s="20" t="s">
        <v>638</v>
      </c>
    </row>
    <row r="1058" spans="1:12">
      <c r="A1058" s="20" t="s">
        <v>480</v>
      </c>
      <c r="E1058" s="21">
        <f>IF(D1058="?OLD","!!!","")</f>
        <v/>
      </c>
      <c r="F1058" s="22" t="str">
        <f>IF(OR(E1058="",E1058="!!!"),"",IF(NOT(ISNA(VLOOKUP(E1058,E$1:E1057,1,FALSE()))),"OLD",IF(AND(E1058&lt;&gt;"",E1058&lt;&gt;"!!!"),"NEW","")))</f>
        <v> </v>
      </c>
      <c r="G1058" s="23" t="str">
        <f>IF(OR(E1058="",E1058="!!!"),"",IF(OR(J1058=0,AND(J1058=1,K1058=1),AND(J1058=1,I1058="SBJ"),AND(J1058=1,I1058=0)),"?IN_FOCUS",IF(J1058&lt;=2,"?ACTIVATED",IF(J1058&lt;&gt;"","?FAMILIAR",IF(F1058="NEW",IF(ISNA(VLOOKUP(E1058,#REF!,1,FALSE())),"?TYPE_IDENTIFIABLE","?REFERENTIAL"),"_")))))</f>
        <v> </v>
      </c>
      <c r="H1058" s="24" t="str">
        <f>IF(J1058&lt;&gt;1,"",IF(I1058="SBJ","CB","?"))</f>
        <v> </v>
      </c>
      <c r="I1058" s="25" t="str">
        <f>IF(OR(E1058="",E1058="!!!",F1058="NEW"),"",INDEX(B1057:B$2,-1+SUMPRODUCT(MAX(ROW(E1057:E$2)*(E1058=E1057:E$2)))))</f>
        <v> </v>
      </c>
      <c r="J1058" s="25" t="str">
        <f>IF(OR(E1058="",E1058="!!!",F1058="NEW"),"",COUNTBLANK(OFFSET(A$1,,,SUMPRODUCT(MAX(ROW(E$2:E1058)*(E1058=E$2:E1058)))))-COUNTBLANK(OFFSET(A$1,,,SUMPRODUCT(MAX(ROW(E$1:E1057)*(E2=E$1:E1057))))))</f>
        <v> </v>
      </c>
      <c r="K1058" s="25" t="str">
        <f>IF(OR(E1058="",E1058="!!!",F1058="NEW"),"",INDEX(J$1:J1057,SUMPRODUCT(MAX(ROW(E$1:E1057)*(E1058=E$1:E1057)))))</f>
        <v> </v>
      </c>
      <c r="L1058" s="26"/>
    </row>
    <row r="1059" spans="1:12">
      <c r="A1059" s="20" t="s">
        <v>274</v>
      </c>
      <c r="E1059" s="21">
        <f>IF(D1059="?OLD","!!!","")</f>
        <v/>
      </c>
      <c r="F1059" s="22" t="str">
        <f>IF(OR(E1059="",E1059="!!!"),"",IF(NOT(ISNA(VLOOKUP(E1059,E$1:E1058,1,FALSE()))),"OLD",IF(AND(E1059&lt;&gt;"",E1059&lt;&gt;"!!!"),"NEW","")))</f>
        <v> </v>
      </c>
      <c r="G1059" s="23" t="str">
        <f>IF(OR(E1059="",E1059="!!!"),"",IF(OR(J1059=0,AND(J1059=1,K1059=1),AND(J1059=1,I1059="SBJ"),AND(J1059=1,I1059=0)),"?IN_FOCUS",IF(J1059&lt;=2,"?ACTIVATED",IF(J1059&lt;&gt;"","?FAMILIAR",IF(F1059="NEW",IF(ISNA(VLOOKUP(E1059,#REF!,1,FALSE())),"?TYPE_IDENTIFIABLE","?REFERENTIAL"),"_")))))</f>
        <v> </v>
      </c>
      <c r="H1059" s="24" t="str">
        <f>IF(J1059&lt;&gt;1,"",IF(I1059="SBJ","CB","?"))</f>
        <v> </v>
      </c>
      <c r="I1059" s="25" t="str">
        <f>IF(OR(E1059="",E1059="!!!",F1059="NEW"),"",INDEX(B1058:B$2,-1+SUMPRODUCT(MAX(ROW(E1058:E$2)*(E1059=E1058:E$2)))))</f>
        <v> </v>
      </c>
      <c r="J1059" s="25" t="str">
        <f>IF(OR(E1059="",E1059="!!!",F1059="NEW"),"",COUNTBLANK(OFFSET(A$1,,,SUMPRODUCT(MAX(ROW(E$2:E1059)*(E1059=E$2:E1059)))))-COUNTBLANK(OFFSET(A$1,,,SUMPRODUCT(MAX(ROW(E$1:E1058)*(E2=E$1:E1058))))))</f>
        <v> </v>
      </c>
      <c r="K1059" s="25" t="str">
        <f>IF(OR(E1059="",E1059="!!!",F1059="NEW"),"",INDEX(J$1:J1058,SUMPRODUCT(MAX(ROW(E$1:E1058)*(E1059=E$1:E1058)))))</f>
        <v> </v>
      </c>
      <c r="L1059" s="26"/>
    </row>
    <row r="1060" spans="1:12">
      <c r="A1060" s="20" t="s">
        <v>639</v>
      </c>
      <c r="B1060" s="27" t="s">
        <v>276</v>
      </c>
      <c r="C1060" s="27" t="s">
        <v>277</v>
      </c>
      <c r="D1060" s="27" t="s">
        <v>258</v>
      </c>
      <c r="E1060" s="21">
        <f>IF(D1060="?OLD","!!!","")</f>
        <v/>
      </c>
      <c r="F1060" s="22" t="str">
        <f>IF(OR(E1060="",E1060="!!!"),"",IF(NOT(ISNA(VLOOKUP(E1060,E$1:E1059,1,FALSE()))),"OLD",IF(AND(E1060&lt;&gt;"",E1060&lt;&gt;"!!!"),"NEW","")))</f>
        <v> </v>
      </c>
      <c r="G1060" s="23" t="str">
        <f>IF(OR(E1060="",E1060="!!!"),"",IF(OR(J1060=0,AND(J1060=1,K1060=1),AND(J1060=1,I1060="SBJ"),AND(J1060=1,I1060=0)),"?IN_FOCUS",IF(J1060&lt;=2,"?ACTIVATED",IF(J1060&lt;&gt;"","?FAMILIAR",IF(F1060="NEW",IF(ISNA(VLOOKUP(E1060,#REF!,1,FALSE())),"?TYPE_IDENTIFIABLE","?REFERENTIAL"),"_")))))</f>
        <v> </v>
      </c>
      <c r="H1060" s="24" t="str">
        <f>IF(J1060&lt;&gt;1,"",IF(I1060="SBJ","CB","?"))</f>
        <v> </v>
      </c>
      <c r="I1060" s="25" t="str">
        <f>IF(OR(E1060="",E1060="!!!",F1060="NEW"),"",INDEX(B1059:B$2,-1+SUMPRODUCT(MAX(ROW(E1059:E$2)*(E1060=E1059:E$2)))))</f>
        <v> </v>
      </c>
      <c r="J1060" s="25" t="str">
        <f>IF(OR(E1060="",E1060="!!!",F1060="NEW"),"",COUNTBLANK(OFFSET(A$1,,,SUMPRODUCT(MAX(ROW(E$2:E1060)*(E1060=E$2:E1060)))))-COUNTBLANK(OFFSET(A$1,,,SUMPRODUCT(MAX(ROW(E$1:E1059)*(E2=E$1:E1059))))))</f>
        <v> </v>
      </c>
      <c r="K1060" s="25" t="str">
        <f>IF(OR(E1060="",E1060="!!!",F1060="NEW"),"",INDEX(J$1:J1059,SUMPRODUCT(MAX(ROW(E$1:E1059)*(E1060=E$1:E1059)))))</f>
        <v> </v>
      </c>
      <c r="L1060" s="26"/>
    </row>
    <row r="1061" spans="1:12">
      <c r="A1061" s="20" t="s">
        <v>425</v>
      </c>
      <c r="E1061" s="21">
        <f>IF(D1061="?OLD","!!!","")</f>
        <v/>
      </c>
      <c r="F1061" s="22" t="str">
        <f>IF(OR(E1061="",E1061="!!!"),"",IF(NOT(ISNA(VLOOKUP(E1061,E$1:E1060,1,FALSE()))),"OLD",IF(AND(E1061&lt;&gt;"",E1061&lt;&gt;"!!!"),"NEW","")))</f>
        <v> </v>
      </c>
      <c r="G1061" s="23" t="str">
        <f>IF(OR(E1061="",E1061="!!!"),"",IF(OR(J1061=0,AND(J1061=1,K1061=1),AND(J1061=1,I1061="SBJ"),AND(J1061=1,I1061=0)),"?IN_FOCUS",IF(J1061&lt;=2,"?ACTIVATED",IF(J1061&lt;&gt;"","?FAMILIAR",IF(F1061="NEW",IF(ISNA(VLOOKUP(E1061,#REF!,1,FALSE())),"?TYPE_IDENTIFIABLE","?REFERENTIAL"),"_")))))</f>
        <v> </v>
      </c>
      <c r="H1061" s="24" t="str">
        <f>IF(J1061&lt;&gt;1,"",IF(I1061="SBJ","CB","?"))</f>
        <v> </v>
      </c>
      <c r="I1061" s="25" t="str">
        <f>IF(OR(E1061="",E1061="!!!",F1061="NEW"),"",INDEX(B1060:B$2,-1+SUMPRODUCT(MAX(ROW(E1060:E$2)*(E1061=E1060:E$2)))))</f>
        <v> </v>
      </c>
      <c r="J1061" s="25" t="str">
        <f>IF(OR(E1061="",E1061="!!!",F1061="NEW"),"",COUNTBLANK(OFFSET(A$1,,,SUMPRODUCT(MAX(ROW(E$2:E1061)*(E1061=E$2:E1061)))))-COUNTBLANK(OFFSET(A$1,,,SUMPRODUCT(MAX(ROW(E$1:E1060)*(E2=E$1:E1060))))))</f>
        <v> </v>
      </c>
      <c r="K1061" s="25" t="str">
        <f>IF(OR(E1061="",E1061="!!!",F1061="NEW"),"",INDEX(J$1:J1060,SUMPRODUCT(MAX(ROW(E$1:E1060)*(E1061=E$1:E1060)))))</f>
        <v> </v>
      </c>
      <c r="L1061" s="26"/>
    </row>
    <row r="1062" spans="1:12">
      <c r="A1062" s="20" t="s">
        <v>416</v>
      </c>
      <c r="B1062" s="27" t="s">
        <v>323</v>
      </c>
      <c r="C1062" s="27" t="s">
        <v>367</v>
      </c>
      <c r="D1062" s="27" t="s">
        <v>258</v>
      </c>
      <c r="E1062" s="21">
        <f>IF(D1062="?OLD","!!!","")</f>
        <v/>
      </c>
      <c r="F1062" s="22" t="str">
        <f>IF(OR(E1062="",E1062="!!!"),"",IF(NOT(ISNA(VLOOKUP(E1062,E$1:E1061,1,FALSE()))),"OLD",IF(AND(E1062&lt;&gt;"",E1062&lt;&gt;"!!!"),"NEW","")))</f>
        <v> </v>
      </c>
      <c r="G1062" s="23" t="str">
        <f>IF(OR(E1062="",E1062="!!!"),"",IF(OR(J1062=0,AND(J1062=1,K1062=1),AND(J1062=1,I1062="SBJ"),AND(J1062=1,I1062=0)),"?IN_FOCUS",IF(J1062&lt;=2,"?ACTIVATED",IF(J1062&lt;&gt;"","?FAMILIAR",IF(F1062="NEW",IF(ISNA(VLOOKUP(E1062,#REF!,1,FALSE())),"?TYPE_IDENTIFIABLE","?REFERENTIAL"),"_")))))</f>
        <v> </v>
      </c>
      <c r="H1062" s="24" t="str">
        <f>IF(J1062&lt;&gt;1,"",IF(I1062="SBJ","CB","?"))</f>
        <v> </v>
      </c>
      <c r="I1062" s="25" t="str">
        <f>IF(OR(E1062="",E1062="!!!",F1062="NEW"),"",INDEX(B1061:B$2,-1+SUMPRODUCT(MAX(ROW(E1061:E$2)*(E1062=E1061:E$2)))))</f>
        <v> </v>
      </c>
      <c r="J1062" s="25" t="str">
        <f>IF(OR(E1062="",E1062="!!!",F1062="NEW"),"",COUNTBLANK(OFFSET(A$1,,,SUMPRODUCT(MAX(ROW(E$2:E1062)*(E1062=E$2:E1062)))))-COUNTBLANK(OFFSET(A$1,,,SUMPRODUCT(MAX(ROW(E$1:E1061)*(E2=E$1:E1061))))))</f>
        <v> </v>
      </c>
      <c r="K1062" s="25" t="str">
        <f>IF(OR(E1062="",E1062="!!!",F1062="NEW"),"",INDEX(J$1:J1061,SUMPRODUCT(MAX(ROW(E$1:E1061)*(E1062=E$1:E1061)))))</f>
        <v> </v>
      </c>
      <c r="L1062" s="26"/>
    </row>
    <row r="1063" spans="1:12">
      <c r="A1063" s="20" t="s">
        <v>288</v>
      </c>
      <c r="E1063" s="21">
        <f>IF(D1063="?OLD","!!!","")</f>
        <v/>
      </c>
      <c r="F1063" s="22" t="str">
        <f>IF(OR(E1063="",E1063="!!!"),"",IF(NOT(ISNA(VLOOKUP(E1063,E$1:E1062,1,FALSE()))),"OLD",IF(AND(E1063&lt;&gt;"",E1063&lt;&gt;"!!!"),"NEW","")))</f>
        <v> </v>
      </c>
      <c r="G1063" s="23" t="str">
        <f>IF(OR(E1063="",E1063="!!!"),"",IF(OR(J1063=0,AND(J1063=1,K1063=1),AND(J1063=1,I1063="SBJ"),AND(J1063=1,I1063=0)),"?IN_FOCUS",IF(J1063&lt;=2,"?ACTIVATED",IF(J1063&lt;&gt;"","?FAMILIAR",IF(F1063="NEW",IF(ISNA(VLOOKUP(E1063,#REF!,1,FALSE())),"?TYPE_IDENTIFIABLE","?REFERENTIAL"),"_")))))</f>
        <v> </v>
      </c>
      <c r="H1063" s="24" t="str">
        <f>IF(J1063&lt;&gt;1,"",IF(I1063="SBJ","CB","?"))</f>
        <v> </v>
      </c>
      <c r="I1063" s="25" t="str">
        <f>IF(OR(E1063="",E1063="!!!",F1063="NEW"),"",INDEX(B1062:B$2,-1+SUMPRODUCT(MAX(ROW(E1062:E$2)*(E1063=E1062:E$2)))))</f>
        <v> </v>
      </c>
      <c r="J1063" s="25" t="str">
        <f>IF(OR(E1063="",E1063="!!!",F1063="NEW"),"",COUNTBLANK(OFFSET(A$1,,,SUMPRODUCT(MAX(ROW(E$2:E1063)*(E1063=E$2:E1063)))))-COUNTBLANK(OFFSET(A$1,,,SUMPRODUCT(MAX(ROW(E$1:E1062)*(E2=E$1:E1062))))))</f>
        <v> </v>
      </c>
      <c r="K1063" s="25" t="str">
        <f>IF(OR(E1063="",E1063="!!!",F1063="NEW"),"",INDEX(J$1:J1062,SUMPRODUCT(MAX(ROW(E$1:E1062)*(E1063=E$1:E1062)))))</f>
        <v> </v>
      </c>
      <c r="L1063" s="26"/>
    </row>
    <row r="1064" spans="1:12">
      <c r="A1064" s="20" t="s">
        <v>574</v>
      </c>
      <c r="E1064" s="21">
        <f>IF(D1064="?OLD","!!!","")</f>
        <v/>
      </c>
      <c r="F1064" s="22" t="str">
        <f>IF(OR(E1064="",E1064="!!!"),"",IF(NOT(ISNA(VLOOKUP(E1064,E$1:E1063,1,FALSE()))),"OLD",IF(AND(E1064&lt;&gt;"",E1064&lt;&gt;"!!!"),"NEW","")))</f>
        <v> </v>
      </c>
      <c r="G1064" s="23" t="str">
        <f>IF(OR(E1064="",E1064="!!!"),"",IF(OR(J1064=0,AND(J1064=1,K1064=1),AND(J1064=1,I1064="SBJ"),AND(J1064=1,I1064=0)),"?IN_FOCUS",IF(J1064&lt;=2,"?ACTIVATED",IF(J1064&lt;&gt;"","?FAMILIAR",IF(F1064="NEW",IF(ISNA(VLOOKUP(E1064,#REF!,1,FALSE())),"?TYPE_IDENTIFIABLE","?REFERENTIAL"),"_")))))</f>
        <v> </v>
      </c>
      <c r="H1064" s="24" t="str">
        <f>IF(J1064&lt;&gt;1,"",IF(I1064="SBJ","CB","?"))</f>
        <v> </v>
      </c>
      <c r="I1064" s="25" t="str">
        <f>IF(OR(E1064="",E1064="!!!",F1064="NEW"),"",INDEX(B1063:B$2,-1+SUMPRODUCT(MAX(ROW(E1063:E$2)*(E1064=E1063:E$2)))))</f>
        <v> </v>
      </c>
      <c r="J1064" s="25" t="str">
        <f>IF(OR(E1064="",E1064="!!!",F1064="NEW"),"",COUNTBLANK(OFFSET(A$1,,,SUMPRODUCT(MAX(ROW(E$2:E1064)*(E1064=E$2:E1064)))))-COUNTBLANK(OFFSET(A$1,,,SUMPRODUCT(MAX(ROW(E$1:E1063)*(E2=E$1:E1063))))))</f>
        <v> </v>
      </c>
      <c r="K1064" s="25" t="str">
        <f>IF(OR(E1064="",E1064="!!!",F1064="NEW"),"",INDEX(J$1:J1063,SUMPRODUCT(MAX(ROW(E$1:E1063)*(E1064=E$1:E1063)))))</f>
        <v> </v>
      </c>
      <c r="L1064" s="26"/>
    </row>
    <row r="1065" spans="1:12">
      <c r="A1065" s="20" t="s">
        <v>288</v>
      </c>
      <c r="E1065" s="21">
        <f>IF(D1065="?OLD","!!!","")</f>
        <v/>
      </c>
      <c r="F1065" s="22" t="str">
        <f>IF(OR(E1065="",E1065="!!!"),"",IF(NOT(ISNA(VLOOKUP(E1065,E$1:E1064,1,FALSE()))),"OLD",IF(AND(E1065&lt;&gt;"",E1065&lt;&gt;"!!!"),"NEW","")))</f>
        <v> </v>
      </c>
      <c r="G1065" s="23" t="str">
        <f>IF(OR(E1065="",E1065="!!!"),"",IF(OR(J1065=0,AND(J1065=1,K1065=1),AND(J1065=1,I1065="SBJ"),AND(J1065=1,I1065=0)),"?IN_FOCUS",IF(J1065&lt;=2,"?ACTIVATED",IF(J1065&lt;&gt;"","?FAMILIAR",IF(F1065="NEW",IF(ISNA(VLOOKUP(E1065,#REF!,1,FALSE())),"?TYPE_IDENTIFIABLE","?REFERENTIAL"),"_")))))</f>
        <v> </v>
      </c>
      <c r="H1065" s="24" t="str">
        <f>IF(J1065&lt;&gt;1,"",IF(I1065="SBJ","CB","?"))</f>
        <v> </v>
      </c>
      <c r="I1065" s="25" t="str">
        <f>IF(OR(E1065="",E1065="!!!",F1065="NEW"),"",INDEX(B1064:B$2,-1+SUMPRODUCT(MAX(ROW(E1064:E$2)*(E1065=E1064:E$2)))))</f>
        <v> </v>
      </c>
      <c r="J1065" s="25" t="str">
        <f>IF(OR(E1065="",E1065="!!!",F1065="NEW"),"",COUNTBLANK(OFFSET(A$1,,,SUMPRODUCT(MAX(ROW(E$2:E1065)*(E1065=E$2:E1065)))))-COUNTBLANK(OFFSET(A$1,,,SUMPRODUCT(MAX(ROW(E$1:E1064)*(E2=E$1:E1064))))))</f>
        <v> </v>
      </c>
      <c r="K1065" s="25" t="str">
        <f>IF(OR(E1065="",E1065="!!!",F1065="NEW"),"",INDEX(J$1:J1064,SUMPRODUCT(MAX(ROW(E$1:E1064)*(E1065=E$1:E1064)))))</f>
        <v> </v>
      </c>
      <c r="L1065" s="26"/>
    </row>
    <row r="1066" spans="1:12">
      <c r="A1066" s="20" t="s">
        <v>368</v>
      </c>
      <c r="E1066" s="21">
        <f>IF(D1066="?OLD","!!!","")</f>
        <v/>
      </c>
      <c r="F1066" s="22" t="str">
        <f>IF(OR(E1066="",E1066="!!!"),"",IF(NOT(ISNA(VLOOKUP(E1066,E$1:E1065,1,FALSE()))),"OLD",IF(AND(E1066&lt;&gt;"",E1066&lt;&gt;"!!!"),"NEW","")))</f>
        <v> </v>
      </c>
      <c r="G1066" s="23" t="str">
        <f>IF(OR(E1066="",E1066="!!!"),"",IF(OR(J1066=0,AND(J1066=1,K1066=1),AND(J1066=1,I1066="SBJ"),AND(J1066=1,I1066=0)),"?IN_FOCUS",IF(J1066&lt;=2,"?ACTIVATED",IF(J1066&lt;&gt;"","?FAMILIAR",IF(F1066="NEW",IF(ISNA(VLOOKUP(E1066,#REF!,1,FALSE())),"?TYPE_IDENTIFIABLE","?REFERENTIAL"),"_")))))</f>
        <v> </v>
      </c>
      <c r="H1066" s="24" t="str">
        <f>IF(J1066&lt;&gt;1,"",IF(I1066="SBJ","CB","?"))</f>
        <v> </v>
      </c>
      <c r="I1066" s="25" t="str">
        <f>IF(OR(E1066="",E1066="!!!",F1066="NEW"),"",INDEX(B1065:B$2,-1+SUMPRODUCT(MAX(ROW(E1065:E$2)*(E1066=E1065:E$2)))))</f>
        <v> </v>
      </c>
      <c r="J1066" s="25" t="str">
        <f>IF(OR(E1066="",E1066="!!!",F1066="NEW"),"",COUNTBLANK(OFFSET(A$1,,,SUMPRODUCT(MAX(ROW(E$2:E1066)*(E1066=E$2:E1066)))))-COUNTBLANK(OFFSET(A$1,,,SUMPRODUCT(MAX(ROW(E$1:E1065)*(E2=E$1:E1065))))))</f>
        <v> </v>
      </c>
      <c r="K1066" s="25" t="str">
        <f>IF(OR(E1066="",E1066="!!!",F1066="NEW"),"",INDEX(J$1:J1065,SUMPRODUCT(MAX(ROW(E$1:E1065)*(E1066=E$1:E1065)))))</f>
        <v> </v>
      </c>
      <c r="L1066" s="26"/>
    </row>
    <row r="1067" spans="1:12">
      <c r="A1067" s="20" t="s">
        <v>271</v>
      </c>
      <c r="E1067" s="21">
        <f>IF(D1067="?OLD","!!!","")</f>
        <v/>
      </c>
      <c r="F1067" s="22" t="str">
        <f>IF(OR(E1067="",E1067="!!!"),"",IF(NOT(ISNA(VLOOKUP(E1067,E$1:E1066,1,FALSE()))),"OLD",IF(AND(E1067&lt;&gt;"",E1067&lt;&gt;"!!!"),"NEW","")))</f>
        <v> </v>
      </c>
      <c r="G1067" s="23" t="str">
        <f>IF(OR(E1067="",E1067="!!!"),"",IF(OR(J1067=0,AND(J1067=1,K1067=1),AND(J1067=1,I1067="SBJ"),AND(J1067=1,I1067=0)),"?IN_FOCUS",IF(J1067&lt;=2,"?ACTIVATED",IF(J1067&lt;&gt;"","?FAMILIAR",IF(F1067="NEW",IF(ISNA(VLOOKUP(E1067,#REF!,1,FALSE())),"?TYPE_IDENTIFIABLE","?REFERENTIAL"),"_")))))</f>
        <v> </v>
      </c>
      <c r="H1067" s="24" t="str">
        <f>IF(J1067&lt;&gt;1,"",IF(I1067="SBJ","CB","?"))</f>
        <v> </v>
      </c>
      <c r="I1067" s="25" t="str">
        <f>IF(OR(E1067="",E1067="!!!",F1067="NEW"),"",INDEX(B1066:B$2,-1+SUMPRODUCT(MAX(ROW(E1066:E$2)*(E1067=E1066:E$2)))))</f>
        <v> </v>
      </c>
      <c r="J1067" s="25" t="str">
        <f>IF(OR(E1067="",E1067="!!!",F1067="NEW"),"",COUNTBLANK(OFFSET(A$1,,,SUMPRODUCT(MAX(ROW(E$2:E1067)*(E1067=E$2:E1067)))))-COUNTBLANK(OFFSET(A$1,,,SUMPRODUCT(MAX(ROW(E$1:E1066)*(E2=E$1:E1066))))))</f>
        <v> </v>
      </c>
      <c r="K1067" s="25" t="str">
        <f>IF(OR(E1067="",E1067="!!!",F1067="NEW"),"",INDEX(J$1:J1066,SUMPRODUCT(MAX(ROW(E$1:E1066)*(E1067=E$1:E1066)))))</f>
        <v> </v>
      </c>
      <c r="L1067" s="26"/>
    </row>
    <row r="1068" spans="1:12">
      <c r="A1068" s="20" t="s">
        <v>336</v>
      </c>
      <c r="E1068" s="21">
        <f>IF(D1068="?OLD","!!!","")</f>
        <v/>
      </c>
      <c r="F1068" s="22" t="str">
        <f>IF(OR(E1068="",E1068="!!!"),"",IF(NOT(ISNA(VLOOKUP(E1068,E$1:E1067,1,FALSE()))),"OLD",IF(AND(E1068&lt;&gt;"",E1068&lt;&gt;"!!!"),"NEW","")))</f>
        <v> </v>
      </c>
      <c r="G1068" s="23" t="str">
        <f>IF(OR(E1068="",E1068="!!!"),"",IF(OR(J1068=0,AND(J1068=1,K1068=1),AND(J1068=1,I1068="SBJ"),AND(J1068=1,I1068=0)),"?IN_FOCUS",IF(J1068&lt;=2,"?ACTIVATED",IF(J1068&lt;&gt;"","?FAMILIAR",IF(F1068="NEW",IF(ISNA(VLOOKUP(E1068,#REF!,1,FALSE())),"?TYPE_IDENTIFIABLE","?REFERENTIAL"),"_")))))</f>
        <v> </v>
      </c>
      <c r="H1068" s="24" t="str">
        <f>IF(J1068&lt;&gt;1,"",IF(I1068="SBJ","CB","?"))</f>
        <v> </v>
      </c>
      <c r="I1068" s="25" t="str">
        <f>IF(OR(E1068="",E1068="!!!",F1068="NEW"),"",INDEX(B1067:B$2,-1+SUMPRODUCT(MAX(ROW(E1067:E$2)*(E1068=E1067:E$2)))))</f>
        <v> </v>
      </c>
      <c r="J1068" s="25" t="str">
        <f>IF(OR(E1068="",E1068="!!!",F1068="NEW"),"",COUNTBLANK(OFFSET(A$1,,,SUMPRODUCT(MAX(ROW(E$2:E1068)*(E1068=E$2:E1068)))))-COUNTBLANK(OFFSET(A$1,,,SUMPRODUCT(MAX(ROW(E$1:E1067)*(E2=E$1:E1067))))))</f>
        <v> </v>
      </c>
      <c r="K1068" s="25" t="str">
        <f>IF(OR(E1068="",E1068="!!!",F1068="NEW"),"",INDEX(J$1:J1067,SUMPRODUCT(MAX(ROW(E$1:E1067)*(E1068=E$1:E1067)))))</f>
        <v> </v>
      </c>
      <c r="L1068" s="26"/>
    </row>
    <row r="1069" spans="1:12">
      <c r="A1069" s="20" t="s">
        <v>640</v>
      </c>
      <c r="B1069" s="27" t="s">
        <v>267</v>
      </c>
      <c r="C1069" s="27" t="s">
        <v>270</v>
      </c>
      <c r="E1069" s="21">
        <f>IF(D1069="?OLD","!!!","")</f>
        <v/>
      </c>
      <c r="F1069" s="22" t="str">
        <f>IF(OR(E1069="",E1069="!!!"),"",IF(NOT(ISNA(VLOOKUP(E1069,E$1:E1068,1,FALSE()))),"OLD",IF(AND(E1069&lt;&gt;"",E1069&lt;&gt;"!!!"),"NEW","")))</f>
        <v> </v>
      </c>
      <c r="G1069" s="23" t="str">
        <f>IF(OR(E1069="",E1069="!!!"),"",IF(OR(J1069=0,AND(J1069=1,K1069=1),AND(J1069=1,I1069="SBJ"),AND(J1069=1,I1069=0)),"?IN_FOCUS",IF(J1069&lt;=2,"?ACTIVATED",IF(J1069&lt;&gt;"","?FAMILIAR",IF(F1069="NEW",IF(ISNA(VLOOKUP(E1069,#REF!,1,FALSE())),"?TYPE_IDENTIFIABLE","?REFERENTIAL"),"_")))))</f>
        <v> </v>
      </c>
      <c r="H1069" s="24" t="str">
        <f>IF(J1069&lt;&gt;1,"",IF(I1069="SBJ","CB","?"))</f>
        <v> </v>
      </c>
      <c r="I1069" s="25" t="str">
        <f>IF(OR(E1069="",E1069="!!!",F1069="NEW"),"",INDEX(B1068:B$2,-1+SUMPRODUCT(MAX(ROW(E1068:E$2)*(E1069=E1068:E$2)))))</f>
        <v> </v>
      </c>
      <c r="J1069" s="25" t="str">
        <f>IF(OR(E1069="",E1069="!!!",F1069="NEW"),"",COUNTBLANK(OFFSET(A$1,,,SUMPRODUCT(MAX(ROW(E$2:E1069)*(E1069=E$2:E1069)))))-COUNTBLANK(OFFSET(A$1,,,SUMPRODUCT(MAX(ROW(E$1:E1068)*(E2=E$1:E1068))))))</f>
        <v> </v>
      </c>
      <c r="K1069" s="25" t="str">
        <f>IF(OR(E1069="",E1069="!!!",F1069="NEW"),"",INDEX(J$1:J1068,SUMPRODUCT(MAX(ROW(E$1:E1068)*(E1069=E$1:E1068)))))</f>
        <v> </v>
      </c>
      <c r="L1069" s="26"/>
    </row>
    <row r="1070" spans="1:12">
      <c r="A1070" s="20" t="s">
        <v>278</v>
      </c>
      <c r="E1070" s="21">
        <f>IF(D1070="?OLD","!!!","")</f>
        <v/>
      </c>
      <c r="F1070" s="22" t="str">
        <f>IF(OR(E1070="",E1070="!!!"),"",IF(NOT(ISNA(VLOOKUP(E1070,E$1:E1069,1,FALSE()))),"OLD",IF(AND(E1070&lt;&gt;"",E1070&lt;&gt;"!!!"),"NEW","")))</f>
        <v> </v>
      </c>
      <c r="G1070" s="23" t="str">
        <f>IF(OR(E1070="",E1070="!!!"),"",IF(OR(J1070=0,AND(J1070=1,K1070=1),AND(J1070=1,I1070="SBJ"),AND(J1070=1,I1070=0)),"?IN_FOCUS",IF(J1070&lt;=2,"?ACTIVATED",IF(J1070&lt;&gt;"","?FAMILIAR",IF(F1070="NEW",IF(ISNA(VLOOKUP(E1070,#REF!,1,FALSE())),"?TYPE_IDENTIFIABLE","?REFERENTIAL"),"_")))))</f>
        <v> </v>
      </c>
      <c r="H1070" s="24" t="str">
        <f>IF(J1070&lt;&gt;1,"",IF(I1070="SBJ","CB","?"))</f>
        <v> </v>
      </c>
      <c r="I1070" s="25" t="str">
        <f>IF(OR(E1070="",E1070="!!!",F1070="NEW"),"",INDEX(B1069:B$2,-1+SUMPRODUCT(MAX(ROW(E1069:E$2)*(E1070=E1069:E$2)))))</f>
        <v> </v>
      </c>
      <c r="J1070" s="25" t="str">
        <f>IF(OR(E1070="",E1070="!!!",F1070="NEW"),"",COUNTBLANK(OFFSET(A$1,,,SUMPRODUCT(MAX(ROW(E$2:E1070)*(E1070=E$2:E1070)))))-COUNTBLANK(OFFSET(A$1,,,SUMPRODUCT(MAX(ROW(E$1:E1069)*(E2=E$1:E1069))))))</f>
        <v> </v>
      </c>
      <c r="K1070" s="25" t="str">
        <f>IF(OR(E1070="",E1070="!!!",F1070="NEW"),"",INDEX(J$1:J1069,SUMPRODUCT(MAX(ROW(E$1:E1069)*(E1070=E$1:E1069)))))</f>
        <v> </v>
      </c>
      <c r="L1070" s="26"/>
    </row>
    <row r="1071" spans="1:12">
      <c r="A1071" s="20" t="s">
        <v>481</v>
      </c>
      <c r="E1071" s="21">
        <f>IF(D1071="?OLD","!!!","")</f>
        <v/>
      </c>
      <c r="F1071" s="22" t="str">
        <f>IF(OR(E1071="",E1071="!!!"),"",IF(NOT(ISNA(VLOOKUP(E1071,E$1:E1070,1,FALSE()))),"OLD",IF(AND(E1071&lt;&gt;"",E1071&lt;&gt;"!!!"),"NEW","")))</f>
        <v> </v>
      </c>
      <c r="G1071" s="23" t="str">
        <f>IF(OR(E1071="",E1071="!!!"),"",IF(OR(J1071=0,AND(J1071=1,K1071=1),AND(J1071=1,I1071="SBJ"),AND(J1071=1,I1071=0)),"?IN_FOCUS",IF(J1071&lt;=2,"?ACTIVATED",IF(J1071&lt;&gt;"","?FAMILIAR",IF(F1071="NEW",IF(ISNA(VLOOKUP(E1071,#REF!,1,FALSE())),"?TYPE_IDENTIFIABLE","?REFERENTIAL"),"_")))))</f>
        <v> </v>
      </c>
      <c r="H1071" s="24" t="str">
        <f>IF(J1071&lt;&gt;1,"",IF(I1071="SBJ","CB","?"))</f>
        <v> </v>
      </c>
      <c r="I1071" s="25" t="str">
        <f>IF(OR(E1071="",E1071="!!!",F1071="NEW"),"",INDEX(B1070:B$2,-1+SUMPRODUCT(MAX(ROW(E1070:E$2)*(E1071=E1070:E$2)))))</f>
        <v> </v>
      </c>
      <c r="J1071" s="25" t="str">
        <f>IF(OR(E1071="",E1071="!!!",F1071="NEW"),"",COUNTBLANK(OFFSET(A$1,,,SUMPRODUCT(MAX(ROW(E$2:E1071)*(E1071=E$2:E1071)))))-COUNTBLANK(OFFSET(A$1,,,SUMPRODUCT(MAX(ROW(E$1:E1070)*(E2=E$1:E1070))))))</f>
        <v> </v>
      </c>
      <c r="K1071" s="25" t="str">
        <f>IF(OR(E1071="",E1071="!!!",F1071="NEW"),"",INDEX(J$1:J1070,SUMPRODUCT(MAX(ROW(E$1:E1070)*(E1071=E$1:E1070)))))</f>
        <v> </v>
      </c>
      <c r="L1071" s="26"/>
    </row>
    <row r="1072" spans="1:12">
      <c r="A1072" s="20" t="s">
        <v>415</v>
      </c>
      <c r="E1072" s="21">
        <f>IF(D1072="?OLD","!!!","")</f>
        <v/>
      </c>
      <c r="F1072" s="22" t="str">
        <f>IF(OR(E1072="",E1072="!!!"),"",IF(NOT(ISNA(VLOOKUP(E1072,E$1:E1071,1,FALSE()))),"OLD",IF(AND(E1072&lt;&gt;"",E1072&lt;&gt;"!!!"),"NEW","")))</f>
        <v> </v>
      </c>
      <c r="G1072" s="23" t="str">
        <f>IF(OR(E1072="",E1072="!!!"),"",IF(OR(J1072=0,AND(J1072=1,K1072=1),AND(J1072=1,I1072="SBJ"),AND(J1072=1,I1072=0)),"?IN_FOCUS",IF(J1072&lt;=2,"?ACTIVATED",IF(J1072&lt;&gt;"","?FAMILIAR",IF(F1072="NEW",IF(ISNA(VLOOKUP(E1072,#REF!,1,FALSE())),"?TYPE_IDENTIFIABLE","?REFERENTIAL"),"_")))))</f>
        <v> </v>
      </c>
      <c r="H1072" s="24" t="str">
        <f>IF(J1072&lt;&gt;1,"",IF(I1072="SBJ","CB","?"))</f>
        <v> </v>
      </c>
      <c r="I1072" s="25" t="str">
        <f>IF(OR(E1072="",E1072="!!!",F1072="NEW"),"",INDEX(B1071:B$2,-1+SUMPRODUCT(MAX(ROW(E1071:E$2)*(E1072=E1071:E$2)))))</f>
        <v> </v>
      </c>
      <c r="J1072" s="25" t="str">
        <f>IF(OR(E1072="",E1072="!!!",F1072="NEW"),"",COUNTBLANK(OFFSET(A$1,,,SUMPRODUCT(MAX(ROW(E$2:E1072)*(E1072=E$2:E1072)))))-COUNTBLANK(OFFSET(A$1,,,SUMPRODUCT(MAX(ROW(E$1:E1071)*(E2=E$1:E1071))))))</f>
        <v> </v>
      </c>
      <c r="K1072" s="25" t="str">
        <f>IF(OR(E1072="",E1072="!!!",F1072="NEW"),"",INDEX(J$1:J1071,SUMPRODUCT(MAX(ROW(E$1:E1071)*(E1072=E$1:E1071)))))</f>
        <v> </v>
      </c>
      <c r="L1072" s="26"/>
    </row>
    <row r="1073" spans="1:12">
      <c r="A1073" s="20" t="s">
        <v>443</v>
      </c>
      <c r="E1073" s="21">
        <f>IF(D1073="?OLD","!!!","")</f>
        <v/>
      </c>
      <c r="F1073" s="22" t="str">
        <f>IF(OR(E1073="",E1073="!!!"),"",IF(NOT(ISNA(VLOOKUP(E1073,E$1:E1072,1,FALSE()))),"OLD",IF(AND(E1073&lt;&gt;"",E1073&lt;&gt;"!!!"),"NEW","")))</f>
        <v> </v>
      </c>
      <c r="G1073" s="23" t="str">
        <f>IF(OR(E1073="",E1073="!!!"),"",IF(OR(J1073=0,AND(J1073=1,K1073=1),AND(J1073=1,I1073="SBJ"),AND(J1073=1,I1073=0)),"?IN_FOCUS",IF(J1073&lt;=2,"?ACTIVATED",IF(J1073&lt;&gt;"","?FAMILIAR",IF(F1073="NEW",IF(ISNA(VLOOKUP(E1073,#REF!,1,FALSE())),"?TYPE_IDENTIFIABLE","?REFERENTIAL"),"_")))))</f>
        <v> </v>
      </c>
      <c r="H1073" s="24" t="str">
        <f>IF(J1073&lt;&gt;1,"",IF(I1073="SBJ","CB","?"))</f>
        <v> </v>
      </c>
      <c r="I1073" s="25" t="str">
        <f>IF(OR(E1073="",E1073="!!!",F1073="NEW"),"",INDEX(B1072:B$2,-1+SUMPRODUCT(MAX(ROW(E1072:E$2)*(E1073=E1072:E$2)))))</f>
        <v> </v>
      </c>
      <c r="J1073" s="25" t="str">
        <f>IF(OR(E1073="",E1073="!!!",F1073="NEW"),"",COUNTBLANK(OFFSET(A$1,,,SUMPRODUCT(MAX(ROW(E$2:E1073)*(E1073=E$2:E1073)))))-COUNTBLANK(OFFSET(A$1,,,SUMPRODUCT(MAX(ROW(E$1:E1072)*(E2=E$1:E1072))))))</f>
        <v> </v>
      </c>
      <c r="K1073" s="25" t="str">
        <f>IF(OR(E1073="",E1073="!!!",F1073="NEW"),"",INDEX(J$1:J1072,SUMPRODUCT(MAX(ROW(E$1:E1072)*(E1073=E$1:E1072)))))</f>
        <v> </v>
      </c>
      <c r="L1073" s="26"/>
    </row>
    <row r="1074" spans="1:12">
      <c r="A1074" s="20" t="s">
        <v>547</v>
      </c>
      <c r="B1074" s="27" t="s">
        <v>500</v>
      </c>
      <c r="C1074" s="27" t="s">
        <v>270</v>
      </c>
      <c r="E1074" s="21">
        <f>IF(D1074="?OLD","!!!","")</f>
        <v/>
      </c>
      <c r="F1074" s="22" t="str">
        <f>IF(OR(E1074="",E1074="!!!"),"",IF(NOT(ISNA(VLOOKUP(E1074,E$1:E1073,1,FALSE()))),"OLD",IF(AND(E1074&lt;&gt;"",E1074&lt;&gt;"!!!"),"NEW","")))</f>
        <v> </v>
      </c>
      <c r="G1074" s="23" t="str">
        <f>IF(OR(E1074="",E1074="!!!"),"",IF(OR(J1074=0,AND(J1074=1,K1074=1),AND(J1074=1,I1074="SBJ"),AND(J1074=1,I1074=0)),"?IN_FOCUS",IF(J1074&lt;=2,"?ACTIVATED",IF(J1074&lt;&gt;"","?FAMILIAR",IF(F1074="NEW",IF(ISNA(VLOOKUP(E1074,#REF!,1,FALSE())),"?TYPE_IDENTIFIABLE","?REFERENTIAL"),"_")))))</f>
        <v> </v>
      </c>
      <c r="H1074" s="24" t="str">
        <f>IF(J1074&lt;&gt;1,"",IF(I1074="SBJ","CB","?"))</f>
        <v> </v>
      </c>
      <c r="I1074" s="25" t="str">
        <f>IF(OR(E1074="",E1074="!!!",F1074="NEW"),"",INDEX(B1073:B$2,-1+SUMPRODUCT(MAX(ROW(E1073:E$2)*(E1074=E1073:E$2)))))</f>
        <v> </v>
      </c>
      <c r="J1074" s="25" t="str">
        <f>IF(OR(E1074="",E1074="!!!",F1074="NEW"),"",COUNTBLANK(OFFSET(A$1,,,SUMPRODUCT(MAX(ROW(E$2:E1074)*(E1074=E$2:E1074)))))-COUNTBLANK(OFFSET(A$1,,,SUMPRODUCT(MAX(ROW(E$1:E1073)*(E2=E$1:E1073))))))</f>
        <v> </v>
      </c>
      <c r="K1074" s="25" t="str">
        <f>IF(OR(E1074="",E1074="!!!",F1074="NEW"),"",INDEX(J$1:J1073,SUMPRODUCT(MAX(ROW(E$1:E1073)*(E1074=E$1:E1073)))))</f>
        <v> </v>
      </c>
      <c r="L1074" s="26"/>
    </row>
    <row r="1075" spans="1:12">
      <c r="A1075" s="20" t="s">
        <v>280</v>
      </c>
      <c r="E1075" s="21">
        <f>IF(D1075="?OLD","!!!","")</f>
        <v/>
      </c>
      <c r="F1075" s="22" t="str">
        <f>IF(OR(E1075="",E1075="!!!"),"",IF(NOT(ISNA(VLOOKUP(E1075,E$1:E1074,1,FALSE()))),"OLD",IF(AND(E1075&lt;&gt;"",E1075&lt;&gt;"!!!"),"NEW","")))</f>
        <v> </v>
      </c>
      <c r="G1075" s="23" t="str">
        <f>IF(OR(E1075="",E1075="!!!"),"",IF(OR(J1075=0,AND(J1075=1,K1075=1),AND(J1075=1,I1075="SBJ"),AND(J1075=1,I1075=0)),"?IN_FOCUS",IF(J1075&lt;=2,"?ACTIVATED",IF(J1075&lt;&gt;"","?FAMILIAR",IF(F1075="NEW",IF(ISNA(VLOOKUP(E1075,#REF!,1,FALSE())),"?TYPE_IDENTIFIABLE","?REFERENTIAL"),"_")))))</f>
        <v> </v>
      </c>
      <c r="H1075" s="24" t="str">
        <f>IF(J1075&lt;&gt;1,"",IF(I1075="SBJ","CB","?"))</f>
        <v> </v>
      </c>
      <c r="I1075" s="25" t="str">
        <f>IF(OR(E1075="",E1075="!!!",F1075="NEW"),"",INDEX(B1074:B$2,-1+SUMPRODUCT(MAX(ROW(E1074:E$2)*(E1075=E1074:E$2)))))</f>
        <v> </v>
      </c>
      <c r="J1075" s="25" t="str">
        <f>IF(OR(E1075="",E1075="!!!",F1075="NEW"),"",COUNTBLANK(OFFSET(A$1,,,SUMPRODUCT(MAX(ROW(E$2:E1075)*(E1075=E$2:E1075)))))-COUNTBLANK(OFFSET(A$1,,,SUMPRODUCT(MAX(ROW(E$1:E1074)*(E2=E$1:E1074))))))</f>
        <v> </v>
      </c>
      <c r="K1075" s="25" t="str">
        <f>IF(OR(E1075="",E1075="!!!",F1075="NEW"),"",INDEX(J$1:J1074,SUMPRODUCT(MAX(ROW(E$1:E1074)*(E1075=E$1:E1074)))))</f>
        <v> </v>
      </c>
      <c r="L1075" s="26"/>
    </row>
    <row r="1076" spans="1:12">
      <c r="A1076" s="20" t="s">
        <v>416</v>
      </c>
      <c r="E1076" s="21">
        <f>IF(D1076="?OLD","!!!","")</f>
        <v/>
      </c>
      <c r="F1076" s="22" t="str">
        <f>IF(OR(E1076="",E1076="!!!"),"",IF(NOT(ISNA(VLOOKUP(E1076,E$1:E1075,1,FALSE()))),"OLD",IF(AND(E1076&lt;&gt;"",E1076&lt;&gt;"!!!"),"NEW","")))</f>
        <v> </v>
      </c>
      <c r="G1076" s="23" t="str">
        <f>IF(OR(E1076="",E1076="!!!"),"",IF(OR(J1076=0,AND(J1076=1,K1076=1),AND(J1076=1,I1076="SBJ"),AND(J1076=1,I1076=0)),"?IN_FOCUS",IF(J1076&lt;=2,"?ACTIVATED",IF(J1076&lt;&gt;"","?FAMILIAR",IF(F1076="NEW",IF(ISNA(VLOOKUP(E1076,#REF!,1,FALSE())),"?TYPE_IDENTIFIABLE","?REFERENTIAL"),"_")))))</f>
        <v> </v>
      </c>
      <c r="H1076" s="24" t="str">
        <f>IF(J1076&lt;&gt;1,"",IF(I1076="SBJ","CB","?"))</f>
        <v> </v>
      </c>
      <c r="I1076" s="25" t="str">
        <f>IF(OR(E1076="",E1076="!!!",F1076="NEW"),"",INDEX(B1075:B$2,-1+SUMPRODUCT(MAX(ROW(E1075:E$2)*(E1076=E1075:E$2)))))</f>
        <v> </v>
      </c>
      <c r="J1076" s="25" t="str">
        <f>IF(OR(E1076="",E1076="!!!",F1076="NEW"),"",COUNTBLANK(OFFSET(A$1,,,SUMPRODUCT(MAX(ROW(E$2:E1076)*(E1076=E$2:E1076)))))-COUNTBLANK(OFFSET(A$1,,,SUMPRODUCT(MAX(ROW(E$1:E1075)*(E2=E$1:E1075))))))</f>
        <v> </v>
      </c>
      <c r="K1076" s="25" t="str">
        <f>IF(OR(E1076="",E1076="!!!",F1076="NEW"),"",INDEX(J$1:J1075,SUMPRODUCT(MAX(ROW(E$1:E1075)*(E1076=E$1:E1075)))))</f>
        <v> </v>
      </c>
      <c r="L1076" s="26"/>
    </row>
    <row r="1077" spans="1:12">
      <c r="A1077" s="20" t="s">
        <v>417</v>
      </c>
      <c r="B1077" s="27" t="s">
        <v>291</v>
      </c>
      <c r="C1077" s="27" t="s">
        <v>341</v>
      </c>
      <c r="D1077" s="27" t="s">
        <v>258</v>
      </c>
      <c r="E1077" s="21">
        <f>IF(D1077="?OLD","!!!","")</f>
        <v/>
      </c>
      <c r="F1077" s="22" t="str">
        <f>IF(OR(E1077="",E1077="!!!"),"",IF(NOT(ISNA(VLOOKUP(E1077,E$1:E1076,1,FALSE()))),"OLD",IF(AND(E1077&lt;&gt;"",E1077&lt;&gt;"!!!"),"NEW","")))</f>
        <v> </v>
      </c>
      <c r="G1077" s="23" t="str">
        <f>IF(OR(E1077="",E1077="!!!"),"",IF(OR(J1077=0,AND(J1077=1,K1077=1),AND(J1077=1,I1077="SBJ"),AND(J1077=1,I1077=0)),"?IN_FOCUS",IF(J1077&lt;=2,"?ACTIVATED",IF(J1077&lt;&gt;"","?FAMILIAR",IF(F1077="NEW",IF(ISNA(VLOOKUP(E1077,#REF!,1,FALSE())),"?TYPE_IDENTIFIABLE","?REFERENTIAL"),"_")))))</f>
        <v> </v>
      </c>
      <c r="H1077" s="24" t="str">
        <f>IF(J1077&lt;&gt;1,"",IF(I1077="SBJ","CB","?"))</f>
        <v> </v>
      </c>
      <c r="I1077" s="25" t="str">
        <f>IF(OR(E1077="",E1077="!!!",F1077="NEW"),"",INDEX(B1076:B$2,-1+SUMPRODUCT(MAX(ROW(E1076:E$2)*(E1077=E1076:E$2)))))</f>
        <v> </v>
      </c>
      <c r="J1077" s="25" t="str">
        <f>IF(OR(E1077="",E1077="!!!",F1077="NEW"),"",COUNTBLANK(OFFSET(A$1,,,SUMPRODUCT(MAX(ROW(E$2:E1077)*(E1077=E$2:E1077)))))-COUNTBLANK(OFFSET(A$1,,,SUMPRODUCT(MAX(ROW(E$1:E1076)*(E2=E$1:E1076))))))</f>
        <v> </v>
      </c>
      <c r="K1077" s="25" t="str">
        <f>IF(OR(E1077="",E1077="!!!",F1077="NEW"),"",INDEX(J$1:J1076,SUMPRODUCT(MAX(ROW(E$1:E1076)*(E1077=E$1:E1076)))))</f>
        <v> </v>
      </c>
      <c r="L1077" s="26"/>
    </row>
    <row r="1078" spans="1:12">
      <c r="A1078" s="20" t="s">
        <v>271</v>
      </c>
      <c r="E1078" s="21">
        <f>IF(D1078="?OLD","!!!","")</f>
        <v/>
      </c>
      <c r="F1078" s="22" t="str">
        <f>IF(OR(E1078="",E1078="!!!"),"",IF(NOT(ISNA(VLOOKUP(E1078,E$1:E1077,1,FALSE()))),"OLD",IF(AND(E1078&lt;&gt;"",E1078&lt;&gt;"!!!"),"NEW","")))</f>
        <v> </v>
      </c>
      <c r="G1078" s="23" t="str">
        <f>IF(OR(E1078="",E1078="!!!"),"",IF(OR(J1078=0,AND(J1078=1,K1078=1),AND(J1078=1,I1078="SBJ"),AND(J1078=1,I1078=0)),"?IN_FOCUS",IF(J1078&lt;=2,"?ACTIVATED",IF(J1078&lt;&gt;"","?FAMILIAR",IF(F1078="NEW",IF(ISNA(VLOOKUP(E1078,#REF!,1,FALSE())),"?TYPE_IDENTIFIABLE","?REFERENTIAL"),"_")))))</f>
        <v> </v>
      </c>
      <c r="H1078" s="24" t="str">
        <f>IF(J1078&lt;&gt;1,"",IF(I1078="SBJ","CB","?"))</f>
        <v> </v>
      </c>
      <c r="I1078" s="25" t="str">
        <f>IF(OR(E1078="",E1078="!!!",F1078="NEW"),"",INDEX(B1077:B$2,-1+SUMPRODUCT(MAX(ROW(E1077:E$2)*(E1078=E1077:E$2)))))</f>
        <v> </v>
      </c>
      <c r="J1078" s="25" t="str">
        <f>IF(OR(E1078="",E1078="!!!",F1078="NEW"),"",COUNTBLANK(OFFSET(A$1,,,SUMPRODUCT(MAX(ROW(E$2:E1078)*(E1078=E$2:E1078)))))-COUNTBLANK(OFFSET(A$1,,,SUMPRODUCT(MAX(ROW(E$1:E1077)*(E2=E$1:E1077))))))</f>
        <v> </v>
      </c>
      <c r="K1078" s="25" t="str">
        <f>IF(OR(E1078="",E1078="!!!",F1078="NEW"),"",INDEX(J$1:J1077,SUMPRODUCT(MAX(ROW(E$1:E1077)*(E1078=E$1:E1077)))))</f>
        <v> </v>
      </c>
      <c r="L1078" s="26"/>
    </row>
    <row r="1079" spans="1:12">
      <c r="A1079" s="20" t="s">
        <v>255</v>
      </c>
      <c r="B1079" s="27" t="s">
        <v>256</v>
      </c>
      <c r="C1079" s="27" t="s">
        <v>257</v>
      </c>
      <c r="D1079" s="27" t="s">
        <v>258</v>
      </c>
      <c r="E1079" s="21">
        <f>IF(D1079="?OLD","!!!","")</f>
        <v/>
      </c>
      <c r="F1079" s="22" t="str">
        <f>IF(OR(E1079="",E1079="!!!"),"",IF(NOT(ISNA(VLOOKUP(E1079,E$1:E1078,1,FALSE()))),"OLD",IF(AND(E1079&lt;&gt;"",E1079&lt;&gt;"!!!"),"NEW","")))</f>
        <v> </v>
      </c>
      <c r="G1079" s="23" t="str">
        <f>IF(OR(E1079="",E1079="!!!"),"",IF(OR(J1079=0,AND(J1079=1,K1079=1),AND(J1079=1,I1079="SBJ"),AND(J1079=1,I1079=0)),"?IN_FOCUS",IF(J1079&lt;=2,"?ACTIVATED",IF(J1079&lt;&gt;"","?FAMILIAR",IF(F1079="NEW",IF(ISNA(VLOOKUP(E1079,#REF!,1,FALSE())),"?TYPE_IDENTIFIABLE","?REFERENTIAL"),"_")))))</f>
        <v> </v>
      </c>
      <c r="H1079" s="24" t="str">
        <f>IF(J1079&lt;&gt;1,"",IF(I1079="SBJ","CB","?"))</f>
        <v> </v>
      </c>
      <c r="I1079" s="25" t="str">
        <f>IF(OR(E1079="",E1079="!!!",F1079="NEW"),"",INDEX(B1078:B$2,-1+SUMPRODUCT(MAX(ROW(E1078:E$2)*(E1079=E1078:E$2)))))</f>
        <v> </v>
      </c>
      <c r="J1079" s="25" t="str">
        <f>IF(OR(E1079="",E1079="!!!",F1079="NEW"),"",COUNTBLANK(OFFSET(A$1,,,SUMPRODUCT(MAX(ROW(E$2:E1079)*(E1079=E$2:E1079)))))-COUNTBLANK(OFFSET(A$1,,,SUMPRODUCT(MAX(ROW(E$1:E1078)*(E2=E$1:E1078))))))</f>
        <v> </v>
      </c>
      <c r="K1079" s="25" t="str">
        <f>IF(OR(E1079="",E1079="!!!",F1079="NEW"),"",INDEX(J$1:J1078,SUMPRODUCT(MAX(ROW(E$1:E1078)*(E1079=E$1:E1078)))))</f>
        <v> </v>
      </c>
      <c r="L1079" s="26"/>
    </row>
    <row r="1080" spans="1:12">
      <c r="A1080" s="20" t="s">
        <v>259</v>
      </c>
      <c r="E1080" s="21">
        <f>IF(D1080="?OLD","!!!","")</f>
        <v/>
      </c>
      <c r="F1080" s="22" t="str">
        <f>IF(OR(E1080="",E1080="!!!"),"",IF(NOT(ISNA(VLOOKUP(E1080,E$1:E1079,1,FALSE()))),"OLD",IF(AND(E1080&lt;&gt;"",E1080&lt;&gt;"!!!"),"NEW","")))</f>
        <v> </v>
      </c>
      <c r="G1080" s="23" t="str">
        <f>IF(OR(E1080="",E1080="!!!"),"",IF(OR(J1080=0,AND(J1080=1,K1080=1),AND(J1080=1,I1080="SBJ"),AND(J1080=1,I1080=0)),"?IN_FOCUS",IF(J1080&lt;=2,"?ACTIVATED",IF(J1080&lt;&gt;"","?FAMILIAR",IF(F1080="NEW",IF(ISNA(VLOOKUP(E1080,#REF!,1,FALSE())),"?TYPE_IDENTIFIABLE","?REFERENTIAL"),"_")))))</f>
        <v> </v>
      </c>
      <c r="H1080" s="24" t="str">
        <f>IF(J1080&lt;&gt;1,"",IF(I1080="SBJ","CB","?"))</f>
        <v> </v>
      </c>
      <c r="I1080" s="25" t="str">
        <f>IF(OR(E1080="",E1080="!!!",F1080="NEW"),"",INDEX(B1079:B$2,-1+SUMPRODUCT(MAX(ROW(E1079:E$2)*(E1080=E1079:E$2)))))</f>
        <v> </v>
      </c>
      <c r="J1080" s="25" t="str">
        <f>IF(OR(E1080="",E1080="!!!",F1080="NEW"),"",COUNTBLANK(OFFSET(A$1,,,SUMPRODUCT(MAX(ROW(E$2:E1080)*(E1080=E$2:E1080)))))-COUNTBLANK(OFFSET(A$1,,,SUMPRODUCT(MAX(ROW(E$1:E1079)*(E2=E$1:E1079))))))</f>
        <v> </v>
      </c>
      <c r="K1080" s="25" t="str">
        <f>IF(OR(E1080="",E1080="!!!",F1080="NEW"),"",INDEX(J$1:J1079,SUMPRODUCT(MAX(ROW(E$1:E1079)*(E1080=E$1:E1079)))))</f>
        <v> </v>
      </c>
      <c r="L1080" s="26"/>
    </row>
    <row r="1081" spans="1:12">
      <c r="A1081" s="20" t="s">
        <v>85</v>
      </c>
      <c r="E1081" s="21">
        <f>IF(D1081="?OLD","!!!","")</f>
        <v/>
      </c>
      <c r="F1081" s="22" t="str">
        <f>IF(OR(E1081="",E1081="!!!"),"",IF(NOT(ISNA(VLOOKUP(E1081,E$1:E1080,1,FALSE()))),"OLD",IF(AND(E1081&lt;&gt;"",E1081&lt;&gt;"!!!"),"NEW","")))</f>
        <v> </v>
      </c>
      <c r="G1081" s="23" t="str">
        <f>IF(OR(E1081="",E1081="!!!"),"",IF(OR(J1081=0,AND(J1081=1,K1081=1),AND(J1081=1,I1081="SBJ"),AND(J1081=1,I1081=0)),"?IN_FOCUS",IF(J1081&lt;=2,"?ACTIVATED",IF(J1081&lt;&gt;"","?FAMILIAR",IF(F1081="NEW",IF(ISNA(VLOOKUP(E1081,#REF!,1,FALSE())),"?TYPE_IDENTIFIABLE","?REFERENTIAL"),"_")))))</f>
        <v> </v>
      </c>
      <c r="H1081" s="24" t="str">
        <f>IF(J1081&lt;&gt;1,"",IF(I1081="SBJ","CB","?"))</f>
        <v> </v>
      </c>
      <c r="I1081" s="25" t="str">
        <f>IF(OR(E1081="",E1081="!!!",F1081="NEW"),"",INDEX(B1080:B$2,-1+SUMPRODUCT(MAX(ROW(E1080:E$2)*(E1081=E1080:E$2)))))</f>
        <v> </v>
      </c>
      <c r="J1081" s="25" t="str">
        <f>IF(OR(E1081="",E1081="!!!",F1081="NEW"),"",COUNTBLANK(OFFSET(A$1,,,SUMPRODUCT(MAX(ROW(E$2:E1081)*(E1081=E$2:E1081)))))-COUNTBLANK(OFFSET(A$1,,,SUMPRODUCT(MAX(ROW(E$1:E1080)*(E2=E$1:E1080))))))</f>
        <v> </v>
      </c>
      <c r="K1081" s="25" t="str">
        <f>IF(OR(E1081="",E1081="!!!",F1081="NEW"),"",INDEX(J$1:J1080,SUMPRODUCT(MAX(ROW(E$1:E1080)*(E1081=E$1:E1080)))))</f>
        <v> </v>
      </c>
      <c r="L1081" s="26"/>
    </row>
    <row r="1082" spans="1:12">
      <c r="A1082" s="20" t="s">
        <v>326</v>
      </c>
      <c r="E1082" s="21">
        <f>IF(D1082="?OLD","!!!","")</f>
        <v/>
      </c>
      <c r="F1082" s="22" t="str">
        <f>IF(OR(E1082="",E1082="!!!"),"",IF(NOT(ISNA(VLOOKUP(E1082,E$1:E1081,1,FALSE()))),"OLD",IF(AND(E1082&lt;&gt;"",E1082&lt;&gt;"!!!"),"NEW","")))</f>
        <v> </v>
      </c>
      <c r="G1082" s="23" t="str">
        <f>IF(OR(E1082="",E1082="!!!"),"",IF(OR(J1082=0,AND(J1082=1,K1082=1),AND(J1082=1,I1082="SBJ"),AND(J1082=1,I1082=0)),"?IN_FOCUS",IF(J1082&lt;=2,"?ACTIVATED",IF(J1082&lt;&gt;"","?FAMILIAR",IF(F1082="NEW",IF(ISNA(VLOOKUP(E1082,#REF!,1,FALSE())),"?TYPE_IDENTIFIABLE","?REFERENTIAL"),"_")))))</f>
        <v> </v>
      </c>
      <c r="H1082" s="24" t="str">
        <f>IF(J1082&lt;&gt;1,"",IF(I1082="SBJ","CB","?"))</f>
        <v> </v>
      </c>
      <c r="I1082" s="25" t="str">
        <f>IF(OR(E1082="",E1082="!!!",F1082="NEW"),"",INDEX(B1081:B$2,-1+SUMPRODUCT(MAX(ROW(E1081:E$2)*(E1082=E1081:E$2)))))</f>
        <v> </v>
      </c>
      <c r="J1082" s="25" t="str">
        <f>IF(OR(E1082="",E1082="!!!",F1082="NEW"),"",COUNTBLANK(OFFSET(A$1,,,SUMPRODUCT(MAX(ROW(E$2:E1082)*(E1082=E$2:E1082)))))-COUNTBLANK(OFFSET(A$1,,,SUMPRODUCT(MAX(ROW(E$1:E1081)*(E2=E$1:E1081))))))</f>
        <v> </v>
      </c>
      <c r="K1082" s="25" t="str">
        <f>IF(OR(E1082="",E1082="!!!",F1082="NEW"),"",INDEX(J$1:J1081,SUMPRODUCT(MAX(ROW(E$1:E1081)*(E1082=E$1:E1081)))))</f>
        <v> </v>
      </c>
      <c r="L1082" s="26"/>
    </row>
    <row r="1083" spans="1:12">
      <c r="A1083" s="20" t="s">
        <v>450</v>
      </c>
      <c r="B1083" s="27" t="s">
        <v>328</v>
      </c>
      <c r="C1083" s="27" t="s">
        <v>284</v>
      </c>
      <c r="D1083" s="27" t="s">
        <v>258</v>
      </c>
      <c r="E1083" s="21">
        <f>IF(D1083="?OLD","!!!","")</f>
        <v/>
      </c>
      <c r="F1083" s="22" t="str">
        <f>IF(OR(E1083="",E1083="!!!"),"",IF(NOT(ISNA(VLOOKUP(E1083,E$1:E1082,1,FALSE()))),"OLD",IF(AND(E1083&lt;&gt;"",E1083&lt;&gt;"!!!"),"NEW","")))</f>
        <v> </v>
      </c>
      <c r="G1083" s="23" t="str">
        <f>IF(OR(E1083="",E1083="!!!"),"",IF(OR(J1083=0,AND(J1083=1,K1083=1),AND(J1083=1,I1083="SBJ"),AND(J1083=1,I1083=0)),"?IN_FOCUS",IF(J1083&lt;=2,"?ACTIVATED",IF(J1083&lt;&gt;"","?FAMILIAR",IF(F1083="NEW",IF(ISNA(VLOOKUP(E1083,#REF!,1,FALSE())),"?TYPE_IDENTIFIABLE","?REFERENTIAL"),"_")))))</f>
        <v> </v>
      </c>
      <c r="H1083" s="24" t="str">
        <f>IF(J1083&lt;&gt;1,"",IF(I1083="SBJ","CB","?"))</f>
        <v> </v>
      </c>
      <c r="I1083" s="25" t="str">
        <f>IF(OR(E1083="",E1083="!!!",F1083="NEW"),"",INDEX(B1082:B$2,-1+SUMPRODUCT(MAX(ROW(E1082:E$2)*(E1083=E1082:E$2)))))</f>
        <v> </v>
      </c>
      <c r="J1083" s="25" t="str">
        <f>IF(OR(E1083="",E1083="!!!",F1083="NEW"),"",COUNTBLANK(OFFSET(A$1,,,SUMPRODUCT(MAX(ROW(E$2:E1083)*(E1083=E$2:E1083)))))-COUNTBLANK(OFFSET(A$1,,,SUMPRODUCT(MAX(ROW(E$1:E1082)*(E2=E$1:E1082))))))</f>
        <v> </v>
      </c>
      <c r="K1083" s="25" t="str">
        <f>IF(OR(E1083="",E1083="!!!",F1083="NEW"),"",INDEX(J$1:J1082,SUMPRODUCT(MAX(ROW(E$1:E1082)*(E1083=E$1:E1082)))))</f>
        <v> </v>
      </c>
      <c r="L1083" s="26"/>
    </row>
    <row r="1084" spans="1:12">
      <c r="A1084" s="20" t="s">
        <v>641</v>
      </c>
      <c r="E1084" s="21">
        <f>IF(D1084="?OLD","!!!","")</f>
        <v/>
      </c>
      <c r="F1084" s="22" t="str">
        <f>IF(OR(E1084="",E1084="!!!"),"",IF(NOT(ISNA(VLOOKUP(E1084,E$1:E1083,1,FALSE()))),"OLD",IF(AND(E1084&lt;&gt;"",E1084&lt;&gt;"!!!"),"NEW","")))</f>
        <v> </v>
      </c>
      <c r="G1084" s="23" t="str">
        <f>IF(OR(E1084="",E1084="!!!"),"",IF(OR(J1084=0,AND(J1084=1,K1084=1),AND(J1084=1,I1084="SBJ"),AND(J1084=1,I1084=0)),"?IN_FOCUS",IF(J1084&lt;=2,"?ACTIVATED",IF(J1084&lt;&gt;"","?FAMILIAR",IF(F1084="NEW",IF(ISNA(VLOOKUP(E1084,#REF!,1,FALSE())),"?TYPE_IDENTIFIABLE","?REFERENTIAL"),"_")))))</f>
        <v> </v>
      </c>
      <c r="H1084" s="24" t="str">
        <f>IF(J1084&lt;&gt;1,"",IF(I1084="SBJ","CB","?"))</f>
        <v> </v>
      </c>
      <c r="I1084" s="25" t="str">
        <f>IF(OR(E1084="",E1084="!!!",F1084="NEW"),"",INDEX(B1083:B$2,-1+SUMPRODUCT(MAX(ROW(E1083:E$2)*(E1084=E1083:E$2)))))</f>
        <v> </v>
      </c>
      <c r="J1084" s="25" t="str">
        <f>IF(OR(E1084="",E1084="!!!",F1084="NEW"),"",COUNTBLANK(OFFSET(A$1,,,SUMPRODUCT(MAX(ROW(E$2:E1084)*(E1084=E$2:E1084)))))-COUNTBLANK(OFFSET(A$1,,,SUMPRODUCT(MAX(ROW(E$1:E1083)*(E2=E$1:E1083))))))</f>
        <v> </v>
      </c>
      <c r="K1084" s="25" t="str">
        <f>IF(OR(E1084="",E1084="!!!",F1084="NEW"),"",INDEX(J$1:J1083,SUMPRODUCT(MAX(ROW(E$1:E1083)*(E1084=E$1:E1083)))))</f>
        <v> </v>
      </c>
      <c r="L1084" s="26"/>
    </row>
    <row r="1085" spans="1:12">
      <c r="A1085" s="20" t="s">
        <v>507</v>
      </c>
      <c r="E1085" s="21">
        <f>IF(D1085="?OLD","!!!","")</f>
        <v/>
      </c>
      <c r="F1085" s="22" t="str">
        <f>IF(OR(E1085="",E1085="!!!"),"",IF(NOT(ISNA(VLOOKUP(E1085,E$1:E1084,1,FALSE()))),"OLD",IF(AND(E1085&lt;&gt;"",E1085&lt;&gt;"!!!"),"NEW","")))</f>
        <v> </v>
      </c>
      <c r="G1085" s="23" t="str">
        <f>IF(OR(E1085="",E1085="!!!"),"",IF(OR(J1085=0,AND(J1085=1,K1085=1),AND(J1085=1,I1085="SBJ"),AND(J1085=1,I1085=0)),"?IN_FOCUS",IF(J1085&lt;=2,"?ACTIVATED",IF(J1085&lt;&gt;"","?FAMILIAR",IF(F1085="NEW",IF(ISNA(VLOOKUP(E1085,#REF!,1,FALSE())),"?TYPE_IDENTIFIABLE","?REFERENTIAL"),"_")))))</f>
        <v> </v>
      </c>
      <c r="H1085" s="24" t="str">
        <f>IF(J1085&lt;&gt;1,"",IF(I1085="SBJ","CB","?"))</f>
        <v> </v>
      </c>
      <c r="I1085" s="25" t="str">
        <f>IF(OR(E1085="",E1085="!!!",F1085="NEW"),"",INDEX(B1084:B$2,-1+SUMPRODUCT(MAX(ROW(E1084:E$2)*(E1085=E1084:E$2)))))</f>
        <v> </v>
      </c>
      <c r="J1085" s="25" t="str">
        <f>IF(OR(E1085="",E1085="!!!",F1085="NEW"),"",COUNTBLANK(OFFSET(A$1,,,SUMPRODUCT(MAX(ROW(E$2:E1085)*(E1085=E$2:E1085)))))-COUNTBLANK(OFFSET(A$1,,,SUMPRODUCT(MAX(ROW(E$1:E1084)*(E2=E$1:E1084))))))</f>
        <v> </v>
      </c>
      <c r="K1085" s="25" t="str">
        <f>IF(OR(E1085="",E1085="!!!",F1085="NEW"),"",INDEX(J$1:J1084,SUMPRODUCT(MAX(ROW(E$1:E1084)*(E1085=E$1:E1084)))))</f>
        <v> </v>
      </c>
      <c r="L1085" s="26"/>
    </row>
    <row r="1086" spans="1:12">
      <c r="A1086" s="20" t="s">
        <v>642</v>
      </c>
      <c r="B1086" s="27" t="s">
        <v>267</v>
      </c>
      <c r="C1086" s="27" t="s">
        <v>287</v>
      </c>
      <c r="D1086" s="27" t="s">
        <v>258</v>
      </c>
      <c r="E1086" s="21">
        <f>IF(D1086="?OLD","!!!","")</f>
        <v/>
      </c>
      <c r="F1086" s="22" t="str">
        <f>IF(OR(E1086="",E1086="!!!"),"",IF(NOT(ISNA(VLOOKUP(E1086,E$1:E1085,1,FALSE()))),"OLD",IF(AND(E1086&lt;&gt;"",E1086&lt;&gt;"!!!"),"NEW","")))</f>
        <v> </v>
      </c>
      <c r="G1086" s="23" t="str">
        <f>IF(OR(E1086="",E1086="!!!"),"",IF(OR(J1086=0,AND(J1086=1,K1086=1),AND(J1086=1,I1086="SBJ"),AND(J1086=1,I1086=0)),"?IN_FOCUS",IF(J1086&lt;=2,"?ACTIVATED",IF(J1086&lt;&gt;"","?FAMILIAR",IF(F1086="NEW",IF(ISNA(VLOOKUP(E1086,#REF!,1,FALSE())),"?TYPE_IDENTIFIABLE","?REFERENTIAL"),"_")))))</f>
        <v> </v>
      </c>
      <c r="H1086" s="24" t="str">
        <f>IF(J1086&lt;&gt;1,"",IF(I1086="SBJ","CB","?"))</f>
        <v> </v>
      </c>
      <c r="I1086" s="25" t="str">
        <f>IF(OR(E1086="",E1086="!!!",F1086="NEW"),"",INDEX(B1085:B$2,-1+SUMPRODUCT(MAX(ROW(E1085:E$2)*(E1086=E1085:E$2)))))</f>
        <v> </v>
      </c>
      <c r="J1086" s="25" t="str">
        <f>IF(OR(E1086="",E1086="!!!",F1086="NEW"),"",COUNTBLANK(OFFSET(A$1,,,SUMPRODUCT(MAX(ROW(E$2:E1086)*(E1086=E$2:E1086)))))-COUNTBLANK(OFFSET(A$1,,,SUMPRODUCT(MAX(ROW(E$1:E1085)*(E2=E$1:E1085))))))</f>
        <v> </v>
      </c>
      <c r="K1086" s="25" t="str">
        <f>IF(OR(E1086="",E1086="!!!",F1086="NEW"),"",INDEX(J$1:J1085,SUMPRODUCT(MAX(ROW(E$1:E1085)*(E1086=E$1:E1085)))))</f>
        <v> </v>
      </c>
      <c r="L1086" s="26"/>
    </row>
    <row r="1087" spans="1:12">
      <c r="A1087" s="20" t="s">
        <v>280</v>
      </c>
      <c r="E1087" s="21">
        <f>IF(D1087="?OLD","!!!","")</f>
        <v/>
      </c>
      <c r="F1087" s="22" t="str">
        <f>IF(OR(E1087="",E1087="!!!"),"",IF(NOT(ISNA(VLOOKUP(E1087,E$1:E1086,1,FALSE()))),"OLD",IF(AND(E1087&lt;&gt;"",E1087&lt;&gt;"!!!"),"NEW","")))</f>
        <v> </v>
      </c>
      <c r="G1087" s="23" t="str">
        <f>IF(OR(E1087="",E1087="!!!"),"",IF(OR(J1087=0,AND(J1087=1,K1087=1),AND(J1087=1,I1087="SBJ"),AND(J1087=1,I1087=0)),"?IN_FOCUS",IF(J1087&lt;=2,"?ACTIVATED",IF(J1087&lt;&gt;"","?FAMILIAR",IF(F1087="NEW",IF(ISNA(VLOOKUP(E1087,#REF!,1,FALSE())),"?TYPE_IDENTIFIABLE","?REFERENTIAL"),"_")))))</f>
        <v> </v>
      </c>
      <c r="H1087" s="24" t="str">
        <f>IF(J1087&lt;&gt;1,"",IF(I1087="SBJ","CB","?"))</f>
        <v> </v>
      </c>
      <c r="I1087" s="25" t="str">
        <f>IF(OR(E1087="",E1087="!!!",F1087="NEW"),"",INDEX(B1086:B$2,-1+SUMPRODUCT(MAX(ROW(E1086:E$2)*(E1087=E1086:E$2)))))</f>
        <v> </v>
      </c>
      <c r="J1087" s="25" t="str">
        <f>IF(OR(E1087="",E1087="!!!",F1087="NEW"),"",COUNTBLANK(OFFSET(A$1,,,SUMPRODUCT(MAX(ROW(E$2:E1087)*(E1087=E$2:E1087)))))-COUNTBLANK(OFFSET(A$1,,,SUMPRODUCT(MAX(ROW(E$1:E1086)*(E2=E$1:E1086))))))</f>
        <v> </v>
      </c>
      <c r="K1087" s="25" t="str">
        <f>IF(OR(E1087="",E1087="!!!",F1087="NEW"),"",INDEX(J$1:J1086,SUMPRODUCT(MAX(ROW(E$1:E1086)*(E1087=E$1:E1086)))))</f>
        <v> </v>
      </c>
      <c r="L1087" s="26"/>
    </row>
    <row r="1088" spans="1:12">
      <c r="A1088" s="20" t="s">
        <v>274</v>
      </c>
      <c r="E1088" s="21">
        <f>IF(D1088="?OLD","!!!","")</f>
        <v/>
      </c>
      <c r="F1088" s="22" t="str">
        <f>IF(OR(E1088="",E1088="!!!"),"",IF(NOT(ISNA(VLOOKUP(E1088,E$1:E1087,1,FALSE()))),"OLD",IF(AND(E1088&lt;&gt;"",E1088&lt;&gt;"!!!"),"NEW","")))</f>
        <v> </v>
      </c>
      <c r="G1088" s="23" t="str">
        <f>IF(OR(E1088="",E1088="!!!"),"",IF(OR(J1088=0,AND(J1088=1,K1088=1),AND(J1088=1,I1088="SBJ"),AND(J1088=1,I1088=0)),"?IN_FOCUS",IF(J1088&lt;=2,"?ACTIVATED",IF(J1088&lt;&gt;"","?FAMILIAR",IF(F1088="NEW",IF(ISNA(VLOOKUP(E1088,#REF!,1,FALSE())),"?TYPE_IDENTIFIABLE","?REFERENTIAL"),"_")))))</f>
        <v> </v>
      </c>
      <c r="H1088" s="24" t="str">
        <f>IF(J1088&lt;&gt;1,"",IF(I1088="SBJ","CB","?"))</f>
        <v> </v>
      </c>
      <c r="I1088" s="25" t="str">
        <f>IF(OR(E1088="",E1088="!!!",F1088="NEW"),"",INDEX(B1087:B$2,-1+SUMPRODUCT(MAX(ROW(E1087:E$2)*(E1088=E1087:E$2)))))</f>
        <v> </v>
      </c>
      <c r="J1088" s="25" t="str">
        <f>IF(OR(E1088="",E1088="!!!",F1088="NEW"),"",COUNTBLANK(OFFSET(A$1,,,SUMPRODUCT(MAX(ROW(E$2:E1088)*(E1088=E$2:E1088)))))-COUNTBLANK(OFFSET(A$1,,,SUMPRODUCT(MAX(ROW(E$1:E1087)*(E2=E$1:E1087))))))</f>
        <v> </v>
      </c>
      <c r="K1088" s="25" t="str">
        <f>IF(OR(E1088="",E1088="!!!",F1088="NEW"),"",INDEX(J$1:J1087,SUMPRODUCT(MAX(ROW(E$1:E1087)*(E1088=E$1:E1087)))))</f>
        <v> </v>
      </c>
      <c r="L1088" s="26"/>
    </row>
    <row r="1089" spans="1:12">
      <c r="A1089" s="20" t="s">
        <v>643</v>
      </c>
      <c r="E1089" s="21">
        <f>IF(D1089="?OLD","!!!","")</f>
        <v/>
      </c>
      <c r="F1089" s="22" t="str">
        <f>IF(OR(E1089="",E1089="!!!"),"",IF(NOT(ISNA(VLOOKUP(E1089,E$1:E1088,1,FALSE()))),"OLD",IF(AND(E1089&lt;&gt;"",E1089&lt;&gt;"!!!"),"NEW","")))</f>
        <v> </v>
      </c>
      <c r="G1089" s="23" t="str">
        <f>IF(OR(E1089="",E1089="!!!"),"",IF(OR(J1089=0,AND(J1089=1,K1089=1),AND(J1089=1,I1089="SBJ"),AND(J1089=1,I1089=0)),"?IN_FOCUS",IF(J1089&lt;=2,"?ACTIVATED",IF(J1089&lt;&gt;"","?FAMILIAR",IF(F1089="NEW",IF(ISNA(VLOOKUP(E1089,#REF!,1,FALSE())),"?TYPE_IDENTIFIABLE","?REFERENTIAL"),"_")))))</f>
        <v> </v>
      </c>
      <c r="H1089" s="24" t="str">
        <f>IF(J1089&lt;&gt;1,"",IF(I1089="SBJ","CB","?"))</f>
        <v> </v>
      </c>
      <c r="I1089" s="25" t="str">
        <f>IF(OR(E1089="",E1089="!!!",F1089="NEW"),"",INDEX(B1088:B$2,-1+SUMPRODUCT(MAX(ROW(E1088:E$2)*(E1089=E1088:E$2)))))</f>
        <v> </v>
      </c>
      <c r="J1089" s="25" t="str">
        <f>IF(OR(E1089="",E1089="!!!",F1089="NEW"),"",COUNTBLANK(OFFSET(A$1,,,SUMPRODUCT(MAX(ROW(E$2:E1089)*(E1089=E$2:E1089)))))-COUNTBLANK(OFFSET(A$1,,,SUMPRODUCT(MAX(ROW(E$1:E1088)*(E2=E$1:E1088))))))</f>
        <v> </v>
      </c>
      <c r="K1089" s="25" t="str">
        <f>IF(OR(E1089="",E1089="!!!",F1089="NEW"),"",INDEX(J$1:J1088,SUMPRODUCT(MAX(ROW(E$1:E1088)*(E1089=E$1:E1088)))))</f>
        <v> </v>
      </c>
      <c r="L1089" s="26"/>
    </row>
    <row r="1090" spans="1:12">
      <c r="A1090" s="20" t="s">
        <v>644</v>
      </c>
      <c r="E1090" s="21">
        <f>IF(D1090="?OLD","!!!","")</f>
        <v/>
      </c>
      <c r="F1090" s="22" t="str">
        <f>IF(OR(E1090="",E1090="!!!"),"",IF(NOT(ISNA(VLOOKUP(E1090,E$1:E1089,1,FALSE()))),"OLD",IF(AND(E1090&lt;&gt;"",E1090&lt;&gt;"!!!"),"NEW","")))</f>
        <v> </v>
      </c>
      <c r="G1090" s="23" t="str">
        <f>IF(OR(E1090="",E1090="!!!"),"",IF(OR(J1090=0,AND(J1090=1,K1090=1),AND(J1090=1,I1090="SBJ"),AND(J1090=1,I1090=0)),"?IN_FOCUS",IF(J1090&lt;=2,"?ACTIVATED",IF(J1090&lt;&gt;"","?FAMILIAR",IF(F1090="NEW",IF(ISNA(VLOOKUP(E1090,#REF!,1,FALSE())),"?TYPE_IDENTIFIABLE","?REFERENTIAL"),"_")))))</f>
        <v> </v>
      </c>
      <c r="H1090" s="24" t="str">
        <f>IF(J1090&lt;&gt;1,"",IF(I1090="SBJ","CB","?"))</f>
        <v> </v>
      </c>
      <c r="I1090" s="25" t="str">
        <f>IF(OR(E1090="",E1090="!!!",F1090="NEW"),"",INDEX(B1089:B$2,-1+SUMPRODUCT(MAX(ROW(E1089:E$2)*(E1090=E1089:E$2)))))</f>
        <v> </v>
      </c>
      <c r="J1090" s="25" t="str">
        <f>IF(OR(E1090="",E1090="!!!",F1090="NEW"),"",COUNTBLANK(OFFSET(A$1,,,SUMPRODUCT(MAX(ROW(E$2:E1090)*(E1090=E$2:E1090)))))-COUNTBLANK(OFFSET(A$1,,,SUMPRODUCT(MAX(ROW(E$1:E1089)*(E2=E$1:E1089))))))</f>
        <v> </v>
      </c>
      <c r="K1090" s="25" t="str">
        <f>IF(OR(E1090="",E1090="!!!",F1090="NEW"),"",INDEX(J$1:J1089,SUMPRODUCT(MAX(ROW(E$1:E1089)*(E1090=E$1:E1089)))))</f>
        <v> </v>
      </c>
      <c r="L1090" s="26"/>
    </row>
    <row r="1091" spans="1:12">
      <c r="A1091" s="20" t="s">
        <v>417</v>
      </c>
      <c r="B1091" s="27" t="s">
        <v>267</v>
      </c>
      <c r="C1091" s="27" t="s">
        <v>277</v>
      </c>
      <c r="D1091" s="27" t="s">
        <v>258</v>
      </c>
      <c r="E1091" s="21">
        <f>IF(D1091="?OLD","!!!","")</f>
        <v/>
      </c>
      <c r="F1091" s="22" t="str">
        <f>IF(OR(E1091="",E1091="!!!"),"",IF(NOT(ISNA(VLOOKUP(E1091,E$1:E1090,1,FALSE()))),"OLD",IF(AND(E1091&lt;&gt;"",E1091&lt;&gt;"!!!"),"NEW","")))</f>
        <v> </v>
      </c>
      <c r="G1091" s="23" t="str">
        <f>IF(OR(E1091="",E1091="!!!"),"",IF(OR(J1091=0,AND(J1091=1,K1091=1),AND(J1091=1,I1091="SBJ"),AND(J1091=1,I1091=0)),"?IN_FOCUS",IF(J1091&lt;=2,"?ACTIVATED",IF(J1091&lt;&gt;"","?FAMILIAR",IF(F1091="NEW",IF(ISNA(VLOOKUP(E1091,#REF!,1,FALSE())),"?TYPE_IDENTIFIABLE","?REFERENTIAL"),"_")))))</f>
        <v> </v>
      </c>
      <c r="H1091" s="24" t="str">
        <f>IF(J1091&lt;&gt;1,"",IF(I1091="SBJ","CB","?"))</f>
        <v> </v>
      </c>
      <c r="I1091" s="25" t="str">
        <f>IF(OR(E1091="",E1091="!!!",F1091="NEW"),"",INDEX(B1090:B$2,-1+SUMPRODUCT(MAX(ROW(E1090:E$2)*(E1091=E1090:E$2)))))</f>
        <v> </v>
      </c>
      <c r="J1091" s="25" t="str">
        <f>IF(OR(E1091="",E1091="!!!",F1091="NEW"),"",COUNTBLANK(OFFSET(A$1,,,SUMPRODUCT(MAX(ROW(E$2:E1091)*(E1091=E$2:E1091)))))-COUNTBLANK(OFFSET(A$1,,,SUMPRODUCT(MAX(ROW(E$1:E1090)*(E2=E$1:E1090))))))</f>
        <v> </v>
      </c>
      <c r="K1091" s="25" t="str">
        <f>IF(OR(E1091="",E1091="!!!",F1091="NEW"),"",INDEX(J$1:J1090,SUMPRODUCT(MAX(ROW(E$1:E1090)*(E1091=E$1:E1090)))))</f>
        <v> </v>
      </c>
      <c r="L1091" s="26"/>
    </row>
    <row r="1092" spans="1:12">
      <c r="A1092" s="20" t="s">
        <v>320</v>
      </c>
      <c r="E1092" s="21">
        <f>IF(D1092="?OLD","!!!","")</f>
        <v/>
      </c>
      <c r="F1092" s="22" t="str">
        <f>IF(OR(E1092="",E1092="!!!"),"",IF(NOT(ISNA(VLOOKUP(E1092,E$1:E1091,1,FALSE()))),"OLD",IF(AND(E1092&lt;&gt;"",E1092&lt;&gt;"!!!"),"NEW","")))</f>
        <v> </v>
      </c>
      <c r="G1092" s="23" t="str">
        <f>IF(OR(E1092="",E1092="!!!"),"",IF(OR(J1092=0,AND(J1092=1,K1092=1),AND(J1092=1,I1092="SBJ"),AND(J1092=1,I1092=0)),"?IN_FOCUS",IF(J1092&lt;=2,"?ACTIVATED",IF(J1092&lt;&gt;"","?FAMILIAR",IF(F1092="NEW",IF(ISNA(VLOOKUP(E1092,#REF!,1,FALSE())),"?TYPE_IDENTIFIABLE","?REFERENTIAL"),"_")))))</f>
        <v> </v>
      </c>
      <c r="H1092" s="24" t="str">
        <f>IF(J1092&lt;&gt;1,"",IF(I1092="SBJ","CB","?"))</f>
        <v> </v>
      </c>
      <c r="I1092" s="25" t="str">
        <f>IF(OR(E1092="",E1092="!!!",F1092="NEW"),"",INDEX(B1091:B$2,-1+SUMPRODUCT(MAX(ROW(E1091:E$2)*(E1092=E1091:E$2)))))</f>
        <v> </v>
      </c>
      <c r="J1092" s="25" t="str">
        <f>IF(OR(E1092="",E1092="!!!",F1092="NEW"),"",COUNTBLANK(OFFSET(A$1,,,SUMPRODUCT(MAX(ROW(E$2:E1092)*(E1092=E$2:E1092)))))-COUNTBLANK(OFFSET(A$1,,,SUMPRODUCT(MAX(ROW(E$1:E1091)*(E2=E$1:E1091))))))</f>
        <v> </v>
      </c>
      <c r="K1092" s="25" t="str">
        <f>IF(OR(E1092="",E1092="!!!",F1092="NEW"),"",INDEX(J$1:J1091,SUMPRODUCT(MAX(ROW(E$1:E1091)*(E1092=E$1:E1091)))))</f>
        <v> </v>
      </c>
      <c r="L1092" s="26"/>
    </row>
    <row r="1093" spans="1:12">
      <c r="A1093" s="20"/>
    </row>
    <row r="1094" spans="1:12">
      <c r="A1094" s="20" t="s">
        <v>645</v>
      </c>
    </row>
    <row r="1095" spans="1:12">
      <c r="A1095" s="20" t="s">
        <v>322</v>
      </c>
      <c r="E1095" s="21">
        <f>IF(D1095="?OLD","!!!","")</f>
        <v/>
      </c>
      <c r="F1095" s="22" t="str">
        <f>IF(OR(E1095="",E1095="!!!"),"",IF(NOT(ISNA(VLOOKUP(E1095,E$1:E1094,1,FALSE()))),"OLD",IF(AND(E1095&lt;&gt;"",E1095&lt;&gt;"!!!"),"NEW","")))</f>
        <v> </v>
      </c>
      <c r="G1095" s="23" t="str">
        <f>IF(OR(E1095="",E1095="!!!"),"",IF(OR(J1095=0,AND(J1095=1,K1095=1),AND(J1095=1,I1095="SBJ"),AND(J1095=1,I1095=0)),"?IN_FOCUS",IF(J1095&lt;=2,"?ACTIVATED",IF(J1095&lt;&gt;"","?FAMILIAR",IF(F1095="NEW",IF(ISNA(VLOOKUP(E1095,#REF!,1,FALSE())),"?TYPE_IDENTIFIABLE","?REFERENTIAL"),"_")))))</f>
        <v> </v>
      </c>
      <c r="H1095" s="24" t="str">
        <f>IF(J1095&lt;&gt;1,"",IF(I1095="SBJ","CB","?"))</f>
        <v> </v>
      </c>
      <c r="I1095" s="25" t="str">
        <f>IF(OR(E1095="",E1095="!!!",F1095="NEW"),"",INDEX(B1094:B$2,-1+SUMPRODUCT(MAX(ROW(E1094:E$2)*(E1095=E1094:E$2)))))</f>
        <v> </v>
      </c>
      <c r="J1095" s="25" t="str">
        <f>IF(OR(E1095="",E1095="!!!",F1095="NEW"),"",COUNTBLANK(OFFSET(A$1,,,SUMPRODUCT(MAX(ROW(E$2:E1095)*(E1095=E$2:E1095)))))-COUNTBLANK(OFFSET(A$1,,,SUMPRODUCT(MAX(ROW(E$1:E1094)*(E2=E$1:E1094))))))</f>
        <v> </v>
      </c>
      <c r="K1095" s="25" t="str">
        <f>IF(OR(E1095="",E1095="!!!",F1095="NEW"),"",INDEX(J$1:J1094,SUMPRODUCT(MAX(ROW(E$1:E1094)*(E1095=E$1:E1094)))))</f>
        <v> </v>
      </c>
      <c r="L1095" s="26"/>
    </row>
    <row r="1096" spans="1:12">
      <c r="A1096" s="20" t="s">
        <v>255</v>
      </c>
      <c r="B1096" s="27" t="s">
        <v>276</v>
      </c>
      <c r="C1096" s="27" t="s">
        <v>257</v>
      </c>
      <c r="D1096" s="27" t="s">
        <v>258</v>
      </c>
      <c r="E1096" s="21">
        <f>IF(D1096="?OLD","!!!","")</f>
        <v/>
      </c>
      <c r="F1096" s="22" t="str">
        <f>IF(OR(E1096="",E1096="!!!"),"",IF(NOT(ISNA(VLOOKUP(E1096,E$1:E1095,1,FALSE()))),"OLD",IF(AND(E1096&lt;&gt;"",E1096&lt;&gt;"!!!"),"NEW","")))</f>
        <v> </v>
      </c>
      <c r="G1096" s="23" t="str">
        <f>IF(OR(E1096="",E1096="!!!"),"",IF(OR(J1096=0,AND(J1096=1,K1096=1),AND(J1096=1,I1096="SBJ"),AND(J1096=1,I1096=0)),"?IN_FOCUS",IF(J1096&lt;=2,"?ACTIVATED",IF(J1096&lt;&gt;"","?FAMILIAR",IF(F1096="NEW",IF(ISNA(VLOOKUP(E1096,#REF!,1,FALSE())),"?TYPE_IDENTIFIABLE","?REFERENTIAL"),"_")))))</f>
        <v> </v>
      </c>
      <c r="H1096" s="24" t="str">
        <f>IF(J1096&lt;&gt;1,"",IF(I1096="SBJ","CB","?"))</f>
        <v> </v>
      </c>
      <c r="I1096" s="25" t="str">
        <f>IF(OR(E1096="",E1096="!!!",F1096="NEW"),"",INDEX(B1095:B$2,-1+SUMPRODUCT(MAX(ROW(E1095:E$2)*(E1096=E1095:E$2)))))</f>
        <v> </v>
      </c>
      <c r="J1096" s="25" t="str">
        <f>IF(OR(E1096="",E1096="!!!",F1096="NEW"),"",COUNTBLANK(OFFSET(A$1,,,SUMPRODUCT(MAX(ROW(E$2:E1096)*(E1096=E$2:E1096)))))-COUNTBLANK(OFFSET(A$1,,,SUMPRODUCT(MAX(ROW(E$1:E1095)*(E2=E$1:E1095))))))</f>
        <v> </v>
      </c>
      <c r="K1096" s="25" t="str">
        <f>IF(OR(E1096="",E1096="!!!",F1096="NEW"),"",INDEX(J$1:J1095,SUMPRODUCT(MAX(ROW(E$1:E1095)*(E1096=E$1:E1095)))))</f>
        <v> </v>
      </c>
      <c r="L1096" s="26"/>
    </row>
    <row r="1097" spans="1:12">
      <c r="A1097" s="20" t="s">
        <v>259</v>
      </c>
      <c r="E1097" s="21">
        <f>IF(D1097="?OLD","!!!","")</f>
        <v/>
      </c>
      <c r="F1097" s="22" t="str">
        <f>IF(OR(E1097="",E1097="!!!"),"",IF(NOT(ISNA(VLOOKUP(E1097,E$1:E1096,1,FALSE()))),"OLD",IF(AND(E1097&lt;&gt;"",E1097&lt;&gt;"!!!"),"NEW","")))</f>
        <v> </v>
      </c>
      <c r="G1097" s="23" t="str">
        <f>IF(OR(E1097="",E1097="!!!"),"",IF(OR(J1097=0,AND(J1097=1,K1097=1),AND(J1097=1,I1097="SBJ"),AND(J1097=1,I1097=0)),"?IN_FOCUS",IF(J1097&lt;=2,"?ACTIVATED",IF(J1097&lt;&gt;"","?FAMILIAR",IF(F1097="NEW",IF(ISNA(VLOOKUP(E1097,#REF!,1,FALSE())),"?TYPE_IDENTIFIABLE","?REFERENTIAL"),"_")))))</f>
        <v> </v>
      </c>
      <c r="H1097" s="24" t="str">
        <f>IF(J1097&lt;&gt;1,"",IF(I1097="SBJ","CB","?"))</f>
        <v> </v>
      </c>
      <c r="I1097" s="25" t="str">
        <f>IF(OR(E1097="",E1097="!!!",F1097="NEW"),"",INDEX(B1096:B$2,-1+SUMPRODUCT(MAX(ROW(E1096:E$2)*(E1097=E1096:E$2)))))</f>
        <v> </v>
      </c>
      <c r="J1097" s="25" t="str">
        <f>IF(OR(E1097="",E1097="!!!",F1097="NEW"),"",COUNTBLANK(OFFSET(A$1,,,SUMPRODUCT(MAX(ROW(E$2:E1097)*(E1097=E$2:E1097)))))-COUNTBLANK(OFFSET(A$1,,,SUMPRODUCT(MAX(ROW(E$1:E1096)*(E2=E$1:E1096))))))</f>
        <v> </v>
      </c>
      <c r="K1097" s="25" t="str">
        <f>IF(OR(E1097="",E1097="!!!",F1097="NEW"),"",INDEX(J$1:J1096,SUMPRODUCT(MAX(ROW(E$1:E1096)*(E1097=E$1:E1096)))))</f>
        <v> </v>
      </c>
      <c r="L1097" s="26"/>
    </row>
    <row r="1098" spans="1:12">
      <c r="A1098" s="20" t="s">
        <v>75</v>
      </c>
      <c r="E1098" s="21">
        <f>IF(D1098="?OLD","!!!","")</f>
        <v/>
      </c>
      <c r="F1098" s="22" t="str">
        <f>IF(OR(E1098="",E1098="!!!"),"",IF(NOT(ISNA(VLOOKUP(E1098,E$1:E1097,1,FALSE()))),"OLD",IF(AND(E1098&lt;&gt;"",E1098&lt;&gt;"!!!"),"NEW","")))</f>
        <v> </v>
      </c>
      <c r="G1098" s="23" t="str">
        <f>IF(OR(E1098="",E1098="!!!"),"",IF(OR(J1098=0,AND(J1098=1,K1098=1),AND(J1098=1,I1098="SBJ"),AND(J1098=1,I1098=0)),"?IN_FOCUS",IF(J1098&lt;=2,"?ACTIVATED",IF(J1098&lt;&gt;"","?FAMILIAR",IF(F1098="NEW",IF(ISNA(VLOOKUP(E1098,#REF!,1,FALSE())),"?TYPE_IDENTIFIABLE","?REFERENTIAL"),"_")))))</f>
        <v> </v>
      </c>
      <c r="H1098" s="24" t="str">
        <f>IF(J1098&lt;&gt;1,"",IF(I1098="SBJ","CB","?"))</f>
        <v> </v>
      </c>
      <c r="I1098" s="25" t="str">
        <f>IF(OR(E1098="",E1098="!!!",F1098="NEW"),"",INDEX(B1097:B$2,-1+SUMPRODUCT(MAX(ROW(E1097:E$2)*(E1098=E1097:E$2)))))</f>
        <v> </v>
      </c>
      <c r="J1098" s="25" t="str">
        <f>IF(OR(E1098="",E1098="!!!",F1098="NEW"),"",COUNTBLANK(OFFSET(A$1,,,SUMPRODUCT(MAX(ROW(E$2:E1098)*(E1098=E$2:E1098)))))-COUNTBLANK(OFFSET(A$1,,,SUMPRODUCT(MAX(ROW(E$1:E1097)*(E2=E$1:E1097))))))</f>
        <v> </v>
      </c>
      <c r="K1098" s="25" t="str">
        <f>IF(OR(E1098="",E1098="!!!",F1098="NEW"),"",INDEX(J$1:J1097,SUMPRODUCT(MAX(ROW(E$1:E1097)*(E1098=E$1:E1097)))))</f>
        <v> </v>
      </c>
      <c r="L1098" s="26"/>
    </row>
    <row r="1099" spans="1:12">
      <c r="A1099" s="20" t="s">
        <v>410</v>
      </c>
      <c r="E1099" s="21">
        <f>IF(D1099="?OLD","!!!","")</f>
        <v/>
      </c>
      <c r="F1099" s="22" t="str">
        <f>IF(OR(E1099="",E1099="!!!"),"",IF(NOT(ISNA(VLOOKUP(E1099,E$1:E1098,1,FALSE()))),"OLD",IF(AND(E1099&lt;&gt;"",E1099&lt;&gt;"!!!"),"NEW","")))</f>
        <v> </v>
      </c>
      <c r="G1099" s="23" t="str">
        <f>IF(OR(E1099="",E1099="!!!"),"",IF(OR(J1099=0,AND(J1099=1,K1099=1),AND(J1099=1,I1099="SBJ"),AND(J1099=1,I1099=0)),"?IN_FOCUS",IF(J1099&lt;=2,"?ACTIVATED",IF(J1099&lt;&gt;"","?FAMILIAR",IF(F1099="NEW",IF(ISNA(VLOOKUP(E1099,#REF!,1,FALSE())),"?TYPE_IDENTIFIABLE","?REFERENTIAL"),"_")))))</f>
        <v> </v>
      </c>
      <c r="H1099" s="24" t="str">
        <f>IF(J1099&lt;&gt;1,"",IF(I1099="SBJ","CB","?"))</f>
        <v> </v>
      </c>
      <c r="I1099" s="25" t="str">
        <f>IF(OR(E1099="",E1099="!!!",F1099="NEW"),"",INDEX(B1098:B$2,-1+SUMPRODUCT(MAX(ROW(E1098:E$2)*(E1099=E1098:E$2)))))</f>
        <v> </v>
      </c>
      <c r="J1099" s="25" t="str">
        <f>IF(OR(E1099="",E1099="!!!",F1099="NEW"),"",COUNTBLANK(OFFSET(A$1,,,SUMPRODUCT(MAX(ROW(E$2:E1099)*(E1099=E$2:E1099)))))-COUNTBLANK(OFFSET(A$1,,,SUMPRODUCT(MAX(ROW(E$1:E1098)*(E2=E$1:E1098))))))</f>
        <v> </v>
      </c>
      <c r="K1099" s="25" t="str">
        <f>IF(OR(E1099="",E1099="!!!",F1099="NEW"),"",INDEX(J$1:J1098,SUMPRODUCT(MAX(ROW(E$1:E1098)*(E1099=E$1:E1098)))))</f>
        <v> </v>
      </c>
      <c r="L1099" s="26"/>
    </row>
    <row r="1100" spans="1:12">
      <c r="A1100" s="20" t="s">
        <v>222</v>
      </c>
      <c r="B1100" s="27" t="s">
        <v>333</v>
      </c>
      <c r="C1100" s="27" t="s">
        <v>300</v>
      </c>
      <c r="E1100" s="21">
        <f>IF(D1100="?OLD","!!!","")</f>
        <v/>
      </c>
      <c r="F1100" s="22" t="str">
        <f>IF(OR(E1100="",E1100="!!!"),"",IF(NOT(ISNA(VLOOKUP(E1100,E$1:E1099,1,FALSE()))),"OLD",IF(AND(E1100&lt;&gt;"",E1100&lt;&gt;"!!!"),"NEW","")))</f>
        <v> </v>
      </c>
      <c r="G1100" s="23" t="str">
        <f>IF(OR(E1100="",E1100="!!!"),"",IF(OR(J1100=0,AND(J1100=1,K1100=1),AND(J1100=1,I1100="SBJ"),AND(J1100=1,I1100=0)),"?IN_FOCUS",IF(J1100&lt;=2,"?ACTIVATED",IF(J1100&lt;&gt;"","?FAMILIAR",IF(F1100="NEW",IF(ISNA(VLOOKUP(E1100,#REF!,1,FALSE())),"?TYPE_IDENTIFIABLE","?REFERENTIAL"),"_")))))</f>
        <v> </v>
      </c>
      <c r="H1100" s="24" t="str">
        <f>IF(J1100&lt;&gt;1,"",IF(I1100="SBJ","CB","?"))</f>
        <v> </v>
      </c>
      <c r="I1100" s="25" t="str">
        <f>IF(OR(E1100="",E1100="!!!",F1100="NEW"),"",INDEX(B1099:B$2,-1+SUMPRODUCT(MAX(ROW(E1099:E$2)*(E1100=E1099:E$2)))))</f>
        <v> </v>
      </c>
      <c r="J1100" s="25" t="str">
        <f>IF(OR(E1100="",E1100="!!!",F1100="NEW"),"",COUNTBLANK(OFFSET(A$1,,,SUMPRODUCT(MAX(ROW(E$2:E1100)*(E1100=E$2:E1100)))))-COUNTBLANK(OFFSET(A$1,,,SUMPRODUCT(MAX(ROW(E$1:E1099)*(E2=E$1:E1099))))))</f>
        <v> </v>
      </c>
      <c r="K1100" s="25" t="str">
        <f>IF(OR(E1100="",E1100="!!!",F1100="NEW"),"",INDEX(J$1:J1099,SUMPRODUCT(MAX(ROW(E$1:E1099)*(E1100=E$1:E1099)))))</f>
        <v> </v>
      </c>
      <c r="L1100" s="26"/>
    </row>
    <row r="1101" spans="1:12">
      <c r="A1101" s="20" t="s">
        <v>255</v>
      </c>
      <c r="B1101" s="27" t="s">
        <v>323</v>
      </c>
      <c r="C1101" s="27" t="s">
        <v>257</v>
      </c>
      <c r="D1101" s="27" t="s">
        <v>258</v>
      </c>
      <c r="E1101" s="21">
        <f>IF(D1101="?OLD","!!!","")</f>
        <v/>
      </c>
      <c r="F1101" s="22" t="str">
        <f>IF(OR(E1101="",E1101="!!!"),"",IF(NOT(ISNA(VLOOKUP(E1101,E$1:E1100,1,FALSE()))),"OLD",IF(AND(E1101&lt;&gt;"",E1101&lt;&gt;"!!!"),"NEW","")))</f>
        <v> </v>
      </c>
      <c r="G1101" s="23" t="str">
        <f>IF(OR(E1101="",E1101="!!!"),"",IF(OR(J1101=0,AND(J1101=1,K1101=1),AND(J1101=1,I1101="SBJ"),AND(J1101=1,I1101=0)),"?IN_FOCUS",IF(J1101&lt;=2,"?ACTIVATED",IF(J1101&lt;&gt;"","?FAMILIAR",IF(F1101="NEW",IF(ISNA(VLOOKUP(E1101,#REF!,1,FALSE())),"?TYPE_IDENTIFIABLE","?REFERENTIAL"),"_")))))</f>
        <v> </v>
      </c>
      <c r="H1101" s="24" t="str">
        <f>IF(J1101&lt;&gt;1,"",IF(I1101="SBJ","CB","?"))</f>
        <v> </v>
      </c>
      <c r="I1101" s="25" t="str">
        <f>IF(OR(E1101="",E1101="!!!",F1101="NEW"),"",INDEX(B1100:B$2,-1+SUMPRODUCT(MAX(ROW(E1100:E$2)*(E1101=E1100:E$2)))))</f>
        <v> </v>
      </c>
      <c r="J1101" s="25" t="str">
        <f>IF(OR(E1101="",E1101="!!!",F1101="NEW"),"",COUNTBLANK(OFFSET(A$1,,,SUMPRODUCT(MAX(ROW(E$2:E1101)*(E1101=E$2:E1101)))))-COUNTBLANK(OFFSET(A$1,,,SUMPRODUCT(MAX(ROW(E$1:E1100)*(E2=E$1:E1100))))))</f>
        <v> </v>
      </c>
      <c r="K1101" s="25" t="str">
        <f>IF(OR(E1101="",E1101="!!!",F1101="NEW"),"",INDEX(J$1:J1100,SUMPRODUCT(MAX(ROW(E$1:E1100)*(E1101=E$1:E1100)))))</f>
        <v> </v>
      </c>
      <c r="L1101" s="26"/>
    </row>
    <row r="1102" spans="1:12">
      <c r="A1102" s="20" t="s">
        <v>523</v>
      </c>
      <c r="E1102" s="21">
        <f>IF(D1102="?OLD","!!!","")</f>
        <v/>
      </c>
      <c r="F1102" s="22" t="str">
        <f>IF(OR(E1102="",E1102="!!!"),"",IF(NOT(ISNA(VLOOKUP(E1102,E$1:E1101,1,FALSE()))),"OLD",IF(AND(E1102&lt;&gt;"",E1102&lt;&gt;"!!!"),"NEW","")))</f>
        <v> </v>
      </c>
      <c r="G1102" s="23" t="str">
        <f>IF(OR(E1102="",E1102="!!!"),"",IF(OR(J1102=0,AND(J1102=1,K1102=1),AND(J1102=1,I1102="SBJ"),AND(J1102=1,I1102=0)),"?IN_FOCUS",IF(J1102&lt;=2,"?ACTIVATED",IF(J1102&lt;&gt;"","?FAMILIAR",IF(F1102="NEW",IF(ISNA(VLOOKUP(E1102,#REF!,1,FALSE())),"?TYPE_IDENTIFIABLE","?REFERENTIAL"),"_")))))</f>
        <v> </v>
      </c>
      <c r="H1102" s="24" t="str">
        <f>IF(J1102&lt;&gt;1,"",IF(I1102="SBJ","CB","?"))</f>
        <v> </v>
      </c>
      <c r="I1102" s="25" t="str">
        <f>IF(OR(E1102="",E1102="!!!",F1102="NEW"),"",INDEX(B1101:B$2,-1+SUMPRODUCT(MAX(ROW(E1101:E$2)*(E1102=E1101:E$2)))))</f>
        <v> </v>
      </c>
      <c r="J1102" s="25" t="str">
        <f>IF(OR(E1102="",E1102="!!!",F1102="NEW"),"",COUNTBLANK(OFFSET(A$1,,,SUMPRODUCT(MAX(ROW(E$2:E1102)*(E1102=E$2:E1102)))))-COUNTBLANK(OFFSET(A$1,,,SUMPRODUCT(MAX(ROW(E$1:E1101)*(E2=E$1:E1101))))))</f>
        <v> </v>
      </c>
      <c r="K1102" s="25" t="str">
        <f>IF(OR(E1102="",E1102="!!!",F1102="NEW"),"",INDEX(J$1:J1101,SUMPRODUCT(MAX(ROW(E$1:E1101)*(E1102=E$1:E1101)))))</f>
        <v> </v>
      </c>
      <c r="L1102" s="26"/>
    </row>
    <row r="1103" spans="1:12">
      <c r="A1103" s="20" t="s">
        <v>522</v>
      </c>
      <c r="E1103" s="21">
        <f>IF(D1103="?OLD","!!!","")</f>
        <v/>
      </c>
      <c r="F1103" s="22" t="str">
        <f>IF(OR(E1103="",E1103="!!!"),"",IF(NOT(ISNA(VLOOKUP(E1103,E$1:E1102,1,FALSE()))),"OLD",IF(AND(E1103&lt;&gt;"",E1103&lt;&gt;"!!!"),"NEW","")))</f>
        <v> </v>
      </c>
      <c r="G1103" s="23" t="str">
        <f>IF(OR(E1103="",E1103="!!!"),"",IF(OR(J1103=0,AND(J1103=1,K1103=1),AND(J1103=1,I1103="SBJ"),AND(J1103=1,I1103=0)),"?IN_FOCUS",IF(J1103&lt;=2,"?ACTIVATED",IF(J1103&lt;&gt;"","?FAMILIAR",IF(F1103="NEW",IF(ISNA(VLOOKUP(E1103,#REF!,1,FALSE())),"?TYPE_IDENTIFIABLE","?REFERENTIAL"),"_")))))</f>
        <v> </v>
      </c>
      <c r="H1103" s="24" t="str">
        <f>IF(J1103&lt;&gt;1,"",IF(I1103="SBJ","CB","?"))</f>
        <v> </v>
      </c>
      <c r="I1103" s="25" t="str">
        <f>IF(OR(E1103="",E1103="!!!",F1103="NEW"),"",INDEX(B1102:B$2,-1+SUMPRODUCT(MAX(ROW(E1102:E$2)*(E1103=E1102:E$2)))))</f>
        <v> </v>
      </c>
      <c r="J1103" s="25" t="str">
        <f>IF(OR(E1103="",E1103="!!!",F1103="NEW"),"",COUNTBLANK(OFFSET(A$1,,,SUMPRODUCT(MAX(ROW(E$2:E1103)*(E1103=E$2:E1103)))))-COUNTBLANK(OFFSET(A$1,,,SUMPRODUCT(MAX(ROW(E$1:E1102)*(E2=E$1:E1102))))))</f>
        <v> </v>
      </c>
      <c r="K1103" s="25" t="str">
        <f>IF(OR(E1103="",E1103="!!!",F1103="NEW"),"",INDEX(J$1:J1102,SUMPRODUCT(MAX(ROW(E$1:E1102)*(E1103=E$1:E1102)))))</f>
        <v> </v>
      </c>
      <c r="L1103" s="26"/>
    </row>
    <row r="1104" spans="1:12">
      <c r="A1104" s="20" t="s">
        <v>375</v>
      </c>
      <c r="E1104" s="21">
        <f>IF(D1104="?OLD","!!!","")</f>
        <v/>
      </c>
      <c r="F1104" s="22" t="str">
        <f>IF(OR(E1104="",E1104="!!!"),"",IF(NOT(ISNA(VLOOKUP(E1104,E$1:E1103,1,FALSE()))),"OLD",IF(AND(E1104&lt;&gt;"",E1104&lt;&gt;"!!!"),"NEW","")))</f>
        <v> </v>
      </c>
      <c r="G1104" s="23" t="str">
        <f>IF(OR(E1104="",E1104="!!!"),"",IF(OR(J1104=0,AND(J1104=1,K1104=1),AND(J1104=1,I1104="SBJ"),AND(J1104=1,I1104=0)),"?IN_FOCUS",IF(J1104&lt;=2,"?ACTIVATED",IF(J1104&lt;&gt;"","?FAMILIAR",IF(F1104="NEW",IF(ISNA(VLOOKUP(E1104,#REF!,1,FALSE())),"?TYPE_IDENTIFIABLE","?REFERENTIAL"),"_")))))</f>
        <v> </v>
      </c>
      <c r="H1104" s="24" t="str">
        <f>IF(J1104&lt;&gt;1,"",IF(I1104="SBJ","CB","?"))</f>
        <v> </v>
      </c>
      <c r="I1104" s="25" t="str">
        <f>IF(OR(E1104="",E1104="!!!",F1104="NEW"),"",INDEX(B1103:B$2,-1+SUMPRODUCT(MAX(ROW(E1103:E$2)*(E1104=E1103:E$2)))))</f>
        <v> </v>
      </c>
      <c r="J1104" s="25" t="str">
        <f>IF(OR(E1104="",E1104="!!!",F1104="NEW"),"",COUNTBLANK(OFFSET(A$1,,,SUMPRODUCT(MAX(ROW(E$2:E1104)*(E1104=E$2:E1104)))))-COUNTBLANK(OFFSET(A$1,,,SUMPRODUCT(MAX(ROW(E$1:E1103)*(E2=E$1:E1103))))))</f>
        <v> </v>
      </c>
      <c r="K1104" s="25" t="str">
        <f>IF(OR(E1104="",E1104="!!!",F1104="NEW"),"",INDEX(J$1:J1103,SUMPRODUCT(MAX(ROW(E$1:E1103)*(E1104=E$1:E1103)))))</f>
        <v> </v>
      </c>
      <c r="L1104" s="26"/>
    </row>
    <row r="1105" spans="1:12">
      <c r="A1105" s="20" t="s">
        <v>457</v>
      </c>
      <c r="E1105" s="21">
        <f>IF(D1105="?OLD","!!!","")</f>
        <v/>
      </c>
      <c r="F1105" s="22" t="str">
        <f>IF(OR(E1105="",E1105="!!!"),"",IF(NOT(ISNA(VLOOKUP(E1105,E$1:E1104,1,FALSE()))),"OLD",IF(AND(E1105&lt;&gt;"",E1105&lt;&gt;"!!!"),"NEW","")))</f>
        <v> </v>
      </c>
      <c r="G1105" s="23" t="str">
        <f>IF(OR(E1105="",E1105="!!!"),"",IF(OR(J1105=0,AND(J1105=1,K1105=1),AND(J1105=1,I1105="SBJ"),AND(J1105=1,I1105=0)),"?IN_FOCUS",IF(J1105&lt;=2,"?ACTIVATED",IF(J1105&lt;&gt;"","?FAMILIAR",IF(F1105="NEW",IF(ISNA(VLOOKUP(E1105,#REF!,1,FALSE())),"?TYPE_IDENTIFIABLE","?REFERENTIAL"),"_")))))</f>
        <v> </v>
      </c>
      <c r="H1105" s="24" t="str">
        <f>IF(J1105&lt;&gt;1,"",IF(I1105="SBJ","CB","?"))</f>
        <v> </v>
      </c>
      <c r="I1105" s="25" t="str">
        <f>IF(OR(E1105="",E1105="!!!",F1105="NEW"),"",INDEX(B1104:B$2,-1+SUMPRODUCT(MAX(ROW(E1104:E$2)*(E1105=E1104:E$2)))))</f>
        <v> </v>
      </c>
      <c r="J1105" s="25" t="str">
        <f>IF(OR(E1105="",E1105="!!!",F1105="NEW"),"",COUNTBLANK(OFFSET(A$1,,,SUMPRODUCT(MAX(ROW(E$2:E1105)*(E1105=E$2:E1105)))))-COUNTBLANK(OFFSET(A$1,,,SUMPRODUCT(MAX(ROW(E$1:E1104)*(E2=E$1:E1104))))))</f>
        <v> </v>
      </c>
      <c r="K1105" s="25" t="str">
        <f>IF(OR(E1105="",E1105="!!!",F1105="NEW"),"",INDEX(J$1:J1104,SUMPRODUCT(MAX(ROW(E$1:E1104)*(E1105=E$1:E1104)))))</f>
        <v> </v>
      </c>
      <c r="L1105" s="26"/>
    </row>
    <row r="1106" spans="1:12">
      <c r="A1106" s="20" t="s">
        <v>615</v>
      </c>
      <c r="E1106" s="21">
        <f>IF(D1106="?OLD","!!!","")</f>
        <v/>
      </c>
      <c r="F1106" s="22" t="str">
        <f>IF(OR(E1106="",E1106="!!!"),"",IF(NOT(ISNA(VLOOKUP(E1106,E$1:E1105,1,FALSE()))),"OLD",IF(AND(E1106&lt;&gt;"",E1106&lt;&gt;"!!!"),"NEW","")))</f>
        <v> </v>
      </c>
      <c r="G1106" s="23" t="str">
        <f>IF(OR(E1106="",E1106="!!!"),"",IF(OR(J1106=0,AND(J1106=1,K1106=1),AND(J1106=1,I1106="SBJ"),AND(J1106=1,I1106=0)),"?IN_FOCUS",IF(J1106&lt;=2,"?ACTIVATED",IF(J1106&lt;&gt;"","?FAMILIAR",IF(F1106="NEW",IF(ISNA(VLOOKUP(E1106,#REF!,1,FALSE())),"?TYPE_IDENTIFIABLE","?REFERENTIAL"),"_")))))</f>
        <v> </v>
      </c>
      <c r="H1106" s="24" t="str">
        <f>IF(J1106&lt;&gt;1,"",IF(I1106="SBJ","CB","?"))</f>
        <v> </v>
      </c>
      <c r="I1106" s="25" t="str">
        <f>IF(OR(E1106="",E1106="!!!",F1106="NEW"),"",INDEX(B1105:B$2,-1+SUMPRODUCT(MAX(ROW(E1105:E$2)*(E1106=E1105:E$2)))))</f>
        <v> </v>
      </c>
      <c r="J1106" s="25" t="str">
        <f>IF(OR(E1106="",E1106="!!!",F1106="NEW"),"",COUNTBLANK(OFFSET(A$1,,,SUMPRODUCT(MAX(ROW(E$2:E1106)*(E1106=E$2:E1106)))))-COUNTBLANK(OFFSET(A$1,,,SUMPRODUCT(MAX(ROW(E$1:E1105)*(E2=E$1:E1105))))))</f>
        <v> </v>
      </c>
      <c r="K1106" s="25" t="str">
        <f>IF(OR(E1106="",E1106="!!!",F1106="NEW"),"",INDEX(J$1:J1105,SUMPRODUCT(MAX(ROW(E$1:E1105)*(E1106=E$1:E1105)))))</f>
        <v> </v>
      </c>
      <c r="L1106" s="26"/>
    </row>
    <row r="1107" spans="1:12">
      <c r="A1107" s="20" t="s">
        <v>646</v>
      </c>
      <c r="B1107" s="27" t="s">
        <v>328</v>
      </c>
      <c r="C1107" s="27" t="s">
        <v>270</v>
      </c>
      <c r="E1107" s="21">
        <f>IF(D1107="?OLD","!!!","")</f>
        <v/>
      </c>
      <c r="F1107" s="22" t="str">
        <f>IF(OR(E1107="",E1107="!!!"),"",IF(NOT(ISNA(VLOOKUP(E1107,E$1:E1106,1,FALSE()))),"OLD",IF(AND(E1107&lt;&gt;"",E1107&lt;&gt;"!!!"),"NEW","")))</f>
        <v> </v>
      </c>
      <c r="G1107" s="23" t="str">
        <f>IF(OR(E1107="",E1107="!!!"),"",IF(OR(J1107=0,AND(J1107=1,K1107=1),AND(J1107=1,I1107="SBJ"),AND(J1107=1,I1107=0)),"?IN_FOCUS",IF(J1107&lt;=2,"?ACTIVATED",IF(J1107&lt;&gt;"","?FAMILIAR",IF(F1107="NEW",IF(ISNA(VLOOKUP(E1107,#REF!,1,FALSE())),"?TYPE_IDENTIFIABLE","?REFERENTIAL"),"_")))))</f>
        <v> </v>
      </c>
      <c r="H1107" s="24" t="str">
        <f>IF(J1107&lt;&gt;1,"",IF(I1107="SBJ","CB","?"))</f>
        <v> </v>
      </c>
      <c r="I1107" s="25" t="str">
        <f>IF(OR(E1107="",E1107="!!!",F1107="NEW"),"",INDEX(B1106:B$2,-1+SUMPRODUCT(MAX(ROW(E1106:E$2)*(E1107=E1106:E$2)))))</f>
        <v> </v>
      </c>
      <c r="J1107" s="25" t="str">
        <f>IF(OR(E1107="",E1107="!!!",F1107="NEW"),"",COUNTBLANK(OFFSET(A$1,,,SUMPRODUCT(MAX(ROW(E$2:E1107)*(E1107=E$2:E1107)))))-COUNTBLANK(OFFSET(A$1,,,SUMPRODUCT(MAX(ROW(E$1:E1106)*(E2=E$1:E1106))))))</f>
        <v> </v>
      </c>
      <c r="K1107" s="25" t="str">
        <f>IF(OR(E1107="",E1107="!!!",F1107="NEW"),"",INDEX(J$1:J1106,SUMPRODUCT(MAX(ROW(E$1:E1106)*(E1107=E$1:E1106)))))</f>
        <v> </v>
      </c>
      <c r="L1107" s="26"/>
    </row>
    <row r="1108" spans="1:12">
      <c r="A1108" s="20" t="s">
        <v>320</v>
      </c>
      <c r="E1108" s="21">
        <f>IF(D1108="?OLD","!!!","")</f>
        <v/>
      </c>
      <c r="F1108" s="22" t="str">
        <f>IF(OR(E1108="",E1108="!!!"),"",IF(NOT(ISNA(VLOOKUP(E1108,E$1:E1107,1,FALSE()))),"OLD",IF(AND(E1108&lt;&gt;"",E1108&lt;&gt;"!!!"),"NEW","")))</f>
        <v> </v>
      </c>
      <c r="G1108" s="23" t="str">
        <f>IF(OR(E1108="",E1108="!!!"),"",IF(OR(J1108=0,AND(J1108=1,K1108=1),AND(J1108=1,I1108="SBJ"),AND(J1108=1,I1108=0)),"?IN_FOCUS",IF(J1108&lt;=2,"?ACTIVATED",IF(J1108&lt;&gt;"","?FAMILIAR",IF(F1108="NEW",IF(ISNA(VLOOKUP(E1108,#REF!,1,FALSE())),"?TYPE_IDENTIFIABLE","?REFERENTIAL"),"_")))))</f>
        <v> </v>
      </c>
      <c r="H1108" s="24" t="str">
        <f>IF(J1108&lt;&gt;1,"",IF(I1108="SBJ","CB","?"))</f>
        <v> </v>
      </c>
      <c r="I1108" s="25" t="str">
        <f>IF(OR(E1108="",E1108="!!!",F1108="NEW"),"",INDEX(B1107:B$2,-1+SUMPRODUCT(MAX(ROW(E1107:E$2)*(E1108=E1107:E$2)))))</f>
        <v> </v>
      </c>
      <c r="J1108" s="25" t="str">
        <f>IF(OR(E1108="",E1108="!!!",F1108="NEW"),"",COUNTBLANK(OFFSET(A$1,,,SUMPRODUCT(MAX(ROW(E$2:E1108)*(E1108=E$2:E1108)))))-COUNTBLANK(OFFSET(A$1,,,SUMPRODUCT(MAX(ROW(E$1:E1107)*(E2=E$1:E1107))))))</f>
        <v> </v>
      </c>
      <c r="K1108" s="25" t="str">
        <f>IF(OR(E1108="",E1108="!!!",F1108="NEW"),"",INDEX(J$1:J1107,SUMPRODUCT(MAX(ROW(E$1:E1107)*(E1108=E$1:E1107)))))</f>
        <v> </v>
      </c>
      <c r="L1108" s="26"/>
    </row>
    <row r="1109" spans="1:12">
      <c r="A1109" s="20"/>
    </row>
    <row r="1110" spans="1:12">
      <c r="A1110" s="20" t="s">
        <v>647</v>
      </c>
    </row>
    <row r="1111" spans="1:12">
      <c r="A1111" s="20" t="s">
        <v>648</v>
      </c>
      <c r="B1111" s="27" t="s">
        <v>333</v>
      </c>
      <c r="C1111" s="27" t="s">
        <v>376</v>
      </c>
      <c r="D1111" s="27" t="s">
        <v>258</v>
      </c>
      <c r="E1111" s="21">
        <f>IF(D1111="?OLD","!!!","")</f>
        <v/>
      </c>
      <c r="F1111" s="22" t="str">
        <f>IF(OR(E1111="",E1111="!!!"),"",IF(NOT(ISNA(VLOOKUP(E1111,E$1:E1110,1,FALSE()))),"OLD",IF(AND(E1111&lt;&gt;"",E1111&lt;&gt;"!!!"),"NEW","")))</f>
        <v> </v>
      </c>
      <c r="G1111" s="23" t="str">
        <f>IF(OR(E1111="",E1111="!!!"),"",IF(OR(J1111=0,AND(J1111=1,K1111=1),AND(J1111=1,I1111="SBJ"),AND(J1111=1,I1111=0)),"?IN_FOCUS",IF(J1111&lt;=2,"?ACTIVATED",IF(J1111&lt;&gt;"","?FAMILIAR",IF(F1111="NEW",IF(ISNA(VLOOKUP(E1111,#REF!,1,FALSE())),"?TYPE_IDENTIFIABLE","?REFERENTIAL"),"_")))))</f>
        <v> </v>
      </c>
      <c r="H1111" s="24" t="str">
        <f>IF(J1111&lt;&gt;1,"",IF(I1111="SBJ","CB","?"))</f>
        <v> </v>
      </c>
      <c r="I1111" s="25" t="str">
        <f>IF(OR(E1111="",E1111="!!!",F1111="NEW"),"",INDEX(B1110:B$2,-1+SUMPRODUCT(MAX(ROW(E1110:E$2)*(E1111=E1110:E$2)))))</f>
        <v> </v>
      </c>
      <c r="J1111" s="25" t="str">
        <f>IF(OR(E1111="",E1111="!!!",F1111="NEW"),"",COUNTBLANK(OFFSET(A$1,,,SUMPRODUCT(MAX(ROW(E$2:E1111)*(E1111=E$2:E1111)))))-COUNTBLANK(OFFSET(A$1,,,SUMPRODUCT(MAX(ROW(E$1:E1110)*(E2=E$1:E1110))))))</f>
        <v> </v>
      </c>
      <c r="K1111" s="25" t="str">
        <f>IF(OR(E1111="",E1111="!!!",F1111="NEW"),"",INDEX(J$1:J1110,SUMPRODUCT(MAX(ROW(E$1:E1110)*(E1111=E$1:E1110)))))</f>
        <v> </v>
      </c>
      <c r="L1111" s="26"/>
    </row>
    <row r="1112" spans="1:12">
      <c r="A1112" s="20" t="s">
        <v>271</v>
      </c>
      <c r="E1112" s="21">
        <f>IF(D1112="?OLD","!!!","")</f>
        <v/>
      </c>
      <c r="F1112" s="22" t="str">
        <f>IF(OR(E1112="",E1112="!!!"),"",IF(NOT(ISNA(VLOOKUP(E1112,E$1:E1111,1,FALSE()))),"OLD",IF(AND(E1112&lt;&gt;"",E1112&lt;&gt;"!!!"),"NEW","")))</f>
        <v> </v>
      </c>
      <c r="G1112" s="23" t="str">
        <f>IF(OR(E1112="",E1112="!!!"),"",IF(OR(J1112=0,AND(J1112=1,K1112=1),AND(J1112=1,I1112="SBJ"),AND(J1112=1,I1112=0)),"?IN_FOCUS",IF(J1112&lt;=2,"?ACTIVATED",IF(J1112&lt;&gt;"","?FAMILIAR",IF(F1112="NEW",IF(ISNA(VLOOKUP(E1112,#REF!,1,FALSE())),"?TYPE_IDENTIFIABLE","?REFERENTIAL"),"_")))))</f>
        <v> </v>
      </c>
      <c r="H1112" s="24" t="str">
        <f>IF(J1112&lt;&gt;1,"",IF(I1112="SBJ","CB","?"))</f>
        <v> </v>
      </c>
      <c r="I1112" s="25" t="str">
        <f>IF(OR(E1112="",E1112="!!!",F1112="NEW"),"",INDEX(B1111:B$2,-1+SUMPRODUCT(MAX(ROW(E1111:E$2)*(E1112=E1111:E$2)))))</f>
        <v> </v>
      </c>
      <c r="J1112" s="25" t="str">
        <f>IF(OR(E1112="",E1112="!!!",F1112="NEW"),"",COUNTBLANK(OFFSET(A$1,,,SUMPRODUCT(MAX(ROW(E$2:E1112)*(E1112=E$2:E1112)))))-COUNTBLANK(OFFSET(A$1,,,SUMPRODUCT(MAX(ROW(E$1:E1111)*(E2=E$1:E1111))))))</f>
        <v> </v>
      </c>
      <c r="K1112" s="25" t="str">
        <f>IF(OR(E1112="",E1112="!!!",F1112="NEW"),"",INDEX(J$1:J1111,SUMPRODUCT(MAX(ROW(E$1:E1111)*(E1112=E$1:E1111)))))</f>
        <v> </v>
      </c>
      <c r="L1112" s="26"/>
    </row>
    <row r="1113" spans="1:12">
      <c r="A1113" s="20" t="s">
        <v>280</v>
      </c>
      <c r="E1113" s="21">
        <f>IF(D1113="?OLD","!!!","")</f>
        <v/>
      </c>
      <c r="F1113" s="22" t="str">
        <f>IF(OR(E1113="",E1113="!!!"),"",IF(NOT(ISNA(VLOOKUP(E1113,E$1:E1112,1,FALSE()))),"OLD",IF(AND(E1113&lt;&gt;"",E1113&lt;&gt;"!!!"),"NEW","")))</f>
        <v> </v>
      </c>
      <c r="G1113" s="23" t="str">
        <f>IF(OR(E1113="",E1113="!!!"),"",IF(OR(J1113=0,AND(J1113=1,K1113=1),AND(J1113=1,I1113="SBJ"),AND(J1113=1,I1113=0)),"?IN_FOCUS",IF(J1113&lt;=2,"?ACTIVATED",IF(J1113&lt;&gt;"","?FAMILIAR",IF(F1113="NEW",IF(ISNA(VLOOKUP(E1113,#REF!,1,FALSE())),"?TYPE_IDENTIFIABLE","?REFERENTIAL"),"_")))))</f>
        <v> </v>
      </c>
      <c r="H1113" s="24" t="str">
        <f>IF(J1113&lt;&gt;1,"",IF(I1113="SBJ","CB","?"))</f>
        <v> </v>
      </c>
      <c r="I1113" s="25" t="str">
        <f>IF(OR(E1113="",E1113="!!!",F1113="NEW"),"",INDEX(B1112:B$2,-1+SUMPRODUCT(MAX(ROW(E1112:E$2)*(E1113=E1112:E$2)))))</f>
        <v> </v>
      </c>
      <c r="J1113" s="25" t="str">
        <f>IF(OR(E1113="",E1113="!!!",F1113="NEW"),"",COUNTBLANK(OFFSET(A$1,,,SUMPRODUCT(MAX(ROW(E$2:E1113)*(E1113=E$2:E1113)))))-COUNTBLANK(OFFSET(A$1,,,SUMPRODUCT(MAX(ROW(E$1:E1112)*(E2=E$1:E1112))))))</f>
        <v> </v>
      </c>
      <c r="K1113" s="25" t="str">
        <f>IF(OR(E1113="",E1113="!!!",F1113="NEW"),"",INDEX(J$1:J1112,SUMPRODUCT(MAX(ROW(E$1:E1112)*(E1113=E$1:E1112)))))</f>
        <v> </v>
      </c>
      <c r="L1113" s="26"/>
    </row>
    <row r="1114" spans="1:12">
      <c r="A1114" s="20" t="s">
        <v>649</v>
      </c>
      <c r="B1114" s="27" t="s">
        <v>267</v>
      </c>
      <c r="C1114" s="27" t="s">
        <v>270</v>
      </c>
      <c r="E1114" s="21">
        <f>IF(D1114="?OLD","!!!","")</f>
        <v/>
      </c>
      <c r="F1114" s="22" t="str">
        <f>IF(OR(E1114="",E1114="!!!"),"",IF(NOT(ISNA(VLOOKUP(E1114,E$1:E1113,1,FALSE()))),"OLD",IF(AND(E1114&lt;&gt;"",E1114&lt;&gt;"!!!"),"NEW","")))</f>
        <v> </v>
      </c>
      <c r="G1114" s="23" t="str">
        <f>IF(OR(E1114="",E1114="!!!"),"",IF(OR(J1114=0,AND(J1114=1,K1114=1),AND(J1114=1,I1114="SBJ"),AND(J1114=1,I1114=0)),"?IN_FOCUS",IF(J1114&lt;=2,"?ACTIVATED",IF(J1114&lt;&gt;"","?FAMILIAR",IF(F1114="NEW",IF(ISNA(VLOOKUP(E1114,#REF!,1,FALSE())),"?TYPE_IDENTIFIABLE","?REFERENTIAL"),"_")))))</f>
        <v> </v>
      </c>
      <c r="H1114" s="24" t="str">
        <f>IF(J1114&lt;&gt;1,"",IF(I1114="SBJ","CB","?"))</f>
        <v> </v>
      </c>
      <c r="I1114" s="25" t="str">
        <f>IF(OR(E1114="",E1114="!!!",F1114="NEW"),"",INDEX(B1113:B$2,-1+SUMPRODUCT(MAX(ROW(E1113:E$2)*(E1114=E1113:E$2)))))</f>
        <v> </v>
      </c>
      <c r="J1114" s="25" t="str">
        <f>IF(OR(E1114="",E1114="!!!",F1114="NEW"),"",COUNTBLANK(OFFSET(A$1,,,SUMPRODUCT(MAX(ROW(E$2:E1114)*(E1114=E$2:E1114)))))-COUNTBLANK(OFFSET(A$1,,,SUMPRODUCT(MAX(ROW(E$1:E1113)*(E2=E$1:E1113))))))</f>
        <v> </v>
      </c>
      <c r="K1114" s="25" t="str">
        <f>IF(OR(E1114="",E1114="!!!",F1114="NEW"),"",INDEX(J$1:J1113,SUMPRODUCT(MAX(ROW(E$1:E1113)*(E1114=E$1:E1113)))))</f>
        <v> </v>
      </c>
      <c r="L1114" s="26"/>
    </row>
    <row r="1115" spans="1:12">
      <c r="A1115" s="20" t="s">
        <v>271</v>
      </c>
      <c r="E1115" s="21">
        <f>IF(D1115="?OLD","!!!","")</f>
        <v/>
      </c>
      <c r="F1115" s="22" t="str">
        <f>IF(OR(E1115="",E1115="!!!"),"",IF(NOT(ISNA(VLOOKUP(E1115,E$1:E1114,1,FALSE()))),"OLD",IF(AND(E1115&lt;&gt;"",E1115&lt;&gt;"!!!"),"NEW","")))</f>
        <v> </v>
      </c>
      <c r="G1115" s="23" t="str">
        <f>IF(OR(E1115="",E1115="!!!"),"",IF(OR(J1115=0,AND(J1115=1,K1115=1),AND(J1115=1,I1115="SBJ"),AND(J1115=1,I1115=0)),"?IN_FOCUS",IF(J1115&lt;=2,"?ACTIVATED",IF(J1115&lt;&gt;"","?FAMILIAR",IF(F1115="NEW",IF(ISNA(VLOOKUP(E1115,#REF!,1,FALSE())),"?TYPE_IDENTIFIABLE","?REFERENTIAL"),"_")))))</f>
        <v> </v>
      </c>
      <c r="H1115" s="24" t="str">
        <f>IF(J1115&lt;&gt;1,"",IF(I1115="SBJ","CB","?"))</f>
        <v> </v>
      </c>
      <c r="I1115" s="25" t="str">
        <f>IF(OR(E1115="",E1115="!!!",F1115="NEW"),"",INDEX(B1114:B$2,-1+SUMPRODUCT(MAX(ROW(E1114:E$2)*(E1115=E1114:E$2)))))</f>
        <v> </v>
      </c>
      <c r="J1115" s="25" t="str">
        <f>IF(OR(E1115="",E1115="!!!",F1115="NEW"),"",COUNTBLANK(OFFSET(A$1,,,SUMPRODUCT(MAX(ROW(E$2:E1115)*(E1115=E$2:E1115)))))-COUNTBLANK(OFFSET(A$1,,,SUMPRODUCT(MAX(ROW(E$1:E1114)*(E2=E$1:E1114))))))</f>
        <v> </v>
      </c>
      <c r="K1115" s="25" t="str">
        <f>IF(OR(E1115="",E1115="!!!",F1115="NEW"),"",INDEX(J$1:J1114,SUMPRODUCT(MAX(ROW(E$1:E1114)*(E1115=E$1:E1114)))))</f>
        <v> </v>
      </c>
      <c r="L1115" s="26"/>
    </row>
    <row r="1116" spans="1:12">
      <c r="A1116" s="20" t="s">
        <v>288</v>
      </c>
      <c r="E1116" s="21">
        <f>IF(D1116="?OLD","!!!","")</f>
        <v/>
      </c>
      <c r="F1116" s="22" t="str">
        <f>IF(OR(E1116="",E1116="!!!"),"",IF(NOT(ISNA(VLOOKUP(E1116,E$1:E1115,1,FALSE()))),"OLD",IF(AND(E1116&lt;&gt;"",E1116&lt;&gt;"!!!"),"NEW","")))</f>
        <v> </v>
      </c>
      <c r="G1116" s="23" t="str">
        <f>IF(OR(E1116="",E1116="!!!"),"",IF(OR(J1116=0,AND(J1116=1,K1116=1),AND(J1116=1,I1116="SBJ"),AND(J1116=1,I1116=0)),"?IN_FOCUS",IF(J1116&lt;=2,"?ACTIVATED",IF(J1116&lt;&gt;"","?FAMILIAR",IF(F1116="NEW",IF(ISNA(VLOOKUP(E1116,#REF!,1,FALSE())),"?TYPE_IDENTIFIABLE","?REFERENTIAL"),"_")))))</f>
        <v> </v>
      </c>
      <c r="H1116" s="24" t="str">
        <f>IF(J1116&lt;&gt;1,"",IF(I1116="SBJ","CB","?"))</f>
        <v> </v>
      </c>
      <c r="I1116" s="25" t="str">
        <f>IF(OR(E1116="",E1116="!!!",F1116="NEW"),"",INDEX(B1115:B$2,-1+SUMPRODUCT(MAX(ROW(E1115:E$2)*(E1116=E1115:E$2)))))</f>
        <v> </v>
      </c>
      <c r="J1116" s="25" t="str">
        <f>IF(OR(E1116="",E1116="!!!",F1116="NEW"),"",COUNTBLANK(OFFSET(A$1,,,SUMPRODUCT(MAX(ROW(E$2:E1116)*(E1116=E$2:E1116)))))-COUNTBLANK(OFFSET(A$1,,,SUMPRODUCT(MAX(ROW(E$1:E1115)*(E2=E$1:E1115))))))</f>
        <v> </v>
      </c>
      <c r="K1116" s="25" t="str">
        <f>IF(OR(E1116="",E1116="!!!",F1116="NEW"),"",INDEX(J$1:J1115,SUMPRODUCT(MAX(ROW(E$1:E1115)*(E1116=E$1:E1115)))))</f>
        <v> </v>
      </c>
      <c r="L1116" s="26"/>
    </row>
    <row r="1117" spans="1:12">
      <c r="A1117" s="20" t="s">
        <v>274</v>
      </c>
      <c r="E1117" s="21">
        <f>IF(D1117="?OLD","!!!","")</f>
        <v/>
      </c>
      <c r="F1117" s="22" t="str">
        <f>IF(OR(E1117="",E1117="!!!"),"",IF(NOT(ISNA(VLOOKUP(E1117,E$1:E1116,1,FALSE()))),"OLD",IF(AND(E1117&lt;&gt;"",E1117&lt;&gt;"!!!"),"NEW","")))</f>
        <v> </v>
      </c>
      <c r="G1117" s="23" t="str">
        <f>IF(OR(E1117="",E1117="!!!"),"",IF(OR(J1117=0,AND(J1117=1,K1117=1),AND(J1117=1,I1117="SBJ"),AND(J1117=1,I1117=0)),"?IN_FOCUS",IF(J1117&lt;=2,"?ACTIVATED",IF(J1117&lt;&gt;"","?FAMILIAR",IF(F1117="NEW",IF(ISNA(VLOOKUP(E1117,#REF!,1,FALSE())),"?TYPE_IDENTIFIABLE","?REFERENTIAL"),"_")))))</f>
        <v> </v>
      </c>
      <c r="H1117" s="24" t="str">
        <f>IF(J1117&lt;&gt;1,"",IF(I1117="SBJ","CB","?"))</f>
        <v> </v>
      </c>
      <c r="I1117" s="25" t="str">
        <f>IF(OR(E1117="",E1117="!!!",F1117="NEW"),"",INDEX(B1116:B$2,-1+SUMPRODUCT(MAX(ROW(E1116:E$2)*(E1117=E1116:E$2)))))</f>
        <v> </v>
      </c>
      <c r="J1117" s="25" t="str">
        <f>IF(OR(E1117="",E1117="!!!",F1117="NEW"),"",COUNTBLANK(OFFSET(A$1,,,SUMPRODUCT(MAX(ROW(E$2:E1117)*(E1117=E$2:E1117)))))-COUNTBLANK(OFFSET(A$1,,,SUMPRODUCT(MAX(ROW(E$1:E1116)*(E2=E$1:E1116))))))</f>
        <v> </v>
      </c>
      <c r="K1117" s="25" t="str">
        <f>IF(OR(E1117="",E1117="!!!",F1117="NEW"),"",INDEX(J$1:J1116,SUMPRODUCT(MAX(ROW(E$1:E1116)*(E1117=E$1:E1116)))))</f>
        <v> </v>
      </c>
      <c r="L1117" s="26"/>
    </row>
    <row r="1118" spans="1:12">
      <c r="A1118" s="20" t="s">
        <v>650</v>
      </c>
      <c r="B1118" s="27" t="s">
        <v>276</v>
      </c>
      <c r="C1118" s="27" t="s">
        <v>277</v>
      </c>
      <c r="D1118" s="27" t="s">
        <v>258</v>
      </c>
      <c r="E1118" s="21">
        <f>IF(D1118="?OLD","!!!","")</f>
        <v/>
      </c>
      <c r="F1118" s="22" t="str">
        <f>IF(OR(E1118="",E1118="!!!"),"",IF(NOT(ISNA(VLOOKUP(E1118,E$1:E1117,1,FALSE()))),"OLD",IF(AND(E1118&lt;&gt;"",E1118&lt;&gt;"!!!"),"NEW","")))</f>
        <v> </v>
      </c>
      <c r="G1118" s="23" t="str">
        <f>IF(OR(E1118="",E1118="!!!"),"",IF(OR(J1118=0,AND(J1118=1,K1118=1),AND(J1118=1,I1118="SBJ"),AND(J1118=1,I1118=0)),"?IN_FOCUS",IF(J1118&lt;=2,"?ACTIVATED",IF(J1118&lt;&gt;"","?FAMILIAR",IF(F1118="NEW",IF(ISNA(VLOOKUP(E1118,#REF!,1,FALSE())),"?TYPE_IDENTIFIABLE","?REFERENTIAL"),"_")))))</f>
        <v> </v>
      </c>
      <c r="H1118" s="24" t="str">
        <f>IF(J1118&lt;&gt;1,"",IF(I1118="SBJ","CB","?"))</f>
        <v> </v>
      </c>
      <c r="I1118" s="25" t="str">
        <f>IF(OR(E1118="",E1118="!!!",F1118="NEW"),"",INDEX(B1117:B$2,-1+SUMPRODUCT(MAX(ROW(E1117:E$2)*(E1118=E1117:E$2)))))</f>
        <v> </v>
      </c>
      <c r="J1118" s="25" t="str">
        <f>IF(OR(E1118="",E1118="!!!",F1118="NEW"),"",COUNTBLANK(OFFSET(A$1,,,SUMPRODUCT(MAX(ROW(E$2:E1118)*(E1118=E$2:E1118)))))-COUNTBLANK(OFFSET(A$1,,,SUMPRODUCT(MAX(ROW(E$1:E1117)*(E2=E$1:E1117))))))</f>
        <v> </v>
      </c>
      <c r="K1118" s="25" t="str">
        <f>IF(OR(E1118="",E1118="!!!",F1118="NEW"),"",INDEX(J$1:J1117,SUMPRODUCT(MAX(ROW(E$1:E1117)*(E1118=E$1:E1117)))))</f>
        <v> </v>
      </c>
      <c r="L1118" s="26"/>
    </row>
    <row r="1119" spans="1:12">
      <c r="A1119" s="20" t="s">
        <v>278</v>
      </c>
      <c r="E1119" s="21">
        <f>IF(D1119="?OLD","!!!","")</f>
        <v/>
      </c>
      <c r="F1119" s="22" t="str">
        <f>IF(OR(E1119="",E1119="!!!"),"",IF(NOT(ISNA(VLOOKUP(E1119,E$1:E1118,1,FALSE()))),"OLD",IF(AND(E1119&lt;&gt;"",E1119&lt;&gt;"!!!"),"NEW","")))</f>
        <v> </v>
      </c>
      <c r="G1119" s="23" t="str">
        <f>IF(OR(E1119="",E1119="!!!"),"",IF(OR(J1119=0,AND(J1119=1,K1119=1),AND(J1119=1,I1119="SBJ"),AND(J1119=1,I1119=0)),"?IN_FOCUS",IF(J1119&lt;=2,"?ACTIVATED",IF(J1119&lt;&gt;"","?FAMILIAR",IF(F1119="NEW",IF(ISNA(VLOOKUP(E1119,#REF!,1,FALSE())),"?TYPE_IDENTIFIABLE","?REFERENTIAL"),"_")))))</f>
        <v> </v>
      </c>
      <c r="H1119" s="24" t="str">
        <f>IF(J1119&lt;&gt;1,"",IF(I1119="SBJ","CB","?"))</f>
        <v> </v>
      </c>
      <c r="I1119" s="25" t="str">
        <f>IF(OR(E1119="",E1119="!!!",F1119="NEW"),"",INDEX(B1118:B$2,-1+SUMPRODUCT(MAX(ROW(E1118:E$2)*(E1119=E1118:E$2)))))</f>
        <v> </v>
      </c>
      <c r="J1119" s="25" t="str">
        <f>IF(OR(E1119="",E1119="!!!",F1119="NEW"),"",COUNTBLANK(OFFSET(A$1,,,SUMPRODUCT(MAX(ROW(E$2:E1119)*(E1119=E$2:E1119)))))-COUNTBLANK(OFFSET(A$1,,,SUMPRODUCT(MAX(ROW(E$1:E1118)*(E2=E$1:E1118))))))</f>
        <v> </v>
      </c>
      <c r="K1119" s="25" t="str">
        <f>IF(OR(E1119="",E1119="!!!",F1119="NEW"),"",INDEX(J$1:J1118,SUMPRODUCT(MAX(ROW(E$1:E1118)*(E1119=E$1:E1118)))))</f>
        <v> </v>
      </c>
      <c r="L1119" s="26"/>
    </row>
    <row r="1120" spans="1:12">
      <c r="A1120" s="20" t="s">
        <v>440</v>
      </c>
      <c r="E1120" s="21">
        <f>IF(D1120="?OLD","!!!","")</f>
        <v/>
      </c>
      <c r="F1120" s="22" t="str">
        <f>IF(OR(E1120="",E1120="!!!"),"",IF(NOT(ISNA(VLOOKUP(E1120,E$1:E1119,1,FALSE()))),"OLD",IF(AND(E1120&lt;&gt;"",E1120&lt;&gt;"!!!"),"NEW","")))</f>
        <v> </v>
      </c>
      <c r="G1120" s="23" t="str">
        <f>IF(OR(E1120="",E1120="!!!"),"",IF(OR(J1120=0,AND(J1120=1,K1120=1),AND(J1120=1,I1120="SBJ"),AND(J1120=1,I1120=0)),"?IN_FOCUS",IF(J1120&lt;=2,"?ACTIVATED",IF(J1120&lt;&gt;"","?FAMILIAR",IF(F1120="NEW",IF(ISNA(VLOOKUP(E1120,#REF!,1,FALSE())),"?TYPE_IDENTIFIABLE","?REFERENTIAL"),"_")))))</f>
        <v> </v>
      </c>
      <c r="H1120" s="24" t="str">
        <f>IF(J1120&lt;&gt;1,"",IF(I1120="SBJ","CB","?"))</f>
        <v> </v>
      </c>
      <c r="I1120" s="25" t="str">
        <f>IF(OR(E1120="",E1120="!!!",F1120="NEW"),"",INDEX(B1119:B$2,-1+SUMPRODUCT(MAX(ROW(E1119:E$2)*(E1120=E1119:E$2)))))</f>
        <v> </v>
      </c>
      <c r="J1120" s="25" t="str">
        <f>IF(OR(E1120="",E1120="!!!",F1120="NEW"),"",COUNTBLANK(OFFSET(A$1,,,SUMPRODUCT(MAX(ROW(E$2:E1120)*(E1120=E$2:E1120)))))-COUNTBLANK(OFFSET(A$1,,,SUMPRODUCT(MAX(ROW(E$1:E1119)*(E2=E$1:E1119))))))</f>
        <v> </v>
      </c>
      <c r="K1120" s="25" t="str">
        <f>IF(OR(E1120="",E1120="!!!",F1120="NEW"),"",INDEX(J$1:J1119,SUMPRODUCT(MAX(ROW(E$1:E1119)*(E1120=E$1:E1119)))))</f>
        <v> </v>
      </c>
      <c r="L1120" s="26"/>
    </row>
    <row r="1121" spans="1:12">
      <c r="A1121" s="20" t="s">
        <v>274</v>
      </c>
      <c r="E1121" s="21">
        <f>IF(D1121="?OLD","!!!","")</f>
        <v/>
      </c>
      <c r="F1121" s="22" t="str">
        <f>IF(OR(E1121="",E1121="!!!"),"",IF(NOT(ISNA(VLOOKUP(E1121,E$1:E1120,1,FALSE()))),"OLD",IF(AND(E1121&lt;&gt;"",E1121&lt;&gt;"!!!"),"NEW","")))</f>
        <v> </v>
      </c>
      <c r="G1121" s="23" t="str">
        <f>IF(OR(E1121="",E1121="!!!"),"",IF(OR(J1121=0,AND(J1121=1,K1121=1),AND(J1121=1,I1121="SBJ"),AND(J1121=1,I1121=0)),"?IN_FOCUS",IF(J1121&lt;=2,"?ACTIVATED",IF(J1121&lt;&gt;"","?FAMILIAR",IF(F1121="NEW",IF(ISNA(VLOOKUP(E1121,#REF!,1,FALSE())),"?TYPE_IDENTIFIABLE","?REFERENTIAL"),"_")))))</f>
        <v> </v>
      </c>
      <c r="H1121" s="24" t="str">
        <f>IF(J1121&lt;&gt;1,"",IF(I1121="SBJ","CB","?"))</f>
        <v> </v>
      </c>
      <c r="I1121" s="25" t="str">
        <f>IF(OR(E1121="",E1121="!!!",F1121="NEW"),"",INDEX(B1120:B$2,-1+SUMPRODUCT(MAX(ROW(E1120:E$2)*(E1121=E1120:E$2)))))</f>
        <v> </v>
      </c>
      <c r="J1121" s="25" t="str">
        <f>IF(OR(E1121="",E1121="!!!",F1121="NEW"),"",COUNTBLANK(OFFSET(A$1,,,SUMPRODUCT(MAX(ROW(E$2:E1121)*(E1121=E$2:E1121)))))-COUNTBLANK(OFFSET(A$1,,,SUMPRODUCT(MAX(ROW(E$1:E1120)*(E2=E$1:E1120))))))</f>
        <v> </v>
      </c>
      <c r="K1121" s="25" t="str">
        <f>IF(OR(E1121="",E1121="!!!",F1121="NEW"),"",INDEX(J$1:J1120,SUMPRODUCT(MAX(ROW(E$1:E1120)*(E1121=E$1:E1120)))))</f>
        <v> </v>
      </c>
      <c r="L1121" s="26"/>
    </row>
    <row r="1122" spans="1:12">
      <c r="A1122" s="20" t="s">
        <v>651</v>
      </c>
      <c r="B1122" s="27" t="s">
        <v>267</v>
      </c>
      <c r="C1122" s="27" t="s">
        <v>277</v>
      </c>
      <c r="D1122" s="27" t="s">
        <v>258</v>
      </c>
      <c r="E1122" s="21">
        <f>IF(D1122="?OLD","!!!","")</f>
        <v/>
      </c>
      <c r="F1122" s="22" t="str">
        <f>IF(OR(E1122="",E1122="!!!"),"",IF(NOT(ISNA(VLOOKUP(E1122,E$1:E1121,1,FALSE()))),"OLD",IF(AND(E1122&lt;&gt;"",E1122&lt;&gt;"!!!"),"NEW","")))</f>
        <v> </v>
      </c>
      <c r="G1122" s="23" t="str">
        <f>IF(OR(E1122="",E1122="!!!"),"",IF(OR(J1122=0,AND(J1122=1,K1122=1),AND(J1122=1,I1122="SBJ"),AND(J1122=1,I1122=0)),"?IN_FOCUS",IF(J1122&lt;=2,"?ACTIVATED",IF(J1122&lt;&gt;"","?FAMILIAR",IF(F1122="NEW",IF(ISNA(VLOOKUP(E1122,#REF!,1,FALSE())),"?TYPE_IDENTIFIABLE","?REFERENTIAL"),"_")))))</f>
        <v> </v>
      </c>
      <c r="H1122" s="24" t="str">
        <f>IF(J1122&lt;&gt;1,"",IF(I1122="SBJ","CB","?"))</f>
        <v> </v>
      </c>
      <c r="I1122" s="25" t="str">
        <f>IF(OR(E1122="",E1122="!!!",F1122="NEW"),"",INDEX(B1121:B$2,-1+SUMPRODUCT(MAX(ROW(E1121:E$2)*(E1122=E1121:E$2)))))</f>
        <v> </v>
      </c>
      <c r="J1122" s="25" t="str">
        <f>IF(OR(E1122="",E1122="!!!",F1122="NEW"),"",COUNTBLANK(OFFSET(A$1,,,SUMPRODUCT(MAX(ROW(E$2:E1122)*(E1122=E$2:E1122)))))-COUNTBLANK(OFFSET(A$1,,,SUMPRODUCT(MAX(ROW(E$1:E1121)*(E2=E$1:E1121))))))</f>
        <v> </v>
      </c>
      <c r="K1122" s="25" t="str">
        <f>IF(OR(E1122="",E1122="!!!",F1122="NEW"),"",INDEX(J$1:J1121,SUMPRODUCT(MAX(ROW(E$1:E1121)*(E1122=E$1:E1121)))))</f>
        <v> </v>
      </c>
      <c r="L1122" s="26"/>
    </row>
    <row r="1123" spans="1:12">
      <c r="A1123" s="20" t="s">
        <v>273</v>
      </c>
      <c r="B1123" s="27" t="s">
        <v>500</v>
      </c>
      <c r="E1123" s="21">
        <f>IF(D1123="?OLD","!!!","")</f>
        <v/>
      </c>
      <c r="F1123" s="22" t="str">
        <f>IF(OR(E1123="",E1123="!!!"),"",IF(NOT(ISNA(VLOOKUP(E1123,E$1:E1122,1,FALSE()))),"OLD",IF(AND(E1123&lt;&gt;"",E1123&lt;&gt;"!!!"),"NEW","")))</f>
        <v> </v>
      </c>
      <c r="G1123" s="23" t="str">
        <f>IF(OR(E1123="",E1123="!!!"),"",IF(OR(J1123=0,AND(J1123=1,K1123=1),AND(J1123=1,I1123="SBJ"),AND(J1123=1,I1123=0)),"?IN_FOCUS",IF(J1123&lt;=2,"?ACTIVATED",IF(J1123&lt;&gt;"","?FAMILIAR",IF(F1123="NEW",IF(ISNA(VLOOKUP(E1123,#REF!,1,FALSE())),"?TYPE_IDENTIFIABLE","?REFERENTIAL"),"_")))))</f>
        <v> </v>
      </c>
      <c r="H1123" s="24" t="str">
        <f>IF(J1123&lt;&gt;1,"",IF(I1123="SBJ","CB","?"))</f>
        <v> </v>
      </c>
      <c r="I1123" s="25" t="str">
        <f>IF(OR(E1123="",E1123="!!!",F1123="NEW"),"",INDEX(B1122:B$2,-1+SUMPRODUCT(MAX(ROW(E1122:E$2)*(E1123=E1122:E$2)))))</f>
        <v> </v>
      </c>
      <c r="J1123" s="25" t="str">
        <f>IF(OR(E1123="",E1123="!!!",F1123="NEW"),"",COUNTBLANK(OFFSET(A$1,,,SUMPRODUCT(MAX(ROW(E$2:E1123)*(E1123=E$2:E1123)))))-COUNTBLANK(OFFSET(A$1,,,SUMPRODUCT(MAX(ROW(E$1:E1122)*(E2=E$1:E1122))))))</f>
        <v> </v>
      </c>
      <c r="K1123" s="25" t="str">
        <f>IF(OR(E1123="",E1123="!!!",F1123="NEW"),"",INDEX(J$1:J1122,SUMPRODUCT(MAX(ROW(E$1:E1122)*(E1123=E$1:E1122)))))</f>
        <v> </v>
      </c>
      <c r="L1123" s="26"/>
    </row>
    <row r="1124" spans="1:12">
      <c r="A1124" s="20" t="s">
        <v>255</v>
      </c>
      <c r="B1124" s="27" t="s">
        <v>286</v>
      </c>
      <c r="C1124" s="27" t="s">
        <v>257</v>
      </c>
      <c r="D1124" s="27" t="s">
        <v>258</v>
      </c>
      <c r="E1124" s="21">
        <f>IF(D1124="?OLD","!!!","")</f>
        <v/>
      </c>
      <c r="F1124" s="22" t="str">
        <f>IF(OR(E1124="",E1124="!!!"),"",IF(NOT(ISNA(VLOOKUP(E1124,E$1:E1123,1,FALSE()))),"OLD",IF(AND(E1124&lt;&gt;"",E1124&lt;&gt;"!!!"),"NEW","")))</f>
        <v> </v>
      </c>
      <c r="G1124" s="23" t="str">
        <f>IF(OR(E1124="",E1124="!!!"),"",IF(OR(J1124=0,AND(J1124=1,K1124=1),AND(J1124=1,I1124="SBJ"),AND(J1124=1,I1124=0)),"?IN_FOCUS",IF(J1124&lt;=2,"?ACTIVATED",IF(J1124&lt;&gt;"","?FAMILIAR",IF(F1124="NEW",IF(ISNA(VLOOKUP(E1124,#REF!,1,FALSE())),"?TYPE_IDENTIFIABLE","?REFERENTIAL"),"_")))))</f>
        <v> </v>
      </c>
      <c r="H1124" s="24" t="str">
        <f>IF(J1124&lt;&gt;1,"",IF(I1124="SBJ","CB","?"))</f>
        <v> </v>
      </c>
      <c r="I1124" s="25" t="str">
        <f>IF(OR(E1124="",E1124="!!!",F1124="NEW"),"",INDEX(B1123:B$2,-1+SUMPRODUCT(MAX(ROW(E1123:E$2)*(E1124=E1123:E$2)))))</f>
        <v> </v>
      </c>
      <c r="J1124" s="25" t="str">
        <f>IF(OR(E1124="",E1124="!!!",F1124="NEW"),"",COUNTBLANK(OFFSET(A$1,,,SUMPRODUCT(MAX(ROW(E$2:E1124)*(E1124=E$2:E1124)))))-COUNTBLANK(OFFSET(A$1,,,SUMPRODUCT(MAX(ROW(E$1:E1123)*(E2=E$1:E1123))))))</f>
        <v> </v>
      </c>
      <c r="K1124" s="25" t="str">
        <f>IF(OR(E1124="",E1124="!!!",F1124="NEW"),"",INDEX(J$1:J1123,SUMPRODUCT(MAX(ROW(E$1:E1123)*(E1124=E$1:E1123)))))</f>
        <v> </v>
      </c>
      <c r="L1124" s="26"/>
    </row>
    <row r="1125" spans="1:12">
      <c r="A1125" s="20" t="s">
        <v>481</v>
      </c>
      <c r="E1125" s="21">
        <f>IF(D1125="?OLD","!!!","")</f>
        <v/>
      </c>
      <c r="F1125" s="22" t="str">
        <f>IF(OR(E1125="",E1125="!!!"),"",IF(NOT(ISNA(VLOOKUP(E1125,E$1:E1124,1,FALSE()))),"OLD",IF(AND(E1125&lt;&gt;"",E1125&lt;&gt;"!!!"),"NEW","")))</f>
        <v> </v>
      </c>
      <c r="G1125" s="23" t="str">
        <f>IF(OR(E1125="",E1125="!!!"),"",IF(OR(J1125=0,AND(J1125=1,K1125=1),AND(J1125=1,I1125="SBJ"),AND(J1125=1,I1125=0)),"?IN_FOCUS",IF(J1125&lt;=2,"?ACTIVATED",IF(J1125&lt;&gt;"","?FAMILIAR",IF(F1125="NEW",IF(ISNA(VLOOKUP(E1125,#REF!,1,FALSE())),"?TYPE_IDENTIFIABLE","?REFERENTIAL"),"_")))))</f>
        <v> </v>
      </c>
      <c r="H1125" s="24" t="str">
        <f>IF(J1125&lt;&gt;1,"",IF(I1125="SBJ","CB","?"))</f>
        <v> </v>
      </c>
      <c r="I1125" s="25" t="str">
        <f>IF(OR(E1125="",E1125="!!!",F1125="NEW"),"",INDEX(B1124:B$2,-1+SUMPRODUCT(MAX(ROW(E1124:E$2)*(E1125=E1124:E$2)))))</f>
        <v> </v>
      </c>
      <c r="J1125" s="25" t="str">
        <f>IF(OR(E1125="",E1125="!!!",F1125="NEW"),"",COUNTBLANK(OFFSET(A$1,,,SUMPRODUCT(MAX(ROW(E$2:E1125)*(E1125=E$2:E1125)))))-COUNTBLANK(OFFSET(A$1,,,SUMPRODUCT(MAX(ROW(E$1:E1124)*(E2=E$1:E1124))))))</f>
        <v> </v>
      </c>
      <c r="K1125" s="25" t="str">
        <f>IF(OR(E1125="",E1125="!!!",F1125="NEW"),"",INDEX(J$1:J1124,SUMPRODUCT(MAX(ROW(E$1:E1124)*(E1125=E$1:E1124)))))</f>
        <v> </v>
      </c>
      <c r="L1125" s="26"/>
    </row>
    <row r="1126" spans="1:12">
      <c r="A1126" s="20" t="s">
        <v>652</v>
      </c>
      <c r="E1126" s="21">
        <f>IF(D1126="?OLD","!!!","")</f>
        <v/>
      </c>
      <c r="F1126" s="22" t="str">
        <f>IF(OR(E1126="",E1126="!!!"),"",IF(NOT(ISNA(VLOOKUP(E1126,E$1:E1125,1,FALSE()))),"OLD",IF(AND(E1126&lt;&gt;"",E1126&lt;&gt;"!!!"),"NEW","")))</f>
        <v> </v>
      </c>
      <c r="G1126" s="23" t="str">
        <f>IF(OR(E1126="",E1126="!!!"),"",IF(OR(J1126=0,AND(J1126=1,K1126=1),AND(J1126=1,I1126="SBJ"),AND(J1126=1,I1126=0)),"?IN_FOCUS",IF(J1126&lt;=2,"?ACTIVATED",IF(J1126&lt;&gt;"","?FAMILIAR",IF(F1126="NEW",IF(ISNA(VLOOKUP(E1126,#REF!,1,FALSE())),"?TYPE_IDENTIFIABLE","?REFERENTIAL"),"_")))))</f>
        <v> </v>
      </c>
      <c r="H1126" s="24" t="str">
        <f>IF(J1126&lt;&gt;1,"",IF(I1126="SBJ","CB","?"))</f>
        <v> </v>
      </c>
      <c r="I1126" s="25" t="str">
        <f>IF(OR(E1126="",E1126="!!!",F1126="NEW"),"",INDEX(B1125:B$2,-1+SUMPRODUCT(MAX(ROW(E1125:E$2)*(E1126=E1125:E$2)))))</f>
        <v> </v>
      </c>
      <c r="J1126" s="25" t="str">
        <f>IF(OR(E1126="",E1126="!!!",F1126="NEW"),"",COUNTBLANK(OFFSET(A$1,,,SUMPRODUCT(MAX(ROW(E$2:E1126)*(E1126=E$2:E1126)))))-COUNTBLANK(OFFSET(A$1,,,SUMPRODUCT(MAX(ROW(E$1:E1125)*(E2=E$1:E1125))))))</f>
        <v> </v>
      </c>
      <c r="K1126" s="25" t="str">
        <f>IF(OR(E1126="",E1126="!!!",F1126="NEW"),"",INDEX(J$1:J1125,SUMPRODUCT(MAX(ROW(E$1:E1125)*(E1126=E$1:E1125)))))</f>
        <v> </v>
      </c>
      <c r="L1126" s="26"/>
    </row>
    <row r="1127" spans="1:12">
      <c r="A1127" s="20" t="s">
        <v>320</v>
      </c>
      <c r="E1127" s="21">
        <f>IF(D1127="?OLD","!!!","")</f>
        <v/>
      </c>
      <c r="F1127" s="22" t="str">
        <f>IF(OR(E1127="",E1127="!!!"),"",IF(NOT(ISNA(VLOOKUP(E1127,E$1:E1126,1,FALSE()))),"OLD",IF(AND(E1127&lt;&gt;"",E1127&lt;&gt;"!!!"),"NEW","")))</f>
        <v> </v>
      </c>
      <c r="G1127" s="23" t="str">
        <f>IF(OR(E1127="",E1127="!!!"),"",IF(OR(J1127=0,AND(J1127=1,K1127=1),AND(J1127=1,I1127="SBJ"),AND(J1127=1,I1127=0)),"?IN_FOCUS",IF(J1127&lt;=2,"?ACTIVATED",IF(J1127&lt;&gt;"","?FAMILIAR",IF(F1127="NEW",IF(ISNA(VLOOKUP(E1127,#REF!,1,FALSE())),"?TYPE_IDENTIFIABLE","?REFERENTIAL"),"_")))))</f>
        <v> </v>
      </c>
      <c r="H1127" s="24" t="str">
        <f>IF(J1127&lt;&gt;1,"",IF(I1127="SBJ","CB","?"))</f>
        <v> </v>
      </c>
      <c r="I1127" s="25" t="str">
        <f>IF(OR(E1127="",E1127="!!!",F1127="NEW"),"",INDEX(B1126:B$2,-1+SUMPRODUCT(MAX(ROW(E1126:E$2)*(E1127=E1126:E$2)))))</f>
        <v> </v>
      </c>
      <c r="J1127" s="25" t="str">
        <f>IF(OR(E1127="",E1127="!!!",F1127="NEW"),"",COUNTBLANK(OFFSET(A$1,,,SUMPRODUCT(MAX(ROW(E$2:E1127)*(E1127=E$2:E1127)))))-COUNTBLANK(OFFSET(A$1,,,SUMPRODUCT(MAX(ROW(E$1:E1126)*(E2=E$1:E1126))))))</f>
        <v> </v>
      </c>
      <c r="K1127" s="25" t="str">
        <f>IF(OR(E1127="",E1127="!!!",F1127="NEW"),"",INDEX(J$1:J1126,SUMPRODUCT(MAX(ROW(E$1:E1126)*(E1127=E$1:E1126)))))</f>
        <v> </v>
      </c>
      <c r="L1127" s="26"/>
    </row>
    <row r="1128" spans="1:12">
      <c r="A1128" s="20"/>
    </row>
    <row r="1129" spans="1:12">
      <c r="A1129" s="20" t="s">
        <v>653</v>
      </c>
    </row>
    <row r="1130" spans="1:12">
      <c r="A1130" s="20" t="s">
        <v>360</v>
      </c>
      <c r="E1130" s="21">
        <f>IF(D1130="?OLD","!!!","")</f>
        <v/>
      </c>
      <c r="F1130" s="22" t="str">
        <f>IF(OR(E1130="",E1130="!!!"),"",IF(NOT(ISNA(VLOOKUP(E1130,E$1:E1129,1,FALSE()))),"OLD",IF(AND(E1130&lt;&gt;"",E1130&lt;&gt;"!!!"),"NEW","")))</f>
        <v> </v>
      </c>
      <c r="G1130" s="23" t="str">
        <f>IF(OR(E1130="",E1130="!!!"),"",IF(OR(J1130=0,AND(J1130=1,K1130=1),AND(J1130=1,I1130="SBJ"),AND(J1130=1,I1130=0)),"?IN_FOCUS",IF(J1130&lt;=2,"?ACTIVATED",IF(J1130&lt;&gt;"","?FAMILIAR",IF(F1130="NEW",IF(ISNA(VLOOKUP(E1130,#REF!,1,FALSE())),"?TYPE_IDENTIFIABLE","?REFERENTIAL"),"_")))))</f>
        <v> </v>
      </c>
      <c r="H1130" s="24" t="str">
        <f>IF(J1130&lt;&gt;1,"",IF(I1130="SBJ","CB","?"))</f>
        <v> </v>
      </c>
      <c r="I1130" s="25" t="str">
        <f>IF(OR(E1130="",E1130="!!!",F1130="NEW"),"",INDEX(B1129:B$2,-1+SUMPRODUCT(MAX(ROW(E1129:E$2)*(E1130=E1129:E$2)))))</f>
        <v> </v>
      </c>
      <c r="J1130" s="25" t="str">
        <f>IF(OR(E1130="",E1130="!!!",F1130="NEW"),"",COUNTBLANK(OFFSET(A$1,,,SUMPRODUCT(MAX(ROW(E$2:E1130)*(E1130=E$2:E1130)))))-COUNTBLANK(OFFSET(A$1,,,SUMPRODUCT(MAX(ROW(E$1:E1129)*(E2=E$1:E1129))))))</f>
        <v> </v>
      </c>
      <c r="K1130" s="25" t="str">
        <f>IF(OR(E1130="",E1130="!!!",F1130="NEW"),"",INDEX(J$1:J1129,SUMPRODUCT(MAX(ROW(E$1:E1129)*(E1130=E$1:E1129)))))</f>
        <v> </v>
      </c>
      <c r="L1130" s="26"/>
    </row>
    <row r="1131" spans="1:12">
      <c r="A1131" s="20" t="s">
        <v>255</v>
      </c>
      <c r="B1131" s="27" t="s">
        <v>276</v>
      </c>
      <c r="C1131" s="27" t="s">
        <v>257</v>
      </c>
      <c r="D1131" s="27" t="s">
        <v>258</v>
      </c>
      <c r="E1131" s="21">
        <f>IF(D1131="?OLD","!!!","")</f>
        <v/>
      </c>
      <c r="F1131" s="22" t="str">
        <f>IF(OR(E1131="",E1131="!!!"),"",IF(NOT(ISNA(VLOOKUP(E1131,E$1:E1130,1,FALSE()))),"OLD",IF(AND(E1131&lt;&gt;"",E1131&lt;&gt;"!!!"),"NEW","")))</f>
        <v> </v>
      </c>
      <c r="G1131" s="23" t="str">
        <f>IF(OR(E1131="",E1131="!!!"),"",IF(OR(J1131=0,AND(J1131=1,K1131=1),AND(J1131=1,I1131="SBJ"),AND(J1131=1,I1131=0)),"?IN_FOCUS",IF(J1131&lt;=2,"?ACTIVATED",IF(J1131&lt;&gt;"","?FAMILIAR",IF(F1131="NEW",IF(ISNA(VLOOKUP(E1131,#REF!,1,FALSE())),"?TYPE_IDENTIFIABLE","?REFERENTIAL"),"_")))))</f>
        <v> </v>
      </c>
      <c r="H1131" s="24" t="str">
        <f>IF(J1131&lt;&gt;1,"",IF(I1131="SBJ","CB","?"))</f>
        <v> </v>
      </c>
      <c r="I1131" s="25" t="str">
        <f>IF(OR(E1131="",E1131="!!!",F1131="NEW"),"",INDEX(B1130:B$2,-1+SUMPRODUCT(MAX(ROW(E1130:E$2)*(E1131=E1130:E$2)))))</f>
        <v> </v>
      </c>
      <c r="J1131" s="25" t="str">
        <f>IF(OR(E1131="",E1131="!!!",F1131="NEW"),"",COUNTBLANK(OFFSET(A$1,,,SUMPRODUCT(MAX(ROW(E$2:E1131)*(E1131=E$2:E1131)))))-COUNTBLANK(OFFSET(A$1,,,SUMPRODUCT(MAX(ROW(E$1:E1130)*(E2=E$1:E1130))))))</f>
        <v> </v>
      </c>
      <c r="K1131" s="25" t="str">
        <f>IF(OR(E1131="",E1131="!!!",F1131="NEW"),"",INDEX(J$1:J1130,SUMPRODUCT(MAX(ROW(E$1:E1130)*(E1131=E$1:E1130)))))</f>
        <v> </v>
      </c>
      <c r="L1131" s="26"/>
    </row>
    <row r="1132" spans="1:12">
      <c r="A1132" s="20" t="s">
        <v>259</v>
      </c>
      <c r="E1132" s="21">
        <f>IF(D1132="?OLD","!!!","")</f>
        <v/>
      </c>
      <c r="F1132" s="22" t="str">
        <f>IF(OR(E1132="",E1132="!!!"),"",IF(NOT(ISNA(VLOOKUP(E1132,E$1:E1131,1,FALSE()))),"OLD",IF(AND(E1132&lt;&gt;"",E1132&lt;&gt;"!!!"),"NEW","")))</f>
        <v> </v>
      </c>
      <c r="G1132" s="23" t="str">
        <f>IF(OR(E1132="",E1132="!!!"),"",IF(OR(J1132=0,AND(J1132=1,K1132=1),AND(J1132=1,I1132="SBJ"),AND(J1132=1,I1132=0)),"?IN_FOCUS",IF(J1132&lt;=2,"?ACTIVATED",IF(J1132&lt;&gt;"","?FAMILIAR",IF(F1132="NEW",IF(ISNA(VLOOKUP(E1132,#REF!,1,FALSE())),"?TYPE_IDENTIFIABLE","?REFERENTIAL"),"_")))))</f>
        <v> </v>
      </c>
      <c r="H1132" s="24" t="str">
        <f>IF(J1132&lt;&gt;1,"",IF(I1132="SBJ","CB","?"))</f>
        <v> </v>
      </c>
      <c r="I1132" s="25" t="str">
        <f>IF(OR(E1132="",E1132="!!!",F1132="NEW"),"",INDEX(B1131:B$2,-1+SUMPRODUCT(MAX(ROW(E1131:E$2)*(E1132=E1131:E$2)))))</f>
        <v> </v>
      </c>
      <c r="J1132" s="25" t="str">
        <f>IF(OR(E1132="",E1132="!!!",F1132="NEW"),"",COUNTBLANK(OFFSET(A$1,,,SUMPRODUCT(MAX(ROW(E$2:E1132)*(E1132=E$2:E1132)))))-COUNTBLANK(OFFSET(A$1,,,SUMPRODUCT(MAX(ROW(E$1:E1131)*(E2=E$1:E1131))))))</f>
        <v> </v>
      </c>
      <c r="K1132" s="25" t="str">
        <f>IF(OR(E1132="",E1132="!!!",F1132="NEW"),"",INDEX(J$1:J1131,SUMPRODUCT(MAX(ROW(E$1:E1131)*(E1132=E$1:E1131)))))</f>
        <v> </v>
      </c>
      <c r="L1132" s="26"/>
    </row>
    <row r="1133" spans="1:12">
      <c r="A1133" s="20" t="s">
        <v>654</v>
      </c>
      <c r="E1133" s="21">
        <f>IF(D1133="?OLD","!!!","")</f>
        <v/>
      </c>
      <c r="F1133" s="22" t="str">
        <f>IF(OR(E1133="",E1133="!!!"),"",IF(NOT(ISNA(VLOOKUP(E1133,E$1:E1132,1,FALSE()))),"OLD",IF(AND(E1133&lt;&gt;"",E1133&lt;&gt;"!!!"),"NEW","")))</f>
        <v> </v>
      </c>
      <c r="G1133" s="23" t="str">
        <f>IF(OR(E1133="",E1133="!!!"),"",IF(OR(J1133=0,AND(J1133=1,K1133=1),AND(J1133=1,I1133="SBJ"),AND(J1133=1,I1133=0)),"?IN_FOCUS",IF(J1133&lt;=2,"?ACTIVATED",IF(J1133&lt;&gt;"","?FAMILIAR",IF(F1133="NEW",IF(ISNA(VLOOKUP(E1133,#REF!,1,FALSE())),"?TYPE_IDENTIFIABLE","?REFERENTIAL"),"_")))))</f>
        <v> </v>
      </c>
      <c r="H1133" s="24" t="str">
        <f>IF(J1133&lt;&gt;1,"",IF(I1133="SBJ","CB","?"))</f>
        <v> </v>
      </c>
      <c r="I1133" s="25" t="str">
        <f>IF(OR(E1133="",E1133="!!!",F1133="NEW"),"",INDEX(B1132:B$2,-1+SUMPRODUCT(MAX(ROW(E1132:E$2)*(E1133=E1132:E$2)))))</f>
        <v> </v>
      </c>
      <c r="J1133" s="25" t="str">
        <f>IF(OR(E1133="",E1133="!!!",F1133="NEW"),"",COUNTBLANK(OFFSET(A$1,,,SUMPRODUCT(MAX(ROW(E$2:E1133)*(E1133=E$2:E1133)))))-COUNTBLANK(OFFSET(A$1,,,SUMPRODUCT(MAX(ROW(E$1:E1132)*(E2=E$1:E1132))))))</f>
        <v> </v>
      </c>
      <c r="K1133" s="25" t="str">
        <f>IF(OR(E1133="",E1133="!!!",F1133="NEW"),"",INDEX(J$1:J1132,SUMPRODUCT(MAX(ROW(E$1:E1132)*(E1133=E$1:E1132)))))</f>
        <v> </v>
      </c>
      <c r="L1133" s="26"/>
    </row>
    <row r="1134" spans="1:12">
      <c r="A1134" s="20" t="s">
        <v>278</v>
      </c>
      <c r="E1134" s="21">
        <f>IF(D1134="?OLD","!!!","")</f>
        <v/>
      </c>
      <c r="F1134" s="22" t="str">
        <f>IF(OR(E1134="",E1134="!!!"),"",IF(NOT(ISNA(VLOOKUP(E1134,E$1:E1133,1,FALSE()))),"OLD",IF(AND(E1134&lt;&gt;"",E1134&lt;&gt;"!!!"),"NEW","")))</f>
        <v> </v>
      </c>
      <c r="G1134" s="23" t="str">
        <f>IF(OR(E1134="",E1134="!!!"),"",IF(OR(J1134=0,AND(J1134=1,K1134=1),AND(J1134=1,I1134="SBJ"),AND(J1134=1,I1134=0)),"?IN_FOCUS",IF(J1134&lt;=2,"?ACTIVATED",IF(J1134&lt;&gt;"","?FAMILIAR",IF(F1134="NEW",IF(ISNA(VLOOKUP(E1134,#REF!,1,FALSE())),"?TYPE_IDENTIFIABLE","?REFERENTIAL"),"_")))))</f>
        <v> </v>
      </c>
      <c r="H1134" s="24" t="str">
        <f>IF(J1134&lt;&gt;1,"",IF(I1134="SBJ","CB","?"))</f>
        <v> </v>
      </c>
      <c r="I1134" s="25" t="str">
        <f>IF(OR(E1134="",E1134="!!!",F1134="NEW"),"",INDEX(B1133:B$2,-1+SUMPRODUCT(MAX(ROW(E1133:E$2)*(E1134=E1133:E$2)))))</f>
        <v> </v>
      </c>
      <c r="J1134" s="25" t="str">
        <f>IF(OR(E1134="",E1134="!!!",F1134="NEW"),"",COUNTBLANK(OFFSET(A$1,,,SUMPRODUCT(MAX(ROW(E$2:E1134)*(E1134=E$2:E1134)))))-COUNTBLANK(OFFSET(A$1,,,SUMPRODUCT(MAX(ROW(E$1:E1133)*(E2=E$1:E1133))))))</f>
        <v> </v>
      </c>
      <c r="K1134" s="25" t="str">
        <f>IF(OR(E1134="",E1134="!!!",F1134="NEW"),"",INDEX(J$1:J1133,SUMPRODUCT(MAX(ROW(E$1:E1133)*(E1134=E$1:E1133)))))</f>
        <v> </v>
      </c>
      <c r="L1134" s="26"/>
    </row>
    <row r="1135" spans="1:12">
      <c r="A1135" s="20" t="s">
        <v>195</v>
      </c>
      <c r="E1135" s="21">
        <f>IF(D1135="?OLD","!!!","")</f>
        <v/>
      </c>
      <c r="F1135" s="22" t="str">
        <f>IF(OR(E1135="",E1135="!!!"),"",IF(NOT(ISNA(VLOOKUP(E1135,E$1:E1134,1,FALSE()))),"OLD",IF(AND(E1135&lt;&gt;"",E1135&lt;&gt;"!!!"),"NEW","")))</f>
        <v> </v>
      </c>
      <c r="G1135" s="23" t="str">
        <f>IF(OR(E1135="",E1135="!!!"),"",IF(OR(J1135=0,AND(J1135=1,K1135=1),AND(J1135=1,I1135="SBJ"),AND(J1135=1,I1135=0)),"?IN_FOCUS",IF(J1135&lt;=2,"?ACTIVATED",IF(J1135&lt;&gt;"","?FAMILIAR",IF(F1135="NEW",IF(ISNA(VLOOKUP(E1135,#REF!,1,FALSE())),"?TYPE_IDENTIFIABLE","?REFERENTIAL"),"_")))))</f>
        <v> </v>
      </c>
      <c r="H1135" s="24" t="str">
        <f>IF(J1135&lt;&gt;1,"",IF(I1135="SBJ","CB","?"))</f>
        <v> </v>
      </c>
      <c r="I1135" s="25" t="str">
        <f>IF(OR(E1135="",E1135="!!!",F1135="NEW"),"",INDEX(B1134:B$2,-1+SUMPRODUCT(MAX(ROW(E1134:E$2)*(E1135=E1134:E$2)))))</f>
        <v> </v>
      </c>
      <c r="J1135" s="25" t="str">
        <f>IF(OR(E1135="",E1135="!!!",F1135="NEW"),"",COUNTBLANK(OFFSET(A$1,,,SUMPRODUCT(MAX(ROW(E$2:E1135)*(E1135=E$2:E1135)))))-COUNTBLANK(OFFSET(A$1,,,SUMPRODUCT(MAX(ROW(E$1:E1134)*(E2=E$1:E1134))))))</f>
        <v> </v>
      </c>
      <c r="K1135" s="25" t="str">
        <f>IF(OR(E1135="",E1135="!!!",F1135="NEW"),"",INDEX(J$1:J1134,SUMPRODUCT(MAX(ROW(E$1:E1134)*(E1135=E$1:E1134)))))</f>
        <v> </v>
      </c>
      <c r="L1135" s="26"/>
    </row>
    <row r="1136" spans="1:12">
      <c r="A1136" s="20" t="s">
        <v>593</v>
      </c>
      <c r="E1136" s="21">
        <f>IF(D1136="?OLD","!!!","")</f>
        <v/>
      </c>
      <c r="F1136" s="22" t="str">
        <f>IF(OR(E1136="",E1136="!!!"),"",IF(NOT(ISNA(VLOOKUP(E1136,E$1:E1135,1,FALSE()))),"OLD",IF(AND(E1136&lt;&gt;"",E1136&lt;&gt;"!!!"),"NEW","")))</f>
        <v> </v>
      </c>
      <c r="G1136" s="23" t="str">
        <f>IF(OR(E1136="",E1136="!!!"),"",IF(OR(J1136=0,AND(J1136=1,K1136=1),AND(J1136=1,I1136="SBJ"),AND(J1136=1,I1136=0)),"?IN_FOCUS",IF(J1136&lt;=2,"?ACTIVATED",IF(J1136&lt;&gt;"","?FAMILIAR",IF(F1136="NEW",IF(ISNA(VLOOKUP(E1136,#REF!,1,FALSE())),"?TYPE_IDENTIFIABLE","?REFERENTIAL"),"_")))))</f>
        <v> </v>
      </c>
      <c r="H1136" s="24" t="str">
        <f>IF(J1136&lt;&gt;1,"",IF(I1136="SBJ","CB","?"))</f>
        <v> </v>
      </c>
      <c r="I1136" s="25" t="str">
        <f>IF(OR(E1136="",E1136="!!!",F1136="NEW"),"",INDEX(B1135:B$2,-1+SUMPRODUCT(MAX(ROW(E1135:E$2)*(E1136=E1135:E$2)))))</f>
        <v> </v>
      </c>
      <c r="J1136" s="25" t="str">
        <f>IF(OR(E1136="",E1136="!!!",F1136="NEW"),"",COUNTBLANK(OFFSET(A$1,,,SUMPRODUCT(MAX(ROW(E$2:E1136)*(E1136=E$2:E1136)))))-COUNTBLANK(OFFSET(A$1,,,SUMPRODUCT(MAX(ROW(E$1:E1135)*(E2=E$1:E1135))))))</f>
        <v> </v>
      </c>
      <c r="K1136" s="25" t="str">
        <f>IF(OR(E1136="",E1136="!!!",F1136="NEW"),"",INDEX(J$1:J1135,SUMPRODUCT(MAX(ROW(E$1:E1135)*(E1136=E$1:E1135)))))</f>
        <v> </v>
      </c>
      <c r="L1136" s="26"/>
    </row>
    <row r="1137" spans="1:12">
      <c r="A1137" s="20" t="s">
        <v>655</v>
      </c>
      <c r="B1137" s="27" t="s">
        <v>401</v>
      </c>
      <c r="C1137" s="27" t="s">
        <v>268</v>
      </c>
      <c r="E1137" s="21">
        <f>IF(D1137="?OLD","!!!","")</f>
        <v/>
      </c>
      <c r="F1137" s="22" t="str">
        <f>IF(OR(E1137="",E1137="!!!"),"",IF(NOT(ISNA(VLOOKUP(E1137,E$1:E1136,1,FALSE()))),"OLD",IF(AND(E1137&lt;&gt;"",E1137&lt;&gt;"!!!"),"NEW","")))</f>
        <v> </v>
      </c>
      <c r="G1137" s="23" t="str">
        <f>IF(OR(E1137="",E1137="!!!"),"",IF(OR(J1137=0,AND(J1137=1,K1137=1),AND(J1137=1,I1137="SBJ"),AND(J1137=1,I1137=0)),"?IN_FOCUS",IF(J1137&lt;=2,"?ACTIVATED",IF(J1137&lt;&gt;"","?FAMILIAR",IF(F1137="NEW",IF(ISNA(VLOOKUP(E1137,#REF!,1,FALSE())),"?TYPE_IDENTIFIABLE","?REFERENTIAL"),"_")))))</f>
        <v> </v>
      </c>
      <c r="H1137" s="24" t="str">
        <f>IF(J1137&lt;&gt;1,"",IF(I1137="SBJ","CB","?"))</f>
        <v> </v>
      </c>
      <c r="I1137" s="25" t="str">
        <f>IF(OR(E1137="",E1137="!!!",F1137="NEW"),"",INDEX(B1136:B$2,-1+SUMPRODUCT(MAX(ROW(E1136:E$2)*(E1137=E1136:E$2)))))</f>
        <v> </v>
      </c>
      <c r="J1137" s="25" t="str">
        <f>IF(OR(E1137="",E1137="!!!",F1137="NEW"),"",COUNTBLANK(OFFSET(A$1,,,SUMPRODUCT(MAX(ROW(E$2:E1137)*(E1137=E$2:E1137)))))-COUNTBLANK(OFFSET(A$1,,,SUMPRODUCT(MAX(ROW(E$1:E1136)*(E2=E$1:E1136))))))</f>
        <v> </v>
      </c>
      <c r="K1137" s="25" t="str">
        <f>IF(OR(E1137="",E1137="!!!",F1137="NEW"),"",INDEX(J$1:J1136,SUMPRODUCT(MAX(ROW(E$1:E1136)*(E1137=E$1:E1136)))))</f>
        <v> </v>
      </c>
      <c r="L1137" s="26"/>
    </row>
    <row r="1138" spans="1:12">
      <c r="A1138" s="20" t="s">
        <v>273</v>
      </c>
      <c r="B1138" s="27" t="s">
        <v>342</v>
      </c>
      <c r="E1138" s="21">
        <f>IF(D1138="?OLD","!!!","")</f>
        <v/>
      </c>
      <c r="F1138" s="22" t="str">
        <f>IF(OR(E1138="",E1138="!!!"),"",IF(NOT(ISNA(VLOOKUP(E1138,E$1:E1137,1,FALSE()))),"OLD",IF(AND(E1138&lt;&gt;"",E1138&lt;&gt;"!!!"),"NEW","")))</f>
        <v> </v>
      </c>
      <c r="G1138" s="23" t="str">
        <f>IF(OR(E1138="",E1138="!!!"),"",IF(OR(J1138=0,AND(J1138=1,K1138=1),AND(J1138=1,I1138="SBJ"),AND(J1138=1,I1138=0)),"?IN_FOCUS",IF(J1138&lt;=2,"?ACTIVATED",IF(J1138&lt;&gt;"","?FAMILIAR",IF(F1138="NEW",IF(ISNA(VLOOKUP(E1138,#REF!,1,FALSE())),"?TYPE_IDENTIFIABLE","?REFERENTIAL"),"_")))))</f>
        <v> </v>
      </c>
      <c r="H1138" s="24" t="str">
        <f>IF(J1138&lt;&gt;1,"",IF(I1138="SBJ","CB","?"))</f>
        <v> </v>
      </c>
      <c r="I1138" s="25" t="str">
        <f>IF(OR(E1138="",E1138="!!!",F1138="NEW"),"",INDEX(B1137:B$2,-1+SUMPRODUCT(MAX(ROW(E1137:E$2)*(E1138=E1137:E$2)))))</f>
        <v> </v>
      </c>
      <c r="J1138" s="25" t="str">
        <f>IF(OR(E1138="",E1138="!!!",F1138="NEW"),"",COUNTBLANK(OFFSET(A$1,,,SUMPRODUCT(MAX(ROW(E$2:E1138)*(E1138=E$2:E1138)))))-COUNTBLANK(OFFSET(A$1,,,SUMPRODUCT(MAX(ROW(E$1:E1137)*(E2=E$1:E1137))))))</f>
        <v> </v>
      </c>
      <c r="K1138" s="25" t="str">
        <f>IF(OR(E1138="",E1138="!!!",F1138="NEW"),"",INDEX(J$1:J1137,SUMPRODUCT(MAX(ROW(E$1:E1137)*(E1138=E$1:E1137)))))</f>
        <v> </v>
      </c>
      <c r="L1138" s="26"/>
    </row>
    <row r="1139" spans="1:12">
      <c r="A1139" s="20" t="s">
        <v>255</v>
      </c>
      <c r="B1139" s="27" t="s">
        <v>323</v>
      </c>
      <c r="C1139" s="27" t="s">
        <v>257</v>
      </c>
      <c r="D1139" s="27" t="s">
        <v>258</v>
      </c>
      <c r="E1139" s="21">
        <f>IF(D1139="?OLD","!!!","")</f>
        <v/>
      </c>
      <c r="F1139" s="22" t="str">
        <f>IF(OR(E1139="",E1139="!!!"),"",IF(NOT(ISNA(VLOOKUP(E1139,E$1:E1138,1,FALSE()))),"OLD",IF(AND(E1139&lt;&gt;"",E1139&lt;&gt;"!!!"),"NEW","")))</f>
        <v> </v>
      </c>
      <c r="G1139" s="23" t="str">
        <f>IF(OR(E1139="",E1139="!!!"),"",IF(OR(J1139=0,AND(J1139=1,K1139=1),AND(J1139=1,I1139="SBJ"),AND(J1139=1,I1139=0)),"?IN_FOCUS",IF(J1139&lt;=2,"?ACTIVATED",IF(J1139&lt;&gt;"","?FAMILIAR",IF(F1139="NEW",IF(ISNA(VLOOKUP(E1139,#REF!,1,FALSE())),"?TYPE_IDENTIFIABLE","?REFERENTIAL"),"_")))))</f>
        <v> </v>
      </c>
      <c r="H1139" s="24" t="str">
        <f>IF(J1139&lt;&gt;1,"",IF(I1139="SBJ","CB","?"))</f>
        <v> </v>
      </c>
      <c r="I1139" s="25" t="str">
        <f>IF(OR(E1139="",E1139="!!!",F1139="NEW"),"",INDEX(B1138:B$2,-1+SUMPRODUCT(MAX(ROW(E1138:E$2)*(E1139=E1138:E$2)))))</f>
        <v> </v>
      </c>
      <c r="J1139" s="25" t="str">
        <f>IF(OR(E1139="",E1139="!!!",F1139="NEW"),"",COUNTBLANK(OFFSET(A$1,,,SUMPRODUCT(MAX(ROW(E$2:E1139)*(E1139=E$2:E1139)))))-COUNTBLANK(OFFSET(A$1,,,SUMPRODUCT(MAX(ROW(E$1:E1138)*(E2=E$1:E1138))))))</f>
        <v> </v>
      </c>
      <c r="K1139" s="25" t="str">
        <f>IF(OR(E1139="",E1139="!!!",F1139="NEW"),"",INDEX(J$1:J1138,SUMPRODUCT(MAX(ROW(E$1:E1138)*(E1139=E$1:E1138)))))</f>
        <v> </v>
      </c>
      <c r="L1139" s="26"/>
    </row>
    <row r="1140" spans="1:12">
      <c r="A1140" s="20" t="s">
        <v>576</v>
      </c>
      <c r="E1140" s="21">
        <f>IF(D1140="?OLD","!!!","")</f>
        <v/>
      </c>
      <c r="F1140" s="22" t="str">
        <f>IF(OR(E1140="",E1140="!!!"),"",IF(NOT(ISNA(VLOOKUP(E1140,E$1:E1139,1,FALSE()))),"OLD",IF(AND(E1140&lt;&gt;"",E1140&lt;&gt;"!!!"),"NEW","")))</f>
        <v> </v>
      </c>
      <c r="G1140" s="23" t="str">
        <f>IF(OR(E1140="",E1140="!!!"),"",IF(OR(J1140=0,AND(J1140=1,K1140=1),AND(J1140=1,I1140="SBJ"),AND(J1140=1,I1140=0)),"?IN_FOCUS",IF(J1140&lt;=2,"?ACTIVATED",IF(J1140&lt;&gt;"","?FAMILIAR",IF(F1140="NEW",IF(ISNA(VLOOKUP(E1140,#REF!,1,FALSE())),"?TYPE_IDENTIFIABLE","?REFERENTIAL"),"_")))))</f>
        <v> </v>
      </c>
      <c r="H1140" s="24" t="str">
        <f>IF(J1140&lt;&gt;1,"",IF(I1140="SBJ","CB","?"))</f>
        <v> </v>
      </c>
      <c r="I1140" s="25" t="str">
        <f>IF(OR(E1140="",E1140="!!!",F1140="NEW"),"",INDEX(B1139:B$2,-1+SUMPRODUCT(MAX(ROW(E1139:E$2)*(E1140=E1139:E$2)))))</f>
        <v> </v>
      </c>
      <c r="J1140" s="25" t="str">
        <f>IF(OR(E1140="",E1140="!!!",F1140="NEW"),"",COUNTBLANK(OFFSET(A$1,,,SUMPRODUCT(MAX(ROW(E$2:E1140)*(E1140=E$2:E1140)))))-COUNTBLANK(OFFSET(A$1,,,SUMPRODUCT(MAX(ROW(E$1:E1139)*(E2=E$1:E1139))))))</f>
        <v> </v>
      </c>
      <c r="K1140" s="25" t="str">
        <f>IF(OR(E1140="",E1140="!!!",F1140="NEW"),"",INDEX(J$1:J1139,SUMPRODUCT(MAX(ROW(E$1:E1139)*(E1140=E$1:E1139)))))</f>
        <v> </v>
      </c>
      <c r="L1140" s="26"/>
    </row>
    <row r="1141" spans="1:12">
      <c r="A1141" s="20" t="s">
        <v>325</v>
      </c>
      <c r="E1141" s="21">
        <f>IF(D1141="?OLD","!!!","")</f>
        <v/>
      </c>
      <c r="F1141" s="22" t="str">
        <f>IF(OR(E1141="",E1141="!!!"),"",IF(NOT(ISNA(VLOOKUP(E1141,E$1:E1140,1,FALSE()))),"OLD",IF(AND(E1141&lt;&gt;"",E1141&lt;&gt;"!!!"),"NEW","")))</f>
        <v> </v>
      </c>
      <c r="G1141" s="23" t="str">
        <f>IF(OR(E1141="",E1141="!!!"),"",IF(OR(J1141=0,AND(J1141=1,K1141=1),AND(J1141=1,I1141="SBJ"),AND(J1141=1,I1141=0)),"?IN_FOCUS",IF(J1141&lt;=2,"?ACTIVATED",IF(J1141&lt;&gt;"","?FAMILIAR",IF(F1141="NEW",IF(ISNA(VLOOKUP(E1141,#REF!,1,FALSE())),"?TYPE_IDENTIFIABLE","?REFERENTIAL"),"_")))))</f>
        <v> </v>
      </c>
      <c r="H1141" s="24" t="str">
        <f>IF(J1141&lt;&gt;1,"",IF(I1141="SBJ","CB","?"))</f>
        <v> </v>
      </c>
      <c r="I1141" s="25" t="str">
        <f>IF(OR(E1141="",E1141="!!!",F1141="NEW"),"",INDEX(B1140:B$2,-1+SUMPRODUCT(MAX(ROW(E1140:E$2)*(E1141=E1140:E$2)))))</f>
        <v> </v>
      </c>
      <c r="J1141" s="25" t="str">
        <f>IF(OR(E1141="",E1141="!!!",F1141="NEW"),"",COUNTBLANK(OFFSET(A$1,,,SUMPRODUCT(MAX(ROW(E$2:E1141)*(E1141=E$2:E1141)))))-COUNTBLANK(OFFSET(A$1,,,SUMPRODUCT(MAX(ROW(E$1:E1140)*(E2=E$1:E1140))))))</f>
        <v> </v>
      </c>
      <c r="K1141" s="25" t="str">
        <f>IF(OR(E1141="",E1141="!!!",F1141="NEW"),"",INDEX(J$1:J1140,SUMPRODUCT(MAX(ROW(E$1:E1140)*(E1141=E$1:E1140)))))</f>
        <v> </v>
      </c>
      <c r="L1141" s="26"/>
    </row>
    <row r="1142" spans="1:12">
      <c r="A1142" s="20" t="s">
        <v>326</v>
      </c>
      <c r="E1142" s="21">
        <f>IF(D1142="?OLD","!!!","")</f>
        <v/>
      </c>
      <c r="F1142" s="22" t="str">
        <f>IF(OR(E1142="",E1142="!!!"),"",IF(NOT(ISNA(VLOOKUP(E1142,E$1:E1141,1,FALSE()))),"OLD",IF(AND(E1142&lt;&gt;"",E1142&lt;&gt;"!!!"),"NEW","")))</f>
        <v> </v>
      </c>
      <c r="G1142" s="23" t="str">
        <f>IF(OR(E1142="",E1142="!!!"),"",IF(OR(J1142=0,AND(J1142=1,K1142=1),AND(J1142=1,I1142="SBJ"),AND(J1142=1,I1142=0)),"?IN_FOCUS",IF(J1142&lt;=2,"?ACTIVATED",IF(J1142&lt;&gt;"","?FAMILIAR",IF(F1142="NEW",IF(ISNA(VLOOKUP(E1142,#REF!,1,FALSE())),"?TYPE_IDENTIFIABLE","?REFERENTIAL"),"_")))))</f>
        <v> </v>
      </c>
      <c r="H1142" s="24" t="str">
        <f>IF(J1142&lt;&gt;1,"",IF(I1142="SBJ","CB","?"))</f>
        <v> </v>
      </c>
      <c r="I1142" s="25" t="str">
        <f>IF(OR(E1142="",E1142="!!!",F1142="NEW"),"",INDEX(B1141:B$2,-1+SUMPRODUCT(MAX(ROW(E1141:E$2)*(E1142=E1141:E$2)))))</f>
        <v> </v>
      </c>
      <c r="J1142" s="25" t="str">
        <f>IF(OR(E1142="",E1142="!!!",F1142="NEW"),"",COUNTBLANK(OFFSET(A$1,,,SUMPRODUCT(MAX(ROW(E$2:E1142)*(E1142=E$2:E1142)))))-COUNTBLANK(OFFSET(A$1,,,SUMPRODUCT(MAX(ROW(E$1:E1141)*(E2=E$1:E1141))))))</f>
        <v> </v>
      </c>
      <c r="K1142" s="25" t="str">
        <f>IF(OR(E1142="",E1142="!!!",F1142="NEW"),"",INDEX(J$1:J1141,SUMPRODUCT(MAX(ROW(E$1:E1141)*(E1142=E$1:E1141)))))</f>
        <v> </v>
      </c>
      <c r="L1142" s="26"/>
    </row>
    <row r="1143" spans="1:12">
      <c r="A1143" s="20" t="s">
        <v>656</v>
      </c>
      <c r="E1143" s="21">
        <f>IF(D1143="?OLD","!!!","")</f>
        <v/>
      </c>
      <c r="F1143" s="22" t="str">
        <f>IF(OR(E1143="",E1143="!!!"),"",IF(NOT(ISNA(VLOOKUP(E1143,E$1:E1142,1,FALSE()))),"OLD",IF(AND(E1143&lt;&gt;"",E1143&lt;&gt;"!!!"),"NEW","")))</f>
        <v> </v>
      </c>
      <c r="G1143" s="23" t="str">
        <f>IF(OR(E1143="",E1143="!!!"),"",IF(OR(J1143=0,AND(J1143=1,K1143=1),AND(J1143=1,I1143="SBJ"),AND(J1143=1,I1143=0)),"?IN_FOCUS",IF(J1143&lt;=2,"?ACTIVATED",IF(J1143&lt;&gt;"","?FAMILIAR",IF(F1143="NEW",IF(ISNA(VLOOKUP(E1143,#REF!,1,FALSE())),"?TYPE_IDENTIFIABLE","?REFERENTIAL"),"_")))))</f>
        <v> </v>
      </c>
      <c r="H1143" s="24" t="str">
        <f>IF(J1143&lt;&gt;1,"",IF(I1143="SBJ","CB","?"))</f>
        <v> </v>
      </c>
      <c r="I1143" s="25" t="str">
        <f>IF(OR(E1143="",E1143="!!!",F1143="NEW"),"",INDEX(B1142:B$2,-1+SUMPRODUCT(MAX(ROW(E1142:E$2)*(E1143=E1142:E$2)))))</f>
        <v> </v>
      </c>
      <c r="J1143" s="25" t="str">
        <f>IF(OR(E1143="",E1143="!!!",F1143="NEW"),"",COUNTBLANK(OFFSET(A$1,,,SUMPRODUCT(MAX(ROW(E$2:E1143)*(E1143=E$2:E1143)))))-COUNTBLANK(OFFSET(A$1,,,SUMPRODUCT(MAX(ROW(E$1:E1142)*(E2=E$1:E1142))))))</f>
        <v> </v>
      </c>
      <c r="K1143" s="25" t="str">
        <f>IF(OR(E1143="",E1143="!!!",F1143="NEW"),"",INDEX(J$1:J1142,SUMPRODUCT(MAX(ROW(E$1:E1142)*(E1143=E$1:E1142)))))</f>
        <v> </v>
      </c>
      <c r="L1143" s="26"/>
    </row>
    <row r="1144" spans="1:12">
      <c r="A1144" s="20" t="s">
        <v>269</v>
      </c>
      <c r="B1144" s="27" t="s">
        <v>328</v>
      </c>
      <c r="C1144" s="27" t="s">
        <v>270</v>
      </c>
      <c r="E1144" s="21">
        <f>IF(D1144="?OLD","!!!","")</f>
        <v/>
      </c>
      <c r="F1144" s="22" t="str">
        <f>IF(OR(E1144="",E1144="!!!"),"",IF(NOT(ISNA(VLOOKUP(E1144,E$1:E1143,1,FALSE()))),"OLD",IF(AND(E1144&lt;&gt;"",E1144&lt;&gt;"!!!"),"NEW","")))</f>
        <v> </v>
      </c>
      <c r="G1144" s="23" t="str">
        <f>IF(OR(E1144="",E1144="!!!"),"",IF(OR(J1144=0,AND(J1144=1,K1144=1),AND(J1144=1,I1144="SBJ"),AND(J1144=1,I1144=0)),"?IN_FOCUS",IF(J1144&lt;=2,"?ACTIVATED",IF(J1144&lt;&gt;"","?FAMILIAR",IF(F1144="NEW",IF(ISNA(VLOOKUP(E1144,#REF!,1,FALSE())),"?TYPE_IDENTIFIABLE","?REFERENTIAL"),"_")))))</f>
        <v> </v>
      </c>
      <c r="H1144" s="24" t="str">
        <f>IF(J1144&lt;&gt;1,"",IF(I1144="SBJ","CB","?"))</f>
        <v> </v>
      </c>
      <c r="I1144" s="25" t="str">
        <f>IF(OR(E1144="",E1144="!!!",F1144="NEW"),"",INDEX(B1143:B$2,-1+SUMPRODUCT(MAX(ROW(E1143:E$2)*(E1144=E1143:E$2)))))</f>
        <v> </v>
      </c>
      <c r="J1144" s="25" t="str">
        <f>IF(OR(E1144="",E1144="!!!",F1144="NEW"),"",COUNTBLANK(OFFSET(A$1,,,SUMPRODUCT(MAX(ROW(E$2:E1144)*(E1144=E$2:E1144)))))-COUNTBLANK(OFFSET(A$1,,,SUMPRODUCT(MAX(ROW(E$1:E1143)*(E2=E$1:E1143))))))</f>
        <v> </v>
      </c>
      <c r="K1144" s="25" t="str">
        <f>IF(OR(E1144="",E1144="!!!",F1144="NEW"),"",INDEX(J$1:J1143,SUMPRODUCT(MAX(ROW(E$1:E1143)*(E1144=E$1:E1143)))))</f>
        <v> </v>
      </c>
      <c r="L1144" s="26"/>
    </row>
    <row r="1145" spans="1:12">
      <c r="A1145" s="20" t="s">
        <v>320</v>
      </c>
      <c r="E1145" s="21">
        <f>IF(D1145="?OLD","!!!","")</f>
        <v/>
      </c>
      <c r="F1145" s="22" t="str">
        <f>IF(OR(E1145="",E1145="!!!"),"",IF(NOT(ISNA(VLOOKUP(E1145,E$1:E1144,1,FALSE()))),"OLD",IF(AND(E1145&lt;&gt;"",E1145&lt;&gt;"!!!"),"NEW","")))</f>
        <v> </v>
      </c>
      <c r="G1145" s="23" t="str">
        <f>IF(OR(E1145="",E1145="!!!"),"",IF(OR(J1145=0,AND(J1145=1,K1145=1),AND(J1145=1,I1145="SBJ"),AND(J1145=1,I1145=0)),"?IN_FOCUS",IF(J1145&lt;=2,"?ACTIVATED",IF(J1145&lt;&gt;"","?FAMILIAR",IF(F1145="NEW",IF(ISNA(VLOOKUP(E1145,#REF!,1,FALSE())),"?TYPE_IDENTIFIABLE","?REFERENTIAL"),"_")))))</f>
        <v> </v>
      </c>
      <c r="H1145" s="24" t="str">
        <f>IF(J1145&lt;&gt;1,"",IF(I1145="SBJ","CB","?"))</f>
        <v> </v>
      </c>
      <c r="I1145" s="25" t="str">
        <f>IF(OR(E1145="",E1145="!!!",F1145="NEW"),"",INDEX(B1144:B$2,-1+SUMPRODUCT(MAX(ROW(E1144:E$2)*(E1145=E1144:E$2)))))</f>
        <v> </v>
      </c>
      <c r="J1145" s="25" t="str">
        <f>IF(OR(E1145="",E1145="!!!",F1145="NEW"),"",COUNTBLANK(OFFSET(A$1,,,SUMPRODUCT(MAX(ROW(E$2:E1145)*(E1145=E$2:E1145)))))-COUNTBLANK(OFFSET(A$1,,,SUMPRODUCT(MAX(ROW(E$1:E1144)*(E2=E$1:E1144))))))</f>
        <v> </v>
      </c>
      <c r="K1145" s="25" t="str">
        <f>IF(OR(E1145="",E1145="!!!",F1145="NEW"),"",INDEX(J$1:J1144,SUMPRODUCT(MAX(ROW(E$1:E1144)*(E1145=E$1:E1144)))))</f>
        <v> </v>
      </c>
      <c r="L1145" s="26"/>
    </row>
    <row r="1146" spans="1:12">
      <c r="A1146" s="20"/>
    </row>
    <row r="1147" spans="1:12">
      <c r="A1147" s="20" t="s">
        <v>657</v>
      </c>
    </row>
    <row r="1148" spans="1:12">
      <c r="A1148" s="20" t="s">
        <v>360</v>
      </c>
      <c r="E1148" s="21">
        <f>IF(D1148="?OLD","!!!","")</f>
        <v/>
      </c>
      <c r="F1148" s="22" t="str">
        <f>IF(OR(E1148="",E1148="!!!"),"",IF(NOT(ISNA(VLOOKUP(E1148,E$1:E1147,1,FALSE()))),"OLD",IF(AND(E1148&lt;&gt;"",E1148&lt;&gt;"!!!"),"NEW","")))</f>
        <v> </v>
      </c>
      <c r="G1148" s="23" t="str">
        <f>IF(OR(E1148="",E1148="!!!"),"",IF(OR(J1148=0,AND(J1148=1,K1148=1),AND(J1148=1,I1148="SBJ"),AND(J1148=1,I1148=0)),"?IN_FOCUS",IF(J1148&lt;=2,"?ACTIVATED",IF(J1148&lt;&gt;"","?FAMILIAR",IF(F1148="NEW",IF(ISNA(VLOOKUP(E1148,#REF!,1,FALSE())),"?TYPE_IDENTIFIABLE","?REFERENTIAL"),"_")))))</f>
        <v> </v>
      </c>
      <c r="H1148" s="24" t="str">
        <f>IF(J1148&lt;&gt;1,"",IF(I1148="SBJ","CB","?"))</f>
        <v> </v>
      </c>
      <c r="I1148" s="25" t="str">
        <f>IF(OR(E1148="",E1148="!!!",F1148="NEW"),"",INDEX(B1147:B$2,-1+SUMPRODUCT(MAX(ROW(E1147:E$2)*(E1148=E1147:E$2)))))</f>
        <v> </v>
      </c>
      <c r="J1148" s="25" t="str">
        <f>IF(OR(E1148="",E1148="!!!",F1148="NEW"),"",COUNTBLANK(OFFSET(A$1,,,SUMPRODUCT(MAX(ROW(E$2:E1148)*(E1148=E$2:E1148)))))-COUNTBLANK(OFFSET(A$1,,,SUMPRODUCT(MAX(ROW(E$1:E1147)*(E2=E$1:E1147))))))</f>
        <v> </v>
      </c>
      <c r="K1148" s="25" t="str">
        <f>IF(OR(E1148="",E1148="!!!",F1148="NEW"),"",INDEX(J$1:J1147,SUMPRODUCT(MAX(ROW(E$1:E1147)*(E1148=E$1:E1147)))))</f>
        <v> </v>
      </c>
      <c r="L1148" s="26"/>
    </row>
    <row r="1149" spans="1:12">
      <c r="A1149" s="20" t="s">
        <v>271</v>
      </c>
      <c r="E1149" s="21">
        <f>IF(D1149="?OLD","!!!","")</f>
        <v/>
      </c>
      <c r="F1149" s="22" t="str">
        <f>IF(OR(E1149="",E1149="!!!"),"",IF(NOT(ISNA(VLOOKUP(E1149,E$1:E1148,1,FALSE()))),"OLD",IF(AND(E1149&lt;&gt;"",E1149&lt;&gt;"!!!"),"NEW","")))</f>
        <v> </v>
      </c>
      <c r="G1149" s="23" t="str">
        <f>IF(OR(E1149="",E1149="!!!"),"",IF(OR(J1149=0,AND(J1149=1,K1149=1),AND(J1149=1,I1149="SBJ"),AND(J1149=1,I1149=0)),"?IN_FOCUS",IF(J1149&lt;=2,"?ACTIVATED",IF(J1149&lt;&gt;"","?FAMILIAR",IF(F1149="NEW",IF(ISNA(VLOOKUP(E1149,#REF!,1,FALSE())),"?TYPE_IDENTIFIABLE","?REFERENTIAL"),"_")))))</f>
        <v> </v>
      </c>
      <c r="H1149" s="24" t="str">
        <f>IF(J1149&lt;&gt;1,"",IF(I1149="SBJ","CB","?"))</f>
        <v> </v>
      </c>
      <c r="I1149" s="25" t="str">
        <f>IF(OR(E1149="",E1149="!!!",F1149="NEW"),"",INDEX(B1148:B$2,-1+SUMPRODUCT(MAX(ROW(E1148:E$2)*(E1149=E1148:E$2)))))</f>
        <v> </v>
      </c>
      <c r="J1149" s="25" t="str">
        <f>IF(OR(E1149="",E1149="!!!",F1149="NEW"),"",COUNTBLANK(OFFSET(A$1,,,SUMPRODUCT(MAX(ROW(E$2:E1149)*(E1149=E$2:E1149)))))-COUNTBLANK(OFFSET(A$1,,,SUMPRODUCT(MAX(ROW(E$1:E1148)*(E2=E$1:E1148))))))</f>
        <v> </v>
      </c>
      <c r="K1149" s="25" t="str">
        <f>IF(OR(E1149="",E1149="!!!",F1149="NEW"),"",INDEX(J$1:J1148,SUMPRODUCT(MAX(ROW(E$1:E1148)*(E1149=E$1:E1148)))))</f>
        <v> </v>
      </c>
      <c r="L1149" s="26"/>
    </row>
    <row r="1150" spans="1:12">
      <c r="A1150" s="20" t="s">
        <v>409</v>
      </c>
      <c r="E1150" s="21">
        <f>IF(D1150="?OLD","!!!","")</f>
        <v/>
      </c>
      <c r="F1150" s="22" t="str">
        <f>IF(OR(E1150="",E1150="!!!"),"",IF(NOT(ISNA(VLOOKUP(E1150,E$1:E1149,1,FALSE()))),"OLD",IF(AND(E1150&lt;&gt;"",E1150&lt;&gt;"!!!"),"NEW","")))</f>
        <v> </v>
      </c>
      <c r="G1150" s="23" t="str">
        <f>IF(OR(E1150="",E1150="!!!"),"",IF(OR(J1150=0,AND(J1150=1,K1150=1),AND(J1150=1,I1150="SBJ"),AND(J1150=1,I1150=0)),"?IN_FOCUS",IF(J1150&lt;=2,"?ACTIVATED",IF(J1150&lt;&gt;"","?FAMILIAR",IF(F1150="NEW",IF(ISNA(VLOOKUP(E1150,#REF!,1,FALSE())),"?TYPE_IDENTIFIABLE","?REFERENTIAL"),"_")))))</f>
        <v> </v>
      </c>
      <c r="H1150" s="24" t="str">
        <f>IF(J1150&lt;&gt;1,"",IF(I1150="SBJ","CB","?"))</f>
        <v> </v>
      </c>
      <c r="I1150" s="25" t="str">
        <f>IF(OR(E1150="",E1150="!!!",F1150="NEW"),"",INDEX(B1149:B$2,-1+SUMPRODUCT(MAX(ROW(E1149:E$2)*(E1150=E1149:E$2)))))</f>
        <v> </v>
      </c>
      <c r="J1150" s="25" t="str">
        <f>IF(OR(E1150="",E1150="!!!",F1150="NEW"),"",COUNTBLANK(OFFSET(A$1,,,SUMPRODUCT(MAX(ROW(E$2:E1150)*(E1150=E$2:E1150)))))-COUNTBLANK(OFFSET(A$1,,,SUMPRODUCT(MAX(ROW(E$1:E1149)*(E2=E$1:E1149))))))</f>
        <v> </v>
      </c>
      <c r="K1150" s="25" t="str">
        <f>IF(OR(E1150="",E1150="!!!",F1150="NEW"),"",INDEX(J$1:J1149,SUMPRODUCT(MAX(ROW(E$1:E1149)*(E1150=E$1:E1149)))))</f>
        <v> </v>
      </c>
      <c r="L1150" s="26"/>
    </row>
    <row r="1151" spans="1:12">
      <c r="A1151" s="20" t="s">
        <v>255</v>
      </c>
      <c r="B1151" s="27" t="s">
        <v>256</v>
      </c>
      <c r="C1151" s="27" t="s">
        <v>257</v>
      </c>
      <c r="D1151" s="27" t="s">
        <v>258</v>
      </c>
      <c r="E1151" s="21">
        <f>IF(D1151="?OLD","!!!","")</f>
        <v/>
      </c>
      <c r="F1151" s="22" t="str">
        <f>IF(OR(E1151="",E1151="!!!"),"",IF(NOT(ISNA(VLOOKUP(E1151,E$1:E1150,1,FALSE()))),"OLD",IF(AND(E1151&lt;&gt;"",E1151&lt;&gt;"!!!"),"NEW","")))</f>
        <v> </v>
      </c>
      <c r="G1151" s="23" t="str">
        <f>IF(OR(E1151="",E1151="!!!"),"",IF(OR(J1151=0,AND(J1151=1,K1151=1),AND(J1151=1,I1151="SBJ"),AND(J1151=1,I1151=0)),"?IN_FOCUS",IF(J1151&lt;=2,"?ACTIVATED",IF(J1151&lt;&gt;"","?FAMILIAR",IF(F1151="NEW",IF(ISNA(VLOOKUP(E1151,#REF!,1,FALSE())),"?TYPE_IDENTIFIABLE","?REFERENTIAL"),"_")))))</f>
        <v> </v>
      </c>
      <c r="H1151" s="24" t="str">
        <f>IF(J1151&lt;&gt;1,"",IF(I1151="SBJ","CB","?"))</f>
        <v> </v>
      </c>
      <c r="I1151" s="25" t="str">
        <f>IF(OR(E1151="",E1151="!!!",F1151="NEW"),"",INDEX(B1150:B$2,-1+SUMPRODUCT(MAX(ROW(E1150:E$2)*(E1151=E1150:E$2)))))</f>
        <v> </v>
      </c>
      <c r="J1151" s="25" t="str">
        <f>IF(OR(E1151="",E1151="!!!",F1151="NEW"),"",COUNTBLANK(OFFSET(A$1,,,SUMPRODUCT(MAX(ROW(E$2:E1151)*(E1151=E$2:E1151)))))-COUNTBLANK(OFFSET(A$1,,,SUMPRODUCT(MAX(ROW(E$1:E1150)*(E2=E$1:E1150))))))</f>
        <v> </v>
      </c>
      <c r="K1151" s="25" t="str">
        <f>IF(OR(E1151="",E1151="!!!",F1151="NEW"),"",INDEX(J$1:J1150,SUMPRODUCT(MAX(ROW(E$1:E1150)*(E1151=E$1:E1150)))))</f>
        <v> </v>
      </c>
      <c r="L1151" s="26"/>
    </row>
    <row r="1152" spans="1:12">
      <c r="A1152" s="20" t="s">
        <v>117</v>
      </c>
      <c r="E1152" s="21">
        <f>IF(D1152="?OLD","!!!","")</f>
        <v/>
      </c>
      <c r="F1152" s="22" t="str">
        <f>IF(OR(E1152="",E1152="!!!"),"",IF(NOT(ISNA(VLOOKUP(E1152,E$1:E1151,1,FALSE()))),"OLD",IF(AND(E1152&lt;&gt;"",E1152&lt;&gt;"!!!"),"NEW","")))</f>
        <v> </v>
      </c>
      <c r="G1152" s="23" t="str">
        <f>IF(OR(E1152="",E1152="!!!"),"",IF(OR(J1152=0,AND(J1152=1,K1152=1),AND(J1152=1,I1152="SBJ"),AND(J1152=1,I1152=0)),"?IN_FOCUS",IF(J1152&lt;=2,"?ACTIVATED",IF(J1152&lt;&gt;"","?FAMILIAR",IF(F1152="NEW",IF(ISNA(VLOOKUP(E1152,#REF!,1,FALSE())),"?TYPE_IDENTIFIABLE","?REFERENTIAL"),"_")))))</f>
        <v> </v>
      </c>
      <c r="H1152" s="24" t="str">
        <f>IF(J1152&lt;&gt;1,"",IF(I1152="SBJ","CB","?"))</f>
        <v> </v>
      </c>
      <c r="I1152" s="25" t="str">
        <f>IF(OR(E1152="",E1152="!!!",F1152="NEW"),"",INDEX(B1151:B$2,-1+SUMPRODUCT(MAX(ROW(E1151:E$2)*(E1152=E1151:E$2)))))</f>
        <v> </v>
      </c>
      <c r="J1152" s="25" t="str">
        <f>IF(OR(E1152="",E1152="!!!",F1152="NEW"),"",COUNTBLANK(OFFSET(A$1,,,SUMPRODUCT(MAX(ROW(E$2:E1152)*(E1152=E$2:E1152)))))-COUNTBLANK(OFFSET(A$1,,,SUMPRODUCT(MAX(ROW(E$1:E1151)*(E2=E$1:E1151))))))</f>
        <v> </v>
      </c>
      <c r="K1152" s="25" t="str">
        <f>IF(OR(E1152="",E1152="!!!",F1152="NEW"),"",INDEX(J$1:J1151,SUMPRODUCT(MAX(ROW(E$1:E1151)*(E1152=E$1:E1151)))))</f>
        <v> </v>
      </c>
      <c r="L1152" s="26"/>
    </row>
    <row r="1153" spans="1:12">
      <c r="A1153" s="20" t="s">
        <v>305</v>
      </c>
      <c r="E1153" s="21">
        <f>IF(D1153="?OLD","!!!","")</f>
        <v/>
      </c>
      <c r="F1153" s="22" t="str">
        <f>IF(OR(E1153="",E1153="!!!"),"",IF(NOT(ISNA(VLOOKUP(E1153,E$1:E1152,1,FALSE()))),"OLD",IF(AND(E1153&lt;&gt;"",E1153&lt;&gt;"!!!"),"NEW","")))</f>
        <v> </v>
      </c>
      <c r="G1153" s="23" t="str">
        <f>IF(OR(E1153="",E1153="!!!"),"",IF(OR(J1153=0,AND(J1153=1,K1153=1),AND(J1153=1,I1153="SBJ"),AND(J1153=1,I1153=0)),"?IN_FOCUS",IF(J1153&lt;=2,"?ACTIVATED",IF(J1153&lt;&gt;"","?FAMILIAR",IF(F1153="NEW",IF(ISNA(VLOOKUP(E1153,#REF!,1,FALSE())),"?TYPE_IDENTIFIABLE","?REFERENTIAL"),"_")))))</f>
        <v> </v>
      </c>
      <c r="H1153" s="24" t="str">
        <f>IF(J1153&lt;&gt;1,"",IF(I1153="SBJ","CB","?"))</f>
        <v> </v>
      </c>
      <c r="I1153" s="25" t="str">
        <f>IF(OR(E1153="",E1153="!!!",F1153="NEW"),"",INDEX(B1152:B$2,-1+SUMPRODUCT(MAX(ROW(E1152:E$2)*(E1153=E1152:E$2)))))</f>
        <v> </v>
      </c>
      <c r="J1153" s="25" t="str">
        <f>IF(OR(E1153="",E1153="!!!",F1153="NEW"),"",COUNTBLANK(OFFSET(A$1,,,SUMPRODUCT(MAX(ROW(E$2:E1153)*(E1153=E$2:E1153)))))-COUNTBLANK(OFFSET(A$1,,,SUMPRODUCT(MAX(ROW(E$1:E1152)*(E2=E$1:E1152))))))</f>
        <v> </v>
      </c>
      <c r="K1153" s="25" t="str">
        <f>IF(OR(E1153="",E1153="!!!",F1153="NEW"),"",INDEX(J$1:J1152,SUMPRODUCT(MAX(ROW(E$1:E1152)*(E1153=E$1:E1152)))))</f>
        <v> </v>
      </c>
      <c r="L1153" s="26"/>
    </row>
    <row r="1154" spans="1:12">
      <c r="A1154" s="20" t="s">
        <v>43</v>
      </c>
      <c r="E1154" s="21">
        <f>IF(D1154="?OLD","!!!","")</f>
        <v/>
      </c>
      <c r="F1154" s="22" t="str">
        <f>IF(OR(E1154="",E1154="!!!"),"",IF(NOT(ISNA(VLOOKUP(E1154,E$1:E1153,1,FALSE()))),"OLD",IF(AND(E1154&lt;&gt;"",E1154&lt;&gt;"!!!"),"NEW","")))</f>
        <v> </v>
      </c>
      <c r="G1154" s="23" t="str">
        <f>IF(OR(E1154="",E1154="!!!"),"",IF(OR(J1154=0,AND(J1154=1,K1154=1),AND(J1154=1,I1154="SBJ"),AND(J1154=1,I1154=0)),"?IN_FOCUS",IF(J1154&lt;=2,"?ACTIVATED",IF(J1154&lt;&gt;"","?FAMILIAR",IF(F1154="NEW",IF(ISNA(VLOOKUP(E1154,#REF!,1,FALSE())),"?TYPE_IDENTIFIABLE","?REFERENTIAL"),"_")))))</f>
        <v> </v>
      </c>
      <c r="H1154" s="24" t="str">
        <f>IF(J1154&lt;&gt;1,"",IF(I1154="SBJ","CB","?"))</f>
        <v> </v>
      </c>
      <c r="I1154" s="25" t="str">
        <f>IF(OR(E1154="",E1154="!!!",F1154="NEW"),"",INDEX(B1153:B$2,-1+SUMPRODUCT(MAX(ROW(E1153:E$2)*(E1154=E1153:E$2)))))</f>
        <v> </v>
      </c>
      <c r="J1154" s="25" t="str">
        <f>IF(OR(E1154="",E1154="!!!",F1154="NEW"),"",COUNTBLANK(OFFSET(A$1,,,SUMPRODUCT(MAX(ROW(E$2:E1154)*(E1154=E$2:E1154)))))-COUNTBLANK(OFFSET(A$1,,,SUMPRODUCT(MAX(ROW(E$1:E1153)*(E2=E$1:E1153))))))</f>
        <v> </v>
      </c>
      <c r="K1154" s="25" t="str">
        <f>IF(OR(E1154="",E1154="!!!",F1154="NEW"),"",INDEX(J$1:J1153,SUMPRODUCT(MAX(ROW(E$1:E1153)*(E1154=E$1:E1153)))))</f>
        <v> </v>
      </c>
      <c r="L1154" s="26"/>
    </row>
    <row r="1155" spans="1:12">
      <c r="A1155" s="20" t="s">
        <v>381</v>
      </c>
      <c r="E1155" s="21">
        <f>IF(D1155="?OLD","!!!","")</f>
        <v/>
      </c>
      <c r="F1155" s="22" t="str">
        <f>IF(OR(E1155="",E1155="!!!"),"",IF(NOT(ISNA(VLOOKUP(E1155,E$1:E1154,1,FALSE()))),"OLD",IF(AND(E1155&lt;&gt;"",E1155&lt;&gt;"!!!"),"NEW","")))</f>
        <v> </v>
      </c>
      <c r="G1155" s="23" t="str">
        <f>IF(OR(E1155="",E1155="!!!"),"",IF(OR(J1155=0,AND(J1155=1,K1155=1),AND(J1155=1,I1155="SBJ"),AND(J1155=1,I1155=0)),"?IN_FOCUS",IF(J1155&lt;=2,"?ACTIVATED",IF(J1155&lt;&gt;"","?FAMILIAR",IF(F1155="NEW",IF(ISNA(VLOOKUP(E1155,#REF!,1,FALSE())),"?TYPE_IDENTIFIABLE","?REFERENTIAL"),"_")))))</f>
        <v> </v>
      </c>
      <c r="H1155" s="24" t="str">
        <f>IF(J1155&lt;&gt;1,"",IF(I1155="SBJ","CB","?"))</f>
        <v> </v>
      </c>
      <c r="I1155" s="25" t="str">
        <f>IF(OR(E1155="",E1155="!!!",F1155="NEW"),"",INDEX(B1154:B$2,-1+SUMPRODUCT(MAX(ROW(E1154:E$2)*(E1155=E1154:E$2)))))</f>
        <v> </v>
      </c>
      <c r="J1155" s="25" t="str">
        <f>IF(OR(E1155="",E1155="!!!",F1155="NEW"),"",COUNTBLANK(OFFSET(A$1,,,SUMPRODUCT(MAX(ROW(E$2:E1155)*(E1155=E$2:E1155)))))-COUNTBLANK(OFFSET(A$1,,,SUMPRODUCT(MAX(ROW(E$1:E1154)*(E2=E$1:E1154))))))</f>
        <v> </v>
      </c>
      <c r="K1155" s="25" t="str">
        <f>IF(OR(E1155="",E1155="!!!",F1155="NEW"),"",INDEX(J$1:J1154,SUMPRODUCT(MAX(ROW(E$1:E1154)*(E1155=E$1:E1154)))))</f>
        <v> </v>
      </c>
      <c r="L1155" s="26"/>
    </row>
    <row r="1156" spans="1:12">
      <c r="A1156" s="20" t="s">
        <v>293</v>
      </c>
      <c r="E1156" s="21">
        <f>IF(D1156="?OLD","!!!","")</f>
        <v/>
      </c>
      <c r="F1156" s="22" t="str">
        <f>IF(OR(E1156="",E1156="!!!"),"",IF(NOT(ISNA(VLOOKUP(E1156,E$1:E1155,1,FALSE()))),"OLD",IF(AND(E1156&lt;&gt;"",E1156&lt;&gt;"!!!"),"NEW","")))</f>
        <v> </v>
      </c>
      <c r="G1156" s="23" t="str">
        <f>IF(OR(E1156="",E1156="!!!"),"",IF(OR(J1156=0,AND(J1156=1,K1156=1),AND(J1156=1,I1156="SBJ"),AND(J1156=1,I1156=0)),"?IN_FOCUS",IF(J1156&lt;=2,"?ACTIVATED",IF(J1156&lt;&gt;"","?FAMILIAR",IF(F1156="NEW",IF(ISNA(VLOOKUP(E1156,#REF!,1,FALSE())),"?TYPE_IDENTIFIABLE","?REFERENTIAL"),"_")))))</f>
        <v> </v>
      </c>
      <c r="H1156" s="24" t="str">
        <f>IF(J1156&lt;&gt;1,"",IF(I1156="SBJ","CB","?"))</f>
        <v> </v>
      </c>
      <c r="I1156" s="25" t="str">
        <f>IF(OR(E1156="",E1156="!!!",F1156="NEW"),"",INDEX(B1155:B$2,-1+SUMPRODUCT(MAX(ROW(E1155:E$2)*(E1156=E1155:E$2)))))</f>
        <v> </v>
      </c>
      <c r="J1156" s="25" t="str">
        <f>IF(OR(E1156="",E1156="!!!",F1156="NEW"),"",COUNTBLANK(OFFSET(A$1,,,SUMPRODUCT(MAX(ROW(E$2:E1156)*(E1156=E$2:E1156)))))-COUNTBLANK(OFFSET(A$1,,,SUMPRODUCT(MAX(ROW(E$1:E1155)*(E2=E$1:E1155))))))</f>
        <v> </v>
      </c>
      <c r="K1156" s="25" t="str">
        <f>IF(OR(E1156="",E1156="!!!",F1156="NEW"),"",INDEX(J$1:J1155,SUMPRODUCT(MAX(ROW(E$1:E1155)*(E1156=E$1:E1155)))))</f>
        <v> </v>
      </c>
      <c r="L1156" s="26"/>
    </row>
    <row r="1157" spans="1:12">
      <c r="A1157" s="20" t="s">
        <v>85</v>
      </c>
      <c r="E1157" s="21">
        <f>IF(D1157="?OLD","!!!","")</f>
        <v/>
      </c>
      <c r="F1157" s="22" t="str">
        <f>IF(OR(E1157="",E1157="!!!"),"",IF(NOT(ISNA(VLOOKUP(E1157,E$1:E1156,1,FALSE()))),"OLD",IF(AND(E1157&lt;&gt;"",E1157&lt;&gt;"!!!"),"NEW","")))</f>
        <v> </v>
      </c>
      <c r="G1157" s="23" t="str">
        <f>IF(OR(E1157="",E1157="!!!"),"",IF(OR(J1157=0,AND(J1157=1,K1157=1),AND(J1157=1,I1157="SBJ"),AND(J1157=1,I1157=0)),"?IN_FOCUS",IF(J1157&lt;=2,"?ACTIVATED",IF(J1157&lt;&gt;"","?FAMILIAR",IF(F1157="NEW",IF(ISNA(VLOOKUP(E1157,#REF!,1,FALSE())),"?TYPE_IDENTIFIABLE","?REFERENTIAL"),"_")))))</f>
        <v> </v>
      </c>
      <c r="H1157" s="24" t="str">
        <f>IF(J1157&lt;&gt;1,"",IF(I1157="SBJ","CB","?"))</f>
        <v> </v>
      </c>
      <c r="I1157" s="25" t="str">
        <f>IF(OR(E1157="",E1157="!!!",F1157="NEW"),"",INDEX(B1156:B$2,-1+SUMPRODUCT(MAX(ROW(E1156:E$2)*(E1157=E1156:E$2)))))</f>
        <v> </v>
      </c>
      <c r="J1157" s="25" t="str">
        <f>IF(OR(E1157="",E1157="!!!",F1157="NEW"),"",COUNTBLANK(OFFSET(A$1,,,SUMPRODUCT(MAX(ROW(E$2:E1157)*(E1157=E$2:E1157)))))-COUNTBLANK(OFFSET(A$1,,,SUMPRODUCT(MAX(ROW(E$1:E1156)*(E2=E$1:E1156))))))</f>
        <v> </v>
      </c>
      <c r="K1157" s="25" t="str">
        <f>IF(OR(E1157="",E1157="!!!",F1157="NEW"),"",INDEX(J$1:J1156,SUMPRODUCT(MAX(ROW(E$1:E1156)*(E1157=E$1:E1156)))))</f>
        <v> </v>
      </c>
      <c r="L1157" s="26"/>
    </row>
    <row r="1158" spans="1:12">
      <c r="A1158" s="20" t="s">
        <v>326</v>
      </c>
      <c r="E1158" s="21">
        <f>IF(D1158="?OLD","!!!","")</f>
        <v/>
      </c>
      <c r="F1158" s="22" t="str">
        <f>IF(OR(E1158="",E1158="!!!"),"",IF(NOT(ISNA(VLOOKUP(E1158,E$1:E1157,1,FALSE()))),"OLD",IF(AND(E1158&lt;&gt;"",E1158&lt;&gt;"!!!"),"NEW","")))</f>
        <v> </v>
      </c>
      <c r="G1158" s="23" t="str">
        <f>IF(OR(E1158="",E1158="!!!"),"",IF(OR(J1158=0,AND(J1158=1,K1158=1),AND(J1158=1,I1158="SBJ"),AND(J1158=1,I1158=0)),"?IN_FOCUS",IF(J1158&lt;=2,"?ACTIVATED",IF(J1158&lt;&gt;"","?FAMILIAR",IF(F1158="NEW",IF(ISNA(VLOOKUP(E1158,#REF!,1,FALSE())),"?TYPE_IDENTIFIABLE","?REFERENTIAL"),"_")))))</f>
        <v> </v>
      </c>
      <c r="H1158" s="24" t="str">
        <f>IF(J1158&lt;&gt;1,"",IF(I1158="SBJ","CB","?"))</f>
        <v> </v>
      </c>
      <c r="I1158" s="25" t="str">
        <f>IF(OR(E1158="",E1158="!!!",F1158="NEW"),"",INDEX(B1157:B$2,-1+SUMPRODUCT(MAX(ROW(E1157:E$2)*(E1158=E1157:E$2)))))</f>
        <v> </v>
      </c>
      <c r="J1158" s="25" t="str">
        <f>IF(OR(E1158="",E1158="!!!",F1158="NEW"),"",COUNTBLANK(OFFSET(A$1,,,SUMPRODUCT(MAX(ROW(E$2:E1158)*(E1158=E$2:E1158)))))-COUNTBLANK(OFFSET(A$1,,,SUMPRODUCT(MAX(ROW(E$1:E1157)*(E2=E$1:E1157))))))</f>
        <v> </v>
      </c>
      <c r="K1158" s="25" t="str">
        <f>IF(OR(E1158="",E1158="!!!",F1158="NEW"),"",INDEX(J$1:J1157,SUMPRODUCT(MAX(ROW(E$1:E1157)*(E1158=E$1:E1157)))))</f>
        <v> </v>
      </c>
      <c r="L1158" s="26"/>
    </row>
    <row r="1159" spans="1:12">
      <c r="A1159" s="20" t="s">
        <v>658</v>
      </c>
      <c r="B1159" s="27" t="s">
        <v>328</v>
      </c>
      <c r="C1159" s="27" t="s">
        <v>511</v>
      </c>
      <c r="D1159" s="27" t="s">
        <v>258</v>
      </c>
      <c r="E1159" s="21">
        <f>IF(D1159="?OLD","!!!","")</f>
        <v/>
      </c>
      <c r="F1159" s="22" t="str">
        <f>IF(OR(E1159="",E1159="!!!"),"",IF(NOT(ISNA(VLOOKUP(E1159,E$1:E1158,1,FALSE()))),"OLD",IF(AND(E1159&lt;&gt;"",E1159&lt;&gt;"!!!"),"NEW","")))</f>
        <v> </v>
      </c>
      <c r="G1159" s="23" t="str">
        <f>IF(OR(E1159="",E1159="!!!"),"",IF(OR(J1159=0,AND(J1159=1,K1159=1),AND(J1159=1,I1159="SBJ"),AND(J1159=1,I1159=0)),"?IN_FOCUS",IF(J1159&lt;=2,"?ACTIVATED",IF(J1159&lt;&gt;"","?FAMILIAR",IF(F1159="NEW",IF(ISNA(VLOOKUP(E1159,#REF!,1,FALSE())),"?TYPE_IDENTIFIABLE","?REFERENTIAL"),"_")))))</f>
        <v> </v>
      </c>
      <c r="H1159" s="24" t="str">
        <f>IF(J1159&lt;&gt;1,"",IF(I1159="SBJ","CB","?"))</f>
        <v> </v>
      </c>
      <c r="I1159" s="25" t="str">
        <f>IF(OR(E1159="",E1159="!!!",F1159="NEW"),"",INDEX(B1158:B$2,-1+SUMPRODUCT(MAX(ROW(E1158:E$2)*(E1159=E1158:E$2)))))</f>
        <v> </v>
      </c>
      <c r="J1159" s="25" t="str">
        <f>IF(OR(E1159="",E1159="!!!",F1159="NEW"),"",COUNTBLANK(OFFSET(A$1,,,SUMPRODUCT(MAX(ROW(E$2:E1159)*(E1159=E$2:E1159)))))-COUNTBLANK(OFFSET(A$1,,,SUMPRODUCT(MAX(ROW(E$1:E1158)*(E2=E$1:E1158))))))</f>
        <v> </v>
      </c>
      <c r="K1159" s="25" t="str">
        <f>IF(OR(E1159="",E1159="!!!",F1159="NEW"),"",INDEX(J$1:J1158,SUMPRODUCT(MAX(ROW(E$1:E1158)*(E1159=E$1:E1158)))))</f>
        <v> </v>
      </c>
      <c r="L1159" s="26"/>
    </row>
    <row r="1160" spans="1:12">
      <c r="A1160" s="20" t="s">
        <v>271</v>
      </c>
      <c r="E1160" s="21">
        <f>IF(D1160="?OLD","!!!","")</f>
        <v/>
      </c>
      <c r="F1160" s="22" t="str">
        <f>IF(OR(E1160="",E1160="!!!"),"",IF(NOT(ISNA(VLOOKUP(E1160,E$1:E1159,1,FALSE()))),"OLD",IF(AND(E1160&lt;&gt;"",E1160&lt;&gt;"!!!"),"NEW","")))</f>
        <v> </v>
      </c>
      <c r="G1160" s="23" t="str">
        <f>IF(OR(E1160="",E1160="!!!"),"",IF(OR(J1160=0,AND(J1160=1,K1160=1),AND(J1160=1,I1160="SBJ"),AND(J1160=1,I1160=0)),"?IN_FOCUS",IF(J1160&lt;=2,"?ACTIVATED",IF(J1160&lt;&gt;"","?FAMILIAR",IF(F1160="NEW",IF(ISNA(VLOOKUP(E1160,#REF!,1,FALSE())),"?TYPE_IDENTIFIABLE","?REFERENTIAL"),"_")))))</f>
        <v> </v>
      </c>
      <c r="H1160" s="24" t="str">
        <f>IF(J1160&lt;&gt;1,"",IF(I1160="SBJ","CB","?"))</f>
        <v> </v>
      </c>
      <c r="I1160" s="25" t="str">
        <f>IF(OR(E1160="",E1160="!!!",F1160="NEW"),"",INDEX(B1159:B$2,-1+SUMPRODUCT(MAX(ROW(E1159:E$2)*(E1160=E1159:E$2)))))</f>
        <v> </v>
      </c>
      <c r="J1160" s="25" t="str">
        <f>IF(OR(E1160="",E1160="!!!",F1160="NEW"),"",COUNTBLANK(OFFSET(A$1,,,SUMPRODUCT(MAX(ROW(E$2:E1160)*(E1160=E$2:E1160)))))-COUNTBLANK(OFFSET(A$1,,,SUMPRODUCT(MAX(ROW(E$1:E1159)*(E2=E$1:E1159))))))</f>
        <v> </v>
      </c>
      <c r="K1160" s="25" t="str">
        <f>IF(OR(E1160="",E1160="!!!",F1160="NEW"),"",INDEX(J$1:J1159,SUMPRODUCT(MAX(ROW(E$1:E1159)*(E1160=E$1:E1159)))))</f>
        <v> </v>
      </c>
      <c r="L1160" s="26"/>
    </row>
    <row r="1161" spans="1:12">
      <c r="A1161" s="20" t="s">
        <v>255</v>
      </c>
      <c r="B1161" s="27" t="s">
        <v>276</v>
      </c>
      <c r="C1161" s="27" t="s">
        <v>257</v>
      </c>
      <c r="D1161" s="27" t="s">
        <v>258</v>
      </c>
      <c r="E1161" s="21">
        <f>IF(D1161="?OLD","!!!","")</f>
        <v/>
      </c>
      <c r="F1161" s="22" t="str">
        <f>IF(OR(E1161="",E1161="!!!"),"",IF(NOT(ISNA(VLOOKUP(E1161,E$1:E1160,1,FALSE()))),"OLD",IF(AND(E1161&lt;&gt;"",E1161&lt;&gt;"!!!"),"NEW","")))</f>
        <v> </v>
      </c>
      <c r="G1161" s="23" t="str">
        <f>IF(OR(E1161="",E1161="!!!"),"",IF(OR(J1161=0,AND(J1161=1,K1161=1),AND(J1161=1,I1161="SBJ"),AND(J1161=1,I1161=0)),"?IN_FOCUS",IF(J1161&lt;=2,"?ACTIVATED",IF(J1161&lt;&gt;"","?FAMILIAR",IF(F1161="NEW",IF(ISNA(VLOOKUP(E1161,#REF!,1,FALSE())),"?TYPE_IDENTIFIABLE","?REFERENTIAL"),"_")))))</f>
        <v> </v>
      </c>
      <c r="H1161" s="24" t="str">
        <f>IF(J1161&lt;&gt;1,"",IF(I1161="SBJ","CB","?"))</f>
        <v> </v>
      </c>
      <c r="I1161" s="25" t="str">
        <f>IF(OR(E1161="",E1161="!!!",F1161="NEW"),"",INDEX(B1160:B$2,-1+SUMPRODUCT(MAX(ROW(E1160:E$2)*(E1161=E1160:E$2)))))</f>
        <v> </v>
      </c>
      <c r="J1161" s="25" t="str">
        <f>IF(OR(E1161="",E1161="!!!",F1161="NEW"),"",COUNTBLANK(OFFSET(A$1,,,SUMPRODUCT(MAX(ROW(E$2:E1161)*(E1161=E$2:E1161)))))-COUNTBLANK(OFFSET(A$1,,,SUMPRODUCT(MAX(ROW(E$1:E1160)*(E2=E$1:E1160))))))</f>
        <v> </v>
      </c>
      <c r="K1161" s="25" t="str">
        <f>IF(OR(E1161="",E1161="!!!",F1161="NEW"),"",INDEX(J$1:J1160,SUMPRODUCT(MAX(ROW(E$1:E1160)*(E1161=E$1:E1160)))))</f>
        <v> </v>
      </c>
      <c r="L1161" s="26"/>
    </row>
    <row r="1162" spans="1:12">
      <c r="A1162" s="20" t="s">
        <v>259</v>
      </c>
      <c r="E1162" s="21">
        <f>IF(D1162="?OLD","!!!","")</f>
        <v/>
      </c>
      <c r="F1162" s="22" t="str">
        <f>IF(OR(E1162="",E1162="!!!"),"",IF(NOT(ISNA(VLOOKUP(E1162,E$1:E1161,1,FALSE()))),"OLD",IF(AND(E1162&lt;&gt;"",E1162&lt;&gt;"!!!"),"NEW","")))</f>
        <v> </v>
      </c>
      <c r="G1162" s="23" t="str">
        <f>IF(OR(E1162="",E1162="!!!"),"",IF(OR(J1162=0,AND(J1162=1,K1162=1),AND(J1162=1,I1162="SBJ"),AND(J1162=1,I1162=0)),"?IN_FOCUS",IF(J1162&lt;=2,"?ACTIVATED",IF(J1162&lt;&gt;"","?FAMILIAR",IF(F1162="NEW",IF(ISNA(VLOOKUP(E1162,#REF!,1,FALSE())),"?TYPE_IDENTIFIABLE","?REFERENTIAL"),"_")))))</f>
        <v> </v>
      </c>
      <c r="H1162" s="24" t="str">
        <f>IF(J1162&lt;&gt;1,"",IF(I1162="SBJ","CB","?"))</f>
        <v> </v>
      </c>
      <c r="I1162" s="25" t="str">
        <f>IF(OR(E1162="",E1162="!!!",F1162="NEW"),"",INDEX(B1161:B$2,-1+SUMPRODUCT(MAX(ROW(E1161:E$2)*(E1162=E1161:E$2)))))</f>
        <v> </v>
      </c>
      <c r="J1162" s="25" t="str">
        <f>IF(OR(E1162="",E1162="!!!",F1162="NEW"),"",COUNTBLANK(OFFSET(A$1,,,SUMPRODUCT(MAX(ROW(E$2:E1162)*(E1162=E$2:E1162)))))-COUNTBLANK(OFFSET(A$1,,,SUMPRODUCT(MAX(ROW(E$1:E1161)*(E2=E$1:E1161))))))</f>
        <v> </v>
      </c>
      <c r="K1162" s="25" t="str">
        <f>IF(OR(E1162="",E1162="!!!",F1162="NEW"),"",INDEX(J$1:J1161,SUMPRODUCT(MAX(ROW(E$1:E1161)*(E1162=E$1:E1161)))))</f>
        <v> </v>
      </c>
      <c r="L1162" s="26"/>
    </row>
    <row r="1163" spans="1:12">
      <c r="A1163" s="20" t="s">
        <v>199</v>
      </c>
      <c r="E1163" s="21">
        <f>IF(D1163="?OLD","!!!","")</f>
        <v/>
      </c>
      <c r="F1163" s="22" t="str">
        <f>IF(OR(E1163="",E1163="!!!"),"",IF(NOT(ISNA(VLOOKUP(E1163,E$1:E1162,1,FALSE()))),"OLD",IF(AND(E1163&lt;&gt;"",E1163&lt;&gt;"!!!"),"NEW","")))</f>
        <v> </v>
      </c>
      <c r="G1163" s="23" t="str">
        <f>IF(OR(E1163="",E1163="!!!"),"",IF(OR(J1163=0,AND(J1163=1,K1163=1),AND(J1163=1,I1163="SBJ"),AND(J1163=1,I1163=0)),"?IN_FOCUS",IF(J1163&lt;=2,"?ACTIVATED",IF(J1163&lt;&gt;"","?FAMILIAR",IF(F1163="NEW",IF(ISNA(VLOOKUP(E1163,#REF!,1,FALSE())),"?TYPE_IDENTIFIABLE","?REFERENTIAL"),"_")))))</f>
        <v> </v>
      </c>
      <c r="H1163" s="24" t="str">
        <f>IF(J1163&lt;&gt;1,"",IF(I1163="SBJ","CB","?"))</f>
        <v> </v>
      </c>
      <c r="I1163" s="25" t="str">
        <f>IF(OR(E1163="",E1163="!!!",F1163="NEW"),"",INDEX(B1162:B$2,-1+SUMPRODUCT(MAX(ROW(E1162:E$2)*(E1163=E1162:E$2)))))</f>
        <v> </v>
      </c>
      <c r="J1163" s="25" t="str">
        <f>IF(OR(E1163="",E1163="!!!",F1163="NEW"),"",COUNTBLANK(OFFSET(A$1,,,SUMPRODUCT(MAX(ROW(E$2:E1163)*(E1163=E$2:E1163)))))-COUNTBLANK(OFFSET(A$1,,,SUMPRODUCT(MAX(ROW(E$1:E1162)*(E2=E$1:E1162))))))</f>
        <v> </v>
      </c>
      <c r="K1163" s="25" t="str">
        <f>IF(OR(E1163="",E1163="!!!",F1163="NEW"),"",INDEX(J$1:J1162,SUMPRODUCT(MAX(ROW(E$1:E1162)*(E1163=E$1:E1162)))))</f>
        <v> </v>
      </c>
      <c r="L1163" s="26"/>
    </row>
    <row r="1164" spans="1:12">
      <c r="A1164" s="20" t="s">
        <v>293</v>
      </c>
      <c r="E1164" s="21">
        <f>IF(D1164="?OLD","!!!","")</f>
        <v/>
      </c>
      <c r="F1164" s="22" t="str">
        <f>IF(OR(E1164="",E1164="!!!"),"",IF(NOT(ISNA(VLOOKUP(E1164,E$1:E1163,1,FALSE()))),"OLD",IF(AND(E1164&lt;&gt;"",E1164&lt;&gt;"!!!"),"NEW","")))</f>
        <v> </v>
      </c>
      <c r="G1164" s="23" t="str">
        <f>IF(OR(E1164="",E1164="!!!"),"",IF(OR(J1164=0,AND(J1164=1,K1164=1),AND(J1164=1,I1164="SBJ"),AND(J1164=1,I1164=0)),"?IN_FOCUS",IF(J1164&lt;=2,"?ACTIVATED",IF(J1164&lt;&gt;"","?FAMILIAR",IF(F1164="NEW",IF(ISNA(VLOOKUP(E1164,#REF!,1,FALSE())),"?TYPE_IDENTIFIABLE","?REFERENTIAL"),"_")))))</f>
        <v> </v>
      </c>
      <c r="H1164" s="24" t="str">
        <f>IF(J1164&lt;&gt;1,"",IF(I1164="SBJ","CB","?"))</f>
        <v> </v>
      </c>
      <c r="I1164" s="25" t="str">
        <f>IF(OR(E1164="",E1164="!!!",F1164="NEW"),"",INDEX(B1163:B$2,-1+SUMPRODUCT(MAX(ROW(E1163:E$2)*(E1164=E1163:E$2)))))</f>
        <v> </v>
      </c>
      <c r="J1164" s="25" t="str">
        <f>IF(OR(E1164="",E1164="!!!",F1164="NEW"),"",COUNTBLANK(OFFSET(A$1,,,SUMPRODUCT(MAX(ROW(E$2:E1164)*(E1164=E$2:E1164)))))-COUNTBLANK(OFFSET(A$1,,,SUMPRODUCT(MAX(ROW(E$1:E1163)*(E2=E$1:E1163))))))</f>
        <v> </v>
      </c>
      <c r="K1164" s="25" t="str">
        <f>IF(OR(E1164="",E1164="!!!",F1164="NEW"),"",INDEX(J$1:J1163,SUMPRODUCT(MAX(ROW(E$1:E1163)*(E1164=E$1:E1163)))))</f>
        <v> </v>
      </c>
      <c r="L1164" s="26"/>
    </row>
    <row r="1165" spans="1:12">
      <c r="A1165" s="20" t="s">
        <v>659</v>
      </c>
      <c r="E1165" s="21">
        <f>IF(D1165="?OLD","!!!","")</f>
        <v/>
      </c>
      <c r="F1165" s="22" t="str">
        <f>IF(OR(E1165="",E1165="!!!"),"",IF(NOT(ISNA(VLOOKUP(E1165,E$1:E1164,1,FALSE()))),"OLD",IF(AND(E1165&lt;&gt;"",E1165&lt;&gt;"!!!"),"NEW","")))</f>
        <v> </v>
      </c>
      <c r="G1165" s="23" t="str">
        <f>IF(OR(E1165="",E1165="!!!"),"",IF(OR(J1165=0,AND(J1165=1,K1165=1),AND(J1165=1,I1165="SBJ"),AND(J1165=1,I1165=0)),"?IN_FOCUS",IF(J1165&lt;=2,"?ACTIVATED",IF(J1165&lt;&gt;"","?FAMILIAR",IF(F1165="NEW",IF(ISNA(VLOOKUP(E1165,#REF!,1,FALSE())),"?TYPE_IDENTIFIABLE","?REFERENTIAL"),"_")))))</f>
        <v> </v>
      </c>
      <c r="H1165" s="24" t="str">
        <f>IF(J1165&lt;&gt;1,"",IF(I1165="SBJ","CB","?"))</f>
        <v> </v>
      </c>
      <c r="I1165" s="25" t="str">
        <f>IF(OR(E1165="",E1165="!!!",F1165="NEW"),"",INDEX(B1164:B$2,-1+SUMPRODUCT(MAX(ROW(E1164:E$2)*(E1165=E1164:E$2)))))</f>
        <v> </v>
      </c>
      <c r="J1165" s="25" t="str">
        <f>IF(OR(E1165="",E1165="!!!",F1165="NEW"),"",COUNTBLANK(OFFSET(A$1,,,SUMPRODUCT(MAX(ROW(E$2:E1165)*(E1165=E$2:E1165)))))-COUNTBLANK(OFFSET(A$1,,,SUMPRODUCT(MAX(ROW(E$1:E1164)*(E2=E$1:E1164))))))</f>
        <v> </v>
      </c>
      <c r="K1165" s="25" t="str">
        <f>IF(OR(E1165="",E1165="!!!",F1165="NEW"),"",INDEX(J$1:J1164,SUMPRODUCT(MAX(ROW(E$1:E1164)*(E1165=E$1:E1164)))))</f>
        <v> </v>
      </c>
      <c r="L1165" s="26"/>
    </row>
    <row r="1166" spans="1:12">
      <c r="A1166" s="20" t="s">
        <v>450</v>
      </c>
      <c r="B1166" s="27" t="s">
        <v>328</v>
      </c>
      <c r="C1166" s="27" t="s">
        <v>284</v>
      </c>
      <c r="D1166" s="27" t="s">
        <v>258</v>
      </c>
      <c r="E1166" s="21">
        <f>IF(D1166="?OLD","!!!","")</f>
        <v/>
      </c>
      <c r="F1166" s="22" t="str">
        <f>IF(OR(E1166="",E1166="!!!"),"",IF(NOT(ISNA(VLOOKUP(E1166,E$1:E1165,1,FALSE()))),"OLD",IF(AND(E1166&lt;&gt;"",E1166&lt;&gt;"!!!"),"NEW","")))</f>
        <v> </v>
      </c>
      <c r="G1166" s="23" t="str">
        <f>IF(OR(E1166="",E1166="!!!"),"",IF(OR(J1166=0,AND(J1166=1,K1166=1),AND(J1166=1,I1166="SBJ"),AND(J1166=1,I1166=0)),"?IN_FOCUS",IF(J1166&lt;=2,"?ACTIVATED",IF(J1166&lt;&gt;"","?FAMILIAR",IF(F1166="NEW",IF(ISNA(VLOOKUP(E1166,#REF!,1,FALSE())),"?TYPE_IDENTIFIABLE","?REFERENTIAL"),"_")))))</f>
        <v> </v>
      </c>
      <c r="H1166" s="24" t="str">
        <f>IF(J1166&lt;&gt;1,"",IF(I1166="SBJ","CB","?"))</f>
        <v> </v>
      </c>
      <c r="I1166" s="25" t="str">
        <f>IF(OR(E1166="",E1166="!!!",F1166="NEW"),"",INDEX(B1165:B$2,-1+SUMPRODUCT(MAX(ROW(E1165:E$2)*(E1166=E1165:E$2)))))</f>
        <v> </v>
      </c>
      <c r="J1166" s="25" t="str">
        <f>IF(OR(E1166="",E1166="!!!",F1166="NEW"),"",COUNTBLANK(OFFSET(A$1,,,SUMPRODUCT(MAX(ROW(E$2:E1166)*(E1166=E$2:E1166)))))-COUNTBLANK(OFFSET(A$1,,,SUMPRODUCT(MAX(ROW(E$1:E1165)*(E2=E$1:E1165))))))</f>
        <v> </v>
      </c>
      <c r="K1166" s="25" t="str">
        <f>IF(OR(E1166="",E1166="!!!",F1166="NEW"),"",INDEX(J$1:J1165,SUMPRODUCT(MAX(ROW(E$1:E1165)*(E1166=E$1:E1165)))))</f>
        <v> </v>
      </c>
      <c r="L1166" s="26"/>
    </row>
    <row r="1167" spans="1:12">
      <c r="A1167" s="20" t="s">
        <v>642</v>
      </c>
      <c r="B1167" s="27" t="s">
        <v>262</v>
      </c>
      <c r="C1167" s="27" t="s">
        <v>287</v>
      </c>
      <c r="D1167" s="27" t="s">
        <v>258</v>
      </c>
      <c r="E1167" s="21">
        <f>IF(D1167="?OLD","!!!","")</f>
        <v/>
      </c>
      <c r="F1167" s="22" t="str">
        <f>IF(OR(E1167="",E1167="!!!"),"",IF(NOT(ISNA(VLOOKUP(E1167,E$1:E1166,1,FALSE()))),"OLD",IF(AND(E1167&lt;&gt;"",E1167&lt;&gt;"!!!"),"NEW","")))</f>
        <v> </v>
      </c>
      <c r="G1167" s="23" t="str">
        <f>IF(OR(E1167="",E1167="!!!"),"",IF(OR(J1167=0,AND(J1167=1,K1167=1),AND(J1167=1,I1167="SBJ"),AND(J1167=1,I1167=0)),"?IN_FOCUS",IF(J1167&lt;=2,"?ACTIVATED",IF(J1167&lt;&gt;"","?FAMILIAR",IF(F1167="NEW",IF(ISNA(VLOOKUP(E1167,#REF!,1,FALSE())),"?TYPE_IDENTIFIABLE","?REFERENTIAL"),"_")))))</f>
        <v> </v>
      </c>
      <c r="H1167" s="24" t="str">
        <f>IF(J1167&lt;&gt;1,"",IF(I1167="SBJ","CB","?"))</f>
        <v> </v>
      </c>
      <c r="I1167" s="25" t="str">
        <f>IF(OR(E1167="",E1167="!!!",F1167="NEW"),"",INDEX(B1166:B$2,-1+SUMPRODUCT(MAX(ROW(E1166:E$2)*(E1167=E1166:E$2)))))</f>
        <v> </v>
      </c>
      <c r="J1167" s="25" t="str">
        <f>IF(OR(E1167="",E1167="!!!",F1167="NEW"),"",COUNTBLANK(OFFSET(A$1,,,SUMPRODUCT(MAX(ROW(E$2:E1167)*(E1167=E$2:E1167)))))-COUNTBLANK(OFFSET(A$1,,,SUMPRODUCT(MAX(ROW(E$1:E1166)*(E2=E$1:E1166))))))</f>
        <v> </v>
      </c>
      <c r="K1167" s="25" t="str">
        <f>IF(OR(E1167="",E1167="!!!",F1167="NEW"),"",INDEX(J$1:J1166,SUMPRODUCT(MAX(ROW(E$1:E1166)*(E1167=E$1:E1166)))))</f>
        <v> </v>
      </c>
      <c r="L1167" s="26"/>
    </row>
    <row r="1168" spans="1:12">
      <c r="A1168" s="20" t="s">
        <v>271</v>
      </c>
      <c r="E1168" s="21">
        <f>IF(D1168="?OLD","!!!","")</f>
        <v/>
      </c>
      <c r="F1168" s="22" t="str">
        <f>IF(OR(E1168="",E1168="!!!"),"",IF(NOT(ISNA(VLOOKUP(E1168,E$1:E1167,1,FALSE()))),"OLD",IF(AND(E1168&lt;&gt;"",E1168&lt;&gt;"!!!"),"NEW","")))</f>
        <v> </v>
      </c>
      <c r="G1168" s="23" t="str">
        <f>IF(OR(E1168="",E1168="!!!"),"",IF(OR(J1168=0,AND(J1168=1,K1168=1),AND(J1168=1,I1168="SBJ"),AND(J1168=1,I1168=0)),"?IN_FOCUS",IF(J1168&lt;=2,"?ACTIVATED",IF(J1168&lt;&gt;"","?FAMILIAR",IF(F1168="NEW",IF(ISNA(VLOOKUP(E1168,#REF!,1,FALSE())),"?TYPE_IDENTIFIABLE","?REFERENTIAL"),"_")))))</f>
        <v> </v>
      </c>
      <c r="H1168" s="24" t="str">
        <f>IF(J1168&lt;&gt;1,"",IF(I1168="SBJ","CB","?"))</f>
        <v> </v>
      </c>
      <c r="I1168" s="25" t="str">
        <f>IF(OR(E1168="",E1168="!!!",F1168="NEW"),"",INDEX(B1167:B$2,-1+SUMPRODUCT(MAX(ROW(E1167:E$2)*(E1168=E1167:E$2)))))</f>
        <v> </v>
      </c>
      <c r="J1168" s="25" t="str">
        <f>IF(OR(E1168="",E1168="!!!",F1168="NEW"),"",COUNTBLANK(OFFSET(A$1,,,SUMPRODUCT(MAX(ROW(E$2:E1168)*(E1168=E$2:E1168)))))-COUNTBLANK(OFFSET(A$1,,,SUMPRODUCT(MAX(ROW(E$1:E1167)*(E2=E$1:E1167))))))</f>
        <v> </v>
      </c>
      <c r="K1168" s="25" t="str">
        <f>IF(OR(E1168="",E1168="!!!",F1168="NEW"),"",INDEX(J$1:J1167,SUMPRODUCT(MAX(ROW(E$1:E1167)*(E1168=E$1:E1167)))))</f>
        <v> </v>
      </c>
      <c r="L1168" s="26"/>
    </row>
    <row r="1169" spans="1:12">
      <c r="A1169" s="20" t="s">
        <v>660</v>
      </c>
      <c r="E1169" s="21">
        <f>IF(D1169="?OLD","!!!","")</f>
        <v/>
      </c>
      <c r="F1169" s="22" t="str">
        <f>IF(OR(E1169="",E1169="!!!"),"",IF(NOT(ISNA(VLOOKUP(E1169,E$1:E1168,1,FALSE()))),"OLD",IF(AND(E1169&lt;&gt;"",E1169&lt;&gt;"!!!"),"NEW","")))</f>
        <v> </v>
      </c>
      <c r="G1169" s="23" t="str">
        <f>IF(OR(E1169="",E1169="!!!"),"",IF(OR(J1169=0,AND(J1169=1,K1169=1),AND(J1169=1,I1169="SBJ"),AND(J1169=1,I1169=0)),"?IN_FOCUS",IF(J1169&lt;=2,"?ACTIVATED",IF(J1169&lt;&gt;"","?FAMILIAR",IF(F1169="NEW",IF(ISNA(VLOOKUP(E1169,#REF!,1,FALSE())),"?TYPE_IDENTIFIABLE","?REFERENTIAL"),"_")))))</f>
        <v> </v>
      </c>
      <c r="H1169" s="24" t="str">
        <f>IF(J1169&lt;&gt;1,"",IF(I1169="SBJ","CB","?"))</f>
        <v> </v>
      </c>
      <c r="I1169" s="25" t="str">
        <f>IF(OR(E1169="",E1169="!!!",F1169="NEW"),"",INDEX(B1168:B$2,-1+SUMPRODUCT(MAX(ROW(E1168:E$2)*(E1169=E1168:E$2)))))</f>
        <v> </v>
      </c>
      <c r="J1169" s="25" t="str">
        <f>IF(OR(E1169="",E1169="!!!",F1169="NEW"),"",COUNTBLANK(OFFSET(A$1,,,SUMPRODUCT(MAX(ROW(E$2:E1169)*(E1169=E$2:E1169)))))-COUNTBLANK(OFFSET(A$1,,,SUMPRODUCT(MAX(ROW(E$1:E1168)*(E2=E$1:E1168))))))</f>
        <v> </v>
      </c>
      <c r="K1169" s="25" t="str">
        <f>IF(OR(E1169="",E1169="!!!",F1169="NEW"),"",INDEX(J$1:J1168,SUMPRODUCT(MAX(ROW(E$1:E1168)*(E1169=E$1:E1168)))))</f>
        <v> </v>
      </c>
      <c r="L1169" s="26"/>
    </row>
    <row r="1170" spans="1:12">
      <c r="A1170" s="20" t="s">
        <v>336</v>
      </c>
      <c r="E1170" s="21">
        <f>IF(D1170="?OLD","!!!","")</f>
        <v/>
      </c>
      <c r="F1170" s="22" t="str">
        <f>IF(OR(E1170="",E1170="!!!"),"",IF(NOT(ISNA(VLOOKUP(E1170,E$1:E1169,1,FALSE()))),"OLD",IF(AND(E1170&lt;&gt;"",E1170&lt;&gt;"!!!"),"NEW","")))</f>
        <v> </v>
      </c>
      <c r="G1170" s="23" t="str">
        <f>IF(OR(E1170="",E1170="!!!"),"",IF(OR(J1170=0,AND(J1170=1,K1170=1),AND(J1170=1,I1170="SBJ"),AND(J1170=1,I1170=0)),"?IN_FOCUS",IF(J1170&lt;=2,"?ACTIVATED",IF(J1170&lt;&gt;"","?FAMILIAR",IF(F1170="NEW",IF(ISNA(VLOOKUP(E1170,#REF!,1,FALSE())),"?TYPE_IDENTIFIABLE","?REFERENTIAL"),"_")))))</f>
        <v> </v>
      </c>
      <c r="H1170" s="24" t="str">
        <f>IF(J1170&lt;&gt;1,"",IF(I1170="SBJ","CB","?"))</f>
        <v> </v>
      </c>
      <c r="I1170" s="25" t="str">
        <f>IF(OR(E1170="",E1170="!!!",F1170="NEW"),"",INDEX(B1169:B$2,-1+SUMPRODUCT(MAX(ROW(E1169:E$2)*(E1170=E1169:E$2)))))</f>
        <v> </v>
      </c>
      <c r="J1170" s="25" t="str">
        <f>IF(OR(E1170="",E1170="!!!",F1170="NEW"),"",COUNTBLANK(OFFSET(A$1,,,SUMPRODUCT(MAX(ROW(E$2:E1170)*(E1170=E$2:E1170)))))-COUNTBLANK(OFFSET(A$1,,,SUMPRODUCT(MAX(ROW(E$1:E1169)*(E2=E$1:E1169))))))</f>
        <v> </v>
      </c>
      <c r="K1170" s="25" t="str">
        <f>IF(OR(E1170="",E1170="!!!",F1170="NEW"),"",INDEX(J$1:J1169,SUMPRODUCT(MAX(ROW(E$1:E1169)*(E1170=E$1:E1169)))))</f>
        <v> </v>
      </c>
      <c r="L1170" s="26"/>
    </row>
    <row r="1171" spans="1:12">
      <c r="A1171" s="20" t="s">
        <v>450</v>
      </c>
      <c r="B1171" s="27" t="s">
        <v>267</v>
      </c>
      <c r="C1171" s="27" t="s">
        <v>284</v>
      </c>
      <c r="D1171" s="27" t="s">
        <v>258</v>
      </c>
      <c r="E1171" s="21">
        <f>IF(D1171="?OLD","!!!","")</f>
        <v/>
      </c>
      <c r="F1171" s="22" t="str">
        <f>IF(OR(E1171="",E1171="!!!"),"",IF(NOT(ISNA(VLOOKUP(E1171,E$1:E1170,1,FALSE()))),"OLD",IF(AND(E1171&lt;&gt;"",E1171&lt;&gt;"!!!"),"NEW","")))</f>
        <v> </v>
      </c>
      <c r="G1171" s="23" t="str">
        <f>IF(OR(E1171="",E1171="!!!"),"",IF(OR(J1171=0,AND(J1171=1,K1171=1),AND(J1171=1,I1171="SBJ"),AND(J1171=1,I1171=0)),"?IN_FOCUS",IF(J1171&lt;=2,"?ACTIVATED",IF(J1171&lt;&gt;"","?FAMILIAR",IF(F1171="NEW",IF(ISNA(VLOOKUP(E1171,#REF!,1,FALSE())),"?TYPE_IDENTIFIABLE","?REFERENTIAL"),"_")))))</f>
        <v> </v>
      </c>
      <c r="H1171" s="24" t="str">
        <f>IF(J1171&lt;&gt;1,"",IF(I1171="SBJ","CB","?"))</f>
        <v> </v>
      </c>
      <c r="I1171" s="25" t="str">
        <f>IF(OR(E1171="",E1171="!!!",F1171="NEW"),"",INDEX(B1170:B$2,-1+SUMPRODUCT(MAX(ROW(E1170:E$2)*(E1171=E1170:E$2)))))</f>
        <v> </v>
      </c>
      <c r="J1171" s="25" t="str">
        <f>IF(OR(E1171="",E1171="!!!",F1171="NEW"),"",COUNTBLANK(OFFSET(A$1,,,SUMPRODUCT(MAX(ROW(E$2:E1171)*(E1171=E$2:E1171)))))-COUNTBLANK(OFFSET(A$1,,,SUMPRODUCT(MAX(ROW(E$1:E1170)*(E2=E$1:E1170))))))</f>
        <v> </v>
      </c>
      <c r="K1171" s="25" t="str">
        <f>IF(OR(E1171="",E1171="!!!",F1171="NEW"),"",INDEX(J$1:J1170,SUMPRODUCT(MAX(ROW(E$1:E1170)*(E1171=E$1:E1170)))))</f>
        <v> </v>
      </c>
      <c r="L1171" s="26"/>
    </row>
    <row r="1172" spans="1:12">
      <c r="A1172" s="20" t="s">
        <v>661</v>
      </c>
      <c r="E1172" s="21">
        <f>IF(D1172="?OLD","!!!","")</f>
        <v/>
      </c>
      <c r="F1172" s="22" t="str">
        <f>IF(OR(E1172="",E1172="!!!"),"",IF(NOT(ISNA(VLOOKUP(E1172,E$1:E1171,1,FALSE()))),"OLD",IF(AND(E1172&lt;&gt;"",E1172&lt;&gt;"!!!"),"NEW","")))</f>
        <v> </v>
      </c>
      <c r="G1172" s="23" t="str">
        <f>IF(OR(E1172="",E1172="!!!"),"",IF(OR(J1172=0,AND(J1172=1,K1172=1),AND(J1172=1,I1172="SBJ"),AND(J1172=1,I1172=0)),"?IN_FOCUS",IF(J1172&lt;=2,"?ACTIVATED",IF(J1172&lt;&gt;"","?FAMILIAR",IF(F1172="NEW",IF(ISNA(VLOOKUP(E1172,#REF!,1,FALSE())),"?TYPE_IDENTIFIABLE","?REFERENTIAL"),"_")))))</f>
        <v> </v>
      </c>
      <c r="H1172" s="24" t="str">
        <f>IF(J1172&lt;&gt;1,"",IF(I1172="SBJ","CB","?"))</f>
        <v> </v>
      </c>
      <c r="I1172" s="25" t="str">
        <f>IF(OR(E1172="",E1172="!!!",F1172="NEW"),"",INDEX(B1171:B$2,-1+SUMPRODUCT(MAX(ROW(E1171:E$2)*(E1172=E1171:E$2)))))</f>
        <v> </v>
      </c>
      <c r="J1172" s="25" t="str">
        <f>IF(OR(E1172="",E1172="!!!",F1172="NEW"),"",COUNTBLANK(OFFSET(A$1,,,SUMPRODUCT(MAX(ROW(E$2:E1172)*(E1172=E$2:E1172)))))-COUNTBLANK(OFFSET(A$1,,,SUMPRODUCT(MAX(ROW(E$1:E1171)*(E2=E$1:E1171))))))</f>
        <v> </v>
      </c>
      <c r="K1172" s="25" t="str">
        <f>IF(OR(E1172="",E1172="!!!",F1172="NEW"),"",INDEX(J$1:J1171,SUMPRODUCT(MAX(ROW(E$1:E1171)*(E1172=E$1:E1171)))))</f>
        <v> </v>
      </c>
      <c r="L1172" s="26"/>
    </row>
    <row r="1173" spans="1:12">
      <c r="A1173" s="20" t="s">
        <v>642</v>
      </c>
      <c r="B1173" s="27" t="s">
        <v>333</v>
      </c>
      <c r="C1173" s="27" t="s">
        <v>287</v>
      </c>
      <c r="D1173" s="27" t="s">
        <v>258</v>
      </c>
      <c r="E1173" s="21">
        <f>IF(D1173="?OLD","!!!","")</f>
        <v/>
      </c>
      <c r="F1173" s="22" t="str">
        <f>IF(OR(E1173="",E1173="!!!"),"",IF(NOT(ISNA(VLOOKUP(E1173,E$1:E1172,1,FALSE()))),"OLD",IF(AND(E1173&lt;&gt;"",E1173&lt;&gt;"!!!"),"NEW","")))</f>
        <v> </v>
      </c>
      <c r="G1173" s="23" t="str">
        <f>IF(OR(E1173="",E1173="!!!"),"",IF(OR(J1173=0,AND(J1173=1,K1173=1),AND(J1173=1,I1173="SBJ"),AND(J1173=1,I1173=0)),"?IN_FOCUS",IF(J1173&lt;=2,"?ACTIVATED",IF(J1173&lt;&gt;"","?FAMILIAR",IF(F1173="NEW",IF(ISNA(VLOOKUP(E1173,#REF!,1,FALSE())),"?TYPE_IDENTIFIABLE","?REFERENTIAL"),"_")))))</f>
        <v> </v>
      </c>
      <c r="H1173" s="24" t="str">
        <f>IF(J1173&lt;&gt;1,"",IF(I1173="SBJ","CB","?"))</f>
        <v> </v>
      </c>
      <c r="I1173" s="25" t="str">
        <f>IF(OR(E1173="",E1173="!!!",F1173="NEW"),"",INDEX(B1172:B$2,-1+SUMPRODUCT(MAX(ROW(E1172:E$2)*(E1173=E1172:E$2)))))</f>
        <v> </v>
      </c>
      <c r="J1173" s="25" t="str">
        <f>IF(OR(E1173="",E1173="!!!",F1173="NEW"),"",COUNTBLANK(OFFSET(A$1,,,SUMPRODUCT(MAX(ROW(E$2:E1173)*(E1173=E$2:E1173)))))-COUNTBLANK(OFFSET(A$1,,,SUMPRODUCT(MAX(ROW(E$1:E1172)*(E2=E$1:E1172))))))</f>
        <v> </v>
      </c>
      <c r="K1173" s="25" t="str">
        <f>IF(OR(E1173="",E1173="!!!",F1173="NEW"),"",INDEX(J$1:J1172,SUMPRODUCT(MAX(ROW(E$1:E1172)*(E1173=E$1:E1172)))))</f>
        <v> </v>
      </c>
      <c r="L1173" s="26"/>
    </row>
    <row r="1174" spans="1:12">
      <c r="A1174" s="20" t="s">
        <v>16</v>
      </c>
      <c r="E1174" s="21">
        <f>IF(D1174="?OLD","!!!","")</f>
        <v/>
      </c>
      <c r="F1174" s="22" t="str">
        <f>IF(OR(E1174="",E1174="!!!"),"",IF(NOT(ISNA(VLOOKUP(E1174,E$1:E1173,1,FALSE()))),"OLD",IF(AND(E1174&lt;&gt;"",E1174&lt;&gt;"!!!"),"NEW","")))</f>
        <v> </v>
      </c>
      <c r="G1174" s="23" t="str">
        <f>IF(OR(E1174="",E1174="!!!"),"",IF(OR(J1174=0,AND(J1174=1,K1174=1),AND(J1174=1,I1174="SBJ"),AND(J1174=1,I1174=0)),"?IN_FOCUS",IF(J1174&lt;=2,"?ACTIVATED",IF(J1174&lt;&gt;"","?FAMILIAR",IF(F1174="NEW",IF(ISNA(VLOOKUP(E1174,#REF!,1,FALSE())),"?TYPE_IDENTIFIABLE","?REFERENTIAL"),"_")))))</f>
        <v> </v>
      </c>
      <c r="H1174" s="24" t="str">
        <f>IF(J1174&lt;&gt;1,"",IF(I1174="SBJ","CB","?"))</f>
        <v> </v>
      </c>
      <c r="I1174" s="25" t="str">
        <f>IF(OR(E1174="",E1174="!!!",F1174="NEW"),"",INDEX(B1173:B$2,-1+SUMPRODUCT(MAX(ROW(E1173:E$2)*(E1174=E1173:E$2)))))</f>
        <v> </v>
      </c>
      <c r="J1174" s="25" t="str">
        <f>IF(OR(E1174="",E1174="!!!",F1174="NEW"),"",COUNTBLANK(OFFSET(A$1,,,SUMPRODUCT(MAX(ROW(E$2:E1174)*(E1174=E$2:E1174)))))-COUNTBLANK(OFFSET(A$1,,,SUMPRODUCT(MAX(ROW(E$1:E1173)*(E2=E$1:E1173))))))</f>
        <v> </v>
      </c>
      <c r="K1174" s="25" t="str">
        <f>IF(OR(E1174="",E1174="!!!",F1174="NEW"),"",INDEX(J$1:J1173,SUMPRODUCT(MAX(ROW(E$1:E1173)*(E1174=E$1:E1173)))))</f>
        <v> </v>
      </c>
      <c r="L1174" s="26"/>
    </row>
    <row r="1175" spans="1:12">
      <c r="A1175" s="20" t="s">
        <v>191</v>
      </c>
      <c r="E1175" s="21">
        <f>IF(D1175="?OLD","!!!","")</f>
        <v/>
      </c>
      <c r="F1175" s="22" t="str">
        <f>IF(OR(E1175="",E1175="!!!"),"",IF(NOT(ISNA(VLOOKUP(E1175,E$1:E1174,1,FALSE()))),"OLD",IF(AND(E1175&lt;&gt;"",E1175&lt;&gt;"!!!"),"NEW","")))</f>
        <v> </v>
      </c>
      <c r="G1175" s="23" t="str">
        <f>IF(OR(E1175="",E1175="!!!"),"",IF(OR(J1175=0,AND(J1175=1,K1175=1),AND(J1175=1,I1175="SBJ"),AND(J1175=1,I1175=0)),"?IN_FOCUS",IF(J1175&lt;=2,"?ACTIVATED",IF(J1175&lt;&gt;"","?FAMILIAR",IF(F1175="NEW",IF(ISNA(VLOOKUP(E1175,#REF!,1,FALSE())),"?TYPE_IDENTIFIABLE","?REFERENTIAL"),"_")))))</f>
        <v> </v>
      </c>
      <c r="H1175" s="24" t="str">
        <f>IF(J1175&lt;&gt;1,"",IF(I1175="SBJ","CB","?"))</f>
        <v> </v>
      </c>
      <c r="I1175" s="25" t="str">
        <f>IF(OR(E1175="",E1175="!!!",F1175="NEW"),"",INDEX(B1174:B$2,-1+SUMPRODUCT(MAX(ROW(E1174:E$2)*(E1175=E1174:E$2)))))</f>
        <v> </v>
      </c>
      <c r="J1175" s="25" t="str">
        <f>IF(OR(E1175="",E1175="!!!",F1175="NEW"),"",COUNTBLANK(OFFSET(A$1,,,SUMPRODUCT(MAX(ROW(E$2:E1175)*(E1175=E$2:E1175)))))-COUNTBLANK(OFFSET(A$1,,,SUMPRODUCT(MAX(ROW(E$1:E1174)*(E2=E$1:E1174))))))</f>
        <v> </v>
      </c>
      <c r="K1175" s="25" t="str">
        <f>IF(OR(E1175="",E1175="!!!",F1175="NEW"),"",INDEX(J$1:J1174,SUMPRODUCT(MAX(ROW(E$1:E1174)*(E1175=E$1:E1174)))))</f>
        <v> </v>
      </c>
      <c r="L1175" s="26"/>
    </row>
    <row r="1176" spans="1:12">
      <c r="A1176" s="20" t="s">
        <v>271</v>
      </c>
      <c r="E1176" s="21">
        <f>IF(D1176="?OLD","!!!","")</f>
        <v/>
      </c>
      <c r="F1176" s="22" t="str">
        <f>IF(OR(E1176="",E1176="!!!"),"",IF(NOT(ISNA(VLOOKUP(E1176,E$1:E1175,1,FALSE()))),"OLD",IF(AND(E1176&lt;&gt;"",E1176&lt;&gt;"!!!"),"NEW","")))</f>
        <v> </v>
      </c>
      <c r="G1176" s="23" t="str">
        <f>IF(OR(E1176="",E1176="!!!"),"",IF(OR(J1176=0,AND(J1176=1,K1176=1),AND(J1176=1,I1176="SBJ"),AND(J1176=1,I1176=0)),"?IN_FOCUS",IF(J1176&lt;=2,"?ACTIVATED",IF(J1176&lt;&gt;"","?FAMILIAR",IF(F1176="NEW",IF(ISNA(VLOOKUP(E1176,#REF!,1,FALSE())),"?TYPE_IDENTIFIABLE","?REFERENTIAL"),"_")))))</f>
        <v> </v>
      </c>
      <c r="H1176" s="24" t="str">
        <f>IF(J1176&lt;&gt;1,"",IF(I1176="SBJ","CB","?"))</f>
        <v> </v>
      </c>
      <c r="I1176" s="25" t="str">
        <f>IF(OR(E1176="",E1176="!!!",F1176="NEW"),"",INDEX(B1175:B$2,-1+SUMPRODUCT(MAX(ROW(E1175:E$2)*(E1176=E1175:E$2)))))</f>
        <v> </v>
      </c>
      <c r="J1176" s="25" t="str">
        <f>IF(OR(E1176="",E1176="!!!",F1176="NEW"),"",COUNTBLANK(OFFSET(A$1,,,SUMPRODUCT(MAX(ROW(E$2:E1176)*(E1176=E$2:E1176)))))-COUNTBLANK(OFFSET(A$1,,,SUMPRODUCT(MAX(ROW(E$1:E1175)*(E2=E$1:E1175))))))</f>
        <v> </v>
      </c>
      <c r="K1176" s="25" t="str">
        <f>IF(OR(E1176="",E1176="!!!",F1176="NEW"),"",INDEX(J$1:J1175,SUMPRODUCT(MAX(ROW(E$1:E1175)*(E1176=E$1:E1175)))))</f>
        <v> </v>
      </c>
      <c r="L1176" s="26"/>
    </row>
    <row r="1177" spans="1:12">
      <c r="A1177" s="20" t="s">
        <v>255</v>
      </c>
      <c r="B1177" s="27" t="s">
        <v>256</v>
      </c>
      <c r="C1177" s="27" t="s">
        <v>257</v>
      </c>
      <c r="D1177" s="27" t="s">
        <v>258</v>
      </c>
      <c r="E1177" s="21">
        <f>IF(D1177="?OLD","!!!","")</f>
        <v/>
      </c>
      <c r="F1177" s="22" t="str">
        <f>IF(OR(E1177="",E1177="!!!"),"",IF(NOT(ISNA(VLOOKUP(E1177,E$1:E1176,1,FALSE()))),"OLD",IF(AND(E1177&lt;&gt;"",E1177&lt;&gt;"!!!"),"NEW","")))</f>
        <v> </v>
      </c>
      <c r="G1177" s="23" t="str">
        <f>IF(OR(E1177="",E1177="!!!"),"",IF(OR(J1177=0,AND(J1177=1,K1177=1),AND(J1177=1,I1177="SBJ"),AND(J1177=1,I1177=0)),"?IN_FOCUS",IF(J1177&lt;=2,"?ACTIVATED",IF(J1177&lt;&gt;"","?FAMILIAR",IF(F1177="NEW",IF(ISNA(VLOOKUP(E1177,#REF!,1,FALSE())),"?TYPE_IDENTIFIABLE","?REFERENTIAL"),"_")))))</f>
        <v> </v>
      </c>
      <c r="H1177" s="24" t="str">
        <f>IF(J1177&lt;&gt;1,"",IF(I1177="SBJ","CB","?"))</f>
        <v> </v>
      </c>
      <c r="I1177" s="25" t="str">
        <f>IF(OR(E1177="",E1177="!!!",F1177="NEW"),"",INDEX(B1176:B$2,-1+SUMPRODUCT(MAX(ROW(E1176:E$2)*(E1177=E1176:E$2)))))</f>
        <v> </v>
      </c>
      <c r="J1177" s="25" t="str">
        <f>IF(OR(E1177="",E1177="!!!",F1177="NEW"),"",COUNTBLANK(OFFSET(A$1,,,SUMPRODUCT(MAX(ROW(E$2:E1177)*(E1177=E$2:E1177)))))-COUNTBLANK(OFFSET(A$1,,,SUMPRODUCT(MAX(ROW(E$1:E1176)*(E2=E$1:E1176))))))</f>
        <v> </v>
      </c>
      <c r="K1177" s="25" t="str">
        <f>IF(OR(E1177="",E1177="!!!",F1177="NEW"),"",INDEX(J$1:J1176,SUMPRODUCT(MAX(ROW(E$1:E1176)*(E1177=E$1:E1176)))))</f>
        <v> </v>
      </c>
      <c r="L1177" s="26"/>
    </row>
    <row r="1178" spans="1:12">
      <c r="A1178" s="20" t="s">
        <v>576</v>
      </c>
      <c r="E1178" s="21">
        <f>IF(D1178="?OLD","!!!","")</f>
        <v/>
      </c>
      <c r="F1178" s="22" t="str">
        <f>IF(OR(E1178="",E1178="!!!"),"",IF(NOT(ISNA(VLOOKUP(E1178,E$1:E1177,1,FALSE()))),"OLD",IF(AND(E1178&lt;&gt;"",E1178&lt;&gt;"!!!"),"NEW","")))</f>
        <v> </v>
      </c>
      <c r="G1178" s="23" t="str">
        <f>IF(OR(E1178="",E1178="!!!"),"",IF(OR(J1178=0,AND(J1178=1,K1178=1),AND(J1178=1,I1178="SBJ"),AND(J1178=1,I1178=0)),"?IN_FOCUS",IF(J1178&lt;=2,"?ACTIVATED",IF(J1178&lt;&gt;"","?FAMILIAR",IF(F1178="NEW",IF(ISNA(VLOOKUP(E1178,#REF!,1,FALSE())),"?TYPE_IDENTIFIABLE","?REFERENTIAL"),"_")))))</f>
        <v> </v>
      </c>
      <c r="H1178" s="24" t="str">
        <f>IF(J1178&lt;&gt;1,"",IF(I1178="SBJ","CB","?"))</f>
        <v> </v>
      </c>
      <c r="I1178" s="25" t="str">
        <f>IF(OR(E1178="",E1178="!!!",F1178="NEW"),"",INDEX(B1177:B$2,-1+SUMPRODUCT(MAX(ROW(E1177:E$2)*(E1178=E1177:E$2)))))</f>
        <v> </v>
      </c>
      <c r="J1178" s="25" t="str">
        <f>IF(OR(E1178="",E1178="!!!",F1178="NEW"),"",COUNTBLANK(OFFSET(A$1,,,SUMPRODUCT(MAX(ROW(E$2:E1178)*(E1178=E$2:E1178)))))-COUNTBLANK(OFFSET(A$1,,,SUMPRODUCT(MAX(ROW(E$1:E1177)*(E2=E$1:E1177))))))</f>
        <v> </v>
      </c>
      <c r="K1178" s="25" t="str">
        <f>IF(OR(E1178="",E1178="!!!",F1178="NEW"),"",INDEX(J$1:J1177,SUMPRODUCT(MAX(ROW(E$1:E1177)*(E1178=E$1:E1177)))))</f>
        <v> </v>
      </c>
      <c r="L1178" s="26"/>
    </row>
    <row r="1179" spans="1:12">
      <c r="A1179" s="20" t="s">
        <v>509</v>
      </c>
      <c r="E1179" s="21">
        <f>IF(D1179="?OLD","!!!","")</f>
        <v/>
      </c>
      <c r="F1179" s="22" t="str">
        <f>IF(OR(E1179="",E1179="!!!"),"",IF(NOT(ISNA(VLOOKUP(E1179,E$1:E1178,1,FALSE()))),"OLD",IF(AND(E1179&lt;&gt;"",E1179&lt;&gt;"!!!"),"NEW","")))</f>
        <v> </v>
      </c>
      <c r="G1179" s="23" t="str">
        <f>IF(OR(E1179="",E1179="!!!"),"",IF(OR(J1179=0,AND(J1179=1,K1179=1),AND(J1179=1,I1179="SBJ"),AND(J1179=1,I1179=0)),"?IN_FOCUS",IF(J1179&lt;=2,"?ACTIVATED",IF(J1179&lt;&gt;"","?FAMILIAR",IF(F1179="NEW",IF(ISNA(VLOOKUP(E1179,#REF!,1,FALSE())),"?TYPE_IDENTIFIABLE","?REFERENTIAL"),"_")))))</f>
        <v> </v>
      </c>
      <c r="H1179" s="24" t="str">
        <f>IF(J1179&lt;&gt;1,"",IF(I1179="SBJ","CB","?"))</f>
        <v> </v>
      </c>
      <c r="I1179" s="25" t="str">
        <f>IF(OR(E1179="",E1179="!!!",F1179="NEW"),"",INDEX(B1178:B$2,-1+SUMPRODUCT(MAX(ROW(E1178:E$2)*(E1179=E1178:E$2)))))</f>
        <v> </v>
      </c>
      <c r="J1179" s="25" t="str">
        <f>IF(OR(E1179="",E1179="!!!",F1179="NEW"),"",COUNTBLANK(OFFSET(A$1,,,SUMPRODUCT(MAX(ROW(E$2:E1179)*(E1179=E$2:E1179)))))-COUNTBLANK(OFFSET(A$1,,,SUMPRODUCT(MAX(ROW(E$1:E1178)*(E2=E$1:E1178))))))</f>
        <v> </v>
      </c>
      <c r="K1179" s="25" t="str">
        <f>IF(OR(E1179="",E1179="!!!",F1179="NEW"),"",INDEX(J$1:J1178,SUMPRODUCT(MAX(ROW(E$1:E1178)*(E1179=E$1:E1178)))))</f>
        <v> </v>
      </c>
      <c r="L1179" s="26"/>
    </row>
    <row r="1180" spans="1:12">
      <c r="A1180" s="20" t="s">
        <v>593</v>
      </c>
      <c r="E1180" s="21">
        <f>IF(D1180="?OLD","!!!","")</f>
        <v/>
      </c>
      <c r="F1180" s="22" t="str">
        <f>IF(OR(E1180="",E1180="!!!"),"",IF(NOT(ISNA(VLOOKUP(E1180,E$1:E1179,1,FALSE()))),"OLD",IF(AND(E1180&lt;&gt;"",E1180&lt;&gt;"!!!"),"NEW","")))</f>
        <v> </v>
      </c>
      <c r="G1180" s="23" t="str">
        <f>IF(OR(E1180="",E1180="!!!"),"",IF(OR(J1180=0,AND(J1180=1,K1180=1),AND(J1180=1,I1180="SBJ"),AND(J1180=1,I1180=0)),"?IN_FOCUS",IF(J1180&lt;=2,"?ACTIVATED",IF(J1180&lt;&gt;"","?FAMILIAR",IF(F1180="NEW",IF(ISNA(VLOOKUP(E1180,#REF!,1,FALSE())),"?TYPE_IDENTIFIABLE","?REFERENTIAL"),"_")))))</f>
        <v> </v>
      </c>
      <c r="H1180" s="24" t="str">
        <f>IF(J1180&lt;&gt;1,"",IF(I1180="SBJ","CB","?"))</f>
        <v> </v>
      </c>
      <c r="I1180" s="25" t="str">
        <f>IF(OR(E1180="",E1180="!!!",F1180="NEW"),"",INDEX(B1179:B$2,-1+SUMPRODUCT(MAX(ROW(E1179:E$2)*(E1180=E1179:E$2)))))</f>
        <v> </v>
      </c>
      <c r="J1180" s="25" t="str">
        <f>IF(OR(E1180="",E1180="!!!",F1180="NEW"),"",COUNTBLANK(OFFSET(A$1,,,SUMPRODUCT(MAX(ROW(E$2:E1180)*(E1180=E$2:E1180)))))-COUNTBLANK(OFFSET(A$1,,,SUMPRODUCT(MAX(ROW(E$1:E1179)*(E2=E$1:E1179))))))</f>
        <v> </v>
      </c>
      <c r="K1180" s="25" t="str">
        <f>IF(OR(E1180="",E1180="!!!",F1180="NEW"),"",INDEX(J$1:J1179,SUMPRODUCT(MAX(ROW(E$1:E1179)*(E1180=E$1:E1179)))))</f>
        <v> </v>
      </c>
      <c r="L1180" s="26"/>
    </row>
    <row r="1181" spans="1:12">
      <c r="A1181" s="20" t="s">
        <v>662</v>
      </c>
      <c r="E1181" s="21">
        <f>IF(D1181="?OLD","!!!","")</f>
        <v/>
      </c>
      <c r="F1181" s="22" t="str">
        <f>IF(OR(E1181="",E1181="!!!"),"",IF(NOT(ISNA(VLOOKUP(E1181,E$1:E1180,1,FALSE()))),"OLD",IF(AND(E1181&lt;&gt;"",E1181&lt;&gt;"!!!"),"NEW","")))</f>
        <v> </v>
      </c>
      <c r="G1181" s="23" t="str">
        <f>IF(OR(E1181="",E1181="!!!"),"",IF(OR(J1181=0,AND(J1181=1,K1181=1),AND(J1181=1,I1181="SBJ"),AND(J1181=1,I1181=0)),"?IN_FOCUS",IF(J1181&lt;=2,"?ACTIVATED",IF(J1181&lt;&gt;"","?FAMILIAR",IF(F1181="NEW",IF(ISNA(VLOOKUP(E1181,#REF!,1,FALSE())),"?TYPE_IDENTIFIABLE","?REFERENTIAL"),"_")))))</f>
        <v> </v>
      </c>
      <c r="H1181" s="24" t="str">
        <f>IF(J1181&lt;&gt;1,"",IF(I1181="SBJ","CB","?"))</f>
        <v> </v>
      </c>
      <c r="I1181" s="25" t="str">
        <f>IF(OR(E1181="",E1181="!!!",F1181="NEW"),"",INDEX(B1180:B$2,-1+SUMPRODUCT(MAX(ROW(E1180:E$2)*(E1181=E1180:E$2)))))</f>
        <v> </v>
      </c>
      <c r="J1181" s="25" t="str">
        <f>IF(OR(E1181="",E1181="!!!",F1181="NEW"),"",COUNTBLANK(OFFSET(A$1,,,SUMPRODUCT(MAX(ROW(E$2:E1181)*(E1181=E$2:E1181)))))-COUNTBLANK(OFFSET(A$1,,,SUMPRODUCT(MAX(ROW(E$1:E1180)*(E2=E$1:E1180))))))</f>
        <v> </v>
      </c>
      <c r="K1181" s="25" t="str">
        <f>IF(OR(E1181="",E1181="!!!",F1181="NEW"),"",INDEX(J$1:J1180,SUMPRODUCT(MAX(ROW(E$1:E1180)*(E1181=E$1:E1180)))))</f>
        <v> </v>
      </c>
      <c r="L1181" s="26"/>
    </row>
    <row r="1182" spans="1:12">
      <c r="A1182" s="20" t="s">
        <v>506</v>
      </c>
      <c r="B1182" s="27" t="s">
        <v>262</v>
      </c>
      <c r="C1182" s="27" t="s">
        <v>268</v>
      </c>
      <c r="E1182" s="21">
        <f>IF(D1182="?OLD","!!!","")</f>
        <v/>
      </c>
      <c r="F1182" s="22" t="str">
        <f>IF(OR(E1182="",E1182="!!!"),"",IF(NOT(ISNA(VLOOKUP(E1182,E$1:E1181,1,FALSE()))),"OLD",IF(AND(E1182&lt;&gt;"",E1182&lt;&gt;"!!!"),"NEW","")))</f>
        <v> </v>
      </c>
      <c r="G1182" s="23" t="str">
        <f>IF(OR(E1182="",E1182="!!!"),"",IF(OR(J1182=0,AND(J1182=1,K1182=1),AND(J1182=1,I1182="SBJ"),AND(J1182=1,I1182=0)),"?IN_FOCUS",IF(J1182&lt;=2,"?ACTIVATED",IF(J1182&lt;&gt;"","?FAMILIAR",IF(F1182="NEW",IF(ISNA(VLOOKUP(E1182,#REF!,1,FALSE())),"?TYPE_IDENTIFIABLE","?REFERENTIAL"),"_")))))</f>
        <v> </v>
      </c>
      <c r="H1182" s="24" t="str">
        <f>IF(J1182&lt;&gt;1,"",IF(I1182="SBJ","CB","?"))</f>
        <v> </v>
      </c>
      <c r="I1182" s="25" t="str">
        <f>IF(OR(E1182="",E1182="!!!",F1182="NEW"),"",INDEX(B1181:B$2,-1+SUMPRODUCT(MAX(ROW(E1181:E$2)*(E1182=E1181:E$2)))))</f>
        <v> </v>
      </c>
      <c r="J1182" s="25" t="str">
        <f>IF(OR(E1182="",E1182="!!!",F1182="NEW"),"",COUNTBLANK(OFFSET(A$1,,,SUMPRODUCT(MAX(ROW(E$2:E1182)*(E1182=E$2:E1182)))))-COUNTBLANK(OFFSET(A$1,,,SUMPRODUCT(MAX(ROW(E$1:E1181)*(E2=E$1:E1181))))))</f>
        <v> </v>
      </c>
      <c r="K1182" s="25" t="str">
        <f>IF(OR(E1182="",E1182="!!!",F1182="NEW"),"",INDEX(J$1:J1181,SUMPRODUCT(MAX(ROW(E$1:E1181)*(E1182=E$1:E1181)))))</f>
        <v> </v>
      </c>
      <c r="L1182" s="26"/>
    </row>
    <row r="1183" spans="1:12">
      <c r="A1183" s="20" t="s">
        <v>271</v>
      </c>
      <c r="E1183" s="21">
        <f>IF(D1183="?OLD","!!!","")</f>
        <v/>
      </c>
      <c r="F1183" s="22" t="str">
        <f>IF(OR(E1183="",E1183="!!!"),"",IF(NOT(ISNA(VLOOKUP(E1183,E$1:E1182,1,FALSE()))),"OLD",IF(AND(E1183&lt;&gt;"",E1183&lt;&gt;"!!!"),"NEW","")))</f>
        <v> </v>
      </c>
      <c r="G1183" s="23" t="str">
        <f>IF(OR(E1183="",E1183="!!!"),"",IF(OR(J1183=0,AND(J1183=1,K1183=1),AND(J1183=1,I1183="SBJ"),AND(J1183=1,I1183=0)),"?IN_FOCUS",IF(J1183&lt;=2,"?ACTIVATED",IF(J1183&lt;&gt;"","?FAMILIAR",IF(F1183="NEW",IF(ISNA(VLOOKUP(E1183,#REF!,1,FALSE())),"?TYPE_IDENTIFIABLE","?REFERENTIAL"),"_")))))</f>
        <v> </v>
      </c>
      <c r="H1183" s="24" t="str">
        <f>IF(J1183&lt;&gt;1,"",IF(I1183="SBJ","CB","?"))</f>
        <v> </v>
      </c>
      <c r="I1183" s="25" t="str">
        <f>IF(OR(E1183="",E1183="!!!",F1183="NEW"),"",INDEX(B1182:B$2,-1+SUMPRODUCT(MAX(ROW(E1182:E$2)*(E1183=E1182:E$2)))))</f>
        <v> </v>
      </c>
      <c r="J1183" s="25" t="str">
        <f>IF(OR(E1183="",E1183="!!!",F1183="NEW"),"",COUNTBLANK(OFFSET(A$1,,,SUMPRODUCT(MAX(ROW(E$2:E1183)*(E1183=E$2:E1183)))))-COUNTBLANK(OFFSET(A$1,,,SUMPRODUCT(MAX(ROW(E$1:E1182)*(E2=E$1:E1182))))))</f>
        <v> </v>
      </c>
      <c r="K1183" s="25" t="str">
        <f>IF(OR(E1183="",E1183="!!!",F1183="NEW"),"",INDEX(J$1:J1182,SUMPRODUCT(MAX(ROW(E$1:E1182)*(E1183=E$1:E1182)))))</f>
        <v> </v>
      </c>
      <c r="L1183" s="26"/>
    </row>
    <row r="1184" spans="1:12">
      <c r="A1184" s="20" t="s">
        <v>325</v>
      </c>
      <c r="E1184" s="21">
        <f>IF(D1184="?OLD","!!!","")</f>
        <v/>
      </c>
      <c r="F1184" s="22" t="str">
        <f>IF(OR(E1184="",E1184="!!!"),"",IF(NOT(ISNA(VLOOKUP(E1184,E$1:E1183,1,FALSE()))),"OLD",IF(AND(E1184&lt;&gt;"",E1184&lt;&gt;"!!!"),"NEW","")))</f>
        <v> </v>
      </c>
      <c r="G1184" s="23" t="str">
        <f>IF(OR(E1184="",E1184="!!!"),"",IF(OR(J1184=0,AND(J1184=1,K1184=1),AND(J1184=1,I1184="SBJ"),AND(J1184=1,I1184=0)),"?IN_FOCUS",IF(J1184&lt;=2,"?ACTIVATED",IF(J1184&lt;&gt;"","?FAMILIAR",IF(F1184="NEW",IF(ISNA(VLOOKUP(E1184,#REF!,1,FALSE())),"?TYPE_IDENTIFIABLE","?REFERENTIAL"),"_")))))</f>
        <v> </v>
      </c>
      <c r="H1184" s="24" t="str">
        <f>IF(J1184&lt;&gt;1,"",IF(I1184="SBJ","CB","?"))</f>
        <v> </v>
      </c>
      <c r="I1184" s="25" t="str">
        <f>IF(OR(E1184="",E1184="!!!",F1184="NEW"),"",INDEX(B1183:B$2,-1+SUMPRODUCT(MAX(ROW(E1183:E$2)*(E1184=E1183:E$2)))))</f>
        <v> </v>
      </c>
      <c r="J1184" s="25" t="str">
        <f>IF(OR(E1184="",E1184="!!!",F1184="NEW"),"",COUNTBLANK(OFFSET(A$1,,,SUMPRODUCT(MAX(ROW(E$2:E1184)*(E1184=E$2:E1184)))))-COUNTBLANK(OFFSET(A$1,,,SUMPRODUCT(MAX(ROW(E$1:E1183)*(E2=E$1:E1183))))))</f>
        <v> </v>
      </c>
      <c r="K1184" s="25" t="str">
        <f>IF(OR(E1184="",E1184="!!!",F1184="NEW"),"",INDEX(J$1:J1183,SUMPRODUCT(MAX(ROW(E$1:E1183)*(E1184=E$1:E1183)))))</f>
        <v> </v>
      </c>
      <c r="L1184" s="26"/>
    </row>
    <row r="1185" spans="1:12">
      <c r="A1185" s="20" t="s">
        <v>395</v>
      </c>
      <c r="E1185" s="21">
        <f>IF(D1185="?OLD","!!!","")</f>
        <v/>
      </c>
      <c r="F1185" s="22" t="str">
        <f>IF(OR(E1185="",E1185="!!!"),"",IF(NOT(ISNA(VLOOKUP(E1185,E$1:E1184,1,FALSE()))),"OLD",IF(AND(E1185&lt;&gt;"",E1185&lt;&gt;"!!!"),"NEW","")))</f>
        <v> </v>
      </c>
      <c r="G1185" s="23" t="str">
        <f>IF(OR(E1185="",E1185="!!!"),"",IF(OR(J1185=0,AND(J1185=1,K1185=1),AND(J1185=1,I1185="SBJ"),AND(J1185=1,I1185=0)),"?IN_FOCUS",IF(J1185&lt;=2,"?ACTIVATED",IF(J1185&lt;&gt;"","?FAMILIAR",IF(F1185="NEW",IF(ISNA(VLOOKUP(E1185,#REF!,1,FALSE())),"?TYPE_IDENTIFIABLE","?REFERENTIAL"),"_")))))</f>
        <v> </v>
      </c>
      <c r="H1185" s="24" t="str">
        <f>IF(J1185&lt;&gt;1,"",IF(I1185="SBJ","CB","?"))</f>
        <v> </v>
      </c>
      <c r="I1185" s="25" t="str">
        <f>IF(OR(E1185="",E1185="!!!",F1185="NEW"),"",INDEX(B1184:B$2,-1+SUMPRODUCT(MAX(ROW(E1184:E$2)*(E1185=E1184:E$2)))))</f>
        <v> </v>
      </c>
      <c r="J1185" s="25" t="str">
        <f>IF(OR(E1185="",E1185="!!!",F1185="NEW"),"",COUNTBLANK(OFFSET(A$1,,,SUMPRODUCT(MAX(ROW(E$2:E1185)*(E1185=E$2:E1185)))))-COUNTBLANK(OFFSET(A$1,,,SUMPRODUCT(MAX(ROW(E$1:E1184)*(E2=E$1:E1184))))))</f>
        <v> </v>
      </c>
      <c r="K1185" s="25" t="str">
        <f>IF(OR(E1185="",E1185="!!!",F1185="NEW"),"",INDEX(J$1:J1184,SUMPRODUCT(MAX(ROW(E$1:E1184)*(E1185=E$1:E1184)))))</f>
        <v> </v>
      </c>
      <c r="L1185" s="26"/>
    </row>
    <row r="1186" spans="1:12">
      <c r="A1186" s="20" t="s">
        <v>663</v>
      </c>
      <c r="B1186" s="27" t="s">
        <v>328</v>
      </c>
      <c r="C1186" s="27" t="s">
        <v>351</v>
      </c>
      <c r="D1186" s="27" t="s">
        <v>258</v>
      </c>
      <c r="E1186" s="21">
        <f>IF(D1186="?OLD","!!!","")</f>
        <v/>
      </c>
      <c r="F1186" s="22" t="str">
        <f>IF(OR(E1186="",E1186="!!!"),"",IF(NOT(ISNA(VLOOKUP(E1186,E$1:E1185,1,FALSE()))),"OLD",IF(AND(E1186&lt;&gt;"",E1186&lt;&gt;"!!!"),"NEW","")))</f>
        <v> </v>
      </c>
      <c r="G1186" s="23" t="str">
        <f>IF(OR(E1186="",E1186="!!!"),"",IF(OR(J1186=0,AND(J1186=1,K1186=1),AND(J1186=1,I1186="SBJ"),AND(J1186=1,I1186=0)),"?IN_FOCUS",IF(J1186&lt;=2,"?ACTIVATED",IF(J1186&lt;&gt;"","?FAMILIAR",IF(F1186="NEW",IF(ISNA(VLOOKUP(E1186,#REF!,1,FALSE())),"?TYPE_IDENTIFIABLE","?REFERENTIAL"),"_")))))</f>
        <v> </v>
      </c>
      <c r="H1186" s="24" t="str">
        <f>IF(J1186&lt;&gt;1,"",IF(I1186="SBJ","CB","?"))</f>
        <v> </v>
      </c>
      <c r="I1186" s="25" t="str">
        <f>IF(OR(E1186="",E1186="!!!",F1186="NEW"),"",INDEX(B1185:B$2,-1+SUMPRODUCT(MAX(ROW(E1185:E$2)*(E1186=E1185:E$2)))))</f>
        <v> </v>
      </c>
      <c r="J1186" s="25" t="str">
        <f>IF(OR(E1186="",E1186="!!!",F1186="NEW"),"",COUNTBLANK(OFFSET(A$1,,,SUMPRODUCT(MAX(ROW(E$2:E1186)*(E1186=E$2:E1186)))))-COUNTBLANK(OFFSET(A$1,,,SUMPRODUCT(MAX(ROW(E$1:E1185)*(E2=E$1:E1185))))))</f>
        <v> </v>
      </c>
      <c r="K1186" s="25" t="str">
        <f>IF(OR(E1186="",E1186="!!!",F1186="NEW"),"",INDEX(J$1:J1185,SUMPRODUCT(MAX(ROW(E$1:E1185)*(E1186=E$1:E1185)))))</f>
        <v> </v>
      </c>
      <c r="L1186" s="26"/>
    </row>
    <row r="1187" spans="1:12">
      <c r="A1187" s="20" t="s">
        <v>271</v>
      </c>
      <c r="E1187" s="21">
        <f>IF(D1187="?OLD","!!!","")</f>
        <v/>
      </c>
      <c r="F1187" s="22" t="str">
        <f>IF(OR(E1187="",E1187="!!!"),"",IF(NOT(ISNA(VLOOKUP(E1187,E$1:E1186,1,FALSE()))),"OLD",IF(AND(E1187&lt;&gt;"",E1187&lt;&gt;"!!!"),"NEW","")))</f>
        <v> </v>
      </c>
      <c r="G1187" s="23" t="str">
        <f>IF(OR(E1187="",E1187="!!!"),"",IF(OR(J1187=0,AND(J1187=1,K1187=1),AND(J1187=1,I1187="SBJ"),AND(J1187=1,I1187=0)),"?IN_FOCUS",IF(J1187&lt;=2,"?ACTIVATED",IF(J1187&lt;&gt;"","?FAMILIAR",IF(F1187="NEW",IF(ISNA(VLOOKUP(E1187,#REF!,1,FALSE())),"?TYPE_IDENTIFIABLE","?REFERENTIAL"),"_")))))</f>
        <v> </v>
      </c>
      <c r="H1187" s="24" t="str">
        <f>IF(J1187&lt;&gt;1,"",IF(I1187="SBJ","CB","?"))</f>
        <v> </v>
      </c>
      <c r="I1187" s="25" t="str">
        <f>IF(OR(E1187="",E1187="!!!",F1187="NEW"),"",INDEX(B1186:B$2,-1+SUMPRODUCT(MAX(ROW(E1186:E$2)*(E1187=E1186:E$2)))))</f>
        <v> </v>
      </c>
      <c r="J1187" s="25" t="str">
        <f>IF(OR(E1187="",E1187="!!!",F1187="NEW"),"",COUNTBLANK(OFFSET(A$1,,,SUMPRODUCT(MAX(ROW(E$2:E1187)*(E1187=E$2:E1187)))))-COUNTBLANK(OFFSET(A$1,,,SUMPRODUCT(MAX(ROW(E$1:E1186)*(E2=E$1:E1186))))))</f>
        <v> </v>
      </c>
      <c r="K1187" s="25" t="str">
        <f>IF(OR(E1187="",E1187="!!!",F1187="NEW"),"",INDEX(J$1:J1186,SUMPRODUCT(MAX(ROW(E$1:E1186)*(E1187=E$1:E1186)))))</f>
        <v> </v>
      </c>
      <c r="L1187" s="26"/>
    </row>
    <row r="1188" spans="1:12">
      <c r="A1188" s="20" t="s">
        <v>375</v>
      </c>
      <c r="E1188" s="21">
        <f>IF(D1188="?OLD","!!!","")</f>
        <v/>
      </c>
      <c r="F1188" s="22" t="str">
        <f>IF(OR(E1188="",E1188="!!!"),"",IF(NOT(ISNA(VLOOKUP(E1188,E$1:E1187,1,FALSE()))),"OLD",IF(AND(E1188&lt;&gt;"",E1188&lt;&gt;"!!!"),"NEW","")))</f>
        <v> </v>
      </c>
      <c r="G1188" s="23" t="str">
        <f>IF(OR(E1188="",E1188="!!!"),"",IF(OR(J1188=0,AND(J1188=1,K1188=1),AND(J1188=1,I1188="SBJ"),AND(J1188=1,I1188=0)),"?IN_FOCUS",IF(J1188&lt;=2,"?ACTIVATED",IF(J1188&lt;&gt;"","?FAMILIAR",IF(F1188="NEW",IF(ISNA(VLOOKUP(E1188,#REF!,1,FALSE())),"?TYPE_IDENTIFIABLE","?REFERENTIAL"),"_")))))</f>
        <v> </v>
      </c>
      <c r="H1188" s="24" t="str">
        <f>IF(J1188&lt;&gt;1,"",IF(I1188="SBJ","CB","?"))</f>
        <v> </v>
      </c>
      <c r="I1188" s="25" t="str">
        <f>IF(OR(E1188="",E1188="!!!",F1188="NEW"),"",INDEX(B1187:B$2,-1+SUMPRODUCT(MAX(ROW(E1187:E$2)*(E1188=E1187:E$2)))))</f>
        <v> </v>
      </c>
      <c r="J1188" s="25" t="str">
        <f>IF(OR(E1188="",E1188="!!!",F1188="NEW"),"",COUNTBLANK(OFFSET(A$1,,,SUMPRODUCT(MAX(ROW(E$2:E1188)*(E1188=E$2:E1188)))))-COUNTBLANK(OFFSET(A$1,,,SUMPRODUCT(MAX(ROW(E$1:E1187)*(E2=E$1:E1187))))))</f>
        <v> </v>
      </c>
      <c r="K1188" s="25" t="str">
        <f>IF(OR(E1188="",E1188="!!!",F1188="NEW"),"",INDEX(J$1:J1187,SUMPRODUCT(MAX(ROW(E$1:E1187)*(E1188=E$1:E1187)))))</f>
        <v> </v>
      </c>
      <c r="L1188" s="26"/>
    </row>
    <row r="1189" spans="1:12">
      <c r="A1189" s="20" t="s">
        <v>191</v>
      </c>
      <c r="E1189" s="21">
        <f>IF(D1189="?OLD","!!!","")</f>
        <v/>
      </c>
      <c r="F1189" s="22" t="str">
        <f>IF(OR(E1189="",E1189="!!!"),"",IF(NOT(ISNA(VLOOKUP(E1189,E$1:E1188,1,FALSE()))),"OLD",IF(AND(E1189&lt;&gt;"",E1189&lt;&gt;"!!!"),"NEW","")))</f>
        <v> </v>
      </c>
      <c r="G1189" s="23" t="str">
        <f>IF(OR(E1189="",E1189="!!!"),"",IF(OR(J1189=0,AND(J1189=1,K1189=1),AND(J1189=1,I1189="SBJ"),AND(J1189=1,I1189=0)),"?IN_FOCUS",IF(J1189&lt;=2,"?ACTIVATED",IF(J1189&lt;&gt;"","?FAMILIAR",IF(F1189="NEW",IF(ISNA(VLOOKUP(E1189,#REF!,1,FALSE())),"?TYPE_IDENTIFIABLE","?REFERENTIAL"),"_")))))</f>
        <v> </v>
      </c>
      <c r="H1189" s="24" t="str">
        <f>IF(J1189&lt;&gt;1,"",IF(I1189="SBJ","CB","?"))</f>
        <v> </v>
      </c>
      <c r="I1189" s="25" t="str">
        <f>IF(OR(E1189="",E1189="!!!",F1189="NEW"),"",INDEX(B1188:B$2,-1+SUMPRODUCT(MAX(ROW(E1188:E$2)*(E1189=E1188:E$2)))))</f>
        <v> </v>
      </c>
      <c r="J1189" s="25" t="str">
        <f>IF(OR(E1189="",E1189="!!!",F1189="NEW"),"",COUNTBLANK(OFFSET(A$1,,,SUMPRODUCT(MAX(ROW(E$2:E1189)*(E1189=E$2:E1189)))))-COUNTBLANK(OFFSET(A$1,,,SUMPRODUCT(MAX(ROW(E$1:E1188)*(E2=E$1:E1188))))))</f>
        <v> </v>
      </c>
      <c r="K1189" s="25" t="str">
        <f>IF(OR(E1189="",E1189="!!!",F1189="NEW"),"",INDEX(J$1:J1188,SUMPRODUCT(MAX(ROW(E$1:E1188)*(E1189=E$1:E1188)))))</f>
        <v> </v>
      </c>
      <c r="L1189" s="26"/>
    </row>
    <row r="1190" spans="1:12">
      <c r="A1190" s="20" t="s">
        <v>395</v>
      </c>
      <c r="E1190" s="21">
        <f>IF(D1190="?OLD","!!!","")</f>
        <v/>
      </c>
      <c r="F1190" s="22" t="str">
        <f>IF(OR(E1190="",E1190="!!!"),"",IF(NOT(ISNA(VLOOKUP(E1190,E$1:E1189,1,FALSE()))),"OLD",IF(AND(E1190&lt;&gt;"",E1190&lt;&gt;"!!!"),"NEW","")))</f>
        <v> </v>
      </c>
      <c r="G1190" s="23" t="str">
        <f>IF(OR(E1190="",E1190="!!!"),"",IF(OR(J1190=0,AND(J1190=1,K1190=1),AND(J1190=1,I1190="SBJ"),AND(J1190=1,I1190=0)),"?IN_FOCUS",IF(J1190&lt;=2,"?ACTIVATED",IF(J1190&lt;&gt;"","?FAMILIAR",IF(F1190="NEW",IF(ISNA(VLOOKUP(E1190,#REF!,1,FALSE())),"?TYPE_IDENTIFIABLE","?REFERENTIAL"),"_")))))</f>
        <v> </v>
      </c>
      <c r="H1190" s="24" t="str">
        <f>IF(J1190&lt;&gt;1,"",IF(I1190="SBJ","CB","?"))</f>
        <v> </v>
      </c>
      <c r="I1190" s="25" t="str">
        <f>IF(OR(E1190="",E1190="!!!",F1190="NEW"),"",INDEX(B1189:B$2,-1+SUMPRODUCT(MAX(ROW(E1189:E$2)*(E1190=E1189:E$2)))))</f>
        <v> </v>
      </c>
      <c r="J1190" s="25" t="str">
        <f>IF(OR(E1190="",E1190="!!!",F1190="NEW"),"",COUNTBLANK(OFFSET(A$1,,,SUMPRODUCT(MAX(ROW(E$2:E1190)*(E1190=E$2:E1190)))))-COUNTBLANK(OFFSET(A$1,,,SUMPRODUCT(MAX(ROW(E$1:E1189)*(E2=E$1:E1189))))))</f>
        <v> </v>
      </c>
      <c r="K1190" s="25" t="str">
        <f>IF(OR(E1190="",E1190="!!!",F1190="NEW"),"",INDEX(J$1:J1189,SUMPRODUCT(MAX(ROW(E$1:E1189)*(E1190=E$1:E1189)))))</f>
        <v> </v>
      </c>
      <c r="L1190" s="26"/>
    </row>
    <row r="1191" spans="1:12">
      <c r="A1191" s="20" t="s">
        <v>664</v>
      </c>
      <c r="E1191" s="21">
        <f>IF(D1191="?OLD","!!!","")</f>
        <v/>
      </c>
      <c r="F1191" s="22" t="str">
        <f>IF(OR(E1191="",E1191="!!!"),"",IF(NOT(ISNA(VLOOKUP(E1191,E$1:E1190,1,FALSE()))),"OLD",IF(AND(E1191&lt;&gt;"",E1191&lt;&gt;"!!!"),"NEW","")))</f>
        <v> </v>
      </c>
      <c r="G1191" s="23" t="str">
        <f>IF(OR(E1191="",E1191="!!!"),"",IF(OR(J1191=0,AND(J1191=1,K1191=1),AND(J1191=1,I1191="SBJ"),AND(J1191=1,I1191=0)),"?IN_FOCUS",IF(J1191&lt;=2,"?ACTIVATED",IF(J1191&lt;&gt;"","?FAMILIAR",IF(F1191="NEW",IF(ISNA(VLOOKUP(E1191,#REF!,1,FALSE())),"?TYPE_IDENTIFIABLE","?REFERENTIAL"),"_")))))</f>
        <v> </v>
      </c>
      <c r="H1191" s="24" t="str">
        <f>IF(J1191&lt;&gt;1,"",IF(I1191="SBJ","CB","?"))</f>
        <v> </v>
      </c>
      <c r="I1191" s="25" t="str">
        <f>IF(OR(E1191="",E1191="!!!",F1191="NEW"),"",INDEX(B1190:B$2,-1+SUMPRODUCT(MAX(ROW(E1190:E$2)*(E1191=E1190:E$2)))))</f>
        <v> </v>
      </c>
      <c r="J1191" s="25" t="str">
        <f>IF(OR(E1191="",E1191="!!!",F1191="NEW"),"",COUNTBLANK(OFFSET(A$1,,,SUMPRODUCT(MAX(ROW(E$2:E1191)*(E1191=E$2:E1191)))))-COUNTBLANK(OFFSET(A$1,,,SUMPRODUCT(MAX(ROW(E$1:E1190)*(E2=E$1:E1190))))))</f>
        <v> </v>
      </c>
      <c r="K1191" s="25" t="str">
        <f>IF(OR(E1191="",E1191="!!!",F1191="NEW"),"",INDEX(J$1:J1190,SUMPRODUCT(MAX(ROW(E$1:E1190)*(E1191=E$1:E1190)))))</f>
        <v> </v>
      </c>
      <c r="L1191" s="26"/>
    </row>
    <row r="1192" spans="1:12">
      <c r="A1192" s="20" t="s">
        <v>665</v>
      </c>
      <c r="E1192" s="21">
        <f>IF(D1192="?OLD","!!!","")</f>
        <v/>
      </c>
      <c r="F1192" s="22" t="str">
        <f>IF(OR(E1192="",E1192="!!!"),"",IF(NOT(ISNA(VLOOKUP(E1192,E$1:E1191,1,FALSE()))),"OLD",IF(AND(E1192&lt;&gt;"",E1192&lt;&gt;"!!!"),"NEW","")))</f>
        <v> </v>
      </c>
      <c r="G1192" s="23" t="str">
        <f>IF(OR(E1192="",E1192="!!!"),"",IF(OR(J1192=0,AND(J1192=1,K1192=1),AND(J1192=1,I1192="SBJ"),AND(J1192=1,I1192=0)),"?IN_FOCUS",IF(J1192&lt;=2,"?ACTIVATED",IF(J1192&lt;&gt;"","?FAMILIAR",IF(F1192="NEW",IF(ISNA(VLOOKUP(E1192,#REF!,1,FALSE())),"?TYPE_IDENTIFIABLE","?REFERENTIAL"),"_")))))</f>
        <v> </v>
      </c>
      <c r="H1192" s="24" t="str">
        <f>IF(J1192&lt;&gt;1,"",IF(I1192="SBJ","CB","?"))</f>
        <v> </v>
      </c>
      <c r="I1192" s="25" t="str">
        <f>IF(OR(E1192="",E1192="!!!",F1192="NEW"),"",INDEX(B1191:B$2,-1+SUMPRODUCT(MAX(ROW(E1191:E$2)*(E1192=E1191:E$2)))))</f>
        <v> </v>
      </c>
      <c r="J1192" s="25" t="str">
        <f>IF(OR(E1192="",E1192="!!!",F1192="NEW"),"",COUNTBLANK(OFFSET(A$1,,,SUMPRODUCT(MAX(ROW(E$2:E1192)*(E1192=E$2:E1192)))))-COUNTBLANK(OFFSET(A$1,,,SUMPRODUCT(MAX(ROW(E$1:E1191)*(E2=E$1:E1191))))))</f>
        <v> </v>
      </c>
      <c r="K1192" s="25" t="str">
        <f>IF(OR(E1192="",E1192="!!!",F1192="NEW"),"",INDEX(J$1:J1191,SUMPRODUCT(MAX(ROW(E$1:E1191)*(E1192=E$1:E1191)))))</f>
        <v> </v>
      </c>
      <c r="L1192" s="26"/>
    </row>
    <row r="1193" spans="1:12">
      <c r="A1193" s="20" t="s">
        <v>350</v>
      </c>
      <c r="B1193" s="27" t="s">
        <v>333</v>
      </c>
      <c r="C1193" s="27" t="s">
        <v>351</v>
      </c>
      <c r="D1193" s="27" t="s">
        <v>258</v>
      </c>
      <c r="E1193" s="21">
        <f>IF(D1193="?OLD","!!!","")</f>
        <v/>
      </c>
      <c r="F1193" s="22" t="str">
        <f>IF(OR(E1193="",E1193="!!!"),"",IF(NOT(ISNA(VLOOKUP(E1193,E$1:E1192,1,FALSE()))),"OLD",IF(AND(E1193&lt;&gt;"",E1193&lt;&gt;"!!!"),"NEW","")))</f>
        <v> </v>
      </c>
      <c r="G1193" s="23" t="str">
        <f>IF(OR(E1193="",E1193="!!!"),"",IF(OR(J1193=0,AND(J1193=1,K1193=1),AND(J1193=1,I1193="SBJ"),AND(J1193=1,I1193=0)),"?IN_FOCUS",IF(J1193&lt;=2,"?ACTIVATED",IF(J1193&lt;&gt;"","?FAMILIAR",IF(F1193="NEW",IF(ISNA(VLOOKUP(E1193,#REF!,1,FALSE())),"?TYPE_IDENTIFIABLE","?REFERENTIAL"),"_")))))</f>
        <v> </v>
      </c>
      <c r="H1193" s="24" t="str">
        <f>IF(J1193&lt;&gt;1,"",IF(I1193="SBJ","CB","?"))</f>
        <v> </v>
      </c>
      <c r="I1193" s="25" t="str">
        <f>IF(OR(E1193="",E1193="!!!",F1193="NEW"),"",INDEX(B1192:B$2,-1+SUMPRODUCT(MAX(ROW(E1192:E$2)*(E1193=E1192:E$2)))))</f>
        <v> </v>
      </c>
      <c r="J1193" s="25" t="str">
        <f>IF(OR(E1193="",E1193="!!!",F1193="NEW"),"",COUNTBLANK(OFFSET(A$1,,,SUMPRODUCT(MAX(ROW(E$2:E1193)*(E1193=E$2:E1193)))))-COUNTBLANK(OFFSET(A$1,,,SUMPRODUCT(MAX(ROW(E$1:E1192)*(E2=E$1:E1192))))))</f>
        <v> </v>
      </c>
      <c r="K1193" s="25" t="str">
        <f>IF(OR(E1193="",E1193="!!!",F1193="NEW"),"",INDEX(J$1:J1192,SUMPRODUCT(MAX(ROW(E$1:E1192)*(E1193=E$1:E1192)))))</f>
        <v> </v>
      </c>
      <c r="L1193" s="26"/>
    </row>
    <row r="1194" spans="1:12">
      <c r="A1194" s="20" t="s">
        <v>320</v>
      </c>
      <c r="E1194" s="21">
        <f>IF(D1194="?OLD","!!!","")</f>
        <v/>
      </c>
      <c r="F1194" s="22" t="str">
        <f>IF(OR(E1194="",E1194="!!!"),"",IF(NOT(ISNA(VLOOKUP(E1194,E$1:E1193,1,FALSE()))),"OLD",IF(AND(E1194&lt;&gt;"",E1194&lt;&gt;"!!!"),"NEW","")))</f>
        <v> </v>
      </c>
      <c r="G1194" s="23" t="str">
        <f>IF(OR(E1194="",E1194="!!!"),"",IF(OR(J1194=0,AND(J1194=1,K1194=1),AND(J1194=1,I1194="SBJ"),AND(J1194=1,I1194=0)),"?IN_FOCUS",IF(J1194&lt;=2,"?ACTIVATED",IF(J1194&lt;&gt;"","?FAMILIAR",IF(F1194="NEW",IF(ISNA(VLOOKUP(E1194,#REF!,1,FALSE())),"?TYPE_IDENTIFIABLE","?REFERENTIAL"),"_")))))</f>
        <v> </v>
      </c>
      <c r="H1194" s="24" t="str">
        <f>IF(J1194&lt;&gt;1,"",IF(I1194="SBJ","CB","?"))</f>
        <v> </v>
      </c>
      <c r="I1194" s="25" t="str">
        <f>IF(OR(E1194="",E1194="!!!",F1194="NEW"),"",INDEX(B1193:B$2,-1+SUMPRODUCT(MAX(ROW(E1193:E$2)*(E1194=E1193:E$2)))))</f>
        <v> </v>
      </c>
      <c r="J1194" s="25" t="str">
        <f>IF(OR(E1194="",E1194="!!!",F1194="NEW"),"",COUNTBLANK(OFFSET(A$1,,,SUMPRODUCT(MAX(ROW(E$2:E1194)*(E1194=E$2:E1194)))))-COUNTBLANK(OFFSET(A$1,,,SUMPRODUCT(MAX(ROW(E$1:E1193)*(E2=E$1:E1193))))))</f>
        <v> </v>
      </c>
      <c r="K1194" s="25" t="str">
        <f>IF(OR(E1194="",E1194="!!!",F1194="NEW"),"",INDEX(J$1:J1193,SUMPRODUCT(MAX(ROW(E$1:E1193)*(E1194=E$1:E1193)))))</f>
        <v> </v>
      </c>
      <c r="L1194" s="26"/>
    </row>
    <row r="1195" spans="1:12">
      <c r="A1195" s="20"/>
    </row>
    <row r="1196" spans="1:12">
      <c r="A1196" s="20" t="s">
        <v>666</v>
      </c>
    </row>
    <row r="1197" spans="1:12">
      <c r="A1197" s="20" t="s">
        <v>360</v>
      </c>
      <c r="E1197" s="21">
        <f>IF(D1197="?OLD","!!!","")</f>
        <v/>
      </c>
      <c r="F1197" s="22" t="str">
        <f>IF(OR(E1197="",E1197="!!!"),"",IF(NOT(ISNA(VLOOKUP(E1197,E$1:E1196,1,FALSE()))),"OLD",IF(AND(E1197&lt;&gt;"",E1197&lt;&gt;"!!!"),"NEW","")))</f>
        <v> </v>
      </c>
      <c r="G1197" s="23" t="str">
        <f>IF(OR(E1197="",E1197="!!!"),"",IF(OR(J1197=0,AND(J1197=1,K1197=1),AND(J1197=1,I1197="SBJ"),AND(J1197=1,I1197=0)),"?IN_FOCUS",IF(J1197&lt;=2,"?ACTIVATED",IF(J1197&lt;&gt;"","?FAMILIAR",IF(F1197="NEW",IF(ISNA(VLOOKUP(E1197,#REF!,1,FALSE())),"?TYPE_IDENTIFIABLE","?REFERENTIAL"),"_")))))</f>
        <v> </v>
      </c>
      <c r="H1197" s="24" t="str">
        <f>IF(J1197&lt;&gt;1,"",IF(I1197="SBJ","CB","?"))</f>
        <v> </v>
      </c>
      <c r="I1197" s="25" t="str">
        <f>IF(OR(E1197="",E1197="!!!",F1197="NEW"),"",INDEX(B1196:B$2,-1+SUMPRODUCT(MAX(ROW(E1196:E$2)*(E1197=E1196:E$2)))))</f>
        <v> </v>
      </c>
      <c r="J1197" s="25" t="str">
        <f>IF(OR(E1197="",E1197="!!!",F1197="NEW"),"",COUNTBLANK(OFFSET(A$1,,,SUMPRODUCT(MAX(ROW(E$2:E1197)*(E1197=E$2:E1197)))))-COUNTBLANK(OFFSET(A$1,,,SUMPRODUCT(MAX(ROW(E$1:E1196)*(E2=E$1:E1196))))))</f>
        <v> </v>
      </c>
      <c r="K1197" s="25" t="str">
        <f>IF(OR(E1197="",E1197="!!!",F1197="NEW"),"",INDEX(J$1:J1196,SUMPRODUCT(MAX(ROW(E$1:E1196)*(E1197=E$1:E1196)))))</f>
        <v> </v>
      </c>
      <c r="L1197" s="26"/>
    </row>
    <row r="1198" spans="1:12">
      <c r="A1198" s="20" t="s">
        <v>540</v>
      </c>
      <c r="E1198" s="21">
        <f>IF(D1198="?OLD","!!!","")</f>
        <v/>
      </c>
      <c r="F1198" s="22" t="str">
        <f>IF(OR(E1198="",E1198="!!!"),"",IF(NOT(ISNA(VLOOKUP(E1198,E$1:E1197,1,FALSE()))),"OLD",IF(AND(E1198&lt;&gt;"",E1198&lt;&gt;"!!!"),"NEW","")))</f>
        <v> </v>
      </c>
      <c r="G1198" s="23" t="str">
        <f>IF(OR(E1198="",E1198="!!!"),"",IF(OR(J1198=0,AND(J1198=1,K1198=1),AND(J1198=1,I1198="SBJ"),AND(J1198=1,I1198=0)),"?IN_FOCUS",IF(J1198&lt;=2,"?ACTIVATED",IF(J1198&lt;&gt;"","?FAMILIAR",IF(F1198="NEW",IF(ISNA(VLOOKUP(E1198,#REF!,1,FALSE())),"?TYPE_IDENTIFIABLE","?REFERENTIAL"),"_")))))</f>
        <v> </v>
      </c>
      <c r="H1198" s="24" t="str">
        <f>IF(J1198&lt;&gt;1,"",IF(I1198="SBJ","CB","?"))</f>
        <v> </v>
      </c>
      <c r="I1198" s="25" t="str">
        <f>IF(OR(E1198="",E1198="!!!",F1198="NEW"),"",INDEX(B1197:B$2,-1+SUMPRODUCT(MAX(ROW(E1197:E$2)*(E1198=E1197:E$2)))))</f>
        <v> </v>
      </c>
      <c r="J1198" s="25" t="str">
        <f>IF(OR(E1198="",E1198="!!!",F1198="NEW"),"",COUNTBLANK(OFFSET(A$1,,,SUMPRODUCT(MAX(ROW(E$2:E1198)*(E1198=E$2:E1198)))))-COUNTBLANK(OFFSET(A$1,,,SUMPRODUCT(MAX(ROW(E$1:E1197)*(E2=E$1:E1197))))))</f>
        <v> </v>
      </c>
      <c r="K1198" s="25" t="str">
        <f>IF(OR(E1198="",E1198="!!!",F1198="NEW"),"",INDEX(J$1:J1197,SUMPRODUCT(MAX(ROW(E$1:E1197)*(E1198=E$1:E1197)))))</f>
        <v> </v>
      </c>
      <c r="L1198" s="26"/>
    </row>
    <row r="1199" spans="1:12">
      <c r="A1199" s="20" t="s">
        <v>485</v>
      </c>
      <c r="B1199" s="27" t="s">
        <v>333</v>
      </c>
      <c r="C1199" s="27" t="s">
        <v>367</v>
      </c>
      <c r="D1199" s="27" t="s">
        <v>258</v>
      </c>
      <c r="E1199" s="21">
        <f>IF(D1199="?OLD","!!!","")</f>
        <v/>
      </c>
      <c r="F1199" s="22" t="str">
        <f>IF(OR(E1199="",E1199="!!!"),"",IF(NOT(ISNA(VLOOKUP(E1199,E$1:E1198,1,FALSE()))),"OLD",IF(AND(E1199&lt;&gt;"",E1199&lt;&gt;"!!!"),"NEW","")))</f>
        <v> </v>
      </c>
      <c r="G1199" s="23" t="str">
        <f>IF(OR(E1199="",E1199="!!!"),"",IF(OR(J1199=0,AND(J1199=1,K1199=1),AND(J1199=1,I1199="SBJ"),AND(J1199=1,I1199=0)),"?IN_FOCUS",IF(J1199&lt;=2,"?ACTIVATED",IF(J1199&lt;&gt;"","?FAMILIAR",IF(F1199="NEW",IF(ISNA(VLOOKUP(E1199,#REF!,1,FALSE())),"?TYPE_IDENTIFIABLE","?REFERENTIAL"),"_")))))</f>
        <v> </v>
      </c>
      <c r="H1199" s="24" t="str">
        <f>IF(J1199&lt;&gt;1,"",IF(I1199="SBJ","CB","?"))</f>
        <v> </v>
      </c>
      <c r="I1199" s="25" t="str">
        <f>IF(OR(E1199="",E1199="!!!",F1199="NEW"),"",INDEX(B1198:B$2,-1+SUMPRODUCT(MAX(ROW(E1198:E$2)*(E1199=E1198:E$2)))))</f>
        <v> </v>
      </c>
      <c r="J1199" s="25" t="str">
        <f>IF(OR(E1199="",E1199="!!!",F1199="NEW"),"",COUNTBLANK(OFFSET(A$1,,,SUMPRODUCT(MAX(ROW(E$2:E1199)*(E1199=E$2:E1199)))))-COUNTBLANK(OFFSET(A$1,,,SUMPRODUCT(MAX(ROW(E$1:E1198)*(E2=E$1:E1198))))))</f>
        <v> </v>
      </c>
      <c r="K1199" s="25" t="str">
        <f>IF(OR(E1199="",E1199="!!!",F1199="NEW"),"",INDEX(J$1:J1198,SUMPRODUCT(MAX(ROW(E$1:E1198)*(E1199=E$1:E1198)))))</f>
        <v> </v>
      </c>
      <c r="L1199" s="26"/>
    </row>
    <row r="1200" spans="1:12">
      <c r="A1200" s="20" t="s">
        <v>271</v>
      </c>
      <c r="E1200" s="21">
        <f>IF(D1200="?OLD","!!!","")</f>
        <v/>
      </c>
      <c r="F1200" s="22" t="str">
        <f>IF(OR(E1200="",E1200="!!!"),"",IF(NOT(ISNA(VLOOKUP(E1200,E$1:E1199,1,FALSE()))),"OLD",IF(AND(E1200&lt;&gt;"",E1200&lt;&gt;"!!!"),"NEW","")))</f>
        <v> </v>
      </c>
      <c r="G1200" s="23" t="str">
        <f>IF(OR(E1200="",E1200="!!!"),"",IF(OR(J1200=0,AND(J1200=1,K1200=1),AND(J1200=1,I1200="SBJ"),AND(J1200=1,I1200=0)),"?IN_FOCUS",IF(J1200&lt;=2,"?ACTIVATED",IF(J1200&lt;&gt;"","?FAMILIAR",IF(F1200="NEW",IF(ISNA(VLOOKUP(E1200,#REF!,1,FALSE())),"?TYPE_IDENTIFIABLE","?REFERENTIAL"),"_")))))</f>
        <v> </v>
      </c>
      <c r="H1200" s="24" t="str">
        <f>IF(J1200&lt;&gt;1,"",IF(I1200="SBJ","CB","?"))</f>
        <v> </v>
      </c>
      <c r="I1200" s="25" t="str">
        <f>IF(OR(E1200="",E1200="!!!",F1200="NEW"),"",INDEX(B1199:B$2,-1+SUMPRODUCT(MAX(ROW(E1199:E$2)*(E1200=E1199:E$2)))))</f>
        <v> </v>
      </c>
      <c r="J1200" s="25" t="str">
        <f>IF(OR(E1200="",E1200="!!!",F1200="NEW"),"",COUNTBLANK(OFFSET(A$1,,,SUMPRODUCT(MAX(ROW(E$2:E1200)*(E1200=E$2:E1200)))))-COUNTBLANK(OFFSET(A$1,,,SUMPRODUCT(MAX(ROW(E$1:E1199)*(E2=E$1:E1199))))))</f>
        <v> </v>
      </c>
      <c r="K1200" s="25" t="str">
        <f>IF(OR(E1200="",E1200="!!!",F1200="NEW"),"",INDEX(J$1:J1199,SUMPRODUCT(MAX(ROW(E$1:E1199)*(E1200=E$1:E1199)))))</f>
        <v> </v>
      </c>
      <c r="L1200" s="26"/>
    </row>
    <row r="1201" spans="1:12">
      <c r="A1201" s="20" t="s">
        <v>255</v>
      </c>
      <c r="B1201" s="27" t="s">
        <v>276</v>
      </c>
      <c r="C1201" s="27" t="s">
        <v>257</v>
      </c>
      <c r="D1201" s="27" t="s">
        <v>258</v>
      </c>
      <c r="E1201" s="21">
        <f>IF(D1201="?OLD","!!!","")</f>
        <v/>
      </c>
      <c r="F1201" s="22" t="str">
        <f>IF(OR(E1201="",E1201="!!!"),"",IF(NOT(ISNA(VLOOKUP(E1201,E$1:E1200,1,FALSE()))),"OLD",IF(AND(E1201&lt;&gt;"",E1201&lt;&gt;"!!!"),"NEW","")))</f>
        <v> </v>
      </c>
      <c r="G1201" s="23" t="str">
        <f>IF(OR(E1201="",E1201="!!!"),"",IF(OR(J1201=0,AND(J1201=1,K1201=1),AND(J1201=1,I1201="SBJ"),AND(J1201=1,I1201=0)),"?IN_FOCUS",IF(J1201&lt;=2,"?ACTIVATED",IF(J1201&lt;&gt;"","?FAMILIAR",IF(F1201="NEW",IF(ISNA(VLOOKUP(E1201,#REF!,1,FALSE())),"?TYPE_IDENTIFIABLE","?REFERENTIAL"),"_")))))</f>
        <v> </v>
      </c>
      <c r="H1201" s="24" t="str">
        <f>IF(J1201&lt;&gt;1,"",IF(I1201="SBJ","CB","?"))</f>
        <v> </v>
      </c>
      <c r="I1201" s="25" t="str">
        <f>IF(OR(E1201="",E1201="!!!",F1201="NEW"),"",INDEX(B1200:B$2,-1+SUMPRODUCT(MAX(ROW(E1200:E$2)*(E1201=E1200:E$2)))))</f>
        <v> </v>
      </c>
      <c r="J1201" s="25" t="str">
        <f>IF(OR(E1201="",E1201="!!!",F1201="NEW"),"",COUNTBLANK(OFFSET(A$1,,,SUMPRODUCT(MAX(ROW(E$2:E1201)*(E1201=E$2:E1201)))))-COUNTBLANK(OFFSET(A$1,,,SUMPRODUCT(MAX(ROW(E$1:E1200)*(E2=E$1:E1200))))))</f>
        <v> </v>
      </c>
      <c r="K1201" s="25" t="str">
        <f>IF(OR(E1201="",E1201="!!!",F1201="NEW"),"",INDEX(J$1:J1200,SUMPRODUCT(MAX(ROW(E$1:E1200)*(E1201=E$1:E1200)))))</f>
        <v> </v>
      </c>
      <c r="L1201" s="26"/>
    </row>
    <row r="1202" spans="1:12">
      <c r="A1202" s="20" t="s">
        <v>259</v>
      </c>
      <c r="E1202" s="21">
        <f>IF(D1202="?OLD","!!!","")</f>
        <v/>
      </c>
      <c r="F1202" s="22" t="str">
        <f>IF(OR(E1202="",E1202="!!!"),"",IF(NOT(ISNA(VLOOKUP(E1202,E$1:E1201,1,FALSE()))),"OLD",IF(AND(E1202&lt;&gt;"",E1202&lt;&gt;"!!!"),"NEW","")))</f>
        <v> </v>
      </c>
      <c r="G1202" s="23" t="str">
        <f>IF(OR(E1202="",E1202="!!!"),"",IF(OR(J1202=0,AND(J1202=1,K1202=1),AND(J1202=1,I1202="SBJ"),AND(J1202=1,I1202=0)),"?IN_FOCUS",IF(J1202&lt;=2,"?ACTIVATED",IF(J1202&lt;&gt;"","?FAMILIAR",IF(F1202="NEW",IF(ISNA(VLOOKUP(E1202,#REF!,1,FALSE())),"?TYPE_IDENTIFIABLE","?REFERENTIAL"),"_")))))</f>
        <v> </v>
      </c>
      <c r="H1202" s="24" t="str">
        <f>IF(J1202&lt;&gt;1,"",IF(I1202="SBJ","CB","?"))</f>
        <v> </v>
      </c>
      <c r="I1202" s="25" t="str">
        <f>IF(OR(E1202="",E1202="!!!",F1202="NEW"),"",INDEX(B1201:B$2,-1+SUMPRODUCT(MAX(ROW(E1201:E$2)*(E1202=E1201:E$2)))))</f>
        <v> </v>
      </c>
      <c r="J1202" s="25" t="str">
        <f>IF(OR(E1202="",E1202="!!!",F1202="NEW"),"",COUNTBLANK(OFFSET(A$1,,,SUMPRODUCT(MAX(ROW(E$2:E1202)*(E1202=E$2:E1202)))))-COUNTBLANK(OFFSET(A$1,,,SUMPRODUCT(MAX(ROW(E$1:E1201)*(E2=E$1:E1201))))))</f>
        <v> </v>
      </c>
      <c r="K1202" s="25" t="str">
        <f>IF(OR(E1202="",E1202="!!!",F1202="NEW"),"",INDEX(J$1:J1201,SUMPRODUCT(MAX(ROW(E$1:E1201)*(E1202=E$1:E1201)))))</f>
        <v> </v>
      </c>
      <c r="L1202" s="26"/>
    </row>
    <row r="1203" spans="1:12">
      <c r="A1203" s="20" t="s">
        <v>75</v>
      </c>
      <c r="E1203" s="21">
        <f>IF(D1203="?OLD","!!!","")</f>
        <v/>
      </c>
      <c r="F1203" s="22" t="str">
        <f>IF(OR(E1203="",E1203="!!!"),"",IF(NOT(ISNA(VLOOKUP(E1203,E$1:E1202,1,FALSE()))),"OLD",IF(AND(E1203&lt;&gt;"",E1203&lt;&gt;"!!!"),"NEW","")))</f>
        <v> </v>
      </c>
      <c r="G1203" s="23" t="str">
        <f>IF(OR(E1203="",E1203="!!!"),"",IF(OR(J1203=0,AND(J1203=1,K1203=1),AND(J1203=1,I1203="SBJ"),AND(J1203=1,I1203=0)),"?IN_FOCUS",IF(J1203&lt;=2,"?ACTIVATED",IF(J1203&lt;&gt;"","?FAMILIAR",IF(F1203="NEW",IF(ISNA(VLOOKUP(E1203,#REF!,1,FALSE())),"?TYPE_IDENTIFIABLE","?REFERENTIAL"),"_")))))</f>
        <v> </v>
      </c>
      <c r="H1203" s="24" t="str">
        <f>IF(J1203&lt;&gt;1,"",IF(I1203="SBJ","CB","?"))</f>
        <v> </v>
      </c>
      <c r="I1203" s="25" t="str">
        <f>IF(OR(E1203="",E1203="!!!",F1203="NEW"),"",INDEX(B1202:B$2,-1+SUMPRODUCT(MAX(ROW(E1202:E$2)*(E1203=E1202:E$2)))))</f>
        <v> </v>
      </c>
      <c r="J1203" s="25" t="str">
        <f>IF(OR(E1203="",E1203="!!!",F1203="NEW"),"",COUNTBLANK(OFFSET(A$1,,,SUMPRODUCT(MAX(ROW(E$2:E1203)*(E1203=E$2:E1203)))))-COUNTBLANK(OFFSET(A$1,,,SUMPRODUCT(MAX(ROW(E$1:E1202)*(E2=E$1:E1202))))))</f>
        <v> </v>
      </c>
      <c r="K1203" s="25" t="str">
        <f>IF(OR(E1203="",E1203="!!!",F1203="NEW"),"",INDEX(J$1:J1202,SUMPRODUCT(MAX(ROW(E$1:E1202)*(E1203=E$1:E1202)))))</f>
        <v> </v>
      </c>
      <c r="L1203" s="26"/>
    </row>
    <row r="1204" spans="1:12">
      <c r="A1204" s="20" t="s">
        <v>410</v>
      </c>
      <c r="E1204" s="21">
        <f>IF(D1204="?OLD","!!!","")</f>
        <v/>
      </c>
      <c r="F1204" s="22" t="str">
        <f>IF(OR(E1204="",E1204="!!!"),"",IF(NOT(ISNA(VLOOKUP(E1204,E$1:E1203,1,FALSE()))),"OLD",IF(AND(E1204&lt;&gt;"",E1204&lt;&gt;"!!!"),"NEW","")))</f>
        <v> </v>
      </c>
      <c r="G1204" s="23" t="str">
        <f>IF(OR(E1204="",E1204="!!!"),"",IF(OR(J1204=0,AND(J1204=1,K1204=1),AND(J1204=1,I1204="SBJ"),AND(J1204=1,I1204=0)),"?IN_FOCUS",IF(J1204&lt;=2,"?ACTIVATED",IF(J1204&lt;&gt;"","?FAMILIAR",IF(F1204="NEW",IF(ISNA(VLOOKUP(E1204,#REF!,1,FALSE())),"?TYPE_IDENTIFIABLE","?REFERENTIAL"),"_")))))</f>
        <v> </v>
      </c>
      <c r="H1204" s="24" t="str">
        <f>IF(J1204&lt;&gt;1,"",IF(I1204="SBJ","CB","?"))</f>
        <v> </v>
      </c>
      <c r="I1204" s="25" t="str">
        <f>IF(OR(E1204="",E1204="!!!",F1204="NEW"),"",INDEX(B1203:B$2,-1+SUMPRODUCT(MAX(ROW(E1203:E$2)*(E1204=E1203:E$2)))))</f>
        <v> </v>
      </c>
      <c r="J1204" s="25" t="str">
        <f>IF(OR(E1204="",E1204="!!!",F1204="NEW"),"",COUNTBLANK(OFFSET(A$1,,,SUMPRODUCT(MAX(ROW(E$2:E1204)*(E1204=E$2:E1204)))))-COUNTBLANK(OFFSET(A$1,,,SUMPRODUCT(MAX(ROW(E$1:E1203)*(E2=E$1:E1203))))))</f>
        <v> </v>
      </c>
      <c r="K1204" s="25" t="str">
        <f>IF(OR(E1204="",E1204="!!!",F1204="NEW"),"",INDEX(J$1:J1203,SUMPRODUCT(MAX(ROW(E$1:E1203)*(E1204=E$1:E1203)))))</f>
        <v> </v>
      </c>
      <c r="L1204" s="26"/>
    </row>
    <row r="1205" spans="1:12">
      <c r="A1205" s="20" t="s">
        <v>274</v>
      </c>
      <c r="E1205" s="21">
        <f>IF(D1205="?OLD","!!!","")</f>
        <v/>
      </c>
      <c r="F1205" s="22" t="str">
        <f>IF(OR(E1205="",E1205="!!!"),"",IF(NOT(ISNA(VLOOKUP(E1205,E$1:E1204,1,FALSE()))),"OLD",IF(AND(E1205&lt;&gt;"",E1205&lt;&gt;"!!!"),"NEW","")))</f>
        <v> </v>
      </c>
      <c r="G1205" s="23" t="str">
        <f>IF(OR(E1205="",E1205="!!!"),"",IF(OR(J1205=0,AND(J1205=1,K1205=1),AND(J1205=1,I1205="SBJ"),AND(J1205=1,I1205=0)),"?IN_FOCUS",IF(J1205&lt;=2,"?ACTIVATED",IF(J1205&lt;&gt;"","?FAMILIAR",IF(F1205="NEW",IF(ISNA(VLOOKUP(E1205,#REF!,1,FALSE())),"?TYPE_IDENTIFIABLE","?REFERENTIAL"),"_")))))</f>
        <v> </v>
      </c>
      <c r="H1205" s="24" t="str">
        <f>IF(J1205&lt;&gt;1,"",IF(I1205="SBJ","CB","?"))</f>
        <v> </v>
      </c>
      <c r="I1205" s="25" t="str">
        <f>IF(OR(E1205="",E1205="!!!",F1205="NEW"),"",INDEX(B1204:B$2,-1+SUMPRODUCT(MAX(ROW(E1204:E$2)*(E1205=E1204:E$2)))))</f>
        <v> </v>
      </c>
      <c r="J1205" s="25" t="str">
        <f>IF(OR(E1205="",E1205="!!!",F1205="NEW"),"",COUNTBLANK(OFFSET(A$1,,,SUMPRODUCT(MAX(ROW(E$2:E1205)*(E1205=E$2:E1205)))))-COUNTBLANK(OFFSET(A$1,,,SUMPRODUCT(MAX(ROW(E$1:E1204)*(E2=E$1:E1204))))))</f>
        <v> </v>
      </c>
      <c r="K1205" s="25" t="str">
        <f>IF(OR(E1205="",E1205="!!!",F1205="NEW"),"",INDEX(J$1:J1204,SUMPRODUCT(MAX(ROW(E$1:E1204)*(E1205=E$1:E1204)))))</f>
        <v> </v>
      </c>
      <c r="L1205" s="26"/>
    </row>
    <row r="1206" spans="1:12">
      <c r="A1206" s="20" t="s">
        <v>443</v>
      </c>
      <c r="E1206" s="21">
        <f>IF(D1206="?OLD","!!!","")</f>
        <v/>
      </c>
      <c r="F1206" s="22" t="str">
        <f>IF(OR(E1206="",E1206="!!!"),"",IF(NOT(ISNA(VLOOKUP(E1206,E$1:E1205,1,FALSE()))),"OLD",IF(AND(E1206&lt;&gt;"",E1206&lt;&gt;"!!!"),"NEW","")))</f>
        <v> </v>
      </c>
      <c r="G1206" s="23" t="str">
        <f>IF(OR(E1206="",E1206="!!!"),"",IF(OR(J1206=0,AND(J1206=1,K1206=1),AND(J1206=1,I1206="SBJ"),AND(J1206=1,I1206=0)),"?IN_FOCUS",IF(J1206&lt;=2,"?ACTIVATED",IF(J1206&lt;&gt;"","?FAMILIAR",IF(F1206="NEW",IF(ISNA(VLOOKUP(E1206,#REF!,1,FALSE())),"?TYPE_IDENTIFIABLE","?REFERENTIAL"),"_")))))</f>
        <v> </v>
      </c>
      <c r="H1206" s="24" t="str">
        <f>IF(J1206&lt;&gt;1,"",IF(I1206="SBJ","CB","?"))</f>
        <v> </v>
      </c>
      <c r="I1206" s="25" t="str">
        <f>IF(OR(E1206="",E1206="!!!",F1206="NEW"),"",INDEX(B1205:B$2,-1+SUMPRODUCT(MAX(ROW(E1205:E$2)*(E1206=E1205:E$2)))))</f>
        <v> </v>
      </c>
      <c r="J1206" s="25" t="str">
        <f>IF(OR(E1206="",E1206="!!!",F1206="NEW"),"",COUNTBLANK(OFFSET(A$1,,,SUMPRODUCT(MAX(ROW(E$2:E1206)*(E1206=E$2:E1206)))))-COUNTBLANK(OFFSET(A$1,,,SUMPRODUCT(MAX(ROW(E$1:E1205)*(E2=E$1:E1205))))))</f>
        <v> </v>
      </c>
      <c r="K1206" s="25" t="str">
        <f>IF(OR(E1206="",E1206="!!!",F1206="NEW"),"",INDEX(J$1:J1205,SUMPRODUCT(MAX(ROW(E$1:E1205)*(E1206=E$1:E1205)))))</f>
        <v> </v>
      </c>
      <c r="L1206" s="26"/>
    </row>
    <row r="1207" spans="1:12">
      <c r="A1207" s="20" t="s">
        <v>526</v>
      </c>
      <c r="B1207" s="27" t="s">
        <v>333</v>
      </c>
      <c r="C1207" s="27" t="s">
        <v>277</v>
      </c>
      <c r="D1207" s="27" t="s">
        <v>258</v>
      </c>
      <c r="E1207" s="21">
        <f>IF(D1207="?OLD","!!!","")</f>
        <v/>
      </c>
      <c r="F1207" s="22" t="str">
        <f>IF(OR(E1207="",E1207="!!!"),"",IF(NOT(ISNA(VLOOKUP(E1207,E$1:E1206,1,FALSE()))),"OLD",IF(AND(E1207&lt;&gt;"",E1207&lt;&gt;"!!!"),"NEW","")))</f>
        <v> </v>
      </c>
      <c r="G1207" s="23" t="str">
        <f>IF(OR(E1207="",E1207="!!!"),"",IF(OR(J1207=0,AND(J1207=1,K1207=1),AND(J1207=1,I1207="SBJ"),AND(J1207=1,I1207=0)),"?IN_FOCUS",IF(J1207&lt;=2,"?ACTIVATED",IF(J1207&lt;&gt;"","?FAMILIAR",IF(F1207="NEW",IF(ISNA(VLOOKUP(E1207,#REF!,1,FALSE())),"?TYPE_IDENTIFIABLE","?REFERENTIAL"),"_")))))</f>
        <v> </v>
      </c>
      <c r="H1207" s="24" t="str">
        <f>IF(J1207&lt;&gt;1,"",IF(I1207="SBJ","CB","?"))</f>
        <v> </v>
      </c>
      <c r="I1207" s="25" t="str">
        <f>IF(OR(E1207="",E1207="!!!",F1207="NEW"),"",INDEX(B1206:B$2,-1+SUMPRODUCT(MAX(ROW(E1206:E$2)*(E1207=E1206:E$2)))))</f>
        <v> </v>
      </c>
      <c r="J1207" s="25" t="str">
        <f>IF(OR(E1207="",E1207="!!!",F1207="NEW"),"",COUNTBLANK(OFFSET(A$1,,,SUMPRODUCT(MAX(ROW(E$2:E1207)*(E1207=E$2:E1207)))))-COUNTBLANK(OFFSET(A$1,,,SUMPRODUCT(MAX(ROW(E$1:E1206)*(E2=E$1:E1206))))))</f>
        <v> </v>
      </c>
      <c r="K1207" s="25" t="str">
        <f>IF(OR(E1207="",E1207="!!!",F1207="NEW"),"",INDEX(J$1:J1206,SUMPRODUCT(MAX(ROW(E$1:E1206)*(E1207=E$1:E1206)))))</f>
        <v> </v>
      </c>
      <c r="L1207" s="26"/>
    </row>
    <row r="1208" spans="1:12">
      <c r="A1208" s="20" t="s">
        <v>293</v>
      </c>
      <c r="E1208" s="21">
        <f>IF(D1208="?OLD","!!!","")</f>
        <v/>
      </c>
      <c r="F1208" s="22" t="str">
        <f>IF(OR(E1208="",E1208="!!!"),"",IF(NOT(ISNA(VLOOKUP(E1208,E$1:E1207,1,FALSE()))),"OLD",IF(AND(E1208&lt;&gt;"",E1208&lt;&gt;"!!!"),"NEW","")))</f>
        <v> </v>
      </c>
      <c r="G1208" s="23" t="str">
        <f>IF(OR(E1208="",E1208="!!!"),"",IF(OR(J1208=0,AND(J1208=1,K1208=1),AND(J1208=1,I1208="SBJ"),AND(J1208=1,I1208=0)),"?IN_FOCUS",IF(J1208&lt;=2,"?ACTIVATED",IF(J1208&lt;&gt;"","?FAMILIAR",IF(F1208="NEW",IF(ISNA(VLOOKUP(E1208,#REF!,1,FALSE())),"?TYPE_IDENTIFIABLE","?REFERENTIAL"),"_")))))</f>
        <v> </v>
      </c>
      <c r="H1208" s="24" t="str">
        <f>IF(J1208&lt;&gt;1,"",IF(I1208="SBJ","CB","?"))</f>
        <v> </v>
      </c>
      <c r="I1208" s="25" t="str">
        <f>IF(OR(E1208="",E1208="!!!",F1208="NEW"),"",INDEX(B1207:B$2,-1+SUMPRODUCT(MAX(ROW(E1207:E$2)*(E1208=E1207:E$2)))))</f>
        <v> </v>
      </c>
      <c r="J1208" s="25" t="str">
        <f>IF(OR(E1208="",E1208="!!!",F1208="NEW"),"",COUNTBLANK(OFFSET(A$1,,,SUMPRODUCT(MAX(ROW(E$2:E1208)*(E1208=E$2:E1208)))))-COUNTBLANK(OFFSET(A$1,,,SUMPRODUCT(MAX(ROW(E$1:E1207)*(E2=E$1:E1207))))))</f>
        <v> </v>
      </c>
      <c r="K1208" s="25" t="str">
        <f>IF(OR(E1208="",E1208="!!!",F1208="NEW"),"",INDEX(J$1:J1207,SUMPRODUCT(MAX(ROW(E$1:E1207)*(E1208=E$1:E1207)))))</f>
        <v> </v>
      </c>
      <c r="L1208" s="26"/>
    </row>
    <row r="1209" spans="1:12">
      <c r="A1209" s="20" t="s">
        <v>481</v>
      </c>
      <c r="E1209" s="21">
        <f>IF(D1209="?OLD","!!!","")</f>
        <v/>
      </c>
      <c r="F1209" s="22" t="str">
        <f>IF(OR(E1209="",E1209="!!!"),"",IF(NOT(ISNA(VLOOKUP(E1209,E$1:E1208,1,FALSE()))),"OLD",IF(AND(E1209&lt;&gt;"",E1209&lt;&gt;"!!!"),"NEW","")))</f>
        <v> </v>
      </c>
      <c r="G1209" s="23" t="str">
        <f>IF(OR(E1209="",E1209="!!!"),"",IF(OR(J1209=0,AND(J1209=1,K1209=1),AND(J1209=1,I1209="SBJ"),AND(J1209=1,I1209=0)),"?IN_FOCUS",IF(J1209&lt;=2,"?ACTIVATED",IF(J1209&lt;&gt;"","?FAMILIAR",IF(F1209="NEW",IF(ISNA(VLOOKUP(E1209,#REF!,1,FALSE())),"?TYPE_IDENTIFIABLE","?REFERENTIAL"),"_")))))</f>
        <v> </v>
      </c>
      <c r="H1209" s="24" t="str">
        <f>IF(J1209&lt;&gt;1,"",IF(I1209="SBJ","CB","?"))</f>
        <v> </v>
      </c>
      <c r="I1209" s="25" t="str">
        <f>IF(OR(E1209="",E1209="!!!",F1209="NEW"),"",INDEX(B1208:B$2,-1+SUMPRODUCT(MAX(ROW(E1208:E$2)*(E1209=E1208:E$2)))))</f>
        <v> </v>
      </c>
      <c r="J1209" s="25" t="str">
        <f>IF(OR(E1209="",E1209="!!!",F1209="NEW"),"",COUNTBLANK(OFFSET(A$1,,,SUMPRODUCT(MAX(ROW(E$2:E1209)*(E1209=E$2:E1209)))))-COUNTBLANK(OFFSET(A$1,,,SUMPRODUCT(MAX(ROW(E$1:E1208)*(E2=E$1:E1208))))))</f>
        <v> </v>
      </c>
      <c r="K1209" s="25" t="str">
        <f>IF(OR(E1209="",E1209="!!!",F1209="NEW"),"",INDEX(J$1:J1208,SUMPRODUCT(MAX(ROW(E$1:E1208)*(E1209=E$1:E1208)))))</f>
        <v> </v>
      </c>
      <c r="L1209" s="26"/>
    </row>
    <row r="1210" spans="1:12">
      <c r="A1210" s="20" t="s">
        <v>667</v>
      </c>
      <c r="E1210" s="21">
        <f>IF(D1210="?OLD","!!!","")</f>
        <v/>
      </c>
      <c r="F1210" s="22" t="str">
        <f>IF(OR(E1210="",E1210="!!!"),"",IF(NOT(ISNA(VLOOKUP(E1210,E$1:E1209,1,FALSE()))),"OLD",IF(AND(E1210&lt;&gt;"",E1210&lt;&gt;"!!!"),"NEW","")))</f>
        <v> </v>
      </c>
      <c r="G1210" s="23" t="str">
        <f>IF(OR(E1210="",E1210="!!!"),"",IF(OR(J1210=0,AND(J1210=1,K1210=1),AND(J1210=1,I1210="SBJ"),AND(J1210=1,I1210=0)),"?IN_FOCUS",IF(J1210&lt;=2,"?ACTIVATED",IF(J1210&lt;&gt;"","?FAMILIAR",IF(F1210="NEW",IF(ISNA(VLOOKUP(E1210,#REF!,1,FALSE())),"?TYPE_IDENTIFIABLE","?REFERENTIAL"),"_")))))</f>
        <v> </v>
      </c>
      <c r="H1210" s="24" t="str">
        <f>IF(J1210&lt;&gt;1,"",IF(I1210="SBJ","CB","?"))</f>
        <v> </v>
      </c>
      <c r="I1210" s="25" t="str">
        <f>IF(OR(E1210="",E1210="!!!",F1210="NEW"),"",INDEX(B1209:B$2,-1+SUMPRODUCT(MAX(ROW(E1209:E$2)*(E1210=E1209:E$2)))))</f>
        <v> </v>
      </c>
      <c r="J1210" s="25" t="str">
        <f>IF(OR(E1210="",E1210="!!!",F1210="NEW"),"",COUNTBLANK(OFFSET(A$1,,,SUMPRODUCT(MAX(ROW(E$2:E1210)*(E1210=E$2:E1210)))))-COUNTBLANK(OFFSET(A$1,,,SUMPRODUCT(MAX(ROW(E$1:E1209)*(E2=E$1:E1209))))))</f>
        <v> </v>
      </c>
      <c r="K1210" s="25" t="str">
        <f>IF(OR(E1210="",E1210="!!!",F1210="NEW"),"",INDEX(J$1:J1209,SUMPRODUCT(MAX(ROW(E$1:E1209)*(E1210=E$1:E1209)))))</f>
        <v> </v>
      </c>
      <c r="L1210" s="26"/>
    </row>
    <row r="1211" spans="1:12">
      <c r="A1211" s="20" t="s">
        <v>582</v>
      </c>
      <c r="B1211" s="27" t="s">
        <v>262</v>
      </c>
      <c r="C1211" s="27" t="s">
        <v>257</v>
      </c>
      <c r="D1211" s="27" t="s">
        <v>258</v>
      </c>
      <c r="E1211" s="21">
        <f>IF(D1211="?OLD","!!!","")</f>
        <v/>
      </c>
      <c r="F1211" s="22" t="str">
        <f>IF(OR(E1211="",E1211="!!!"),"",IF(NOT(ISNA(VLOOKUP(E1211,E$1:E1210,1,FALSE()))),"OLD",IF(AND(E1211&lt;&gt;"",E1211&lt;&gt;"!!!"),"NEW","")))</f>
        <v> </v>
      </c>
      <c r="G1211" s="23" t="str">
        <f>IF(OR(E1211="",E1211="!!!"),"",IF(OR(J1211=0,AND(J1211=1,K1211=1),AND(J1211=1,I1211="SBJ"),AND(J1211=1,I1211=0)),"?IN_FOCUS",IF(J1211&lt;=2,"?ACTIVATED",IF(J1211&lt;&gt;"","?FAMILIAR",IF(F1211="NEW",IF(ISNA(VLOOKUP(E1211,#REF!,1,FALSE())),"?TYPE_IDENTIFIABLE","?REFERENTIAL"),"_")))))</f>
        <v> </v>
      </c>
      <c r="H1211" s="24" t="str">
        <f>IF(J1211&lt;&gt;1,"",IF(I1211="SBJ","CB","?"))</f>
        <v> </v>
      </c>
      <c r="I1211" s="25" t="str">
        <f>IF(OR(E1211="",E1211="!!!",F1211="NEW"),"",INDEX(B1210:B$2,-1+SUMPRODUCT(MAX(ROW(E1210:E$2)*(E1211=E1210:E$2)))))</f>
        <v> </v>
      </c>
      <c r="J1211" s="25" t="str">
        <f>IF(OR(E1211="",E1211="!!!",F1211="NEW"),"",COUNTBLANK(OFFSET(A$1,,,SUMPRODUCT(MAX(ROW(E$2:E1211)*(E1211=E$2:E1211)))))-COUNTBLANK(OFFSET(A$1,,,SUMPRODUCT(MAX(ROW(E$1:E1210)*(E2=E$1:E1210))))))</f>
        <v> </v>
      </c>
      <c r="K1211" s="25" t="str">
        <f>IF(OR(E1211="",E1211="!!!",F1211="NEW"),"",INDEX(J$1:J1210,SUMPRODUCT(MAX(ROW(E$1:E1210)*(E1211=E$1:E1210)))))</f>
        <v> </v>
      </c>
      <c r="L1211" s="26"/>
    </row>
    <row r="1212" spans="1:12">
      <c r="A1212" s="20" t="s">
        <v>383</v>
      </c>
      <c r="E1212" s="21">
        <f>IF(D1212="?OLD","!!!","")</f>
        <v/>
      </c>
      <c r="F1212" s="22" t="str">
        <f>IF(OR(E1212="",E1212="!!!"),"",IF(NOT(ISNA(VLOOKUP(E1212,E$1:E1211,1,FALSE()))),"OLD",IF(AND(E1212&lt;&gt;"",E1212&lt;&gt;"!!!"),"NEW","")))</f>
        <v> </v>
      </c>
      <c r="G1212" s="23" t="str">
        <f>IF(OR(E1212="",E1212="!!!"),"",IF(OR(J1212=0,AND(J1212=1,K1212=1),AND(J1212=1,I1212="SBJ"),AND(J1212=1,I1212=0)),"?IN_FOCUS",IF(J1212&lt;=2,"?ACTIVATED",IF(J1212&lt;&gt;"","?FAMILIAR",IF(F1212="NEW",IF(ISNA(VLOOKUP(E1212,#REF!,1,FALSE())),"?TYPE_IDENTIFIABLE","?REFERENTIAL"),"_")))))</f>
        <v> </v>
      </c>
      <c r="H1212" s="24" t="str">
        <f>IF(J1212&lt;&gt;1,"",IF(I1212="SBJ","CB","?"))</f>
        <v> </v>
      </c>
      <c r="I1212" s="25" t="str">
        <f>IF(OR(E1212="",E1212="!!!",F1212="NEW"),"",INDEX(B1211:B$2,-1+SUMPRODUCT(MAX(ROW(E1211:E$2)*(E1212=E1211:E$2)))))</f>
        <v> </v>
      </c>
      <c r="J1212" s="25" t="str">
        <f>IF(OR(E1212="",E1212="!!!",F1212="NEW"),"",COUNTBLANK(OFFSET(A$1,,,SUMPRODUCT(MAX(ROW(E$2:E1212)*(E1212=E$2:E1212)))))-COUNTBLANK(OFFSET(A$1,,,SUMPRODUCT(MAX(ROW(E$1:E1211)*(E2=E$1:E1211))))))</f>
        <v> </v>
      </c>
      <c r="K1212" s="25" t="str">
        <f>IF(OR(E1212="",E1212="!!!",F1212="NEW"),"",INDEX(J$1:J1211,SUMPRODUCT(MAX(ROW(E$1:E1211)*(E1212=E$1:E1211)))))</f>
        <v> </v>
      </c>
      <c r="L1212" s="26"/>
    </row>
    <row r="1213" spans="1:12">
      <c r="A1213" s="20" t="s">
        <v>320</v>
      </c>
      <c r="E1213" s="21">
        <f>IF(D1213="?OLD","!!!","")</f>
        <v/>
      </c>
      <c r="F1213" s="22" t="str">
        <f>IF(OR(E1213="",E1213="!!!"),"",IF(NOT(ISNA(VLOOKUP(E1213,E$1:E1212,1,FALSE()))),"OLD",IF(AND(E1213&lt;&gt;"",E1213&lt;&gt;"!!!"),"NEW","")))</f>
        <v> </v>
      </c>
      <c r="G1213" s="23" t="str">
        <f>IF(OR(E1213="",E1213="!!!"),"",IF(OR(J1213=0,AND(J1213=1,K1213=1),AND(J1213=1,I1213="SBJ"),AND(J1213=1,I1213=0)),"?IN_FOCUS",IF(J1213&lt;=2,"?ACTIVATED",IF(J1213&lt;&gt;"","?FAMILIAR",IF(F1213="NEW",IF(ISNA(VLOOKUP(E1213,#REF!,1,FALSE())),"?TYPE_IDENTIFIABLE","?REFERENTIAL"),"_")))))</f>
        <v> </v>
      </c>
      <c r="H1213" s="24" t="str">
        <f>IF(J1213&lt;&gt;1,"",IF(I1213="SBJ","CB","?"))</f>
        <v> </v>
      </c>
      <c r="I1213" s="25" t="str">
        <f>IF(OR(E1213="",E1213="!!!",F1213="NEW"),"",INDEX(B1212:B$2,-1+SUMPRODUCT(MAX(ROW(E1212:E$2)*(E1213=E1212:E$2)))))</f>
        <v> </v>
      </c>
      <c r="J1213" s="25" t="str">
        <f>IF(OR(E1213="",E1213="!!!",F1213="NEW"),"",COUNTBLANK(OFFSET(A$1,,,SUMPRODUCT(MAX(ROW(E$2:E1213)*(E1213=E$2:E1213)))))-COUNTBLANK(OFFSET(A$1,,,SUMPRODUCT(MAX(ROW(E$1:E1212)*(E2=E$1:E1212))))))</f>
        <v> </v>
      </c>
      <c r="K1213" s="25" t="str">
        <f>IF(OR(E1213="",E1213="!!!",F1213="NEW"),"",INDEX(J$1:J1212,SUMPRODUCT(MAX(ROW(E$1:E1212)*(E1213=E$1:E1212)))))</f>
        <v> </v>
      </c>
      <c r="L1213" s="26"/>
    </row>
    <row r="1214" spans="1:12">
      <c r="A1214" s="20"/>
    </row>
    <row r="1215" spans="1:12">
      <c r="A1215" s="20" t="s">
        <v>668</v>
      </c>
    </row>
    <row r="1216" spans="1:12">
      <c r="A1216" s="20" t="s">
        <v>348</v>
      </c>
      <c r="B1216" s="27" t="s">
        <v>276</v>
      </c>
      <c r="C1216" s="27" t="s">
        <v>257</v>
      </c>
      <c r="D1216" s="27" t="s">
        <v>258</v>
      </c>
      <c r="E1216" s="21">
        <f>IF(D1216="?OLD","!!!","")</f>
        <v/>
      </c>
      <c r="F1216" s="22" t="str">
        <f>IF(OR(E1216="",E1216="!!!"),"",IF(NOT(ISNA(VLOOKUP(E1216,E$1:E1215,1,FALSE()))),"OLD",IF(AND(E1216&lt;&gt;"",E1216&lt;&gt;"!!!"),"NEW","")))</f>
        <v> </v>
      </c>
      <c r="G1216" s="23" t="str">
        <f>IF(OR(E1216="",E1216="!!!"),"",IF(OR(J1216=0,AND(J1216=1,K1216=1),AND(J1216=1,I1216="SBJ"),AND(J1216=1,I1216=0)),"?IN_FOCUS",IF(J1216&lt;=2,"?ACTIVATED",IF(J1216&lt;&gt;"","?FAMILIAR",IF(F1216="NEW",IF(ISNA(VLOOKUP(E1216,#REF!,1,FALSE())),"?TYPE_IDENTIFIABLE","?REFERENTIAL"),"_")))))</f>
        <v> </v>
      </c>
      <c r="H1216" s="24" t="str">
        <f>IF(J1216&lt;&gt;1,"",IF(I1216="SBJ","CB","?"))</f>
        <v> </v>
      </c>
      <c r="I1216" s="25" t="str">
        <f>IF(OR(E1216="",E1216="!!!",F1216="NEW"),"",INDEX(B1215:B$2,-1+SUMPRODUCT(MAX(ROW(E1215:E$2)*(E1216=E1215:E$2)))))</f>
        <v> </v>
      </c>
      <c r="J1216" s="25" t="str">
        <f>IF(OR(E1216="",E1216="!!!",F1216="NEW"),"",COUNTBLANK(OFFSET(A$1,,,SUMPRODUCT(MAX(ROW(E$2:E1216)*(E1216=E$2:E1216)))))-COUNTBLANK(OFFSET(A$1,,,SUMPRODUCT(MAX(ROW(E$1:E1215)*(E2=E$1:E1215))))))</f>
        <v> </v>
      </c>
      <c r="K1216" s="25" t="str">
        <f>IF(OR(E1216="",E1216="!!!",F1216="NEW"),"",INDEX(J$1:J1215,SUMPRODUCT(MAX(ROW(E$1:E1215)*(E1216=E$1:E1215)))))</f>
        <v> </v>
      </c>
      <c r="L1216" s="26"/>
    </row>
    <row r="1217" spans="1:12">
      <c r="A1217" s="20" t="s">
        <v>235</v>
      </c>
      <c r="E1217" s="21">
        <f>IF(D1217="?OLD","!!!","")</f>
        <v/>
      </c>
      <c r="F1217" s="22" t="str">
        <f>IF(OR(E1217="",E1217="!!!"),"",IF(NOT(ISNA(VLOOKUP(E1217,E$1:E1216,1,FALSE()))),"OLD",IF(AND(E1217&lt;&gt;"",E1217&lt;&gt;"!!!"),"NEW","")))</f>
        <v> </v>
      </c>
      <c r="G1217" s="23" t="str">
        <f>IF(OR(E1217="",E1217="!!!"),"",IF(OR(J1217=0,AND(J1217=1,K1217=1),AND(J1217=1,I1217="SBJ"),AND(J1217=1,I1217=0)),"?IN_FOCUS",IF(J1217&lt;=2,"?ACTIVATED",IF(J1217&lt;&gt;"","?FAMILIAR",IF(F1217="NEW",IF(ISNA(VLOOKUP(E1217,#REF!,1,FALSE())),"?TYPE_IDENTIFIABLE","?REFERENTIAL"),"_")))))</f>
        <v> </v>
      </c>
      <c r="H1217" s="24" t="str">
        <f>IF(J1217&lt;&gt;1,"",IF(I1217="SBJ","CB","?"))</f>
        <v> </v>
      </c>
      <c r="I1217" s="25" t="str">
        <f>IF(OR(E1217="",E1217="!!!",F1217="NEW"),"",INDEX(B1216:B$2,-1+SUMPRODUCT(MAX(ROW(E1216:E$2)*(E1217=E1216:E$2)))))</f>
        <v> </v>
      </c>
      <c r="J1217" s="25" t="str">
        <f>IF(OR(E1217="",E1217="!!!",F1217="NEW"),"",COUNTBLANK(OFFSET(A$1,,,SUMPRODUCT(MAX(ROW(E$2:E1217)*(E1217=E$2:E1217)))))-COUNTBLANK(OFFSET(A$1,,,SUMPRODUCT(MAX(ROW(E$1:E1216)*(E2=E$1:E1216))))))</f>
        <v> </v>
      </c>
      <c r="K1217" s="25" t="str">
        <f>IF(OR(E1217="",E1217="!!!",F1217="NEW"),"",INDEX(J$1:J1216,SUMPRODUCT(MAX(ROW(E$1:E1216)*(E1217=E$1:E1216)))))</f>
        <v> </v>
      </c>
      <c r="L1217" s="26"/>
    </row>
    <row r="1218" spans="1:12">
      <c r="A1218" s="20" t="s">
        <v>264</v>
      </c>
      <c r="E1218" s="21">
        <f>IF(D1218="?OLD","!!!","")</f>
        <v/>
      </c>
      <c r="F1218" s="22" t="str">
        <f>IF(OR(E1218="",E1218="!!!"),"",IF(NOT(ISNA(VLOOKUP(E1218,E$1:E1217,1,FALSE()))),"OLD",IF(AND(E1218&lt;&gt;"",E1218&lt;&gt;"!!!"),"NEW","")))</f>
        <v> </v>
      </c>
      <c r="G1218" s="23" t="str">
        <f>IF(OR(E1218="",E1218="!!!"),"",IF(OR(J1218=0,AND(J1218=1,K1218=1),AND(J1218=1,I1218="SBJ"),AND(J1218=1,I1218=0)),"?IN_FOCUS",IF(J1218&lt;=2,"?ACTIVATED",IF(J1218&lt;&gt;"","?FAMILIAR",IF(F1218="NEW",IF(ISNA(VLOOKUP(E1218,#REF!,1,FALSE())),"?TYPE_IDENTIFIABLE","?REFERENTIAL"),"_")))))</f>
        <v> </v>
      </c>
      <c r="H1218" s="24" t="str">
        <f>IF(J1218&lt;&gt;1,"",IF(I1218="SBJ","CB","?"))</f>
        <v> </v>
      </c>
      <c r="I1218" s="25" t="str">
        <f>IF(OR(E1218="",E1218="!!!",F1218="NEW"),"",INDEX(B1217:B$2,-1+SUMPRODUCT(MAX(ROW(E1217:E$2)*(E1218=E1217:E$2)))))</f>
        <v> </v>
      </c>
      <c r="J1218" s="25" t="str">
        <f>IF(OR(E1218="",E1218="!!!",F1218="NEW"),"",COUNTBLANK(OFFSET(A$1,,,SUMPRODUCT(MAX(ROW(E$2:E1218)*(E1218=E$2:E1218)))))-COUNTBLANK(OFFSET(A$1,,,SUMPRODUCT(MAX(ROW(E$1:E1217)*(E2=E$1:E1217))))))</f>
        <v> </v>
      </c>
      <c r="K1218" s="25" t="str">
        <f>IF(OR(E1218="",E1218="!!!",F1218="NEW"),"",INDEX(J$1:J1217,SUMPRODUCT(MAX(ROW(E$1:E1217)*(E1218=E$1:E1217)))))</f>
        <v> </v>
      </c>
      <c r="L1218" s="26"/>
    </row>
    <row r="1219" spans="1:12">
      <c r="A1219" s="20" t="s">
        <v>669</v>
      </c>
      <c r="B1219" s="27" t="s">
        <v>333</v>
      </c>
      <c r="C1219" s="27" t="s">
        <v>268</v>
      </c>
      <c r="E1219" s="21">
        <f>IF(D1219="?OLD","!!!","")</f>
        <v/>
      </c>
      <c r="F1219" s="22" t="str">
        <f>IF(OR(E1219="",E1219="!!!"),"",IF(NOT(ISNA(VLOOKUP(E1219,E$1:E1218,1,FALSE()))),"OLD",IF(AND(E1219&lt;&gt;"",E1219&lt;&gt;"!!!"),"NEW","")))</f>
        <v> </v>
      </c>
      <c r="G1219" s="23" t="str">
        <f>IF(OR(E1219="",E1219="!!!"),"",IF(OR(J1219=0,AND(J1219=1,K1219=1),AND(J1219=1,I1219="SBJ"),AND(J1219=1,I1219=0)),"?IN_FOCUS",IF(J1219&lt;=2,"?ACTIVATED",IF(J1219&lt;&gt;"","?FAMILIAR",IF(F1219="NEW",IF(ISNA(VLOOKUP(E1219,#REF!,1,FALSE())),"?TYPE_IDENTIFIABLE","?REFERENTIAL"),"_")))))</f>
        <v> </v>
      </c>
      <c r="H1219" s="24" t="str">
        <f>IF(J1219&lt;&gt;1,"",IF(I1219="SBJ","CB","?"))</f>
        <v> </v>
      </c>
      <c r="I1219" s="25" t="str">
        <f>IF(OR(E1219="",E1219="!!!",F1219="NEW"),"",INDEX(B1218:B$2,-1+SUMPRODUCT(MAX(ROW(E1218:E$2)*(E1219=E1218:E$2)))))</f>
        <v> </v>
      </c>
      <c r="J1219" s="25" t="str">
        <f>IF(OR(E1219="",E1219="!!!",F1219="NEW"),"",COUNTBLANK(OFFSET(A$1,,,SUMPRODUCT(MAX(ROW(E$2:E1219)*(E1219=E$2:E1219)))))-COUNTBLANK(OFFSET(A$1,,,SUMPRODUCT(MAX(ROW(E$1:E1218)*(E2=E$1:E1218))))))</f>
        <v> </v>
      </c>
      <c r="K1219" s="25" t="str">
        <f>IF(OR(E1219="",E1219="!!!",F1219="NEW"),"",INDEX(J$1:J1218,SUMPRODUCT(MAX(ROW(E$1:E1218)*(E1219=E$1:E1218)))))</f>
        <v> </v>
      </c>
      <c r="L1219" s="26"/>
    </row>
    <row r="1220" spans="1:12">
      <c r="A1220" s="20" t="s">
        <v>670</v>
      </c>
      <c r="E1220" s="21">
        <f>IF(D1220="?OLD","!!!","")</f>
        <v/>
      </c>
      <c r="F1220" s="22" t="str">
        <f>IF(OR(E1220="",E1220="!!!"),"",IF(NOT(ISNA(VLOOKUP(E1220,E$1:E1219,1,FALSE()))),"OLD",IF(AND(E1220&lt;&gt;"",E1220&lt;&gt;"!!!"),"NEW","")))</f>
        <v> </v>
      </c>
      <c r="G1220" s="23" t="str">
        <f>IF(OR(E1220="",E1220="!!!"),"",IF(OR(J1220=0,AND(J1220=1,K1220=1),AND(J1220=1,I1220="SBJ"),AND(J1220=1,I1220=0)),"?IN_FOCUS",IF(J1220&lt;=2,"?ACTIVATED",IF(J1220&lt;&gt;"","?FAMILIAR",IF(F1220="NEW",IF(ISNA(VLOOKUP(E1220,#REF!,1,FALSE())),"?TYPE_IDENTIFIABLE","?REFERENTIAL"),"_")))))</f>
        <v> </v>
      </c>
      <c r="H1220" s="24" t="str">
        <f>IF(J1220&lt;&gt;1,"",IF(I1220="SBJ","CB","?"))</f>
        <v> </v>
      </c>
      <c r="I1220" s="25" t="str">
        <f>IF(OR(E1220="",E1220="!!!",F1220="NEW"),"",INDEX(B1219:B$2,-1+SUMPRODUCT(MAX(ROW(E1219:E$2)*(E1220=E1219:E$2)))))</f>
        <v> </v>
      </c>
      <c r="J1220" s="25" t="str">
        <f>IF(OR(E1220="",E1220="!!!",F1220="NEW"),"",COUNTBLANK(OFFSET(A$1,,,SUMPRODUCT(MAX(ROW(E$2:E1220)*(E1220=E$2:E1220)))))-COUNTBLANK(OFFSET(A$1,,,SUMPRODUCT(MAX(ROW(E$1:E1219)*(E2=E$1:E1219))))))</f>
        <v> </v>
      </c>
      <c r="K1220" s="25" t="str">
        <f>IF(OR(E1220="",E1220="!!!",F1220="NEW"),"",INDEX(J$1:J1219,SUMPRODUCT(MAX(ROW(E$1:E1219)*(E1220=E$1:E1219)))))</f>
        <v> </v>
      </c>
      <c r="L1220" s="26"/>
    </row>
    <row r="1221" spans="1:12">
      <c r="A1221" s="20" t="s">
        <v>671</v>
      </c>
      <c r="E1221" s="21">
        <f>IF(D1221="?OLD","!!!","")</f>
        <v/>
      </c>
      <c r="F1221" s="22" t="str">
        <f>IF(OR(E1221="",E1221="!!!"),"",IF(NOT(ISNA(VLOOKUP(E1221,E$1:E1220,1,FALSE()))),"OLD",IF(AND(E1221&lt;&gt;"",E1221&lt;&gt;"!!!"),"NEW","")))</f>
        <v> </v>
      </c>
      <c r="G1221" s="23" t="str">
        <f>IF(OR(E1221="",E1221="!!!"),"",IF(OR(J1221=0,AND(J1221=1,K1221=1),AND(J1221=1,I1221="SBJ"),AND(J1221=1,I1221=0)),"?IN_FOCUS",IF(J1221&lt;=2,"?ACTIVATED",IF(J1221&lt;&gt;"","?FAMILIAR",IF(F1221="NEW",IF(ISNA(VLOOKUP(E1221,#REF!,1,FALSE())),"?TYPE_IDENTIFIABLE","?REFERENTIAL"),"_")))))</f>
        <v> </v>
      </c>
      <c r="H1221" s="24" t="str">
        <f>IF(J1221&lt;&gt;1,"",IF(I1221="SBJ","CB","?"))</f>
        <v> </v>
      </c>
      <c r="I1221" s="25" t="str">
        <f>IF(OR(E1221="",E1221="!!!",F1221="NEW"),"",INDEX(B1220:B$2,-1+SUMPRODUCT(MAX(ROW(E1220:E$2)*(E1221=E1220:E$2)))))</f>
        <v> </v>
      </c>
      <c r="J1221" s="25" t="str">
        <f>IF(OR(E1221="",E1221="!!!",F1221="NEW"),"",COUNTBLANK(OFFSET(A$1,,,SUMPRODUCT(MAX(ROW(E$2:E1221)*(E1221=E$2:E1221)))))-COUNTBLANK(OFFSET(A$1,,,SUMPRODUCT(MAX(ROW(E$1:E1220)*(E2=E$1:E1220))))))</f>
        <v> </v>
      </c>
      <c r="K1221" s="25" t="str">
        <f>IF(OR(E1221="",E1221="!!!",F1221="NEW"),"",INDEX(J$1:J1220,SUMPRODUCT(MAX(ROW(E$1:E1220)*(E1221=E$1:E1220)))))</f>
        <v> </v>
      </c>
      <c r="L1221" s="26"/>
    </row>
    <row r="1222" spans="1:12">
      <c r="A1222" s="20" t="s">
        <v>672</v>
      </c>
      <c r="B1222" s="27" t="s">
        <v>333</v>
      </c>
      <c r="C1222" s="27" t="s">
        <v>270</v>
      </c>
      <c r="E1222" s="21">
        <f>IF(D1222="?OLD","!!!","")</f>
        <v/>
      </c>
      <c r="F1222" s="22" t="str">
        <f>IF(OR(E1222="",E1222="!!!"),"",IF(NOT(ISNA(VLOOKUP(E1222,E$1:E1221,1,FALSE()))),"OLD",IF(AND(E1222&lt;&gt;"",E1222&lt;&gt;"!!!"),"NEW","")))</f>
        <v> </v>
      </c>
      <c r="G1222" s="23" t="str">
        <f>IF(OR(E1222="",E1222="!!!"),"",IF(OR(J1222=0,AND(J1222=1,K1222=1),AND(J1222=1,I1222="SBJ"),AND(J1222=1,I1222=0)),"?IN_FOCUS",IF(J1222&lt;=2,"?ACTIVATED",IF(J1222&lt;&gt;"","?FAMILIAR",IF(F1222="NEW",IF(ISNA(VLOOKUP(E1222,#REF!,1,FALSE())),"?TYPE_IDENTIFIABLE","?REFERENTIAL"),"_")))))</f>
        <v> </v>
      </c>
      <c r="H1222" s="24" t="str">
        <f>IF(J1222&lt;&gt;1,"",IF(I1222="SBJ","CB","?"))</f>
        <v> </v>
      </c>
      <c r="I1222" s="25" t="str">
        <f>IF(OR(E1222="",E1222="!!!",F1222="NEW"),"",INDEX(B1221:B$2,-1+SUMPRODUCT(MAX(ROW(E1221:E$2)*(E1222=E1221:E$2)))))</f>
        <v> </v>
      </c>
      <c r="J1222" s="25" t="str">
        <f>IF(OR(E1222="",E1222="!!!",F1222="NEW"),"",COUNTBLANK(OFFSET(A$1,,,SUMPRODUCT(MAX(ROW(E$2:E1222)*(E1222=E$2:E1222)))))-COUNTBLANK(OFFSET(A$1,,,SUMPRODUCT(MAX(ROW(E$1:E1221)*(E2=E$1:E1221))))))</f>
        <v> </v>
      </c>
      <c r="K1222" s="25" t="str">
        <f>IF(OR(E1222="",E1222="!!!",F1222="NEW"),"",INDEX(J$1:J1221,SUMPRODUCT(MAX(ROW(E$1:E1221)*(E1222=E$1:E1221)))))</f>
        <v> </v>
      </c>
      <c r="L1222" s="26"/>
    </row>
    <row r="1223" spans="1:12">
      <c r="A1223" s="20" t="s">
        <v>271</v>
      </c>
      <c r="E1223" s="21">
        <f>IF(D1223="?OLD","!!!","")</f>
        <v/>
      </c>
      <c r="F1223" s="22" t="str">
        <f>IF(OR(E1223="",E1223="!!!"),"",IF(NOT(ISNA(VLOOKUP(E1223,E$1:E1222,1,FALSE()))),"OLD",IF(AND(E1223&lt;&gt;"",E1223&lt;&gt;"!!!"),"NEW","")))</f>
        <v> </v>
      </c>
      <c r="G1223" s="23" t="str">
        <f>IF(OR(E1223="",E1223="!!!"),"",IF(OR(J1223=0,AND(J1223=1,K1223=1),AND(J1223=1,I1223="SBJ"),AND(J1223=1,I1223=0)),"?IN_FOCUS",IF(J1223&lt;=2,"?ACTIVATED",IF(J1223&lt;&gt;"","?FAMILIAR",IF(F1223="NEW",IF(ISNA(VLOOKUP(E1223,#REF!,1,FALSE())),"?TYPE_IDENTIFIABLE","?REFERENTIAL"),"_")))))</f>
        <v> </v>
      </c>
      <c r="H1223" s="24" t="str">
        <f>IF(J1223&lt;&gt;1,"",IF(I1223="SBJ","CB","?"))</f>
        <v> </v>
      </c>
      <c r="I1223" s="25" t="str">
        <f>IF(OR(E1223="",E1223="!!!",F1223="NEW"),"",INDEX(B1222:B$2,-1+SUMPRODUCT(MAX(ROW(E1222:E$2)*(E1223=E1222:E$2)))))</f>
        <v> </v>
      </c>
      <c r="J1223" s="25" t="str">
        <f>IF(OR(E1223="",E1223="!!!",F1223="NEW"),"",COUNTBLANK(OFFSET(A$1,,,SUMPRODUCT(MAX(ROW(E$2:E1223)*(E1223=E$2:E1223)))))-COUNTBLANK(OFFSET(A$1,,,SUMPRODUCT(MAX(ROW(E$1:E1222)*(E2=E$1:E1222))))))</f>
        <v> </v>
      </c>
      <c r="K1223" s="25" t="str">
        <f>IF(OR(E1223="",E1223="!!!",F1223="NEW"),"",INDEX(J$1:J1222,SUMPRODUCT(MAX(ROW(E$1:E1222)*(E1223=E$1:E1222)))))</f>
        <v> </v>
      </c>
      <c r="L1223" s="26"/>
    </row>
    <row r="1224" spans="1:12">
      <c r="A1224" s="20" t="s">
        <v>293</v>
      </c>
      <c r="E1224" s="21">
        <f>IF(D1224="?OLD","!!!","")</f>
        <v/>
      </c>
      <c r="F1224" s="22" t="str">
        <f>IF(OR(E1224="",E1224="!!!"),"",IF(NOT(ISNA(VLOOKUP(E1224,E$1:E1223,1,FALSE()))),"OLD",IF(AND(E1224&lt;&gt;"",E1224&lt;&gt;"!!!"),"NEW","")))</f>
        <v> </v>
      </c>
      <c r="G1224" s="23" t="str">
        <f>IF(OR(E1224="",E1224="!!!"),"",IF(OR(J1224=0,AND(J1224=1,K1224=1),AND(J1224=1,I1224="SBJ"),AND(J1224=1,I1224=0)),"?IN_FOCUS",IF(J1224&lt;=2,"?ACTIVATED",IF(J1224&lt;&gt;"","?FAMILIAR",IF(F1224="NEW",IF(ISNA(VLOOKUP(E1224,#REF!,1,FALSE())),"?TYPE_IDENTIFIABLE","?REFERENTIAL"),"_")))))</f>
        <v> </v>
      </c>
      <c r="H1224" s="24" t="str">
        <f>IF(J1224&lt;&gt;1,"",IF(I1224="SBJ","CB","?"))</f>
        <v> </v>
      </c>
      <c r="I1224" s="25" t="str">
        <f>IF(OR(E1224="",E1224="!!!",F1224="NEW"),"",INDEX(B1223:B$2,-1+SUMPRODUCT(MAX(ROW(E1223:E$2)*(E1224=E1223:E$2)))))</f>
        <v> </v>
      </c>
      <c r="J1224" s="25" t="str">
        <f>IF(OR(E1224="",E1224="!!!",F1224="NEW"),"",COUNTBLANK(OFFSET(A$1,,,SUMPRODUCT(MAX(ROW(E$2:E1224)*(E1224=E$2:E1224)))))-COUNTBLANK(OFFSET(A$1,,,SUMPRODUCT(MAX(ROW(E$1:E1223)*(E2=E$1:E1223))))))</f>
        <v> </v>
      </c>
      <c r="K1224" s="25" t="str">
        <f>IF(OR(E1224="",E1224="!!!",F1224="NEW"),"",INDEX(J$1:J1223,SUMPRODUCT(MAX(ROW(E$1:E1223)*(E1224=E$1:E1223)))))</f>
        <v> </v>
      </c>
      <c r="L1224" s="26"/>
    </row>
    <row r="1225" spans="1:12">
      <c r="A1225" s="20" t="s">
        <v>280</v>
      </c>
      <c r="E1225" s="21">
        <f>IF(D1225="?OLD","!!!","")</f>
        <v/>
      </c>
      <c r="F1225" s="22" t="str">
        <f>IF(OR(E1225="",E1225="!!!"),"",IF(NOT(ISNA(VLOOKUP(E1225,E$1:E1224,1,FALSE()))),"OLD",IF(AND(E1225&lt;&gt;"",E1225&lt;&gt;"!!!"),"NEW","")))</f>
        <v> </v>
      </c>
      <c r="G1225" s="23" t="str">
        <f>IF(OR(E1225="",E1225="!!!"),"",IF(OR(J1225=0,AND(J1225=1,K1225=1),AND(J1225=1,I1225="SBJ"),AND(J1225=1,I1225=0)),"?IN_FOCUS",IF(J1225&lt;=2,"?ACTIVATED",IF(J1225&lt;&gt;"","?FAMILIAR",IF(F1225="NEW",IF(ISNA(VLOOKUP(E1225,#REF!,1,FALSE())),"?TYPE_IDENTIFIABLE","?REFERENTIAL"),"_")))))</f>
        <v> </v>
      </c>
      <c r="H1225" s="24" t="str">
        <f>IF(J1225&lt;&gt;1,"",IF(I1225="SBJ","CB","?"))</f>
        <v> </v>
      </c>
      <c r="I1225" s="25" t="str">
        <f>IF(OR(E1225="",E1225="!!!",F1225="NEW"),"",INDEX(B1224:B$2,-1+SUMPRODUCT(MAX(ROW(E1224:E$2)*(E1225=E1224:E$2)))))</f>
        <v> </v>
      </c>
      <c r="J1225" s="25" t="str">
        <f>IF(OR(E1225="",E1225="!!!",F1225="NEW"),"",COUNTBLANK(OFFSET(A$1,,,SUMPRODUCT(MAX(ROW(E$2:E1225)*(E1225=E$2:E1225)))))-COUNTBLANK(OFFSET(A$1,,,SUMPRODUCT(MAX(ROW(E$1:E1224)*(E2=E$1:E1224))))))</f>
        <v> </v>
      </c>
      <c r="K1225" s="25" t="str">
        <f>IF(OR(E1225="",E1225="!!!",F1225="NEW"),"",INDEX(J$1:J1224,SUMPRODUCT(MAX(ROW(E$1:E1224)*(E1225=E$1:E1224)))))</f>
        <v> </v>
      </c>
      <c r="L1225" s="26"/>
    </row>
    <row r="1226" spans="1:12">
      <c r="A1226" s="20" t="s">
        <v>673</v>
      </c>
      <c r="E1226" s="21">
        <f>IF(D1226="?OLD","!!!","")</f>
        <v/>
      </c>
      <c r="F1226" s="22" t="str">
        <f>IF(OR(E1226="",E1226="!!!"),"",IF(NOT(ISNA(VLOOKUP(E1226,E$1:E1225,1,FALSE()))),"OLD",IF(AND(E1226&lt;&gt;"",E1226&lt;&gt;"!!!"),"NEW","")))</f>
        <v> </v>
      </c>
      <c r="G1226" s="23" t="str">
        <f>IF(OR(E1226="",E1226="!!!"),"",IF(OR(J1226=0,AND(J1226=1,K1226=1),AND(J1226=1,I1226="SBJ"),AND(J1226=1,I1226=0)),"?IN_FOCUS",IF(J1226&lt;=2,"?ACTIVATED",IF(J1226&lt;&gt;"","?FAMILIAR",IF(F1226="NEW",IF(ISNA(VLOOKUP(E1226,#REF!,1,FALSE())),"?TYPE_IDENTIFIABLE","?REFERENTIAL"),"_")))))</f>
        <v> </v>
      </c>
      <c r="H1226" s="24" t="str">
        <f>IF(J1226&lt;&gt;1,"",IF(I1226="SBJ","CB","?"))</f>
        <v> </v>
      </c>
      <c r="I1226" s="25" t="str">
        <f>IF(OR(E1226="",E1226="!!!",F1226="NEW"),"",INDEX(B1225:B$2,-1+SUMPRODUCT(MAX(ROW(E1225:E$2)*(E1226=E1225:E$2)))))</f>
        <v> </v>
      </c>
      <c r="J1226" s="25" t="str">
        <f>IF(OR(E1226="",E1226="!!!",F1226="NEW"),"",COUNTBLANK(OFFSET(A$1,,,SUMPRODUCT(MAX(ROW(E$2:E1226)*(E1226=E$2:E1226)))))-COUNTBLANK(OFFSET(A$1,,,SUMPRODUCT(MAX(ROW(E$1:E1225)*(E2=E$1:E1225))))))</f>
        <v> </v>
      </c>
      <c r="K1226" s="25" t="str">
        <f>IF(OR(E1226="",E1226="!!!",F1226="NEW"),"",INDEX(J$1:J1225,SUMPRODUCT(MAX(ROW(E$1:E1225)*(E1226=E$1:E1225)))))</f>
        <v> </v>
      </c>
      <c r="L1226" s="26"/>
    </row>
    <row r="1227" spans="1:12">
      <c r="A1227" s="20" t="s">
        <v>412</v>
      </c>
      <c r="B1227" s="27" t="s">
        <v>267</v>
      </c>
      <c r="C1227" s="27" t="s">
        <v>435</v>
      </c>
      <c r="E1227" s="21">
        <f>IF(D1227="?OLD","!!!","")</f>
        <v/>
      </c>
      <c r="F1227" s="22" t="str">
        <f>IF(OR(E1227="",E1227="!!!"),"",IF(NOT(ISNA(VLOOKUP(E1227,E$1:E1226,1,FALSE()))),"OLD",IF(AND(E1227&lt;&gt;"",E1227&lt;&gt;"!!!"),"NEW","")))</f>
        <v> </v>
      </c>
      <c r="G1227" s="23" t="str">
        <f>IF(OR(E1227="",E1227="!!!"),"",IF(OR(J1227=0,AND(J1227=1,K1227=1),AND(J1227=1,I1227="SBJ"),AND(J1227=1,I1227=0)),"?IN_FOCUS",IF(J1227&lt;=2,"?ACTIVATED",IF(J1227&lt;&gt;"","?FAMILIAR",IF(F1227="NEW",IF(ISNA(VLOOKUP(E1227,#REF!,1,FALSE())),"?TYPE_IDENTIFIABLE","?REFERENTIAL"),"_")))))</f>
        <v> </v>
      </c>
      <c r="H1227" s="24" t="str">
        <f>IF(J1227&lt;&gt;1,"",IF(I1227="SBJ","CB","?"))</f>
        <v> </v>
      </c>
      <c r="I1227" s="25" t="str">
        <f>IF(OR(E1227="",E1227="!!!",F1227="NEW"),"",INDEX(B1226:B$2,-1+SUMPRODUCT(MAX(ROW(E1226:E$2)*(E1227=E1226:E$2)))))</f>
        <v> </v>
      </c>
      <c r="J1227" s="25" t="str">
        <f>IF(OR(E1227="",E1227="!!!",F1227="NEW"),"",COUNTBLANK(OFFSET(A$1,,,SUMPRODUCT(MAX(ROW(E$2:E1227)*(E1227=E$2:E1227)))))-COUNTBLANK(OFFSET(A$1,,,SUMPRODUCT(MAX(ROW(E$1:E1226)*(E2=E$1:E1226))))))</f>
        <v> </v>
      </c>
      <c r="K1227" s="25" t="str">
        <f>IF(OR(E1227="",E1227="!!!",F1227="NEW"),"",INDEX(J$1:J1226,SUMPRODUCT(MAX(ROW(E$1:E1226)*(E1227=E$1:E1226)))))</f>
        <v> </v>
      </c>
      <c r="L1227" s="26"/>
    </row>
    <row r="1228" spans="1:12">
      <c r="A1228" s="20" t="s">
        <v>272</v>
      </c>
      <c r="B1228" s="27" t="s">
        <v>256</v>
      </c>
      <c r="C1228" s="27" t="s">
        <v>257</v>
      </c>
      <c r="D1228" s="27" t="s">
        <v>258</v>
      </c>
      <c r="E1228" s="21">
        <f>IF(D1228="?OLD","!!!","")</f>
        <v/>
      </c>
      <c r="F1228" s="22" t="str">
        <f>IF(OR(E1228="",E1228="!!!"),"",IF(NOT(ISNA(VLOOKUP(E1228,E$1:E1227,1,FALSE()))),"OLD",IF(AND(E1228&lt;&gt;"",E1228&lt;&gt;"!!!"),"NEW","")))</f>
        <v> </v>
      </c>
      <c r="G1228" s="23" t="str">
        <f>IF(OR(E1228="",E1228="!!!"),"",IF(OR(J1228=0,AND(J1228=1,K1228=1),AND(J1228=1,I1228="SBJ"),AND(J1228=1,I1228=0)),"?IN_FOCUS",IF(J1228&lt;=2,"?ACTIVATED",IF(J1228&lt;&gt;"","?FAMILIAR",IF(F1228="NEW",IF(ISNA(VLOOKUP(E1228,#REF!,1,FALSE())),"?TYPE_IDENTIFIABLE","?REFERENTIAL"),"_")))))</f>
        <v> </v>
      </c>
      <c r="H1228" s="24" t="str">
        <f>IF(J1228&lt;&gt;1,"",IF(I1228="SBJ","CB","?"))</f>
        <v> </v>
      </c>
      <c r="I1228" s="25" t="str">
        <f>IF(OR(E1228="",E1228="!!!",F1228="NEW"),"",INDEX(B1227:B$2,-1+SUMPRODUCT(MAX(ROW(E1227:E$2)*(E1228=E1227:E$2)))))</f>
        <v> </v>
      </c>
      <c r="J1228" s="25" t="str">
        <f>IF(OR(E1228="",E1228="!!!",F1228="NEW"),"",COUNTBLANK(OFFSET(A$1,,,SUMPRODUCT(MAX(ROW(E$2:E1228)*(E1228=E$2:E1228)))))-COUNTBLANK(OFFSET(A$1,,,SUMPRODUCT(MAX(ROW(E$1:E1227)*(E2=E$1:E1227))))))</f>
        <v> </v>
      </c>
      <c r="K1228" s="25" t="str">
        <f>IF(OR(E1228="",E1228="!!!",F1228="NEW"),"",INDEX(J$1:J1227,SUMPRODUCT(MAX(ROW(E$1:E1227)*(E1228=E$1:E1227)))))</f>
        <v> </v>
      </c>
      <c r="L1228" s="26"/>
    </row>
    <row r="1229" spans="1:12">
      <c r="A1229" s="20" t="s">
        <v>674</v>
      </c>
      <c r="E1229" s="21">
        <f>IF(D1229="?OLD","!!!","")</f>
        <v/>
      </c>
      <c r="F1229" s="22" t="str">
        <f>IF(OR(E1229="",E1229="!!!"),"",IF(NOT(ISNA(VLOOKUP(E1229,E$1:E1228,1,FALSE()))),"OLD",IF(AND(E1229&lt;&gt;"",E1229&lt;&gt;"!!!"),"NEW","")))</f>
        <v> </v>
      </c>
      <c r="G1229" s="23" t="str">
        <f>IF(OR(E1229="",E1229="!!!"),"",IF(OR(J1229=0,AND(J1229=1,K1229=1),AND(J1229=1,I1229="SBJ"),AND(J1229=1,I1229=0)),"?IN_FOCUS",IF(J1229&lt;=2,"?ACTIVATED",IF(J1229&lt;&gt;"","?FAMILIAR",IF(F1229="NEW",IF(ISNA(VLOOKUP(E1229,#REF!,1,FALSE())),"?TYPE_IDENTIFIABLE","?REFERENTIAL"),"_")))))</f>
        <v> </v>
      </c>
      <c r="H1229" s="24" t="str">
        <f>IF(J1229&lt;&gt;1,"",IF(I1229="SBJ","CB","?"))</f>
        <v> </v>
      </c>
      <c r="I1229" s="25" t="str">
        <f>IF(OR(E1229="",E1229="!!!",F1229="NEW"),"",INDEX(B1228:B$2,-1+SUMPRODUCT(MAX(ROW(E1228:E$2)*(E1229=E1228:E$2)))))</f>
        <v> </v>
      </c>
      <c r="J1229" s="25" t="str">
        <f>IF(OR(E1229="",E1229="!!!",F1229="NEW"),"",COUNTBLANK(OFFSET(A$1,,,SUMPRODUCT(MAX(ROW(E$2:E1229)*(E1229=E$2:E1229)))))-COUNTBLANK(OFFSET(A$1,,,SUMPRODUCT(MAX(ROW(E$1:E1228)*(E2=E$1:E1228))))))</f>
        <v> </v>
      </c>
      <c r="K1229" s="25" t="str">
        <f>IF(OR(E1229="",E1229="!!!",F1229="NEW"),"",INDEX(J$1:J1228,SUMPRODUCT(MAX(ROW(E$1:E1228)*(E1229=E$1:E1228)))))</f>
        <v> </v>
      </c>
      <c r="L1229" s="26"/>
    </row>
    <row r="1230" spans="1:12">
      <c r="A1230" s="20" t="s">
        <v>274</v>
      </c>
      <c r="E1230" s="21">
        <f>IF(D1230="?OLD","!!!","")</f>
        <v/>
      </c>
      <c r="F1230" s="22" t="str">
        <f>IF(OR(E1230="",E1230="!!!"),"",IF(NOT(ISNA(VLOOKUP(E1230,E$1:E1229,1,FALSE()))),"OLD",IF(AND(E1230&lt;&gt;"",E1230&lt;&gt;"!!!"),"NEW","")))</f>
        <v> </v>
      </c>
      <c r="G1230" s="23" t="str">
        <f>IF(OR(E1230="",E1230="!!!"),"",IF(OR(J1230=0,AND(J1230=1,K1230=1),AND(J1230=1,I1230="SBJ"),AND(J1230=1,I1230=0)),"?IN_FOCUS",IF(J1230&lt;=2,"?ACTIVATED",IF(J1230&lt;&gt;"","?FAMILIAR",IF(F1230="NEW",IF(ISNA(VLOOKUP(E1230,#REF!,1,FALSE())),"?TYPE_IDENTIFIABLE","?REFERENTIAL"),"_")))))</f>
        <v> </v>
      </c>
      <c r="H1230" s="24" t="str">
        <f>IF(J1230&lt;&gt;1,"",IF(I1230="SBJ","CB","?"))</f>
        <v> </v>
      </c>
      <c r="I1230" s="25" t="str">
        <f>IF(OR(E1230="",E1230="!!!",F1230="NEW"),"",INDEX(B1229:B$2,-1+SUMPRODUCT(MAX(ROW(E1229:E$2)*(E1230=E1229:E$2)))))</f>
        <v> </v>
      </c>
      <c r="J1230" s="25" t="str">
        <f>IF(OR(E1230="",E1230="!!!",F1230="NEW"),"",COUNTBLANK(OFFSET(A$1,,,SUMPRODUCT(MAX(ROW(E$2:E1230)*(E1230=E$2:E1230)))))-COUNTBLANK(OFFSET(A$1,,,SUMPRODUCT(MAX(ROW(E$1:E1229)*(E2=E$1:E1229))))))</f>
        <v> </v>
      </c>
      <c r="K1230" s="25" t="str">
        <f>IF(OR(E1230="",E1230="!!!",F1230="NEW"),"",INDEX(J$1:J1229,SUMPRODUCT(MAX(ROW(E$1:E1229)*(E1230=E$1:E1229)))))</f>
        <v> </v>
      </c>
      <c r="L1230" s="26"/>
    </row>
    <row r="1231" spans="1:12">
      <c r="A1231" s="20" t="s">
        <v>275</v>
      </c>
      <c r="E1231" s="21">
        <f>IF(D1231="?OLD","!!!","")</f>
        <v/>
      </c>
      <c r="F1231" s="22" t="str">
        <f>IF(OR(E1231="",E1231="!!!"),"",IF(NOT(ISNA(VLOOKUP(E1231,E$1:E1230,1,FALSE()))),"OLD",IF(AND(E1231&lt;&gt;"",E1231&lt;&gt;"!!!"),"NEW","")))</f>
        <v> </v>
      </c>
      <c r="G1231" s="23" t="str">
        <f>IF(OR(E1231="",E1231="!!!"),"",IF(OR(J1231=0,AND(J1231=1,K1231=1),AND(J1231=1,I1231="SBJ"),AND(J1231=1,I1231=0)),"?IN_FOCUS",IF(J1231&lt;=2,"?ACTIVATED",IF(J1231&lt;&gt;"","?FAMILIAR",IF(F1231="NEW",IF(ISNA(VLOOKUP(E1231,#REF!,1,FALSE())),"?TYPE_IDENTIFIABLE","?REFERENTIAL"),"_")))))</f>
        <v> </v>
      </c>
      <c r="H1231" s="24" t="str">
        <f>IF(J1231&lt;&gt;1,"",IF(I1231="SBJ","CB","?"))</f>
        <v> </v>
      </c>
      <c r="I1231" s="25" t="str">
        <f>IF(OR(E1231="",E1231="!!!",F1231="NEW"),"",INDEX(B1230:B$2,-1+SUMPRODUCT(MAX(ROW(E1230:E$2)*(E1231=E1230:E$2)))))</f>
        <v> </v>
      </c>
      <c r="J1231" s="25" t="str">
        <f>IF(OR(E1231="",E1231="!!!",F1231="NEW"),"",COUNTBLANK(OFFSET(A$1,,,SUMPRODUCT(MAX(ROW(E$2:E1231)*(E1231=E$2:E1231)))))-COUNTBLANK(OFFSET(A$1,,,SUMPRODUCT(MAX(ROW(E$1:E1230)*(E2=E$1:E1230))))))</f>
        <v> </v>
      </c>
      <c r="K1231" s="25" t="str">
        <f>IF(OR(E1231="",E1231="!!!",F1231="NEW"),"",INDEX(J$1:J1230,SUMPRODUCT(MAX(ROW(E$1:E1230)*(E1231=E$1:E1230)))))</f>
        <v> </v>
      </c>
      <c r="L1231" s="26"/>
    </row>
    <row r="1232" spans="1:12">
      <c r="A1232" s="20" t="s">
        <v>289</v>
      </c>
      <c r="B1232" s="27" t="s">
        <v>262</v>
      </c>
      <c r="E1232" s="21">
        <f>IF(D1232="?OLD","!!!","")</f>
        <v/>
      </c>
      <c r="F1232" s="22" t="str">
        <f>IF(OR(E1232="",E1232="!!!"),"",IF(NOT(ISNA(VLOOKUP(E1232,E$1:E1231,1,FALSE()))),"OLD",IF(AND(E1232&lt;&gt;"",E1232&lt;&gt;"!!!"),"NEW","")))</f>
        <v> </v>
      </c>
      <c r="G1232" s="23" t="str">
        <f>IF(OR(E1232="",E1232="!!!"),"",IF(OR(J1232=0,AND(J1232=1,K1232=1),AND(J1232=1,I1232="SBJ"),AND(J1232=1,I1232=0)),"?IN_FOCUS",IF(J1232&lt;=2,"?ACTIVATED",IF(J1232&lt;&gt;"","?FAMILIAR",IF(F1232="NEW",IF(ISNA(VLOOKUP(E1232,#REF!,1,FALSE())),"?TYPE_IDENTIFIABLE","?REFERENTIAL"),"_")))))</f>
        <v> </v>
      </c>
      <c r="H1232" s="24" t="str">
        <f>IF(J1232&lt;&gt;1,"",IF(I1232="SBJ","CB","?"))</f>
        <v> </v>
      </c>
      <c r="I1232" s="25" t="str">
        <f>IF(OR(E1232="",E1232="!!!",F1232="NEW"),"",INDEX(B1231:B$2,-1+SUMPRODUCT(MAX(ROW(E1231:E$2)*(E1232=E1231:E$2)))))</f>
        <v> </v>
      </c>
      <c r="J1232" s="25" t="str">
        <f>IF(OR(E1232="",E1232="!!!",F1232="NEW"),"",COUNTBLANK(OFFSET(A$1,,,SUMPRODUCT(MAX(ROW(E$2:E1232)*(E1232=E$2:E1232)))))-COUNTBLANK(OFFSET(A$1,,,SUMPRODUCT(MAX(ROW(E$1:E1231)*(E2=E$1:E1231))))))</f>
        <v> </v>
      </c>
      <c r="K1232" s="25" t="str">
        <f>IF(OR(E1232="",E1232="!!!",F1232="NEW"),"",INDEX(J$1:J1231,SUMPRODUCT(MAX(ROW(E$1:E1231)*(E1232=E$1:E1231)))))</f>
        <v> </v>
      </c>
      <c r="L1232" s="26"/>
    </row>
    <row r="1233" spans="1:12">
      <c r="A1233" s="20" t="s">
        <v>675</v>
      </c>
      <c r="E1233" s="21">
        <f>IF(D1233="?OLD","!!!","")</f>
        <v/>
      </c>
      <c r="F1233" s="22" t="str">
        <f>IF(OR(E1233="",E1233="!!!"),"",IF(NOT(ISNA(VLOOKUP(E1233,E$1:E1232,1,FALSE()))),"OLD",IF(AND(E1233&lt;&gt;"",E1233&lt;&gt;"!!!"),"NEW","")))</f>
        <v> </v>
      </c>
      <c r="G1233" s="23" t="str">
        <f>IF(OR(E1233="",E1233="!!!"),"",IF(OR(J1233=0,AND(J1233=1,K1233=1),AND(J1233=1,I1233="SBJ"),AND(J1233=1,I1233=0)),"?IN_FOCUS",IF(J1233&lt;=2,"?ACTIVATED",IF(J1233&lt;&gt;"","?FAMILIAR",IF(F1233="NEW",IF(ISNA(VLOOKUP(E1233,#REF!,1,FALSE())),"?TYPE_IDENTIFIABLE","?REFERENTIAL"),"_")))))</f>
        <v> </v>
      </c>
      <c r="H1233" s="24" t="str">
        <f>IF(J1233&lt;&gt;1,"",IF(I1233="SBJ","CB","?"))</f>
        <v> </v>
      </c>
      <c r="I1233" s="25" t="str">
        <f>IF(OR(E1233="",E1233="!!!",F1233="NEW"),"",INDEX(B1232:B$2,-1+SUMPRODUCT(MAX(ROW(E1232:E$2)*(E1233=E1232:E$2)))))</f>
        <v> </v>
      </c>
      <c r="J1233" s="25" t="str">
        <f>IF(OR(E1233="",E1233="!!!",F1233="NEW"),"",COUNTBLANK(OFFSET(A$1,,,SUMPRODUCT(MAX(ROW(E$2:E1233)*(E1233=E$2:E1233)))))-COUNTBLANK(OFFSET(A$1,,,SUMPRODUCT(MAX(ROW(E$1:E1232)*(E2=E$1:E1232))))))</f>
        <v> </v>
      </c>
      <c r="K1233" s="25" t="str">
        <f>IF(OR(E1233="",E1233="!!!",F1233="NEW"),"",INDEX(J$1:J1232,SUMPRODUCT(MAX(ROW(E$1:E1232)*(E1233=E$1:E1232)))))</f>
        <v> </v>
      </c>
      <c r="L1233" s="26"/>
    </row>
    <row r="1234" spans="1:12">
      <c r="A1234" s="20" t="s">
        <v>274</v>
      </c>
      <c r="E1234" s="21">
        <f>IF(D1234="?OLD","!!!","")</f>
        <v/>
      </c>
      <c r="F1234" s="22" t="str">
        <f>IF(OR(E1234="",E1234="!!!"),"",IF(NOT(ISNA(VLOOKUP(E1234,E$1:E1233,1,FALSE()))),"OLD",IF(AND(E1234&lt;&gt;"",E1234&lt;&gt;"!!!"),"NEW","")))</f>
        <v> </v>
      </c>
      <c r="G1234" s="23" t="str">
        <f>IF(OR(E1234="",E1234="!!!"),"",IF(OR(J1234=0,AND(J1234=1,K1234=1),AND(J1234=1,I1234="SBJ"),AND(J1234=1,I1234=0)),"?IN_FOCUS",IF(J1234&lt;=2,"?ACTIVATED",IF(J1234&lt;&gt;"","?FAMILIAR",IF(F1234="NEW",IF(ISNA(VLOOKUP(E1234,#REF!,1,FALSE())),"?TYPE_IDENTIFIABLE","?REFERENTIAL"),"_")))))</f>
        <v> </v>
      </c>
      <c r="H1234" s="24" t="str">
        <f>IF(J1234&lt;&gt;1,"",IF(I1234="SBJ","CB","?"))</f>
        <v> </v>
      </c>
      <c r="I1234" s="25" t="str">
        <f>IF(OR(E1234="",E1234="!!!",F1234="NEW"),"",INDEX(B1233:B$2,-1+SUMPRODUCT(MAX(ROW(E1233:E$2)*(E1234=E1233:E$2)))))</f>
        <v> </v>
      </c>
      <c r="J1234" s="25" t="str">
        <f>IF(OR(E1234="",E1234="!!!",F1234="NEW"),"",COUNTBLANK(OFFSET(A$1,,,SUMPRODUCT(MAX(ROW(E$2:E1234)*(E1234=E$2:E1234)))))-COUNTBLANK(OFFSET(A$1,,,SUMPRODUCT(MAX(ROW(E$1:E1233)*(E2=E$1:E1233))))))</f>
        <v> </v>
      </c>
      <c r="K1234" s="25" t="str">
        <f>IF(OR(E1234="",E1234="!!!",F1234="NEW"),"",INDEX(J$1:J1233,SUMPRODUCT(MAX(ROW(E$1:E1233)*(E1234=E$1:E1233)))))</f>
        <v> </v>
      </c>
      <c r="L1234" s="26"/>
    </row>
    <row r="1235" spans="1:12">
      <c r="A1235" s="20" t="s">
        <v>290</v>
      </c>
      <c r="B1235" s="27" t="s">
        <v>328</v>
      </c>
      <c r="C1235" s="27" t="s">
        <v>277</v>
      </c>
      <c r="D1235" s="27" t="s">
        <v>258</v>
      </c>
      <c r="E1235" s="21">
        <f>IF(D1235="?OLD","!!!","")</f>
        <v/>
      </c>
      <c r="F1235" s="22" t="str">
        <f>IF(OR(E1235="",E1235="!!!"),"",IF(NOT(ISNA(VLOOKUP(E1235,E$1:E1234,1,FALSE()))),"OLD",IF(AND(E1235&lt;&gt;"",E1235&lt;&gt;"!!!"),"NEW","")))</f>
        <v> </v>
      </c>
      <c r="G1235" s="23" t="str">
        <f>IF(OR(E1235="",E1235="!!!"),"",IF(OR(J1235=0,AND(J1235=1,K1235=1),AND(J1235=1,I1235="SBJ"),AND(J1235=1,I1235=0)),"?IN_FOCUS",IF(J1235&lt;=2,"?ACTIVATED",IF(J1235&lt;&gt;"","?FAMILIAR",IF(F1235="NEW",IF(ISNA(VLOOKUP(E1235,#REF!,1,FALSE())),"?TYPE_IDENTIFIABLE","?REFERENTIAL"),"_")))))</f>
        <v> </v>
      </c>
      <c r="H1235" s="24" t="str">
        <f>IF(J1235&lt;&gt;1,"",IF(I1235="SBJ","CB","?"))</f>
        <v> </v>
      </c>
      <c r="I1235" s="25" t="str">
        <f>IF(OR(E1235="",E1235="!!!",F1235="NEW"),"",INDEX(B1234:B$2,-1+SUMPRODUCT(MAX(ROW(E1234:E$2)*(E1235=E1234:E$2)))))</f>
        <v> </v>
      </c>
      <c r="J1235" s="25" t="str">
        <f>IF(OR(E1235="",E1235="!!!",F1235="NEW"),"",COUNTBLANK(OFFSET(A$1,,,SUMPRODUCT(MAX(ROW(E$2:E1235)*(E1235=E$2:E1235)))))-COUNTBLANK(OFFSET(A$1,,,SUMPRODUCT(MAX(ROW(E$1:E1234)*(E2=E$1:E1234))))))</f>
        <v> </v>
      </c>
      <c r="K1235" s="25" t="str">
        <f>IF(OR(E1235="",E1235="!!!",F1235="NEW"),"",INDEX(J$1:J1234,SUMPRODUCT(MAX(ROW(E$1:E1234)*(E1235=E$1:E1234)))))</f>
        <v> </v>
      </c>
      <c r="L1235" s="26"/>
    </row>
    <row r="1236" spans="1:12">
      <c r="A1236" s="20" t="s">
        <v>278</v>
      </c>
      <c r="E1236" s="21">
        <f>IF(D1236="?OLD","!!!","")</f>
        <v/>
      </c>
      <c r="F1236" s="22" t="str">
        <f>IF(OR(E1236="",E1236="!!!"),"",IF(NOT(ISNA(VLOOKUP(E1236,E$1:E1235,1,FALSE()))),"OLD",IF(AND(E1236&lt;&gt;"",E1236&lt;&gt;"!!!"),"NEW","")))</f>
        <v> </v>
      </c>
      <c r="G1236" s="23" t="str">
        <f>IF(OR(E1236="",E1236="!!!"),"",IF(OR(J1236=0,AND(J1236=1,K1236=1),AND(J1236=1,I1236="SBJ"),AND(J1236=1,I1236=0)),"?IN_FOCUS",IF(J1236&lt;=2,"?ACTIVATED",IF(J1236&lt;&gt;"","?FAMILIAR",IF(F1236="NEW",IF(ISNA(VLOOKUP(E1236,#REF!,1,FALSE())),"?TYPE_IDENTIFIABLE","?REFERENTIAL"),"_")))))</f>
        <v> </v>
      </c>
      <c r="H1236" s="24" t="str">
        <f>IF(J1236&lt;&gt;1,"",IF(I1236="SBJ","CB","?"))</f>
        <v> </v>
      </c>
      <c r="I1236" s="25" t="str">
        <f>IF(OR(E1236="",E1236="!!!",F1236="NEW"),"",INDEX(B1235:B$2,-1+SUMPRODUCT(MAX(ROW(E1235:E$2)*(E1236=E1235:E$2)))))</f>
        <v> </v>
      </c>
      <c r="J1236" s="25" t="str">
        <f>IF(OR(E1236="",E1236="!!!",F1236="NEW"),"",COUNTBLANK(OFFSET(A$1,,,SUMPRODUCT(MAX(ROW(E$2:E1236)*(E1236=E$2:E1236)))))-COUNTBLANK(OFFSET(A$1,,,SUMPRODUCT(MAX(ROW(E$1:E1235)*(E2=E$1:E1235))))))</f>
        <v> </v>
      </c>
      <c r="K1236" s="25" t="str">
        <f>IF(OR(E1236="",E1236="!!!",F1236="NEW"),"",INDEX(J$1:J1235,SUMPRODUCT(MAX(ROW(E$1:E1235)*(E1236=E$1:E1235)))))</f>
        <v> </v>
      </c>
      <c r="L1236" s="26"/>
    </row>
    <row r="1237" spans="1:12">
      <c r="A1237" s="20" t="s">
        <v>274</v>
      </c>
      <c r="E1237" s="21">
        <f>IF(D1237="?OLD","!!!","")</f>
        <v/>
      </c>
      <c r="F1237" s="22" t="str">
        <f>IF(OR(E1237="",E1237="!!!"),"",IF(NOT(ISNA(VLOOKUP(E1237,E$1:E1236,1,FALSE()))),"OLD",IF(AND(E1237&lt;&gt;"",E1237&lt;&gt;"!!!"),"NEW","")))</f>
        <v> </v>
      </c>
      <c r="G1237" s="23" t="str">
        <f>IF(OR(E1237="",E1237="!!!"),"",IF(OR(J1237=0,AND(J1237=1,K1237=1),AND(J1237=1,I1237="SBJ"),AND(J1237=1,I1237=0)),"?IN_FOCUS",IF(J1237&lt;=2,"?ACTIVATED",IF(J1237&lt;&gt;"","?FAMILIAR",IF(F1237="NEW",IF(ISNA(VLOOKUP(E1237,#REF!,1,FALSE())),"?TYPE_IDENTIFIABLE","?REFERENTIAL"),"_")))))</f>
        <v> </v>
      </c>
      <c r="H1237" s="24" t="str">
        <f>IF(J1237&lt;&gt;1,"",IF(I1237="SBJ","CB","?"))</f>
        <v> </v>
      </c>
      <c r="I1237" s="25" t="str">
        <f>IF(OR(E1237="",E1237="!!!",F1237="NEW"),"",INDEX(B1236:B$2,-1+SUMPRODUCT(MAX(ROW(E1236:E$2)*(E1237=E1236:E$2)))))</f>
        <v> </v>
      </c>
      <c r="J1237" s="25" t="str">
        <f>IF(OR(E1237="",E1237="!!!",F1237="NEW"),"",COUNTBLANK(OFFSET(A$1,,,SUMPRODUCT(MAX(ROW(E$2:E1237)*(E1237=E$2:E1237)))))-COUNTBLANK(OFFSET(A$1,,,SUMPRODUCT(MAX(ROW(E$1:E1236)*(E2=E$1:E1236))))))</f>
        <v> </v>
      </c>
      <c r="K1237" s="25" t="str">
        <f>IF(OR(E1237="",E1237="!!!",F1237="NEW"),"",INDEX(J$1:J1236,SUMPRODUCT(MAX(ROW(E$1:E1236)*(E1237=E$1:E1236)))))</f>
        <v> </v>
      </c>
      <c r="L1237" s="26"/>
    </row>
    <row r="1238" spans="1:12">
      <c r="A1238" s="20" t="s">
        <v>292</v>
      </c>
      <c r="B1238" s="27" t="s">
        <v>291</v>
      </c>
      <c r="C1238" s="27" t="s">
        <v>277</v>
      </c>
      <c r="D1238" s="27" t="s">
        <v>258</v>
      </c>
      <c r="E1238" s="21">
        <f>IF(D1238="?OLD","!!!","")</f>
        <v/>
      </c>
      <c r="F1238" s="22" t="str">
        <f>IF(OR(E1238="",E1238="!!!"),"",IF(NOT(ISNA(VLOOKUP(E1238,E$1:E1237,1,FALSE()))),"OLD",IF(AND(E1238&lt;&gt;"",E1238&lt;&gt;"!!!"),"NEW","")))</f>
        <v> </v>
      </c>
      <c r="G1238" s="23" t="str">
        <f>IF(OR(E1238="",E1238="!!!"),"",IF(OR(J1238=0,AND(J1238=1,K1238=1),AND(J1238=1,I1238="SBJ"),AND(J1238=1,I1238=0)),"?IN_FOCUS",IF(J1238&lt;=2,"?ACTIVATED",IF(J1238&lt;&gt;"","?FAMILIAR",IF(F1238="NEW",IF(ISNA(VLOOKUP(E1238,#REF!,1,FALSE())),"?TYPE_IDENTIFIABLE","?REFERENTIAL"),"_")))))</f>
        <v> </v>
      </c>
      <c r="H1238" s="24" t="str">
        <f>IF(J1238&lt;&gt;1,"",IF(I1238="SBJ","CB","?"))</f>
        <v> </v>
      </c>
      <c r="I1238" s="25" t="str">
        <f>IF(OR(E1238="",E1238="!!!",F1238="NEW"),"",INDEX(B1237:B$2,-1+SUMPRODUCT(MAX(ROW(E1237:E$2)*(E1238=E1237:E$2)))))</f>
        <v> </v>
      </c>
      <c r="J1238" s="25" t="str">
        <f>IF(OR(E1238="",E1238="!!!",F1238="NEW"),"",COUNTBLANK(OFFSET(A$1,,,SUMPRODUCT(MAX(ROW(E$2:E1238)*(E1238=E$2:E1238)))))-COUNTBLANK(OFFSET(A$1,,,SUMPRODUCT(MAX(ROW(E$1:E1237)*(E2=E$1:E1237))))))</f>
        <v> </v>
      </c>
      <c r="K1238" s="25" t="str">
        <f>IF(OR(E1238="",E1238="!!!",F1238="NEW"),"",INDEX(J$1:J1237,SUMPRODUCT(MAX(ROW(E$1:E1237)*(E1238=E$1:E1237)))))</f>
        <v> </v>
      </c>
      <c r="L1238" s="26"/>
    </row>
    <row r="1239" spans="1:12">
      <c r="A1239" s="20" t="s">
        <v>263</v>
      </c>
      <c r="E1239" s="21">
        <f>IF(D1239="?OLD","!!!","")</f>
        <v/>
      </c>
      <c r="F1239" s="22" t="str">
        <f>IF(OR(E1239="",E1239="!!!"),"",IF(NOT(ISNA(VLOOKUP(E1239,E$1:E1238,1,FALSE()))),"OLD",IF(AND(E1239&lt;&gt;"",E1239&lt;&gt;"!!!"),"NEW","")))</f>
        <v> </v>
      </c>
      <c r="G1239" s="23" t="str">
        <f>IF(OR(E1239="",E1239="!!!"),"",IF(OR(J1239=0,AND(J1239=1,K1239=1),AND(J1239=1,I1239="SBJ"),AND(J1239=1,I1239=0)),"?IN_FOCUS",IF(J1239&lt;=2,"?ACTIVATED",IF(J1239&lt;&gt;"","?FAMILIAR",IF(F1239="NEW",IF(ISNA(VLOOKUP(E1239,#REF!,1,FALSE())),"?TYPE_IDENTIFIABLE","?REFERENTIAL"),"_")))))</f>
        <v> </v>
      </c>
      <c r="H1239" s="24" t="str">
        <f>IF(J1239&lt;&gt;1,"",IF(I1239="SBJ","CB","?"))</f>
        <v> </v>
      </c>
      <c r="I1239" s="25" t="str">
        <f>IF(OR(E1239="",E1239="!!!",F1239="NEW"),"",INDEX(B1238:B$2,-1+SUMPRODUCT(MAX(ROW(E1238:E$2)*(E1239=E1238:E$2)))))</f>
        <v> </v>
      </c>
      <c r="J1239" s="25" t="str">
        <f>IF(OR(E1239="",E1239="!!!",F1239="NEW"),"",COUNTBLANK(OFFSET(A$1,,,SUMPRODUCT(MAX(ROW(E$2:E1239)*(E1239=E$2:E1239)))))-COUNTBLANK(OFFSET(A$1,,,SUMPRODUCT(MAX(ROW(E$1:E1238)*(E2=E$1:E1238))))))</f>
        <v> </v>
      </c>
      <c r="K1239" s="25" t="str">
        <f>IF(OR(E1239="",E1239="!!!",F1239="NEW"),"",INDEX(J$1:J1238,SUMPRODUCT(MAX(ROW(E$1:E1238)*(E1239=E$1:E1238)))))</f>
        <v> </v>
      </c>
      <c r="L1239" s="26"/>
    </row>
    <row r="1240" spans="1:12">
      <c r="A1240" s="20" t="s">
        <v>274</v>
      </c>
      <c r="E1240" s="21">
        <f>IF(D1240="?OLD","!!!","")</f>
        <v/>
      </c>
      <c r="F1240" s="22" t="str">
        <f>IF(OR(E1240="",E1240="!!!"),"",IF(NOT(ISNA(VLOOKUP(E1240,E$1:E1239,1,FALSE()))),"OLD",IF(AND(E1240&lt;&gt;"",E1240&lt;&gt;"!!!"),"NEW","")))</f>
        <v> </v>
      </c>
      <c r="G1240" s="23" t="str">
        <f>IF(OR(E1240="",E1240="!!!"),"",IF(OR(J1240=0,AND(J1240=1,K1240=1),AND(J1240=1,I1240="SBJ"),AND(J1240=1,I1240=0)),"?IN_FOCUS",IF(J1240&lt;=2,"?ACTIVATED",IF(J1240&lt;&gt;"","?FAMILIAR",IF(F1240="NEW",IF(ISNA(VLOOKUP(E1240,#REF!,1,FALSE())),"?TYPE_IDENTIFIABLE","?REFERENTIAL"),"_")))))</f>
        <v> </v>
      </c>
      <c r="H1240" s="24" t="str">
        <f>IF(J1240&lt;&gt;1,"",IF(I1240="SBJ","CB","?"))</f>
        <v> </v>
      </c>
      <c r="I1240" s="25" t="str">
        <f>IF(OR(E1240="",E1240="!!!",F1240="NEW"),"",INDEX(B1239:B$2,-1+SUMPRODUCT(MAX(ROW(E1239:E$2)*(E1240=E1239:E$2)))))</f>
        <v> </v>
      </c>
      <c r="J1240" s="25" t="str">
        <f>IF(OR(E1240="",E1240="!!!",F1240="NEW"),"",COUNTBLANK(OFFSET(A$1,,,SUMPRODUCT(MAX(ROW(E$2:E1240)*(E1240=E$2:E1240)))))-COUNTBLANK(OFFSET(A$1,,,SUMPRODUCT(MAX(ROW(E$1:E1239)*(E2=E$1:E1239))))))</f>
        <v> </v>
      </c>
      <c r="K1240" s="25" t="str">
        <f>IF(OR(E1240="",E1240="!!!",F1240="NEW"),"",INDEX(J$1:J1239,SUMPRODUCT(MAX(ROW(E$1:E1239)*(E1240=E$1:E1239)))))</f>
        <v> </v>
      </c>
      <c r="L1240" s="26"/>
    </row>
    <row r="1241" spans="1:12">
      <c r="A1241" s="20" t="s">
        <v>279</v>
      </c>
      <c r="B1241" s="27" t="s">
        <v>283</v>
      </c>
      <c r="C1241" s="27" t="s">
        <v>277</v>
      </c>
      <c r="D1241" s="27" t="s">
        <v>258</v>
      </c>
      <c r="E1241" s="21">
        <f>IF(D1241="?OLD","!!!","")</f>
        <v/>
      </c>
      <c r="F1241" s="22" t="str">
        <f>IF(OR(E1241="",E1241="!!!"),"",IF(NOT(ISNA(VLOOKUP(E1241,E$1:E1240,1,FALSE()))),"OLD",IF(AND(E1241&lt;&gt;"",E1241&lt;&gt;"!!!"),"NEW","")))</f>
        <v> </v>
      </c>
      <c r="G1241" s="23" t="str">
        <f>IF(OR(E1241="",E1241="!!!"),"",IF(OR(J1241=0,AND(J1241=1,K1241=1),AND(J1241=1,I1241="SBJ"),AND(J1241=1,I1241=0)),"?IN_FOCUS",IF(J1241&lt;=2,"?ACTIVATED",IF(J1241&lt;&gt;"","?FAMILIAR",IF(F1241="NEW",IF(ISNA(VLOOKUP(E1241,#REF!,1,FALSE())),"?TYPE_IDENTIFIABLE","?REFERENTIAL"),"_")))))</f>
        <v> </v>
      </c>
      <c r="H1241" s="24" t="str">
        <f>IF(J1241&lt;&gt;1,"",IF(I1241="SBJ","CB","?"))</f>
        <v> </v>
      </c>
      <c r="I1241" s="25" t="str">
        <f>IF(OR(E1241="",E1241="!!!",F1241="NEW"),"",INDEX(B1240:B$2,-1+SUMPRODUCT(MAX(ROW(E1240:E$2)*(E1241=E1240:E$2)))))</f>
        <v> </v>
      </c>
      <c r="J1241" s="25" t="str">
        <f>IF(OR(E1241="",E1241="!!!",F1241="NEW"),"",COUNTBLANK(OFFSET(A$1,,,SUMPRODUCT(MAX(ROW(E$2:E1241)*(E1241=E$2:E1241)))))-COUNTBLANK(OFFSET(A$1,,,SUMPRODUCT(MAX(ROW(E$1:E1240)*(E2=E$1:E1240))))))</f>
        <v> </v>
      </c>
      <c r="K1241" s="25" t="str">
        <f>IF(OR(E1241="",E1241="!!!",F1241="NEW"),"",INDEX(J$1:J1240,SUMPRODUCT(MAX(ROW(E$1:E1240)*(E1241=E$1:E1240)))))</f>
        <v> </v>
      </c>
      <c r="L1241" s="26"/>
    </row>
    <row r="1242" spans="1:12">
      <c r="A1242" s="20" t="s">
        <v>320</v>
      </c>
      <c r="E1242" s="21">
        <f>IF(D1242="?OLD","!!!","")</f>
        <v/>
      </c>
      <c r="F1242" s="22" t="str">
        <f>IF(OR(E1242="",E1242="!!!"),"",IF(NOT(ISNA(VLOOKUP(E1242,E$1:E1241,1,FALSE()))),"OLD",IF(AND(E1242&lt;&gt;"",E1242&lt;&gt;"!!!"),"NEW","")))</f>
        <v> </v>
      </c>
      <c r="G1242" s="23" t="str">
        <f>IF(OR(E1242="",E1242="!!!"),"",IF(OR(J1242=0,AND(J1242=1,K1242=1),AND(J1242=1,I1242="SBJ"),AND(J1242=1,I1242=0)),"?IN_FOCUS",IF(J1242&lt;=2,"?ACTIVATED",IF(J1242&lt;&gt;"","?FAMILIAR",IF(F1242="NEW",IF(ISNA(VLOOKUP(E1242,#REF!,1,FALSE())),"?TYPE_IDENTIFIABLE","?REFERENTIAL"),"_")))))</f>
        <v> </v>
      </c>
      <c r="H1242" s="24" t="str">
        <f>IF(J1242&lt;&gt;1,"",IF(I1242="SBJ","CB","?"))</f>
        <v> </v>
      </c>
      <c r="I1242" s="25" t="str">
        <f>IF(OR(E1242="",E1242="!!!",F1242="NEW"),"",INDEX(B1241:B$2,-1+SUMPRODUCT(MAX(ROW(E1241:E$2)*(E1242=E1241:E$2)))))</f>
        <v> </v>
      </c>
      <c r="J1242" s="25" t="str">
        <f>IF(OR(E1242="",E1242="!!!",F1242="NEW"),"",COUNTBLANK(OFFSET(A$1,,,SUMPRODUCT(MAX(ROW(E$2:E1242)*(E1242=E$2:E1242)))))-COUNTBLANK(OFFSET(A$1,,,SUMPRODUCT(MAX(ROW(E$1:E1241)*(E2=E$1:E1241))))))</f>
        <v> </v>
      </c>
      <c r="K1242" s="25" t="str">
        <f>IF(OR(E1242="",E1242="!!!",F1242="NEW"),"",INDEX(J$1:J1241,SUMPRODUCT(MAX(ROW(E$1:E1241)*(E1242=E$1:E1241)))))</f>
        <v> </v>
      </c>
      <c r="L1242" s="26"/>
    </row>
    <row r="1243" spans="1:12">
      <c r="A1243" s="20"/>
    </row>
    <row r="1244" spans="1:12">
      <c r="A1244" s="20" t="s">
        <v>676</v>
      </c>
    </row>
    <row r="1245" spans="1:12">
      <c r="A1245" s="20" t="s">
        <v>322</v>
      </c>
      <c r="E1245" s="21">
        <f>IF(D1245="?OLD","!!!","")</f>
        <v/>
      </c>
      <c r="F1245" s="22" t="str">
        <f>IF(OR(E1245="",E1245="!!!"),"",IF(NOT(ISNA(VLOOKUP(E1245,E$1:E1244,1,FALSE()))),"OLD",IF(AND(E1245&lt;&gt;"",E1245&lt;&gt;"!!!"),"NEW","")))</f>
        <v> </v>
      </c>
      <c r="G1245" s="23" t="str">
        <f>IF(OR(E1245="",E1245="!!!"),"",IF(OR(J1245=0,AND(J1245=1,K1245=1),AND(J1245=1,I1245="SBJ"),AND(J1245=1,I1245=0)),"?IN_FOCUS",IF(J1245&lt;=2,"?ACTIVATED",IF(J1245&lt;&gt;"","?FAMILIAR",IF(F1245="NEW",IF(ISNA(VLOOKUP(E1245,#REF!,1,FALSE())),"?TYPE_IDENTIFIABLE","?REFERENTIAL"),"_")))))</f>
        <v> </v>
      </c>
      <c r="H1245" s="24" t="str">
        <f>IF(J1245&lt;&gt;1,"",IF(I1245="SBJ","CB","?"))</f>
        <v> </v>
      </c>
      <c r="I1245" s="25" t="str">
        <f>IF(OR(E1245="",E1245="!!!",F1245="NEW"),"",INDEX(B1244:B$2,-1+SUMPRODUCT(MAX(ROW(E1244:E$2)*(E1245=E1244:E$2)))))</f>
        <v> </v>
      </c>
      <c r="J1245" s="25" t="str">
        <f>IF(OR(E1245="",E1245="!!!",F1245="NEW"),"",COUNTBLANK(OFFSET(A$1,,,SUMPRODUCT(MAX(ROW(E$2:E1245)*(E1245=E$2:E1245)))))-COUNTBLANK(OFFSET(A$1,,,SUMPRODUCT(MAX(ROW(E$1:E1244)*(E2=E$1:E1244))))))</f>
        <v> </v>
      </c>
      <c r="K1245" s="25" t="str">
        <f>IF(OR(E1245="",E1245="!!!",F1245="NEW"),"",INDEX(J$1:J1244,SUMPRODUCT(MAX(ROW(E$1:E1244)*(E1245=E$1:E1244)))))</f>
        <v> </v>
      </c>
      <c r="L1245" s="26"/>
    </row>
    <row r="1246" spans="1:12">
      <c r="A1246" s="20" t="s">
        <v>327</v>
      </c>
      <c r="E1246" s="21">
        <f>IF(D1246="?OLD","!!!","")</f>
        <v/>
      </c>
      <c r="F1246" s="22" t="str">
        <f>IF(OR(E1246="",E1246="!!!"),"",IF(NOT(ISNA(VLOOKUP(E1246,E$1:E1245,1,FALSE()))),"OLD",IF(AND(E1246&lt;&gt;"",E1246&lt;&gt;"!!!"),"NEW","")))</f>
        <v> </v>
      </c>
      <c r="G1246" s="23" t="str">
        <f>IF(OR(E1246="",E1246="!!!"),"",IF(OR(J1246=0,AND(J1246=1,K1246=1),AND(J1246=1,I1246="SBJ"),AND(J1246=1,I1246=0)),"?IN_FOCUS",IF(J1246&lt;=2,"?ACTIVATED",IF(J1246&lt;&gt;"","?FAMILIAR",IF(F1246="NEW",IF(ISNA(VLOOKUP(E1246,#REF!,1,FALSE())),"?TYPE_IDENTIFIABLE","?REFERENTIAL"),"_")))))</f>
        <v> </v>
      </c>
      <c r="H1246" s="24" t="str">
        <f>IF(J1246&lt;&gt;1,"",IF(I1246="SBJ","CB","?"))</f>
        <v> </v>
      </c>
      <c r="I1246" s="25" t="str">
        <f>IF(OR(E1246="",E1246="!!!",F1246="NEW"),"",INDEX(B1245:B$2,-1+SUMPRODUCT(MAX(ROW(E1245:E$2)*(E1246=E1245:E$2)))))</f>
        <v> </v>
      </c>
      <c r="J1246" s="25" t="str">
        <f>IF(OR(E1246="",E1246="!!!",F1246="NEW"),"",COUNTBLANK(OFFSET(A$1,,,SUMPRODUCT(MAX(ROW(E$2:E1246)*(E1246=E$2:E1246)))))-COUNTBLANK(OFFSET(A$1,,,SUMPRODUCT(MAX(ROW(E$1:E1245)*(E2=E$1:E1245))))))</f>
        <v> </v>
      </c>
      <c r="K1246" s="25" t="str">
        <f>IF(OR(E1246="",E1246="!!!",F1246="NEW"),"",INDEX(J$1:J1245,SUMPRODUCT(MAX(ROW(E$1:E1245)*(E1246=E$1:E1245)))))</f>
        <v> </v>
      </c>
      <c r="L1246" s="26"/>
    </row>
    <row r="1247" spans="1:12">
      <c r="A1247" s="20" t="s">
        <v>496</v>
      </c>
      <c r="E1247" s="21">
        <f>IF(D1247="?OLD","!!!","")</f>
        <v/>
      </c>
      <c r="F1247" s="22" t="str">
        <f>IF(OR(E1247="",E1247="!!!"),"",IF(NOT(ISNA(VLOOKUP(E1247,E$1:E1246,1,FALSE()))),"OLD",IF(AND(E1247&lt;&gt;"",E1247&lt;&gt;"!!!"),"NEW","")))</f>
        <v> </v>
      </c>
      <c r="G1247" s="23" t="str">
        <f>IF(OR(E1247="",E1247="!!!"),"",IF(OR(J1247=0,AND(J1247=1,K1247=1),AND(J1247=1,I1247="SBJ"),AND(J1247=1,I1247=0)),"?IN_FOCUS",IF(J1247&lt;=2,"?ACTIVATED",IF(J1247&lt;&gt;"","?FAMILIAR",IF(F1247="NEW",IF(ISNA(VLOOKUP(E1247,#REF!,1,FALSE())),"?TYPE_IDENTIFIABLE","?REFERENTIAL"),"_")))))</f>
        <v> </v>
      </c>
      <c r="H1247" s="24" t="str">
        <f>IF(J1247&lt;&gt;1,"",IF(I1247="SBJ","CB","?"))</f>
        <v> </v>
      </c>
      <c r="I1247" s="25" t="str">
        <f>IF(OR(E1247="",E1247="!!!",F1247="NEW"),"",INDEX(B1246:B$2,-1+SUMPRODUCT(MAX(ROW(E1246:E$2)*(E1247=E1246:E$2)))))</f>
        <v> </v>
      </c>
      <c r="J1247" s="25" t="str">
        <f>IF(OR(E1247="",E1247="!!!",F1247="NEW"),"",COUNTBLANK(OFFSET(A$1,,,SUMPRODUCT(MAX(ROW(E$2:E1247)*(E1247=E$2:E1247)))))-COUNTBLANK(OFFSET(A$1,,,SUMPRODUCT(MAX(ROW(E$1:E1246)*(E2=E$1:E1246))))))</f>
        <v> </v>
      </c>
      <c r="K1247" s="25" t="str">
        <f>IF(OR(E1247="",E1247="!!!",F1247="NEW"),"",INDEX(J$1:J1246,SUMPRODUCT(MAX(ROW(E$1:E1246)*(E1247=E$1:E1246)))))</f>
        <v> </v>
      </c>
      <c r="L1247" s="26"/>
    </row>
    <row r="1248" spans="1:12">
      <c r="A1248" s="20" t="s">
        <v>271</v>
      </c>
      <c r="E1248" s="21">
        <f>IF(D1248="?OLD","!!!","")</f>
        <v/>
      </c>
      <c r="F1248" s="22" t="str">
        <f>IF(OR(E1248="",E1248="!!!"),"",IF(NOT(ISNA(VLOOKUP(E1248,E$1:E1247,1,FALSE()))),"OLD",IF(AND(E1248&lt;&gt;"",E1248&lt;&gt;"!!!"),"NEW","")))</f>
        <v> </v>
      </c>
      <c r="G1248" s="23" t="str">
        <f>IF(OR(E1248="",E1248="!!!"),"",IF(OR(J1248=0,AND(J1248=1,K1248=1),AND(J1248=1,I1248="SBJ"),AND(J1248=1,I1248=0)),"?IN_FOCUS",IF(J1248&lt;=2,"?ACTIVATED",IF(J1248&lt;&gt;"","?FAMILIAR",IF(F1248="NEW",IF(ISNA(VLOOKUP(E1248,#REF!,1,FALSE())),"?TYPE_IDENTIFIABLE","?REFERENTIAL"),"_")))))</f>
        <v> </v>
      </c>
      <c r="H1248" s="24" t="str">
        <f>IF(J1248&lt;&gt;1,"",IF(I1248="SBJ","CB","?"))</f>
        <v> </v>
      </c>
      <c r="I1248" s="25" t="str">
        <f>IF(OR(E1248="",E1248="!!!",F1248="NEW"),"",INDEX(B1247:B$2,-1+SUMPRODUCT(MAX(ROW(E1247:E$2)*(E1248=E1247:E$2)))))</f>
        <v> </v>
      </c>
      <c r="J1248" s="25" t="str">
        <f>IF(OR(E1248="",E1248="!!!",F1248="NEW"),"",COUNTBLANK(OFFSET(A$1,,,SUMPRODUCT(MAX(ROW(E$2:E1248)*(E1248=E$2:E1248)))))-COUNTBLANK(OFFSET(A$1,,,SUMPRODUCT(MAX(ROW(E$1:E1247)*(E2=E$1:E1247))))))</f>
        <v> </v>
      </c>
      <c r="K1248" s="25" t="str">
        <f>IF(OR(E1248="",E1248="!!!",F1248="NEW"),"",INDEX(J$1:J1247,SUMPRODUCT(MAX(ROW(E$1:E1247)*(E1248=E$1:E1247)))))</f>
        <v> </v>
      </c>
      <c r="L1248" s="26"/>
    </row>
    <row r="1249" spans="1:12">
      <c r="A1249" s="20" t="s">
        <v>280</v>
      </c>
      <c r="E1249" s="21">
        <f>IF(D1249="?OLD","!!!","")</f>
        <v/>
      </c>
      <c r="F1249" s="22" t="str">
        <f>IF(OR(E1249="",E1249="!!!"),"",IF(NOT(ISNA(VLOOKUP(E1249,E$1:E1248,1,FALSE()))),"OLD",IF(AND(E1249&lt;&gt;"",E1249&lt;&gt;"!!!"),"NEW","")))</f>
        <v> </v>
      </c>
      <c r="G1249" s="23" t="str">
        <f>IF(OR(E1249="",E1249="!!!"),"",IF(OR(J1249=0,AND(J1249=1,K1249=1),AND(J1249=1,I1249="SBJ"),AND(J1249=1,I1249=0)),"?IN_FOCUS",IF(J1249&lt;=2,"?ACTIVATED",IF(J1249&lt;&gt;"","?FAMILIAR",IF(F1249="NEW",IF(ISNA(VLOOKUP(E1249,#REF!,1,FALSE())),"?TYPE_IDENTIFIABLE","?REFERENTIAL"),"_")))))</f>
        <v> </v>
      </c>
      <c r="H1249" s="24" t="str">
        <f>IF(J1249&lt;&gt;1,"",IF(I1249="SBJ","CB","?"))</f>
        <v> </v>
      </c>
      <c r="I1249" s="25" t="str">
        <f>IF(OR(E1249="",E1249="!!!",F1249="NEW"),"",INDEX(B1248:B$2,-1+SUMPRODUCT(MAX(ROW(E1248:E$2)*(E1249=E1248:E$2)))))</f>
        <v> </v>
      </c>
      <c r="J1249" s="25" t="str">
        <f>IF(OR(E1249="",E1249="!!!",F1249="NEW"),"",COUNTBLANK(OFFSET(A$1,,,SUMPRODUCT(MAX(ROW(E$2:E1249)*(E1249=E$2:E1249)))))-COUNTBLANK(OFFSET(A$1,,,SUMPRODUCT(MAX(ROW(E$1:E1248)*(E2=E$1:E1248))))))</f>
        <v> </v>
      </c>
      <c r="K1249" s="25" t="str">
        <f>IF(OR(E1249="",E1249="!!!",F1249="NEW"),"",INDEX(J$1:J1248,SUMPRODUCT(MAX(ROW(E$1:E1248)*(E1249=E$1:E1248)))))</f>
        <v> </v>
      </c>
      <c r="L1249" s="26"/>
    </row>
    <row r="1250" spans="1:12">
      <c r="A1250" s="20" t="s">
        <v>416</v>
      </c>
      <c r="E1250" s="21">
        <f>IF(D1250="?OLD","!!!","")</f>
        <v/>
      </c>
      <c r="F1250" s="22" t="str">
        <f>IF(OR(E1250="",E1250="!!!"),"",IF(NOT(ISNA(VLOOKUP(E1250,E$1:E1249,1,FALSE()))),"OLD",IF(AND(E1250&lt;&gt;"",E1250&lt;&gt;"!!!"),"NEW","")))</f>
        <v> </v>
      </c>
      <c r="G1250" s="23" t="str">
        <f>IF(OR(E1250="",E1250="!!!"),"",IF(OR(J1250=0,AND(J1250=1,K1250=1),AND(J1250=1,I1250="SBJ"),AND(J1250=1,I1250=0)),"?IN_FOCUS",IF(J1250&lt;=2,"?ACTIVATED",IF(J1250&lt;&gt;"","?FAMILIAR",IF(F1250="NEW",IF(ISNA(VLOOKUP(E1250,#REF!,1,FALSE())),"?TYPE_IDENTIFIABLE","?REFERENTIAL"),"_")))))</f>
        <v> </v>
      </c>
      <c r="H1250" s="24" t="str">
        <f>IF(J1250&lt;&gt;1,"",IF(I1250="SBJ","CB","?"))</f>
        <v> </v>
      </c>
      <c r="I1250" s="25" t="str">
        <f>IF(OR(E1250="",E1250="!!!",F1250="NEW"),"",INDEX(B1249:B$2,-1+SUMPRODUCT(MAX(ROW(E1249:E$2)*(E1250=E1249:E$2)))))</f>
        <v> </v>
      </c>
      <c r="J1250" s="25" t="str">
        <f>IF(OR(E1250="",E1250="!!!",F1250="NEW"),"",COUNTBLANK(OFFSET(A$1,,,SUMPRODUCT(MAX(ROW(E$2:E1250)*(E1250=E$2:E1250)))))-COUNTBLANK(OFFSET(A$1,,,SUMPRODUCT(MAX(ROW(E$1:E1249)*(E2=E$1:E1249))))))</f>
        <v> </v>
      </c>
      <c r="K1250" s="25" t="str">
        <f>IF(OR(E1250="",E1250="!!!",F1250="NEW"),"",INDEX(J$1:J1249,SUMPRODUCT(MAX(ROW(E$1:E1249)*(E1250=E$1:E1249)))))</f>
        <v> </v>
      </c>
      <c r="L1250" s="26"/>
    </row>
    <row r="1251" spans="1:12">
      <c r="A1251" s="20" t="s">
        <v>677</v>
      </c>
      <c r="B1251" s="27" t="s">
        <v>333</v>
      </c>
      <c r="C1251" s="27" t="s">
        <v>341</v>
      </c>
      <c r="D1251" s="27" t="s">
        <v>258</v>
      </c>
      <c r="E1251" s="21">
        <f>IF(D1251="?OLD","!!!","")</f>
        <v/>
      </c>
      <c r="F1251" s="22" t="str">
        <f>IF(OR(E1251="",E1251="!!!"),"",IF(NOT(ISNA(VLOOKUP(E1251,E$1:E1250,1,FALSE()))),"OLD",IF(AND(E1251&lt;&gt;"",E1251&lt;&gt;"!!!"),"NEW","")))</f>
        <v> </v>
      </c>
      <c r="G1251" s="23" t="str">
        <f>IF(OR(E1251="",E1251="!!!"),"",IF(OR(J1251=0,AND(J1251=1,K1251=1),AND(J1251=1,I1251="SBJ"),AND(J1251=1,I1251=0)),"?IN_FOCUS",IF(J1251&lt;=2,"?ACTIVATED",IF(J1251&lt;&gt;"","?FAMILIAR",IF(F1251="NEW",IF(ISNA(VLOOKUP(E1251,#REF!,1,FALSE())),"?TYPE_IDENTIFIABLE","?REFERENTIAL"),"_")))))</f>
        <v> </v>
      </c>
      <c r="H1251" s="24" t="str">
        <f>IF(J1251&lt;&gt;1,"",IF(I1251="SBJ","CB","?"))</f>
        <v> </v>
      </c>
      <c r="I1251" s="25" t="str">
        <f>IF(OR(E1251="",E1251="!!!",F1251="NEW"),"",INDEX(B1250:B$2,-1+SUMPRODUCT(MAX(ROW(E1250:E$2)*(E1251=E1250:E$2)))))</f>
        <v> </v>
      </c>
      <c r="J1251" s="25" t="str">
        <f>IF(OR(E1251="",E1251="!!!",F1251="NEW"),"",COUNTBLANK(OFFSET(A$1,,,SUMPRODUCT(MAX(ROW(E$2:E1251)*(E1251=E$2:E1251)))))-COUNTBLANK(OFFSET(A$1,,,SUMPRODUCT(MAX(ROW(E$1:E1250)*(E2=E$1:E1250))))))</f>
        <v> </v>
      </c>
      <c r="K1251" s="25" t="str">
        <f>IF(OR(E1251="",E1251="!!!",F1251="NEW"),"",INDEX(J$1:J1250,SUMPRODUCT(MAX(ROW(E$1:E1250)*(E1251=E$1:E1250)))))</f>
        <v> </v>
      </c>
      <c r="L1251" s="26"/>
    </row>
    <row r="1252" spans="1:12">
      <c r="A1252" s="20" t="s">
        <v>271</v>
      </c>
      <c r="E1252" s="21">
        <f>IF(D1252="?OLD","!!!","")</f>
        <v/>
      </c>
      <c r="F1252" s="22" t="str">
        <f>IF(OR(E1252="",E1252="!!!"),"",IF(NOT(ISNA(VLOOKUP(E1252,E$1:E1251,1,FALSE()))),"OLD",IF(AND(E1252&lt;&gt;"",E1252&lt;&gt;"!!!"),"NEW","")))</f>
        <v> </v>
      </c>
      <c r="G1252" s="23" t="str">
        <f>IF(OR(E1252="",E1252="!!!"),"",IF(OR(J1252=0,AND(J1252=1,K1252=1),AND(J1252=1,I1252="SBJ"),AND(J1252=1,I1252=0)),"?IN_FOCUS",IF(J1252&lt;=2,"?ACTIVATED",IF(J1252&lt;&gt;"","?FAMILIAR",IF(F1252="NEW",IF(ISNA(VLOOKUP(E1252,#REF!,1,FALSE())),"?TYPE_IDENTIFIABLE","?REFERENTIAL"),"_")))))</f>
        <v> </v>
      </c>
      <c r="H1252" s="24" t="str">
        <f>IF(J1252&lt;&gt;1,"",IF(I1252="SBJ","CB","?"))</f>
        <v> </v>
      </c>
      <c r="I1252" s="25" t="str">
        <f>IF(OR(E1252="",E1252="!!!",F1252="NEW"),"",INDEX(B1251:B$2,-1+SUMPRODUCT(MAX(ROW(E1251:E$2)*(E1252=E1251:E$2)))))</f>
        <v> </v>
      </c>
      <c r="J1252" s="25" t="str">
        <f>IF(OR(E1252="",E1252="!!!",F1252="NEW"),"",COUNTBLANK(OFFSET(A$1,,,SUMPRODUCT(MAX(ROW(E$2:E1252)*(E1252=E$2:E1252)))))-COUNTBLANK(OFFSET(A$1,,,SUMPRODUCT(MAX(ROW(E$1:E1251)*(E2=E$1:E1251))))))</f>
        <v> </v>
      </c>
      <c r="K1252" s="25" t="str">
        <f>IF(OR(E1252="",E1252="!!!",F1252="NEW"),"",INDEX(J$1:J1251,SUMPRODUCT(MAX(ROW(E$1:E1251)*(E1252=E$1:E1251)))))</f>
        <v> </v>
      </c>
      <c r="L1252" s="26"/>
    </row>
    <row r="1253" spans="1:12">
      <c r="A1253" s="20" t="s">
        <v>282</v>
      </c>
      <c r="B1253" s="27" t="s">
        <v>276</v>
      </c>
      <c r="C1253" s="27" t="s">
        <v>257</v>
      </c>
      <c r="D1253" s="27" t="s">
        <v>258</v>
      </c>
      <c r="E1253" s="21">
        <f>IF(D1253="?OLD","!!!","")</f>
        <v/>
      </c>
      <c r="F1253" s="22" t="str">
        <f>IF(OR(E1253="",E1253="!!!"),"",IF(NOT(ISNA(VLOOKUP(E1253,E$1:E1252,1,FALSE()))),"OLD",IF(AND(E1253&lt;&gt;"",E1253&lt;&gt;"!!!"),"NEW","")))</f>
        <v> </v>
      </c>
      <c r="G1253" s="23" t="str">
        <f>IF(OR(E1253="",E1253="!!!"),"",IF(OR(J1253=0,AND(J1253=1,K1253=1),AND(J1253=1,I1253="SBJ"),AND(J1253=1,I1253=0)),"?IN_FOCUS",IF(J1253&lt;=2,"?ACTIVATED",IF(J1253&lt;&gt;"","?FAMILIAR",IF(F1253="NEW",IF(ISNA(VLOOKUP(E1253,#REF!,1,FALSE())),"?TYPE_IDENTIFIABLE","?REFERENTIAL"),"_")))))</f>
        <v> </v>
      </c>
      <c r="H1253" s="24" t="str">
        <f>IF(J1253&lt;&gt;1,"",IF(I1253="SBJ","CB","?"))</f>
        <v> </v>
      </c>
      <c r="I1253" s="25" t="str">
        <f>IF(OR(E1253="",E1253="!!!",F1253="NEW"),"",INDEX(B1252:B$2,-1+SUMPRODUCT(MAX(ROW(E1252:E$2)*(E1253=E1252:E$2)))))</f>
        <v> </v>
      </c>
      <c r="J1253" s="25" t="str">
        <f>IF(OR(E1253="",E1253="!!!",F1253="NEW"),"",COUNTBLANK(OFFSET(A$1,,,SUMPRODUCT(MAX(ROW(E$2:E1253)*(E1253=E$2:E1253)))))-COUNTBLANK(OFFSET(A$1,,,SUMPRODUCT(MAX(ROW(E$1:E1252)*(E2=E$1:E1252))))))</f>
        <v> </v>
      </c>
      <c r="K1253" s="25" t="str">
        <f>IF(OR(E1253="",E1253="!!!",F1253="NEW"),"",INDEX(J$1:J1252,SUMPRODUCT(MAX(ROW(E$1:E1252)*(E1253=E$1:E1252)))))</f>
        <v> </v>
      </c>
      <c r="L1253" s="26"/>
    </row>
    <row r="1254" spans="1:12">
      <c r="A1254" s="20" t="s">
        <v>210</v>
      </c>
      <c r="E1254" s="21">
        <f>IF(D1254="?OLD","!!!","")</f>
        <v/>
      </c>
      <c r="F1254" s="22" t="str">
        <f>IF(OR(E1254="",E1254="!!!"),"",IF(NOT(ISNA(VLOOKUP(E1254,E$1:E1253,1,FALSE()))),"OLD",IF(AND(E1254&lt;&gt;"",E1254&lt;&gt;"!!!"),"NEW","")))</f>
        <v> </v>
      </c>
      <c r="G1254" s="23" t="str">
        <f>IF(OR(E1254="",E1254="!!!"),"",IF(OR(J1254=0,AND(J1254=1,K1254=1),AND(J1254=1,I1254="SBJ"),AND(J1254=1,I1254=0)),"?IN_FOCUS",IF(J1254&lt;=2,"?ACTIVATED",IF(J1254&lt;&gt;"","?FAMILIAR",IF(F1254="NEW",IF(ISNA(VLOOKUP(E1254,#REF!,1,FALSE())),"?TYPE_IDENTIFIABLE","?REFERENTIAL"),"_")))))</f>
        <v> </v>
      </c>
      <c r="H1254" s="24" t="str">
        <f>IF(J1254&lt;&gt;1,"",IF(I1254="SBJ","CB","?"))</f>
        <v> </v>
      </c>
      <c r="I1254" s="25" t="str">
        <f>IF(OR(E1254="",E1254="!!!",F1254="NEW"),"",INDEX(B1253:B$2,-1+SUMPRODUCT(MAX(ROW(E1253:E$2)*(E1254=E1253:E$2)))))</f>
        <v> </v>
      </c>
      <c r="J1254" s="25" t="str">
        <f>IF(OR(E1254="",E1254="!!!",F1254="NEW"),"",COUNTBLANK(OFFSET(A$1,,,SUMPRODUCT(MAX(ROW(E$2:E1254)*(E1254=E$2:E1254)))))-COUNTBLANK(OFFSET(A$1,,,SUMPRODUCT(MAX(ROW(E$1:E1253)*(E2=E$1:E1253))))))</f>
        <v> </v>
      </c>
      <c r="K1254" s="25" t="str">
        <f>IF(OR(E1254="",E1254="!!!",F1254="NEW"),"",INDEX(J$1:J1253,SUMPRODUCT(MAX(ROW(E$1:E1253)*(E1254=E$1:E1253)))))</f>
        <v> </v>
      </c>
      <c r="L1254" s="26"/>
    </row>
    <row r="1255" spans="1:12">
      <c r="A1255" s="20" t="s">
        <v>296</v>
      </c>
      <c r="E1255" s="21">
        <f>IF(D1255="?OLD","!!!","")</f>
        <v/>
      </c>
      <c r="F1255" s="22" t="str">
        <f>IF(OR(E1255="",E1255="!!!"),"",IF(NOT(ISNA(VLOOKUP(E1255,E$1:E1254,1,FALSE()))),"OLD",IF(AND(E1255&lt;&gt;"",E1255&lt;&gt;"!!!"),"NEW","")))</f>
        <v> </v>
      </c>
      <c r="G1255" s="23" t="str">
        <f>IF(OR(E1255="",E1255="!!!"),"",IF(OR(J1255=0,AND(J1255=1,K1255=1),AND(J1255=1,I1255="SBJ"),AND(J1255=1,I1255=0)),"?IN_FOCUS",IF(J1255&lt;=2,"?ACTIVATED",IF(J1255&lt;&gt;"","?FAMILIAR",IF(F1255="NEW",IF(ISNA(VLOOKUP(E1255,#REF!,1,FALSE())),"?TYPE_IDENTIFIABLE","?REFERENTIAL"),"_")))))</f>
        <v> </v>
      </c>
      <c r="H1255" s="24" t="str">
        <f>IF(J1255&lt;&gt;1,"",IF(I1255="SBJ","CB","?"))</f>
        <v> </v>
      </c>
      <c r="I1255" s="25" t="str">
        <f>IF(OR(E1255="",E1255="!!!",F1255="NEW"),"",INDEX(B1254:B$2,-1+SUMPRODUCT(MAX(ROW(E1254:E$2)*(E1255=E1254:E$2)))))</f>
        <v> </v>
      </c>
      <c r="J1255" s="25" t="str">
        <f>IF(OR(E1255="",E1255="!!!",F1255="NEW"),"",COUNTBLANK(OFFSET(A$1,,,SUMPRODUCT(MAX(ROW(E$2:E1255)*(E1255=E$2:E1255)))))-COUNTBLANK(OFFSET(A$1,,,SUMPRODUCT(MAX(ROW(E$1:E1254)*(E2=E$1:E1254))))))</f>
        <v> </v>
      </c>
      <c r="K1255" s="25" t="str">
        <f>IF(OR(E1255="",E1255="!!!",F1255="NEW"),"",INDEX(J$1:J1254,SUMPRODUCT(MAX(ROW(E$1:E1254)*(E1255=E$1:E1254)))))</f>
        <v> </v>
      </c>
      <c r="L1255" s="26"/>
    </row>
    <row r="1256" spans="1:12">
      <c r="A1256" s="20" t="s">
        <v>279</v>
      </c>
      <c r="B1256" s="27" t="s">
        <v>333</v>
      </c>
      <c r="C1256" s="27" t="s">
        <v>270</v>
      </c>
      <c r="E1256" s="21">
        <f>IF(D1256="?OLD","!!!","")</f>
        <v/>
      </c>
      <c r="F1256" s="22" t="str">
        <f>IF(OR(E1256="",E1256="!!!"),"",IF(NOT(ISNA(VLOOKUP(E1256,E$1:E1255,1,FALSE()))),"OLD",IF(AND(E1256&lt;&gt;"",E1256&lt;&gt;"!!!"),"NEW","")))</f>
        <v> </v>
      </c>
      <c r="G1256" s="23" t="str">
        <f>IF(OR(E1256="",E1256="!!!"),"",IF(OR(J1256=0,AND(J1256=1,K1256=1),AND(J1256=1,I1256="SBJ"),AND(J1256=1,I1256=0)),"?IN_FOCUS",IF(J1256&lt;=2,"?ACTIVATED",IF(J1256&lt;&gt;"","?FAMILIAR",IF(F1256="NEW",IF(ISNA(VLOOKUP(E1256,#REF!,1,FALSE())),"?TYPE_IDENTIFIABLE","?REFERENTIAL"),"_")))))</f>
        <v> </v>
      </c>
      <c r="H1256" s="24" t="str">
        <f>IF(J1256&lt;&gt;1,"",IF(I1256="SBJ","CB","?"))</f>
        <v> </v>
      </c>
      <c r="I1256" s="25" t="str">
        <f>IF(OR(E1256="",E1256="!!!",F1256="NEW"),"",INDEX(B1255:B$2,-1+SUMPRODUCT(MAX(ROW(E1255:E$2)*(E1256=E1255:E$2)))))</f>
        <v> </v>
      </c>
      <c r="J1256" s="25" t="str">
        <f>IF(OR(E1256="",E1256="!!!",F1256="NEW"),"",COUNTBLANK(OFFSET(A$1,,,SUMPRODUCT(MAX(ROW(E$2:E1256)*(E1256=E$2:E1256)))))-COUNTBLANK(OFFSET(A$1,,,SUMPRODUCT(MAX(ROW(E$1:E1255)*(E2=E$1:E1255))))))</f>
        <v> </v>
      </c>
      <c r="K1256" s="25" t="str">
        <f>IF(OR(E1256="",E1256="!!!",F1256="NEW"),"",INDEX(J$1:J1255,SUMPRODUCT(MAX(ROW(E$1:E1255)*(E1256=E$1:E1255)))))</f>
        <v> </v>
      </c>
      <c r="L1256" s="26"/>
    </row>
    <row r="1257" spans="1:12">
      <c r="A1257" s="20" t="s">
        <v>427</v>
      </c>
      <c r="E1257" s="21">
        <f>IF(D1257="?OLD","!!!","")</f>
        <v/>
      </c>
      <c r="F1257" s="22" t="str">
        <f>IF(OR(E1257="",E1257="!!!"),"",IF(NOT(ISNA(VLOOKUP(E1257,E$1:E1256,1,FALSE()))),"OLD",IF(AND(E1257&lt;&gt;"",E1257&lt;&gt;"!!!"),"NEW","")))</f>
        <v> </v>
      </c>
      <c r="G1257" s="23" t="str">
        <f>IF(OR(E1257="",E1257="!!!"),"",IF(OR(J1257=0,AND(J1257=1,K1257=1),AND(J1257=1,I1257="SBJ"),AND(J1257=1,I1257=0)),"?IN_FOCUS",IF(J1257&lt;=2,"?ACTIVATED",IF(J1257&lt;&gt;"","?FAMILIAR",IF(F1257="NEW",IF(ISNA(VLOOKUP(E1257,#REF!,1,FALSE())),"?TYPE_IDENTIFIABLE","?REFERENTIAL"),"_")))))</f>
        <v> </v>
      </c>
      <c r="H1257" s="24" t="str">
        <f>IF(J1257&lt;&gt;1,"",IF(I1257="SBJ","CB","?"))</f>
        <v> </v>
      </c>
      <c r="I1257" s="25" t="str">
        <f>IF(OR(E1257="",E1257="!!!",F1257="NEW"),"",INDEX(B1256:B$2,-1+SUMPRODUCT(MAX(ROW(E1256:E$2)*(E1257=E1256:E$2)))))</f>
        <v> </v>
      </c>
      <c r="J1257" s="25" t="str">
        <f>IF(OR(E1257="",E1257="!!!",F1257="NEW"),"",COUNTBLANK(OFFSET(A$1,,,SUMPRODUCT(MAX(ROW(E$2:E1257)*(E1257=E$2:E1257)))))-COUNTBLANK(OFFSET(A$1,,,SUMPRODUCT(MAX(ROW(E$1:E1256)*(E2=E$1:E1256))))))</f>
        <v> </v>
      </c>
      <c r="K1257" s="25" t="str">
        <f>IF(OR(E1257="",E1257="!!!",F1257="NEW"),"",INDEX(J$1:J1256,SUMPRODUCT(MAX(ROW(E$1:E1256)*(E1257=E$1:E1256)))))</f>
        <v> </v>
      </c>
      <c r="L1257" s="26"/>
    </row>
    <row r="1258" spans="1:12">
      <c r="A1258" s="20" t="s">
        <v>678</v>
      </c>
      <c r="E1258" s="21">
        <f>IF(D1258="?OLD","!!!","")</f>
        <v/>
      </c>
      <c r="F1258" s="22" t="str">
        <f>IF(OR(E1258="",E1258="!!!"),"",IF(NOT(ISNA(VLOOKUP(E1258,E$1:E1257,1,FALSE()))),"OLD",IF(AND(E1258&lt;&gt;"",E1258&lt;&gt;"!!!"),"NEW","")))</f>
        <v> </v>
      </c>
      <c r="G1258" s="23" t="str">
        <f>IF(OR(E1258="",E1258="!!!"),"",IF(OR(J1258=0,AND(J1258=1,K1258=1),AND(J1258=1,I1258="SBJ"),AND(J1258=1,I1258=0)),"?IN_FOCUS",IF(J1258&lt;=2,"?ACTIVATED",IF(J1258&lt;&gt;"","?FAMILIAR",IF(F1258="NEW",IF(ISNA(VLOOKUP(E1258,#REF!,1,FALSE())),"?TYPE_IDENTIFIABLE","?REFERENTIAL"),"_")))))</f>
        <v> </v>
      </c>
      <c r="H1258" s="24" t="str">
        <f>IF(J1258&lt;&gt;1,"",IF(I1258="SBJ","CB","?"))</f>
        <v> </v>
      </c>
      <c r="I1258" s="25" t="str">
        <f>IF(OR(E1258="",E1258="!!!",F1258="NEW"),"",INDEX(B1257:B$2,-1+SUMPRODUCT(MAX(ROW(E1257:E$2)*(E1258=E1257:E$2)))))</f>
        <v> </v>
      </c>
      <c r="J1258" s="25" t="str">
        <f>IF(OR(E1258="",E1258="!!!",F1258="NEW"),"",COUNTBLANK(OFFSET(A$1,,,SUMPRODUCT(MAX(ROW(E$2:E1258)*(E1258=E$2:E1258)))))-COUNTBLANK(OFFSET(A$1,,,SUMPRODUCT(MAX(ROW(E$1:E1257)*(E2=E$1:E1257))))))</f>
        <v> </v>
      </c>
      <c r="K1258" s="25" t="str">
        <f>IF(OR(E1258="",E1258="!!!",F1258="NEW"),"",INDEX(J$1:J1257,SUMPRODUCT(MAX(ROW(E$1:E1257)*(E1258=E$1:E1257)))))</f>
        <v> </v>
      </c>
      <c r="L1258" s="26"/>
    </row>
    <row r="1259" spans="1:12">
      <c r="A1259" s="20" t="s">
        <v>416</v>
      </c>
      <c r="E1259" s="21">
        <f>IF(D1259="?OLD","!!!","")</f>
        <v/>
      </c>
      <c r="F1259" s="22" t="str">
        <f>IF(OR(E1259="",E1259="!!!"),"",IF(NOT(ISNA(VLOOKUP(E1259,E$1:E1258,1,FALSE()))),"OLD",IF(AND(E1259&lt;&gt;"",E1259&lt;&gt;"!!!"),"NEW","")))</f>
        <v> </v>
      </c>
      <c r="G1259" s="23" t="str">
        <f>IF(OR(E1259="",E1259="!!!"),"",IF(OR(J1259=0,AND(J1259=1,K1259=1),AND(J1259=1,I1259="SBJ"),AND(J1259=1,I1259=0)),"?IN_FOCUS",IF(J1259&lt;=2,"?ACTIVATED",IF(J1259&lt;&gt;"","?FAMILIAR",IF(F1259="NEW",IF(ISNA(VLOOKUP(E1259,#REF!,1,FALSE())),"?TYPE_IDENTIFIABLE","?REFERENTIAL"),"_")))))</f>
        <v> </v>
      </c>
      <c r="H1259" s="24" t="str">
        <f>IF(J1259&lt;&gt;1,"",IF(I1259="SBJ","CB","?"))</f>
        <v> </v>
      </c>
      <c r="I1259" s="25" t="str">
        <f>IF(OR(E1259="",E1259="!!!",F1259="NEW"),"",INDEX(B1258:B$2,-1+SUMPRODUCT(MAX(ROW(E1258:E$2)*(E1259=E1258:E$2)))))</f>
        <v> </v>
      </c>
      <c r="J1259" s="25" t="str">
        <f>IF(OR(E1259="",E1259="!!!",F1259="NEW"),"",COUNTBLANK(OFFSET(A$1,,,SUMPRODUCT(MAX(ROW(E$2:E1259)*(E1259=E$2:E1259)))))-COUNTBLANK(OFFSET(A$1,,,SUMPRODUCT(MAX(ROW(E$1:E1258)*(E2=E$1:E1258))))))</f>
        <v> </v>
      </c>
      <c r="K1259" s="25" t="str">
        <f>IF(OR(E1259="",E1259="!!!",F1259="NEW"),"",INDEX(J$1:J1258,SUMPRODUCT(MAX(ROW(E$1:E1258)*(E1259=E$1:E1258)))))</f>
        <v> </v>
      </c>
      <c r="L1259" s="26"/>
    </row>
    <row r="1260" spans="1:12">
      <c r="A1260" s="20" t="s">
        <v>679</v>
      </c>
      <c r="B1260" s="27" t="s">
        <v>333</v>
      </c>
      <c r="C1260" s="27" t="s">
        <v>341</v>
      </c>
      <c r="D1260" s="27" t="s">
        <v>258</v>
      </c>
      <c r="E1260" s="21">
        <f>IF(D1260="?OLD","!!!","")</f>
        <v/>
      </c>
      <c r="F1260" s="22" t="str">
        <f>IF(OR(E1260="",E1260="!!!"),"",IF(NOT(ISNA(VLOOKUP(E1260,E$1:E1259,1,FALSE()))),"OLD",IF(AND(E1260&lt;&gt;"",E1260&lt;&gt;"!!!"),"NEW","")))</f>
        <v> </v>
      </c>
      <c r="G1260" s="23" t="str">
        <f>IF(OR(E1260="",E1260="!!!"),"",IF(OR(J1260=0,AND(J1260=1,K1260=1),AND(J1260=1,I1260="SBJ"),AND(J1260=1,I1260=0)),"?IN_FOCUS",IF(J1260&lt;=2,"?ACTIVATED",IF(J1260&lt;&gt;"","?FAMILIAR",IF(F1260="NEW",IF(ISNA(VLOOKUP(E1260,#REF!,1,FALSE())),"?TYPE_IDENTIFIABLE","?REFERENTIAL"),"_")))))</f>
        <v> </v>
      </c>
      <c r="H1260" s="24" t="str">
        <f>IF(J1260&lt;&gt;1,"",IF(I1260="SBJ","CB","?"))</f>
        <v> </v>
      </c>
      <c r="I1260" s="25" t="str">
        <f>IF(OR(E1260="",E1260="!!!",F1260="NEW"),"",INDEX(B1259:B$2,-1+SUMPRODUCT(MAX(ROW(E1259:E$2)*(E1260=E1259:E$2)))))</f>
        <v> </v>
      </c>
      <c r="J1260" s="25" t="str">
        <f>IF(OR(E1260="",E1260="!!!",F1260="NEW"),"",COUNTBLANK(OFFSET(A$1,,,SUMPRODUCT(MAX(ROW(E$2:E1260)*(E1260=E$2:E1260)))))-COUNTBLANK(OFFSET(A$1,,,SUMPRODUCT(MAX(ROW(E$1:E1259)*(E2=E$1:E1259))))))</f>
        <v> </v>
      </c>
      <c r="K1260" s="25" t="str">
        <f>IF(OR(E1260="",E1260="!!!",F1260="NEW"),"",INDEX(J$1:J1259,SUMPRODUCT(MAX(ROW(E$1:E1259)*(E1260=E$1:E1259)))))</f>
        <v> </v>
      </c>
      <c r="L1260" s="26"/>
    </row>
    <row r="1261" spans="1:12">
      <c r="A1261" s="20" t="s">
        <v>320</v>
      </c>
      <c r="E1261" s="21">
        <f>IF(D1261="?OLD","!!!","")</f>
        <v/>
      </c>
      <c r="F1261" s="22" t="str">
        <f>IF(OR(E1261="",E1261="!!!"),"",IF(NOT(ISNA(VLOOKUP(E1261,E$1:E1260,1,FALSE()))),"OLD",IF(AND(E1261&lt;&gt;"",E1261&lt;&gt;"!!!"),"NEW","")))</f>
        <v> </v>
      </c>
      <c r="G1261" s="23" t="str">
        <f>IF(OR(E1261="",E1261="!!!"),"",IF(OR(J1261=0,AND(J1261=1,K1261=1),AND(J1261=1,I1261="SBJ"),AND(J1261=1,I1261=0)),"?IN_FOCUS",IF(J1261&lt;=2,"?ACTIVATED",IF(J1261&lt;&gt;"","?FAMILIAR",IF(F1261="NEW",IF(ISNA(VLOOKUP(E1261,#REF!,1,FALSE())),"?TYPE_IDENTIFIABLE","?REFERENTIAL"),"_")))))</f>
        <v> </v>
      </c>
      <c r="H1261" s="24" t="str">
        <f>IF(J1261&lt;&gt;1,"",IF(I1261="SBJ","CB","?"))</f>
        <v> </v>
      </c>
      <c r="I1261" s="25" t="str">
        <f>IF(OR(E1261="",E1261="!!!",F1261="NEW"),"",INDEX(B1260:B$2,-1+SUMPRODUCT(MAX(ROW(E1260:E$2)*(E1261=E1260:E$2)))))</f>
        <v> </v>
      </c>
      <c r="J1261" s="25" t="str">
        <f>IF(OR(E1261="",E1261="!!!",F1261="NEW"),"",COUNTBLANK(OFFSET(A$1,,,SUMPRODUCT(MAX(ROW(E$2:E1261)*(E1261=E$2:E1261)))))-COUNTBLANK(OFFSET(A$1,,,SUMPRODUCT(MAX(ROW(E$1:E1260)*(E2=E$1:E1260))))))</f>
        <v> </v>
      </c>
      <c r="K1261" s="25" t="str">
        <f>IF(OR(E1261="",E1261="!!!",F1261="NEW"),"",INDEX(J$1:J1260,SUMPRODUCT(MAX(ROW(E$1:E1260)*(E1261=E$1:E1260)))))</f>
        <v> </v>
      </c>
      <c r="L1261" s="26"/>
    </row>
    <row r="1262" spans="1:12">
      <c r="A1262" s="20"/>
    </row>
    <row r="1263" spans="1:12">
      <c r="A1263" s="20" t="s">
        <v>680</v>
      </c>
    </row>
    <row r="1264" spans="1:12">
      <c r="A1264" s="20" t="s">
        <v>380</v>
      </c>
      <c r="B1264" s="27" t="s">
        <v>276</v>
      </c>
      <c r="C1264" s="27" t="s">
        <v>257</v>
      </c>
      <c r="D1264" s="27" t="s">
        <v>258</v>
      </c>
      <c r="E1264" s="21">
        <f>IF(D1264="?OLD","!!!","")</f>
        <v/>
      </c>
      <c r="F1264" s="22" t="str">
        <f>IF(OR(E1264="",E1264="!!!"),"",IF(NOT(ISNA(VLOOKUP(E1264,E$1:E1263,1,FALSE()))),"OLD",IF(AND(E1264&lt;&gt;"",E1264&lt;&gt;"!!!"),"NEW","")))</f>
        <v> </v>
      </c>
      <c r="G1264" s="23" t="str">
        <f>IF(OR(E1264="",E1264="!!!"),"",IF(OR(J1264=0,AND(J1264=1,K1264=1),AND(J1264=1,I1264="SBJ"),AND(J1264=1,I1264=0)),"?IN_FOCUS",IF(J1264&lt;=2,"?ACTIVATED",IF(J1264&lt;&gt;"","?FAMILIAR",IF(F1264="NEW",IF(ISNA(VLOOKUP(E1264,#REF!,1,FALSE())),"?TYPE_IDENTIFIABLE","?REFERENTIAL"),"_")))))</f>
        <v> </v>
      </c>
      <c r="H1264" s="24" t="str">
        <f>IF(J1264&lt;&gt;1,"",IF(I1264="SBJ","CB","?"))</f>
        <v> </v>
      </c>
      <c r="I1264" s="25" t="str">
        <f>IF(OR(E1264="",E1264="!!!",F1264="NEW"),"",INDEX(B1263:B$2,-1+SUMPRODUCT(MAX(ROW(E1263:E$2)*(E1264=E1263:E$2)))))</f>
        <v> </v>
      </c>
      <c r="J1264" s="25" t="str">
        <f>IF(OR(E1264="",E1264="!!!",F1264="NEW"),"",COUNTBLANK(OFFSET(A$1,,,SUMPRODUCT(MAX(ROW(E$2:E1264)*(E1264=E$2:E1264)))))-COUNTBLANK(OFFSET(A$1,,,SUMPRODUCT(MAX(ROW(E$1:E1263)*(E2=E$1:E1263))))))</f>
        <v> </v>
      </c>
      <c r="K1264" s="25" t="str">
        <f>IF(OR(E1264="",E1264="!!!",F1264="NEW"),"",INDEX(J$1:J1263,SUMPRODUCT(MAX(ROW(E$1:E1263)*(E1264=E$1:E1263)))))</f>
        <v> </v>
      </c>
      <c r="L1264" s="26"/>
    </row>
    <row r="1265" spans="1:12">
      <c r="A1265" s="20" t="s">
        <v>214</v>
      </c>
      <c r="E1265" s="21">
        <f>IF(D1265="?OLD","!!!","")</f>
        <v/>
      </c>
      <c r="F1265" s="22" t="str">
        <f>IF(OR(E1265="",E1265="!!!"),"",IF(NOT(ISNA(VLOOKUP(E1265,E$1:E1264,1,FALSE()))),"OLD",IF(AND(E1265&lt;&gt;"",E1265&lt;&gt;"!!!"),"NEW","")))</f>
        <v> </v>
      </c>
      <c r="G1265" s="23" t="str">
        <f>IF(OR(E1265="",E1265="!!!"),"",IF(OR(J1265=0,AND(J1265=1,K1265=1),AND(J1265=1,I1265="SBJ"),AND(J1265=1,I1265=0)),"?IN_FOCUS",IF(J1265&lt;=2,"?ACTIVATED",IF(J1265&lt;&gt;"","?FAMILIAR",IF(F1265="NEW",IF(ISNA(VLOOKUP(E1265,#REF!,1,FALSE())),"?TYPE_IDENTIFIABLE","?REFERENTIAL"),"_")))))</f>
        <v> </v>
      </c>
      <c r="H1265" s="24" t="str">
        <f>IF(J1265&lt;&gt;1,"",IF(I1265="SBJ","CB","?"))</f>
        <v> </v>
      </c>
      <c r="I1265" s="25" t="str">
        <f>IF(OR(E1265="",E1265="!!!",F1265="NEW"),"",INDEX(B1264:B$2,-1+SUMPRODUCT(MAX(ROW(E1264:E$2)*(E1265=E1264:E$2)))))</f>
        <v> </v>
      </c>
      <c r="J1265" s="25" t="str">
        <f>IF(OR(E1265="",E1265="!!!",F1265="NEW"),"",COUNTBLANK(OFFSET(A$1,,,SUMPRODUCT(MAX(ROW(E$2:E1265)*(E1265=E$2:E1265)))))-COUNTBLANK(OFFSET(A$1,,,SUMPRODUCT(MAX(ROW(E$1:E1264)*(E2=E$1:E1264))))))</f>
        <v> </v>
      </c>
      <c r="K1265" s="25" t="str">
        <f>IF(OR(E1265="",E1265="!!!",F1265="NEW"),"",INDEX(J$1:J1264,SUMPRODUCT(MAX(ROW(E$1:E1264)*(E1265=E$1:E1264)))))</f>
        <v> </v>
      </c>
      <c r="L1265" s="26"/>
    </row>
    <row r="1266" spans="1:12">
      <c r="A1266" s="20" t="s">
        <v>296</v>
      </c>
      <c r="E1266" s="21">
        <f>IF(D1266="?OLD","!!!","")</f>
        <v/>
      </c>
      <c r="F1266" s="22" t="str">
        <f>IF(OR(E1266="",E1266="!!!"),"",IF(NOT(ISNA(VLOOKUP(E1266,E$1:E1265,1,FALSE()))),"OLD",IF(AND(E1266&lt;&gt;"",E1266&lt;&gt;"!!!"),"NEW","")))</f>
        <v> </v>
      </c>
      <c r="G1266" s="23" t="str">
        <f>IF(OR(E1266="",E1266="!!!"),"",IF(OR(J1266=0,AND(J1266=1,K1266=1),AND(J1266=1,I1266="SBJ"),AND(J1266=1,I1266=0)),"?IN_FOCUS",IF(J1266&lt;=2,"?ACTIVATED",IF(J1266&lt;&gt;"","?FAMILIAR",IF(F1266="NEW",IF(ISNA(VLOOKUP(E1266,#REF!,1,FALSE())),"?TYPE_IDENTIFIABLE","?REFERENTIAL"),"_")))))</f>
        <v> </v>
      </c>
      <c r="H1266" s="24" t="str">
        <f>IF(J1266&lt;&gt;1,"",IF(I1266="SBJ","CB","?"))</f>
        <v> </v>
      </c>
      <c r="I1266" s="25" t="str">
        <f>IF(OR(E1266="",E1266="!!!",F1266="NEW"),"",INDEX(B1265:B$2,-1+SUMPRODUCT(MAX(ROW(E1265:E$2)*(E1266=E1265:E$2)))))</f>
        <v> </v>
      </c>
      <c r="J1266" s="25" t="str">
        <f>IF(OR(E1266="",E1266="!!!",F1266="NEW"),"",COUNTBLANK(OFFSET(A$1,,,SUMPRODUCT(MAX(ROW(E$2:E1266)*(E1266=E$2:E1266)))))-COUNTBLANK(OFFSET(A$1,,,SUMPRODUCT(MAX(ROW(E$1:E1265)*(E2=E$1:E1265))))))</f>
        <v> </v>
      </c>
      <c r="K1266" s="25" t="str">
        <f>IF(OR(E1266="",E1266="!!!",F1266="NEW"),"",INDEX(J$1:J1265,SUMPRODUCT(MAX(ROW(E$1:E1265)*(E1266=E$1:E1265)))))</f>
        <v> </v>
      </c>
      <c r="L1266" s="26"/>
    </row>
    <row r="1267" spans="1:12">
      <c r="A1267" s="20" t="s">
        <v>274</v>
      </c>
      <c r="E1267" s="21">
        <f>IF(D1267="?OLD","!!!","")</f>
        <v/>
      </c>
      <c r="F1267" s="22" t="str">
        <f>IF(OR(E1267="",E1267="!!!"),"",IF(NOT(ISNA(VLOOKUP(E1267,E$1:E1266,1,FALSE()))),"OLD",IF(AND(E1267&lt;&gt;"",E1267&lt;&gt;"!!!"),"NEW","")))</f>
        <v> </v>
      </c>
      <c r="G1267" s="23" t="str">
        <f>IF(OR(E1267="",E1267="!!!"),"",IF(OR(J1267=0,AND(J1267=1,K1267=1),AND(J1267=1,I1267="SBJ"),AND(J1267=1,I1267=0)),"?IN_FOCUS",IF(J1267&lt;=2,"?ACTIVATED",IF(J1267&lt;&gt;"","?FAMILIAR",IF(F1267="NEW",IF(ISNA(VLOOKUP(E1267,#REF!,1,FALSE())),"?TYPE_IDENTIFIABLE","?REFERENTIAL"),"_")))))</f>
        <v> </v>
      </c>
      <c r="H1267" s="24" t="str">
        <f>IF(J1267&lt;&gt;1,"",IF(I1267="SBJ","CB","?"))</f>
        <v> </v>
      </c>
      <c r="I1267" s="25" t="str">
        <f>IF(OR(E1267="",E1267="!!!",F1267="NEW"),"",INDEX(B1266:B$2,-1+SUMPRODUCT(MAX(ROW(E1266:E$2)*(E1267=E1266:E$2)))))</f>
        <v> </v>
      </c>
      <c r="J1267" s="25" t="str">
        <f>IF(OR(E1267="",E1267="!!!",F1267="NEW"),"",COUNTBLANK(OFFSET(A$1,,,SUMPRODUCT(MAX(ROW(E$2:E1267)*(E1267=E$2:E1267)))))-COUNTBLANK(OFFSET(A$1,,,SUMPRODUCT(MAX(ROW(E$1:E1266)*(E2=E$1:E1266))))))</f>
        <v> </v>
      </c>
      <c r="K1267" s="25" t="str">
        <f>IF(OR(E1267="",E1267="!!!",F1267="NEW"),"",INDEX(J$1:J1266,SUMPRODUCT(MAX(ROW(E$1:E1266)*(E1267=E$1:E1266)))))</f>
        <v> </v>
      </c>
      <c r="L1267" s="26"/>
    </row>
    <row r="1268" spans="1:12">
      <c r="A1268" s="20" t="s">
        <v>679</v>
      </c>
      <c r="B1268" s="27" t="s">
        <v>333</v>
      </c>
      <c r="C1268" s="27" t="s">
        <v>277</v>
      </c>
      <c r="D1268" s="27" t="s">
        <v>258</v>
      </c>
      <c r="E1268" s="21">
        <f>IF(D1268="?OLD","!!!","")</f>
        <v/>
      </c>
      <c r="F1268" s="22" t="str">
        <f>IF(OR(E1268="",E1268="!!!"),"",IF(NOT(ISNA(VLOOKUP(E1268,E$1:E1267,1,FALSE()))),"OLD",IF(AND(E1268&lt;&gt;"",E1268&lt;&gt;"!!!"),"NEW","")))</f>
        <v> </v>
      </c>
      <c r="G1268" s="23" t="str">
        <f>IF(OR(E1268="",E1268="!!!"),"",IF(OR(J1268=0,AND(J1268=1,K1268=1),AND(J1268=1,I1268="SBJ"),AND(J1268=1,I1268=0)),"?IN_FOCUS",IF(J1268&lt;=2,"?ACTIVATED",IF(J1268&lt;&gt;"","?FAMILIAR",IF(F1268="NEW",IF(ISNA(VLOOKUP(E1268,#REF!,1,FALSE())),"?TYPE_IDENTIFIABLE","?REFERENTIAL"),"_")))))</f>
        <v> </v>
      </c>
      <c r="H1268" s="24" t="str">
        <f>IF(J1268&lt;&gt;1,"",IF(I1268="SBJ","CB","?"))</f>
        <v> </v>
      </c>
      <c r="I1268" s="25" t="str">
        <f>IF(OR(E1268="",E1268="!!!",F1268="NEW"),"",INDEX(B1267:B$2,-1+SUMPRODUCT(MAX(ROW(E1267:E$2)*(E1268=E1267:E$2)))))</f>
        <v> </v>
      </c>
      <c r="J1268" s="25" t="str">
        <f>IF(OR(E1268="",E1268="!!!",F1268="NEW"),"",COUNTBLANK(OFFSET(A$1,,,SUMPRODUCT(MAX(ROW(E$2:E1268)*(E1268=E$2:E1268)))))-COUNTBLANK(OFFSET(A$1,,,SUMPRODUCT(MAX(ROW(E$1:E1267)*(E2=E$1:E1267))))))</f>
        <v> </v>
      </c>
      <c r="K1268" s="25" t="str">
        <f>IF(OR(E1268="",E1268="!!!",F1268="NEW"),"",INDEX(J$1:J1267,SUMPRODUCT(MAX(ROW(E$1:E1267)*(E1268=E$1:E1267)))))</f>
        <v> </v>
      </c>
      <c r="L1268" s="26"/>
    </row>
    <row r="1269" spans="1:12">
      <c r="A1269" s="20" t="s">
        <v>278</v>
      </c>
      <c r="E1269" s="21">
        <f>IF(D1269="?OLD","!!!","")</f>
        <v/>
      </c>
      <c r="F1269" s="22" t="str">
        <f>IF(OR(E1269="",E1269="!!!"),"",IF(NOT(ISNA(VLOOKUP(E1269,E$1:E1268,1,FALSE()))),"OLD",IF(AND(E1269&lt;&gt;"",E1269&lt;&gt;"!!!"),"NEW","")))</f>
        <v> </v>
      </c>
      <c r="G1269" s="23" t="str">
        <f>IF(OR(E1269="",E1269="!!!"),"",IF(OR(J1269=0,AND(J1269=1,K1269=1),AND(J1269=1,I1269="SBJ"),AND(J1269=1,I1269=0)),"?IN_FOCUS",IF(J1269&lt;=2,"?ACTIVATED",IF(J1269&lt;&gt;"","?FAMILIAR",IF(F1269="NEW",IF(ISNA(VLOOKUP(E1269,#REF!,1,FALSE())),"?TYPE_IDENTIFIABLE","?REFERENTIAL"),"_")))))</f>
        <v> </v>
      </c>
      <c r="H1269" s="24" t="str">
        <f>IF(J1269&lt;&gt;1,"",IF(I1269="SBJ","CB","?"))</f>
        <v> </v>
      </c>
      <c r="I1269" s="25" t="str">
        <f>IF(OR(E1269="",E1269="!!!",F1269="NEW"),"",INDEX(B1268:B$2,-1+SUMPRODUCT(MAX(ROW(E1268:E$2)*(E1269=E1268:E$2)))))</f>
        <v> </v>
      </c>
      <c r="J1269" s="25" t="str">
        <f>IF(OR(E1269="",E1269="!!!",F1269="NEW"),"",COUNTBLANK(OFFSET(A$1,,,SUMPRODUCT(MAX(ROW(E$2:E1269)*(E1269=E$2:E1269)))))-COUNTBLANK(OFFSET(A$1,,,SUMPRODUCT(MAX(ROW(E$1:E1268)*(E2=E$1:E1268))))))</f>
        <v> </v>
      </c>
      <c r="K1269" s="25" t="str">
        <f>IF(OR(E1269="",E1269="!!!",F1269="NEW"),"",INDEX(J$1:J1268,SUMPRODUCT(MAX(ROW(E$1:E1268)*(E1269=E$1:E1268)))))</f>
        <v> </v>
      </c>
      <c r="L1269" s="26"/>
    </row>
    <row r="1270" spans="1:12">
      <c r="A1270" s="20" t="s">
        <v>297</v>
      </c>
      <c r="E1270" s="21">
        <f>IF(D1270="?OLD","!!!","")</f>
        <v/>
      </c>
      <c r="F1270" s="22" t="str">
        <f>IF(OR(E1270="",E1270="!!!"),"",IF(NOT(ISNA(VLOOKUP(E1270,E$1:E1269,1,FALSE()))),"OLD",IF(AND(E1270&lt;&gt;"",E1270&lt;&gt;"!!!"),"NEW","")))</f>
        <v> </v>
      </c>
      <c r="G1270" s="23" t="str">
        <f>IF(OR(E1270="",E1270="!!!"),"",IF(OR(J1270=0,AND(J1270=1,K1270=1),AND(J1270=1,I1270="SBJ"),AND(J1270=1,I1270=0)),"?IN_FOCUS",IF(J1270&lt;=2,"?ACTIVATED",IF(J1270&lt;&gt;"","?FAMILIAR",IF(F1270="NEW",IF(ISNA(VLOOKUP(E1270,#REF!,1,FALSE())),"?TYPE_IDENTIFIABLE","?REFERENTIAL"),"_")))))</f>
        <v> </v>
      </c>
      <c r="H1270" s="24" t="str">
        <f>IF(J1270&lt;&gt;1,"",IF(I1270="SBJ","CB","?"))</f>
        <v> </v>
      </c>
      <c r="I1270" s="25" t="str">
        <f>IF(OR(E1270="",E1270="!!!",F1270="NEW"),"",INDEX(B1269:B$2,-1+SUMPRODUCT(MAX(ROW(E1269:E$2)*(E1270=E1269:E$2)))))</f>
        <v> </v>
      </c>
      <c r="J1270" s="25" t="str">
        <f>IF(OR(E1270="",E1270="!!!",F1270="NEW"),"",COUNTBLANK(OFFSET(A$1,,,SUMPRODUCT(MAX(ROW(E$2:E1270)*(E1270=E$2:E1270)))))-COUNTBLANK(OFFSET(A$1,,,SUMPRODUCT(MAX(ROW(E$1:E1269)*(E2=E$1:E1269))))))</f>
        <v> </v>
      </c>
      <c r="K1270" s="25" t="str">
        <f>IF(OR(E1270="",E1270="!!!",F1270="NEW"),"",INDEX(J$1:J1269,SUMPRODUCT(MAX(ROW(E$1:E1269)*(E1270=E$1:E1269)))))</f>
        <v> </v>
      </c>
      <c r="L1270" s="26"/>
    </row>
    <row r="1271" spans="1:12">
      <c r="A1271" s="20" t="s">
        <v>299</v>
      </c>
      <c r="B1271" s="27" t="s">
        <v>267</v>
      </c>
      <c r="C1271" s="27" t="s">
        <v>270</v>
      </c>
      <c r="E1271" s="21">
        <f>IF(D1271="?OLD","!!!","")</f>
        <v/>
      </c>
      <c r="F1271" s="22" t="str">
        <f>IF(OR(E1271="",E1271="!!!"),"",IF(NOT(ISNA(VLOOKUP(E1271,E$1:E1270,1,FALSE()))),"OLD",IF(AND(E1271&lt;&gt;"",E1271&lt;&gt;"!!!"),"NEW","")))</f>
        <v> </v>
      </c>
      <c r="G1271" s="23" t="str">
        <f>IF(OR(E1271="",E1271="!!!"),"",IF(OR(J1271=0,AND(J1271=1,K1271=1),AND(J1271=1,I1271="SBJ"),AND(J1271=1,I1271=0)),"?IN_FOCUS",IF(J1271&lt;=2,"?ACTIVATED",IF(J1271&lt;&gt;"","?FAMILIAR",IF(F1271="NEW",IF(ISNA(VLOOKUP(E1271,#REF!,1,FALSE())),"?TYPE_IDENTIFIABLE","?REFERENTIAL"),"_")))))</f>
        <v> </v>
      </c>
      <c r="H1271" s="24" t="str">
        <f>IF(J1271&lt;&gt;1,"",IF(I1271="SBJ","CB","?"))</f>
        <v> </v>
      </c>
      <c r="I1271" s="25" t="str">
        <f>IF(OR(E1271="",E1271="!!!",F1271="NEW"),"",INDEX(B1270:B$2,-1+SUMPRODUCT(MAX(ROW(E1270:E$2)*(E1271=E1270:E$2)))))</f>
        <v> </v>
      </c>
      <c r="J1271" s="25" t="str">
        <f>IF(OR(E1271="",E1271="!!!",F1271="NEW"),"",COUNTBLANK(OFFSET(A$1,,,SUMPRODUCT(MAX(ROW(E$2:E1271)*(E1271=E$2:E1271)))))-COUNTBLANK(OFFSET(A$1,,,SUMPRODUCT(MAX(ROW(E$1:E1270)*(E2=E$1:E1270))))))</f>
        <v> </v>
      </c>
      <c r="K1271" s="25" t="str">
        <f>IF(OR(E1271="",E1271="!!!",F1271="NEW"),"",INDEX(J$1:J1270,SUMPRODUCT(MAX(ROW(E$1:E1270)*(E1271=E$1:E1270)))))</f>
        <v> </v>
      </c>
      <c r="L1271" s="26"/>
    </row>
    <row r="1272" spans="1:12">
      <c r="A1272" s="20" t="s">
        <v>320</v>
      </c>
      <c r="E1272" s="21">
        <f>IF(D1272="?OLD","!!!","")</f>
        <v/>
      </c>
      <c r="F1272" s="22" t="str">
        <f>IF(OR(E1272="",E1272="!!!"),"",IF(NOT(ISNA(VLOOKUP(E1272,E$1:E1271,1,FALSE()))),"OLD",IF(AND(E1272&lt;&gt;"",E1272&lt;&gt;"!!!"),"NEW","")))</f>
        <v> </v>
      </c>
      <c r="G1272" s="23" t="str">
        <f>IF(OR(E1272="",E1272="!!!"),"",IF(OR(J1272=0,AND(J1272=1,K1272=1),AND(J1272=1,I1272="SBJ"),AND(J1272=1,I1272=0)),"?IN_FOCUS",IF(J1272&lt;=2,"?ACTIVATED",IF(J1272&lt;&gt;"","?FAMILIAR",IF(F1272="NEW",IF(ISNA(VLOOKUP(E1272,#REF!,1,FALSE())),"?TYPE_IDENTIFIABLE","?REFERENTIAL"),"_")))))</f>
        <v> </v>
      </c>
      <c r="H1272" s="24" t="str">
        <f>IF(J1272&lt;&gt;1,"",IF(I1272="SBJ","CB","?"))</f>
        <v> </v>
      </c>
      <c r="I1272" s="25" t="str">
        <f>IF(OR(E1272="",E1272="!!!",F1272="NEW"),"",INDEX(B1271:B$2,-1+SUMPRODUCT(MAX(ROW(E1271:E$2)*(E1272=E1271:E$2)))))</f>
        <v> </v>
      </c>
      <c r="J1272" s="25" t="str">
        <f>IF(OR(E1272="",E1272="!!!",F1272="NEW"),"",COUNTBLANK(OFFSET(A$1,,,SUMPRODUCT(MAX(ROW(E$2:E1272)*(E1272=E$2:E1272)))))-COUNTBLANK(OFFSET(A$1,,,SUMPRODUCT(MAX(ROW(E$1:E1271)*(E2=E$1:E1271))))))</f>
        <v> </v>
      </c>
      <c r="K1272" s="25" t="str">
        <f>IF(OR(E1272="",E1272="!!!",F1272="NEW"),"",INDEX(J$1:J1271,SUMPRODUCT(MAX(ROW(E$1:E1271)*(E1272=E$1:E1271)))))</f>
        <v> </v>
      </c>
      <c r="L1272" s="26"/>
    </row>
    <row r="1273" spans="1:12">
      <c r="A1273" s="20"/>
    </row>
    <row r="1274" spans="1:12">
      <c r="A1274" s="20" t="s">
        <v>681</v>
      </c>
    </row>
    <row r="1275" spans="1:12">
      <c r="A1275" s="20" t="s">
        <v>380</v>
      </c>
      <c r="B1275" s="27" t="s">
        <v>276</v>
      </c>
      <c r="C1275" s="27" t="s">
        <v>257</v>
      </c>
      <c r="D1275" s="27" t="s">
        <v>258</v>
      </c>
      <c r="E1275" s="21">
        <f>IF(D1275="?OLD","!!!","")</f>
        <v/>
      </c>
      <c r="F1275" s="22" t="str">
        <f>IF(OR(E1275="",E1275="!!!"),"",IF(NOT(ISNA(VLOOKUP(E1275,E$1:E1274,1,FALSE()))),"OLD",IF(AND(E1275&lt;&gt;"",E1275&lt;&gt;"!!!"),"NEW","")))</f>
        <v> </v>
      </c>
      <c r="G1275" s="23" t="str">
        <f>IF(OR(E1275="",E1275="!!!"),"",IF(OR(J1275=0,AND(J1275=1,K1275=1),AND(J1275=1,I1275="SBJ"),AND(J1275=1,I1275=0)),"?IN_FOCUS",IF(J1275&lt;=2,"?ACTIVATED",IF(J1275&lt;&gt;"","?FAMILIAR",IF(F1275="NEW",IF(ISNA(VLOOKUP(E1275,#REF!,1,FALSE())),"?TYPE_IDENTIFIABLE","?REFERENTIAL"),"_")))))</f>
        <v> </v>
      </c>
      <c r="H1275" s="24" t="str">
        <f>IF(J1275&lt;&gt;1,"",IF(I1275="SBJ","CB","?"))</f>
        <v> </v>
      </c>
      <c r="I1275" s="25" t="str">
        <f>IF(OR(E1275="",E1275="!!!",F1275="NEW"),"",INDEX(B1274:B$2,-1+SUMPRODUCT(MAX(ROW(E1274:E$2)*(E1275=E1274:E$2)))))</f>
        <v> </v>
      </c>
      <c r="J1275" s="25" t="str">
        <f>IF(OR(E1275="",E1275="!!!",F1275="NEW"),"",COUNTBLANK(OFFSET(A$1,,,SUMPRODUCT(MAX(ROW(E$2:E1275)*(E1275=E$2:E1275)))))-COUNTBLANK(OFFSET(A$1,,,SUMPRODUCT(MAX(ROW(E$1:E1274)*(E2=E$1:E1274))))))</f>
        <v> </v>
      </c>
      <c r="K1275" s="25" t="str">
        <f>IF(OR(E1275="",E1275="!!!",F1275="NEW"),"",INDEX(J$1:J1274,SUMPRODUCT(MAX(ROW(E$1:E1274)*(E1275=E$1:E1274)))))</f>
        <v> </v>
      </c>
      <c r="L1275" s="26"/>
    </row>
    <row r="1276" spans="1:12">
      <c r="A1276" s="20" t="s">
        <v>214</v>
      </c>
      <c r="E1276" s="21">
        <f>IF(D1276="?OLD","!!!","")</f>
        <v/>
      </c>
      <c r="F1276" s="22" t="str">
        <f>IF(OR(E1276="",E1276="!!!"),"",IF(NOT(ISNA(VLOOKUP(E1276,E$1:E1275,1,FALSE()))),"OLD",IF(AND(E1276&lt;&gt;"",E1276&lt;&gt;"!!!"),"NEW","")))</f>
        <v> </v>
      </c>
      <c r="G1276" s="23" t="str">
        <f>IF(OR(E1276="",E1276="!!!"),"",IF(OR(J1276=0,AND(J1276=1,K1276=1),AND(J1276=1,I1276="SBJ"),AND(J1276=1,I1276=0)),"?IN_FOCUS",IF(J1276&lt;=2,"?ACTIVATED",IF(J1276&lt;&gt;"","?FAMILIAR",IF(F1276="NEW",IF(ISNA(VLOOKUP(E1276,#REF!,1,FALSE())),"?TYPE_IDENTIFIABLE","?REFERENTIAL"),"_")))))</f>
        <v> </v>
      </c>
      <c r="H1276" s="24" t="str">
        <f>IF(J1276&lt;&gt;1,"",IF(I1276="SBJ","CB","?"))</f>
        <v> </v>
      </c>
      <c r="I1276" s="25" t="str">
        <f>IF(OR(E1276="",E1276="!!!",F1276="NEW"),"",INDEX(B1275:B$2,-1+SUMPRODUCT(MAX(ROW(E1275:E$2)*(E1276=E1275:E$2)))))</f>
        <v> </v>
      </c>
      <c r="J1276" s="25" t="str">
        <f>IF(OR(E1276="",E1276="!!!",F1276="NEW"),"",COUNTBLANK(OFFSET(A$1,,,SUMPRODUCT(MAX(ROW(E$2:E1276)*(E1276=E$2:E1276)))))-COUNTBLANK(OFFSET(A$1,,,SUMPRODUCT(MAX(ROW(E$1:E1275)*(E2=E$1:E1275))))))</f>
        <v> </v>
      </c>
      <c r="K1276" s="25" t="str">
        <f>IF(OR(E1276="",E1276="!!!",F1276="NEW"),"",INDEX(J$1:J1275,SUMPRODUCT(MAX(ROW(E$1:E1275)*(E1276=E$1:E1275)))))</f>
        <v> </v>
      </c>
      <c r="L1276" s="26"/>
    </row>
    <row r="1277" spans="1:12">
      <c r="A1277" s="20" t="s">
        <v>296</v>
      </c>
      <c r="E1277" s="21">
        <f>IF(D1277="?OLD","!!!","")</f>
        <v/>
      </c>
      <c r="F1277" s="22" t="str">
        <f>IF(OR(E1277="",E1277="!!!"),"",IF(NOT(ISNA(VLOOKUP(E1277,E$1:E1276,1,FALSE()))),"OLD",IF(AND(E1277&lt;&gt;"",E1277&lt;&gt;"!!!"),"NEW","")))</f>
        <v> </v>
      </c>
      <c r="G1277" s="23" t="str">
        <f>IF(OR(E1277="",E1277="!!!"),"",IF(OR(J1277=0,AND(J1277=1,K1277=1),AND(J1277=1,I1277="SBJ"),AND(J1277=1,I1277=0)),"?IN_FOCUS",IF(J1277&lt;=2,"?ACTIVATED",IF(J1277&lt;&gt;"","?FAMILIAR",IF(F1277="NEW",IF(ISNA(VLOOKUP(E1277,#REF!,1,FALSE())),"?TYPE_IDENTIFIABLE","?REFERENTIAL"),"_")))))</f>
        <v> </v>
      </c>
      <c r="H1277" s="24" t="str">
        <f>IF(J1277&lt;&gt;1,"",IF(I1277="SBJ","CB","?"))</f>
        <v> </v>
      </c>
      <c r="I1277" s="25" t="str">
        <f>IF(OR(E1277="",E1277="!!!",F1277="NEW"),"",INDEX(B1276:B$2,-1+SUMPRODUCT(MAX(ROW(E1276:E$2)*(E1277=E1276:E$2)))))</f>
        <v> </v>
      </c>
      <c r="J1277" s="25" t="str">
        <f>IF(OR(E1277="",E1277="!!!",F1277="NEW"),"",COUNTBLANK(OFFSET(A$1,,,SUMPRODUCT(MAX(ROW(E$2:E1277)*(E1277=E$2:E1277)))))-COUNTBLANK(OFFSET(A$1,,,SUMPRODUCT(MAX(ROW(E$1:E1276)*(E2=E$1:E1276))))))</f>
        <v> </v>
      </c>
      <c r="K1277" s="25" t="str">
        <f>IF(OR(E1277="",E1277="!!!",F1277="NEW"),"",INDEX(J$1:J1276,SUMPRODUCT(MAX(ROW(E$1:E1276)*(E1277=E$1:E1276)))))</f>
        <v> </v>
      </c>
      <c r="L1277" s="26"/>
    </row>
    <row r="1278" spans="1:12">
      <c r="A1278" s="20" t="s">
        <v>682</v>
      </c>
      <c r="E1278" s="21">
        <f>IF(D1278="?OLD","!!!","")</f>
        <v/>
      </c>
      <c r="F1278" s="22" t="str">
        <f>IF(OR(E1278="",E1278="!!!"),"",IF(NOT(ISNA(VLOOKUP(E1278,E$1:E1277,1,FALSE()))),"OLD",IF(AND(E1278&lt;&gt;"",E1278&lt;&gt;"!!!"),"NEW","")))</f>
        <v> </v>
      </c>
      <c r="G1278" s="23" t="str">
        <f>IF(OR(E1278="",E1278="!!!"),"",IF(OR(J1278=0,AND(J1278=1,K1278=1),AND(J1278=1,I1278="SBJ"),AND(J1278=1,I1278=0)),"?IN_FOCUS",IF(J1278&lt;=2,"?ACTIVATED",IF(J1278&lt;&gt;"","?FAMILIAR",IF(F1278="NEW",IF(ISNA(VLOOKUP(E1278,#REF!,1,FALSE())),"?TYPE_IDENTIFIABLE","?REFERENTIAL"),"_")))))</f>
        <v> </v>
      </c>
      <c r="H1278" s="24" t="str">
        <f>IF(J1278&lt;&gt;1,"",IF(I1278="SBJ","CB","?"))</f>
        <v> </v>
      </c>
      <c r="I1278" s="25" t="str">
        <f>IF(OR(E1278="",E1278="!!!",F1278="NEW"),"",INDEX(B1277:B$2,-1+SUMPRODUCT(MAX(ROW(E1277:E$2)*(E1278=E1277:E$2)))))</f>
        <v> </v>
      </c>
      <c r="J1278" s="25" t="str">
        <f>IF(OR(E1278="",E1278="!!!",F1278="NEW"),"",COUNTBLANK(OFFSET(A$1,,,SUMPRODUCT(MAX(ROW(E$2:E1278)*(E1278=E$2:E1278)))))-COUNTBLANK(OFFSET(A$1,,,SUMPRODUCT(MAX(ROW(E$1:E1277)*(E2=E$1:E1277))))))</f>
        <v> </v>
      </c>
      <c r="K1278" s="25" t="str">
        <f>IF(OR(E1278="",E1278="!!!",F1278="NEW"),"",INDEX(J$1:J1277,SUMPRODUCT(MAX(ROW(E$1:E1277)*(E1278=E$1:E1277)))))</f>
        <v> </v>
      </c>
      <c r="L1278" s="26"/>
    </row>
    <row r="1279" spans="1:12">
      <c r="A1279" s="20" t="s">
        <v>280</v>
      </c>
      <c r="E1279" s="21">
        <f>IF(D1279="?OLD","!!!","")</f>
        <v/>
      </c>
      <c r="F1279" s="22" t="str">
        <f>IF(OR(E1279="",E1279="!!!"),"",IF(NOT(ISNA(VLOOKUP(E1279,E$1:E1278,1,FALSE()))),"OLD",IF(AND(E1279&lt;&gt;"",E1279&lt;&gt;"!!!"),"NEW","")))</f>
        <v> </v>
      </c>
      <c r="G1279" s="23" t="str">
        <f>IF(OR(E1279="",E1279="!!!"),"",IF(OR(J1279=0,AND(J1279=1,K1279=1),AND(J1279=1,I1279="SBJ"),AND(J1279=1,I1279=0)),"?IN_FOCUS",IF(J1279&lt;=2,"?ACTIVATED",IF(J1279&lt;&gt;"","?FAMILIAR",IF(F1279="NEW",IF(ISNA(VLOOKUP(E1279,#REF!,1,FALSE())),"?TYPE_IDENTIFIABLE","?REFERENTIAL"),"_")))))</f>
        <v> </v>
      </c>
      <c r="H1279" s="24" t="str">
        <f>IF(J1279&lt;&gt;1,"",IF(I1279="SBJ","CB","?"))</f>
        <v> </v>
      </c>
      <c r="I1279" s="25" t="str">
        <f>IF(OR(E1279="",E1279="!!!",F1279="NEW"),"",INDEX(B1278:B$2,-1+SUMPRODUCT(MAX(ROW(E1278:E$2)*(E1279=E1278:E$2)))))</f>
        <v> </v>
      </c>
      <c r="J1279" s="25" t="str">
        <f>IF(OR(E1279="",E1279="!!!",F1279="NEW"),"",COUNTBLANK(OFFSET(A$1,,,SUMPRODUCT(MAX(ROW(E$2:E1279)*(E1279=E$2:E1279)))))-COUNTBLANK(OFFSET(A$1,,,SUMPRODUCT(MAX(ROW(E$1:E1278)*(E2=E$1:E1278))))))</f>
        <v> </v>
      </c>
      <c r="K1279" s="25" t="str">
        <f>IF(OR(E1279="",E1279="!!!",F1279="NEW"),"",INDEX(J$1:J1278,SUMPRODUCT(MAX(ROW(E$1:E1278)*(E1279=E$1:E1278)))))</f>
        <v> </v>
      </c>
      <c r="L1279" s="26"/>
    </row>
    <row r="1280" spans="1:12">
      <c r="A1280" s="20" t="s">
        <v>279</v>
      </c>
      <c r="B1280" s="27" t="s">
        <v>267</v>
      </c>
      <c r="C1280" s="27" t="s">
        <v>270</v>
      </c>
      <c r="E1280" s="21">
        <f>IF(D1280="?OLD","!!!","")</f>
        <v/>
      </c>
      <c r="F1280" s="22" t="str">
        <f>IF(OR(E1280="",E1280="!!!"),"",IF(NOT(ISNA(VLOOKUP(E1280,E$1:E1279,1,FALSE()))),"OLD",IF(AND(E1280&lt;&gt;"",E1280&lt;&gt;"!!!"),"NEW","")))</f>
        <v> </v>
      </c>
      <c r="G1280" s="23" t="str">
        <f>IF(OR(E1280="",E1280="!!!"),"",IF(OR(J1280=0,AND(J1280=1,K1280=1),AND(J1280=1,I1280="SBJ"),AND(J1280=1,I1280=0)),"?IN_FOCUS",IF(J1280&lt;=2,"?ACTIVATED",IF(J1280&lt;&gt;"","?FAMILIAR",IF(F1280="NEW",IF(ISNA(VLOOKUP(E1280,#REF!,1,FALSE())),"?TYPE_IDENTIFIABLE","?REFERENTIAL"),"_")))))</f>
        <v> </v>
      </c>
      <c r="H1280" s="24" t="str">
        <f>IF(J1280&lt;&gt;1,"",IF(I1280="SBJ","CB","?"))</f>
        <v> </v>
      </c>
      <c r="I1280" s="25" t="str">
        <f>IF(OR(E1280="",E1280="!!!",F1280="NEW"),"",INDEX(B1279:B$2,-1+SUMPRODUCT(MAX(ROW(E1279:E$2)*(E1280=E1279:E$2)))))</f>
        <v> </v>
      </c>
      <c r="J1280" s="25" t="str">
        <f>IF(OR(E1280="",E1280="!!!",F1280="NEW"),"",COUNTBLANK(OFFSET(A$1,,,SUMPRODUCT(MAX(ROW(E$2:E1280)*(E1280=E$2:E1280)))))-COUNTBLANK(OFFSET(A$1,,,SUMPRODUCT(MAX(ROW(E$1:E1279)*(E2=E$1:E1279))))))</f>
        <v> </v>
      </c>
      <c r="K1280" s="25" t="str">
        <f>IF(OR(E1280="",E1280="!!!",F1280="NEW"),"",INDEX(J$1:J1279,SUMPRODUCT(MAX(ROW(E$1:E1279)*(E1280=E$1:E1279)))))</f>
        <v> </v>
      </c>
      <c r="L1280" s="26"/>
    </row>
    <row r="1281" spans="1:12">
      <c r="A1281" s="20" t="s">
        <v>320</v>
      </c>
      <c r="E1281" s="21">
        <f>IF(D1281="?OLD","!!!","")</f>
        <v/>
      </c>
      <c r="F1281" s="22" t="str">
        <f>IF(OR(E1281="",E1281="!!!"),"",IF(NOT(ISNA(VLOOKUP(E1281,E$1:E1280,1,FALSE()))),"OLD",IF(AND(E1281&lt;&gt;"",E1281&lt;&gt;"!!!"),"NEW","")))</f>
        <v> </v>
      </c>
      <c r="G1281" s="23" t="str">
        <f>IF(OR(E1281="",E1281="!!!"),"",IF(OR(J1281=0,AND(J1281=1,K1281=1),AND(J1281=1,I1281="SBJ"),AND(J1281=1,I1281=0)),"?IN_FOCUS",IF(J1281&lt;=2,"?ACTIVATED",IF(J1281&lt;&gt;"","?FAMILIAR",IF(F1281="NEW",IF(ISNA(VLOOKUP(E1281,#REF!,1,FALSE())),"?TYPE_IDENTIFIABLE","?REFERENTIAL"),"_")))))</f>
        <v> </v>
      </c>
      <c r="H1281" s="24" t="str">
        <f>IF(J1281&lt;&gt;1,"",IF(I1281="SBJ","CB","?"))</f>
        <v> </v>
      </c>
      <c r="I1281" s="25" t="str">
        <f>IF(OR(E1281="",E1281="!!!",F1281="NEW"),"",INDEX(B1280:B$2,-1+SUMPRODUCT(MAX(ROW(E1280:E$2)*(E1281=E1280:E$2)))))</f>
        <v> </v>
      </c>
      <c r="J1281" s="25" t="str">
        <f>IF(OR(E1281="",E1281="!!!",F1281="NEW"),"",COUNTBLANK(OFFSET(A$1,,,SUMPRODUCT(MAX(ROW(E$2:E1281)*(E1281=E$2:E1281)))))-COUNTBLANK(OFFSET(A$1,,,SUMPRODUCT(MAX(ROW(E$1:E1280)*(E2=E$1:E1280))))))</f>
        <v> </v>
      </c>
      <c r="K1281" s="25" t="str">
        <f>IF(OR(E1281="",E1281="!!!",F1281="NEW"),"",INDEX(J$1:J1280,SUMPRODUCT(MAX(ROW(E$1:E1280)*(E1281=E$1:E1280)))))</f>
        <v> </v>
      </c>
      <c r="L1281" s="26"/>
    </row>
    <row r="1282" spans="1:12">
      <c r="A1282" s="20"/>
    </row>
    <row r="1283" spans="1:12">
      <c r="A1283" s="20" t="s">
        <v>683</v>
      </c>
    </row>
    <row r="1284" spans="1:12">
      <c r="A1284" s="20" t="s">
        <v>521</v>
      </c>
      <c r="B1284" s="27" t="s">
        <v>333</v>
      </c>
      <c r="C1284" s="27" t="s">
        <v>300</v>
      </c>
      <c r="E1284" s="21">
        <f>IF(D1284="?OLD","!!!","")</f>
        <v/>
      </c>
      <c r="F1284" s="22" t="str">
        <f>IF(OR(E1284="",E1284="!!!"),"",IF(NOT(ISNA(VLOOKUP(E1284,E$1:E1283,1,FALSE()))),"OLD",IF(AND(E1284&lt;&gt;"",E1284&lt;&gt;"!!!"),"NEW","")))</f>
        <v> </v>
      </c>
      <c r="G1284" s="23" t="str">
        <f>IF(OR(E1284="",E1284="!!!"),"",IF(OR(J1284=0,AND(J1284=1,K1284=1),AND(J1284=1,I1284="SBJ"),AND(J1284=1,I1284=0)),"?IN_FOCUS",IF(J1284&lt;=2,"?ACTIVATED",IF(J1284&lt;&gt;"","?FAMILIAR",IF(F1284="NEW",IF(ISNA(VLOOKUP(E1284,#REF!,1,FALSE())),"?TYPE_IDENTIFIABLE","?REFERENTIAL"),"_")))))</f>
        <v> </v>
      </c>
      <c r="H1284" s="24" t="str">
        <f>IF(J1284&lt;&gt;1,"",IF(I1284="SBJ","CB","?"))</f>
        <v> </v>
      </c>
      <c r="I1284" s="25" t="str">
        <f>IF(OR(E1284="",E1284="!!!",F1284="NEW"),"",INDEX(B1283:B$2,-1+SUMPRODUCT(MAX(ROW(E1283:E$2)*(E1284=E1283:E$2)))))</f>
        <v> </v>
      </c>
      <c r="J1284" s="25" t="str">
        <f>IF(OR(E1284="",E1284="!!!",F1284="NEW"),"",COUNTBLANK(OFFSET(A$1,,,SUMPRODUCT(MAX(ROW(E$2:E1284)*(E1284=E$2:E1284)))))-COUNTBLANK(OFFSET(A$1,,,SUMPRODUCT(MAX(ROW(E$1:E1283)*(E2=E$1:E1283))))))</f>
        <v> </v>
      </c>
      <c r="K1284" s="25" t="str">
        <f>IF(OR(E1284="",E1284="!!!",F1284="NEW"),"",INDEX(J$1:J1283,SUMPRODUCT(MAX(ROW(E$1:E1283)*(E1284=E$1:E1283)))))</f>
        <v> </v>
      </c>
      <c r="L1284" s="26"/>
    </row>
    <row r="1285" spans="1:12">
      <c r="A1285" s="20" t="s">
        <v>409</v>
      </c>
      <c r="E1285" s="21">
        <f>IF(D1285="?OLD","!!!","")</f>
        <v/>
      </c>
      <c r="F1285" s="22" t="str">
        <f>IF(OR(E1285="",E1285="!!!"),"",IF(NOT(ISNA(VLOOKUP(E1285,E$1:E1284,1,FALSE()))),"OLD",IF(AND(E1285&lt;&gt;"",E1285&lt;&gt;"!!!"),"NEW","")))</f>
        <v> </v>
      </c>
      <c r="G1285" s="23" t="str">
        <f>IF(OR(E1285="",E1285="!!!"),"",IF(OR(J1285=0,AND(J1285=1,K1285=1),AND(J1285=1,I1285="SBJ"),AND(J1285=1,I1285=0)),"?IN_FOCUS",IF(J1285&lt;=2,"?ACTIVATED",IF(J1285&lt;&gt;"","?FAMILIAR",IF(F1285="NEW",IF(ISNA(VLOOKUP(E1285,#REF!,1,FALSE())),"?TYPE_IDENTIFIABLE","?REFERENTIAL"),"_")))))</f>
        <v> </v>
      </c>
      <c r="H1285" s="24" t="str">
        <f>IF(J1285&lt;&gt;1,"",IF(I1285="SBJ","CB","?"))</f>
        <v> </v>
      </c>
      <c r="I1285" s="25" t="str">
        <f>IF(OR(E1285="",E1285="!!!",F1285="NEW"),"",INDEX(B1284:B$2,-1+SUMPRODUCT(MAX(ROW(E1284:E$2)*(E1285=E1284:E$2)))))</f>
        <v> </v>
      </c>
      <c r="J1285" s="25" t="str">
        <f>IF(OR(E1285="",E1285="!!!",F1285="NEW"),"",COUNTBLANK(OFFSET(A$1,,,SUMPRODUCT(MAX(ROW(E$2:E1285)*(E1285=E$2:E1285)))))-COUNTBLANK(OFFSET(A$1,,,SUMPRODUCT(MAX(ROW(E$1:E1284)*(E2=E$1:E1284))))))</f>
        <v> </v>
      </c>
      <c r="K1285" s="25" t="str">
        <f>IF(OR(E1285="",E1285="!!!",F1285="NEW"),"",INDEX(J$1:J1284,SUMPRODUCT(MAX(ROW(E$1:E1284)*(E1285=E$1:E1284)))))</f>
        <v> </v>
      </c>
      <c r="L1285" s="26"/>
    </row>
    <row r="1286" spans="1:12">
      <c r="A1286" s="20" t="s">
        <v>282</v>
      </c>
      <c r="B1286" s="27" t="s">
        <v>323</v>
      </c>
      <c r="C1286" s="27" t="s">
        <v>257</v>
      </c>
      <c r="D1286" s="27" t="s">
        <v>258</v>
      </c>
      <c r="E1286" s="21">
        <f>IF(D1286="?OLD","!!!","")</f>
        <v/>
      </c>
      <c r="F1286" s="22" t="str">
        <f>IF(OR(E1286="",E1286="!!!"),"",IF(NOT(ISNA(VLOOKUP(E1286,E$1:E1285,1,FALSE()))),"OLD",IF(AND(E1286&lt;&gt;"",E1286&lt;&gt;"!!!"),"NEW","")))</f>
        <v> </v>
      </c>
      <c r="G1286" s="23" t="str">
        <f>IF(OR(E1286="",E1286="!!!"),"",IF(OR(J1286=0,AND(J1286=1,K1286=1),AND(J1286=1,I1286="SBJ"),AND(J1286=1,I1286=0)),"?IN_FOCUS",IF(J1286&lt;=2,"?ACTIVATED",IF(J1286&lt;&gt;"","?FAMILIAR",IF(F1286="NEW",IF(ISNA(VLOOKUP(E1286,#REF!,1,FALSE())),"?TYPE_IDENTIFIABLE","?REFERENTIAL"),"_")))))</f>
        <v> </v>
      </c>
      <c r="H1286" s="24" t="str">
        <f>IF(J1286&lt;&gt;1,"",IF(I1286="SBJ","CB","?"))</f>
        <v> </v>
      </c>
      <c r="I1286" s="25" t="str">
        <f>IF(OR(E1286="",E1286="!!!",F1286="NEW"),"",INDEX(B1285:B$2,-1+SUMPRODUCT(MAX(ROW(E1285:E$2)*(E1286=E1285:E$2)))))</f>
        <v> </v>
      </c>
      <c r="J1286" s="25" t="str">
        <f>IF(OR(E1286="",E1286="!!!",F1286="NEW"),"",COUNTBLANK(OFFSET(A$1,,,SUMPRODUCT(MAX(ROW(E$2:E1286)*(E1286=E$2:E1286)))))-COUNTBLANK(OFFSET(A$1,,,SUMPRODUCT(MAX(ROW(E$1:E1285)*(E2=E$1:E1285))))))</f>
        <v> </v>
      </c>
      <c r="K1286" s="25" t="str">
        <f>IF(OR(E1286="",E1286="!!!",F1286="NEW"),"",INDEX(J$1:J1285,SUMPRODUCT(MAX(ROW(E$1:E1285)*(E1286=E$1:E1285)))))</f>
        <v> </v>
      </c>
      <c r="L1286" s="26"/>
    </row>
    <row r="1287" spans="1:12">
      <c r="A1287" s="20" t="s">
        <v>259</v>
      </c>
      <c r="E1287" s="21">
        <f>IF(D1287="?OLD","!!!","")</f>
        <v/>
      </c>
      <c r="F1287" s="22" t="str">
        <f>IF(OR(E1287="",E1287="!!!"),"",IF(NOT(ISNA(VLOOKUP(E1287,E$1:E1286,1,FALSE()))),"OLD",IF(AND(E1287&lt;&gt;"",E1287&lt;&gt;"!!!"),"NEW","")))</f>
        <v> </v>
      </c>
      <c r="G1287" s="23" t="str">
        <f>IF(OR(E1287="",E1287="!!!"),"",IF(OR(J1287=0,AND(J1287=1,K1287=1),AND(J1287=1,I1287="SBJ"),AND(J1287=1,I1287=0)),"?IN_FOCUS",IF(J1287&lt;=2,"?ACTIVATED",IF(J1287&lt;&gt;"","?FAMILIAR",IF(F1287="NEW",IF(ISNA(VLOOKUP(E1287,#REF!,1,FALSE())),"?TYPE_IDENTIFIABLE","?REFERENTIAL"),"_")))))</f>
        <v> </v>
      </c>
      <c r="H1287" s="24" t="str">
        <f>IF(J1287&lt;&gt;1,"",IF(I1287="SBJ","CB","?"))</f>
        <v> </v>
      </c>
      <c r="I1287" s="25" t="str">
        <f>IF(OR(E1287="",E1287="!!!",F1287="NEW"),"",INDEX(B1286:B$2,-1+SUMPRODUCT(MAX(ROW(E1286:E$2)*(E1287=E1286:E$2)))))</f>
        <v> </v>
      </c>
      <c r="J1287" s="25" t="str">
        <f>IF(OR(E1287="",E1287="!!!",F1287="NEW"),"",COUNTBLANK(OFFSET(A$1,,,SUMPRODUCT(MAX(ROW(E$2:E1287)*(E1287=E$2:E1287)))))-COUNTBLANK(OFFSET(A$1,,,SUMPRODUCT(MAX(ROW(E$1:E1286)*(E2=E$1:E1286))))))</f>
        <v> </v>
      </c>
      <c r="K1287" s="25" t="str">
        <f>IF(OR(E1287="",E1287="!!!",F1287="NEW"),"",INDEX(J$1:J1286,SUMPRODUCT(MAX(ROW(E$1:E1286)*(E1287=E$1:E1286)))))</f>
        <v> </v>
      </c>
      <c r="L1287" s="26"/>
    </row>
    <row r="1288" spans="1:12">
      <c r="A1288" s="20" t="s">
        <v>404</v>
      </c>
      <c r="E1288" s="21">
        <f>IF(D1288="?OLD","!!!","")</f>
        <v/>
      </c>
      <c r="F1288" s="22" t="str">
        <f>IF(OR(E1288="",E1288="!!!"),"",IF(NOT(ISNA(VLOOKUP(E1288,E$1:E1287,1,FALSE()))),"OLD",IF(AND(E1288&lt;&gt;"",E1288&lt;&gt;"!!!"),"NEW","")))</f>
        <v> </v>
      </c>
      <c r="G1288" s="23" t="str">
        <f>IF(OR(E1288="",E1288="!!!"),"",IF(OR(J1288=0,AND(J1288=1,K1288=1),AND(J1288=1,I1288="SBJ"),AND(J1288=1,I1288=0)),"?IN_FOCUS",IF(J1288&lt;=2,"?ACTIVATED",IF(J1288&lt;&gt;"","?FAMILIAR",IF(F1288="NEW",IF(ISNA(VLOOKUP(E1288,#REF!,1,FALSE())),"?TYPE_IDENTIFIABLE","?REFERENTIAL"),"_")))))</f>
        <v> </v>
      </c>
      <c r="H1288" s="24" t="str">
        <f>IF(J1288&lt;&gt;1,"",IF(I1288="SBJ","CB","?"))</f>
        <v> </v>
      </c>
      <c r="I1288" s="25" t="str">
        <f>IF(OR(E1288="",E1288="!!!",F1288="NEW"),"",INDEX(B1287:B$2,-1+SUMPRODUCT(MAX(ROW(E1287:E$2)*(E1288=E1287:E$2)))))</f>
        <v> </v>
      </c>
      <c r="J1288" s="25" t="str">
        <f>IF(OR(E1288="",E1288="!!!",F1288="NEW"),"",COUNTBLANK(OFFSET(A$1,,,SUMPRODUCT(MAX(ROW(E$2:E1288)*(E1288=E$2:E1288)))))-COUNTBLANK(OFFSET(A$1,,,SUMPRODUCT(MAX(ROW(E$1:E1287)*(E2=E$1:E1287))))))</f>
        <v> </v>
      </c>
      <c r="K1288" s="25" t="str">
        <f>IF(OR(E1288="",E1288="!!!",F1288="NEW"),"",INDEX(J$1:J1287,SUMPRODUCT(MAX(ROW(E$1:E1287)*(E1288=E$1:E1287)))))</f>
        <v> </v>
      </c>
      <c r="L1288" s="26"/>
    </row>
    <row r="1289" spans="1:12">
      <c r="A1289" s="20" t="s">
        <v>684</v>
      </c>
      <c r="E1289" s="21">
        <f>IF(D1289="?OLD","!!!","")</f>
        <v/>
      </c>
      <c r="F1289" s="22" t="str">
        <f>IF(OR(E1289="",E1289="!!!"),"",IF(NOT(ISNA(VLOOKUP(E1289,E$1:E1288,1,FALSE()))),"OLD",IF(AND(E1289&lt;&gt;"",E1289&lt;&gt;"!!!"),"NEW","")))</f>
        <v> </v>
      </c>
      <c r="G1289" s="23" t="str">
        <f>IF(OR(E1289="",E1289="!!!"),"",IF(OR(J1289=0,AND(J1289=1,K1289=1),AND(J1289=1,I1289="SBJ"),AND(J1289=1,I1289=0)),"?IN_FOCUS",IF(J1289&lt;=2,"?ACTIVATED",IF(J1289&lt;&gt;"","?FAMILIAR",IF(F1289="NEW",IF(ISNA(VLOOKUP(E1289,#REF!,1,FALSE())),"?TYPE_IDENTIFIABLE","?REFERENTIAL"),"_")))))</f>
        <v> </v>
      </c>
      <c r="H1289" s="24" t="str">
        <f>IF(J1289&lt;&gt;1,"",IF(I1289="SBJ","CB","?"))</f>
        <v> </v>
      </c>
      <c r="I1289" s="25" t="str">
        <f>IF(OR(E1289="",E1289="!!!",F1289="NEW"),"",INDEX(B1288:B$2,-1+SUMPRODUCT(MAX(ROW(E1288:E$2)*(E1289=E1288:E$2)))))</f>
        <v> </v>
      </c>
      <c r="J1289" s="25" t="str">
        <f>IF(OR(E1289="",E1289="!!!",F1289="NEW"),"",COUNTBLANK(OFFSET(A$1,,,SUMPRODUCT(MAX(ROW(E$2:E1289)*(E1289=E$2:E1289)))))-COUNTBLANK(OFFSET(A$1,,,SUMPRODUCT(MAX(ROW(E$1:E1288)*(E2=E$1:E1288))))))</f>
        <v> </v>
      </c>
      <c r="K1289" s="25" t="str">
        <f>IF(OR(E1289="",E1289="!!!",F1289="NEW"),"",INDEX(J$1:J1288,SUMPRODUCT(MAX(ROW(E$1:E1288)*(E1289=E$1:E1288)))))</f>
        <v> </v>
      </c>
      <c r="L1289" s="26"/>
    </row>
    <row r="1290" spans="1:12">
      <c r="A1290" s="20" t="s">
        <v>273</v>
      </c>
      <c r="B1290" s="27" t="s">
        <v>342</v>
      </c>
      <c r="C1290" s="27" t="s">
        <v>367</v>
      </c>
      <c r="D1290" s="27" t="s">
        <v>258</v>
      </c>
      <c r="E1290" s="21">
        <f>IF(D1290="?OLD","!!!","")</f>
        <v/>
      </c>
      <c r="F1290" s="22" t="str">
        <f>IF(OR(E1290="",E1290="!!!"),"",IF(NOT(ISNA(VLOOKUP(E1290,E$1:E1289,1,FALSE()))),"OLD",IF(AND(E1290&lt;&gt;"",E1290&lt;&gt;"!!!"),"NEW","")))</f>
        <v> </v>
      </c>
      <c r="G1290" s="23" t="str">
        <f>IF(OR(E1290="",E1290="!!!"),"",IF(OR(J1290=0,AND(J1290=1,K1290=1),AND(J1290=1,I1290="SBJ"),AND(J1290=1,I1290=0)),"?IN_FOCUS",IF(J1290&lt;=2,"?ACTIVATED",IF(J1290&lt;&gt;"","?FAMILIAR",IF(F1290="NEW",IF(ISNA(VLOOKUP(E1290,#REF!,1,FALSE())),"?TYPE_IDENTIFIABLE","?REFERENTIAL"),"_")))))</f>
        <v> </v>
      </c>
      <c r="H1290" s="24" t="str">
        <f>IF(J1290&lt;&gt;1,"",IF(I1290="SBJ","CB","?"))</f>
        <v> </v>
      </c>
      <c r="I1290" s="25" t="str">
        <f>IF(OR(E1290="",E1290="!!!",F1290="NEW"),"",INDEX(B1289:B$2,-1+SUMPRODUCT(MAX(ROW(E1289:E$2)*(E1290=E1289:E$2)))))</f>
        <v> </v>
      </c>
      <c r="J1290" s="25" t="str">
        <f>IF(OR(E1290="",E1290="!!!",F1290="NEW"),"",COUNTBLANK(OFFSET(A$1,,,SUMPRODUCT(MAX(ROW(E$2:E1290)*(E1290=E$2:E1290)))))-COUNTBLANK(OFFSET(A$1,,,SUMPRODUCT(MAX(ROW(E$1:E1289)*(E2=E$1:E1289))))))</f>
        <v> </v>
      </c>
      <c r="K1290" s="25" t="str">
        <f>IF(OR(E1290="",E1290="!!!",F1290="NEW"),"",INDEX(J$1:J1289,SUMPRODUCT(MAX(ROW(E$1:E1289)*(E1290=E$1:E1289)))))</f>
        <v> </v>
      </c>
      <c r="L1290" s="26"/>
    </row>
    <row r="1291" spans="1:12">
      <c r="A1291" s="20" t="s">
        <v>685</v>
      </c>
      <c r="E1291" s="21">
        <f>IF(D1291="?OLD","!!!","")</f>
        <v/>
      </c>
      <c r="F1291" s="22" t="str">
        <f>IF(OR(E1291="",E1291="!!!"),"",IF(NOT(ISNA(VLOOKUP(E1291,E$1:E1290,1,FALSE()))),"OLD",IF(AND(E1291&lt;&gt;"",E1291&lt;&gt;"!!!"),"NEW","")))</f>
        <v> </v>
      </c>
      <c r="G1291" s="23" t="str">
        <f>IF(OR(E1291="",E1291="!!!"),"",IF(OR(J1291=0,AND(J1291=1,K1291=1),AND(J1291=1,I1291="SBJ"),AND(J1291=1,I1291=0)),"?IN_FOCUS",IF(J1291&lt;=2,"?ACTIVATED",IF(J1291&lt;&gt;"","?FAMILIAR",IF(F1291="NEW",IF(ISNA(VLOOKUP(E1291,#REF!,1,FALSE())),"?TYPE_IDENTIFIABLE","?REFERENTIAL"),"_")))))</f>
        <v> </v>
      </c>
      <c r="H1291" s="24" t="str">
        <f>IF(J1291&lt;&gt;1,"",IF(I1291="SBJ","CB","?"))</f>
        <v> </v>
      </c>
      <c r="I1291" s="25" t="str">
        <f>IF(OR(E1291="",E1291="!!!",F1291="NEW"),"",INDEX(B1290:B$2,-1+SUMPRODUCT(MAX(ROW(E1290:E$2)*(E1291=E1290:E$2)))))</f>
        <v> </v>
      </c>
      <c r="J1291" s="25" t="str">
        <f>IF(OR(E1291="",E1291="!!!",F1291="NEW"),"",COUNTBLANK(OFFSET(A$1,,,SUMPRODUCT(MAX(ROW(E$2:E1291)*(E1291=E$2:E1291)))))-COUNTBLANK(OFFSET(A$1,,,SUMPRODUCT(MAX(ROW(E$1:E1290)*(E2=E$1:E1290))))))</f>
        <v> </v>
      </c>
      <c r="K1291" s="25" t="str">
        <f>IF(OR(E1291="",E1291="!!!",F1291="NEW"),"",INDEX(J$1:J1290,SUMPRODUCT(MAX(ROW(E$1:E1290)*(E1291=E$1:E1290)))))</f>
        <v> </v>
      </c>
      <c r="L1291" s="26"/>
    </row>
    <row r="1292" spans="1:12">
      <c r="A1292" s="20" t="s">
        <v>528</v>
      </c>
      <c r="E1292" s="21">
        <f>IF(D1292="?OLD","!!!","")</f>
        <v/>
      </c>
      <c r="F1292" s="22" t="str">
        <f>IF(OR(E1292="",E1292="!!!"),"",IF(NOT(ISNA(VLOOKUP(E1292,E$1:E1291,1,FALSE()))),"OLD",IF(AND(E1292&lt;&gt;"",E1292&lt;&gt;"!!!"),"NEW","")))</f>
        <v> </v>
      </c>
      <c r="G1292" s="23" t="str">
        <f>IF(OR(E1292="",E1292="!!!"),"",IF(OR(J1292=0,AND(J1292=1,K1292=1),AND(J1292=1,I1292="SBJ"),AND(J1292=1,I1292=0)),"?IN_FOCUS",IF(J1292&lt;=2,"?ACTIVATED",IF(J1292&lt;&gt;"","?FAMILIAR",IF(F1292="NEW",IF(ISNA(VLOOKUP(E1292,#REF!,1,FALSE())),"?TYPE_IDENTIFIABLE","?REFERENTIAL"),"_")))))</f>
        <v> </v>
      </c>
      <c r="H1292" s="24" t="str">
        <f>IF(J1292&lt;&gt;1,"",IF(I1292="SBJ","CB","?"))</f>
        <v> </v>
      </c>
      <c r="I1292" s="25" t="str">
        <f>IF(OR(E1292="",E1292="!!!",F1292="NEW"),"",INDEX(B1291:B$2,-1+SUMPRODUCT(MAX(ROW(E1291:E$2)*(E1292=E1291:E$2)))))</f>
        <v> </v>
      </c>
      <c r="J1292" s="25" t="str">
        <f>IF(OR(E1292="",E1292="!!!",F1292="NEW"),"",COUNTBLANK(OFFSET(A$1,,,SUMPRODUCT(MAX(ROW(E$2:E1292)*(E1292=E$2:E1292)))))-COUNTBLANK(OFFSET(A$1,,,SUMPRODUCT(MAX(ROW(E$1:E1291)*(E2=E$1:E1291))))))</f>
        <v> </v>
      </c>
      <c r="K1292" s="25" t="str">
        <f>IF(OR(E1292="",E1292="!!!",F1292="NEW"),"",INDEX(J$1:J1291,SUMPRODUCT(MAX(ROW(E$1:E1291)*(E1292=E$1:E1291)))))</f>
        <v> </v>
      </c>
      <c r="L1292" s="26"/>
    </row>
    <row r="1293" spans="1:12">
      <c r="A1293" s="20" t="s">
        <v>293</v>
      </c>
      <c r="E1293" s="21">
        <f>IF(D1293="?OLD","!!!","")</f>
        <v/>
      </c>
      <c r="F1293" s="22" t="str">
        <f>IF(OR(E1293="",E1293="!!!"),"",IF(NOT(ISNA(VLOOKUP(E1293,E$1:E1292,1,FALSE()))),"OLD",IF(AND(E1293&lt;&gt;"",E1293&lt;&gt;"!!!"),"NEW","")))</f>
        <v> </v>
      </c>
      <c r="G1293" s="23" t="str">
        <f>IF(OR(E1293="",E1293="!!!"),"",IF(OR(J1293=0,AND(J1293=1,K1293=1),AND(J1293=1,I1293="SBJ"),AND(J1293=1,I1293=0)),"?IN_FOCUS",IF(J1293&lt;=2,"?ACTIVATED",IF(J1293&lt;&gt;"","?FAMILIAR",IF(F1293="NEW",IF(ISNA(VLOOKUP(E1293,#REF!,1,FALSE())),"?TYPE_IDENTIFIABLE","?REFERENTIAL"),"_")))))</f>
        <v> </v>
      </c>
      <c r="H1293" s="24" t="str">
        <f>IF(J1293&lt;&gt;1,"",IF(I1293="SBJ","CB","?"))</f>
        <v> </v>
      </c>
      <c r="I1293" s="25" t="str">
        <f>IF(OR(E1293="",E1293="!!!",F1293="NEW"),"",INDEX(B1292:B$2,-1+SUMPRODUCT(MAX(ROW(E1292:E$2)*(E1293=E1292:E$2)))))</f>
        <v> </v>
      </c>
      <c r="J1293" s="25" t="str">
        <f>IF(OR(E1293="",E1293="!!!",F1293="NEW"),"",COUNTBLANK(OFFSET(A$1,,,SUMPRODUCT(MAX(ROW(E$2:E1293)*(E1293=E$2:E1293)))))-COUNTBLANK(OFFSET(A$1,,,SUMPRODUCT(MAX(ROW(E$1:E1292)*(E2=E$1:E1292))))))</f>
        <v> </v>
      </c>
      <c r="K1293" s="25" t="str">
        <f>IF(OR(E1293="",E1293="!!!",F1293="NEW"),"",INDEX(J$1:J1292,SUMPRODUCT(MAX(ROW(E$1:E1292)*(E1293=E$1:E1292)))))</f>
        <v> </v>
      </c>
      <c r="L1293" s="26"/>
    </row>
    <row r="1294" spans="1:12">
      <c r="A1294" s="20" t="s">
        <v>684</v>
      </c>
      <c r="E1294" s="21">
        <f>IF(D1294="?OLD","!!!","")</f>
        <v/>
      </c>
      <c r="F1294" s="22" t="str">
        <f>IF(OR(E1294="",E1294="!!!"),"",IF(NOT(ISNA(VLOOKUP(E1294,E$1:E1293,1,FALSE()))),"OLD",IF(AND(E1294&lt;&gt;"",E1294&lt;&gt;"!!!"),"NEW","")))</f>
        <v> </v>
      </c>
      <c r="G1294" s="23" t="str">
        <f>IF(OR(E1294="",E1294="!!!"),"",IF(OR(J1294=0,AND(J1294=1,K1294=1),AND(J1294=1,I1294="SBJ"),AND(J1294=1,I1294=0)),"?IN_FOCUS",IF(J1294&lt;=2,"?ACTIVATED",IF(J1294&lt;&gt;"","?FAMILIAR",IF(F1294="NEW",IF(ISNA(VLOOKUP(E1294,#REF!,1,FALSE())),"?TYPE_IDENTIFIABLE","?REFERENTIAL"),"_")))))</f>
        <v> </v>
      </c>
      <c r="H1294" s="24" t="str">
        <f>IF(J1294&lt;&gt;1,"",IF(I1294="SBJ","CB","?"))</f>
        <v> </v>
      </c>
      <c r="I1294" s="25" t="str">
        <f>IF(OR(E1294="",E1294="!!!",F1294="NEW"),"",INDEX(B1293:B$2,-1+SUMPRODUCT(MAX(ROW(E1293:E$2)*(E1294=E1293:E$2)))))</f>
        <v> </v>
      </c>
      <c r="J1294" s="25" t="str">
        <f>IF(OR(E1294="",E1294="!!!",F1294="NEW"),"",COUNTBLANK(OFFSET(A$1,,,SUMPRODUCT(MAX(ROW(E$2:E1294)*(E1294=E$2:E1294)))))-COUNTBLANK(OFFSET(A$1,,,SUMPRODUCT(MAX(ROW(E$1:E1293)*(E2=E$1:E1293))))))</f>
        <v> </v>
      </c>
      <c r="K1294" s="25" t="str">
        <f>IF(OR(E1294="",E1294="!!!",F1294="NEW"),"",INDEX(J$1:J1293,SUMPRODUCT(MAX(ROW(E$1:E1293)*(E1294=E$1:E1293)))))</f>
        <v> </v>
      </c>
      <c r="L1294" s="26"/>
    </row>
    <row r="1295" spans="1:12">
      <c r="A1295" s="20" t="s">
        <v>274</v>
      </c>
      <c r="E1295" s="21">
        <f>IF(D1295="?OLD","!!!","")</f>
        <v/>
      </c>
      <c r="F1295" s="22" t="str">
        <f>IF(OR(E1295="",E1295="!!!"),"",IF(NOT(ISNA(VLOOKUP(E1295,E$1:E1294,1,FALSE()))),"OLD",IF(AND(E1295&lt;&gt;"",E1295&lt;&gt;"!!!"),"NEW","")))</f>
        <v> </v>
      </c>
      <c r="G1295" s="23" t="str">
        <f>IF(OR(E1295="",E1295="!!!"),"",IF(OR(J1295=0,AND(J1295=1,K1295=1),AND(J1295=1,I1295="SBJ"),AND(J1295=1,I1295=0)),"?IN_FOCUS",IF(J1295&lt;=2,"?ACTIVATED",IF(J1295&lt;&gt;"","?FAMILIAR",IF(F1295="NEW",IF(ISNA(VLOOKUP(E1295,#REF!,1,FALSE())),"?TYPE_IDENTIFIABLE","?REFERENTIAL"),"_")))))</f>
        <v> </v>
      </c>
      <c r="H1295" s="24" t="str">
        <f>IF(J1295&lt;&gt;1,"",IF(I1295="SBJ","CB","?"))</f>
        <v> </v>
      </c>
      <c r="I1295" s="25" t="str">
        <f>IF(OR(E1295="",E1295="!!!",F1295="NEW"),"",INDEX(B1294:B$2,-1+SUMPRODUCT(MAX(ROW(E1294:E$2)*(E1295=E1294:E$2)))))</f>
        <v> </v>
      </c>
      <c r="J1295" s="25" t="str">
        <f>IF(OR(E1295="",E1295="!!!",F1295="NEW"),"",COUNTBLANK(OFFSET(A$1,,,SUMPRODUCT(MAX(ROW(E$2:E1295)*(E1295=E$2:E1295)))))-COUNTBLANK(OFFSET(A$1,,,SUMPRODUCT(MAX(ROW(E$1:E1294)*(E2=E$1:E1294))))))</f>
        <v> </v>
      </c>
      <c r="K1295" s="25" t="str">
        <f>IF(OR(E1295="",E1295="!!!",F1295="NEW"),"",INDEX(J$1:J1294,SUMPRODUCT(MAX(ROW(E$1:E1294)*(E1295=E$1:E1294)))))</f>
        <v> </v>
      </c>
      <c r="L1295" s="26"/>
    </row>
    <row r="1296" spans="1:12">
      <c r="A1296" s="20" t="s">
        <v>443</v>
      </c>
      <c r="B1296" s="27" t="s">
        <v>500</v>
      </c>
      <c r="C1296" s="27" t="s">
        <v>277</v>
      </c>
      <c r="D1296" s="27" t="s">
        <v>258</v>
      </c>
      <c r="E1296" s="21">
        <f>IF(D1296="?OLD","!!!","")</f>
        <v/>
      </c>
      <c r="F1296" s="22" t="str">
        <f>IF(OR(E1296="",E1296="!!!"),"",IF(NOT(ISNA(VLOOKUP(E1296,E$1:E1295,1,FALSE()))),"OLD",IF(AND(E1296&lt;&gt;"",E1296&lt;&gt;"!!!"),"NEW","")))</f>
        <v> </v>
      </c>
      <c r="G1296" s="23" t="str">
        <f>IF(OR(E1296="",E1296="!!!"),"",IF(OR(J1296=0,AND(J1296=1,K1296=1),AND(J1296=1,I1296="SBJ"),AND(J1296=1,I1296=0)),"?IN_FOCUS",IF(J1296&lt;=2,"?ACTIVATED",IF(J1296&lt;&gt;"","?FAMILIAR",IF(F1296="NEW",IF(ISNA(VLOOKUP(E1296,#REF!,1,FALSE())),"?TYPE_IDENTIFIABLE","?REFERENTIAL"),"_")))))</f>
        <v> </v>
      </c>
      <c r="H1296" s="24" t="str">
        <f>IF(J1296&lt;&gt;1,"",IF(I1296="SBJ","CB","?"))</f>
        <v> </v>
      </c>
      <c r="I1296" s="25" t="str">
        <f>IF(OR(E1296="",E1296="!!!",F1296="NEW"),"",INDEX(B1295:B$2,-1+SUMPRODUCT(MAX(ROW(E1295:E$2)*(E1296=E1295:E$2)))))</f>
        <v> </v>
      </c>
      <c r="J1296" s="25" t="str">
        <f>IF(OR(E1296="",E1296="!!!",F1296="NEW"),"",COUNTBLANK(OFFSET(A$1,,,SUMPRODUCT(MAX(ROW(E$2:E1296)*(E1296=E$2:E1296)))))-COUNTBLANK(OFFSET(A$1,,,SUMPRODUCT(MAX(ROW(E$1:E1295)*(E2=E$1:E1295))))))</f>
        <v> </v>
      </c>
      <c r="K1296" s="25" t="str">
        <f>IF(OR(E1296="",E1296="!!!",F1296="NEW"),"",INDEX(J$1:J1295,SUMPRODUCT(MAX(ROW(E$1:E1295)*(E1296=E$1:E1295)))))</f>
        <v> </v>
      </c>
      <c r="L1296" s="26"/>
    </row>
    <row r="1297" spans="1:12">
      <c r="A1297" s="20" t="s">
        <v>685</v>
      </c>
      <c r="E1297" s="21">
        <f>IF(D1297="?OLD","!!!","")</f>
        <v/>
      </c>
      <c r="F1297" s="22" t="str">
        <f>IF(OR(E1297="",E1297="!!!"),"",IF(NOT(ISNA(VLOOKUP(E1297,E$1:E1296,1,FALSE()))),"OLD",IF(AND(E1297&lt;&gt;"",E1297&lt;&gt;"!!!"),"NEW","")))</f>
        <v> </v>
      </c>
      <c r="G1297" s="23" t="str">
        <f>IF(OR(E1297="",E1297="!!!"),"",IF(OR(J1297=0,AND(J1297=1,K1297=1),AND(J1297=1,I1297="SBJ"),AND(J1297=1,I1297=0)),"?IN_FOCUS",IF(J1297&lt;=2,"?ACTIVATED",IF(J1297&lt;&gt;"","?FAMILIAR",IF(F1297="NEW",IF(ISNA(VLOOKUP(E1297,#REF!,1,FALSE())),"?TYPE_IDENTIFIABLE","?REFERENTIAL"),"_")))))</f>
        <v> </v>
      </c>
      <c r="H1297" s="24" t="str">
        <f>IF(J1297&lt;&gt;1,"",IF(I1297="SBJ","CB","?"))</f>
        <v> </v>
      </c>
      <c r="I1297" s="25" t="str">
        <f>IF(OR(E1297="",E1297="!!!",F1297="NEW"),"",INDEX(B1296:B$2,-1+SUMPRODUCT(MAX(ROW(E1296:E$2)*(E1297=E1296:E$2)))))</f>
        <v> </v>
      </c>
      <c r="J1297" s="25" t="str">
        <f>IF(OR(E1297="",E1297="!!!",F1297="NEW"),"",COUNTBLANK(OFFSET(A$1,,,SUMPRODUCT(MAX(ROW(E$2:E1297)*(E1297=E$2:E1297)))))-COUNTBLANK(OFFSET(A$1,,,SUMPRODUCT(MAX(ROW(E$1:E1296)*(E2=E$1:E1296))))))</f>
        <v> </v>
      </c>
      <c r="K1297" s="25" t="str">
        <f>IF(OR(E1297="",E1297="!!!",F1297="NEW"),"",INDEX(J$1:J1296,SUMPRODUCT(MAX(ROW(E$1:E1296)*(E1297=E$1:E1296)))))</f>
        <v> </v>
      </c>
      <c r="L1297" s="26"/>
    </row>
    <row r="1298" spans="1:12">
      <c r="A1298" s="20" t="s">
        <v>528</v>
      </c>
      <c r="E1298" s="21">
        <f>IF(D1298="?OLD","!!!","")</f>
        <v/>
      </c>
      <c r="F1298" s="22" t="str">
        <f>IF(OR(E1298="",E1298="!!!"),"",IF(NOT(ISNA(VLOOKUP(E1298,E$1:E1297,1,FALSE()))),"OLD",IF(AND(E1298&lt;&gt;"",E1298&lt;&gt;"!!!"),"NEW","")))</f>
        <v> </v>
      </c>
      <c r="G1298" s="23" t="str">
        <f>IF(OR(E1298="",E1298="!!!"),"",IF(OR(J1298=0,AND(J1298=1,K1298=1),AND(J1298=1,I1298="SBJ"),AND(J1298=1,I1298=0)),"?IN_FOCUS",IF(J1298&lt;=2,"?ACTIVATED",IF(J1298&lt;&gt;"","?FAMILIAR",IF(F1298="NEW",IF(ISNA(VLOOKUP(E1298,#REF!,1,FALSE())),"?TYPE_IDENTIFIABLE","?REFERENTIAL"),"_")))))</f>
        <v> </v>
      </c>
      <c r="H1298" s="24" t="str">
        <f>IF(J1298&lt;&gt;1,"",IF(I1298="SBJ","CB","?"))</f>
        <v> </v>
      </c>
      <c r="I1298" s="25" t="str">
        <f>IF(OR(E1298="",E1298="!!!",F1298="NEW"),"",INDEX(B1297:B$2,-1+SUMPRODUCT(MAX(ROW(E1297:E$2)*(E1298=E1297:E$2)))))</f>
        <v> </v>
      </c>
      <c r="J1298" s="25" t="str">
        <f>IF(OR(E1298="",E1298="!!!",F1298="NEW"),"",COUNTBLANK(OFFSET(A$1,,,SUMPRODUCT(MAX(ROW(E$2:E1298)*(E1298=E$2:E1298)))))-COUNTBLANK(OFFSET(A$1,,,SUMPRODUCT(MAX(ROW(E$1:E1297)*(E2=E$1:E1297))))))</f>
        <v> </v>
      </c>
      <c r="K1298" s="25" t="str">
        <f>IF(OR(E1298="",E1298="!!!",F1298="NEW"),"",INDEX(J$1:J1297,SUMPRODUCT(MAX(ROW(E$1:E1297)*(E1298=E$1:E1297)))))</f>
        <v> </v>
      </c>
      <c r="L1298" s="26"/>
    </row>
    <row r="1299" spans="1:12">
      <c r="A1299" s="20" t="s">
        <v>271</v>
      </c>
      <c r="E1299" s="21">
        <f>IF(D1299="?OLD","!!!","")</f>
        <v/>
      </c>
      <c r="F1299" s="22" t="str">
        <f>IF(OR(E1299="",E1299="!!!"),"",IF(NOT(ISNA(VLOOKUP(E1299,E$1:E1298,1,FALSE()))),"OLD",IF(AND(E1299&lt;&gt;"",E1299&lt;&gt;"!!!"),"NEW","")))</f>
        <v> </v>
      </c>
      <c r="G1299" s="23" t="str">
        <f>IF(OR(E1299="",E1299="!!!"),"",IF(OR(J1299=0,AND(J1299=1,K1299=1),AND(J1299=1,I1299="SBJ"),AND(J1299=1,I1299=0)),"?IN_FOCUS",IF(J1299&lt;=2,"?ACTIVATED",IF(J1299&lt;&gt;"","?FAMILIAR",IF(F1299="NEW",IF(ISNA(VLOOKUP(E1299,#REF!,1,FALSE())),"?TYPE_IDENTIFIABLE","?REFERENTIAL"),"_")))))</f>
        <v> </v>
      </c>
      <c r="H1299" s="24" t="str">
        <f>IF(J1299&lt;&gt;1,"",IF(I1299="SBJ","CB","?"))</f>
        <v> </v>
      </c>
      <c r="I1299" s="25" t="str">
        <f>IF(OR(E1299="",E1299="!!!",F1299="NEW"),"",INDEX(B1298:B$2,-1+SUMPRODUCT(MAX(ROW(E1298:E$2)*(E1299=E1298:E$2)))))</f>
        <v> </v>
      </c>
      <c r="J1299" s="25" t="str">
        <f>IF(OR(E1299="",E1299="!!!",F1299="NEW"),"",COUNTBLANK(OFFSET(A$1,,,SUMPRODUCT(MAX(ROW(E$2:E1299)*(E1299=E$2:E1299)))))-COUNTBLANK(OFFSET(A$1,,,SUMPRODUCT(MAX(ROW(E$1:E1298)*(E2=E$1:E1298))))))</f>
        <v> </v>
      </c>
      <c r="K1299" s="25" t="str">
        <f>IF(OR(E1299="",E1299="!!!",F1299="NEW"),"",INDEX(J$1:J1298,SUMPRODUCT(MAX(ROW(E$1:E1298)*(E1299=E$1:E1298)))))</f>
        <v> </v>
      </c>
      <c r="L1299" s="26"/>
    </row>
    <row r="1300" spans="1:12">
      <c r="A1300" s="20" t="s">
        <v>165</v>
      </c>
      <c r="E1300" s="21">
        <f>IF(D1300="?OLD","!!!","")</f>
        <v/>
      </c>
      <c r="F1300" s="22" t="str">
        <f>IF(OR(E1300="",E1300="!!!"),"",IF(NOT(ISNA(VLOOKUP(E1300,E$1:E1299,1,FALSE()))),"OLD",IF(AND(E1300&lt;&gt;"",E1300&lt;&gt;"!!!"),"NEW","")))</f>
        <v> </v>
      </c>
      <c r="G1300" s="23" t="str">
        <f>IF(OR(E1300="",E1300="!!!"),"",IF(OR(J1300=0,AND(J1300=1,K1300=1),AND(J1300=1,I1300="SBJ"),AND(J1300=1,I1300=0)),"?IN_FOCUS",IF(J1300&lt;=2,"?ACTIVATED",IF(J1300&lt;&gt;"","?FAMILIAR",IF(F1300="NEW",IF(ISNA(VLOOKUP(E1300,#REF!,1,FALSE())),"?TYPE_IDENTIFIABLE","?REFERENTIAL"),"_")))))</f>
        <v> </v>
      </c>
      <c r="H1300" s="24" t="str">
        <f>IF(J1300&lt;&gt;1,"",IF(I1300="SBJ","CB","?"))</f>
        <v> </v>
      </c>
      <c r="I1300" s="25" t="str">
        <f>IF(OR(E1300="",E1300="!!!",F1300="NEW"),"",INDEX(B1299:B$2,-1+SUMPRODUCT(MAX(ROW(E1299:E$2)*(E1300=E1299:E$2)))))</f>
        <v> </v>
      </c>
      <c r="J1300" s="25" t="str">
        <f>IF(OR(E1300="",E1300="!!!",F1300="NEW"),"",COUNTBLANK(OFFSET(A$1,,,SUMPRODUCT(MAX(ROW(E$2:E1300)*(E1300=E$2:E1300)))))-COUNTBLANK(OFFSET(A$1,,,SUMPRODUCT(MAX(ROW(E$1:E1299)*(E2=E$1:E1299))))))</f>
        <v> </v>
      </c>
      <c r="K1300" s="25" t="str">
        <f>IF(OR(E1300="",E1300="!!!",F1300="NEW"),"",INDEX(J$1:J1299,SUMPRODUCT(MAX(ROW(E$1:E1299)*(E1300=E$1:E1299)))))</f>
        <v> </v>
      </c>
      <c r="L1300" s="26"/>
    </row>
    <row r="1301" spans="1:12">
      <c r="A1301" s="20" t="s">
        <v>273</v>
      </c>
      <c r="B1301" s="27" t="s">
        <v>256</v>
      </c>
      <c r="C1301" s="27" t="s">
        <v>367</v>
      </c>
      <c r="D1301" s="27" t="s">
        <v>258</v>
      </c>
      <c r="E1301" s="21">
        <f>IF(D1301="?OLD","!!!","")</f>
        <v/>
      </c>
      <c r="F1301" s="22" t="str">
        <f>IF(OR(E1301="",E1301="!!!"),"",IF(NOT(ISNA(VLOOKUP(E1301,E$1:E1300,1,FALSE()))),"OLD",IF(AND(E1301&lt;&gt;"",E1301&lt;&gt;"!!!"),"NEW","")))</f>
        <v> </v>
      </c>
      <c r="G1301" s="23" t="str">
        <f>IF(OR(E1301="",E1301="!!!"),"",IF(OR(J1301=0,AND(J1301=1,K1301=1),AND(J1301=1,I1301="SBJ"),AND(J1301=1,I1301=0)),"?IN_FOCUS",IF(J1301&lt;=2,"?ACTIVATED",IF(J1301&lt;&gt;"","?FAMILIAR",IF(F1301="NEW",IF(ISNA(VLOOKUP(E1301,#REF!,1,FALSE())),"?TYPE_IDENTIFIABLE","?REFERENTIAL"),"_")))))</f>
        <v> </v>
      </c>
      <c r="H1301" s="24" t="str">
        <f>IF(J1301&lt;&gt;1,"",IF(I1301="SBJ","CB","?"))</f>
        <v> </v>
      </c>
      <c r="I1301" s="25" t="str">
        <f>IF(OR(E1301="",E1301="!!!",F1301="NEW"),"",INDEX(B1300:B$2,-1+SUMPRODUCT(MAX(ROW(E1300:E$2)*(E1301=E1300:E$2)))))</f>
        <v> </v>
      </c>
      <c r="J1301" s="25" t="str">
        <f>IF(OR(E1301="",E1301="!!!",F1301="NEW"),"",COUNTBLANK(OFFSET(A$1,,,SUMPRODUCT(MAX(ROW(E$2:E1301)*(E1301=E$2:E1301)))))-COUNTBLANK(OFFSET(A$1,,,SUMPRODUCT(MAX(ROW(E$1:E1300)*(E2=E$1:E1300))))))</f>
        <v> </v>
      </c>
      <c r="K1301" s="25" t="str">
        <f>IF(OR(E1301="",E1301="!!!",F1301="NEW"),"",INDEX(J$1:J1300,SUMPRODUCT(MAX(ROW(E$1:E1300)*(E1301=E$1:E1300)))))</f>
        <v> </v>
      </c>
      <c r="L1301" s="26"/>
    </row>
    <row r="1302" spans="1:12">
      <c r="A1302" s="20" t="s">
        <v>294</v>
      </c>
      <c r="E1302" s="21">
        <f>IF(D1302="?OLD","!!!","")</f>
        <v/>
      </c>
      <c r="F1302" s="22" t="str">
        <f>IF(OR(E1302="",E1302="!!!"),"",IF(NOT(ISNA(VLOOKUP(E1302,E$1:E1301,1,FALSE()))),"OLD",IF(AND(E1302&lt;&gt;"",E1302&lt;&gt;"!!!"),"NEW","")))</f>
        <v> </v>
      </c>
      <c r="G1302" s="23" t="str">
        <f>IF(OR(E1302="",E1302="!!!"),"",IF(OR(J1302=0,AND(J1302=1,K1302=1),AND(J1302=1,I1302="SBJ"),AND(J1302=1,I1302=0)),"?IN_FOCUS",IF(J1302&lt;=2,"?ACTIVATED",IF(J1302&lt;&gt;"","?FAMILIAR",IF(F1302="NEW",IF(ISNA(VLOOKUP(E1302,#REF!,1,FALSE())),"?TYPE_IDENTIFIABLE","?REFERENTIAL"),"_")))))</f>
        <v> </v>
      </c>
      <c r="H1302" s="24" t="str">
        <f>IF(J1302&lt;&gt;1,"",IF(I1302="SBJ","CB","?"))</f>
        <v> </v>
      </c>
      <c r="I1302" s="25" t="str">
        <f>IF(OR(E1302="",E1302="!!!",F1302="NEW"),"",INDEX(B1301:B$2,-1+SUMPRODUCT(MAX(ROW(E1301:E$2)*(E1302=E1301:E$2)))))</f>
        <v> </v>
      </c>
      <c r="J1302" s="25" t="str">
        <f>IF(OR(E1302="",E1302="!!!",F1302="NEW"),"",COUNTBLANK(OFFSET(A$1,,,SUMPRODUCT(MAX(ROW(E$2:E1302)*(E1302=E$2:E1302)))))-COUNTBLANK(OFFSET(A$1,,,SUMPRODUCT(MAX(ROW(E$1:E1301)*(E2=E$1:E1301))))))</f>
        <v> </v>
      </c>
      <c r="K1302" s="25" t="str">
        <f>IF(OR(E1302="",E1302="!!!",F1302="NEW"),"",INDEX(J$1:J1301,SUMPRODUCT(MAX(ROW(E$1:E1301)*(E1302=E$1:E1301)))))</f>
        <v> </v>
      </c>
      <c r="L1302" s="26"/>
    </row>
    <row r="1303" spans="1:12">
      <c r="A1303" s="20" t="s">
        <v>278</v>
      </c>
      <c r="E1303" s="21">
        <f>IF(D1303="?OLD","!!!","")</f>
        <v/>
      </c>
      <c r="F1303" s="22" t="str">
        <f>IF(OR(E1303="",E1303="!!!"),"",IF(NOT(ISNA(VLOOKUP(E1303,E$1:E1302,1,FALSE()))),"OLD",IF(AND(E1303&lt;&gt;"",E1303&lt;&gt;"!!!"),"NEW","")))</f>
        <v> </v>
      </c>
      <c r="G1303" s="23" t="str">
        <f>IF(OR(E1303="",E1303="!!!"),"",IF(OR(J1303=0,AND(J1303=1,K1303=1),AND(J1303=1,I1303="SBJ"),AND(J1303=1,I1303=0)),"?IN_FOCUS",IF(J1303&lt;=2,"?ACTIVATED",IF(J1303&lt;&gt;"","?FAMILIAR",IF(F1303="NEW",IF(ISNA(VLOOKUP(E1303,#REF!,1,FALSE())),"?TYPE_IDENTIFIABLE","?REFERENTIAL"),"_")))))</f>
        <v> </v>
      </c>
      <c r="H1303" s="24" t="str">
        <f>IF(J1303&lt;&gt;1,"",IF(I1303="SBJ","CB","?"))</f>
        <v> </v>
      </c>
      <c r="I1303" s="25" t="str">
        <f>IF(OR(E1303="",E1303="!!!",F1303="NEW"),"",INDEX(B1302:B$2,-1+SUMPRODUCT(MAX(ROW(E1302:E$2)*(E1303=E1302:E$2)))))</f>
        <v> </v>
      </c>
      <c r="J1303" s="25" t="str">
        <f>IF(OR(E1303="",E1303="!!!",F1303="NEW"),"",COUNTBLANK(OFFSET(A$1,,,SUMPRODUCT(MAX(ROW(E$2:E1303)*(E1303=E$2:E1303)))))-COUNTBLANK(OFFSET(A$1,,,SUMPRODUCT(MAX(ROW(E$1:E1302)*(E2=E$1:E1302))))))</f>
        <v> </v>
      </c>
      <c r="K1303" s="25" t="str">
        <f>IF(OR(E1303="",E1303="!!!",F1303="NEW"),"",INDEX(J$1:J1302,SUMPRODUCT(MAX(ROW(E$1:E1302)*(E1303=E$1:E1302)))))</f>
        <v> </v>
      </c>
      <c r="L1303" s="26"/>
    </row>
    <row r="1304" spans="1:12">
      <c r="A1304" s="20" t="s">
        <v>613</v>
      </c>
      <c r="E1304" s="21">
        <f>IF(D1304="?OLD","!!!","")</f>
        <v/>
      </c>
      <c r="F1304" s="22" t="str">
        <f>IF(OR(E1304="",E1304="!!!"),"",IF(NOT(ISNA(VLOOKUP(E1304,E$1:E1303,1,FALSE()))),"OLD",IF(AND(E1304&lt;&gt;"",E1304&lt;&gt;"!!!"),"NEW","")))</f>
        <v> </v>
      </c>
      <c r="G1304" s="23" t="str">
        <f>IF(OR(E1304="",E1304="!!!"),"",IF(OR(J1304=0,AND(J1304=1,K1304=1),AND(J1304=1,I1304="SBJ"),AND(J1304=1,I1304=0)),"?IN_FOCUS",IF(J1304&lt;=2,"?ACTIVATED",IF(J1304&lt;&gt;"","?FAMILIAR",IF(F1304="NEW",IF(ISNA(VLOOKUP(E1304,#REF!,1,FALSE())),"?TYPE_IDENTIFIABLE","?REFERENTIAL"),"_")))))</f>
        <v> </v>
      </c>
      <c r="H1304" s="24" t="str">
        <f>IF(J1304&lt;&gt;1,"",IF(I1304="SBJ","CB","?"))</f>
        <v> </v>
      </c>
      <c r="I1304" s="25" t="str">
        <f>IF(OR(E1304="",E1304="!!!",F1304="NEW"),"",INDEX(B1303:B$2,-1+SUMPRODUCT(MAX(ROW(E1303:E$2)*(E1304=E1303:E$2)))))</f>
        <v> </v>
      </c>
      <c r="J1304" s="25" t="str">
        <f>IF(OR(E1304="",E1304="!!!",F1304="NEW"),"",COUNTBLANK(OFFSET(A$1,,,SUMPRODUCT(MAX(ROW(E$2:E1304)*(E1304=E$2:E1304)))))-COUNTBLANK(OFFSET(A$1,,,SUMPRODUCT(MAX(ROW(E$1:E1303)*(E2=E$1:E1303))))))</f>
        <v> </v>
      </c>
      <c r="K1304" s="25" t="str">
        <f>IF(OR(E1304="",E1304="!!!",F1304="NEW"),"",INDEX(J$1:J1303,SUMPRODUCT(MAX(ROW(E$1:E1303)*(E1304=E$1:E1303)))))</f>
        <v> </v>
      </c>
      <c r="L1304" s="26"/>
    </row>
    <row r="1305" spans="1:12">
      <c r="A1305" s="20" t="s">
        <v>540</v>
      </c>
      <c r="E1305" s="21">
        <f>IF(D1305="?OLD","!!!","")</f>
        <v/>
      </c>
      <c r="F1305" s="22" t="str">
        <f>IF(OR(E1305="",E1305="!!!"),"",IF(NOT(ISNA(VLOOKUP(E1305,E$1:E1304,1,FALSE()))),"OLD",IF(AND(E1305&lt;&gt;"",E1305&lt;&gt;"!!!"),"NEW","")))</f>
        <v> </v>
      </c>
      <c r="G1305" s="23" t="str">
        <f>IF(OR(E1305="",E1305="!!!"),"",IF(OR(J1305=0,AND(J1305=1,K1305=1),AND(J1305=1,I1305="SBJ"),AND(J1305=1,I1305=0)),"?IN_FOCUS",IF(J1305&lt;=2,"?ACTIVATED",IF(J1305&lt;&gt;"","?FAMILIAR",IF(F1305="NEW",IF(ISNA(VLOOKUP(E1305,#REF!,1,FALSE())),"?TYPE_IDENTIFIABLE","?REFERENTIAL"),"_")))))</f>
        <v> </v>
      </c>
      <c r="H1305" s="24" t="str">
        <f>IF(J1305&lt;&gt;1,"",IF(I1305="SBJ","CB","?"))</f>
        <v> </v>
      </c>
      <c r="I1305" s="25" t="str">
        <f>IF(OR(E1305="",E1305="!!!",F1305="NEW"),"",INDEX(B1304:B$2,-1+SUMPRODUCT(MAX(ROW(E1304:E$2)*(E1305=E1304:E$2)))))</f>
        <v> </v>
      </c>
      <c r="J1305" s="25" t="str">
        <f>IF(OR(E1305="",E1305="!!!",F1305="NEW"),"",COUNTBLANK(OFFSET(A$1,,,SUMPRODUCT(MAX(ROW(E$2:E1305)*(E1305=E$2:E1305)))))-COUNTBLANK(OFFSET(A$1,,,SUMPRODUCT(MAX(ROW(E$1:E1304)*(E2=E$1:E1304))))))</f>
        <v> </v>
      </c>
      <c r="K1305" s="25" t="str">
        <f>IF(OR(E1305="",E1305="!!!",F1305="NEW"),"",INDEX(J$1:J1304,SUMPRODUCT(MAX(ROW(E$1:E1304)*(E1305=E$1:E1304)))))</f>
        <v> </v>
      </c>
      <c r="L1305" s="26"/>
    </row>
    <row r="1306" spans="1:12">
      <c r="A1306" s="20" t="s">
        <v>264</v>
      </c>
      <c r="E1306" s="21">
        <f>IF(D1306="?OLD","!!!","")</f>
        <v/>
      </c>
      <c r="F1306" s="22" t="str">
        <f>IF(OR(E1306="",E1306="!!!"),"",IF(NOT(ISNA(VLOOKUP(E1306,E$1:E1305,1,FALSE()))),"OLD",IF(AND(E1306&lt;&gt;"",E1306&lt;&gt;"!!!"),"NEW","")))</f>
        <v> </v>
      </c>
      <c r="G1306" s="23" t="str">
        <f>IF(OR(E1306="",E1306="!!!"),"",IF(OR(J1306=0,AND(J1306=1,K1306=1),AND(J1306=1,I1306="SBJ"),AND(J1306=1,I1306=0)),"?IN_FOCUS",IF(J1306&lt;=2,"?ACTIVATED",IF(J1306&lt;&gt;"","?FAMILIAR",IF(F1306="NEW",IF(ISNA(VLOOKUP(E1306,#REF!,1,FALSE())),"?TYPE_IDENTIFIABLE","?REFERENTIAL"),"_")))))</f>
        <v> </v>
      </c>
      <c r="H1306" s="24" t="str">
        <f>IF(J1306&lt;&gt;1,"",IF(I1306="SBJ","CB","?"))</f>
        <v> </v>
      </c>
      <c r="I1306" s="25" t="str">
        <f>IF(OR(E1306="",E1306="!!!",F1306="NEW"),"",INDEX(B1305:B$2,-1+SUMPRODUCT(MAX(ROW(E1305:E$2)*(E1306=E1305:E$2)))))</f>
        <v> </v>
      </c>
      <c r="J1306" s="25" t="str">
        <f>IF(OR(E1306="",E1306="!!!",F1306="NEW"),"",COUNTBLANK(OFFSET(A$1,,,SUMPRODUCT(MAX(ROW(E$2:E1306)*(E1306=E$2:E1306)))))-COUNTBLANK(OFFSET(A$1,,,SUMPRODUCT(MAX(ROW(E$1:E1305)*(E2=E$1:E1305))))))</f>
        <v> </v>
      </c>
      <c r="K1306" s="25" t="str">
        <f>IF(OR(E1306="",E1306="!!!",F1306="NEW"),"",INDEX(J$1:J1305,SUMPRODUCT(MAX(ROW(E$1:E1305)*(E1306=E$1:E1305)))))</f>
        <v> </v>
      </c>
      <c r="L1306" s="26"/>
    </row>
    <row r="1307" spans="1:12">
      <c r="A1307" s="20" t="s">
        <v>620</v>
      </c>
      <c r="B1307" s="27" t="s">
        <v>328</v>
      </c>
      <c r="C1307" s="27" t="s">
        <v>268</v>
      </c>
      <c r="E1307" s="21">
        <f>IF(D1307="?OLD","!!!","")</f>
        <v/>
      </c>
      <c r="F1307" s="22" t="str">
        <f>IF(OR(E1307="",E1307="!!!"),"",IF(NOT(ISNA(VLOOKUP(E1307,E$1:E1306,1,FALSE()))),"OLD",IF(AND(E1307&lt;&gt;"",E1307&lt;&gt;"!!!"),"NEW","")))</f>
        <v> </v>
      </c>
      <c r="G1307" s="23" t="str">
        <f>IF(OR(E1307="",E1307="!!!"),"",IF(OR(J1307=0,AND(J1307=1,K1307=1),AND(J1307=1,I1307="SBJ"),AND(J1307=1,I1307=0)),"?IN_FOCUS",IF(J1307&lt;=2,"?ACTIVATED",IF(J1307&lt;&gt;"","?FAMILIAR",IF(F1307="NEW",IF(ISNA(VLOOKUP(E1307,#REF!,1,FALSE())),"?TYPE_IDENTIFIABLE","?REFERENTIAL"),"_")))))</f>
        <v> </v>
      </c>
      <c r="H1307" s="24" t="str">
        <f>IF(J1307&lt;&gt;1,"",IF(I1307="SBJ","CB","?"))</f>
        <v> </v>
      </c>
      <c r="I1307" s="25" t="str">
        <f>IF(OR(E1307="",E1307="!!!",F1307="NEW"),"",INDEX(B1306:B$2,-1+SUMPRODUCT(MAX(ROW(E1306:E$2)*(E1307=E1306:E$2)))))</f>
        <v> </v>
      </c>
      <c r="J1307" s="25" t="str">
        <f>IF(OR(E1307="",E1307="!!!",F1307="NEW"),"",COUNTBLANK(OFFSET(A$1,,,SUMPRODUCT(MAX(ROW(E$2:E1307)*(E1307=E$2:E1307)))))-COUNTBLANK(OFFSET(A$1,,,SUMPRODUCT(MAX(ROW(E$1:E1306)*(E2=E$1:E1306))))))</f>
        <v> </v>
      </c>
      <c r="K1307" s="25" t="str">
        <f>IF(OR(E1307="",E1307="!!!",F1307="NEW"),"",INDEX(J$1:J1306,SUMPRODUCT(MAX(ROW(E$1:E1306)*(E1307=E$1:E1306)))))</f>
        <v> </v>
      </c>
      <c r="L1307" s="26"/>
    </row>
    <row r="1308" spans="1:12">
      <c r="A1308" s="20" t="s">
        <v>305</v>
      </c>
      <c r="E1308" s="21">
        <f>IF(D1308="?OLD","!!!","")</f>
        <v/>
      </c>
      <c r="F1308" s="22" t="str">
        <f>IF(OR(E1308="",E1308="!!!"),"",IF(NOT(ISNA(VLOOKUP(E1308,E$1:E1307,1,FALSE()))),"OLD",IF(AND(E1308&lt;&gt;"",E1308&lt;&gt;"!!!"),"NEW","")))</f>
        <v> </v>
      </c>
      <c r="G1308" s="23" t="str">
        <f>IF(OR(E1308="",E1308="!!!"),"",IF(OR(J1308=0,AND(J1308=1,K1308=1),AND(J1308=1,I1308="SBJ"),AND(J1308=1,I1308=0)),"?IN_FOCUS",IF(J1308&lt;=2,"?ACTIVATED",IF(J1308&lt;&gt;"","?FAMILIAR",IF(F1308="NEW",IF(ISNA(VLOOKUP(E1308,#REF!,1,FALSE())),"?TYPE_IDENTIFIABLE","?REFERENTIAL"),"_")))))</f>
        <v> </v>
      </c>
      <c r="H1308" s="24" t="str">
        <f>IF(J1308&lt;&gt;1,"",IF(I1308="SBJ","CB","?"))</f>
        <v> </v>
      </c>
      <c r="I1308" s="25" t="str">
        <f>IF(OR(E1308="",E1308="!!!",F1308="NEW"),"",INDEX(B1307:B$2,-1+SUMPRODUCT(MAX(ROW(E1307:E$2)*(E1308=E1307:E$2)))))</f>
        <v> </v>
      </c>
      <c r="J1308" s="25" t="str">
        <f>IF(OR(E1308="",E1308="!!!",F1308="NEW"),"",COUNTBLANK(OFFSET(A$1,,,SUMPRODUCT(MAX(ROW(E$2:E1308)*(E1308=E$2:E1308)))))-COUNTBLANK(OFFSET(A$1,,,SUMPRODUCT(MAX(ROW(E$1:E1307)*(E2=E$1:E1307))))))</f>
        <v> </v>
      </c>
      <c r="K1308" s="25" t="str">
        <f>IF(OR(E1308="",E1308="!!!",F1308="NEW"),"",INDEX(J$1:J1307,SUMPRODUCT(MAX(ROW(E$1:E1307)*(E1308=E$1:E1307)))))</f>
        <v> </v>
      </c>
      <c r="L1308" s="26"/>
    </row>
    <row r="1309" spans="1:12">
      <c r="A1309" s="20" t="s">
        <v>274</v>
      </c>
      <c r="E1309" s="21">
        <f>IF(D1309="?OLD","!!!","")</f>
        <v/>
      </c>
      <c r="F1309" s="22" t="str">
        <f>IF(OR(E1309="",E1309="!!!"),"",IF(NOT(ISNA(VLOOKUP(E1309,E$1:E1308,1,FALSE()))),"OLD",IF(AND(E1309&lt;&gt;"",E1309&lt;&gt;"!!!"),"NEW","")))</f>
        <v> </v>
      </c>
      <c r="G1309" s="23" t="str">
        <f>IF(OR(E1309="",E1309="!!!"),"",IF(OR(J1309=0,AND(J1309=1,K1309=1),AND(J1309=1,I1309="SBJ"),AND(J1309=1,I1309=0)),"?IN_FOCUS",IF(J1309&lt;=2,"?ACTIVATED",IF(J1309&lt;&gt;"","?FAMILIAR",IF(F1309="NEW",IF(ISNA(VLOOKUP(E1309,#REF!,1,FALSE())),"?TYPE_IDENTIFIABLE","?REFERENTIAL"),"_")))))</f>
        <v> </v>
      </c>
      <c r="H1309" s="24" t="str">
        <f>IF(J1309&lt;&gt;1,"",IF(I1309="SBJ","CB","?"))</f>
        <v> </v>
      </c>
      <c r="I1309" s="25" t="str">
        <f>IF(OR(E1309="",E1309="!!!",F1309="NEW"),"",INDEX(B1308:B$2,-1+SUMPRODUCT(MAX(ROW(E1308:E$2)*(E1309=E1308:E$2)))))</f>
        <v> </v>
      </c>
      <c r="J1309" s="25" t="str">
        <f>IF(OR(E1309="",E1309="!!!",F1309="NEW"),"",COUNTBLANK(OFFSET(A$1,,,SUMPRODUCT(MAX(ROW(E$2:E1309)*(E1309=E$2:E1309)))))-COUNTBLANK(OFFSET(A$1,,,SUMPRODUCT(MAX(ROW(E$1:E1308)*(E2=E$1:E1308))))))</f>
        <v> </v>
      </c>
      <c r="K1309" s="25" t="str">
        <f>IF(OR(E1309="",E1309="!!!",F1309="NEW"),"",INDEX(J$1:J1308,SUMPRODUCT(MAX(ROW(E$1:E1308)*(E1309=E$1:E1308)))))</f>
        <v> </v>
      </c>
      <c r="L1309" s="26"/>
    </row>
    <row r="1310" spans="1:12">
      <c r="A1310" s="20" t="s">
        <v>686</v>
      </c>
      <c r="E1310" s="21">
        <f>IF(D1310="?OLD","!!!","")</f>
        <v/>
      </c>
      <c r="F1310" s="22" t="str">
        <f>IF(OR(E1310="",E1310="!!!"),"",IF(NOT(ISNA(VLOOKUP(E1310,E$1:E1309,1,FALSE()))),"OLD",IF(AND(E1310&lt;&gt;"",E1310&lt;&gt;"!!!"),"NEW","")))</f>
        <v> </v>
      </c>
      <c r="G1310" s="23" t="str">
        <f>IF(OR(E1310="",E1310="!!!"),"",IF(OR(J1310=0,AND(J1310=1,K1310=1),AND(J1310=1,I1310="SBJ"),AND(J1310=1,I1310=0)),"?IN_FOCUS",IF(J1310&lt;=2,"?ACTIVATED",IF(J1310&lt;&gt;"","?FAMILIAR",IF(F1310="NEW",IF(ISNA(VLOOKUP(E1310,#REF!,1,FALSE())),"?TYPE_IDENTIFIABLE","?REFERENTIAL"),"_")))))</f>
        <v> </v>
      </c>
      <c r="H1310" s="24" t="str">
        <f>IF(J1310&lt;&gt;1,"",IF(I1310="SBJ","CB","?"))</f>
        <v> </v>
      </c>
      <c r="I1310" s="25" t="str">
        <f>IF(OR(E1310="",E1310="!!!",F1310="NEW"),"",INDEX(B1309:B$2,-1+SUMPRODUCT(MAX(ROW(E1309:E$2)*(E1310=E1309:E$2)))))</f>
        <v> </v>
      </c>
      <c r="J1310" s="25" t="str">
        <f>IF(OR(E1310="",E1310="!!!",F1310="NEW"),"",COUNTBLANK(OFFSET(A$1,,,SUMPRODUCT(MAX(ROW(E$2:E1310)*(E1310=E$2:E1310)))))-COUNTBLANK(OFFSET(A$1,,,SUMPRODUCT(MAX(ROW(E$1:E1309)*(E2=E$1:E1309))))))</f>
        <v> </v>
      </c>
      <c r="K1310" s="25" t="str">
        <f>IF(OR(E1310="",E1310="!!!",F1310="NEW"),"",INDEX(J$1:J1309,SUMPRODUCT(MAX(ROW(E$1:E1309)*(E1310=E$1:E1309)))))</f>
        <v> </v>
      </c>
      <c r="L1310" s="26"/>
    </row>
    <row r="1311" spans="1:12">
      <c r="A1311" s="20" t="s">
        <v>271</v>
      </c>
      <c r="E1311" s="21">
        <f>IF(D1311="?OLD","!!!","")</f>
        <v/>
      </c>
      <c r="F1311" s="22" t="str">
        <f>IF(OR(E1311="",E1311="!!!"),"",IF(NOT(ISNA(VLOOKUP(E1311,E$1:E1310,1,FALSE()))),"OLD",IF(AND(E1311&lt;&gt;"",E1311&lt;&gt;"!!!"),"NEW","")))</f>
        <v> </v>
      </c>
      <c r="G1311" s="23" t="str">
        <f>IF(OR(E1311="",E1311="!!!"),"",IF(OR(J1311=0,AND(J1311=1,K1311=1),AND(J1311=1,I1311="SBJ"),AND(J1311=1,I1311=0)),"?IN_FOCUS",IF(J1311&lt;=2,"?ACTIVATED",IF(J1311&lt;&gt;"","?FAMILIAR",IF(F1311="NEW",IF(ISNA(VLOOKUP(E1311,#REF!,1,FALSE())),"?TYPE_IDENTIFIABLE","?REFERENTIAL"),"_")))))</f>
        <v> </v>
      </c>
      <c r="H1311" s="24" t="str">
        <f>IF(J1311&lt;&gt;1,"",IF(I1311="SBJ","CB","?"))</f>
        <v> </v>
      </c>
      <c r="I1311" s="25" t="str">
        <f>IF(OR(E1311="",E1311="!!!",F1311="NEW"),"",INDEX(B1310:B$2,-1+SUMPRODUCT(MAX(ROW(E1310:E$2)*(E1311=E1310:E$2)))))</f>
        <v> </v>
      </c>
      <c r="J1311" s="25" t="str">
        <f>IF(OR(E1311="",E1311="!!!",F1311="NEW"),"",COUNTBLANK(OFFSET(A$1,,,SUMPRODUCT(MAX(ROW(E$2:E1311)*(E1311=E$2:E1311)))))-COUNTBLANK(OFFSET(A$1,,,SUMPRODUCT(MAX(ROW(E$1:E1310)*(E2=E$1:E1310))))))</f>
        <v> </v>
      </c>
      <c r="K1311" s="25" t="str">
        <f>IF(OR(E1311="",E1311="!!!",F1311="NEW"),"",INDEX(J$1:J1310,SUMPRODUCT(MAX(ROW(E$1:E1310)*(E1311=E$1:E1310)))))</f>
        <v> </v>
      </c>
      <c r="L1311" s="26"/>
    </row>
    <row r="1312" spans="1:12">
      <c r="A1312" s="20" t="s">
        <v>282</v>
      </c>
      <c r="B1312" s="27" t="s">
        <v>256</v>
      </c>
      <c r="C1312" s="27" t="s">
        <v>257</v>
      </c>
      <c r="D1312" s="27" t="s">
        <v>258</v>
      </c>
      <c r="E1312" s="21">
        <f>IF(D1312="?OLD","!!!","")</f>
        <v/>
      </c>
      <c r="F1312" s="22" t="str">
        <f>IF(OR(E1312="",E1312="!!!"),"",IF(NOT(ISNA(VLOOKUP(E1312,E$1:E1311,1,FALSE()))),"OLD",IF(AND(E1312&lt;&gt;"",E1312&lt;&gt;"!!!"),"NEW","")))</f>
        <v> </v>
      </c>
      <c r="G1312" s="23" t="str">
        <f>IF(OR(E1312="",E1312="!!!"),"",IF(OR(J1312=0,AND(J1312=1,K1312=1),AND(J1312=1,I1312="SBJ"),AND(J1312=1,I1312=0)),"?IN_FOCUS",IF(J1312&lt;=2,"?ACTIVATED",IF(J1312&lt;&gt;"","?FAMILIAR",IF(F1312="NEW",IF(ISNA(VLOOKUP(E1312,#REF!,1,FALSE())),"?TYPE_IDENTIFIABLE","?REFERENTIAL"),"_")))))</f>
        <v> </v>
      </c>
      <c r="H1312" s="24" t="str">
        <f>IF(J1312&lt;&gt;1,"",IF(I1312="SBJ","CB","?"))</f>
        <v> </v>
      </c>
      <c r="I1312" s="25" t="str">
        <f>IF(OR(E1312="",E1312="!!!",F1312="NEW"),"",INDEX(B1311:B$2,-1+SUMPRODUCT(MAX(ROW(E1311:E$2)*(E1312=E1311:E$2)))))</f>
        <v> </v>
      </c>
      <c r="J1312" s="25" t="str">
        <f>IF(OR(E1312="",E1312="!!!",F1312="NEW"),"",COUNTBLANK(OFFSET(A$1,,,SUMPRODUCT(MAX(ROW(E$2:E1312)*(E1312=E$2:E1312)))))-COUNTBLANK(OFFSET(A$1,,,SUMPRODUCT(MAX(ROW(E$1:E1311)*(E2=E$1:E1311))))))</f>
        <v> </v>
      </c>
      <c r="K1312" s="25" t="str">
        <f>IF(OR(E1312="",E1312="!!!",F1312="NEW"),"",INDEX(J$1:J1311,SUMPRODUCT(MAX(ROW(E$1:E1311)*(E1312=E$1:E1311)))))</f>
        <v> </v>
      </c>
      <c r="L1312" s="26"/>
    </row>
    <row r="1313" spans="1:12">
      <c r="A1313" s="20" t="s">
        <v>55</v>
      </c>
      <c r="E1313" s="21">
        <f>IF(D1313="?OLD","!!!","")</f>
        <v/>
      </c>
      <c r="F1313" s="22" t="str">
        <f>IF(OR(E1313="",E1313="!!!"),"",IF(NOT(ISNA(VLOOKUP(E1313,E$1:E1312,1,FALSE()))),"OLD",IF(AND(E1313&lt;&gt;"",E1313&lt;&gt;"!!!"),"NEW","")))</f>
        <v> </v>
      </c>
      <c r="G1313" s="23" t="str">
        <f>IF(OR(E1313="",E1313="!!!"),"",IF(OR(J1313=0,AND(J1313=1,K1313=1),AND(J1313=1,I1313="SBJ"),AND(J1313=1,I1313=0)),"?IN_FOCUS",IF(J1313&lt;=2,"?ACTIVATED",IF(J1313&lt;&gt;"","?FAMILIAR",IF(F1313="NEW",IF(ISNA(VLOOKUP(E1313,#REF!,1,FALSE())),"?TYPE_IDENTIFIABLE","?REFERENTIAL"),"_")))))</f>
        <v> </v>
      </c>
      <c r="H1313" s="24" t="str">
        <f>IF(J1313&lt;&gt;1,"",IF(I1313="SBJ","CB","?"))</f>
        <v> </v>
      </c>
      <c r="I1313" s="25" t="str">
        <f>IF(OR(E1313="",E1313="!!!",F1313="NEW"),"",INDEX(B1312:B$2,-1+SUMPRODUCT(MAX(ROW(E1312:E$2)*(E1313=E1312:E$2)))))</f>
        <v> </v>
      </c>
      <c r="J1313" s="25" t="str">
        <f>IF(OR(E1313="",E1313="!!!",F1313="NEW"),"",COUNTBLANK(OFFSET(A$1,,,SUMPRODUCT(MAX(ROW(E$2:E1313)*(E1313=E$2:E1313)))))-COUNTBLANK(OFFSET(A$1,,,SUMPRODUCT(MAX(ROW(E$1:E1312)*(E2=E$1:E1312))))))</f>
        <v> </v>
      </c>
      <c r="K1313" s="25" t="str">
        <f>IF(OR(E1313="",E1313="!!!",F1313="NEW"),"",INDEX(J$1:J1312,SUMPRODUCT(MAX(ROW(E$1:E1312)*(E1313=E$1:E1312)))))</f>
        <v> </v>
      </c>
      <c r="L1313" s="26"/>
    </row>
    <row r="1314" spans="1:12">
      <c r="A1314" s="20" t="s">
        <v>516</v>
      </c>
      <c r="E1314" s="21">
        <f>IF(D1314="?OLD","!!!","")</f>
        <v/>
      </c>
      <c r="F1314" s="22" t="str">
        <f>IF(OR(E1314="",E1314="!!!"),"",IF(NOT(ISNA(VLOOKUP(E1314,E$1:E1313,1,FALSE()))),"OLD",IF(AND(E1314&lt;&gt;"",E1314&lt;&gt;"!!!"),"NEW","")))</f>
        <v> </v>
      </c>
      <c r="G1314" s="23" t="str">
        <f>IF(OR(E1314="",E1314="!!!"),"",IF(OR(J1314=0,AND(J1314=1,K1314=1),AND(J1314=1,I1314="SBJ"),AND(J1314=1,I1314=0)),"?IN_FOCUS",IF(J1314&lt;=2,"?ACTIVATED",IF(J1314&lt;&gt;"","?FAMILIAR",IF(F1314="NEW",IF(ISNA(VLOOKUP(E1314,#REF!,1,FALSE())),"?TYPE_IDENTIFIABLE","?REFERENTIAL"),"_")))))</f>
        <v> </v>
      </c>
      <c r="H1314" s="24" t="str">
        <f>IF(J1314&lt;&gt;1,"",IF(I1314="SBJ","CB","?"))</f>
        <v> </v>
      </c>
      <c r="I1314" s="25" t="str">
        <f>IF(OR(E1314="",E1314="!!!",F1314="NEW"),"",INDEX(B1313:B$2,-1+SUMPRODUCT(MAX(ROW(E1313:E$2)*(E1314=E1313:E$2)))))</f>
        <v> </v>
      </c>
      <c r="J1314" s="25" t="str">
        <f>IF(OR(E1314="",E1314="!!!",F1314="NEW"),"",COUNTBLANK(OFFSET(A$1,,,SUMPRODUCT(MAX(ROW(E$2:E1314)*(E1314=E$2:E1314)))))-COUNTBLANK(OFFSET(A$1,,,SUMPRODUCT(MAX(ROW(E$1:E1313)*(E2=E$1:E1313))))))</f>
        <v> </v>
      </c>
      <c r="K1314" s="25" t="str">
        <f>IF(OR(E1314="",E1314="!!!",F1314="NEW"),"",INDEX(J$1:J1313,SUMPRODUCT(MAX(ROW(E$1:E1313)*(E1314=E$1:E1313)))))</f>
        <v> </v>
      </c>
      <c r="L1314" s="26"/>
    </row>
    <row r="1315" spans="1:12">
      <c r="A1315" s="20" t="s">
        <v>305</v>
      </c>
      <c r="E1315" s="21">
        <f>IF(D1315="?OLD","!!!","")</f>
        <v/>
      </c>
      <c r="F1315" s="22" t="str">
        <f>IF(OR(E1315="",E1315="!!!"),"",IF(NOT(ISNA(VLOOKUP(E1315,E$1:E1314,1,FALSE()))),"OLD",IF(AND(E1315&lt;&gt;"",E1315&lt;&gt;"!!!"),"NEW","")))</f>
        <v> </v>
      </c>
      <c r="G1315" s="23" t="str">
        <f>IF(OR(E1315="",E1315="!!!"),"",IF(OR(J1315=0,AND(J1315=1,K1315=1),AND(J1315=1,I1315="SBJ"),AND(J1315=1,I1315=0)),"?IN_FOCUS",IF(J1315&lt;=2,"?ACTIVATED",IF(J1315&lt;&gt;"","?FAMILIAR",IF(F1315="NEW",IF(ISNA(VLOOKUP(E1315,#REF!,1,FALSE())),"?TYPE_IDENTIFIABLE","?REFERENTIAL"),"_")))))</f>
        <v> </v>
      </c>
      <c r="H1315" s="24" t="str">
        <f>IF(J1315&lt;&gt;1,"",IF(I1315="SBJ","CB","?"))</f>
        <v> </v>
      </c>
      <c r="I1315" s="25" t="str">
        <f>IF(OR(E1315="",E1315="!!!",F1315="NEW"),"",INDEX(B1314:B$2,-1+SUMPRODUCT(MAX(ROW(E1314:E$2)*(E1315=E1314:E$2)))))</f>
        <v> </v>
      </c>
      <c r="J1315" s="25" t="str">
        <f>IF(OR(E1315="",E1315="!!!",F1315="NEW"),"",COUNTBLANK(OFFSET(A$1,,,SUMPRODUCT(MAX(ROW(E$2:E1315)*(E1315=E$2:E1315)))))-COUNTBLANK(OFFSET(A$1,,,SUMPRODUCT(MAX(ROW(E$1:E1314)*(E2=E$1:E1314))))))</f>
        <v> </v>
      </c>
      <c r="K1315" s="25" t="str">
        <f>IF(OR(E1315="",E1315="!!!",F1315="NEW"),"",INDEX(J$1:J1314,SUMPRODUCT(MAX(ROW(E$1:E1314)*(E1315=E$1:E1314)))))</f>
        <v> </v>
      </c>
      <c r="L1315" s="26"/>
    </row>
    <row r="1316" spans="1:12">
      <c r="A1316" s="20" t="s">
        <v>274</v>
      </c>
      <c r="E1316" s="21">
        <f>IF(D1316="?OLD","!!!","")</f>
        <v/>
      </c>
      <c r="F1316" s="22" t="str">
        <f>IF(OR(E1316="",E1316="!!!"),"",IF(NOT(ISNA(VLOOKUP(E1316,E$1:E1315,1,FALSE()))),"OLD",IF(AND(E1316&lt;&gt;"",E1316&lt;&gt;"!!!"),"NEW","")))</f>
        <v> </v>
      </c>
      <c r="G1316" s="23" t="str">
        <f>IF(OR(E1316="",E1316="!!!"),"",IF(OR(J1316=0,AND(J1316=1,K1316=1),AND(J1316=1,I1316="SBJ"),AND(J1316=1,I1316=0)),"?IN_FOCUS",IF(J1316&lt;=2,"?ACTIVATED",IF(J1316&lt;&gt;"","?FAMILIAR",IF(F1316="NEW",IF(ISNA(VLOOKUP(E1316,#REF!,1,FALSE())),"?TYPE_IDENTIFIABLE","?REFERENTIAL"),"_")))))</f>
        <v> </v>
      </c>
      <c r="H1316" s="24" t="str">
        <f>IF(J1316&lt;&gt;1,"",IF(I1316="SBJ","CB","?"))</f>
        <v> </v>
      </c>
      <c r="I1316" s="25" t="str">
        <f>IF(OR(E1316="",E1316="!!!",F1316="NEW"),"",INDEX(B1315:B$2,-1+SUMPRODUCT(MAX(ROW(E1315:E$2)*(E1316=E1315:E$2)))))</f>
        <v> </v>
      </c>
      <c r="J1316" s="25" t="str">
        <f>IF(OR(E1316="",E1316="!!!",F1316="NEW"),"",COUNTBLANK(OFFSET(A$1,,,SUMPRODUCT(MAX(ROW(E$2:E1316)*(E1316=E$2:E1316)))))-COUNTBLANK(OFFSET(A$1,,,SUMPRODUCT(MAX(ROW(E$1:E1315)*(E2=E$1:E1315))))))</f>
        <v> </v>
      </c>
      <c r="K1316" s="25" t="str">
        <f>IF(OR(E1316="",E1316="!!!",F1316="NEW"),"",INDEX(J$1:J1315,SUMPRODUCT(MAX(ROW(E$1:E1315)*(E1316=E$1:E1315)))))</f>
        <v> </v>
      </c>
      <c r="L1316" s="26"/>
    </row>
    <row r="1317" spans="1:12">
      <c r="A1317" s="20" t="s">
        <v>687</v>
      </c>
      <c r="B1317" s="27" t="s">
        <v>267</v>
      </c>
      <c r="C1317" s="27" t="s">
        <v>277</v>
      </c>
      <c r="D1317" s="27" t="s">
        <v>258</v>
      </c>
      <c r="E1317" s="21">
        <f>IF(D1317="?OLD","!!!","")</f>
        <v/>
      </c>
      <c r="F1317" s="22" t="str">
        <f>IF(OR(E1317="",E1317="!!!"),"",IF(NOT(ISNA(VLOOKUP(E1317,E$1:E1316,1,FALSE()))),"OLD",IF(AND(E1317&lt;&gt;"",E1317&lt;&gt;"!!!"),"NEW","")))</f>
        <v> </v>
      </c>
      <c r="G1317" s="23" t="str">
        <f>IF(OR(E1317="",E1317="!!!"),"",IF(OR(J1317=0,AND(J1317=1,K1317=1),AND(J1317=1,I1317="SBJ"),AND(J1317=1,I1317=0)),"?IN_FOCUS",IF(J1317&lt;=2,"?ACTIVATED",IF(J1317&lt;&gt;"","?FAMILIAR",IF(F1317="NEW",IF(ISNA(VLOOKUP(E1317,#REF!,1,FALSE())),"?TYPE_IDENTIFIABLE","?REFERENTIAL"),"_")))))</f>
        <v> </v>
      </c>
      <c r="H1317" s="24" t="str">
        <f>IF(J1317&lt;&gt;1,"",IF(I1317="SBJ","CB","?"))</f>
        <v> </v>
      </c>
      <c r="I1317" s="25" t="str">
        <f>IF(OR(E1317="",E1317="!!!",F1317="NEW"),"",INDEX(B1316:B$2,-1+SUMPRODUCT(MAX(ROW(E1316:E$2)*(E1317=E1316:E$2)))))</f>
        <v> </v>
      </c>
      <c r="J1317" s="25" t="str">
        <f>IF(OR(E1317="",E1317="!!!",F1317="NEW"),"",COUNTBLANK(OFFSET(A$1,,,SUMPRODUCT(MAX(ROW(E$2:E1317)*(E1317=E$2:E1317)))))-COUNTBLANK(OFFSET(A$1,,,SUMPRODUCT(MAX(ROW(E$1:E1316)*(E2=E$1:E1316))))))</f>
        <v> </v>
      </c>
      <c r="K1317" s="25" t="str">
        <f>IF(OR(E1317="",E1317="!!!",F1317="NEW"),"",INDEX(J$1:J1316,SUMPRODUCT(MAX(ROW(E$1:E1316)*(E1317=E$1:E1316)))))</f>
        <v> </v>
      </c>
      <c r="L1317" s="26"/>
    </row>
    <row r="1318" spans="1:12">
      <c r="A1318" s="20" t="s">
        <v>278</v>
      </c>
      <c r="E1318" s="21">
        <f>IF(D1318="?OLD","!!!","")</f>
        <v/>
      </c>
      <c r="F1318" s="22" t="str">
        <f>IF(OR(E1318="",E1318="!!!"),"",IF(NOT(ISNA(VLOOKUP(E1318,E$1:E1317,1,FALSE()))),"OLD",IF(AND(E1318&lt;&gt;"",E1318&lt;&gt;"!!!"),"NEW","")))</f>
        <v> </v>
      </c>
      <c r="G1318" s="23" t="str">
        <f>IF(OR(E1318="",E1318="!!!"),"",IF(OR(J1318=0,AND(J1318=1,K1318=1),AND(J1318=1,I1318="SBJ"),AND(J1318=1,I1318=0)),"?IN_FOCUS",IF(J1318&lt;=2,"?ACTIVATED",IF(J1318&lt;&gt;"","?FAMILIAR",IF(F1318="NEW",IF(ISNA(VLOOKUP(E1318,#REF!,1,FALSE())),"?TYPE_IDENTIFIABLE","?REFERENTIAL"),"_")))))</f>
        <v> </v>
      </c>
      <c r="H1318" s="24" t="str">
        <f>IF(J1318&lt;&gt;1,"",IF(I1318="SBJ","CB","?"))</f>
        <v> </v>
      </c>
      <c r="I1318" s="25" t="str">
        <f>IF(OR(E1318="",E1318="!!!",F1318="NEW"),"",INDEX(B1317:B$2,-1+SUMPRODUCT(MAX(ROW(E1317:E$2)*(E1318=E1317:E$2)))))</f>
        <v> </v>
      </c>
      <c r="J1318" s="25" t="str">
        <f>IF(OR(E1318="",E1318="!!!",F1318="NEW"),"",COUNTBLANK(OFFSET(A$1,,,SUMPRODUCT(MAX(ROW(E$2:E1318)*(E1318=E$2:E1318)))))-COUNTBLANK(OFFSET(A$1,,,SUMPRODUCT(MAX(ROW(E$1:E1317)*(E2=E$1:E1317))))))</f>
        <v> </v>
      </c>
      <c r="K1318" s="25" t="str">
        <f>IF(OR(E1318="",E1318="!!!",F1318="NEW"),"",INDEX(J$1:J1317,SUMPRODUCT(MAX(ROW(E$1:E1317)*(E1318=E$1:E1317)))))</f>
        <v> </v>
      </c>
      <c r="L1318" s="26"/>
    </row>
    <row r="1319" spans="1:12">
      <c r="A1319" s="20" t="s">
        <v>678</v>
      </c>
      <c r="E1319" s="21">
        <f>IF(D1319="?OLD","!!!","")</f>
        <v/>
      </c>
      <c r="F1319" s="22" t="str">
        <f>IF(OR(E1319="",E1319="!!!"),"",IF(NOT(ISNA(VLOOKUP(E1319,E$1:E1318,1,FALSE()))),"OLD",IF(AND(E1319&lt;&gt;"",E1319&lt;&gt;"!!!"),"NEW","")))</f>
        <v> </v>
      </c>
      <c r="G1319" s="23" t="str">
        <f>IF(OR(E1319="",E1319="!!!"),"",IF(OR(J1319=0,AND(J1319=1,K1319=1),AND(J1319=1,I1319="SBJ"),AND(J1319=1,I1319=0)),"?IN_FOCUS",IF(J1319&lt;=2,"?ACTIVATED",IF(J1319&lt;&gt;"","?FAMILIAR",IF(F1319="NEW",IF(ISNA(VLOOKUP(E1319,#REF!,1,FALSE())),"?TYPE_IDENTIFIABLE","?REFERENTIAL"),"_")))))</f>
        <v> </v>
      </c>
      <c r="H1319" s="24" t="str">
        <f>IF(J1319&lt;&gt;1,"",IF(I1319="SBJ","CB","?"))</f>
        <v> </v>
      </c>
      <c r="I1319" s="25" t="str">
        <f>IF(OR(E1319="",E1319="!!!",F1319="NEW"),"",INDEX(B1318:B$2,-1+SUMPRODUCT(MAX(ROW(E1318:E$2)*(E1319=E1318:E$2)))))</f>
        <v> </v>
      </c>
      <c r="J1319" s="25" t="str">
        <f>IF(OR(E1319="",E1319="!!!",F1319="NEW"),"",COUNTBLANK(OFFSET(A$1,,,SUMPRODUCT(MAX(ROW(E$2:E1319)*(E1319=E$2:E1319)))))-COUNTBLANK(OFFSET(A$1,,,SUMPRODUCT(MAX(ROW(E$1:E1318)*(E2=E$1:E1318))))))</f>
        <v> </v>
      </c>
      <c r="K1319" s="25" t="str">
        <f>IF(OR(E1319="",E1319="!!!",F1319="NEW"),"",INDEX(J$1:J1318,SUMPRODUCT(MAX(ROW(E$1:E1318)*(E1319=E$1:E1318)))))</f>
        <v> </v>
      </c>
      <c r="L1319" s="26"/>
    </row>
    <row r="1320" spans="1:12">
      <c r="A1320" s="20" t="s">
        <v>688</v>
      </c>
      <c r="E1320" s="21">
        <f>IF(D1320="?OLD","!!!","")</f>
        <v/>
      </c>
      <c r="F1320" s="22" t="str">
        <f>IF(OR(E1320="",E1320="!!!"),"",IF(NOT(ISNA(VLOOKUP(E1320,E$1:E1319,1,FALSE()))),"OLD",IF(AND(E1320&lt;&gt;"",E1320&lt;&gt;"!!!"),"NEW","")))</f>
        <v> </v>
      </c>
      <c r="G1320" s="23" t="str">
        <f>IF(OR(E1320="",E1320="!!!"),"",IF(OR(J1320=0,AND(J1320=1,K1320=1),AND(J1320=1,I1320="SBJ"),AND(J1320=1,I1320=0)),"?IN_FOCUS",IF(J1320&lt;=2,"?ACTIVATED",IF(J1320&lt;&gt;"","?FAMILIAR",IF(F1320="NEW",IF(ISNA(VLOOKUP(E1320,#REF!,1,FALSE())),"?TYPE_IDENTIFIABLE","?REFERENTIAL"),"_")))))</f>
        <v> </v>
      </c>
      <c r="H1320" s="24" t="str">
        <f>IF(J1320&lt;&gt;1,"",IF(I1320="SBJ","CB","?"))</f>
        <v> </v>
      </c>
      <c r="I1320" s="25" t="str">
        <f>IF(OR(E1320="",E1320="!!!",F1320="NEW"),"",INDEX(B1319:B$2,-1+SUMPRODUCT(MAX(ROW(E1319:E$2)*(E1320=E1319:E$2)))))</f>
        <v> </v>
      </c>
      <c r="J1320" s="25" t="str">
        <f>IF(OR(E1320="",E1320="!!!",F1320="NEW"),"",COUNTBLANK(OFFSET(A$1,,,SUMPRODUCT(MAX(ROW(E$2:E1320)*(E1320=E$2:E1320)))))-COUNTBLANK(OFFSET(A$1,,,SUMPRODUCT(MAX(ROW(E$1:E1319)*(E2=E$1:E1319))))))</f>
        <v> </v>
      </c>
      <c r="K1320" s="25" t="str">
        <f>IF(OR(E1320="",E1320="!!!",F1320="NEW"),"",INDEX(J$1:J1319,SUMPRODUCT(MAX(ROW(E$1:E1319)*(E1320=E$1:E1319)))))</f>
        <v> </v>
      </c>
      <c r="L1320" s="26"/>
    </row>
    <row r="1321" spans="1:12">
      <c r="A1321" s="20" t="s">
        <v>305</v>
      </c>
      <c r="E1321" s="21">
        <f>IF(D1321="?OLD","!!!","")</f>
        <v/>
      </c>
      <c r="F1321" s="22" t="str">
        <f>IF(OR(E1321="",E1321="!!!"),"",IF(NOT(ISNA(VLOOKUP(E1321,E$1:E1320,1,FALSE()))),"OLD",IF(AND(E1321&lt;&gt;"",E1321&lt;&gt;"!!!"),"NEW","")))</f>
        <v> </v>
      </c>
      <c r="G1321" s="23" t="str">
        <f>IF(OR(E1321="",E1321="!!!"),"",IF(OR(J1321=0,AND(J1321=1,K1321=1),AND(J1321=1,I1321="SBJ"),AND(J1321=1,I1321=0)),"?IN_FOCUS",IF(J1321&lt;=2,"?ACTIVATED",IF(J1321&lt;&gt;"","?FAMILIAR",IF(F1321="NEW",IF(ISNA(VLOOKUP(E1321,#REF!,1,FALSE())),"?TYPE_IDENTIFIABLE","?REFERENTIAL"),"_")))))</f>
        <v> </v>
      </c>
      <c r="H1321" s="24" t="str">
        <f>IF(J1321&lt;&gt;1,"",IF(I1321="SBJ","CB","?"))</f>
        <v> </v>
      </c>
      <c r="I1321" s="25" t="str">
        <f>IF(OR(E1321="",E1321="!!!",F1321="NEW"),"",INDEX(B1320:B$2,-1+SUMPRODUCT(MAX(ROW(E1320:E$2)*(E1321=E1320:E$2)))))</f>
        <v> </v>
      </c>
      <c r="J1321" s="25" t="str">
        <f>IF(OR(E1321="",E1321="!!!",F1321="NEW"),"",COUNTBLANK(OFFSET(A$1,,,SUMPRODUCT(MAX(ROW(E$2:E1321)*(E1321=E$2:E1321)))))-COUNTBLANK(OFFSET(A$1,,,SUMPRODUCT(MAX(ROW(E$1:E1320)*(E2=E$1:E1320))))))</f>
        <v> </v>
      </c>
      <c r="K1321" s="25" t="str">
        <f>IF(OR(E1321="",E1321="!!!",F1321="NEW"),"",INDEX(J$1:J1320,SUMPRODUCT(MAX(ROW(E$1:E1320)*(E1321=E$1:E1320)))))</f>
        <v> </v>
      </c>
      <c r="L1321" s="26"/>
    </row>
    <row r="1322" spans="1:12">
      <c r="A1322" s="20" t="s">
        <v>71</v>
      </c>
      <c r="E1322" s="21">
        <f>IF(D1322="?OLD","!!!","")</f>
        <v/>
      </c>
      <c r="F1322" s="22" t="str">
        <f>IF(OR(E1322="",E1322="!!!"),"",IF(NOT(ISNA(VLOOKUP(E1322,E$1:E1321,1,FALSE()))),"OLD",IF(AND(E1322&lt;&gt;"",E1322&lt;&gt;"!!!"),"NEW","")))</f>
        <v> </v>
      </c>
      <c r="G1322" s="23" t="str">
        <f>IF(OR(E1322="",E1322="!!!"),"",IF(OR(J1322=0,AND(J1322=1,K1322=1),AND(J1322=1,I1322="SBJ"),AND(J1322=1,I1322=0)),"?IN_FOCUS",IF(J1322&lt;=2,"?ACTIVATED",IF(J1322&lt;&gt;"","?FAMILIAR",IF(F1322="NEW",IF(ISNA(VLOOKUP(E1322,#REF!,1,FALSE())),"?TYPE_IDENTIFIABLE","?REFERENTIAL"),"_")))))</f>
        <v> </v>
      </c>
      <c r="H1322" s="24" t="str">
        <f>IF(J1322&lt;&gt;1,"",IF(I1322="SBJ","CB","?"))</f>
        <v> </v>
      </c>
      <c r="I1322" s="25" t="str">
        <f>IF(OR(E1322="",E1322="!!!",F1322="NEW"),"",INDEX(B1321:B$2,-1+SUMPRODUCT(MAX(ROW(E1321:E$2)*(E1322=E1321:E$2)))))</f>
        <v> </v>
      </c>
      <c r="J1322" s="25" t="str">
        <f>IF(OR(E1322="",E1322="!!!",F1322="NEW"),"",COUNTBLANK(OFFSET(A$1,,,SUMPRODUCT(MAX(ROW(E$2:E1322)*(E1322=E$2:E1322)))))-COUNTBLANK(OFFSET(A$1,,,SUMPRODUCT(MAX(ROW(E$1:E1321)*(E2=E$1:E1321))))))</f>
        <v> </v>
      </c>
      <c r="K1322" s="25" t="str">
        <f>IF(OR(E1322="",E1322="!!!",F1322="NEW"),"",INDEX(J$1:J1321,SUMPRODUCT(MAX(ROW(E$1:E1321)*(E1322=E$1:E1321)))))</f>
        <v> </v>
      </c>
      <c r="L1322" s="26"/>
    </row>
    <row r="1323" spans="1:12">
      <c r="A1323" s="20" t="s">
        <v>540</v>
      </c>
      <c r="E1323" s="21">
        <f>IF(D1323="?OLD","!!!","")</f>
        <v/>
      </c>
      <c r="F1323" s="22" t="str">
        <f>IF(OR(E1323="",E1323="!!!"),"",IF(NOT(ISNA(VLOOKUP(E1323,E$1:E1322,1,FALSE()))),"OLD",IF(AND(E1323&lt;&gt;"",E1323&lt;&gt;"!!!"),"NEW","")))</f>
        <v> </v>
      </c>
      <c r="G1323" s="23" t="str">
        <f>IF(OR(E1323="",E1323="!!!"),"",IF(OR(J1323=0,AND(J1323=1,K1323=1),AND(J1323=1,I1323="SBJ"),AND(J1323=1,I1323=0)),"?IN_FOCUS",IF(J1323&lt;=2,"?ACTIVATED",IF(J1323&lt;&gt;"","?FAMILIAR",IF(F1323="NEW",IF(ISNA(VLOOKUP(E1323,#REF!,1,FALSE())),"?TYPE_IDENTIFIABLE","?REFERENTIAL"),"_")))))</f>
        <v> </v>
      </c>
      <c r="H1323" s="24" t="str">
        <f>IF(J1323&lt;&gt;1,"",IF(I1323="SBJ","CB","?"))</f>
        <v> </v>
      </c>
      <c r="I1323" s="25" t="str">
        <f>IF(OR(E1323="",E1323="!!!",F1323="NEW"),"",INDEX(B1322:B$2,-1+SUMPRODUCT(MAX(ROW(E1322:E$2)*(E1323=E1322:E$2)))))</f>
        <v> </v>
      </c>
      <c r="J1323" s="25" t="str">
        <f>IF(OR(E1323="",E1323="!!!",F1323="NEW"),"",COUNTBLANK(OFFSET(A$1,,,SUMPRODUCT(MAX(ROW(E$2:E1323)*(E1323=E$2:E1323)))))-COUNTBLANK(OFFSET(A$1,,,SUMPRODUCT(MAX(ROW(E$1:E1322)*(E2=E$1:E1322))))))</f>
        <v> </v>
      </c>
      <c r="K1323" s="25" t="str">
        <f>IF(OR(E1323="",E1323="!!!",F1323="NEW"),"",INDEX(J$1:J1322,SUMPRODUCT(MAX(ROW(E$1:E1322)*(E1323=E$1:E1322)))))</f>
        <v> </v>
      </c>
      <c r="L1323" s="26"/>
    </row>
    <row r="1324" spans="1:12">
      <c r="A1324" s="20" t="s">
        <v>689</v>
      </c>
      <c r="E1324" s="21">
        <f>IF(D1324="?OLD","!!!","")</f>
        <v/>
      </c>
      <c r="F1324" s="22" t="str">
        <f>IF(OR(E1324="",E1324="!!!"),"",IF(NOT(ISNA(VLOOKUP(E1324,E$1:E1323,1,FALSE()))),"OLD",IF(AND(E1324&lt;&gt;"",E1324&lt;&gt;"!!!"),"NEW","")))</f>
        <v> </v>
      </c>
      <c r="G1324" s="23" t="str">
        <f>IF(OR(E1324="",E1324="!!!"),"",IF(OR(J1324=0,AND(J1324=1,K1324=1),AND(J1324=1,I1324="SBJ"),AND(J1324=1,I1324=0)),"?IN_FOCUS",IF(J1324&lt;=2,"?ACTIVATED",IF(J1324&lt;&gt;"","?FAMILIAR",IF(F1324="NEW",IF(ISNA(VLOOKUP(E1324,#REF!,1,FALSE())),"?TYPE_IDENTIFIABLE","?REFERENTIAL"),"_")))))</f>
        <v> </v>
      </c>
      <c r="H1324" s="24" t="str">
        <f>IF(J1324&lt;&gt;1,"",IF(I1324="SBJ","CB","?"))</f>
        <v> </v>
      </c>
      <c r="I1324" s="25" t="str">
        <f>IF(OR(E1324="",E1324="!!!",F1324="NEW"),"",INDEX(B1323:B$2,-1+SUMPRODUCT(MAX(ROW(E1323:E$2)*(E1324=E1323:E$2)))))</f>
        <v> </v>
      </c>
      <c r="J1324" s="25" t="str">
        <f>IF(OR(E1324="",E1324="!!!",F1324="NEW"),"",COUNTBLANK(OFFSET(A$1,,,SUMPRODUCT(MAX(ROW(E$2:E1324)*(E1324=E$2:E1324)))))-COUNTBLANK(OFFSET(A$1,,,SUMPRODUCT(MAX(ROW(E$1:E1323)*(E2=E$1:E1323))))))</f>
        <v> </v>
      </c>
      <c r="K1324" s="25" t="str">
        <f>IF(OR(E1324="",E1324="!!!",F1324="NEW"),"",INDEX(J$1:J1323,SUMPRODUCT(MAX(ROW(E$1:E1323)*(E1324=E$1:E1323)))))</f>
        <v> </v>
      </c>
      <c r="L1324" s="26"/>
    </row>
    <row r="1325" spans="1:12">
      <c r="A1325" s="20" t="s">
        <v>554</v>
      </c>
      <c r="B1325" s="27" t="s">
        <v>283</v>
      </c>
      <c r="C1325" s="27" t="s">
        <v>268</v>
      </c>
      <c r="E1325" s="21">
        <f>IF(D1325="?OLD","!!!","")</f>
        <v/>
      </c>
      <c r="F1325" s="22" t="str">
        <f>IF(OR(E1325="",E1325="!!!"),"",IF(NOT(ISNA(VLOOKUP(E1325,E$1:E1324,1,FALSE()))),"OLD",IF(AND(E1325&lt;&gt;"",E1325&lt;&gt;"!!!"),"NEW","")))</f>
        <v> </v>
      </c>
      <c r="G1325" s="23" t="str">
        <f>IF(OR(E1325="",E1325="!!!"),"",IF(OR(J1325=0,AND(J1325=1,K1325=1),AND(J1325=1,I1325="SBJ"),AND(J1325=1,I1325=0)),"?IN_FOCUS",IF(J1325&lt;=2,"?ACTIVATED",IF(J1325&lt;&gt;"","?FAMILIAR",IF(F1325="NEW",IF(ISNA(VLOOKUP(E1325,#REF!,1,FALSE())),"?TYPE_IDENTIFIABLE","?REFERENTIAL"),"_")))))</f>
        <v> </v>
      </c>
      <c r="H1325" s="24" t="str">
        <f>IF(J1325&lt;&gt;1,"",IF(I1325="SBJ","CB","?"))</f>
        <v> </v>
      </c>
      <c r="I1325" s="25" t="str">
        <f>IF(OR(E1325="",E1325="!!!",F1325="NEW"),"",INDEX(B1324:B$2,-1+SUMPRODUCT(MAX(ROW(E1324:E$2)*(E1325=E1324:E$2)))))</f>
        <v> </v>
      </c>
      <c r="J1325" s="25" t="str">
        <f>IF(OR(E1325="",E1325="!!!",F1325="NEW"),"",COUNTBLANK(OFFSET(A$1,,,SUMPRODUCT(MAX(ROW(E$2:E1325)*(E1325=E$2:E1325)))))-COUNTBLANK(OFFSET(A$1,,,SUMPRODUCT(MAX(ROW(E$1:E1324)*(E2=E$1:E1324))))))</f>
        <v> </v>
      </c>
      <c r="K1325" s="25" t="str">
        <f>IF(OR(E1325="",E1325="!!!",F1325="NEW"),"",INDEX(J$1:J1324,SUMPRODUCT(MAX(ROW(E$1:E1324)*(E1325=E$1:E1324)))))</f>
        <v> </v>
      </c>
      <c r="L1325" s="26"/>
    </row>
    <row r="1326" spans="1:12">
      <c r="A1326" s="20" t="s">
        <v>305</v>
      </c>
      <c r="E1326" s="21">
        <f>IF(D1326="?OLD","!!!","")</f>
        <v/>
      </c>
      <c r="F1326" s="22" t="str">
        <f>IF(OR(E1326="",E1326="!!!"),"",IF(NOT(ISNA(VLOOKUP(E1326,E$1:E1325,1,FALSE()))),"OLD",IF(AND(E1326&lt;&gt;"",E1326&lt;&gt;"!!!"),"NEW","")))</f>
        <v> </v>
      </c>
      <c r="G1326" s="23" t="str">
        <f>IF(OR(E1326="",E1326="!!!"),"",IF(OR(J1326=0,AND(J1326=1,K1326=1),AND(J1326=1,I1326="SBJ"),AND(J1326=1,I1326=0)),"?IN_FOCUS",IF(J1326&lt;=2,"?ACTIVATED",IF(J1326&lt;&gt;"","?FAMILIAR",IF(F1326="NEW",IF(ISNA(VLOOKUP(E1326,#REF!,1,FALSE())),"?TYPE_IDENTIFIABLE","?REFERENTIAL"),"_")))))</f>
        <v> </v>
      </c>
      <c r="H1326" s="24" t="str">
        <f>IF(J1326&lt;&gt;1,"",IF(I1326="SBJ","CB","?"))</f>
        <v> </v>
      </c>
      <c r="I1326" s="25" t="str">
        <f>IF(OR(E1326="",E1326="!!!",F1326="NEW"),"",INDEX(B1325:B$2,-1+SUMPRODUCT(MAX(ROW(E1325:E$2)*(E1326=E1325:E$2)))))</f>
        <v> </v>
      </c>
      <c r="J1326" s="25" t="str">
        <f>IF(OR(E1326="",E1326="!!!",F1326="NEW"),"",COUNTBLANK(OFFSET(A$1,,,SUMPRODUCT(MAX(ROW(E$2:E1326)*(E1326=E$2:E1326)))))-COUNTBLANK(OFFSET(A$1,,,SUMPRODUCT(MAX(ROW(E$1:E1325)*(E2=E$1:E1325))))))</f>
        <v> </v>
      </c>
      <c r="K1326" s="25" t="str">
        <f>IF(OR(E1326="",E1326="!!!",F1326="NEW"),"",INDEX(J$1:J1325,SUMPRODUCT(MAX(ROW(E$1:E1325)*(E1326=E$1:E1325)))))</f>
        <v> </v>
      </c>
      <c r="L1326" s="26"/>
    </row>
    <row r="1327" spans="1:12">
      <c r="A1327" s="20" t="s">
        <v>689</v>
      </c>
      <c r="E1327" s="21">
        <f>IF(D1327="?OLD","!!!","")</f>
        <v/>
      </c>
      <c r="F1327" s="22" t="str">
        <f>IF(OR(E1327="",E1327="!!!"),"",IF(NOT(ISNA(VLOOKUP(E1327,E$1:E1326,1,FALSE()))),"OLD",IF(AND(E1327&lt;&gt;"",E1327&lt;&gt;"!!!"),"NEW","")))</f>
        <v> </v>
      </c>
      <c r="G1327" s="23" t="str">
        <f>IF(OR(E1327="",E1327="!!!"),"",IF(OR(J1327=0,AND(J1327=1,K1327=1),AND(J1327=1,I1327="SBJ"),AND(J1327=1,I1327=0)),"?IN_FOCUS",IF(J1327&lt;=2,"?ACTIVATED",IF(J1327&lt;&gt;"","?FAMILIAR",IF(F1327="NEW",IF(ISNA(VLOOKUP(E1327,#REF!,1,FALSE())),"?TYPE_IDENTIFIABLE","?REFERENTIAL"),"_")))))</f>
        <v> </v>
      </c>
      <c r="H1327" s="24" t="str">
        <f>IF(J1327&lt;&gt;1,"",IF(I1327="SBJ","CB","?"))</f>
        <v> </v>
      </c>
      <c r="I1327" s="25" t="str">
        <f>IF(OR(E1327="",E1327="!!!",F1327="NEW"),"",INDEX(B1326:B$2,-1+SUMPRODUCT(MAX(ROW(E1326:E$2)*(E1327=E1326:E$2)))))</f>
        <v> </v>
      </c>
      <c r="J1327" s="25" t="str">
        <f>IF(OR(E1327="",E1327="!!!",F1327="NEW"),"",COUNTBLANK(OFFSET(A$1,,,SUMPRODUCT(MAX(ROW(E$2:E1327)*(E1327=E$2:E1327)))))-COUNTBLANK(OFFSET(A$1,,,SUMPRODUCT(MAX(ROW(E$1:E1326)*(E2=E$1:E1326))))))</f>
        <v> </v>
      </c>
      <c r="K1327" s="25" t="str">
        <f>IF(OR(E1327="",E1327="!!!",F1327="NEW"),"",INDEX(J$1:J1326,SUMPRODUCT(MAX(ROW(E$1:E1326)*(E1327=E$1:E1326)))))</f>
        <v> </v>
      </c>
      <c r="L1327" s="26"/>
    </row>
    <row r="1328" spans="1:12">
      <c r="A1328" s="20" t="s">
        <v>554</v>
      </c>
      <c r="B1328" s="27" t="s">
        <v>283</v>
      </c>
      <c r="C1328" s="27" t="s">
        <v>268</v>
      </c>
      <c r="E1328" s="21">
        <f>IF(D1328="?OLD","!!!","")</f>
        <v/>
      </c>
      <c r="F1328" s="22" t="str">
        <f>IF(OR(E1328="",E1328="!!!"),"",IF(NOT(ISNA(VLOOKUP(E1328,E$1:E1327,1,FALSE()))),"OLD",IF(AND(E1328&lt;&gt;"",E1328&lt;&gt;"!!!"),"NEW","")))</f>
        <v> </v>
      </c>
      <c r="G1328" s="23" t="str">
        <f>IF(OR(E1328="",E1328="!!!"),"",IF(OR(J1328=0,AND(J1328=1,K1328=1),AND(J1328=1,I1328="SBJ"),AND(J1328=1,I1328=0)),"?IN_FOCUS",IF(J1328&lt;=2,"?ACTIVATED",IF(J1328&lt;&gt;"","?FAMILIAR",IF(F1328="NEW",IF(ISNA(VLOOKUP(E1328,#REF!,1,FALSE())),"?TYPE_IDENTIFIABLE","?REFERENTIAL"),"_")))))</f>
        <v> </v>
      </c>
      <c r="H1328" s="24" t="str">
        <f>IF(J1328&lt;&gt;1,"",IF(I1328="SBJ","CB","?"))</f>
        <v> </v>
      </c>
      <c r="I1328" s="25" t="str">
        <f>IF(OR(E1328="",E1328="!!!",F1328="NEW"),"",INDEX(B1327:B$2,-1+SUMPRODUCT(MAX(ROW(E1327:E$2)*(E1328=E1327:E$2)))))</f>
        <v> </v>
      </c>
      <c r="J1328" s="25" t="str">
        <f>IF(OR(E1328="",E1328="!!!",F1328="NEW"),"",COUNTBLANK(OFFSET(A$1,,,SUMPRODUCT(MAX(ROW(E$2:E1328)*(E1328=E$2:E1328)))))-COUNTBLANK(OFFSET(A$1,,,SUMPRODUCT(MAX(ROW(E$1:E1327)*(E2=E$1:E1327))))))</f>
        <v> </v>
      </c>
      <c r="K1328" s="25" t="str">
        <f>IF(OR(E1328="",E1328="!!!",F1328="NEW"),"",INDEX(J$1:J1327,SUMPRODUCT(MAX(ROW(E$1:E1327)*(E1328=E$1:E1327)))))</f>
        <v> </v>
      </c>
      <c r="L1328" s="26"/>
    </row>
    <row r="1329" spans="1:12">
      <c r="A1329" s="20" t="s">
        <v>271</v>
      </c>
      <c r="E1329" s="21">
        <f>IF(D1329="?OLD","!!!","")</f>
        <v/>
      </c>
      <c r="F1329" s="22" t="str">
        <f>IF(OR(E1329="",E1329="!!!"),"",IF(NOT(ISNA(VLOOKUP(E1329,E$1:E1328,1,FALSE()))),"OLD",IF(AND(E1329&lt;&gt;"",E1329&lt;&gt;"!!!"),"NEW","")))</f>
        <v> </v>
      </c>
      <c r="G1329" s="23" t="str">
        <f>IF(OR(E1329="",E1329="!!!"),"",IF(OR(J1329=0,AND(J1329=1,K1329=1),AND(J1329=1,I1329="SBJ"),AND(J1329=1,I1329=0)),"?IN_FOCUS",IF(J1329&lt;=2,"?ACTIVATED",IF(J1329&lt;&gt;"","?FAMILIAR",IF(F1329="NEW",IF(ISNA(VLOOKUP(E1329,#REF!,1,FALSE())),"?TYPE_IDENTIFIABLE","?REFERENTIAL"),"_")))))</f>
        <v> </v>
      </c>
      <c r="H1329" s="24" t="str">
        <f>IF(J1329&lt;&gt;1,"",IF(I1329="SBJ","CB","?"))</f>
        <v> </v>
      </c>
      <c r="I1329" s="25" t="str">
        <f>IF(OR(E1329="",E1329="!!!",F1329="NEW"),"",INDEX(B1328:B$2,-1+SUMPRODUCT(MAX(ROW(E1328:E$2)*(E1329=E1328:E$2)))))</f>
        <v> </v>
      </c>
      <c r="J1329" s="25" t="str">
        <f>IF(OR(E1329="",E1329="!!!",F1329="NEW"),"",COUNTBLANK(OFFSET(A$1,,,SUMPRODUCT(MAX(ROW(E$2:E1329)*(E1329=E$2:E1329)))))-COUNTBLANK(OFFSET(A$1,,,SUMPRODUCT(MAX(ROW(E$1:E1328)*(E2=E$1:E1328))))))</f>
        <v> </v>
      </c>
      <c r="K1329" s="25" t="str">
        <f>IF(OR(E1329="",E1329="!!!",F1329="NEW"),"",INDEX(J$1:J1328,SUMPRODUCT(MAX(ROW(E$1:E1328)*(E1329=E$1:E1328)))))</f>
        <v> </v>
      </c>
      <c r="L1329" s="26"/>
    </row>
    <row r="1330" spans="1:12">
      <c r="A1330" s="20" t="s">
        <v>293</v>
      </c>
      <c r="E1330" s="21">
        <f>IF(D1330="?OLD","!!!","")</f>
        <v/>
      </c>
      <c r="F1330" s="22" t="str">
        <f>IF(OR(E1330="",E1330="!!!"),"",IF(NOT(ISNA(VLOOKUP(E1330,E$1:E1329,1,FALSE()))),"OLD",IF(AND(E1330&lt;&gt;"",E1330&lt;&gt;"!!!"),"NEW","")))</f>
        <v> </v>
      </c>
      <c r="G1330" s="23" t="str">
        <f>IF(OR(E1330="",E1330="!!!"),"",IF(OR(J1330=0,AND(J1330=1,K1330=1),AND(J1330=1,I1330="SBJ"),AND(J1330=1,I1330=0)),"?IN_FOCUS",IF(J1330&lt;=2,"?ACTIVATED",IF(J1330&lt;&gt;"","?FAMILIAR",IF(F1330="NEW",IF(ISNA(VLOOKUP(E1330,#REF!,1,FALSE())),"?TYPE_IDENTIFIABLE","?REFERENTIAL"),"_")))))</f>
        <v> </v>
      </c>
      <c r="H1330" s="24" t="str">
        <f>IF(J1330&lt;&gt;1,"",IF(I1330="SBJ","CB","?"))</f>
        <v> </v>
      </c>
      <c r="I1330" s="25" t="str">
        <f>IF(OR(E1330="",E1330="!!!",F1330="NEW"),"",INDEX(B1329:B$2,-1+SUMPRODUCT(MAX(ROW(E1329:E$2)*(E1330=E1329:E$2)))))</f>
        <v> </v>
      </c>
      <c r="J1330" s="25" t="str">
        <f>IF(OR(E1330="",E1330="!!!",F1330="NEW"),"",COUNTBLANK(OFFSET(A$1,,,SUMPRODUCT(MAX(ROW(E$2:E1330)*(E1330=E$2:E1330)))))-COUNTBLANK(OFFSET(A$1,,,SUMPRODUCT(MAX(ROW(E$1:E1329)*(E2=E$1:E1329))))))</f>
        <v> </v>
      </c>
      <c r="K1330" s="25" t="str">
        <f>IF(OR(E1330="",E1330="!!!",F1330="NEW"),"",INDEX(J$1:J1329,SUMPRODUCT(MAX(ROW(E$1:E1329)*(E1330=E$1:E1329)))))</f>
        <v> </v>
      </c>
      <c r="L1330" s="26"/>
    </row>
    <row r="1331" spans="1:12">
      <c r="A1331" s="20" t="s">
        <v>384</v>
      </c>
      <c r="E1331" s="21">
        <f>IF(D1331="?OLD","!!!","")</f>
        <v/>
      </c>
      <c r="F1331" s="22" t="str">
        <f>IF(OR(E1331="",E1331="!!!"),"",IF(NOT(ISNA(VLOOKUP(E1331,E$1:E1330,1,FALSE()))),"OLD",IF(AND(E1331&lt;&gt;"",E1331&lt;&gt;"!!!"),"NEW","")))</f>
        <v> </v>
      </c>
      <c r="G1331" s="23" t="str">
        <f>IF(OR(E1331="",E1331="!!!"),"",IF(OR(J1331=0,AND(J1331=1,K1331=1),AND(J1331=1,I1331="SBJ"),AND(J1331=1,I1331=0)),"?IN_FOCUS",IF(J1331&lt;=2,"?ACTIVATED",IF(J1331&lt;&gt;"","?FAMILIAR",IF(F1331="NEW",IF(ISNA(VLOOKUP(E1331,#REF!,1,FALSE())),"?TYPE_IDENTIFIABLE","?REFERENTIAL"),"_")))))</f>
        <v> </v>
      </c>
      <c r="H1331" s="24" t="str">
        <f>IF(J1331&lt;&gt;1,"",IF(I1331="SBJ","CB","?"))</f>
        <v> </v>
      </c>
      <c r="I1331" s="25" t="str">
        <f>IF(OR(E1331="",E1331="!!!",F1331="NEW"),"",INDEX(B1330:B$2,-1+SUMPRODUCT(MAX(ROW(E1330:E$2)*(E1331=E1330:E$2)))))</f>
        <v> </v>
      </c>
      <c r="J1331" s="25" t="str">
        <f>IF(OR(E1331="",E1331="!!!",F1331="NEW"),"",COUNTBLANK(OFFSET(A$1,,,SUMPRODUCT(MAX(ROW(E$2:E1331)*(E1331=E$2:E1331)))))-COUNTBLANK(OFFSET(A$1,,,SUMPRODUCT(MAX(ROW(E$1:E1330)*(E2=E$1:E1330))))))</f>
        <v> </v>
      </c>
      <c r="K1331" s="25" t="str">
        <f>IF(OR(E1331="",E1331="!!!",F1331="NEW"),"",INDEX(J$1:J1330,SUMPRODUCT(MAX(ROW(E$1:E1330)*(E1331=E$1:E1330)))))</f>
        <v> </v>
      </c>
      <c r="L1331" s="26"/>
    </row>
    <row r="1332" spans="1:12">
      <c r="A1332" s="20" t="s">
        <v>678</v>
      </c>
      <c r="E1332" s="21">
        <f>IF(D1332="?OLD","!!!","")</f>
        <v/>
      </c>
      <c r="F1332" s="22" t="str">
        <f>IF(OR(E1332="",E1332="!!!"),"",IF(NOT(ISNA(VLOOKUP(E1332,E$1:E1331,1,FALSE()))),"OLD",IF(AND(E1332&lt;&gt;"",E1332&lt;&gt;"!!!"),"NEW","")))</f>
        <v> </v>
      </c>
      <c r="G1332" s="23" t="str">
        <f>IF(OR(E1332="",E1332="!!!"),"",IF(OR(J1332=0,AND(J1332=1,K1332=1),AND(J1332=1,I1332="SBJ"),AND(J1332=1,I1332=0)),"?IN_FOCUS",IF(J1332&lt;=2,"?ACTIVATED",IF(J1332&lt;&gt;"","?FAMILIAR",IF(F1332="NEW",IF(ISNA(VLOOKUP(E1332,#REF!,1,FALSE())),"?TYPE_IDENTIFIABLE","?REFERENTIAL"),"_")))))</f>
        <v> </v>
      </c>
      <c r="H1332" s="24" t="str">
        <f>IF(J1332&lt;&gt;1,"",IF(I1332="SBJ","CB","?"))</f>
        <v> </v>
      </c>
      <c r="I1332" s="25" t="str">
        <f>IF(OR(E1332="",E1332="!!!",F1332="NEW"),"",INDEX(B1331:B$2,-1+SUMPRODUCT(MAX(ROW(E1331:E$2)*(E1332=E1331:E$2)))))</f>
        <v> </v>
      </c>
      <c r="J1332" s="25" t="str">
        <f>IF(OR(E1332="",E1332="!!!",F1332="NEW"),"",COUNTBLANK(OFFSET(A$1,,,SUMPRODUCT(MAX(ROW(E$2:E1332)*(E1332=E$2:E1332)))))-COUNTBLANK(OFFSET(A$1,,,SUMPRODUCT(MAX(ROW(E$1:E1331)*(E2=E$1:E1331))))))</f>
        <v> </v>
      </c>
      <c r="K1332" s="25" t="str">
        <f>IF(OR(E1332="",E1332="!!!",F1332="NEW"),"",INDEX(J$1:J1331,SUMPRODUCT(MAX(ROW(E$1:E1331)*(E1332=E$1:E1331)))))</f>
        <v> </v>
      </c>
      <c r="L1332" s="26"/>
    </row>
    <row r="1333" spans="1:12">
      <c r="A1333" s="20" t="s">
        <v>688</v>
      </c>
      <c r="E1333" s="21">
        <f>IF(D1333="?OLD","!!!","")</f>
        <v/>
      </c>
      <c r="F1333" s="22" t="str">
        <f>IF(OR(E1333="",E1333="!!!"),"",IF(NOT(ISNA(VLOOKUP(E1333,E$1:E1332,1,FALSE()))),"OLD",IF(AND(E1333&lt;&gt;"",E1333&lt;&gt;"!!!"),"NEW","")))</f>
        <v> </v>
      </c>
      <c r="G1333" s="23" t="str">
        <f>IF(OR(E1333="",E1333="!!!"),"",IF(OR(J1333=0,AND(J1333=1,K1333=1),AND(J1333=1,I1333="SBJ"),AND(J1333=1,I1333=0)),"?IN_FOCUS",IF(J1333&lt;=2,"?ACTIVATED",IF(J1333&lt;&gt;"","?FAMILIAR",IF(F1333="NEW",IF(ISNA(VLOOKUP(E1333,#REF!,1,FALSE())),"?TYPE_IDENTIFIABLE","?REFERENTIAL"),"_")))))</f>
        <v> </v>
      </c>
      <c r="H1333" s="24" t="str">
        <f>IF(J1333&lt;&gt;1,"",IF(I1333="SBJ","CB","?"))</f>
        <v> </v>
      </c>
      <c r="I1333" s="25" t="str">
        <f>IF(OR(E1333="",E1333="!!!",F1333="NEW"),"",INDEX(B1332:B$2,-1+SUMPRODUCT(MAX(ROW(E1332:E$2)*(E1333=E1332:E$2)))))</f>
        <v> </v>
      </c>
      <c r="J1333" s="25" t="str">
        <f>IF(OR(E1333="",E1333="!!!",F1333="NEW"),"",COUNTBLANK(OFFSET(A$1,,,SUMPRODUCT(MAX(ROW(E$2:E1333)*(E1333=E$2:E1333)))))-COUNTBLANK(OFFSET(A$1,,,SUMPRODUCT(MAX(ROW(E$1:E1332)*(E2=E$1:E1332))))))</f>
        <v> </v>
      </c>
      <c r="K1333" s="25" t="str">
        <f>IF(OR(E1333="",E1333="!!!",F1333="NEW"),"",INDEX(J$1:J1332,SUMPRODUCT(MAX(ROW(E$1:E1332)*(E1333=E$1:E1332)))))</f>
        <v> </v>
      </c>
      <c r="L1333" s="26"/>
    </row>
    <row r="1334" spans="1:12">
      <c r="A1334" s="20" t="s">
        <v>305</v>
      </c>
      <c r="E1334" s="21">
        <f>IF(D1334="?OLD","!!!","")</f>
        <v/>
      </c>
      <c r="F1334" s="22" t="str">
        <f>IF(OR(E1334="",E1334="!!!"),"",IF(NOT(ISNA(VLOOKUP(E1334,E$1:E1333,1,FALSE()))),"OLD",IF(AND(E1334&lt;&gt;"",E1334&lt;&gt;"!!!"),"NEW","")))</f>
        <v> </v>
      </c>
      <c r="G1334" s="23" t="str">
        <f>IF(OR(E1334="",E1334="!!!"),"",IF(OR(J1334=0,AND(J1334=1,K1334=1),AND(J1334=1,I1334="SBJ"),AND(J1334=1,I1334=0)),"?IN_FOCUS",IF(J1334&lt;=2,"?ACTIVATED",IF(J1334&lt;&gt;"","?FAMILIAR",IF(F1334="NEW",IF(ISNA(VLOOKUP(E1334,#REF!,1,FALSE())),"?TYPE_IDENTIFIABLE","?REFERENTIAL"),"_")))))</f>
        <v> </v>
      </c>
      <c r="H1334" s="24" t="str">
        <f>IF(J1334&lt;&gt;1,"",IF(I1334="SBJ","CB","?"))</f>
        <v> </v>
      </c>
      <c r="I1334" s="25" t="str">
        <f>IF(OR(E1334="",E1334="!!!",F1334="NEW"),"",INDEX(B1333:B$2,-1+SUMPRODUCT(MAX(ROW(E1333:E$2)*(E1334=E1333:E$2)))))</f>
        <v> </v>
      </c>
      <c r="J1334" s="25" t="str">
        <f>IF(OR(E1334="",E1334="!!!",F1334="NEW"),"",COUNTBLANK(OFFSET(A$1,,,SUMPRODUCT(MAX(ROW(E$2:E1334)*(E1334=E$2:E1334)))))-COUNTBLANK(OFFSET(A$1,,,SUMPRODUCT(MAX(ROW(E$1:E1333)*(E2=E$1:E1333))))))</f>
        <v> </v>
      </c>
      <c r="K1334" s="25" t="str">
        <f>IF(OR(E1334="",E1334="!!!",F1334="NEW"),"",INDEX(J$1:J1333,SUMPRODUCT(MAX(ROW(E$1:E1333)*(E1334=E$1:E1333)))))</f>
        <v> </v>
      </c>
      <c r="L1334" s="26"/>
    </row>
    <row r="1335" spans="1:12">
      <c r="A1335" s="20" t="s">
        <v>35</v>
      </c>
      <c r="E1335" s="21">
        <f>IF(D1335="?OLD","!!!","")</f>
        <v/>
      </c>
      <c r="F1335" s="22" t="str">
        <f>IF(OR(E1335="",E1335="!!!"),"",IF(NOT(ISNA(VLOOKUP(E1335,E$1:E1334,1,FALSE()))),"OLD",IF(AND(E1335&lt;&gt;"",E1335&lt;&gt;"!!!"),"NEW","")))</f>
        <v> </v>
      </c>
      <c r="G1335" s="23" t="str">
        <f>IF(OR(E1335="",E1335="!!!"),"",IF(OR(J1335=0,AND(J1335=1,K1335=1),AND(J1335=1,I1335="SBJ"),AND(J1335=1,I1335=0)),"?IN_FOCUS",IF(J1335&lt;=2,"?ACTIVATED",IF(J1335&lt;&gt;"","?FAMILIAR",IF(F1335="NEW",IF(ISNA(VLOOKUP(E1335,#REF!,1,FALSE())),"?TYPE_IDENTIFIABLE","?REFERENTIAL"),"_")))))</f>
        <v> </v>
      </c>
      <c r="H1335" s="24" t="str">
        <f>IF(J1335&lt;&gt;1,"",IF(I1335="SBJ","CB","?"))</f>
        <v> </v>
      </c>
      <c r="I1335" s="25" t="str">
        <f>IF(OR(E1335="",E1335="!!!",F1335="NEW"),"",INDEX(B1334:B$2,-1+SUMPRODUCT(MAX(ROW(E1334:E$2)*(E1335=E1334:E$2)))))</f>
        <v> </v>
      </c>
      <c r="J1335" s="25" t="str">
        <f>IF(OR(E1335="",E1335="!!!",F1335="NEW"),"",COUNTBLANK(OFFSET(A$1,,,SUMPRODUCT(MAX(ROW(E$2:E1335)*(E1335=E$2:E1335)))))-COUNTBLANK(OFFSET(A$1,,,SUMPRODUCT(MAX(ROW(E$1:E1334)*(E2=E$1:E1334))))))</f>
        <v> </v>
      </c>
      <c r="K1335" s="25" t="str">
        <f>IF(OR(E1335="",E1335="!!!",F1335="NEW"),"",INDEX(J$1:J1334,SUMPRODUCT(MAX(ROW(E$1:E1334)*(E1335=E$1:E1334)))))</f>
        <v> </v>
      </c>
      <c r="L1335" s="26"/>
    </row>
    <row r="1336" spans="1:12">
      <c r="A1336" s="20" t="s">
        <v>274</v>
      </c>
      <c r="E1336" s="21">
        <f>IF(D1336="?OLD","!!!","")</f>
        <v/>
      </c>
      <c r="F1336" s="22" t="str">
        <f>IF(OR(E1336="",E1336="!!!"),"",IF(NOT(ISNA(VLOOKUP(E1336,E$1:E1335,1,FALSE()))),"OLD",IF(AND(E1336&lt;&gt;"",E1336&lt;&gt;"!!!"),"NEW","")))</f>
        <v> </v>
      </c>
      <c r="G1336" s="23" t="str">
        <f>IF(OR(E1336="",E1336="!!!"),"",IF(OR(J1336=0,AND(J1336=1,K1336=1),AND(J1336=1,I1336="SBJ"),AND(J1336=1,I1336=0)),"?IN_FOCUS",IF(J1336&lt;=2,"?ACTIVATED",IF(J1336&lt;&gt;"","?FAMILIAR",IF(F1336="NEW",IF(ISNA(VLOOKUP(E1336,#REF!,1,FALSE())),"?TYPE_IDENTIFIABLE","?REFERENTIAL"),"_")))))</f>
        <v> </v>
      </c>
      <c r="H1336" s="24" t="str">
        <f>IF(J1336&lt;&gt;1,"",IF(I1336="SBJ","CB","?"))</f>
        <v> </v>
      </c>
      <c r="I1336" s="25" t="str">
        <f>IF(OR(E1336="",E1336="!!!",F1336="NEW"),"",INDEX(B1335:B$2,-1+SUMPRODUCT(MAX(ROW(E1335:E$2)*(E1336=E1335:E$2)))))</f>
        <v> </v>
      </c>
      <c r="J1336" s="25" t="str">
        <f>IF(OR(E1336="",E1336="!!!",F1336="NEW"),"",COUNTBLANK(OFFSET(A$1,,,SUMPRODUCT(MAX(ROW(E$2:E1336)*(E1336=E$2:E1336)))))-COUNTBLANK(OFFSET(A$1,,,SUMPRODUCT(MAX(ROW(E$1:E1335)*(E2=E$1:E1335))))))</f>
        <v> </v>
      </c>
      <c r="K1336" s="25" t="str">
        <f>IF(OR(E1336="",E1336="!!!",F1336="NEW"),"",INDEX(J$1:J1335,SUMPRODUCT(MAX(ROW(E$1:E1335)*(E1336=E$1:E1335)))))</f>
        <v> </v>
      </c>
      <c r="L1336" s="26"/>
    </row>
    <row r="1337" spans="1:12">
      <c r="A1337" s="20" t="s">
        <v>310</v>
      </c>
      <c r="B1337" s="27" t="s">
        <v>500</v>
      </c>
      <c r="C1337" s="27" t="s">
        <v>277</v>
      </c>
      <c r="D1337" s="27" t="s">
        <v>258</v>
      </c>
      <c r="E1337" s="21">
        <f>IF(D1337="?OLD","!!!","")</f>
        <v/>
      </c>
      <c r="F1337" s="22" t="str">
        <f>IF(OR(E1337="",E1337="!!!"),"",IF(NOT(ISNA(VLOOKUP(E1337,E$1:E1336,1,FALSE()))),"OLD",IF(AND(E1337&lt;&gt;"",E1337&lt;&gt;"!!!"),"NEW","")))</f>
        <v> </v>
      </c>
      <c r="G1337" s="23" t="str">
        <f>IF(OR(E1337="",E1337="!!!"),"",IF(OR(J1337=0,AND(J1337=1,K1337=1),AND(J1337=1,I1337="SBJ"),AND(J1337=1,I1337=0)),"?IN_FOCUS",IF(J1337&lt;=2,"?ACTIVATED",IF(J1337&lt;&gt;"","?FAMILIAR",IF(F1337="NEW",IF(ISNA(VLOOKUP(E1337,#REF!,1,FALSE())),"?TYPE_IDENTIFIABLE","?REFERENTIAL"),"_")))))</f>
        <v> </v>
      </c>
      <c r="H1337" s="24" t="str">
        <f>IF(J1337&lt;&gt;1,"",IF(I1337="SBJ","CB","?"))</f>
        <v> </v>
      </c>
      <c r="I1337" s="25" t="str">
        <f>IF(OR(E1337="",E1337="!!!",F1337="NEW"),"",INDEX(B1336:B$2,-1+SUMPRODUCT(MAX(ROW(E1336:E$2)*(E1337=E1336:E$2)))))</f>
        <v> </v>
      </c>
      <c r="J1337" s="25" t="str">
        <f>IF(OR(E1337="",E1337="!!!",F1337="NEW"),"",COUNTBLANK(OFFSET(A$1,,,SUMPRODUCT(MAX(ROW(E$2:E1337)*(E1337=E$2:E1337)))))-COUNTBLANK(OFFSET(A$1,,,SUMPRODUCT(MAX(ROW(E$1:E1336)*(E2=E$1:E1336))))))</f>
        <v> </v>
      </c>
      <c r="K1337" s="25" t="str">
        <f>IF(OR(E1337="",E1337="!!!",F1337="NEW"),"",INDEX(J$1:J1336,SUMPRODUCT(MAX(ROW(E$1:E1336)*(E1337=E$1:E1336)))))</f>
        <v> </v>
      </c>
      <c r="L1337" s="26"/>
    </row>
    <row r="1338" spans="1:12">
      <c r="A1338" s="20" t="s">
        <v>273</v>
      </c>
      <c r="B1338" s="27" t="s">
        <v>538</v>
      </c>
      <c r="E1338" s="21">
        <f>IF(D1338="?OLD","!!!","")</f>
        <v/>
      </c>
      <c r="F1338" s="22" t="str">
        <f>IF(OR(E1338="",E1338="!!!"),"",IF(NOT(ISNA(VLOOKUP(E1338,E$1:E1337,1,FALSE()))),"OLD",IF(AND(E1338&lt;&gt;"",E1338&lt;&gt;"!!!"),"NEW","")))</f>
        <v> </v>
      </c>
      <c r="G1338" s="23" t="str">
        <f>IF(OR(E1338="",E1338="!!!"),"",IF(OR(J1338=0,AND(J1338=1,K1338=1),AND(J1338=1,I1338="SBJ"),AND(J1338=1,I1338=0)),"?IN_FOCUS",IF(J1338&lt;=2,"?ACTIVATED",IF(J1338&lt;&gt;"","?FAMILIAR",IF(F1338="NEW",IF(ISNA(VLOOKUP(E1338,#REF!,1,FALSE())),"?TYPE_IDENTIFIABLE","?REFERENTIAL"),"_")))))</f>
        <v> </v>
      </c>
      <c r="H1338" s="24" t="str">
        <f>IF(J1338&lt;&gt;1,"",IF(I1338="SBJ","CB","?"))</f>
        <v> </v>
      </c>
      <c r="I1338" s="25" t="str">
        <f>IF(OR(E1338="",E1338="!!!",F1338="NEW"),"",INDEX(B1337:B$2,-1+SUMPRODUCT(MAX(ROW(E1337:E$2)*(E1338=E1337:E$2)))))</f>
        <v> </v>
      </c>
      <c r="J1338" s="25" t="str">
        <f>IF(OR(E1338="",E1338="!!!",F1338="NEW"),"",COUNTBLANK(OFFSET(A$1,,,SUMPRODUCT(MAX(ROW(E$2:E1338)*(E1338=E$2:E1338)))))-COUNTBLANK(OFFSET(A$1,,,SUMPRODUCT(MAX(ROW(E$1:E1337)*(E2=E$1:E1337))))))</f>
        <v> </v>
      </c>
      <c r="K1338" s="25" t="str">
        <f>IF(OR(E1338="",E1338="!!!",F1338="NEW"),"",INDEX(J$1:J1337,SUMPRODUCT(MAX(ROW(E$1:E1337)*(E1338=E$1:E1337)))))</f>
        <v> </v>
      </c>
      <c r="L1338" s="26"/>
    </row>
    <row r="1339" spans="1:12">
      <c r="A1339" s="20" t="s">
        <v>690</v>
      </c>
      <c r="E1339" s="21">
        <f>IF(D1339="?OLD","!!!","")</f>
        <v/>
      </c>
      <c r="F1339" s="22" t="str">
        <f>IF(OR(E1339="",E1339="!!!"),"",IF(NOT(ISNA(VLOOKUP(E1339,E$1:E1338,1,FALSE()))),"OLD",IF(AND(E1339&lt;&gt;"",E1339&lt;&gt;"!!!"),"NEW","")))</f>
        <v> </v>
      </c>
      <c r="G1339" s="23" t="str">
        <f>IF(OR(E1339="",E1339="!!!"),"",IF(OR(J1339=0,AND(J1339=1,K1339=1),AND(J1339=1,I1339="SBJ"),AND(J1339=1,I1339=0)),"?IN_FOCUS",IF(J1339&lt;=2,"?ACTIVATED",IF(J1339&lt;&gt;"","?FAMILIAR",IF(F1339="NEW",IF(ISNA(VLOOKUP(E1339,#REF!,1,FALSE())),"?TYPE_IDENTIFIABLE","?REFERENTIAL"),"_")))))</f>
        <v> </v>
      </c>
      <c r="H1339" s="24" t="str">
        <f>IF(J1339&lt;&gt;1,"",IF(I1339="SBJ","CB","?"))</f>
        <v> </v>
      </c>
      <c r="I1339" s="25" t="str">
        <f>IF(OR(E1339="",E1339="!!!",F1339="NEW"),"",INDEX(B1338:B$2,-1+SUMPRODUCT(MAX(ROW(E1338:E$2)*(E1339=E1338:E$2)))))</f>
        <v> </v>
      </c>
      <c r="J1339" s="25" t="str">
        <f>IF(OR(E1339="",E1339="!!!",F1339="NEW"),"",COUNTBLANK(OFFSET(A$1,,,SUMPRODUCT(MAX(ROW(E$2:E1339)*(E1339=E$2:E1339)))))-COUNTBLANK(OFFSET(A$1,,,SUMPRODUCT(MAX(ROW(E$1:E1338)*(E2=E$1:E1338))))))</f>
        <v> </v>
      </c>
      <c r="K1339" s="25" t="str">
        <f>IF(OR(E1339="",E1339="!!!",F1339="NEW"),"",INDEX(J$1:J1338,SUMPRODUCT(MAX(ROW(E$1:E1338)*(E1339=E$1:E1338)))))</f>
        <v> </v>
      </c>
      <c r="L1339" s="26"/>
    </row>
    <row r="1340" spans="1:12">
      <c r="A1340" s="20" t="s">
        <v>318</v>
      </c>
      <c r="E1340" s="21">
        <f>IF(D1340="?OLD","!!!","")</f>
        <v/>
      </c>
      <c r="F1340" s="22" t="str">
        <f>IF(OR(E1340="",E1340="!!!"),"",IF(NOT(ISNA(VLOOKUP(E1340,E$1:E1339,1,FALSE()))),"OLD",IF(AND(E1340&lt;&gt;"",E1340&lt;&gt;"!!!"),"NEW","")))</f>
        <v> </v>
      </c>
      <c r="G1340" s="23" t="str">
        <f>IF(OR(E1340="",E1340="!!!"),"",IF(OR(J1340=0,AND(J1340=1,K1340=1),AND(J1340=1,I1340="SBJ"),AND(J1340=1,I1340=0)),"?IN_FOCUS",IF(J1340&lt;=2,"?ACTIVATED",IF(J1340&lt;&gt;"","?FAMILIAR",IF(F1340="NEW",IF(ISNA(VLOOKUP(E1340,#REF!,1,FALSE())),"?TYPE_IDENTIFIABLE","?REFERENTIAL"),"_")))))</f>
        <v> </v>
      </c>
      <c r="H1340" s="24" t="str">
        <f>IF(J1340&lt;&gt;1,"",IF(I1340="SBJ","CB","?"))</f>
        <v> </v>
      </c>
      <c r="I1340" s="25" t="str">
        <f>IF(OR(E1340="",E1340="!!!",F1340="NEW"),"",INDEX(B1339:B$2,-1+SUMPRODUCT(MAX(ROW(E1339:E$2)*(E1340=E1339:E$2)))))</f>
        <v> </v>
      </c>
      <c r="J1340" s="25" t="str">
        <f>IF(OR(E1340="",E1340="!!!",F1340="NEW"),"",COUNTBLANK(OFFSET(A$1,,,SUMPRODUCT(MAX(ROW(E$2:E1340)*(E1340=E$2:E1340)))))-COUNTBLANK(OFFSET(A$1,,,SUMPRODUCT(MAX(ROW(E$1:E1339)*(E2=E$1:E1339))))))</f>
        <v> </v>
      </c>
      <c r="K1340" s="25" t="str">
        <f>IF(OR(E1340="",E1340="!!!",F1340="NEW"),"",INDEX(J$1:J1339,SUMPRODUCT(MAX(ROW(E$1:E1339)*(E1340=E$1:E1339)))))</f>
        <v> </v>
      </c>
      <c r="L1340" s="26"/>
    </row>
    <row r="1341" spans="1:12">
      <c r="A1341" s="20" t="s">
        <v>691</v>
      </c>
      <c r="E1341" s="21">
        <f>IF(D1341="?OLD","!!!","")</f>
        <v/>
      </c>
      <c r="F1341" s="22" t="str">
        <f>IF(OR(E1341="",E1341="!!!"),"",IF(NOT(ISNA(VLOOKUP(E1341,E$1:E1340,1,FALSE()))),"OLD",IF(AND(E1341&lt;&gt;"",E1341&lt;&gt;"!!!"),"NEW","")))</f>
        <v> </v>
      </c>
      <c r="G1341" s="23" t="str">
        <f>IF(OR(E1341="",E1341="!!!"),"",IF(OR(J1341=0,AND(J1341=1,K1341=1),AND(J1341=1,I1341="SBJ"),AND(J1341=1,I1341=0)),"?IN_FOCUS",IF(J1341&lt;=2,"?ACTIVATED",IF(J1341&lt;&gt;"","?FAMILIAR",IF(F1341="NEW",IF(ISNA(VLOOKUP(E1341,#REF!,1,FALSE())),"?TYPE_IDENTIFIABLE","?REFERENTIAL"),"_")))))</f>
        <v> </v>
      </c>
      <c r="H1341" s="24" t="str">
        <f>IF(J1341&lt;&gt;1,"",IF(I1341="SBJ","CB","?"))</f>
        <v> </v>
      </c>
      <c r="I1341" s="25" t="str">
        <f>IF(OR(E1341="",E1341="!!!",F1341="NEW"),"",INDEX(B1340:B$2,-1+SUMPRODUCT(MAX(ROW(E1340:E$2)*(E1341=E1340:E$2)))))</f>
        <v> </v>
      </c>
      <c r="J1341" s="25" t="str">
        <f>IF(OR(E1341="",E1341="!!!",F1341="NEW"),"",COUNTBLANK(OFFSET(A$1,,,SUMPRODUCT(MAX(ROW(E$2:E1341)*(E1341=E$2:E1341)))))-COUNTBLANK(OFFSET(A$1,,,SUMPRODUCT(MAX(ROW(E$1:E1340)*(E2=E$1:E1340))))))</f>
        <v> </v>
      </c>
      <c r="K1341" s="25" t="str">
        <f>IF(OR(E1341="",E1341="!!!",F1341="NEW"),"",INDEX(J$1:J1340,SUMPRODUCT(MAX(ROW(E$1:E1340)*(E1341=E$1:E1340)))))</f>
        <v> </v>
      </c>
      <c r="L1341" s="26"/>
    </row>
    <row r="1342" spans="1:12">
      <c r="A1342" s="20" t="s">
        <v>429</v>
      </c>
      <c r="E1342" s="21">
        <f>IF(D1342="?OLD","!!!","")</f>
        <v/>
      </c>
      <c r="F1342" s="22" t="str">
        <f>IF(OR(E1342="",E1342="!!!"),"",IF(NOT(ISNA(VLOOKUP(E1342,E$1:E1341,1,FALSE()))),"OLD",IF(AND(E1342&lt;&gt;"",E1342&lt;&gt;"!!!"),"NEW","")))</f>
        <v> </v>
      </c>
      <c r="G1342" s="23" t="str">
        <f>IF(OR(E1342="",E1342="!!!"),"",IF(OR(J1342=0,AND(J1342=1,K1342=1),AND(J1342=1,I1342="SBJ"),AND(J1342=1,I1342=0)),"?IN_FOCUS",IF(J1342&lt;=2,"?ACTIVATED",IF(J1342&lt;&gt;"","?FAMILIAR",IF(F1342="NEW",IF(ISNA(VLOOKUP(E1342,#REF!,1,FALSE())),"?TYPE_IDENTIFIABLE","?REFERENTIAL"),"_")))))</f>
        <v> </v>
      </c>
      <c r="H1342" s="24" t="str">
        <f>IF(J1342&lt;&gt;1,"",IF(I1342="SBJ","CB","?"))</f>
        <v> </v>
      </c>
      <c r="I1342" s="25" t="str">
        <f>IF(OR(E1342="",E1342="!!!",F1342="NEW"),"",INDEX(B1341:B$2,-1+SUMPRODUCT(MAX(ROW(E1341:E$2)*(E1342=E1341:E$2)))))</f>
        <v> </v>
      </c>
      <c r="J1342" s="25" t="str">
        <f>IF(OR(E1342="",E1342="!!!",F1342="NEW"),"",COUNTBLANK(OFFSET(A$1,,,SUMPRODUCT(MAX(ROW(E$2:E1342)*(E1342=E$2:E1342)))))-COUNTBLANK(OFFSET(A$1,,,SUMPRODUCT(MAX(ROW(E$1:E1341)*(E2=E$1:E1341))))))</f>
        <v> </v>
      </c>
      <c r="K1342" s="25" t="str">
        <f>IF(OR(E1342="",E1342="!!!",F1342="NEW"),"",INDEX(J$1:J1341,SUMPRODUCT(MAX(ROW(E$1:E1341)*(E1342=E$1:E1341)))))</f>
        <v> </v>
      </c>
      <c r="L1342" s="26"/>
    </row>
    <row r="1343" spans="1:12">
      <c r="A1343" s="20"/>
    </row>
    <row r="1344" spans="1:12">
      <c r="A1344" s="20" t="s">
        <v>692</v>
      </c>
    </row>
    <row r="1345" spans="1:12">
      <c r="A1345" s="20" t="s">
        <v>254</v>
      </c>
      <c r="E1345" s="21">
        <f>IF(D1345="?OLD","!!!","")</f>
        <v/>
      </c>
      <c r="F1345" s="22" t="str">
        <f>IF(OR(E1345="",E1345="!!!"),"",IF(NOT(ISNA(VLOOKUP(E1345,E$1:E1344,1,FALSE()))),"OLD",IF(AND(E1345&lt;&gt;"",E1345&lt;&gt;"!!!"),"NEW","")))</f>
        <v> </v>
      </c>
      <c r="G1345" s="23" t="str">
        <f>IF(OR(E1345="",E1345="!!!"),"",IF(OR(J1345=0,AND(J1345=1,K1345=1),AND(J1345=1,I1345="SBJ"),AND(J1345=1,I1345=0)),"?IN_FOCUS",IF(J1345&lt;=2,"?ACTIVATED",IF(J1345&lt;&gt;"","?FAMILIAR",IF(F1345="NEW",IF(ISNA(VLOOKUP(E1345,#REF!,1,FALSE())),"?TYPE_IDENTIFIABLE","?REFERENTIAL"),"_")))))</f>
        <v> </v>
      </c>
      <c r="H1345" s="24" t="str">
        <f>IF(J1345&lt;&gt;1,"",IF(I1345="SBJ","CB","?"))</f>
        <v> </v>
      </c>
      <c r="I1345" s="25" t="str">
        <f>IF(OR(E1345="",E1345="!!!",F1345="NEW"),"",INDEX(B1344:B$2,-1+SUMPRODUCT(MAX(ROW(E1344:E$2)*(E1345=E1344:E$2)))))</f>
        <v> </v>
      </c>
      <c r="J1345" s="25" t="str">
        <f>IF(OR(E1345="",E1345="!!!",F1345="NEW"),"",COUNTBLANK(OFFSET(A$1,,,SUMPRODUCT(MAX(ROW(E$2:E1345)*(E1345=E$2:E1345)))))-COUNTBLANK(OFFSET(A$1,,,SUMPRODUCT(MAX(ROW(E$1:E1344)*(E2=E$1:E1344))))))</f>
        <v> </v>
      </c>
      <c r="K1345" s="25" t="str">
        <f>IF(OR(E1345="",E1345="!!!",F1345="NEW"),"",INDEX(J$1:J1344,SUMPRODUCT(MAX(ROW(E$1:E1344)*(E1345=E$1:E1344)))))</f>
        <v> </v>
      </c>
      <c r="L1345" s="26"/>
    </row>
    <row r="1346" spans="1:12">
      <c r="A1346" s="20" t="s">
        <v>282</v>
      </c>
      <c r="B1346" s="27" t="s">
        <v>256</v>
      </c>
      <c r="C1346" s="27" t="s">
        <v>257</v>
      </c>
      <c r="D1346" s="27" t="s">
        <v>258</v>
      </c>
      <c r="E1346" s="21">
        <f>IF(D1346="?OLD","!!!","")</f>
        <v/>
      </c>
      <c r="F1346" s="22" t="str">
        <f>IF(OR(E1346="",E1346="!!!"),"",IF(NOT(ISNA(VLOOKUP(E1346,E$1:E1345,1,FALSE()))),"OLD",IF(AND(E1346&lt;&gt;"",E1346&lt;&gt;"!!!"),"NEW","")))</f>
        <v> </v>
      </c>
      <c r="G1346" s="23" t="str">
        <f>IF(OR(E1346="",E1346="!!!"),"",IF(OR(J1346=0,AND(J1346=1,K1346=1),AND(J1346=1,I1346="SBJ"),AND(J1346=1,I1346=0)),"?IN_FOCUS",IF(J1346&lt;=2,"?ACTIVATED",IF(J1346&lt;&gt;"","?FAMILIAR",IF(F1346="NEW",IF(ISNA(VLOOKUP(E1346,#REF!,1,FALSE())),"?TYPE_IDENTIFIABLE","?REFERENTIAL"),"_")))))</f>
        <v> </v>
      </c>
      <c r="H1346" s="24" t="str">
        <f>IF(J1346&lt;&gt;1,"",IF(I1346="SBJ","CB","?"))</f>
        <v> </v>
      </c>
      <c r="I1346" s="25" t="str">
        <f>IF(OR(E1346="",E1346="!!!",F1346="NEW"),"",INDEX(B1345:B$2,-1+SUMPRODUCT(MAX(ROW(E1345:E$2)*(E1346=E1345:E$2)))))</f>
        <v> </v>
      </c>
      <c r="J1346" s="25" t="str">
        <f>IF(OR(E1346="",E1346="!!!",F1346="NEW"),"",COUNTBLANK(OFFSET(A$1,,,SUMPRODUCT(MAX(ROW(E$2:E1346)*(E1346=E$2:E1346)))))-COUNTBLANK(OFFSET(A$1,,,SUMPRODUCT(MAX(ROW(E$1:E1345)*(E2=E$1:E1345))))))</f>
        <v> </v>
      </c>
      <c r="K1346" s="25" t="str">
        <f>IF(OR(E1346="",E1346="!!!",F1346="NEW"),"",INDEX(J$1:J1345,SUMPRODUCT(MAX(ROW(E$1:E1345)*(E1346=E$1:E1345)))))</f>
        <v> </v>
      </c>
      <c r="L1346" s="26"/>
    </row>
    <row r="1347" spans="1:12">
      <c r="A1347" s="20" t="s">
        <v>259</v>
      </c>
      <c r="E1347" s="21">
        <f>IF(D1347="?OLD","!!!","")</f>
        <v/>
      </c>
      <c r="F1347" s="22" t="str">
        <f>IF(OR(E1347="",E1347="!!!"),"",IF(NOT(ISNA(VLOOKUP(E1347,E$1:E1346,1,FALSE()))),"OLD",IF(AND(E1347&lt;&gt;"",E1347&lt;&gt;"!!!"),"NEW","")))</f>
        <v> </v>
      </c>
      <c r="G1347" s="23" t="str">
        <f>IF(OR(E1347="",E1347="!!!"),"",IF(OR(J1347=0,AND(J1347=1,K1347=1),AND(J1347=1,I1347="SBJ"),AND(J1347=1,I1347=0)),"?IN_FOCUS",IF(J1347&lt;=2,"?ACTIVATED",IF(J1347&lt;&gt;"","?FAMILIAR",IF(F1347="NEW",IF(ISNA(VLOOKUP(E1347,#REF!,1,FALSE())),"?TYPE_IDENTIFIABLE","?REFERENTIAL"),"_")))))</f>
        <v> </v>
      </c>
      <c r="H1347" s="24" t="str">
        <f>IF(J1347&lt;&gt;1,"",IF(I1347="SBJ","CB","?"))</f>
        <v> </v>
      </c>
      <c r="I1347" s="25" t="str">
        <f>IF(OR(E1347="",E1347="!!!",F1347="NEW"),"",INDEX(B1346:B$2,-1+SUMPRODUCT(MAX(ROW(E1346:E$2)*(E1347=E1346:E$2)))))</f>
        <v> </v>
      </c>
      <c r="J1347" s="25" t="str">
        <f>IF(OR(E1347="",E1347="!!!",F1347="NEW"),"",COUNTBLANK(OFFSET(A$1,,,SUMPRODUCT(MAX(ROW(E$2:E1347)*(E1347=E$2:E1347)))))-COUNTBLANK(OFFSET(A$1,,,SUMPRODUCT(MAX(ROW(E$1:E1346)*(E2=E$1:E1346))))))</f>
        <v> </v>
      </c>
      <c r="K1347" s="25" t="str">
        <f>IF(OR(E1347="",E1347="!!!",F1347="NEW"),"",INDEX(J$1:J1346,SUMPRODUCT(MAX(ROW(E$1:E1346)*(E1347=E$1:E1346)))))</f>
        <v> </v>
      </c>
      <c r="L1347" s="26"/>
    </row>
    <row r="1348" spans="1:12">
      <c r="A1348" s="20" t="s">
        <v>60</v>
      </c>
      <c r="E1348" s="21">
        <f>IF(D1348="?OLD","!!!","")</f>
        <v/>
      </c>
      <c r="F1348" s="22" t="str">
        <f>IF(OR(E1348="",E1348="!!!"),"",IF(NOT(ISNA(VLOOKUP(E1348,E$1:E1347,1,FALSE()))),"OLD",IF(AND(E1348&lt;&gt;"",E1348&lt;&gt;"!!!"),"NEW","")))</f>
        <v> </v>
      </c>
      <c r="G1348" s="23" t="str">
        <f>IF(OR(E1348="",E1348="!!!"),"",IF(OR(J1348=0,AND(J1348=1,K1348=1),AND(J1348=1,I1348="SBJ"),AND(J1348=1,I1348=0)),"?IN_FOCUS",IF(J1348&lt;=2,"?ACTIVATED",IF(J1348&lt;&gt;"","?FAMILIAR",IF(F1348="NEW",IF(ISNA(VLOOKUP(E1348,#REF!,1,FALSE())),"?TYPE_IDENTIFIABLE","?REFERENTIAL"),"_")))))</f>
        <v> </v>
      </c>
      <c r="H1348" s="24" t="str">
        <f>IF(J1348&lt;&gt;1,"",IF(I1348="SBJ","CB","?"))</f>
        <v> </v>
      </c>
      <c r="I1348" s="25" t="str">
        <f>IF(OR(E1348="",E1348="!!!",F1348="NEW"),"",INDEX(B1347:B$2,-1+SUMPRODUCT(MAX(ROW(E1347:E$2)*(E1348=E1347:E$2)))))</f>
        <v> </v>
      </c>
      <c r="J1348" s="25" t="str">
        <f>IF(OR(E1348="",E1348="!!!",F1348="NEW"),"",COUNTBLANK(OFFSET(A$1,,,SUMPRODUCT(MAX(ROW(E$2:E1348)*(E1348=E$2:E1348)))))-COUNTBLANK(OFFSET(A$1,,,SUMPRODUCT(MAX(ROW(E$1:E1347)*(E2=E$1:E1347))))))</f>
        <v> </v>
      </c>
      <c r="K1348" s="25" t="str">
        <f>IF(OR(E1348="",E1348="!!!",F1348="NEW"),"",INDEX(J$1:J1347,SUMPRODUCT(MAX(ROW(E$1:E1347)*(E1348=E$1:E1347)))))</f>
        <v> </v>
      </c>
      <c r="L1348" s="26"/>
    </row>
    <row r="1349" spans="1:12">
      <c r="A1349" s="20" t="s">
        <v>273</v>
      </c>
      <c r="B1349" s="27" t="s">
        <v>262</v>
      </c>
      <c r="C1349" s="27" t="s">
        <v>367</v>
      </c>
      <c r="D1349" s="27" t="s">
        <v>258</v>
      </c>
      <c r="E1349" s="21">
        <f>IF(D1349="?OLD","!!!","")</f>
        <v/>
      </c>
      <c r="F1349" s="22" t="str">
        <f>IF(OR(E1349="",E1349="!!!"),"",IF(NOT(ISNA(VLOOKUP(E1349,E$1:E1348,1,FALSE()))),"OLD",IF(AND(E1349&lt;&gt;"",E1349&lt;&gt;"!!!"),"NEW","")))</f>
        <v> </v>
      </c>
      <c r="G1349" s="23" t="str">
        <f>IF(OR(E1349="",E1349="!!!"),"",IF(OR(J1349=0,AND(J1349=1,K1349=1),AND(J1349=1,I1349="SBJ"),AND(J1349=1,I1349=0)),"?IN_FOCUS",IF(J1349&lt;=2,"?ACTIVATED",IF(J1349&lt;&gt;"","?FAMILIAR",IF(F1349="NEW",IF(ISNA(VLOOKUP(E1349,#REF!,1,FALSE())),"?TYPE_IDENTIFIABLE","?REFERENTIAL"),"_")))))</f>
        <v> </v>
      </c>
      <c r="H1349" s="24" t="str">
        <f>IF(J1349&lt;&gt;1,"",IF(I1349="SBJ","CB","?"))</f>
        <v> </v>
      </c>
      <c r="I1349" s="25" t="str">
        <f>IF(OR(E1349="",E1349="!!!",F1349="NEW"),"",INDEX(B1348:B$2,-1+SUMPRODUCT(MAX(ROW(E1348:E$2)*(E1349=E1348:E$2)))))</f>
        <v> </v>
      </c>
      <c r="J1349" s="25" t="str">
        <f>IF(OR(E1349="",E1349="!!!",F1349="NEW"),"",COUNTBLANK(OFFSET(A$1,,,SUMPRODUCT(MAX(ROW(E$2:E1349)*(E1349=E$2:E1349)))))-COUNTBLANK(OFFSET(A$1,,,SUMPRODUCT(MAX(ROW(E$1:E1348)*(E2=E$1:E1348))))))</f>
        <v> </v>
      </c>
      <c r="K1349" s="25" t="str">
        <f>IF(OR(E1349="",E1349="!!!",F1349="NEW"),"",INDEX(J$1:J1348,SUMPRODUCT(MAX(ROW(E$1:E1348)*(E1349=E$1:E1348)))))</f>
        <v> </v>
      </c>
      <c r="L1349" s="26"/>
    </row>
    <row r="1350" spans="1:12">
      <c r="A1350" s="20" t="s">
        <v>271</v>
      </c>
      <c r="E1350" s="21">
        <f>IF(D1350="?OLD","!!!","")</f>
        <v/>
      </c>
      <c r="F1350" s="22" t="str">
        <f>IF(OR(E1350="",E1350="!!!"),"",IF(NOT(ISNA(VLOOKUP(E1350,E$1:E1349,1,FALSE()))),"OLD",IF(AND(E1350&lt;&gt;"",E1350&lt;&gt;"!!!"),"NEW","")))</f>
        <v> </v>
      </c>
      <c r="G1350" s="23" t="str">
        <f>IF(OR(E1350="",E1350="!!!"),"",IF(OR(J1350=0,AND(J1350=1,K1350=1),AND(J1350=1,I1350="SBJ"),AND(J1350=1,I1350=0)),"?IN_FOCUS",IF(J1350&lt;=2,"?ACTIVATED",IF(J1350&lt;&gt;"","?FAMILIAR",IF(F1350="NEW",IF(ISNA(VLOOKUP(E1350,#REF!,1,FALSE())),"?TYPE_IDENTIFIABLE","?REFERENTIAL"),"_")))))</f>
        <v> </v>
      </c>
      <c r="H1350" s="24" t="str">
        <f>IF(J1350&lt;&gt;1,"",IF(I1350="SBJ","CB","?"))</f>
        <v> </v>
      </c>
      <c r="I1350" s="25" t="str">
        <f>IF(OR(E1350="",E1350="!!!",F1350="NEW"),"",INDEX(B1349:B$2,-1+SUMPRODUCT(MAX(ROW(E1349:E$2)*(E1350=E1349:E$2)))))</f>
        <v> </v>
      </c>
      <c r="J1350" s="25" t="str">
        <f>IF(OR(E1350="",E1350="!!!",F1350="NEW"),"",COUNTBLANK(OFFSET(A$1,,,SUMPRODUCT(MAX(ROW(E$2:E1350)*(E1350=E$2:E1350)))))-COUNTBLANK(OFFSET(A$1,,,SUMPRODUCT(MAX(ROW(E$1:E1349)*(E2=E$1:E1349))))))</f>
        <v> </v>
      </c>
      <c r="K1350" s="25" t="str">
        <f>IF(OR(E1350="",E1350="!!!",F1350="NEW"),"",INDEX(J$1:J1349,SUMPRODUCT(MAX(ROW(E$1:E1349)*(E1350=E$1:E1349)))))</f>
        <v> </v>
      </c>
      <c r="L1350" s="26"/>
    </row>
    <row r="1351" spans="1:12">
      <c r="A1351" s="20" t="s">
        <v>384</v>
      </c>
      <c r="E1351" s="21">
        <f>IF(D1351="?OLD","!!!","")</f>
        <v/>
      </c>
      <c r="F1351" s="22" t="str">
        <f>IF(OR(E1351="",E1351="!!!"),"",IF(NOT(ISNA(VLOOKUP(E1351,E$1:E1350,1,FALSE()))),"OLD",IF(AND(E1351&lt;&gt;"",E1351&lt;&gt;"!!!"),"NEW","")))</f>
        <v> </v>
      </c>
      <c r="G1351" s="23" t="str">
        <f>IF(OR(E1351="",E1351="!!!"),"",IF(OR(J1351=0,AND(J1351=1,K1351=1),AND(J1351=1,I1351="SBJ"),AND(J1351=1,I1351=0)),"?IN_FOCUS",IF(J1351&lt;=2,"?ACTIVATED",IF(J1351&lt;&gt;"","?FAMILIAR",IF(F1351="NEW",IF(ISNA(VLOOKUP(E1351,#REF!,1,FALSE())),"?TYPE_IDENTIFIABLE","?REFERENTIAL"),"_")))))</f>
        <v> </v>
      </c>
      <c r="H1351" s="24" t="str">
        <f>IF(J1351&lt;&gt;1,"",IF(I1351="SBJ","CB","?"))</f>
        <v> </v>
      </c>
      <c r="I1351" s="25" t="str">
        <f>IF(OR(E1351="",E1351="!!!",F1351="NEW"),"",INDEX(B1350:B$2,-1+SUMPRODUCT(MAX(ROW(E1350:E$2)*(E1351=E1350:E$2)))))</f>
        <v> </v>
      </c>
      <c r="J1351" s="25" t="str">
        <f>IF(OR(E1351="",E1351="!!!",F1351="NEW"),"",COUNTBLANK(OFFSET(A$1,,,SUMPRODUCT(MAX(ROW(E$2:E1351)*(E1351=E$2:E1351)))))-COUNTBLANK(OFFSET(A$1,,,SUMPRODUCT(MAX(ROW(E$1:E1350)*(E2=E$1:E1350))))))</f>
        <v> </v>
      </c>
      <c r="K1351" s="25" t="str">
        <f>IF(OR(E1351="",E1351="!!!",F1351="NEW"),"",INDEX(J$1:J1350,SUMPRODUCT(MAX(ROW(E$1:E1350)*(E1351=E$1:E1350)))))</f>
        <v> </v>
      </c>
      <c r="L1351" s="26"/>
    </row>
    <row r="1352" spans="1:12">
      <c r="A1352" s="20" t="s">
        <v>294</v>
      </c>
      <c r="E1352" s="21">
        <f>IF(D1352="?OLD","!!!","")</f>
        <v/>
      </c>
      <c r="F1352" s="22" t="str">
        <f>IF(OR(E1352="",E1352="!!!"),"",IF(NOT(ISNA(VLOOKUP(E1352,E$1:E1351,1,FALSE()))),"OLD",IF(AND(E1352&lt;&gt;"",E1352&lt;&gt;"!!!"),"NEW","")))</f>
        <v> </v>
      </c>
      <c r="G1352" s="23" t="str">
        <f>IF(OR(E1352="",E1352="!!!"),"",IF(OR(J1352=0,AND(J1352=1,K1352=1),AND(J1352=1,I1352="SBJ"),AND(J1352=1,I1352=0)),"?IN_FOCUS",IF(J1352&lt;=2,"?ACTIVATED",IF(J1352&lt;&gt;"","?FAMILIAR",IF(F1352="NEW",IF(ISNA(VLOOKUP(E1352,#REF!,1,FALSE())),"?TYPE_IDENTIFIABLE","?REFERENTIAL"),"_")))))</f>
        <v> </v>
      </c>
      <c r="H1352" s="24" t="str">
        <f>IF(J1352&lt;&gt;1,"",IF(I1352="SBJ","CB","?"))</f>
        <v> </v>
      </c>
      <c r="I1352" s="25" t="str">
        <f>IF(OR(E1352="",E1352="!!!",F1352="NEW"),"",INDEX(B1351:B$2,-1+SUMPRODUCT(MAX(ROW(E1351:E$2)*(E1352=E1351:E$2)))))</f>
        <v> </v>
      </c>
      <c r="J1352" s="25" t="str">
        <f>IF(OR(E1352="",E1352="!!!",F1352="NEW"),"",COUNTBLANK(OFFSET(A$1,,,SUMPRODUCT(MAX(ROW(E$2:E1352)*(E1352=E$2:E1352)))))-COUNTBLANK(OFFSET(A$1,,,SUMPRODUCT(MAX(ROW(E$1:E1351)*(E2=E$1:E1351))))))</f>
        <v> </v>
      </c>
      <c r="K1352" s="25" t="str">
        <f>IF(OR(E1352="",E1352="!!!",F1352="NEW"),"",INDEX(J$1:J1351,SUMPRODUCT(MAX(ROW(E$1:E1351)*(E1352=E$1:E1351)))))</f>
        <v> </v>
      </c>
      <c r="L1352" s="26"/>
    </row>
    <row r="1353" spans="1:12">
      <c r="A1353" s="20" t="s">
        <v>278</v>
      </c>
      <c r="E1353" s="21">
        <f>IF(D1353="?OLD","!!!","")</f>
        <v/>
      </c>
      <c r="F1353" s="22" t="str">
        <f>IF(OR(E1353="",E1353="!!!"),"",IF(NOT(ISNA(VLOOKUP(E1353,E$1:E1352,1,FALSE()))),"OLD",IF(AND(E1353&lt;&gt;"",E1353&lt;&gt;"!!!"),"NEW","")))</f>
        <v> </v>
      </c>
      <c r="G1353" s="23" t="str">
        <f>IF(OR(E1353="",E1353="!!!"),"",IF(OR(J1353=0,AND(J1353=1,K1353=1),AND(J1353=1,I1353="SBJ"),AND(J1353=1,I1353=0)),"?IN_FOCUS",IF(J1353&lt;=2,"?ACTIVATED",IF(J1353&lt;&gt;"","?FAMILIAR",IF(F1353="NEW",IF(ISNA(VLOOKUP(E1353,#REF!,1,FALSE())),"?TYPE_IDENTIFIABLE","?REFERENTIAL"),"_")))))</f>
        <v> </v>
      </c>
      <c r="H1353" s="24" t="str">
        <f>IF(J1353&lt;&gt;1,"",IF(I1353="SBJ","CB","?"))</f>
        <v> </v>
      </c>
      <c r="I1353" s="25" t="str">
        <f>IF(OR(E1353="",E1353="!!!",F1353="NEW"),"",INDEX(B1352:B$2,-1+SUMPRODUCT(MAX(ROW(E1352:E$2)*(E1353=E1352:E$2)))))</f>
        <v> </v>
      </c>
      <c r="J1353" s="25" t="str">
        <f>IF(OR(E1353="",E1353="!!!",F1353="NEW"),"",COUNTBLANK(OFFSET(A$1,,,SUMPRODUCT(MAX(ROW(E$2:E1353)*(E1353=E$2:E1353)))))-COUNTBLANK(OFFSET(A$1,,,SUMPRODUCT(MAX(ROW(E$1:E1352)*(E2=E$1:E1352))))))</f>
        <v> </v>
      </c>
      <c r="K1353" s="25" t="str">
        <f>IF(OR(E1353="",E1353="!!!",F1353="NEW"),"",INDEX(J$1:J1352,SUMPRODUCT(MAX(ROW(E$1:E1352)*(E1353=E$1:E1352)))))</f>
        <v> </v>
      </c>
      <c r="L1353" s="26"/>
    </row>
    <row r="1354" spans="1:12">
      <c r="A1354" s="20" t="s">
        <v>678</v>
      </c>
      <c r="E1354" s="21">
        <f>IF(D1354="?OLD","!!!","")</f>
        <v/>
      </c>
      <c r="F1354" s="22" t="str">
        <f>IF(OR(E1354="",E1354="!!!"),"",IF(NOT(ISNA(VLOOKUP(E1354,E$1:E1353,1,FALSE()))),"OLD",IF(AND(E1354&lt;&gt;"",E1354&lt;&gt;"!!!"),"NEW","")))</f>
        <v> </v>
      </c>
      <c r="G1354" s="23" t="str">
        <f>IF(OR(E1354="",E1354="!!!"),"",IF(OR(J1354=0,AND(J1354=1,K1354=1),AND(J1354=1,I1354="SBJ"),AND(J1354=1,I1354=0)),"?IN_FOCUS",IF(J1354&lt;=2,"?ACTIVATED",IF(J1354&lt;&gt;"","?FAMILIAR",IF(F1354="NEW",IF(ISNA(VLOOKUP(E1354,#REF!,1,FALSE())),"?TYPE_IDENTIFIABLE","?REFERENTIAL"),"_")))))</f>
        <v> </v>
      </c>
      <c r="H1354" s="24" t="str">
        <f>IF(J1354&lt;&gt;1,"",IF(I1354="SBJ","CB","?"))</f>
        <v> </v>
      </c>
      <c r="I1354" s="25" t="str">
        <f>IF(OR(E1354="",E1354="!!!",F1354="NEW"),"",INDEX(B1353:B$2,-1+SUMPRODUCT(MAX(ROW(E1353:E$2)*(E1354=E1353:E$2)))))</f>
        <v> </v>
      </c>
      <c r="J1354" s="25" t="str">
        <f>IF(OR(E1354="",E1354="!!!",F1354="NEW"),"",COUNTBLANK(OFFSET(A$1,,,SUMPRODUCT(MAX(ROW(E$2:E1354)*(E1354=E$2:E1354)))))-COUNTBLANK(OFFSET(A$1,,,SUMPRODUCT(MAX(ROW(E$1:E1353)*(E2=E$1:E1353))))))</f>
        <v> </v>
      </c>
      <c r="K1354" s="25" t="str">
        <f>IF(OR(E1354="",E1354="!!!",F1354="NEW"),"",INDEX(J$1:J1353,SUMPRODUCT(MAX(ROW(E$1:E1353)*(E1354=E$1:E1353)))))</f>
        <v> </v>
      </c>
      <c r="L1354" s="26"/>
    </row>
    <row r="1355" spans="1:12">
      <c r="A1355" s="20" t="s">
        <v>693</v>
      </c>
      <c r="E1355" s="21">
        <f>IF(D1355="?OLD","!!!","")</f>
        <v/>
      </c>
      <c r="F1355" s="22" t="str">
        <f>IF(OR(E1355="",E1355="!!!"),"",IF(NOT(ISNA(VLOOKUP(E1355,E$1:E1354,1,FALSE()))),"OLD",IF(AND(E1355&lt;&gt;"",E1355&lt;&gt;"!!!"),"NEW","")))</f>
        <v> </v>
      </c>
      <c r="G1355" s="23" t="str">
        <f>IF(OR(E1355="",E1355="!!!"),"",IF(OR(J1355=0,AND(J1355=1,K1355=1),AND(J1355=1,I1355="SBJ"),AND(J1355=1,I1355=0)),"?IN_FOCUS",IF(J1355&lt;=2,"?ACTIVATED",IF(J1355&lt;&gt;"","?FAMILIAR",IF(F1355="NEW",IF(ISNA(VLOOKUP(E1355,#REF!,1,FALSE())),"?TYPE_IDENTIFIABLE","?REFERENTIAL"),"_")))))</f>
        <v> </v>
      </c>
      <c r="H1355" s="24" t="str">
        <f>IF(J1355&lt;&gt;1,"",IF(I1355="SBJ","CB","?"))</f>
        <v> </v>
      </c>
      <c r="I1355" s="25" t="str">
        <f>IF(OR(E1355="",E1355="!!!",F1355="NEW"),"",INDEX(B1354:B$2,-1+SUMPRODUCT(MAX(ROW(E1354:E$2)*(E1355=E1354:E$2)))))</f>
        <v> </v>
      </c>
      <c r="J1355" s="25" t="str">
        <f>IF(OR(E1355="",E1355="!!!",F1355="NEW"),"",COUNTBLANK(OFFSET(A$1,,,SUMPRODUCT(MAX(ROW(E$2:E1355)*(E1355=E$2:E1355)))))-COUNTBLANK(OFFSET(A$1,,,SUMPRODUCT(MAX(ROW(E$1:E1354)*(E2=E$1:E1354))))))</f>
        <v> </v>
      </c>
      <c r="K1355" s="25" t="str">
        <f>IF(OR(E1355="",E1355="!!!",F1355="NEW"),"",INDEX(J$1:J1354,SUMPRODUCT(MAX(ROW(E$1:E1354)*(E1355=E$1:E1354)))))</f>
        <v> </v>
      </c>
      <c r="L1355" s="26"/>
    </row>
    <row r="1356" spans="1:12">
      <c r="A1356" s="20" t="s">
        <v>280</v>
      </c>
      <c r="E1356" s="21">
        <f>IF(D1356="?OLD","!!!","")</f>
        <v/>
      </c>
      <c r="F1356" s="22" t="str">
        <f>IF(OR(E1356="",E1356="!!!"),"",IF(NOT(ISNA(VLOOKUP(E1356,E$1:E1355,1,FALSE()))),"OLD",IF(AND(E1356&lt;&gt;"",E1356&lt;&gt;"!!!"),"NEW","")))</f>
        <v> </v>
      </c>
      <c r="G1356" s="23" t="str">
        <f>IF(OR(E1356="",E1356="!!!"),"",IF(OR(J1356=0,AND(J1356=1,K1356=1),AND(J1356=1,I1356="SBJ"),AND(J1356=1,I1356=0)),"?IN_FOCUS",IF(J1356&lt;=2,"?ACTIVATED",IF(J1356&lt;&gt;"","?FAMILIAR",IF(F1356="NEW",IF(ISNA(VLOOKUP(E1356,#REF!,1,FALSE())),"?TYPE_IDENTIFIABLE","?REFERENTIAL"),"_")))))</f>
        <v> </v>
      </c>
      <c r="H1356" s="24" t="str">
        <f>IF(J1356&lt;&gt;1,"",IF(I1356="SBJ","CB","?"))</f>
        <v> </v>
      </c>
      <c r="I1356" s="25" t="str">
        <f>IF(OR(E1356="",E1356="!!!",F1356="NEW"),"",INDEX(B1355:B$2,-1+SUMPRODUCT(MAX(ROW(E1355:E$2)*(E1356=E1355:E$2)))))</f>
        <v> </v>
      </c>
      <c r="J1356" s="25" t="str">
        <f>IF(OR(E1356="",E1356="!!!",F1356="NEW"),"",COUNTBLANK(OFFSET(A$1,,,SUMPRODUCT(MAX(ROW(E$2:E1356)*(E1356=E$2:E1356)))))-COUNTBLANK(OFFSET(A$1,,,SUMPRODUCT(MAX(ROW(E$1:E1355)*(E2=E$1:E1355))))))</f>
        <v> </v>
      </c>
      <c r="K1356" s="25" t="str">
        <f>IF(OR(E1356="",E1356="!!!",F1356="NEW"),"",INDEX(J$1:J1355,SUMPRODUCT(MAX(ROW(E$1:E1355)*(E1356=E$1:E1355)))))</f>
        <v> </v>
      </c>
      <c r="L1356" s="26"/>
    </row>
    <row r="1357" spans="1:12">
      <c r="A1357" s="20" t="s">
        <v>279</v>
      </c>
      <c r="B1357" s="27" t="s">
        <v>328</v>
      </c>
      <c r="C1357" s="27" t="s">
        <v>270</v>
      </c>
      <c r="E1357" s="21">
        <f>IF(D1357="?OLD","!!!","")</f>
        <v/>
      </c>
      <c r="F1357" s="22" t="str">
        <f>IF(OR(E1357="",E1357="!!!"),"",IF(NOT(ISNA(VLOOKUP(E1357,E$1:E1356,1,FALSE()))),"OLD",IF(AND(E1357&lt;&gt;"",E1357&lt;&gt;"!!!"),"NEW","")))</f>
        <v> </v>
      </c>
      <c r="G1357" s="23" t="str">
        <f>IF(OR(E1357="",E1357="!!!"),"",IF(OR(J1357=0,AND(J1357=1,K1357=1),AND(J1357=1,I1357="SBJ"),AND(J1357=1,I1357=0)),"?IN_FOCUS",IF(J1357&lt;=2,"?ACTIVATED",IF(J1357&lt;&gt;"","?FAMILIAR",IF(F1357="NEW",IF(ISNA(VLOOKUP(E1357,#REF!,1,FALSE())),"?TYPE_IDENTIFIABLE","?REFERENTIAL"),"_")))))</f>
        <v> </v>
      </c>
      <c r="H1357" s="24" t="str">
        <f>IF(J1357&lt;&gt;1,"",IF(I1357="SBJ","CB","?"))</f>
        <v> </v>
      </c>
      <c r="I1357" s="25" t="str">
        <f>IF(OR(E1357="",E1357="!!!",F1357="NEW"),"",INDEX(B1356:B$2,-1+SUMPRODUCT(MAX(ROW(E1356:E$2)*(E1357=E1356:E$2)))))</f>
        <v> </v>
      </c>
      <c r="J1357" s="25" t="str">
        <f>IF(OR(E1357="",E1357="!!!",F1357="NEW"),"",COUNTBLANK(OFFSET(A$1,,,SUMPRODUCT(MAX(ROW(E$2:E1357)*(E1357=E$2:E1357)))))-COUNTBLANK(OFFSET(A$1,,,SUMPRODUCT(MAX(ROW(E$1:E1356)*(E2=E$1:E1356))))))</f>
        <v> </v>
      </c>
      <c r="K1357" s="25" t="str">
        <f>IF(OR(E1357="",E1357="!!!",F1357="NEW"),"",INDEX(J$1:J1356,SUMPRODUCT(MAX(ROW(E$1:E1356)*(E1357=E$1:E1356)))))</f>
        <v> </v>
      </c>
      <c r="L1357" s="26"/>
    </row>
    <row r="1358" spans="1:12">
      <c r="A1358" s="20" t="s">
        <v>271</v>
      </c>
      <c r="E1358" s="21">
        <f>IF(D1358="?OLD","!!!","")</f>
        <v/>
      </c>
      <c r="F1358" s="22" t="str">
        <f>IF(OR(E1358="",E1358="!!!"),"",IF(NOT(ISNA(VLOOKUP(E1358,E$1:E1357,1,FALSE()))),"OLD",IF(AND(E1358&lt;&gt;"",E1358&lt;&gt;"!!!"),"NEW","")))</f>
        <v> </v>
      </c>
      <c r="G1358" s="23" t="str">
        <f>IF(OR(E1358="",E1358="!!!"),"",IF(OR(J1358=0,AND(J1358=1,K1358=1),AND(J1358=1,I1358="SBJ"),AND(J1358=1,I1358=0)),"?IN_FOCUS",IF(J1358&lt;=2,"?ACTIVATED",IF(J1358&lt;&gt;"","?FAMILIAR",IF(F1358="NEW",IF(ISNA(VLOOKUP(E1358,#REF!,1,FALSE())),"?TYPE_IDENTIFIABLE","?REFERENTIAL"),"_")))))</f>
        <v> </v>
      </c>
      <c r="H1358" s="24" t="str">
        <f>IF(J1358&lt;&gt;1,"",IF(I1358="SBJ","CB","?"))</f>
        <v> </v>
      </c>
      <c r="I1358" s="25" t="str">
        <f>IF(OR(E1358="",E1358="!!!",F1358="NEW"),"",INDEX(B1357:B$2,-1+SUMPRODUCT(MAX(ROW(E1357:E$2)*(E1358=E1357:E$2)))))</f>
        <v> </v>
      </c>
      <c r="J1358" s="25" t="str">
        <f>IF(OR(E1358="",E1358="!!!",F1358="NEW"),"",COUNTBLANK(OFFSET(A$1,,,SUMPRODUCT(MAX(ROW(E$2:E1358)*(E1358=E$2:E1358)))))-COUNTBLANK(OFFSET(A$1,,,SUMPRODUCT(MAX(ROW(E$1:E1357)*(E2=E$1:E1357))))))</f>
        <v> </v>
      </c>
      <c r="K1358" s="25" t="str">
        <f>IF(OR(E1358="",E1358="!!!",F1358="NEW"),"",INDEX(J$1:J1357,SUMPRODUCT(MAX(ROW(E$1:E1357)*(E1358=E$1:E1357)))))</f>
        <v> </v>
      </c>
      <c r="L1358" s="26"/>
    </row>
    <row r="1359" spans="1:12">
      <c r="A1359" s="20" t="s">
        <v>282</v>
      </c>
      <c r="B1359" s="27" t="s">
        <v>276</v>
      </c>
      <c r="C1359" s="27" t="s">
        <v>257</v>
      </c>
      <c r="D1359" s="27" t="s">
        <v>258</v>
      </c>
      <c r="E1359" s="21">
        <f>IF(D1359="?OLD","!!!","")</f>
        <v/>
      </c>
      <c r="F1359" s="22" t="str">
        <f>IF(OR(E1359="",E1359="!!!"),"",IF(NOT(ISNA(VLOOKUP(E1359,E$1:E1358,1,FALSE()))),"OLD",IF(AND(E1359&lt;&gt;"",E1359&lt;&gt;"!!!"),"NEW","")))</f>
        <v> </v>
      </c>
      <c r="G1359" s="23" t="str">
        <f>IF(OR(E1359="",E1359="!!!"),"",IF(OR(J1359=0,AND(J1359=1,K1359=1),AND(J1359=1,I1359="SBJ"),AND(J1359=1,I1359=0)),"?IN_FOCUS",IF(J1359&lt;=2,"?ACTIVATED",IF(J1359&lt;&gt;"","?FAMILIAR",IF(F1359="NEW",IF(ISNA(VLOOKUP(E1359,#REF!,1,FALSE())),"?TYPE_IDENTIFIABLE","?REFERENTIAL"),"_")))))</f>
        <v> </v>
      </c>
      <c r="H1359" s="24" t="str">
        <f>IF(J1359&lt;&gt;1,"",IF(I1359="SBJ","CB","?"))</f>
        <v> </v>
      </c>
      <c r="I1359" s="25" t="str">
        <f>IF(OR(E1359="",E1359="!!!",F1359="NEW"),"",INDEX(B1358:B$2,-1+SUMPRODUCT(MAX(ROW(E1358:E$2)*(E1359=E1358:E$2)))))</f>
        <v> </v>
      </c>
      <c r="J1359" s="25" t="str">
        <f>IF(OR(E1359="",E1359="!!!",F1359="NEW"),"",COUNTBLANK(OFFSET(A$1,,,SUMPRODUCT(MAX(ROW(E$2:E1359)*(E1359=E$2:E1359)))))-COUNTBLANK(OFFSET(A$1,,,SUMPRODUCT(MAX(ROW(E$1:E1358)*(E2=E$1:E1358))))))</f>
        <v> </v>
      </c>
      <c r="K1359" s="25" t="str">
        <f>IF(OR(E1359="",E1359="!!!",F1359="NEW"),"",INDEX(J$1:J1358,SUMPRODUCT(MAX(ROW(E$1:E1358)*(E1359=E$1:E1358)))))</f>
        <v> </v>
      </c>
      <c r="L1359" s="26"/>
    </row>
    <row r="1360" spans="1:12">
      <c r="A1360" s="20" t="s">
        <v>486</v>
      </c>
      <c r="E1360" s="21">
        <f>IF(D1360="?OLD","!!!","")</f>
        <v/>
      </c>
      <c r="F1360" s="22" t="str">
        <f>IF(OR(E1360="",E1360="!!!"),"",IF(NOT(ISNA(VLOOKUP(E1360,E$1:E1359,1,FALSE()))),"OLD",IF(AND(E1360&lt;&gt;"",E1360&lt;&gt;"!!!"),"NEW","")))</f>
        <v> </v>
      </c>
      <c r="G1360" s="23" t="str">
        <f>IF(OR(E1360="",E1360="!!!"),"",IF(OR(J1360=0,AND(J1360=1,K1360=1),AND(J1360=1,I1360="SBJ"),AND(J1360=1,I1360=0)),"?IN_FOCUS",IF(J1360&lt;=2,"?ACTIVATED",IF(J1360&lt;&gt;"","?FAMILIAR",IF(F1360="NEW",IF(ISNA(VLOOKUP(E1360,#REF!,1,FALSE())),"?TYPE_IDENTIFIABLE","?REFERENTIAL"),"_")))))</f>
        <v> </v>
      </c>
      <c r="H1360" s="24" t="str">
        <f>IF(J1360&lt;&gt;1,"",IF(I1360="SBJ","CB","?"))</f>
        <v> </v>
      </c>
      <c r="I1360" s="25" t="str">
        <f>IF(OR(E1360="",E1360="!!!",F1360="NEW"),"",INDEX(B1359:B$2,-1+SUMPRODUCT(MAX(ROW(E1359:E$2)*(E1360=E1359:E$2)))))</f>
        <v> </v>
      </c>
      <c r="J1360" s="25" t="str">
        <f>IF(OR(E1360="",E1360="!!!",F1360="NEW"),"",COUNTBLANK(OFFSET(A$1,,,SUMPRODUCT(MAX(ROW(E$2:E1360)*(E1360=E$2:E1360)))))-COUNTBLANK(OFFSET(A$1,,,SUMPRODUCT(MAX(ROW(E$1:E1359)*(E2=E$1:E1359))))))</f>
        <v> </v>
      </c>
      <c r="K1360" s="25" t="str">
        <f>IF(OR(E1360="",E1360="!!!",F1360="NEW"),"",INDEX(J$1:J1359,SUMPRODUCT(MAX(ROW(E$1:E1359)*(E1360=E$1:E1359)))))</f>
        <v> </v>
      </c>
      <c r="L1360" s="26"/>
    </row>
    <row r="1361" spans="1:12">
      <c r="A1361" s="20" t="s">
        <v>404</v>
      </c>
      <c r="E1361" s="21">
        <f>IF(D1361="?OLD","!!!","")</f>
        <v/>
      </c>
      <c r="F1361" s="22" t="str">
        <f>IF(OR(E1361="",E1361="!!!"),"",IF(NOT(ISNA(VLOOKUP(E1361,E$1:E1360,1,FALSE()))),"OLD",IF(AND(E1361&lt;&gt;"",E1361&lt;&gt;"!!!"),"NEW","")))</f>
        <v> </v>
      </c>
      <c r="G1361" s="23" t="str">
        <f>IF(OR(E1361="",E1361="!!!"),"",IF(OR(J1361=0,AND(J1361=1,K1361=1),AND(J1361=1,I1361="SBJ"),AND(J1361=1,I1361=0)),"?IN_FOCUS",IF(J1361&lt;=2,"?ACTIVATED",IF(J1361&lt;&gt;"","?FAMILIAR",IF(F1361="NEW",IF(ISNA(VLOOKUP(E1361,#REF!,1,FALSE())),"?TYPE_IDENTIFIABLE","?REFERENTIAL"),"_")))))</f>
        <v> </v>
      </c>
      <c r="H1361" s="24" t="str">
        <f>IF(J1361&lt;&gt;1,"",IF(I1361="SBJ","CB","?"))</f>
        <v> </v>
      </c>
      <c r="I1361" s="25" t="str">
        <f>IF(OR(E1361="",E1361="!!!",F1361="NEW"),"",INDEX(B1360:B$2,-1+SUMPRODUCT(MAX(ROW(E1360:E$2)*(E1361=E1360:E$2)))))</f>
        <v> </v>
      </c>
      <c r="J1361" s="25" t="str">
        <f>IF(OR(E1361="",E1361="!!!",F1361="NEW"),"",COUNTBLANK(OFFSET(A$1,,,SUMPRODUCT(MAX(ROW(E$2:E1361)*(E1361=E$2:E1361)))))-COUNTBLANK(OFFSET(A$1,,,SUMPRODUCT(MAX(ROW(E$1:E1360)*(E2=E$1:E1360))))))</f>
        <v> </v>
      </c>
      <c r="K1361" s="25" t="str">
        <f>IF(OR(E1361="",E1361="!!!",F1361="NEW"),"",INDEX(J$1:J1360,SUMPRODUCT(MAX(ROW(E$1:E1360)*(E1361=E$1:E1360)))))</f>
        <v> </v>
      </c>
      <c r="L1361" s="26"/>
    </row>
    <row r="1362" spans="1:12">
      <c r="A1362" s="20" t="s">
        <v>226</v>
      </c>
      <c r="E1362" s="21">
        <f>IF(D1362="?OLD","!!!","")</f>
        <v/>
      </c>
      <c r="F1362" s="22" t="str">
        <f>IF(OR(E1362="",E1362="!!!"),"",IF(NOT(ISNA(VLOOKUP(E1362,E$1:E1361,1,FALSE()))),"OLD",IF(AND(E1362&lt;&gt;"",E1362&lt;&gt;"!!!"),"NEW","")))</f>
        <v> </v>
      </c>
      <c r="G1362" s="23" t="str">
        <f>IF(OR(E1362="",E1362="!!!"),"",IF(OR(J1362=0,AND(J1362=1,K1362=1),AND(J1362=1,I1362="SBJ"),AND(J1362=1,I1362=0)),"?IN_FOCUS",IF(J1362&lt;=2,"?ACTIVATED",IF(J1362&lt;&gt;"","?FAMILIAR",IF(F1362="NEW",IF(ISNA(VLOOKUP(E1362,#REF!,1,FALSE())),"?TYPE_IDENTIFIABLE","?REFERENTIAL"),"_")))))</f>
        <v> </v>
      </c>
      <c r="H1362" s="24" t="str">
        <f>IF(J1362&lt;&gt;1,"",IF(I1362="SBJ","CB","?"))</f>
        <v> </v>
      </c>
      <c r="I1362" s="25" t="str">
        <f>IF(OR(E1362="",E1362="!!!",F1362="NEW"),"",INDEX(B1361:B$2,-1+SUMPRODUCT(MAX(ROW(E1361:E$2)*(E1362=E1361:E$2)))))</f>
        <v> </v>
      </c>
      <c r="J1362" s="25" t="str">
        <f>IF(OR(E1362="",E1362="!!!",F1362="NEW"),"",COUNTBLANK(OFFSET(A$1,,,SUMPRODUCT(MAX(ROW(E$2:E1362)*(E1362=E$2:E1362)))))-COUNTBLANK(OFFSET(A$1,,,SUMPRODUCT(MAX(ROW(E$1:E1361)*(E2=E$1:E1361))))))</f>
        <v> </v>
      </c>
      <c r="K1362" s="25" t="str">
        <f>IF(OR(E1362="",E1362="!!!",F1362="NEW"),"",INDEX(J$1:J1361,SUMPRODUCT(MAX(ROW(E$1:E1361)*(E1362=E$1:E1361)))))</f>
        <v> </v>
      </c>
      <c r="L1362" s="26"/>
    </row>
    <row r="1363" spans="1:12">
      <c r="A1363" s="20" t="s">
        <v>297</v>
      </c>
      <c r="B1363" s="27" t="s">
        <v>401</v>
      </c>
      <c r="C1363" s="27" t="s">
        <v>270</v>
      </c>
      <c r="E1363" s="21">
        <f>IF(D1363="?OLD","!!!","")</f>
        <v/>
      </c>
      <c r="F1363" s="22" t="str">
        <f>IF(OR(E1363="",E1363="!!!"),"",IF(NOT(ISNA(VLOOKUP(E1363,E$1:E1362,1,FALSE()))),"OLD",IF(AND(E1363&lt;&gt;"",E1363&lt;&gt;"!!!"),"NEW","")))</f>
        <v> </v>
      </c>
      <c r="G1363" s="23" t="str">
        <f>IF(OR(E1363="",E1363="!!!"),"",IF(OR(J1363=0,AND(J1363=1,K1363=1),AND(J1363=1,I1363="SBJ"),AND(J1363=1,I1363=0)),"?IN_FOCUS",IF(J1363&lt;=2,"?ACTIVATED",IF(J1363&lt;&gt;"","?FAMILIAR",IF(F1363="NEW",IF(ISNA(VLOOKUP(E1363,#REF!,1,FALSE())),"?TYPE_IDENTIFIABLE","?REFERENTIAL"),"_")))))</f>
        <v> </v>
      </c>
      <c r="H1363" s="24" t="str">
        <f>IF(J1363&lt;&gt;1,"",IF(I1363="SBJ","CB","?"))</f>
        <v> </v>
      </c>
      <c r="I1363" s="25" t="str">
        <f>IF(OR(E1363="",E1363="!!!",F1363="NEW"),"",INDEX(B1362:B$2,-1+SUMPRODUCT(MAX(ROW(E1362:E$2)*(E1363=E1362:E$2)))))</f>
        <v> </v>
      </c>
      <c r="J1363" s="25" t="str">
        <f>IF(OR(E1363="",E1363="!!!",F1363="NEW"),"",COUNTBLANK(OFFSET(A$1,,,SUMPRODUCT(MAX(ROW(E$2:E1363)*(E1363=E$2:E1363)))))-COUNTBLANK(OFFSET(A$1,,,SUMPRODUCT(MAX(ROW(E$1:E1362)*(E2=E$1:E1362))))))</f>
        <v> </v>
      </c>
      <c r="K1363" s="25" t="str">
        <f>IF(OR(E1363="",E1363="!!!",F1363="NEW"),"",INDEX(J$1:J1362,SUMPRODUCT(MAX(ROW(E$1:E1362)*(E1363=E$1:E1362)))))</f>
        <v> </v>
      </c>
      <c r="L1363" s="26"/>
    </row>
    <row r="1364" spans="1:12">
      <c r="A1364" s="20" t="s">
        <v>320</v>
      </c>
      <c r="E1364" s="21">
        <f>IF(D1364="?OLD","!!!","")</f>
        <v/>
      </c>
      <c r="F1364" s="22" t="str">
        <f>IF(OR(E1364="",E1364="!!!"),"",IF(NOT(ISNA(VLOOKUP(E1364,E$1:E1363,1,FALSE()))),"OLD",IF(AND(E1364&lt;&gt;"",E1364&lt;&gt;"!!!"),"NEW","")))</f>
        <v> </v>
      </c>
      <c r="G1364" s="23" t="str">
        <f>IF(OR(E1364="",E1364="!!!"),"",IF(OR(J1364=0,AND(J1364=1,K1364=1),AND(J1364=1,I1364="SBJ"),AND(J1364=1,I1364=0)),"?IN_FOCUS",IF(J1364&lt;=2,"?ACTIVATED",IF(J1364&lt;&gt;"","?FAMILIAR",IF(F1364="NEW",IF(ISNA(VLOOKUP(E1364,#REF!,1,FALSE())),"?TYPE_IDENTIFIABLE","?REFERENTIAL"),"_")))))</f>
        <v> </v>
      </c>
      <c r="H1364" s="24" t="str">
        <f>IF(J1364&lt;&gt;1,"",IF(I1364="SBJ","CB","?"))</f>
        <v> </v>
      </c>
      <c r="I1364" s="25" t="str">
        <f>IF(OR(E1364="",E1364="!!!",F1364="NEW"),"",INDEX(B1363:B$2,-1+SUMPRODUCT(MAX(ROW(E1363:E$2)*(E1364=E1363:E$2)))))</f>
        <v> </v>
      </c>
      <c r="J1364" s="25" t="str">
        <f>IF(OR(E1364="",E1364="!!!",F1364="NEW"),"",COUNTBLANK(OFFSET(A$1,,,SUMPRODUCT(MAX(ROW(E$2:E1364)*(E1364=E$2:E1364)))))-COUNTBLANK(OFFSET(A$1,,,SUMPRODUCT(MAX(ROW(E$1:E1363)*(E2=E$1:E1363))))))</f>
        <v> </v>
      </c>
      <c r="K1364" s="25" t="str">
        <f>IF(OR(E1364="",E1364="!!!",F1364="NEW"),"",INDEX(J$1:J1363,SUMPRODUCT(MAX(ROW(E$1:E1363)*(E1364=E$1:E1363)))))</f>
        <v> </v>
      </c>
      <c r="L1364" s="26"/>
    </row>
    <row r="1365" spans="1:12">
      <c r="A1365" s="20"/>
    </row>
    <row r="1366" spans="1:12">
      <c r="A1366" s="20" t="s">
        <v>694</v>
      </c>
    </row>
    <row r="1367" spans="1:12">
      <c r="A1367" s="20" t="s">
        <v>360</v>
      </c>
      <c r="E1367" s="21">
        <f>IF(D1367="?OLD","!!!","")</f>
        <v/>
      </c>
      <c r="F1367" s="22" t="str">
        <f>IF(OR(E1367="",E1367="!!!"),"",IF(NOT(ISNA(VLOOKUP(E1367,E$1:E1366,1,FALSE()))),"OLD",IF(AND(E1367&lt;&gt;"",E1367&lt;&gt;"!!!"),"NEW","")))</f>
        <v> </v>
      </c>
      <c r="G1367" s="23" t="str">
        <f>IF(OR(E1367="",E1367="!!!"),"",IF(OR(J1367=0,AND(J1367=1,K1367=1),AND(J1367=1,I1367="SBJ"),AND(J1367=1,I1367=0)),"?IN_FOCUS",IF(J1367&lt;=2,"?ACTIVATED",IF(J1367&lt;&gt;"","?FAMILIAR",IF(F1367="NEW",IF(ISNA(VLOOKUP(E1367,#REF!,1,FALSE())),"?TYPE_IDENTIFIABLE","?REFERENTIAL"),"_")))))</f>
        <v> </v>
      </c>
      <c r="H1367" s="24" t="str">
        <f>IF(J1367&lt;&gt;1,"",IF(I1367="SBJ","CB","?"))</f>
        <v> </v>
      </c>
      <c r="I1367" s="25" t="str">
        <f>IF(OR(E1367="",E1367="!!!",F1367="NEW"),"",INDEX(B1366:B$2,-1+SUMPRODUCT(MAX(ROW(E1366:E$2)*(E1367=E1366:E$2)))))</f>
        <v> </v>
      </c>
      <c r="J1367" s="25" t="str">
        <f>IF(OR(E1367="",E1367="!!!",F1367="NEW"),"",COUNTBLANK(OFFSET(A$1,,,SUMPRODUCT(MAX(ROW(E$2:E1367)*(E1367=E$2:E1367)))))-COUNTBLANK(OFFSET(A$1,,,SUMPRODUCT(MAX(ROW(E$1:E1366)*(E2=E$1:E1366))))))</f>
        <v> </v>
      </c>
      <c r="K1367" s="25" t="str">
        <f>IF(OR(E1367="",E1367="!!!",F1367="NEW"),"",INDEX(J$1:J1366,SUMPRODUCT(MAX(ROW(E$1:E1366)*(E1367=E$1:E1366)))))</f>
        <v> </v>
      </c>
      <c r="L1367" s="26"/>
    </row>
    <row r="1368" spans="1:12">
      <c r="A1368" s="20" t="s">
        <v>271</v>
      </c>
      <c r="E1368" s="21">
        <f>IF(D1368="?OLD","!!!","")</f>
        <v/>
      </c>
      <c r="F1368" s="22" t="str">
        <f>IF(OR(E1368="",E1368="!!!"),"",IF(NOT(ISNA(VLOOKUP(E1368,E$1:E1367,1,FALSE()))),"OLD",IF(AND(E1368&lt;&gt;"",E1368&lt;&gt;"!!!"),"NEW","")))</f>
        <v> </v>
      </c>
      <c r="G1368" s="23" t="str">
        <f>IF(OR(E1368="",E1368="!!!"),"",IF(OR(J1368=0,AND(J1368=1,K1368=1),AND(J1368=1,I1368="SBJ"),AND(J1368=1,I1368=0)),"?IN_FOCUS",IF(J1368&lt;=2,"?ACTIVATED",IF(J1368&lt;&gt;"","?FAMILIAR",IF(F1368="NEW",IF(ISNA(VLOOKUP(E1368,#REF!,1,FALSE())),"?TYPE_IDENTIFIABLE","?REFERENTIAL"),"_")))))</f>
        <v> </v>
      </c>
      <c r="H1368" s="24" t="str">
        <f>IF(J1368&lt;&gt;1,"",IF(I1368="SBJ","CB","?"))</f>
        <v> </v>
      </c>
      <c r="I1368" s="25" t="str">
        <f>IF(OR(E1368="",E1368="!!!",F1368="NEW"),"",INDEX(B1367:B$2,-1+SUMPRODUCT(MAX(ROW(E1367:E$2)*(E1368=E1367:E$2)))))</f>
        <v> </v>
      </c>
      <c r="J1368" s="25" t="str">
        <f>IF(OR(E1368="",E1368="!!!",F1368="NEW"),"",COUNTBLANK(OFFSET(A$1,,,SUMPRODUCT(MAX(ROW(E$2:E1368)*(E1368=E$2:E1368)))))-COUNTBLANK(OFFSET(A$1,,,SUMPRODUCT(MAX(ROW(E$1:E1367)*(E2=E$1:E1367))))))</f>
        <v> </v>
      </c>
      <c r="K1368" s="25" t="str">
        <f>IF(OR(E1368="",E1368="!!!",F1368="NEW"),"",INDEX(J$1:J1367,SUMPRODUCT(MAX(ROW(E$1:E1367)*(E1368=E$1:E1367)))))</f>
        <v> </v>
      </c>
      <c r="L1368" s="26"/>
    </row>
    <row r="1369" spans="1:12">
      <c r="A1369" s="20" t="s">
        <v>294</v>
      </c>
      <c r="E1369" s="21">
        <f>IF(D1369="?OLD","!!!","")</f>
        <v/>
      </c>
      <c r="F1369" s="22" t="str">
        <f>IF(OR(E1369="",E1369="!!!"),"",IF(NOT(ISNA(VLOOKUP(E1369,E$1:E1368,1,FALSE()))),"OLD",IF(AND(E1369&lt;&gt;"",E1369&lt;&gt;"!!!"),"NEW","")))</f>
        <v> </v>
      </c>
      <c r="G1369" s="23" t="str">
        <f>IF(OR(E1369="",E1369="!!!"),"",IF(OR(J1369=0,AND(J1369=1,K1369=1),AND(J1369=1,I1369="SBJ"),AND(J1369=1,I1369=0)),"?IN_FOCUS",IF(J1369&lt;=2,"?ACTIVATED",IF(J1369&lt;&gt;"","?FAMILIAR",IF(F1369="NEW",IF(ISNA(VLOOKUP(E1369,#REF!,1,FALSE())),"?TYPE_IDENTIFIABLE","?REFERENTIAL"),"_")))))</f>
        <v> </v>
      </c>
      <c r="H1369" s="24" t="str">
        <f>IF(J1369&lt;&gt;1,"",IF(I1369="SBJ","CB","?"))</f>
        <v> </v>
      </c>
      <c r="I1369" s="25" t="str">
        <f>IF(OR(E1369="",E1369="!!!",F1369="NEW"),"",INDEX(B1368:B$2,-1+SUMPRODUCT(MAX(ROW(E1368:E$2)*(E1369=E1368:E$2)))))</f>
        <v> </v>
      </c>
      <c r="J1369" s="25" t="str">
        <f>IF(OR(E1369="",E1369="!!!",F1369="NEW"),"",COUNTBLANK(OFFSET(A$1,,,SUMPRODUCT(MAX(ROW(E$2:E1369)*(E1369=E$2:E1369)))))-COUNTBLANK(OFFSET(A$1,,,SUMPRODUCT(MAX(ROW(E$1:E1368)*(E2=E$1:E1368))))))</f>
        <v> </v>
      </c>
      <c r="K1369" s="25" t="str">
        <f>IF(OR(E1369="",E1369="!!!",F1369="NEW"),"",INDEX(J$1:J1368,SUMPRODUCT(MAX(ROW(E$1:E1368)*(E1369=E$1:E1368)))))</f>
        <v> </v>
      </c>
      <c r="L1369" s="26"/>
    </row>
    <row r="1370" spans="1:12">
      <c r="A1370" s="20" t="s">
        <v>278</v>
      </c>
      <c r="E1370" s="21">
        <f>IF(D1370="?OLD","!!!","")</f>
        <v/>
      </c>
      <c r="F1370" s="22" t="str">
        <f>IF(OR(E1370="",E1370="!!!"),"",IF(NOT(ISNA(VLOOKUP(E1370,E$1:E1369,1,FALSE()))),"OLD",IF(AND(E1370&lt;&gt;"",E1370&lt;&gt;"!!!"),"NEW","")))</f>
        <v> </v>
      </c>
      <c r="G1370" s="23" t="str">
        <f>IF(OR(E1370="",E1370="!!!"),"",IF(OR(J1370=0,AND(J1370=1,K1370=1),AND(J1370=1,I1370="SBJ"),AND(J1370=1,I1370=0)),"?IN_FOCUS",IF(J1370&lt;=2,"?ACTIVATED",IF(J1370&lt;&gt;"","?FAMILIAR",IF(F1370="NEW",IF(ISNA(VLOOKUP(E1370,#REF!,1,FALSE())),"?TYPE_IDENTIFIABLE","?REFERENTIAL"),"_")))))</f>
        <v> </v>
      </c>
      <c r="H1370" s="24" t="str">
        <f>IF(J1370&lt;&gt;1,"",IF(I1370="SBJ","CB","?"))</f>
        <v> </v>
      </c>
      <c r="I1370" s="25" t="str">
        <f>IF(OR(E1370="",E1370="!!!",F1370="NEW"),"",INDEX(B1369:B$2,-1+SUMPRODUCT(MAX(ROW(E1369:E$2)*(E1370=E1369:E$2)))))</f>
        <v> </v>
      </c>
      <c r="J1370" s="25" t="str">
        <f>IF(OR(E1370="",E1370="!!!",F1370="NEW"),"",COUNTBLANK(OFFSET(A$1,,,SUMPRODUCT(MAX(ROW(E$2:E1370)*(E1370=E$2:E1370)))))-COUNTBLANK(OFFSET(A$1,,,SUMPRODUCT(MAX(ROW(E$1:E1369)*(E2=E$1:E1369))))))</f>
        <v> </v>
      </c>
      <c r="K1370" s="25" t="str">
        <f>IF(OR(E1370="",E1370="!!!",F1370="NEW"),"",INDEX(J$1:J1369,SUMPRODUCT(MAX(ROW(E$1:E1369)*(E1370=E$1:E1369)))))</f>
        <v> </v>
      </c>
      <c r="L1370" s="26"/>
    </row>
    <row r="1371" spans="1:12">
      <c r="A1371" s="20" t="s">
        <v>695</v>
      </c>
      <c r="E1371" s="21">
        <f>IF(D1371="?OLD","!!!","")</f>
        <v/>
      </c>
      <c r="F1371" s="22" t="str">
        <f>IF(OR(E1371="",E1371="!!!"),"",IF(NOT(ISNA(VLOOKUP(E1371,E$1:E1370,1,FALSE()))),"OLD",IF(AND(E1371&lt;&gt;"",E1371&lt;&gt;"!!!"),"NEW","")))</f>
        <v> </v>
      </c>
      <c r="G1371" s="23" t="str">
        <f>IF(OR(E1371="",E1371="!!!"),"",IF(OR(J1371=0,AND(J1371=1,K1371=1),AND(J1371=1,I1371="SBJ"),AND(J1371=1,I1371=0)),"?IN_FOCUS",IF(J1371&lt;=2,"?ACTIVATED",IF(J1371&lt;&gt;"","?FAMILIAR",IF(F1371="NEW",IF(ISNA(VLOOKUP(E1371,#REF!,1,FALSE())),"?TYPE_IDENTIFIABLE","?REFERENTIAL"),"_")))))</f>
        <v> </v>
      </c>
      <c r="H1371" s="24" t="str">
        <f>IF(J1371&lt;&gt;1,"",IF(I1371="SBJ","CB","?"))</f>
        <v> </v>
      </c>
      <c r="I1371" s="25" t="str">
        <f>IF(OR(E1371="",E1371="!!!",F1371="NEW"),"",INDEX(B1370:B$2,-1+SUMPRODUCT(MAX(ROW(E1370:E$2)*(E1371=E1370:E$2)))))</f>
        <v> </v>
      </c>
      <c r="J1371" s="25" t="str">
        <f>IF(OR(E1371="",E1371="!!!",F1371="NEW"),"",COUNTBLANK(OFFSET(A$1,,,SUMPRODUCT(MAX(ROW(E$2:E1371)*(E1371=E$2:E1371)))))-COUNTBLANK(OFFSET(A$1,,,SUMPRODUCT(MAX(ROW(E$1:E1370)*(E2=E$1:E1370))))))</f>
        <v> </v>
      </c>
      <c r="K1371" s="25" t="str">
        <f>IF(OR(E1371="",E1371="!!!",F1371="NEW"),"",INDEX(J$1:J1370,SUMPRODUCT(MAX(ROW(E$1:E1370)*(E1371=E$1:E1370)))))</f>
        <v> </v>
      </c>
      <c r="L1371" s="26"/>
    </row>
    <row r="1372" spans="1:12">
      <c r="A1372" s="20" t="s">
        <v>481</v>
      </c>
      <c r="E1372" s="21">
        <f>IF(D1372="?OLD","!!!","")</f>
        <v/>
      </c>
      <c r="F1372" s="22" t="str">
        <f>IF(OR(E1372="",E1372="!!!"),"",IF(NOT(ISNA(VLOOKUP(E1372,E$1:E1371,1,FALSE()))),"OLD",IF(AND(E1372&lt;&gt;"",E1372&lt;&gt;"!!!"),"NEW","")))</f>
        <v> </v>
      </c>
      <c r="G1372" s="23" t="str">
        <f>IF(OR(E1372="",E1372="!!!"),"",IF(OR(J1372=0,AND(J1372=1,K1372=1),AND(J1372=1,I1372="SBJ"),AND(J1372=1,I1372=0)),"?IN_FOCUS",IF(J1372&lt;=2,"?ACTIVATED",IF(J1372&lt;&gt;"","?FAMILIAR",IF(F1372="NEW",IF(ISNA(VLOOKUP(E1372,#REF!,1,FALSE())),"?TYPE_IDENTIFIABLE","?REFERENTIAL"),"_")))))</f>
        <v> </v>
      </c>
      <c r="H1372" s="24" t="str">
        <f>IF(J1372&lt;&gt;1,"",IF(I1372="SBJ","CB","?"))</f>
        <v> </v>
      </c>
      <c r="I1372" s="25" t="str">
        <f>IF(OR(E1372="",E1372="!!!",F1372="NEW"),"",INDEX(B1371:B$2,-1+SUMPRODUCT(MAX(ROW(E1371:E$2)*(E1372=E1371:E$2)))))</f>
        <v> </v>
      </c>
      <c r="J1372" s="25" t="str">
        <f>IF(OR(E1372="",E1372="!!!",F1372="NEW"),"",COUNTBLANK(OFFSET(A$1,,,SUMPRODUCT(MAX(ROW(E$2:E1372)*(E1372=E$2:E1372)))))-COUNTBLANK(OFFSET(A$1,,,SUMPRODUCT(MAX(ROW(E$1:E1371)*(E2=E$1:E1371))))))</f>
        <v> </v>
      </c>
      <c r="K1372" s="25" t="str">
        <f>IF(OR(E1372="",E1372="!!!",F1372="NEW"),"",INDEX(J$1:J1371,SUMPRODUCT(MAX(ROW(E$1:E1371)*(E1372=E$1:E1371)))))</f>
        <v> </v>
      </c>
      <c r="L1372" s="26"/>
    </row>
    <row r="1373" spans="1:12">
      <c r="A1373" s="20" t="s">
        <v>263</v>
      </c>
      <c r="E1373" s="21">
        <f>IF(D1373="?OLD","!!!","")</f>
        <v/>
      </c>
      <c r="F1373" s="22" t="str">
        <f>IF(OR(E1373="",E1373="!!!"),"",IF(NOT(ISNA(VLOOKUP(E1373,E$1:E1372,1,FALSE()))),"OLD",IF(AND(E1373&lt;&gt;"",E1373&lt;&gt;"!!!"),"NEW","")))</f>
        <v> </v>
      </c>
      <c r="G1373" s="23" t="str">
        <f>IF(OR(E1373="",E1373="!!!"),"",IF(OR(J1373=0,AND(J1373=1,K1373=1),AND(J1373=1,I1373="SBJ"),AND(J1373=1,I1373=0)),"?IN_FOCUS",IF(J1373&lt;=2,"?ACTIVATED",IF(J1373&lt;&gt;"","?FAMILIAR",IF(F1373="NEW",IF(ISNA(VLOOKUP(E1373,#REF!,1,FALSE())),"?TYPE_IDENTIFIABLE","?REFERENTIAL"),"_")))))</f>
        <v> </v>
      </c>
      <c r="H1373" s="24" t="str">
        <f>IF(J1373&lt;&gt;1,"",IF(I1373="SBJ","CB","?"))</f>
        <v> </v>
      </c>
      <c r="I1373" s="25" t="str">
        <f>IF(OR(E1373="",E1373="!!!",F1373="NEW"),"",INDEX(B1372:B$2,-1+SUMPRODUCT(MAX(ROW(E1372:E$2)*(E1373=E1372:E$2)))))</f>
        <v> </v>
      </c>
      <c r="J1373" s="25" t="str">
        <f>IF(OR(E1373="",E1373="!!!",F1373="NEW"),"",COUNTBLANK(OFFSET(A$1,,,SUMPRODUCT(MAX(ROW(E$2:E1373)*(E1373=E$2:E1373)))))-COUNTBLANK(OFFSET(A$1,,,SUMPRODUCT(MAX(ROW(E$1:E1372)*(E2=E$1:E1372))))))</f>
        <v> </v>
      </c>
      <c r="K1373" s="25" t="str">
        <f>IF(OR(E1373="",E1373="!!!",F1373="NEW"),"",INDEX(J$1:J1372,SUMPRODUCT(MAX(ROW(E$1:E1372)*(E1373=E$1:E1372)))))</f>
        <v> </v>
      </c>
      <c r="L1373" s="26"/>
    </row>
    <row r="1374" spans="1:12">
      <c r="A1374" s="20" t="s">
        <v>297</v>
      </c>
      <c r="B1374" s="27" t="s">
        <v>267</v>
      </c>
      <c r="C1374" s="27" t="s">
        <v>270</v>
      </c>
      <c r="E1374" s="21">
        <f>IF(D1374="?OLD","!!!","")</f>
        <v/>
      </c>
      <c r="F1374" s="22" t="str">
        <f>IF(OR(E1374="",E1374="!!!"),"",IF(NOT(ISNA(VLOOKUP(E1374,E$1:E1373,1,FALSE()))),"OLD",IF(AND(E1374&lt;&gt;"",E1374&lt;&gt;"!!!"),"NEW","")))</f>
        <v> </v>
      </c>
      <c r="G1374" s="23" t="str">
        <f>IF(OR(E1374="",E1374="!!!"),"",IF(OR(J1374=0,AND(J1374=1,K1374=1),AND(J1374=1,I1374="SBJ"),AND(J1374=1,I1374=0)),"?IN_FOCUS",IF(J1374&lt;=2,"?ACTIVATED",IF(J1374&lt;&gt;"","?FAMILIAR",IF(F1374="NEW",IF(ISNA(VLOOKUP(E1374,#REF!,1,FALSE())),"?TYPE_IDENTIFIABLE","?REFERENTIAL"),"_")))))</f>
        <v> </v>
      </c>
      <c r="H1374" s="24" t="str">
        <f>IF(J1374&lt;&gt;1,"",IF(I1374="SBJ","CB","?"))</f>
        <v> </v>
      </c>
      <c r="I1374" s="25" t="str">
        <f>IF(OR(E1374="",E1374="!!!",F1374="NEW"),"",INDEX(B1373:B$2,-1+SUMPRODUCT(MAX(ROW(E1373:E$2)*(E1374=E1373:E$2)))))</f>
        <v> </v>
      </c>
      <c r="J1374" s="25" t="str">
        <f>IF(OR(E1374="",E1374="!!!",F1374="NEW"),"",COUNTBLANK(OFFSET(A$1,,,SUMPRODUCT(MAX(ROW(E$2:E1374)*(E1374=E$2:E1374)))))-COUNTBLANK(OFFSET(A$1,,,SUMPRODUCT(MAX(ROW(E$1:E1373)*(E2=E$1:E1373))))))</f>
        <v> </v>
      </c>
      <c r="K1374" s="25" t="str">
        <f>IF(OR(E1374="",E1374="!!!",F1374="NEW"),"",INDEX(J$1:J1373,SUMPRODUCT(MAX(ROW(E$1:E1373)*(E1374=E$1:E1373)))))</f>
        <v> </v>
      </c>
      <c r="L1374" s="26"/>
    </row>
    <row r="1375" spans="1:12">
      <c r="A1375" s="20" t="s">
        <v>271</v>
      </c>
      <c r="E1375" s="21">
        <f>IF(D1375="?OLD","!!!","")</f>
        <v/>
      </c>
      <c r="F1375" s="22" t="str">
        <f>IF(OR(E1375="",E1375="!!!"),"",IF(NOT(ISNA(VLOOKUP(E1375,E$1:E1374,1,FALSE()))),"OLD",IF(AND(E1375&lt;&gt;"",E1375&lt;&gt;"!!!"),"NEW","")))</f>
        <v> </v>
      </c>
      <c r="G1375" s="23" t="str">
        <f>IF(OR(E1375="",E1375="!!!"),"",IF(OR(J1375=0,AND(J1375=1,K1375=1),AND(J1375=1,I1375="SBJ"),AND(J1375=1,I1375=0)),"?IN_FOCUS",IF(J1375&lt;=2,"?ACTIVATED",IF(J1375&lt;&gt;"","?FAMILIAR",IF(F1375="NEW",IF(ISNA(VLOOKUP(E1375,#REF!,1,FALSE())),"?TYPE_IDENTIFIABLE","?REFERENTIAL"),"_")))))</f>
        <v> </v>
      </c>
      <c r="H1375" s="24" t="str">
        <f>IF(J1375&lt;&gt;1,"",IF(I1375="SBJ","CB","?"))</f>
        <v> </v>
      </c>
      <c r="I1375" s="25" t="str">
        <f>IF(OR(E1375="",E1375="!!!",F1375="NEW"),"",INDEX(B1374:B$2,-1+SUMPRODUCT(MAX(ROW(E1374:E$2)*(E1375=E1374:E$2)))))</f>
        <v> </v>
      </c>
      <c r="J1375" s="25" t="str">
        <f>IF(OR(E1375="",E1375="!!!",F1375="NEW"),"",COUNTBLANK(OFFSET(A$1,,,SUMPRODUCT(MAX(ROW(E$2:E1375)*(E1375=E$2:E1375)))))-COUNTBLANK(OFFSET(A$1,,,SUMPRODUCT(MAX(ROW(E$1:E1374)*(E2=E$1:E1374))))))</f>
        <v> </v>
      </c>
      <c r="K1375" s="25" t="str">
        <f>IF(OR(E1375="",E1375="!!!",F1375="NEW"),"",INDEX(J$1:J1374,SUMPRODUCT(MAX(ROW(E$1:E1374)*(E1375=E$1:E1374)))))</f>
        <v> </v>
      </c>
      <c r="L1375" s="26"/>
    </row>
    <row r="1376" spans="1:12">
      <c r="A1376" s="20" t="s">
        <v>282</v>
      </c>
      <c r="B1376" s="27" t="s">
        <v>276</v>
      </c>
      <c r="C1376" s="27" t="s">
        <v>257</v>
      </c>
      <c r="D1376" s="27" t="s">
        <v>258</v>
      </c>
      <c r="E1376" s="21">
        <f>IF(D1376="?OLD","!!!","")</f>
        <v/>
      </c>
      <c r="F1376" s="22" t="str">
        <f>IF(OR(E1376="",E1376="!!!"),"",IF(NOT(ISNA(VLOOKUP(E1376,E$1:E1375,1,FALSE()))),"OLD",IF(AND(E1376&lt;&gt;"",E1376&lt;&gt;"!!!"),"NEW","")))</f>
        <v> </v>
      </c>
      <c r="G1376" s="23" t="str">
        <f>IF(OR(E1376="",E1376="!!!"),"",IF(OR(J1376=0,AND(J1376=1,K1376=1),AND(J1376=1,I1376="SBJ"),AND(J1376=1,I1376=0)),"?IN_FOCUS",IF(J1376&lt;=2,"?ACTIVATED",IF(J1376&lt;&gt;"","?FAMILIAR",IF(F1376="NEW",IF(ISNA(VLOOKUP(E1376,#REF!,1,FALSE())),"?TYPE_IDENTIFIABLE","?REFERENTIAL"),"_")))))</f>
        <v> </v>
      </c>
      <c r="H1376" s="24" t="str">
        <f>IF(J1376&lt;&gt;1,"",IF(I1376="SBJ","CB","?"))</f>
        <v> </v>
      </c>
      <c r="I1376" s="25" t="str">
        <f>IF(OR(E1376="",E1376="!!!",F1376="NEW"),"",INDEX(B1375:B$2,-1+SUMPRODUCT(MAX(ROW(E1375:E$2)*(E1376=E1375:E$2)))))</f>
        <v> </v>
      </c>
      <c r="J1376" s="25" t="str">
        <f>IF(OR(E1376="",E1376="!!!",F1376="NEW"),"",COUNTBLANK(OFFSET(A$1,,,SUMPRODUCT(MAX(ROW(E$2:E1376)*(E1376=E$2:E1376)))))-COUNTBLANK(OFFSET(A$1,,,SUMPRODUCT(MAX(ROW(E$1:E1375)*(E2=E$1:E1375))))))</f>
        <v> </v>
      </c>
      <c r="K1376" s="25" t="str">
        <f>IF(OR(E1376="",E1376="!!!",F1376="NEW"),"",INDEX(J$1:J1375,SUMPRODUCT(MAX(ROW(E$1:E1375)*(E1376=E$1:E1375)))))</f>
        <v> </v>
      </c>
      <c r="L1376" s="26"/>
    </row>
    <row r="1377" spans="1:12">
      <c r="A1377" s="20" t="s">
        <v>259</v>
      </c>
      <c r="E1377" s="21">
        <f>IF(D1377="?OLD","!!!","")</f>
        <v/>
      </c>
      <c r="F1377" s="22" t="str">
        <f>IF(OR(E1377="",E1377="!!!"),"",IF(NOT(ISNA(VLOOKUP(E1377,E$1:E1376,1,FALSE()))),"OLD",IF(AND(E1377&lt;&gt;"",E1377&lt;&gt;"!!!"),"NEW","")))</f>
        <v> </v>
      </c>
      <c r="G1377" s="23" t="str">
        <f>IF(OR(E1377="",E1377="!!!"),"",IF(OR(J1377=0,AND(J1377=1,K1377=1),AND(J1377=1,I1377="SBJ"),AND(J1377=1,I1377=0)),"?IN_FOCUS",IF(J1377&lt;=2,"?ACTIVATED",IF(J1377&lt;&gt;"","?FAMILIAR",IF(F1377="NEW",IF(ISNA(VLOOKUP(E1377,#REF!,1,FALSE())),"?TYPE_IDENTIFIABLE","?REFERENTIAL"),"_")))))</f>
        <v> </v>
      </c>
      <c r="H1377" s="24" t="str">
        <f>IF(J1377&lt;&gt;1,"",IF(I1377="SBJ","CB","?"))</f>
        <v> </v>
      </c>
      <c r="I1377" s="25" t="str">
        <f>IF(OR(E1377="",E1377="!!!",F1377="NEW"),"",INDEX(B1376:B$2,-1+SUMPRODUCT(MAX(ROW(E1376:E$2)*(E1377=E1376:E$2)))))</f>
        <v> </v>
      </c>
      <c r="J1377" s="25" t="str">
        <f>IF(OR(E1377="",E1377="!!!",F1377="NEW"),"",COUNTBLANK(OFFSET(A$1,,,SUMPRODUCT(MAX(ROW(E$2:E1377)*(E1377=E$2:E1377)))))-COUNTBLANK(OFFSET(A$1,,,SUMPRODUCT(MAX(ROW(E$1:E1376)*(E2=E$1:E1376))))))</f>
        <v> </v>
      </c>
      <c r="K1377" s="25" t="str">
        <f>IF(OR(E1377="",E1377="!!!",F1377="NEW"),"",INDEX(J$1:J1376,SUMPRODUCT(MAX(ROW(E$1:E1376)*(E1377=E$1:E1376)))))</f>
        <v> </v>
      </c>
      <c r="L1377" s="26"/>
    </row>
    <row r="1378" spans="1:12">
      <c r="A1378" s="20" t="s">
        <v>231</v>
      </c>
      <c r="E1378" s="21">
        <f>IF(D1378="?OLD","!!!","")</f>
        <v/>
      </c>
      <c r="F1378" s="22" t="str">
        <f>IF(OR(E1378="",E1378="!!!"),"",IF(NOT(ISNA(VLOOKUP(E1378,E$1:E1377,1,FALSE()))),"OLD",IF(AND(E1378&lt;&gt;"",E1378&lt;&gt;"!!!"),"NEW","")))</f>
        <v> </v>
      </c>
      <c r="G1378" s="23" t="str">
        <f>IF(OR(E1378="",E1378="!!!"),"",IF(OR(J1378=0,AND(J1378=1,K1378=1),AND(J1378=1,I1378="SBJ"),AND(J1378=1,I1378=0)),"?IN_FOCUS",IF(J1378&lt;=2,"?ACTIVATED",IF(J1378&lt;&gt;"","?FAMILIAR",IF(F1378="NEW",IF(ISNA(VLOOKUP(E1378,#REF!,1,FALSE())),"?TYPE_IDENTIFIABLE","?REFERENTIAL"),"_")))))</f>
        <v> </v>
      </c>
      <c r="H1378" s="24" t="str">
        <f>IF(J1378&lt;&gt;1,"",IF(I1378="SBJ","CB","?"))</f>
        <v> </v>
      </c>
      <c r="I1378" s="25" t="str">
        <f>IF(OR(E1378="",E1378="!!!",F1378="NEW"),"",INDEX(B1377:B$2,-1+SUMPRODUCT(MAX(ROW(E1377:E$2)*(E1378=E1377:E$2)))))</f>
        <v> </v>
      </c>
      <c r="J1378" s="25" t="str">
        <f>IF(OR(E1378="",E1378="!!!",F1378="NEW"),"",COUNTBLANK(OFFSET(A$1,,,SUMPRODUCT(MAX(ROW(E$2:E1378)*(E1378=E$2:E1378)))))-COUNTBLANK(OFFSET(A$1,,,SUMPRODUCT(MAX(ROW(E$1:E1377)*(E2=E$1:E1377))))))</f>
        <v> </v>
      </c>
      <c r="K1378" s="25" t="str">
        <f>IF(OR(E1378="",E1378="!!!",F1378="NEW"),"",INDEX(J$1:J1377,SUMPRODUCT(MAX(ROW(E$1:E1377)*(E1378=E$1:E1377)))))</f>
        <v> </v>
      </c>
      <c r="L1378" s="26"/>
    </row>
    <row r="1379" spans="1:12">
      <c r="A1379" s="20" t="s">
        <v>382</v>
      </c>
      <c r="E1379" s="21">
        <f>IF(D1379="?OLD","!!!","")</f>
        <v/>
      </c>
      <c r="F1379" s="22" t="str">
        <f>IF(OR(E1379="",E1379="!!!"),"",IF(NOT(ISNA(VLOOKUP(E1379,E$1:E1378,1,FALSE()))),"OLD",IF(AND(E1379&lt;&gt;"",E1379&lt;&gt;"!!!"),"NEW","")))</f>
        <v> </v>
      </c>
      <c r="G1379" s="23" t="str">
        <f>IF(OR(E1379="",E1379="!!!"),"",IF(OR(J1379=0,AND(J1379=1,K1379=1),AND(J1379=1,I1379="SBJ"),AND(J1379=1,I1379=0)),"?IN_FOCUS",IF(J1379&lt;=2,"?ACTIVATED",IF(J1379&lt;&gt;"","?FAMILIAR",IF(F1379="NEW",IF(ISNA(VLOOKUP(E1379,#REF!,1,FALSE())),"?TYPE_IDENTIFIABLE","?REFERENTIAL"),"_")))))</f>
        <v> </v>
      </c>
      <c r="H1379" s="24" t="str">
        <f>IF(J1379&lt;&gt;1,"",IF(I1379="SBJ","CB","?"))</f>
        <v> </v>
      </c>
      <c r="I1379" s="25" t="str">
        <f>IF(OR(E1379="",E1379="!!!",F1379="NEW"),"",INDEX(B1378:B$2,-1+SUMPRODUCT(MAX(ROW(E1378:E$2)*(E1379=E1378:E$2)))))</f>
        <v> </v>
      </c>
      <c r="J1379" s="25" t="str">
        <f>IF(OR(E1379="",E1379="!!!",F1379="NEW"),"",COUNTBLANK(OFFSET(A$1,,,SUMPRODUCT(MAX(ROW(E$2:E1379)*(E1379=E$2:E1379)))))-COUNTBLANK(OFFSET(A$1,,,SUMPRODUCT(MAX(ROW(E$1:E1378)*(E2=E$1:E1378))))))</f>
        <v> </v>
      </c>
      <c r="K1379" s="25" t="str">
        <f>IF(OR(E1379="",E1379="!!!",F1379="NEW"),"",INDEX(J$1:J1378,SUMPRODUCT(MAX(ROW(E$1:E1378)*(E1379=E$1:E1378)))))</f>
        <v> </v>
      </c>
      <c r="L1379" s="26"/>
    </row>
    <row r="1380" spans="1:12">
      <c r="A1380" s="20" t="s">
        <v>696</v>
      </c>
      <c r="B1380" s="27" t="s">
        <v>401</v>
      </c>
      <c r="C1380" s="27" t="s">
        <v>270</v>
      </c>
      <c r="E1380" s="21">
        <f>IF(D1380="?OLD","!!!","")</f>
        <v/>
      </c>
      <c r="F1380" s="22" t="str">
        <f>IF(OR(E1380="",E1380="!!!"),"",IF(NOT(ISNA(VLOOKUP(E1380,E$1:E1379,1,FALSE()))),"OLD",IF(AND(E1380&lt;&gt;"",E1380&lt;&gt;"!!!"),"NEW","")))</f>
        <v> </v>
      </c>
      <c r="G1380" s="23" t="str">
        <f>IF(OR(E1380="",E1380="!!!"),"",IF(OR(J1380=0,AND(J1380=1,K1380=1),AND(J1380=1,I1380="SBJ"),AND(J1380=1,I1380=0)),"?IN_FOCUS",IF(J1380&lt;=2,"?ACTIVATED",IF(J1380&lt;&gt;"","?FAMILIAR",IF(F1380="NEW",IF(ISNA(VLOOKUP(E1380,#REF!,1,FALSE())),"?TYPE_IDENTIFIABLE","?REFERENTIAL"),"_")))))</f>
        <v> </v>
      </c>
      <c r="H1380" s="24" t="str">
        <f>IF(J1380&lt;&gt;1,"",IF(I1380="SBJ","CB","?"))</f>
        <v> </v>
      </c>
      <c r="I1380" s="25" t="str">
        <f>IF(OR(E1380="",E1380="!!!",F1380="NEW"),"",INDEX(B1379:B$2,-1+SUMPRODUCT(MAX(ROW(E1379:E$2)*(E1380=E1379:E$2)))))</f>
        <v> </v>
      </c>
      <c r="J1380" s="25" t="str">
        <f>IF(OR(E1380="",E1380="!!!",F1380="NEW"),"",COUNTBLANK(OFFSET(A$1,,,SUMPRODUCT(MAX(ROW(E$2:E1380)*(E1380=E$2:E1380)))))-COUNTBLANK(OFFSET(A$1,,,SUMPRODUCT(MAX(ROW(E$1:E1379)*(E2=E$1:E1379))))))</f>
        <v> </v>
      </c>
      <c r="K1380" s="25" t="str">
        <f>IF(OR(E1380="",E1380="!!!",F1380="NEW"),"",INDEX(J$1:J1379,SUMPRODUCT(MAX(ROW(E$1:E1379)*(E1380=E$1:E1379)))))</f>
        <v> </v>
      </c>
      <c r="L1380" s="26"/>
    </row>
    <row r="1381" spans="1:12">
      <c r="A1381" s="20" t="s">
        <v>320</v>
      </c>
      <c r="E1381" s="21">
        <f>IF(D1381="?OLD","!!!","")</f>
        <v/>
      </c>
      <c r="F1381" s="22" t="str">
        <f>IF(OR(E1381="",E1381="!!!"),"",IF(NOT(ISNA(VLOOKUP(E1381,E$1:E1380,1,FALSE()))),"OLD",IF(AND(E1381&lt;&gt;"",E1381&lt;&gt;"!!!"),"NEW","")))</f>
        <v> </v>
      </c>
      <c r="G1381" s="23" t="str">
        <f>IF(OR(E1381="",E1381="!!!"),"",IF(OR(J1381=0,AND(J1381=1,K1381=1),AND(J1381=1,I1381="SBJ"),AND(J1381=1,I1381=0)),"?IN_FOCUS",IF(J1381&lt;=2,"?ACTIVATED",IF(J1381&lt;&gt;"","?FAMILIAR",IF(F1381="NEW",IF(ISNA(VLOOKUP(E1381,#REF!,1,FALSE())),"?TYPE_IDENTIFIABLE","?REFERENTIAL"),"_")))))</f>
        <v> </v>
      </c>
      <c r="H1381" s="24" t="str">
        <f>IF(J1381&lt;&gt;1,"",IF(I1381="SBJ","CB","?"))</f>
        <v> </v>
      </c>
      <c r="I1381" s="25" t="str">
        <f>IF(OR(E1381="",E1381="!!!",F1381="NEW"),"",INDEX(B1380:B$2,-1+SUMPRODUCT(MAX(ROW(E1380:E$2)*(E1381=E1380:E$2)))))</f>
        <v> </v>
      </c>
      <c r="J1381" s="25" t="str">
        <f>IF(OR(E1381="",E1381="!!!",F1381="NEW"),"",COUNTBLANK(OFFSET(A$1,,,SUMPRODUCT(MAX(ROW(E$2:E1381)*(E1381=E$2:E1381)))))-COUNTBLANK(OFFSET(A$1,,,SUMPRODUCT(MAX(ROW(E$1:E1380)*(E2=E$1:E1380))))))</f>
        <v> </v>
      </c>
      <c r="K1381" s="25" t="str">
        <f>IF(OR(E1381="",E1381="!!!",F1381="NEW"),"",INDEX(J$1:J1380,SUMPRODUCT(MAX(ROW(E$1:E1380)*(E1381=E$1:E1380)))))</f>
        <v> </v>
      </c>
      <c r="L1381" s="26"/>
    </row>
    <row r="1382" spans="1:12">
      <c r="A1382" s="20"/>
    </row>
    <row r="1383" spans="1:12">
      <c r="A1383" s="20" t="s">
        <v>697</v>
      </c>
    </row>
    <row r="1384" spans="1:12">
      <c r="A1384" s="20" t="s">
        <v>360</v>
      </c>
      <c r="E1384" s="21">
        <f>IF(D1384="?OLD","!!!","")</f>
        <v/>
      </c>
      <c r="F1384" s="22" t="str">
        <f>IF(OR(E1384="",E1384="!!!"),"",IF(NOT(ISNA(VLOOKUP(E1384,E$1:E1383,1,FALSE()))),"OLD",IF(AND(E1384&lt;&gt;"",E1384&lt;&gt;"!!!"),"NEW","")))</f>
        <v> </v>
      </c>
      <c r="G1384" s="23" t="str">
        <f>IF(OR(E1384="",E1384="!!!"),"",IF(OR(J1384=0,AND(J1384=1,K1384=1),AND(J1384=1,I1384="SBJ"),AND(J1384=1,I1384=0)),"?IN_FOCUS",IF(J1384&lt;=2,"?ACTIVATED",IF(J1384&lt;&gt;"","?FAMILIAR",IF(F1384="NEW",IF(ISNA(VLOOKUP(E1384,#REF!,1,FALSE())),"?TYPE_IDENTIFIABLE","?REFERENTIAL"),"_")))))</f>
        <v> </v>
      </c>
      <c r="H1384" s="24" t="str">
        <f>IF(J1384&lt;&gt;1,"",IF(I1384="SBJ","CB","?"))</f>
        <v> </v>
      </c>
      <c r="I1384" s="25" t="str">
        <f>IF(OR(E1384="",E1384="!!!",F1384="NEW"),"",INDEX(B1383:B$2,-1+SUMPRODUCT(MAX(ROW(E1383:E$2)*(E1384=E1383:E$2)))))</f>
        <v> </v>
      </c>
      <c r="J1384" s="25" t="str">
        <f>IF(OR(E1384="",E1384="!!!",F1384="NEW"),"",COUNTBLANK(OFFSET(A$1,,,SUMPRODUCT(MAX(ROW(E$2:E1384)*(E1384=E$2:E1384)))))-COUNTBLANK(OFFSET(A$1,,,SUMPRODUCT(MAX(ROW(E$1:E1383)*(E2=E$1:E1383))))))</f>
        <v> </v>
      </c>
      <c r="K1384" s="25" t="str">
        <f>IF(OR(E1384="",E1384="!!!",F1384="NEW"),"",INDEX(J$1:J1383,SUMPRODUCT(MAX(ROW(E$1:E1383)*(E1384=E$1:E1383)))))</f>
        <v> </v>
      </c>
      <c r="L1384" s="26"/>
    </row>
    <row r="1385" spans="1:12">
      <c r="A1385" s="20" t="s">
        <v>409</v>
      </c>
      <c r="E1385" s="21">
        <f>IF(D1385="?OLD","!!!","")</f>
        <v/>
      </c>
      <c r="F1385" s="22" t="str">
        <f>IF(OR(E1385="",E1385="!!!"),"",IF(NOT(ISNA(VLOOKUP(E1385,E$1:E1384,1,FALSE()))),"OLD",IF(AND(E1385&lt;&gt;"",E1385&lt;&gt;"!!!"),"NEW","")))</f>
        <v> </v>
      </c>
      <c r="G1385" s="23" t="str">
        <f>IF(OR(E1385="",E1385="!!!"),"",IF(OR(J1385=0,AND(J1385=1,K1385=1),AND(J1385=1,I1385="SBJ"),AND(J1385=1,I1385=0)),"?IN_FOCUS",IF(J1385&lt;=2,"?ACTIVATED",IF(J1385&lt;&gt;"","?FAMILIAR",IF(F1385="NEW",IF(ISNA(VLOOKUP(E1385,#REF!,1,FALSE())),"?TYPE_IDENTIFIABLE","?REFERENTIAL"),"_")))))</f>
        <v> </v>
      </c>
      <c r="H1385" s="24" t="str">
        <f>IF(J1385&lt;&gt;1,"",IF(I1385="SBJ","CB","?"))</f>
        <v> </v>
      </c>
      <c r="I1385" s="25" t="str">
        <f>IF(OR(E1385="",E1385="!!!",F1385="NEW"),"",INDEX(B1384:B$2,-1+SUMPRODUCT(MAX(ROW(E1384:E$2)*(E1385=E1384:E$2)))))</f>
        <v> </v>
      </c>
      <c r="J1385" s="25" t="str">
        <f>IF(OR(E1385="",E1385="!!!",F1385="NEW"),"",COUNTBLANK(OFFSET(A$1,,,SUMPRODUCT(MAX(ROW(E$2:E1385)*(E1385=E$2:E1385)))))-COUNTBLANK(OFFSET(A$1,,,SUMPRODUCT(MAX(ROW(E$1:E1384)*(E2=E$1:E1384))))))</f>
        <v> </v>
      </c>
      <c r="K1385" s="25" t="str">
        <f>IF(OR(E1385="",E1385="!!!",F1385="NEW"),"",INDEX(J$1:J1384,SUMPRODUCT(MAX(ROW(E$1:E1384)*(E1385=E$1:E1384)))))</f>
        <v> </v>
      </c>
      <c r="L1385" s="26"/>
    </row>
    <row r="1386" spans="1:12">
      <c r="A1386" s="20" t="s">
        <v>282</v>
      </c>
      <c r="B1386" s="27" t="s">
        <v>256</v>
      </c>
      <c r="C1386" s="27" t="s">
        <v>257</v>
      </c>
      <c r="D1386" s="27" t="s">
        <v>258</v>
      </c>
      <c r="E1386" s="21">
        <f>IF(D1386="?OLD","!!!","")</f>
        <v/>
      </c>
      <c r="F1386" s="22" t="str">
        <f>IF(OR(E1386="",E1386="!!!"),"",IF(NOT(ISNA(VLOOKUP(E1386,E$1:E1385,1,FALSE()))),"OLD",IF(AND(E1386&lt;&gt;"",E1386&lt;&gt;"!!!"),"NEW","")))</f>
        <v> </v>
      </c>
      <c r="G1386" s="23" t="str">
        <f>IF(OR(E1386="",E1386="!!!"),"",IF(OR(J1386=0,AND(J1386=1,K1386=1),AND(J1386=1,I1386="SBJ"),AND(J1386=1,I1386=0)),"?IN_FOCUS",IF(J1386&lt;=2,"?ACTIVATED",IF(J1386&lt;&gt;"","?FAMILIAR",IF(F1386="NEW",IF(ISNA(VLOOKUP(E1386,#REF!,1,FALSE())),"?TYPE_IDENTIFIABLE","?REFERENTIAL"),"_")))))</f>
        <v> </v>
      </c>
      <c r="H1386" s="24" t="str">
        <f>IF(J1386&lt;&gt;1,"",IF(I1386="SBJ","CB","?"))</f>
        <v> </v>
      </c>
      <c r="I1386" s="25" t="str">
        <f>IF(OR(E1386="",E1386="!!!",F1386="NEW"),"",INDEX(B1385:B$2,-1+SUMPRODUCT(MAX(ROW(E1385:E$2)*(E1386=E1385:E$2)))))</f>
        <v> </v>
      </c>
      <c r="J1386" s="25" t="str">
        <f>IF(OR(E1386="",E1386="!!!",F1386="NEW"),"",COUNTBLANK(OFFSET(A$1,,,SUMPRODUCT(MAX(ROW(E$2:E1386)*(E1386=E$2:E1386)))))-COUNTBLANK(OFFSET(A$1,,,SUMPRODUCT(MAX(ROW(E$1:E1385)*(E2=E$1:E1385))))))</f>
        <v> </v>
      </c>
      <c r="K1386" s="25" t="str">
        <f>IF(OR(E1386="",E1386="!!!",F1386="NEW"),"",INDEX(J$1:J1385,SUMPRODUCT(MAX(ROW(E$1:E1385)*(E1386=E$1:E1385)))))</f>
        <v> </v>
      </c>
      <c r="L1386" s="26"/>
    </row>
    <row r="1387" spans="1:12">
      <c r="A1387" s="20" t="s">
        <v>55</v>
      </c>
      <c r="E1387" s="21">
        <f>IF(D1387="?OLD","!!!","")</f>
        <v/>
      </c>
      <c r="F1387" s="22" t="str">
        <f>IF(OR(E1387="",E1387="!!!"),"",IF(NOT(ISNA(VLOOKUP(E1387,E$1:E1386,1,FALSE()))),"OLD",IF(AND(E1387&lt;&gt;"",E1387&lt;&gt;"!!!"),"NEW","")))</f>
        <v> </v>
      </c>
      <c r="G1387" s="23" t="str">
        <f>IF(OR(E1387="",E1387="!!!"),"",IF(OR(J1387=0,AND(J1387=1,K1387=1),AND(J1387=1,I1387="SBJ"),AND(J1387=1,I1387=0)),"?IN_FOCUS",IF(J1387&lt;=2,"?ACTIVATED",IF(J1387&lt;&gt;"","?FAMILIAR",IF(F1387="NEW",IF(ISNA(VLOOKUP(E1387,#REF!,1,FALSE())),"?TYPE_IDENTIFIABLE","?REFERENTIAL"),"_")))))</f>
        <v> </v>
      </c>
      <c r="H1387" s="24" t="str">
        <f>IF(J1387&lt;&gt;1,"",IF(I1387="SBJ","CB","?"))</f>
        <v> </v>
      </c>
      <c r="I1387" s="25" t="str">
        <f>IF(OR(E1387="",E1387="!!!",F1387="NEW"),"",INDEX(B1386:B$2,-1+SUMPRODUCT(MAX(ROW(E1386:E$2)*(E1387=E1386:E$2)))))</f>
        <v> </v>
      </c>
      <c r="J1387" s="25" t="str">
        <f>IF(OR(E1387="",E1387="!!!",F1387="NEW"),"",COUNTBLANK(OFFSET(A$1,,,SUMPRODUCT(MAX(ROW(E$2:E1387)*(E1387=E$2:E1387)))))-COUNTBLANK(OFFSET(A$1,,,SUMPRODUCT(MAX(ROW(E$1:E1386)*(E2=E$1:E1386))))))</f>
        <v> </v>
      </c>
      <c r="K1387" s="25" t="str">
        <f>IF(OR(E1387="",E1387="!!!",F1387="NEW"),"",INDEX(J$1:J1386,SUMPRODUCT(MAX(ROW(E$1:E1386)*(E1387=E$1:E1386)))))</f>
        <v> </v>
      </c>
      <c r="L1387" s="26"/>
    </row>
    <row r="1388" spans="1:12">
      <c r="A1388" s="20" t="s">
        <v>274</v>
      </c>
      <c r="E1388" s="21">
        <f>IF(D1388="?OLD","!!!","")</f>
        <v/>
      </c>
      <c r="F1388" s="22" t="str">
        <f>IF(OR(E1388="",E1388="!!!"),"",IF(NOT(ISNA(VLOOKUP(E1388,E$1:E1387,1,FALSE()))),"OLD",IF(AND(E1388&lt;&gt;"",E1388&lt;&gt;"!!!"),"NEW","")))</f>
        <v> </v>
      </c>
      <c r="G1388" s="23" t="str">
        <f>IF(OR(E1388="",E1388="!!!"),"",IF(OR(J1388=0,AND(J1388=1,K1388=1),AND(J1388=1,I1388="SBJ"),AND(J1388=1,I1388=0)),"?IN_FOCUS",IF(J1388&lt;=2,"?ACTIVATED",IF(J1388&lt;&gt;"","?FAMILIAR",IF(F1388="NEW",IF(ISNA(VLOOKUP(E1388,#REF!,1,FALSE())),"?TYPE_IDENTIFIABLE","?REFERENTIAL"),"_")))))</f>
        <v> </v>
      </c>
      <c r="H1388" s="24" t="str">
        <f>IF(J1388&lt;&gt;1,"",IF(I1388="SBJ","CB","?"))</f>
        <v> </v>
      </c>
      <c r="I1388" s="25" t="str">
        <f>IF(OR(E1388="",E1388="!!!",F1388="NEW"),"",INDEX(B1387:B$2,-1+SUMPRODUCT(MAX(ROW(E1387:E$2)*(E1388=E1387:E$2)))))</f>
        <v> </v>
      </c>
      <c r="J1388" s="25" t="str">
        <f>IF(OR(E1388="",E1388="!!!",F1388="NEW"),"",COUNTBLANK(OFFSET(A$1,,,SUMPRODUCT(MAX(ROW(E$2:E1388)*(E1388=E$2:E1388)))))-COUNTBLANK(OFFSET(A$1,,,SUMPRODUCT(MAX(ROW(E$1:E1387)*(E2=E$1:E1387))))))</f>
        <v> </v>
      </c>
      <c r="K1388" s="25" t="str">
        <f>IF(OR(E1388="",E1388="!!!",F1388="NEW"),"",INDEX(J$1:J1387,SUMPRODUCT(MAX(ROW(E$1:E1387)*(E1388=E$1:E1387)))))</f>
        <v> </v>
      </c>
      <c r="L1388" s="26"/>
    </row>
    <row r="1389" spans="1:12">
      <c r="A1389" s="20" t="s">
        <v>696</v>
      </c>
      <c r="B1389" s="27" t="s">
        <v>262</v>
      </c>
      <c r="C1389" s="27" t="s">
        <v>277</v>
      </c>
      <c r="D1389" s="27" t="s">
        <v>258</v>
      </c>
      <c r="E1389" s="21">
        <f>IF(D1389="?OLD","!!!","")</f>
        <v/>
      </c>
      <c r="F1389" s="22" t="str">
        <f>IF(OR(E1389="",E1389="!!!"),"",IF(NOT(ISNA(VLOOKUP(E1389,E$1:E1388,1,FALSE()))),"OLD",IF(AND(E1389&lt;&gt;"",E1389&lt;&gt;"!!!"),"NEW","")))</f>
        <v> </v>
      </c>
      <c r="G1389" s="23" t="str">
        <f>IF(OR(E1389="",E1389="!!!"),"",IF(OR(J1389=0,AND(J1389=1,K1389=1),AND(J1389=1,I1389="SBJ"),AND(J1389=1,I1389=0)),"?IN_FOCUS",IF(J1389&lt;=2,"?ACTIVATED",IF(J1389&lt;&gt;"","?FAMILIAR",IF(F1389="NEW",IF(ISNA(VLOOKUP(E1389,#REF!,1,FALSE())),"?TYPE_IDENTIFIABLE","?REFERENTIAL"),"_")))))</f>
        <v> </v>
      </c>
      <c r="H1389" s="24" t="str">
        <f>IF(J1389&lt;&gt;1,"",IF(I1389="SBJ","CB","?"))</f>
        <v> </v>
      </c>
      <c r="I1389" s="25" t="str">
        <f>IF(OR(E1389="",E1389="!!!",F1389="NEW"),"",INDEX(B1388:B$2,-1+SUMPRODUCT(MAX(ROW(E1388:E$2)*(E1389=E1388:E$2)))))</f>
        <v> </v>
      </c>
      <c r="J1389" s="25" t="str">
        <f>IF(OR(E1389="",E1389="!!!",F1389="NEW"),"",COUNTBLANK(OFFSET(A$1,,,SUMPRODUCT(MAX(ROW(E$2:E1389)*(E1389=E$2:E1389)))))-COUNTBLANK(OFFSET(A$1,,,SUMPRODUCT(MAX(ROW(E$1:E1388)*(E2=E$1:E1388))))))</f>
        <v> </v>
      </c>
      <c r="K1389" s="25" t="str">
        <f>IF(OR(E1389="",E1389="!!!",F1389="NEW"),"",INDEX(J$1:J1388,SUMPRODUCT(MAX(ROW(E$1:E1388)*(E1389=E$1:E1388)))))</f>
        <v> </v>
      </c>
      <c r="L1389" s="26"/>
    </row>
    <row r="1390" spans="1:12">
      <c r="A1390" s="20" t="s">
        <v>271</v>
      </c>
      <c r="E1390" s="21">
        <f>IF(D1390="?OLD","!!!","")</f>
        <v/>
      </c>
      <c r="F1390" s="22" t="str">
        <f>IF(OR(E1390="",E1390="!!!"),"",IF(NOT(ISNA(VLOOKUP(E1390,E$1:E1389,1,FALSE()))),"OLD",IF(AND(E1390&lt;&gt;"",E1390&lt;&gt;"!!!"),"NEW","")))</f>
        <v> </v>
      </c>
      <c r="G1390" s="23" t="str">
        <f>IF(OR(E1390="",E1390="!!!"),"",IF(OR(J1390=0,AND(J1390=1,K1390=1),AND(J1390=1,I1390="SBJ"),AND(J1390=1,I1390=0)),"?IN_FOCUS",IF(J1390&lt;=2,"?ACTIVATED",IF(J1390&lt;&gt;"","?FAMILIAR",IF(F1390="NEW",IF(ISNA(VLOOKUP(E1390,#REF!,1,FALSE())),"?TYPE_IDENTIFIABLE","?REFERENTIAL"),"_")))))</f>
        <v> </v>
      </c>
      <c r="H1390" s="24" t="str">
        <f>IF(J1390&lt;&gt;1,"",IF(I1390="SBJ","CB","?"))</f>
        <v> </v>
      </c>
      <c r="I1390" s="25" t="str">
        <f>IF(OR(E1390="",E1390="!!!",F1390="NEW"),"",INDEX(B1389:B$2,-1+SUMPRODUCT(MAX(ROW(E1389:E$2)*(E1390=E1389:E$2)))))</f>
        <v> </v>
      </c>
      <c r="J1390" s="25" t="str">
        <f>IF(OR(E1390="",E1390="!!!",F1390="NEW"),"",COUNTBLANK(OFFSET(A$1,,,SUMPRODUCT(MAX(ROW(E$2:E1390)*(E1390=E$2:E1390)))))-COUNTBLANK(OFFSET(A$1,,,SUMPRODUCT(MAX(ROW(E$1:E1389)*(E2=E$1:E1389))))))</f>
        <v> </v>
      </c>
      <c r="K1390" s="25" t="str">
        <f>IF(OR(E1390="",E1390="!!!",F1390="NEW"),"",INDEX(J$1:J1389,SUMPRODUCT(MAX(ROW(E$1:E1389)*(E1390=E$1:E1389)))))</f>
        <v> </v>
      </c>
      <c r="L1390" s="26"/>
    </row>
    <row r="1391" spans="1:12">
      <c r="A1391" s="20" t="s">
        <v>384</v>
      </c>
      <c r="E1391" s="21">
        <f>IF(D1391="?OLD","!!!","")</f>
        <v/>
      </c>
      <c r="F1391" s="22" t="str">
        <f>IF(OR(E1391="",E1391="!!!"),"",IF(NOT(ISNA(VLOOKUP(E1391,E$1:E1390,1,FALSE()))),"OLD",IF(AND(E1391&lt;&gt;"",E1391&lt;&gt;"!!!"),"NEW","")))</f>
        <v> </v>
      </c>
      <c r="G1391" s="23" t="str">
        <f>IF(OR(E1391="",E1391="!!!"),"",IF(OR(J1391=0,AND(J1391=1,K1391=1),AND(J1391=1,I1391="SBJ"),AND(J1391=1,I1391=0)),"?IN_FOCUS",IF(J1391&lt;=2,"?ACTIVATED",IF(J1391&lt;&gt;"","?FAMILIAR",IF(F1391="NEW",IF(ISNA(VLOOKUP(E1391,#REF!,1,FALSE())),"?TYPE_IDENTIFIABLE","?REFERENTIAL"),"_")))))</f>
        <v> </v>
      </c>
      <c r="H1391" s="24" t="str">
        <f>IF(J1391&lt;&gt;1,"",IF(I1391="SBJ","CB","?"))</f>
        <v> </v>
      </c>
      <c r="I1391" s="25" t="str">
        <f>IF(OR(E1391="",E1391="!!!",F1391="NEW"),"",INDEX(B1390:B$2,-1+SUMPRODUCT(MAX(ROW(E1390:E$2)*(E1391=E1390:E$2)))))</f>
        <v> </v>
      </c>
      <c r="J1391" s="25" t="str">
        <f>IF(OR(E1391="",E1391="!!!",F1391="NEW"),"",COUNTBLANK(OFFSET(A$1,,,SUMPRODUCT(MAX(ROW(E$2:E1391)*(E1391=E$2:E1391)))))-COUNTBLANK(OFFSET(A$1,,,SUMPRODUCT(MAX(ROW(E$1:E1390)*(E2=E$1:E1390))))))</f>
        <v> </v>
      </c>
      <c r="K1391" s="25" t="str">
        <f>IF(OR(E1391="",E1391="!!!",F1391="NEW"),"",INDEX(J$1:J1390,SUMPRODUCT(MAX(ROW(E$1:E1390)*(E1391=E$1:E1390)))))</f>
        <v> </v>
      </c>
      <c r="L1391" s="26"/>
    </row>
    <row r="1392" spans="1:12">
      <c r="A1392" s="20" t="s">
        <v>698</v>
      </c>
      <c r="E1392" s="21">
        <f>IF(D1392="?OLD","!!!","")</f>
        <v/>
      </c>
      <c r="F1392" s="22" t="str">
        <f>IF(OR(E1392="",E1392="!!!"),"",IF(NOT(ISNA(VLOOKUP(E1392,E$1:E1391,1,FALSE()))),"OLD",IF(AND(E1392&lt;&gt;"",E1392&lt;&gt;"!!!"),"NEW","")))</f>
        <v> </v>
      </c>
      <c r="G1392" s="23" t="str">
        <f>IF(OR(E1392="",E1392="!!!"),"",IF(OR(J1392=0,AND(J1392=1,K1392=1),AND(J1392=1,I1392="SBJ"),AND(J1392=1,I1392=0)),"?IN_FOCUS",IF(J1392&lt;=2,"?ACTIVATED",IF(J1392&lt;&gt;"","?FAMILIAR",IF(F1392="NEW",IF(ISNA(VLOOKUP(E1392,#REF!,1,FALSE())),"?TYPE_IDENTIFIABLE","?REFERENTIAL"),"_")))))</f>
        <v> </v>
      </c>
      <c r="H1392" s="24" t="str">
        <f>IF(J1392&lt;&gt;1,"",IF(I1392="SBJ","CB","?"))</f>
        <v> </v>
      </c>
      <c r="I1392" s="25" t="str">
        <f>IF(OR(E1392="",E1392="!!!",F1392="NEW"),"",INDEX(B1391:B$2,-1+SUMPRODUCT(MAX(ROW(E1391:E$2)*(E1392=E1391:E$2)))))</f>
        <v> </v>
      </c>
      <c r="J1392" s="25" t="str">
        <f>IF(OR(E1392="",E1392="!!!",F1392="NEW"),"",COUNTBLANK(OFFSET(A$1,,,SUMPRODUCT(MAX(ROW(E$2:E1392)*(E1392=E$2:E1392)))))-COUNTBLANK(OFFSET(A$1,,,SUMPRODUCT(MAX(ROW(E$1:E1391)*(E2=E$1:E1391))))))</f>
        <v> </v>
      </c>
      <c r="K1392" s="25" t="str">
        <f>IF(OR(E1392="",E1392="!!!",F1392="NEW"),"",INDEX(J$1:J1391,SUMPRODUCT(MAX(ROW(E$1:E1391)*(E1392=E$1:E1391)))))</f>
        <v> </v>
      </c>
      <c r="L1392" s="26"/>
    </row>
    <row r="1393" spans="1:12">
      <c r="A1393" s="20" t="s">
        <v>551</v>
      </c>
      <c r="E1393" s="21">
        <f>IF(D1393="?OLD","!!!","")</f>
        <v/>
      </c>
      <c r="F1393" s="22" t="str">
        <f>IF(OR(E1393="",E1393="!!!"),"",IF(NOT(ISNA(VLOOKUP(E1393,E$1:E1392,1,FALSE()))),"OLD",IF(AND(E1393&lt;&gt;"",E1393&lt;&gt;"!!!"),"NEW","")))</f>
        <v> </v>
      </c>
      <c r="G1393" s="23" t="str">
        <f>IF(OR(E1393="",E1393="!!!"),"",IF(OR(J1393=0,AND(J1393=1,K1393=1),AND(J1393=1,I1393="SBJ"),AND(J1393=1,I1393=0)),"?IN_FOCUS",IF(J1393&lt;=2,"?ACTIVATED",IF(J1393&lt;&gt;"","?FAMILIAR",IF(F1393="NEW",IF(ISNA(VLOOKUP(E1393,#REF!,1,FALSE())),"?TYPE_IDENTIFIABLE","?REFERENTIAL"),"_")))))</f>
        <v> </v>
      </c>
      <c r="H1393" s="24" t="str">
        <f>IF(J1393&lt;&gt;1,"",IF(I1393="SBJ","CB","?"))</f>
        <v> </v>
      </c>
      <c r="I1393" s="25" t="str">
        <f>IF(OR(E1393="",E1393="!!!",F1393="NEW"),"",INDEX(B1392:B$2,-1+SUMPRODUCT(MAX(ROW(E1392:E$2)*(E1393=E1392:E$2)))))</f>
        <v> </v>
      </c>
      <c r="J1393" s="25" t="str">
        <f>IF(OR(E1393="",E1393="!!!",F1393="NEW"),"",COUNTBLANK(OFFSET(A$1,,,SUMPRODUCT(MAX(ROW(E$2:E1393)*(E1393=E$2:E1393)))))-COUNTBLANK(OFFSET(A$1,,,SUMPRODUCT(MAX(ROW(E$1:E1392)*(E2=E$1:E1392))))))</f>
        <v> </v>
      </c>
      <c r="K1393" s="25" t="str">
        <f>IF(OR(E1393="",E1393="!!!",F1393="NEW"),"",INDEX(J$1:J1392,SUMPRODUCT(MAX(ROW(E$1:E1392)*(E1393=E$1:E1392)))))</f>
        <v> </v>
      </c>
      <c r="L1393" s="26"/>
    </row>
    <row r="1394" spans="1:12">
      <c r="A1394" s="20" t="s">
        <v>362</v>
      </c>
      <c r="E1394" s="21">
        <f>IF(D1394="?OLD","!!!","")</f>
        <v/>
      </c>
      <c r="F1394" s="22" t="str">
        <f>IF(OR(E1394="",E1394="!!!"),"",IF(NOT(ISNA(VLOOKUP(E1394,E$1:E1393,1,FALSE()))),"OLD",IF(AND(E1394&lt;&gt;"",E1394&lt;&gt;"!!!"),"NEW","")))</f>
        <v> </v>
      </c>
      <c r="G1394" s="23" t="str">
        <f>IF(OR(E1394="",E1394="!!!"),"",IF(OR(J1394=0,AND(J1394=1,K1394=1),AND(J1394=1,I1394="SBJ"),AND(J1394=1,I1394=0)),"?IN_FOCUS",IF(J1394&lt;=2,"?ACTIVATED",IF(J1394&lt;&gt;"","?FAMILIAR",IF(F1394="NEW",IF(ISNA(VLOOKUP(E1394,#REF!,1,FALSE())),"?TYPE_IDENTIFIABLE","?REFERENTIAL"),"_")))))</f>
        <v> </v>
      </c>
      <c r="H1394" s="24" t="str">
        <f>IF(J1394&lt;&gt;1,"",IF(I1394="SBJ","CB","?"))</f>
        <v> </v>
      </c>
      <c r="I1394" s="25" t="str">
        <f>IF(OR(E1394="",E1394="!!!",F1394="NEW"),"",INDEX(B1393:B$2,-1+SUMPRODUCT(MAX(ROW(E1393:E$2)*(E1394=E1393:E$2)))))</f>
        <v> </v>
      </c>
      <c r="J1394" s="25" t="str">
        <f>IF(OR(E1394="",E1394="!!!",F1394="NEW"),"",COUNTBLANK(OFFSET(A$1,,,SUMPRODUCT(MAX(ROW(E$2:E1394)*(E1394=E$2:E1394)))))-COUNTBLANK(OFFSET(A$1,,,SUMPRODUCT(MAX(ROW(E$1:E1393)*(E2=E$1:E1393))))))</f>
        <v> </v>
      </c>
      <c r="K1394" s="25" t="str">
        <f>IF(OR(E1394="",E1394="!!!",F1394="NEW"),"",INDEX(J$1:J1393,SUMPRODUCT(MAX(ROW(E$1:E1393)*(E1394=E$1:E1393)))))</f>
        <v> </v>
      </c>
      <c r="L1394" s="26"/>
    </row>
    <row r="1395" spans="1:12">
      <c r="A1395" s="20" t="s">
        <v>235</v>
      </c>
      <c r="E1395" s="21">
        <f>IF(D1395="?OLD","!!!","")</f>
        <v/>
      </c>
      <c r="F1395" s="22" t="str">
        <f>IF(OR(E1395="",E1395="!!!"),"",IF(NOT(ISNA(VLOOKUP(E1395,E$1:E1394,1,FALSE()))),"OLD",IF(AND(E1395&lt;&gt;"",E1395&lt;&gt;"!!!"),"NEW","")))</f>
        <v> </v>
      </c>
      <c r="G1395" s="23" t="str">
        <f>IF(OR(E1395="",E1395="!!!"),"",IF(OR(J1395=0,AND(J1395=1,K1395=1),AND(J1395=1,I1395="SBJ"),AND(J1395=1,I1395=0)),"?IN_FOCUS",IF(J1395&lt;=2,"?ACTIVATED",IF(J1395&lt;&gt;"","?FAMILIAR",IF(F1395="NEW",IF(ISNA(VLOOKUP(E1395,#REF!,1,FALSE())),"?TYPE_IDENTIFIABLE","?REFERENTIAL"),"_")))))</f>
        <v> </v>
      </c>
      <c r="H1395" s="24" t="str">
        <f>IF(J1395&lt;&gt;1,"",IF(I1395="SBJ","CB","?"))</f>
        <v> </v>
      </c>
      <c r="I1395" s="25" t="str">
        <f>IF(OR(E1395="",E1395="!!!",F1395="NEW"),"",INDEX(B1394:B$2,-1+SUMPRODUCT(MAX(ROW(E1394:E$2)*(E1395=E1394:E$2)))))</f>
        <v> </v>
      </c>
      <c r="J1395" s="25" t="str">
        <f>IF(OR(E1395="",E1395="!!!",F1395="NEW"),"",COUNTBLANK(OFFSET(A$1,,,SUMPRODUCT(MAX(ROW(E$2:E1395)*(E1395=E$2:E1395)))))-COUNTBLANK(OFFSET(A$1,,,SUMPRODUCT(MAX(ROW(E$1:E1394)*(E2=E$1:E1394))))))</f>
        <v> </v>
      </c>
      <c r="K1395" s="25" t="str">
        <f>IF(OR(E1395="",E1395="!!!",F1395="NEW"),"",INDEX(J$1:J1394,SUMPRODUCT(MAX(ROW(E$1:E1394)*(E1395=E$1:E1394)))))</f>
        <v> </v>
      </c>
      <c r="L1395" s="26"/>
    </row>
    <row r="1396" spans="1:12">
      <c r="A1396" s="20" t="s">
        <v>699</v>
      </c>
      <c r="B1396" s="27" t="s">
        <v>276</v>
      </c>
      <c r="C1396" s="27" t="s">
        <v>270</v>
      </c>
      <c r="E1396" s="21">
        <f>IF(D1396="?OLD","!!!","")</f>
        <v/>
      </c>
      <c r="F1396" s="22" t="str">
        <f>IF(OR(E1396="",E1396="!!!"),"",IF(NOT(ISNA(VLOOKUP(E1396,E$1:E1395,1,FALSE()))),"OLD",IF(AND(E1396&lt;&gt;"",E1396&lt;&gt;"!!!"),"NEW","")))</f>
        <v> </v>
      </c>
      <c r="G1396" s="23" t="str">
        <f>IF(OR(E1396="",E1396="!!!"),"",IF(OR(J1396=0,AND(J1396=1,K1396=1),AND(J1396=1,I1396="SBJ"),AND(J1396=1,I1396=0)),"?IN_FOCUS",IF(J1396&lt;=2,"?ACTIVATED",IF(J1396&lt;&gt;"","?FAMILIAR",IF(F1396="NEW",IF(ISNA(VLOOKUP(E1396,#REF!,1,FALSE())),"?TYPE_IDENTIFIABLE","?REFERENTIAL"),"_")))))</f>
        <v> </v>
      </c>
      <c r="H1396" s="24" t="str">
        <f>IF(J1396&lt;&gt;1,"",IF(I1396="SBJ","CB","?"))</f>
        <v> </v>
      </c>
      <c r="I1396" s="25" t="str">
        <f>IF(OR(E1396="",E1396="!!!",F1396="NEW"),"",INDEX(B1395:B$2,-1+SUMPRODUCT(MAX(ROW(E1395:E$2)*(E1396=E1395:E$2)))))</f>
        <v> </v>
      </c>
      <c r="J1396" s="25" t="str">
        <f>IF(OR(E1396="",E1396="!!!",F1396="NEW"),"",COUNTBLANK(OFFSET(A$1,,,SUMPRODUCT(MAX(ROW(E$2:E1396)*(E1396=E$2:E1396)))))-COUNTBLANK(OFFSET(A$1,,,SUMPRODUCT(MAX(ROW(E$1:E1395)*(E2=E$1:E1395))))))</f>
        <v> </v>
      </c>
      <c r="K1396" s="25" t="str">
        <f>IF(OR(E1396="",E1396="!!!",F1396="NEW"),"",INDEX(J$1:J1395,SUMPRODUCT(MAX(ROW(E$1:E1395)*(E1396=E$1:E1395)))))</f>
        <v> </v>
      </c>
      <c r="L1396" s="26"/>
    </row>
    <row r="1397" spans="1:12">
      <c r="A1397" s="20" t="s">
        <v>305</v>
      </c>
      <c r="E1397" s="21">
        <f>IF(D1397="?OLD","!!!","")</f>
        <v/>
      </c>
      <c r="F1397" s="22" t="str">
        <f>IF(OR(E1397="",E1397="!!!"),"",IF(NOT(ISNA(VLOOKUP(E1397,E$1:E1396,1,FALSE()))),"OLD",IF(AND(E1397&lt;&gt;"",E1397&lt;&gt;"!!!"),"NEW","")))</f>
        <v> </v>
      </c>
      <c r="G1397" s="23" t="str">
        <f>IF(OR(E1397="",E1397="!!!"),"",IF(OR(J1397=0,AND(J1397=1,K1397=1),AND(J1397=1,I1397="SBJ"),AND(J1397=1,I1397=0)),"?IN_FOCUS",IF(J1397&lt;=2,"?ACTIVATED",IF(J1397&lt;&gt;"","?FAMILIAR",IF(F1397="NEW",IF(ISNA(VLOOKUP(E1397,#REF!,1,FALSE())),"?TYPE_IDENTIFIABLE","?REFERENTIAL"),"_")))))</f>
        <v> </v>
      </c>
      <c r="H1397" s="24" t="str">
        <f>IF(J1397&lt;&gt;1,"",IF(I1397="SBJ","CB","?"))</f>
        <v> </v>
      </c>
      <c r="I1397" s="25" t="str">
        <f>IF(OR(E1397="",E1397="!!!",F1397="NEW"),"",INDEX(B1396:B$2,-1+SUMPRODUCT(MAX(ROW(E1396:E$2)*(E1397=E1396:E$2)))))</f>
        <v> </v>
      </c>
      <c r="J1397" s="25" t="str">
        <f>IF(OR(E1397="",E1397="!!!",F1397="NEW"),"",COUNTBLANK(OFFSET(A$1,,,SUMPRODUCT(MAX(ROW(E$2:E1397)*(E1397=E$2:E1397)))))-COUNTBLANK(OFFSET(A$1,,,SUMPRODUCT(MAX(ROW(E$1:E1396)*(E2=E$1:E1396))))))</f>
        <v> </v>
      </c>
      <c r="K1397" s="25" t="str">
        <f>IF(OR(E1397="",E1397="!!!",F1397="NEW"),"",INDEX(J$1:J1396,SUMPRODUCT(MAX(ROW(E$1:E1396)*(E1397=E$1:E1396)))))</f>
        <v> </v>
      </c>
      <c r="L1397" s="26"/>
    </row>
    <row r="1398" spans="1:12">
      <c r="A1398" s="20" t="s">
        <v>13</v>
      </c>
      <c r="E1398" s="21">
        <f>IF(D1398="?OLD","!!!","")</f>
        <v/>
      </c>
      <c r="F1398" s="22" t="str">
        <f>IF(OR(E1398="",E1398="!!!"),"",IF(NOT(ISNA(VLOOKUP(E1398,E$1:E1397,1,FALSE()))),"OLD",IF(AND(E1398&lt;&gt;"",E1398&lt;&gt;"!!!"),"NEW","")))</f>
        <v> </v>
      </c>
      <c r="G1398" s="23" t="str">
        <f>IF(OR(E1398="",E1398="!!!"),"",IF(OR(J1398=0,AND(J1398=1,K1398=1),AND(J1398=1,I1398="SBJ"),AND(J1398=1,I1398=0)),"?IN_FOCUS",IF(J1398&lt;=2,"?ACTIVATED",IF(J1398&lt;&gt;"","?FAMILIAR",IF(F1398="NEW",IF(ISNA(VLOOKUP(E1398,#REF!,1,FALSE())),"?TYPE_IDENTIFIABLE","?REFERENTIAL"),"_")))))</f>
        <v> </v>
      </c>
      <c r="H1398" s="24" t="str">
        <f>IF(J1398&lt;&gt;1,"",IF(I1398="SBJ","CB","?"))</f>
        <v> </v>
      </c>
      <c r="I1398" s="25" t="str">
        <f>IF(OR(E1398="",E1398="!!!",F1398="NEW"),"",INDEX(B1397:B$2,-1+SUMPRODUCT(MAX(ROW(E1397:E$2)*(E1398=E1397:E$2)))))</f>
        <v> </v>
      </c>
      <c r="J1398" s="25" t="str">
        <f>IF(OR(E1398="",E1398="!!!",F1398="NEW"),"",COUNTBLANK(OFFSET(A$1,,,SUMPRODUCT(MAX(ROW(E$2:E1398)*(E1398=E$2:E1398)))))-COUNTBLANK(OFFSET(A$1,,,SUMPRODUCT(MAX(ROW(E$1:E1397)*(E2=E$1:E1397))))))</f>
        <v> </v>
      </c>
      <c r="K1398" s="25" t="str">
        <f>IF(OR(E1398="",E1398="!!!",F1398="NEW"),"",INDEX(J$1:J1397,SUMPRODUCT(MAX(ROW(E$1:E1397)*(E1398=E$1:E1397)))))</f>
        <v> </v>
      </c>
      <c r="L1398" s="26"/>
    </row>
    <row r="1399" spans="1:12">
      <c r="A1399" s="20" t="s">
        <v>700</v>
      </c>
      <c r="E1399" s="21">
        <f>IF(D1399="?OLD","!!!","")</f>
        <v/>
      </c>
      <c r="F1399" s="22" t="str">
        <f>IF(OR(E1399="",E1399="!!!"),"",IF(NOT(ISNA(VLOOKUP(E1399,E$1:E1398,1,FALSE()))),"OLD",IF(AND(E1399&lt;&gt;"",E1399&lt;&gt;"!!!"),"NEW","")))</f>
        <v> </v>
      </c>
      <c r="G1399" s="23" t="str">
        <f>IF(OR(E1399="",E1399="!!!"),"",IF(OR(J1399=0,AND(J1399=1,K1399=1),AND(J1399=1,I1399="SBJ"),AND(J1399=1,I1399=0)),"?IN_FOCUS",IF(J1399&lt;=2,"?ACTIVATED",IF(J1399&lt;&gt;"","?FAMILIAR",IF(F1399="NEW",IF(ISNA(VLOOKUP(E1399,#REF!,1,FALSE())),"?TYPE_IDENTIFIABLE","?REFERENTIAL"),"_")))))</f>
        <v> </v>
      </c>
      <c r="H1399" s="24" t="str">
        <f>IF(J1399&lt;&gt;1,"",IF(I1399="SBJ","CB","?"))</f>
        <v> </v>
      </c>
      <c r="I1399" s="25" t="str">
        <f>IF(OR(E1399="",E1399="!!!",F1399="NEW"),"",INDEX(B1398:B$2,-1+SUMPRODUCT(MAX(ROW(E1398:E$2)*(E1399=E1398:E$2)))))</f>
        <v> </v>
      </c>
      <c r="J1399" s="25" t="str">
        <f>IF(OR(E1399="",E1399="!!!",F1399="NEW"),"",COUNTBLANK(OFFSET(A$1,,,SUMPRODUCT(MAX(ROW(E$2:E1399)*(E1399=E$2:E1399)))))-COUNTBLANK(OFFSET(A$1,,,SUMPRODUCT(MAX(ROW(E$1:E1398)*(E2=E$1:E1398))))))</f>
        <v> </v>
      </c>
      <c r="K1399" s="25" t="str">
        <f>IF(OR(E1399="",E1399="!!!",F1399="NEW"),"",INDEX(J$1:J1398,SUMPRODUCT(MAX(ROW(E$1:E1398)*(E1399=E$1:E1398)))))</f>
        <v> </v>
      </c>
      <c r="L1399" s="26"/>
    </row>
    <row r="1400" spans="1:12">
      <c r="A1400" s="20" t="s">
        <v>320</v>
      </c>
      <c r="E1400" s="21">
        <f>IF(D1400="?OLD","!!!","")</f>
        <v/>
      </c>
      <c r="F1400" s="22" t="str">
        <f>IF(OR(E1400="",E1400="!!!"),"",IF(NOT(ISNA(VLOOKUP(E1400,E$1:E1399,1,FALSE()))),"OLD",IF(AND(E1400&lt;&gt;"",E1400&lt;&gt;"!!!"),"NEW","")))</f>
        <v> </v>
      </c>
      <c r="G1400" s="23" t="str">
        <f>IF(OR(E1400="",E1400="!!!"),"",IF(OR(J1400=0,AND(J1400=1,K1400=1),AND(J1400=1,I1400="SBJ"),AND(J1400=1,I1400=0)),"?IN_FOCUS",IF(J1400&lt;=2,"?ACTIVATED",IF(J1400&lt;&gt;"","?FAMILIAR",IF(F1400="NEW",IF(ISNA(VLOOKUP(E1400,#REF!,1,FALSE())),"?TYPE_IDENTIFIABLE","?REFERENTIAL"),"_")))))</f>
        <v> </v>
      </c>
      <c r="H1400" s="24" t="str">
        <f>IF(J1400&lt;&gt;1,"",IF(I1400="SBJ","CB","?"))</f>
        <v> </v>
      </c>
      <c r="I1400" s="25" t="str">
        <f>IF(OR(E1400="",E1400="!!!",F1400="NEW"),"",INDEX(B1399:B$2,-1+SUMPRODUCT(MAX(ROW(E1399:E$2)*(E1400=E1399:E$2)))))</f>
        <v> </v>
      </c>
      <c r="J1400" s="25" t="str">
        <f>IF(OR(E1400="",E1400="!!!",F1400="NEW"),"",COUNTBLANK(OFFSET(A$1,,,SUMPRODUCT(MAX(ROW(E$2:E1400)*(E1400=E$2:E1400)))))-COUNTBLANK(OFFSET(A$1,,,SUMPRODUCT(MAX(ROW(E$1:E1399)*(E2=E$1:E1399))))))</f>
        <v> </v>
      </c>
      <c r="K1400" s="25" t="str">
        <f>IF(OR(E1400="",E1400="!!!",F1400="NEW"),"",INDEX(J$1:J1399,SUMPRODUCT(MAX(ROW(E$1:E1399)*(E1400=E$1:E1399)))))</f>
        <v> </v>
      </c>
      <c r="L1400" s="26"/>
    </row>
    <row r="1401" spans="1:12">
      <c r="A1401" s="20"/>
    </row>
    <row r="1402" spans="1:12">
      <c r="A1402" s="20" t="s">
        <v>701</v>
      </c>
    </row>
    <row r="1403" spans="1:12">
      <c r="A1403" s="20" t="s">
        <v>322</v>
      </c>
      <c r="E1403" s="21">
        <f>IF(D1403="?OLD","!!!","")</f>
        <v/>
      </c>
      <c r="F1403" s="22" t="str">
        <f>IF(OR(E1403="",E1403="!!!"),"",IF(NOT(ISNA(VLOOKUP(E1403,E$1:E1402,1,FALSE()))),"OLD",IF(AND(E1403&lt;&gt;"",E1403&lt;&gt;"!!!"),"NEW","")))</f>
        <v> </v>
      </c>
      <c r="G1403" s="23" t="str">
        <f>IF(OR(E1403="",E1403="!!!"),"",IF(OR(J1403=0,AND(J1403=1,K1403=1),AND(J1403=1,I1403="SBJ"),AND(J1403=1,I1403=0)),"?IN_FOCUS",IF(J1403&lt;=2,"?ACTIVATED",IF(J1403&lt;&gt;"","?FAMILIAR",IF(F1403="NEW",IF(ISNA(VLOOKUP(E1403,#REF!,1,FALSE())),"?TYPE_IDENTIFIABLE","?REFERENTIAL"),"_")))))</f>
        <v> </v>
      </c>
      <c r="H1403" s="24" t="str">
        <f>IF(J1403&lt;&gt;1,"",IF(I1403="SBJ","CB","?"))</f>
        <v> </v>
      </c>
      <c r="I1403" s="25" t="str">
        <f>IF(OR(E1403="",E1403="!!!",F1403="NEW"),"",INDEX(B1402:B$2,-1+SUMPRODUCT(MAX(ROW(E1402:E$2)*(E1403=E1402:E$2)))))</f>
        <v> </v>
      </c>
      <c r="J1403" s="25" t="str">
        <f>IF(OR(E1403="",E1403="!!!",F1403="NEW"),"",COUNTBLANK(OFFSET(A$1,,,SUMPRODUCT(MAX(ROW(E$2:E1403)*(E1403=E$2:E1403)))))-COUNTBLANK(OFFSET(A$1,,,SUMPRODUCT(MAX(ROW(E$1:E1402)*(E2=E$1:E1402))))))</f>
        <v> </v>
      </c>
      <c r="K1403" s="25" t="str">
        <f>IF(OR(E1403="",E1403="!!!",F1403="NEW"),"",INDEX(J$1:J1402,SUMPRODUCT(MAX(ROW(E$1:E1402)*(E1403=E$1:E1402)))))</f>
        <v> </v>
      </c>
      <c r="L1403" s="26"/>
    </row>
    <row r="1404" spans="1:12">
      <c r="A1404" s="20" t="s">
        <v>263</v>
      </c>
      <c r="E1404" s="21">
        <f>IF(D1404="?OLD","!!!","")</f>
        <v/>
      </c>
      <c r="F1404" s="22" t="str">
        <f>IF(OR(E1404="",E1404="!!!"),"",IF(NOT(ISNA(VLOOKUP(E1404,E$1:E1403,1,FALSE()))),"OLD",IF(AND(E1404&lt;&gt;"",E1404&lt;&gt;"!!!"),"NEW","")))</f>
        <v> </v>
      </c>
      <c r="G1404" s="23" t="str">
        <f>IF(OR(E1404="",E1404="!!!"),"",IF(OR(J1404=0,AND(J1404=1,K1404=1),AND(J1404=1,I1404="SBJ"),AND(J1404=1,I1404=0)),"?IN_FOCUS",IF(J1404&lt;=2,"?ACTIVATED",IF(J1404&lt;&gt;"","?FAMILIAR",IF(F1404="NEW",IF(ISNA(VLOOKUP(E1404,#REF!,1,FALSE())),"?TYPE_IDENTIFIABLE","?REFERENTIAL"),"_")))))</f>
        <v> </v>
      </c>
      <c r="H1404" s="24" t="str">
        <f>IF(J1404&lt;&gt;1,"",IF(I1404="SBJ","CB","?"))</f>
        <v> </v>
      </c>
      <c r="I1404" s="25" t="str">
        <f>IF(OR(E1404="",E1404="!!!",F1404="NEW"),"",INDEX(B1403:B$2,-1+SUMPRODUCT(MAX(ROW(E1403:E$2)*(E1404=E1403:E$2)))))</f>
        <v> </v>
      </c>
      <c r="J1404" s="25" t="str">
        <f>IF(OR(E1404="",E1404="!!!",F1404="NEW"),"",COUNTBLANK(OFFSET(A$1,,,SUMPRODUCT(MAX(ROW(E$2:E1404)*(E1404=E$2:E1404)))))-COUNTBLANK(OFFSET(A$1,,,SUMPRODUCT(MAX(ROW(E$1:E1403)*(E2=E$1:E1403))))))</f>
        <v> </v>
      </c>
      <c r="K1404" s="25" t="str">
        <f>IF(OR(E1404="",E1404="!!!",F1404="NEW"),"",INDEX(J$1:J1403,SUMPRODUCT(MAX(ROW(E$1:E1403)*(E1404=E$1:E1403)))))</f>
        <v> </v>
      </c>
      <c r="L1404" s="26"/>
    </row>
    <row r="1405" spans="1:12">
      <c r="A1405" s="20" t="s">
        <v>273</v>
      </c>
      <c r="B1405" s="27" t="s">
        <v>267</v>
      </c>
      <c r="C1405" s="27" t="s">
        <v>367</v>
      </c>
      <c r="D1405" s="27" t="s">
        <v>258</v>
      </c>
      <c r="E1405" s="21">
        <f>IF(D1405="?OLD","!!!","")</f>
        <v/>
      </c>
      <c r="F1405" s="22" t="str">
        <f>IF(OR(E1405="",E1405="!!!"),"",IF(NOT(ISNA(VLOOKUP(E1405,E$1:E1404,1,FALSE()))),"OLD",IF(AND(E1405&lt;&gt;"",E1405&lt;&gt;"!!!"),"NEW","")))</f>
        <v> </v>
      </c>
      <c r="G1405" s="23" t="str">
        <f>IF(OR(E1405="",E1405="!!!"),"",IF(OR(J1405=0,AND(J1405=1,K1405=1),AND(J1405=1,I1405="SBJ"),AND(J1405=1,I1405=0)),"?IN_FOCUS",IF(J1405&lt;=2,"?ACTIVATED",IF(J1405&lt;&gt;"","?FAMILIAR",IF(F1405="NEW",IF(ISNA(VLOOKUP(E1405,#REF!,1,FALSE())),"?TYPE_IDENTIFIABLE","?REFERENTIAL"),"_")))))</f>
        <v> </v>
      </c>
      <c r="H1405" s="24" t="str">
        <f>IF(J1405&lt;&gt;1,"",IF(I1405="SBJ","CB","?"))</f>
        <v> </v>
      </c>
      <c r="I1405" s="25" t="str">
        <f>IF(OR(E1405="",E1405="!!!",F1405="NEW"),"",INDEX(B1404:B$2,-1+SUMPRODUCT(MAX(ROW(E1404:E$2)*(E1405=E1404:E$2)))))</f>
        <v> </v>
      </c>
      <c r="J1405" s="25" t="str">
        <f>IF(OR(E1405="",E1405="!!!",F1405="NEW"),"",COUNTBLANK(OFFSET(A$1,,,SUMPRODUCT(MAX(ROW(E$2:E1405)*(E1405=E$2:E1405)))))-COUNTBLANK(OFFSET(A$1,,,SUMPRODUCT(MAX(ROW(E$1:E1404)*(E2=E$1:E1404))))))</f>
        <v> </v>
      </c>
      <c r="K1405" s="25" t="str">
        <f>IF(OR(E1405="",E1405="!!!",F1405="NEW"),"",INDEX(J$1:J1404,SUMPRODUCT(MAX(ROW(E$1:E1404)*(E1405=E$1:E1404)))))</f>
        <v> </v>
      </c>
      <c r="L1405" s="26"/>
    </row>
    <row r="1406" spans="1:12">
      <c r="A1406" s="20" t="s">
        <v>271</v>
      </c>
      <c r="E1406" s="21">
        <f>IF(D1406="?OLD","!!!","")</f>
        <v/>
      </c>
      <c r="F1406" s="22" t="str">
        <f>IF(OR(E1406="",E1406="!!!"),"",IF(NOT(ISNA(VLOOKUP(E1406,E$1:E1405,1,FALSE()))),"OLD",IF(AND(E1406&lt;&gt;"",E1406&lt;&gt;"!!!"),"NEW","")))</f>
        <v> </v>
      </c>
      <c r="G1406" s="23" t="str">
        <f>IF(OR(E1406="",E1406="!!!"),"",IF(OR(J1406=0,AND(J1406=1,K1406=1),AND(J1406=1,I1406="SBJ"),AND(J1406=1,I1406=0)),"?IN_FOCUS",IF(J1406&lt;=2,"?ACTIVATED",IF(J1406&lt;&gt;"","?FAMILIAR",IF(F1406="NEW",IF(ISNA(VLOOKUP(E1406,#REF!,1,FALSE())),"?TYPE_IDENTIFIABLE","?REFERENTIAL"),"_")))))</f>
        <v> </v>
      </c>
      <c r="H1406" s="24" t="str">
        <f>IF(J1406&lt;&gt;1,"",IF(I1406="SBJ","CB","?"))</f>
        <v> </v>
      </c>
      <c r="I1406" s="25" t="str">
        <f>IF(OR(E1406="",E1406="!!!",F1406="NEW"),"",INDEX(B1405:B$2,-1+SUMPRODUCT(MAX(ROW(E1405:E$2)*(E1406=E1405:E$2)))))</f>
        <v> </v>
      </c>
      <c r="J1406" s="25" t="str">
        <f>IF(OR(E1406="",E1406="!!!",F1406="NEW"),"",COUNTBLANK(OFFSET(A$1,,,SUMPRODUCT(MAX(ROW(E$2:E1406)*(E1406=E$2:E1406)))))-COUNTBLANK(OFFSET(A$1,,,SUMPRODUCT(MAX(ROW(E$1:E1405)*(E2=E$1:E1405))))))</f>
        <v> </v>
      </c>
      <c r="K1406" s="25" t="str">
        <f>IF(OR(E1406="",E1406="!!!",F1406="NEW"),"",INDEX(J$1:J1405,SUMPRODUCT(MAX(ROW(E$1:E1405)*(E1406=E$1:E1405)))))</f>
        <v> </v>
      </c>
      <c r="L1406" s="26"/>
    </row>
    <row r="1407" spans="1:12">
      <c r="A1407" s="20" t="s">
        <v>255</v>
      </c>
      <c r="B1407" s="27" t="s">
        <v>276</v>
      </c>
      <c r="C1407" s="27" t="s">
        <v>257</v>
      </c>
      <c r="D1407" s="27" t="s">
        <v>258</v>
      </c>
      <c r="E1407" s="21">
        <f>IF(D1407="?OLD","!!!","")</f>
        <v/>
      </c>
      <c r="F1407" s="22" t="str">
        <f>IF(OR(E1407="",E1407="!!!"),"",IF(NOT(ISNA(VLOOKUP(E1407,E$1:E1406,1,FALSE()))),"OLD",IF(AND(E1407&lt;&gt;"",E1407&lt;&gt;"!!!"),"NEW","")))</f>
        <v> </v>
      </c>
      <c r="G1407" s="23" t="str">
        <f>IF(OR(E1407="",E1407="!!!"),"",IF(OR(J1407=0,AND(J1407=1,K1407=1),AND(J1407=1,I1407="SBJ"),AND(J1407=1,I1407=0)),"?IN_FOCUS",IF(J1407&lt;=2,"?ACTIVATED",IF(J1407&lt;&gt;"","?FAMILIAR",IF(F1407="NEW",IF(ISNA(VLOOKUP(E1407,#REF!,1,FALSE())),"?TYPE_IDENTIFIABLE","?REFERENTIAL"),"_")))))</f>
        <v> </v>
      </c>
      <c r="H1407" s="24" t="str">
        <f>IF(J1407&lt;&gt;1,"",IF(I1407="SBJ","CB","?"))</f>
        <v> </v>
      </c>
      <c r="I1407" s="25" t="str">
        <f>IF(OR(E1407="",E1407="!!!",F1407="NEW"),"",INDEX(B1406:B$2,-1+SUMPRODUCT(MAX(ROW(E1406:E$2)*(E1407=E1406:E$2)))))</f>
        <v> </v>
      </c>
      <c r="J1407" s="25" t="str">
        <f>IF(OR(E1407="",E1407="!!!",F1407="NEW"),"",COUNTBLANK(OFFSET(A$1,,,SUMPRODUCT(MAX(ROW(E$2:E1407)*(E1407=E$2:E1407)))))-COUNTBLANK(OFFSET(A$1,,,SUMPRODUCT(MAX(ROW(E$1:E1406)*(E2=E$1:E1406))))))</f>
        <v> </v>
      </c>
      <c r="K1407" s="25" t="str">
        <f>IF(OR(E1407="",E1407="!!!",F1407="NEW"),"",INDEX(J$1:J1406,SUMPRODUCT(MAX(ROW(E$1:E1406)*(E1407=E$1:E1406)))))</f>
        <v> </v>
      </c>
      <c r="L1407" s="26"/>
    </row>
    <row r="1408" spans="1:12">
      <c r="A1408" s="20" t="s">
        <v>239</v>
      </c>
      <c r="E1408" s="21">
        <f>IF(D1408="?OLD","!!!","")</f>
        <v/>
      </c>
      <c r="F1408" s="22" t="str">
        <f>IF(OR(E1408="",E1408="!!!"),"",IF(NOT(ISNA(VLOOKUP(E1408,E$1:E1407,1,FALSE()))),"OLD",IF(AND(E1408&lt;&gt;"",E1408&lt;&gt;"!!!"),"NEW","")))</f>
        <v> </v>
      </c>
      <c r="G1408" s="23" t="str">
        <f>IF(OR(E1408="",E1408="!!!"),"",IF(OR(J1408=0,AND(J1408=1,K1408=1),AND(J1408=1,I1408="SBJ"),AND(J1408=1,I1408=0)),"?IN_FOCUS",IF(J1408&lt;=2,"?ACTIVATED",IF(J1408&lt;&gt;"","?FAMILIAR",IF(F1408="NEW",IF(ISNA(VLOOKUP(E1408,#REF!,1,FALSE())),"?TYPE_IDENTIFIABLE","?REFERENTIAL"),"_")))))</f>
        <v> </v>
      </c>
      <c r="H1408" s="24" t="str">
        <f>IF(J1408&lt;&gt;1,"",IF(I1408="SBJ","CB","?"))</f>
        <v> </v>
      </c>
      <c r="I1408" s="25" t="str">
        <f>IF(OR(E1408="",E1408="!!!",F1408="NEW"),"",INDEX(B1407:B$2,-1+SUMPRODUCT(MAX(ROW(E1407:E$2)*(E1408=E1407:E$2)))))</f>
        <v> </v>
      </c>
      <c r="J1408" s="25" t="str">
        <f>IF(OR(E1408="",E1408="!!!",F1408="NEW"),"",COUNTBLANK(OFFSET(A$1,,,SUMPRODUCT(MAX(ROW(E$2:E1408)*(E1408=E$2:E1408)))))-COUNTBLANK(OFFSET(A$1,,,SUMPRODUCT(MAX(ROW(E$1:E1407)*(E2=E$1:E1407))))))</f>
        <v> </v>
      </c>
      <c r="K1408" s="25" t="str">
        <f>IF(OR(E1408="",E1408="!!!",F1408="NEW"),"",INDEX(J$1:J1407,SUMPRODUCT(MAX(ROW(E$1:E1407)*(E1408=E$1:E1407)))))</f>
        <v> </v>
      </c>
      <c r="L1408" s="26"/>
    </row>
    <row r="1409" spans="1:12">
      <c r="A1409" s="20" t="s">
        <v>261</v>
      </c>
      <c r="B1409" s="27" t="s">
        <v>401</v>
      </c>
      <c r="C1409" s="27" t="s">
        <v>257</v>
      </c>
      <c r="D1409" s="27" t="s">
        <v>258</v>
      </c>
      <c r="E1409" s="21">
        <f>IF(D1409="?OLD","!!!","")</f>
        <v/>
      </c>
      <c r="F1409" s="22" t="str">
        <f>IF(OR(E1409="",E1409="!!!"),"",IF(NOT(ISNA(VLOOKUP(E1409,E$1:E1408,1,FALSE()))),"OLD",IF(AND(E1409&lt;&gt;"",E1409&lt;&gt;"!!!"),"NEW","")))</f>
        <v> </v>
      </c>
      <c r="G1409" s="23" t="str">
        <f>IF(OR(E1409="",E1409="!!!"),"",IF(OR(J1409=0,AND(J1409=1,K1409=1),AND(J1409=1,I1409="SBJ"),AND(J1409=1,I1409=0)),"?IN_FOCUS",IF(J1409&lt;=2,"?ACTIVATED",IF(J1409&lt;&gt;"","?FAMILIAR",IF(F1409="NEW",IF(ISNA(VLOOKUP(E1409,#REF!,1,FALSE())),"?TYPE_IDENTIFIABLE","?REFERENTIAL"),"_")))))</f>
        <v> </v>
      </c>
      <c r="H1409" s="24" t="str">
        <f>IF(J1409&lt;&gt;1,"",IF(I1409="SBJ","CB","?"))</f>
        <v> </v>
      </c>
      <c r="I1409" s="25" t="str">
        <f>IF(OR(E1409="",E1409="!!!",F1409="NEW"),"",INDEX(B1408:B$2,-1+SUMPRODUCT(MAX(ROW(E1408:E$2)*(E1409=E1408:E$2)))))</f>
        <v> </v>
      </c>
      <c r="J1409" s="25" t="str">
        <f>IF(OR(E1409="",E1409="!!!",F1409="NEW"),"",COUNTBLANK(OFFSET(A$1,,,SUMPRODUCT(MAX(ROW(E$2:E1409)*(E1409=E$2:E1409)))))-COUNTBLANK(OFFSET(A$1,,,SUMPRODUCT(MAX(ROW(E$1:E1408)*(E2=E$1:E1408))))))</f>
        <v> </v>
      </c>
      <c r="K1409" s="25" t="str">
        <f>IF(OR(E1409="",E1409="!!!",F1409="NEW"),"",INDEX(J$1:J1408,SUMPRODUCT(MAX(ROW(E$1:E1408)*(E1409=E$1:E1408)))))</f>
        <v> </v>
      </c>
      <c r="L1409" s="26"/>
    </row>
    <row r="1410" spans="1:12">
      <c r="A1410" s="20" t="s">
        <v>320</v>
      </c>
      <c r="E1410" s="21">
        <f>IF(D1410="?OLD","!!!","")</f>
        <v/>
      </c>
      <c r="F1410" s="22" t="str">
        <f>IF(OR(E1410="",E1410="!!!"),"",IF(NOT(ISNA(VLOOKUP(E1410,E$1:E1409,1,FALSE()))),"OLD",IF(AND(E1410&lt;&gt;"",E1410&lt;&gt;"!!!"),"NEW","")))</f>
        <v> </v>
      </c>
      <c r="G1410" s="23" t="str">
        <f>IF(OR(E1410="",E1410="!!!"),"",IF(OR(J1410=0,AND(J1410=1,K1410=1),AND(J1410=1,I1410="SBJ"),AND(J1410=1,I1410=0)),"?IN_FOCUS",IF(J1410&lt;=2,"?ACTIVATED",IF(J1410&lt;&gt;"","?FAMILIAR",IF(F1410="NEW",IF(ISNA(VLOOKUP(E1410,#REF!,1,FALSE())),"?TYPE_IDENTIFIABLE","?REFERENTIAL"),"_")))))</f>
        <v> </v>
      </c>
      <c r="H1410" s="24" t="str">
        <f>IF(J1410&lt;&gt;1,"",IF(I1410="SBJ","CB","?"))</f>
        <v> </v>
      </c>
      <c r="I1410" s="25" t="str">
        <f>IF(OR(E1410="",E1410="!!!",F1410="NEW"),"",INDEX(B1409:B$2,-1+SUMPRODUCT(MAX(ROW(E1409:E$2)*(E1410=E1409:E$2)))))</f>
        <v> </v>
      </c>
      <c r="J1410" s="25" t="str">
        <f>IF(OR(E1410="",E1410="!!!",F1410="NEW"),"",COUNTBLANK(OFFSET(A$1,,,SUMPRODUCT(MAX(ROW(E$2:E1410)*(E1410=E$2:E1410)))))-COUNTBLANK(OFFSET(A$1,,,SUMPRODUCT(MAX(ROW(E$1:E1409)*(E2=E$1:E1409))))))</f>
        <v> </v>
      </c>
      <c r="K1410" s="25" t="str">
        <f>IF(OR(E1410="",E1410="!!!",F1410="NEW"),"",INDEX(J$1:J1409,SUMPRODUCT(MAX(ROW(E$1:E1409)*(E1410=E$1:E1409)))))</f>
        <v> </v>
      </c>
      <c r="L1410" s="26"/>
    </row>
    <row r="1411" spans="1:12">
      <c r="A1411"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2024-12-05T18:00:12Z</dcterms:created>
  <dcterms:modified xsi:type="dcterms:W3CDTF">2024-12-05T18:00:12Z</dcterms:modified>
</cp:coreProperties>
</file>